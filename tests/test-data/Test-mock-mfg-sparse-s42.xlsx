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收入及净利简表" sheetId="2" state="visible" r:id="rId2"/>
    <sheet xmlns:r="http://schemas.openxmlformats.org/officeDocument/2006/relationships" name="2025年华东事业部利润表" sheetId="3" state="visible" r:id="rId3"/>
    <sheet xmlns:r="http://schemas.openxmlformats.org/officeDocument/2006/relationships" name="2025年中心利润表" sheetId="4" state="visible" r:id="rId4"/>
    <sheet xmlns:r="http://schemas.openxmlformats.org/officeDocument/2006/relationships" name="2025年江苏区域利润表" sheetId="5" state="visible" r:id="rId5"/>
    <sheet xmlns:r="http://schemas.openxmlformats.org/officeDocument/2006/relationships" name="2025年浙江区域利润表" sheetId="6" state="visible" r:id="rId6"/>
    <sheet xmlns:r="http://schemas.openxmlformats.org/officeDocument/2006/relationships" name="2025年广东区域利润表" sheetId="7" state="visible" r:id="rId7"/>
    <sheet xmlns:r="http://schemas.openxmlformats.org/officeDocument/2006/relationships" name="2025年华中区域利润表" sheetId="8" state="visible" r:id="rId8"/>
    <sheet xmlns:r="http://schemas.openxmlformats.org/officeDocument/2006/relationships" name="2025年湖北省区利润表" sheetId="9" state="visible" r:id="rId9"/>
    <sheet xmlns:r="http://schemas.openxmlformats.org/officeDocument/2006/relationships" name="2025年湖南省区利润表" sheetId="10" state="visible" r:id="rId10"/>
    <sheet xmlns:r="http://schemas.openxmlformats.org/officeDocument/2006/relationships" name="24年返利明细" sheetId="11" state="visible" r:id="rId11"/>
    <sheet xmlns:r="http://schemas.openxmlformats.org/officeDocument/2006/relationships" name="资产负债表" sheetId="12" state="visible" r:id="rId12"/>
    <sheet xmlns:r="http://schemas.openxmlformats.org/officeDocument/2006/relationships" name="销售明细" sheetId="13" state="visible" r:id="rId13"/>
    <sheet xmlns:r="http://schemas.openxmlformats.org/officeDocument/2006/relationships" name="应收账款账龄" sheetId="14" state="visible" r:id="rId14"/>
    <sheet xmlns:r="http://schemas.openxmlformats.org/officeDocument/2006/relationships" name="库存台账" sheetId="15" state="visible" r:id="rId15"/>
    <sheet xmlns:r="http://schemas.openxmlformats.org/officeDocument/2006/relationships" name="月度经营分析" sheetId="16" state="visible" r:id="rId16"/>
    <sheet xmlns:r="http://schemas.openxmlformats.org/officeDocument/2006/relationships" name="费用预算执行" sheetId="17" state="visible" r:id="rId17"/>
    <sheet xmlns:r="http://schemas.openxmlformats.org/officeDocument/2006/relationships" name="现金流量表" sheetId="18" state="visible" r:id="rId18"/>
    <sheet xmlns:r="http://schemas.openxmlformats.org/officeDocument/2006/relationships" name="超宽数据表" sheetId="19" state="visible" r:id="rId19"/>
    <sheet xmlns:r="http://schemas.openxmlformats.org/officeDocument/2006/relationships" name="混合类型测试" sheetId="20" state="visible" r:id="rId20"/>
    <sheet xmlns:r="http://schemas.openxmlformats.org/officeDocument/2006/relationships" name="空值区域测试" sheetId="21" state="visible" r:id="rId21"/>
    <sheet xmlns:r="http://schemas.openxmlformats.org/officeDocument/2006/relationships" name="跨年对比(2024-2025)" sheetId="22" state="visible" r:id="rId22"/>
    <sheet xmlns:r="http://schemas.openxmlformats.org/officeDocument/2006/relationships" name="公式测试" sheetId="23" state="visible" r:id="rId23"/>
    <sheet xmlns:r="http://schemas.openxmlformats.org/officeDocument/2006/relationships" name="纯数字列名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yyyy-mm-dd h:mm:ss"/>
    <numFmt numFmtId="166" formatCode="0.0"/>
    <numFmt numFmtId="167" formatCode="yyyy-mm-dd"/>
    <numFmt numFmtId="168" formatCode="YYYY-MM-DD"/>
    <numFmt numFmtId="169" formatCode="0.0%"/>
    <numFmt numFmtId="170" formatCode="+0.0%;-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6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5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0" fillId="0" borderId="1" pivotButton="0" quotePrefix="0" xfId="0"/>
    <xf numFmtId="168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0" fontId="0" fillId="0" borderId="0" applyAlignment="1" pivotButton="0" quotePrefix="0" xfId="0">
      <alignment horizontal="center"/>
    </xf>
    <xf numFmtId="3" fontId="0" fillId="0" borderId="1" pivotButton="0" quotePrefix="0" xfId="0"/>
    <xf numFmtId="3" fontId="2" fillId="0" borderId="1" pivotButton="0" quotePrefix="0" xfId="0"/>
    <xf numFmtId="169" fontId="2" fillId="0" borderId="1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90"/>
    </xf>
    <xf numFmtId="3" fontId="4" fillId="0" borderId="1" pivotButton="0" quotePrefix="0" xfId="0"/>
    <xf numFmtId="169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17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</cols>
  <sheetData>
    <row r="1">
      <c r="A1" s="1" t="inlineStr">
        <is>
          <t>华东事业部经营口径报表索引</t>
        </is>
      </c>
    </row>
    <row r="2">
      <c r="A2" s="2" t="inlineStr">
        <is>
          <t>序号</t>
        </is>
      </c>
      <c r="B2" s="2" t="inlineStr">
        <is>
          <t>索引</t>
        </is>
      </c>
      <c r="C2" s="2" t="inlineStr">
        <is>
          <t>报表编制说明</t>
        </is>
      </c>
    </row>
    <row r="3">
      <c r="A3" s="3" t="n">
        <v>1</v>
      </c>
      <c r="B3" s="4" t="inlineStr">
        <is>
          <t>收入及净利简表</t>
        </is>
      </c>
      <c r="C3" s="5" t="inlineStr">
        <is>
          <t>1、分部及区域的预算净利及实际净利，数据来源为本文件中分部利润表</t>
        </is>
      </c>
    </row>
    <row r="4">
      <c r="A4" s="3" t="n">
        <v>2</v>
      </c>
      <c r="B4" s="4" t="inlineStr">
        <is>
          <t>2025年华东事业部利润表</t>
        </is>
      </c>
      <c r="C4" s="5" t="inlineStr">
        <is>
          <t>编制规则同2025年华东事业部利润表</t>
        </is>
      </c>
    </row>
    <row r="5">
      <c r="A5" s="3" t="n">
        <v>3</v>
      </c>
      <c r="B5" s="4" t="inlineStr">
        <is>
          <t>2025年中心利润表</t>
        </is>
      </c>
      <c r="C5" s="5" t="inlineStr">
        <is>
          <t>编制规则同2025年华东事业部利润表</t>
        </is>
      </c>
    </row>
    <row r="6">
      <c r="A6" s="3" t="n">
        <v>4</v>
      </c>
      <c r="B6" s="4" t="inlineStr">
        <is>
          <t>2025年江苏区域利润表</t>
        </is>
      </c>
      <c r="C6" s="5" t="inlineStr">
        <is>
          <t>编制规则同2025年华东事业部利润表</t>
        </is>
      </c>
    </row>
    <row r="7">
      <c r="A7" s="3" t="n">
        <v>5</v>
      </c>
      <c r="B7" s="4" t="inlineStr">
        <is>
          <t>2025年浙江区域利润表</t>
        </is>
      </c>
      <c r="C7" s="5" t="inlineStr">
        <is>
          <t>编制规则同2025年华东事业部利润表</t>
        </is>
      </c>
    </row>
    <row r="8">
      <c r="A8" s="3" t="n">
        <v>6</v>
      </c>
      <c r="B8" s="4" t="inlineStr">
        <is>
          <t>2025年广东区域利润表</t>
        </is>
      </c>
      <c r="C8" s="5" t="inlineStr">
        <is>
          <t>编制规则同2025年华东事业部利润表</t>
        </is>
      </c>
    </row>
    <row r="9">
      <c r="A9" s="3" t="n">
        <v>7</v>
      </c>
      <c r="B9" s="4" t="inlineStr">
        <is>
          <t>2025年华中区域利润表</t>
        </is>
      </c>
      <c r="C9" s="5" t="inlineStr">
        <is>
          <t>编制规则同2025年华东事业部利润表</t>
        </is>
      </c>
    </row>
    <row r="10">
      <c r="A10" s="3" t="n">
        <v>8</v>
      </c>
      <c r="B10" s="4" t="inlineStr">
        <is>
          <t>2025年湖北省区利润表</t>
        </is>
      </c>
      <c r="C10" s="5" t="inlineStr">
        <is>
          <t>编制规则同2025年华东事业部利润表</t>
        </is>
      </c>
    </row>
    <row r="11">
      <c r="A11" s="3" t="n">
        <v>9</v>
      </c>
      <c r="B11" s="4" t="inlineStr">
        <is>
          <t>2025年湖南省区利润表</t>
        </is>
      </c>
      <c r="C11" s="5" t="inlineStr">
        <is>
          <t>编制规则同2025年华东事业部利润表</t>
        </is>
      </c>
    </row>
    <row r="12">
      <c r="A12" s="3" t="n">
        <v>10</v>
      </c>
      <c r="B12" s="4" t="inlineStr">
        <is>
          <t>24年返利明细</t>
        </is>
      </c>
      <c r="C12" s="5" t="inlineStr"/>
    </row>
    <row r="13">
      <c r="A13" s="3" t="n">
        <v>11</v>
      </c>
      <c r="B13" s="4" t="inlineStr">
        <is>
          <t>资产负债表</t>
        </is>
      </c>
      <c r="C13" s="5" t="inlineStr"/>
    </row>
    <row r="14">
      <c r="A14" s="3" t="n">
        <v>12</v>
      </c>
      <c r="B14" s="4" t="inlineStr">
        <is>
          <t>销售明细</t>
        </is>
      </c>
      <c r="C14" s="5" t="inlineStr"/>
    </row>
    <row r="15">
      <c r="A15" s="3" t="n">
        <v>13</v>
      </c>
      <c r="B15" s="4" t="inlineStr">
        <is>
          <t>应收账款账龄</t>
        </is>
      </c>
      <c r="C15" s="5" t="inlineStr"/>
    </row>
    <row r="16">
      <c r="A16" s="3" t="n">
        <v>14</v>
      </c>
      <c r="B16" s="4" t="inlineStr">
        <is>
          <t>库存台账</t>
        </is>
      </c>
      <c r="C16" s="5" t="inlineStr"/>
    </row>
    <row r="17">
      <c r="A17" s="3" t="n">
        <v>15</v>
      </c>
      <c r="B17" s="4" t="inlineStr">
        <is>
          <t>月度经营分析</t>
        </is>
      </c>
      <c r="C17" s="5" t="inlineStr"/>
    </row>
    <row r="18">
      <c r="A18" s="3" t="n">
        <v>16</v>
      </c>
      <c r="B18" s="4" t="inlineStr">
        <is>
          <t>费用预算执行</t>
        </is>
      </c>
      <c r="C18" s="5" t="inlineStr"/>
    </row>
    <row r="19">
      <c r="A19" s="3" t="n">
        <v>17</v>
      </c>
      <c r="B19" s="4" t="inlineStr">
        <is>
          <t>现金流量表</t>
        </is>
      </c>
      <c r="C19" s="5" t="inlineStr"/>
    </row>
    <row r="20">
      <c r="A20" s="3" t="n">
        <v>18</v>
      </c>
      <c r="B20" s="4" t="inlineStr">
        <is>
          <t>超宽数据表</t>
        </is>
      </c>
      <c r="C20" s="5" t="inlineStr"/>
    </row>
    <row r="21">
      <c r="A21" s="3" t="n">
        <v>19</v>
      </c>
      <c r="B21" s="4" t="inlineStr">
        <is>
          <t>混合类型测试</t>
        </is>
      </c>
      <c r="C21" s="5" t="inlineStr"/>
    </row>
    <row r="22">
      <c r="A22" s="3" t="n">
        <v>20</v>
      </c>
      <c r="B22" s="4" t="inlineStr">
        <is>
          <t>空值区域测试</t>
        </is>
      </c>
      <c r="C22" s="5" t="inlineStr"/>
    </row>
    <row r="23">
      <c r="A23" s="3" t="n">
        <v>21</v>
      </c>
      <c r="B23" s="4" t="inlineStr">
        <is>
          <t>跨年对比(2024-2025)</t>
        </is>
      </c>
      <c r="C23" s="5" t="inlineStr"/>
    </row>
    <row r="24">
      <c r="A24" s="3" t="n">
        <v>22</v>
      </c>
      <c r="B24" s="4" t="inlineStr">
        <is>
          <t>公式测试</t>
        </is>
      </c>
      <c r="C24" s="5" t="inlineStr"/>
    </row>
    <row r="25">
      <c r="A25" s="3" t="n">
        <v>23</v>
      </c>
      <c r="B25" s="4" t="inlineStr">
        <is>
          <t>纯数字列名</t>
        </is>
      </c>
      <c r="C25" s="5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华东事业部2025年各分部及区域收入&amp;净利简表</t>
        </is>
      </c>
    </row>
    <row r="2">
      <c r="A2" s="2" t="inlineStr">
        <is>
          <t>区域</t>
        </is>
      </c>
      <c r="B2" s="2" t="inlineStr">
        <is>
          <t>1月</t>
        </is>
      </c>
      <c r="E2" s="2" t="inlineStr">
        <is>
          <t>2月</t>
        </is>
      </c>
      <c r="H2" s="2" t="inlineStr">
        <is>
          <t>3月</t>
        </is>
      </c>
      <c r="K2" s="2" t="inlineStr">
        <is>
          <t>4月</t>
        </is>
      </c>
      <c r="N2" s="2" t="inlineStr">
        <is>
          <t>5月</t>
        </is>
      </c>
      <c r="Q2" s="2" t="inlineStr">
        <is>
          <t>6月</t>
        </is>
      </c>
      <c r="T2" s="2" t="inlineStr">
        <is>
          <t>7月</t>
        </is>
      </c>
      <c r="W2" s="2" t="inlineStr">
        <is>
          <t>8月</t>
        </is>
      </c>
      <c r="Z2" s="2" t="inlineStr">
        <is>
          <t>9月</t>
        </is>
      </c>
      <c r="AC2" s="2" t="inlineStr">
        <is>
          <t>10月</t>
        </is>
      </c>
      <c r="AF2" s="2" t="inlineStr">
        <is>
          <t>11月</t>
        </is>
      </c>
      <c r="AI2" s="2" t="inlineStr">
        <is>
          <t>12月</t>
        </is>
      </c>
    </row>
    <row r="3">
      <c r="A3" s="4" t="n"/>
      <c r="B3" s="2" t="inlineStr">
        <is>
          <t>预算收入</t>
        </is>
      </c>
      <c r="C3" s="2" t="inlineStr">
        <is>
          <t>24年同期实际</t>
        </is>
      </c>
      <c r="D3" s="2" t="inlineStr">
        <is>
          <t>实际收入</t>
        </is>
      </c>
      <c r="E3" s="2" t="inlineStr">
        <is>
          <t>预算收入</t>
        </is>
      </c>
      <c r="F3" s="2" t="inlineStr">
        <is>
          <t>24年同期实际</t>
        </is>
      </c>
      <c r="G3" s="2" t="inlineStr">
        <is>
          <t>实际收入</t>
        </is>
      </c>
      <c r="H3" s="2" t="inlineStr">
        <is>
          <t>预算收入</t>
        </is>
      </c>
      <c r="I3" s="2" t="inlineStr">
        <is>
          <t>24年同期实际</t>
        </is>
      </c>
      <c r="J3" s="2" t="inlineStr">
        <is>
          <t>实际收入</t>
        </is>
      </c>
      <c r="K3" s="2" t="inlineStr">
        <is>
          <t>预算收入</t>
        </is>
      </c>
      <c r="L3" s="2" t="inlineStr">
        <is>
          <t>24年同期实际</t>
        </is>
      </c>
      <c r="M3" s="2" t="inlineStr">
        <is>
          <t>实际收入</t>
        </is>
      </c>
      <c r="N3" s="2" t="inlineStr">
        <is>
          <t>预算收入</t>
        </is>
      </c>
      <c r="O3" s="2" t="inlineStr">
        <is>
          <t>24年同期实际</t>
        </is>
      </c>
      <c r="P3" s="2" t="inlineStr">
        <is>
          <t>实际收入</t>
        </is>
      </c>
      <c r="Q3" s="2" t="inlineStr">
        <is>
          <t>预算收入</t>
        </is>
      </c>
      <c r="R3" s="2" t="inlineStr">
        <is>
          <t>24年同期实际</t>
        </is>
      </c>
      <c r="S3" s="2" t="inlineStr">
        <is>
          <t>实际收入</t>
        </is>
      </c>
      <c r="T3" s="2" t="inlineStr">
        <is>
          <t>预算收入</t>
        </is>
      </c>
      <c r="U3" s="2" t="inlineStr">
        <is>
          <t>24年同期实际</t>
        </is>
      </c>
      <c r="V3" s="2" t="inlineStr">
        <is>
          <t>实际收入</t>
        </is>
      </c>
      <c r="W3" s="2" t="inlineStr">
        <is>
          <t>预算收入</t>
        </is>
      </c>
      <c r="X3" s="2" t="inlineStr">
        <is>
          <t>24年同期实际</t>
        </is>
      </c>
      <c r="Y3" s="2" t="inlineStr">
        <is>
          <t>实际收入</t>
        </is>
      </c>
      <c r="Z3" s="2" t="inlineStr">
        <is>
          <t>预算收入</t>
        </is>
      </c>
      <c r="AA3" s="2" t="inlineStr">
        <is>
          <t>24年同期实际</t>
        </is>
      </c>
      <c r="AB3" s="2" t="inlineStr">
        <is>
          <t>实际收入</t>
        </is>
      </c>
      <c r="AC3" s="2" t="inlineStr">
        <is>
          <t>预算收入</t>
        </is>
      </c>
      <c r="AD3" s="2" t="inlineStr">
        <is>
          <t>24年同期实际</t>
        </is>
      </c>
      <c r="AE3" s="2" t="inlineStr">
        <is>
          <t>实际收入</t>
        </is>
      </c>
      <c r="AF3" s="2" t="inlineStr">
        <is>
          <t>预算收入</t>
        </is>
      </c>
      <c r="AG3" s="2" t="inlineStr">
        <is>
          <t>24年同期实际</t>
        </is>
      </c>
      <c r="AH3" s="2" t="inlineStr">
        <is>
          <t>实际收入</t>
        </is>
      </c>
      <c r="AI3" s="2" t="inlineStr">
        <is>
          <t>预算收入</t>
        </is>
      </c>
      <c r="AJ3" s="2" t="inlineStr">
        <is>
          <t>24年同期实际</t>
        </is>
      </c>
      <c r="AK3" s="2" t="inlineStr">
        <is>
          <t>实际收入</t>
        </is>
      </c>
    </row>
    <row r="4">
      <c r="A4" s="6" t="inlineStr">
        <is>
          <t>江苏区域</t>
        </is>
      </c>
      <c r="B4" s="7" t="n">
        <v>1685197.1</v>
      </c>
      <c r="C4" s="7" t="n">
        <v>738294.6</v>
      </c>
      <c r="D4" s="7" t="n">
        <v>1096658.3</v>
      </c>
      <c r="E4" s="7" t="n">
        <v>1508782.5</v>
      </c>
      <c r="F4" s="7" t="n">
        <v>1328684.3</v>
      </c>
      <c r="G4" s="7" t="n">
        <v>1901826.5</v>
      </c>
      <c r="H4" s="7" t="n">
        <v>1503908</v>
      </c>
      <c r="I4" s="7" t="n">
        <v>1416593.8</v>
      </c>
      <c r="J4" s="7" t="n">
        <v>1571898.1</v>
      </c>
      <c r="K4" s="7" t="n">
        <v>1430413.3</v>
      </c>
      <c r="L4" s="7" t="n">
        <v>889041.7</v>
      </c>
      <c r="M4" s="7" t="n">
        <v>907085.8</v>
      </c>
      <c r="N4" s="7" t="n">
        <v>1706273.7</v>
      </c>
      <c r="O4" s="7" t="n">
        <v>1944897.7</v>
      </c>
      <c r="P4" s="7" t="n">
        <v>2096349.5</v>
      </c>
      <c r="Q4" s="7" t="n">
        <v>1508204.8</v>
      </c>
      <c r="R4" s="7" t="n">
        <v>766356.2</v>
      </c>
      <c r="S4" s="7" t="n">
        <v>1112962.8</v>
      </c>
      <c r="T4" s="7" t="n">
        <v>1841378</v>
      </c>
      <c r="U4" s="7" t="n">
        <v>2751792.4</v>
      </c>
      <c r="V4" s="7" t="n">
        <v>2789664.8</v>
      </c>
      <c r="W4" s="7" t="n">
        <v>1818828.5</v>
      </c>
      <c r="X4" s="7" t="n">
        <v>2060680.7</v>
      </c>
      <c r="Y4" s="7" t="n">
        <v>2432748.9</v>
      </c>
      <c r="Z4" s="7" t="n">
        <v>1430346.5</v>
      </c>
      <c r="AA4" s="7" t="n">
        <v>0</v>
      </c>
      <c r="AB4" s="7" t="n">
        <v>0</v>
      </c>
      <c r="AC4" s="7" t="n">
        <v>1512668.4</v>
      </c>
      <c r="AD4" s="7" t="n">
        <v>3366995.4</v>
      </c>
      <c r="AE4" s="7" t="n">
        <v>3435925</v>
      </c>
      <c r="AF4" s="7" t="n">
        <v>1724927.5</v>
      </c>
      <c r="AG4" s="7" t="n">
        <v>1841669.6</v>
      </c>
      <c r="AH4" s="7" t="n">
        <v>2233808.9</v>
      </c>
      <c r="AI4" s="7" t="n">
        <v>1500962.5</v>
      </c>
      <c r="AJ4" s="7" t="n">
        <v>129063.6</v>
      </c>
      <c r="AK4" s="7" t="n">
        <v>121520</v>
      </c>
    </row>
    <row r="5">
      <c r="A5" s="6" t="inlineStr">
        <is>
          <t>浙江区域</t>
        </is>
      </c>
      <c r="B5" s="7" t="n">
        <v>3145919.5</v>
      </c>
      <c r="C5" s="7" t="n">
        <v>2026769.7</v>
      </c>
      <c r="D5" s="7" t="n">
        <v>2297284.4</v>
      </c>
      <c r="E5" s="7" t="n">
        <v>2778969</v>
      </c>
      <c r="F5" s="7" t="n">
        <v>2541080.4</v>
      </c>
      <c r="G5" s="7" t="n">
        <v>2769119.7</v>
      </c>
      <c r="H5" s="7" t="n">
        <v>3111353</v>
      </c>
      <c r="I5" s="7" t="n">
        <v>3498106.3</v>
      </c>
      <c r="J5" s="7" t="n">
        <v>3834546</v>
      </c>
      <c r="K5" s="7" t="n">
        <v>2431861.5</v>
      </c>
      <c r="L5" s="7" t="n">
        <v>4854010.9</v>
      </c>
      <c r="M5" s="7" t="n">
        <v>4702936.4</v>
      </c>
      <c r="N5" s="7" t="n">
        <v>3137054.4</v>
      </c>
      <c r="O5" s="7" t="n">
        <v>3133168.9</v>
      </c>
      <c r="P5" s="7" t="n">
        <v>3429442.9</v>
      </c>
      <c r="Q5" s="7" t="n">
        <v>2484006</v>
      </c>
      <c r="R5" s="7" t="n">
        <v>0</v>
      </c>
      <c r="S5" s="7" t="n">
        <v>0</v>
      </c>
      <c r="T5" s="7" t="n">
        <v>3130566.9</v>
      </c>
      <c r="U5" s="7" t="n">
        <v>1907739.1</v>
      </c>
      <c r="V5" s="7" t="n">
        <v>3008373.1</v>
      </c>
      <c r="W5" s="7" t="n">
        <v>2555673.8</v>
      </c>
      <c r="X5" s="7" t="n">
        <v>3994423.5</v>
      </c>
      <c r="Y5" s="7" t="n">
        <v>4864698.399999999</v>
      </c>
      <c r="Z5" s="7" t="n">
        <v>2426138.6</v>
      </c>
      <c r="AA5" s="7" t="n">
        <v>984002</v>
      </c>
      <c r="AB5" s="7" t="n">
        <v>1309540.3</v>
      </c>
      <c r="AC5" s="7" t="n">
        <v>2695133.6</v>
      </c>
      <c r="AD5" s="7" t="n">
        <v>2608592.2</v>
      </c>
      <c r="AE5" s="7" t="n">
        <v>3537856.899999999</v>
      </c>
      <c r="AF5" s="7" t="n">
        <v>2937588.8</v>
      </c>
      <c r="AG5" s="7" t="n">
        <v>1434225.6</v>
      </c>
      <c r="AH5" s="7" t="n">
        <v>2283485.8</v>
      </c>
      <c r="AI5" s="7" t="n">
        <v>2595434.9</v>
      </c>
      <c r="AJ5" s="7" t="n">
        <v>812629.2</v>
      </c>
      <c r="AK5" s="7" t="n">
        <v>951926</v>
      </c>
    </row>
    <row r="6">
      <c r="A6" s="6" t="inlineStr">
        <is>
          <t>广东区域</t>
        </is>
      </c>
      <c r="B6" s="7" t="n">
        <v>767284.8</v>
      </c>
      <c r="C6" s="7" t="n">
        <v>645199.9</v>
      </c>
      <c r="D6" s="7" t="n">
        <v>854338.7</v>
      </c>
      <c r="E6" s="7" t="n">
        <v>844114.6</v>
      </c>
      <c r="F6" s="7" t="n">
        <v>387524.3</v>
      </c>
      <c r="G6" s="7" t="n">
        <v>469182.2</v>
      </c>
      <c r="H6" s="7" t="n">
        <v>942175.8</v>
      </c>
      <c r="I6" s="7" t="n">
        <v>596857.6</v>
      </c>
      <c r="J6" s="7" t="n">
        <v>949737.2</v>
      </c>
      <c r="K6" s="7" t="n">
        <v>1017542.1</v>
      </c>
      <c r="L6" s="7" t="n">
        <v>1116637.9</v>
      </c>
      <c r="M6" s="7" t="n">
        <v>1099217.2</v>
      </c>
      <c r="N6" s="7" t="n">
        <v>866845.1</v>
      </c>
      <c r="O6" s="7" t="n">
        <v>651483.5</v>
      </c>
      <c r="P6" s="7" t="n">
        <v>1020549.4</v>
      </c>
      <c r="Q6" s="7" t="n">
        <v>952284.8</v>
      </c>
      <c r="R6" s="7" t="n">
        <v>1034633.6</v>
      </c>
      <c r="S6" s="7" t="n">
        <v>1002430.5</v>
      </c>
      <c r="T6" s="7" t="n">
        <v>780788.8</v>
      </c>
      <c r="U6" s="7" t="n">
        <v>1737300.5</v>
      </c>
      <c r="V6" s="7" t="n">
        <v>1690562.1</v>
      </c>
      <c r="W6" s="7" t="n">
        <v>945736.4</v>
      </c>
      <c r="X6" s="7" t="n">
        <v>911157.1</v>
      </c>
      <c r="Y6" s="7" t="n">
        <v>1004025.2</v>
      </c>
      <c r="Z6" s="7" t="n">
        <v>928728.9</v>
      </c>
      <c r="AA6" s="7" t="n">
        <v>469761.5</v>
      </c>
      <c r="AB6" s="7" t="n">
        <v>550372.4</v>
      </c>
      <c r="AC6" s="7" t="n">
        <v>787741</v>
      </c>
      <c r="AD6" s="7" t="n">
        <v>956233.6</v>
      </c>
      <c r="AE6" s="7" t="n">
        <v>1150209.8</v>
      </c>
      <c r="AF6" s="7" t="n">
        <v>967707.2</v>
      </c>
      <c r="AG6" s="7" t="n">
        <v>672443</v>
      </c>
      <c r="AH6" s="7" t="n">
        <v>766615.3999999999</v>
      </c>
      <c r="AI6" s="7" t="n">
        <v>988590</v>
      </c>
      <c r="AJ6" s="7" t="n">
        <v>176997.4</v>
      </c>
      <c r="AK6" s="7" t="n">
        <v>177724.5</v>
      </c>
    </row>
    <row r="7">
      <c r="A7" s="6" t="inlineStr">
        <is>
          <t>华中区域</t>
        </is>
      </c>
      <c r="B7" s="7" t="n">
        <v>2376050.6</v>
      </c>
      <c r="C7" s="7" t="n">
        <v>1700333.5</v>
      </c>
      <c r="D7" s="7" t="n">
        <v>1622551</v>
      </c>
      <c r="E7" s="7" t="n">
        <v>2089869.6</v>
      </c>
      <c r="F7" s="7" t="n">
        <v>221872</v>
      </c>
      <c r="G7" s="7" t="n">
        <v>268979.2</v>
      </c>
      <c r="H7" s="7" t="n">
        <v>2273317.9</v>
      </c>
      <c r="I7" s="7" t="n">
        <v>1413308.8</v>
      </c>
      <c r="J7" s="7" t="n">
        <v>1406406.2</v>
      </c>
      <c r="K7" s="7" t="n">
        <v>2262847.3</v>
      </c>
      <c r="L7" s="7" t="n">
        <v>1533630.1</v>
      </c>
      <c r="M7" s="7" t="n">
        <v>1656333.4</v>
      </c>
      <c r="N7" s="7" t="n">
        <v>2503538.8</v>
      </c>
      <c r="O7" s="7" t="n">
        <v>2838216.8</v>
      </c>
      <c r="P7" s="7" t="n">
        <v>3730748.5</v>
      </c>
      <c r="Q7" s="7" t="n">
        <v>2637595.4</v>
      </c>
      <c r="R7" s="7" t="n">
        <v>2342924.2</v>
      </c>
      <c r="S7" s="7" t="n">
        <v>2796471.3</v>
      </c>
      <c r="T7" s="7" t="n">
        <v>2260342.9</v>
      </c>
      <c r="U7" s="7" t="n">
        <v>1984573.8</v>
      </c>
      <c r="V7" s="7" t="n">
        <v>2938235.2</v>
      </c>
      <c r="W7" s="7" t="n">
        <v>2520360.4</v>
      </c>
      <c r="X7" s="7" t="n">
        <v>2825571.9</v>
      </c>
      <c r="Y7" s="7" t="n">
        <v>4478375.1</v>
      </c>
      <c r="Z7" s="7" t="n">
        <v>2230626.1</v>
      </c>
      <c r="AA7" s="7" t="n">
        <v>436233.3</v>
      </c>
      <c r="AB7" s="7" t="n">
        <v>669325.1</v>
      </c>
      <c r="AC7" s="7" t="n">
        <v>2700093.7</v>
      </c>
      <c r="AD7" s="7" t="n">
        <v>4275629.3</v>
      </c>
      <c r="AE7" s="7" t="n">
        <v>4073721.7</v>
      </c>
      <c r="AF7" s="7" t="n">
        <v>2606034.1</v>
      </c>
      <c r="AG7" s="7" t="n">
        <v>2051119.1</v>
      </c>
      <c r="AH7" s="7" t="n">
        <v>2657857.9</v>
      </c>
      <c r="AI7" s="7" t="n">
        <v>2417761.8</v>
      </c>
      <c r="AJ7" s="7" t="n">
        <v>2186679.6</v>
      </c>
      <c r="AK7" s="7" t="n">
        <v>2284555</v>
      </c>
    </row>
    <row r="8">
      <c r="A8" s="6" t="inlineStr">
        <is>
          <t>华东事总监费用</t>
        </is>
      </c>
      <c r="B8" s="7" t="n">
        <v>0</v>
      </c>
      <c r="C8" s="7" t="n">
        <v>34259.5</v>
      </c>
      <c r="D8" s="7" t="n">
        <v>40197.7</v>
      </c>
      <c r="E8" s="7" t="n">
        <v>0</v>
      </c>
      <c r="F8" s="7" t="n">
        <v>9987.200000000001</v>
      </c>
      <c r="G8" s="7" t="n">
        <v>14552.7</v>
      </c>
      <c r="H8" s="7" t="n">
        <v>0</v>
      </c>
      <c r="I8" s="7" t="n">
        <v>19686.8</v>
      </c>
      <c r="J8" s="7" t="n">
        <v>27196.5</v>
      </c>
      <c r="K8" s="7" t="n">
        <v>0</v>
      </c>
      <c r="L8" s="7" t="n">
        <v>17466.6</v>
      </c>
      <c r="M8" s="7" t="n">
        <v>21329.9</v>
      </c>
      <c r="N8" s="7" t="n">
        <v>0</v>
      </c>
      <c r="O8" s="7" t="n">
        <v>30443.7</v>
      </c>
      <c r="P8" s="7" t="n">
        <v>37139.5</v>
      </c>
      <c r="Q8" s="7" t="n">
        <v>0</v>
      </c>
      <c r="R8" s="7" t="n">
        <v>25380.6</v>
      </c>
      <c r="S8" s="7" t="n">
        <v>29465.3</v>
      </c>
      <c r="T8" s="7" t="n">
        <v>0</v>
      </c>
      <c r="U8" s="7" t="n">
        <v>24923</v>
      </c>
      <c r="V8" s="7" t="n">
        <v>36685.3</v>
      </c>
      <c r="W8" s="7" t="n">
        <v>0</v>
      </c>
      <c r="X8" s="7" t="n">
        <v>9293</v>
      </c>
      <c r="Y8" s="7" t="n">
        <v>11816.7</v>
      </c>
      <c r="Z8" s="7" t="n">
        <v>0</v>
      </c>
      <c r="AA8" s="7" t="n">
        <v>19137.1</v>
      </c>
      <c r="AB8" s="7" t="n">
        <v>25810.5</v>
      </c>
      <c r="AC8" s="7" t="n">
        <v>0</v>
      </c>
      <c r="AD8" s="7" t="n">
        <v>27327.4</v>
      </c>
      <c r="AE8" s="7" t="n">
        <v>33973</v>
      </c>
      <c r="AF8" s="7" t="n">
        <v>0</v>
      </c>
      <c r="AG8" s="7" t="n">
        <v>7928.4</v>
      </c>
      <c r="AH8" s="7" t="n">
        <v>10307.5</v>
      </c>
      <c r="AI8" s="7" t="n">
        <v>0</v>
      </c>
      <c r="AJ8" s="7" t="n">
        <v>19827.8</v>
      </c>
      <c r="AK8" s="7" t="n">
        <v>22056.8</v>
      </c>
    </row>
    <row r="9">
      <c r="A9" s="6" t="inlineStr">
        <is>
          <t>合计</t>
        </is>
      </c>
      <c r="B9" s="8" t="n">
        <v>7974452</v>
      </c>
      <c r="C9" s="8" t="n">
        <v>5144857.2</v>
      </c>
      <c r="D9" s="8" t="n">
        <v>5911030.1</v>
      </c>
      <c r="E9" s="8" t="n">
        <v>7221735.7</v>
      </c>
      <c r="F9" s="8" t="n">
        <v>4489148.2</v>
      </c>
      <c r="G9" s="8" t="n">
        <v>5423660.3</v>
      </c>
      <c r="H9" s="8" t="n">
        <v>7830754.7</v>
      </c>
      <c r="I9" s="8" t="n">
        <v>6944553.3</v>
      </c>
      <c r="J9" s="8" t="n">
        <v>7789784</v>
      </c>
      <c r="K9" s="8" t="n">
        <v>7142664.2</v>
      </c>
      <c r="L9" s="8" t="n">
        <v>8410787.199999999</v>
      </c>
      <c r="M9" s="8" t="n">
        <v>8386902.7</v>
      </c>
      <c r="N9" s="8" t="n">
        <v>8213712</v>
      </c>
      <c r="O9" s="8" t="n">
        <v>8598210.6</v>
      </c>
      <c r="P9" s="8" t="n">
        <v>10314229.8</v>
      </c>
      <c r="Q9" s="8" t="n">
        <v>7582091</v>
      </c>
      <c r="R9" s="8" t="n">
        <v>4169294.6</v>
      </c>
      <c r="S9" s="8" t="n">
        <v>4941329.9</v>
      </c>
      <c r="T9" s="8" t="n">
        <v>8013076.6</v>
      </c>
      <c r="U9" s="8" t="n">
        <v>8406328.800000001</v>
      </c>
      <c r="V9" s="8" t="n">
        <v>10463520.5</v>
      </c>
      <c r="W9" s="8" t="n">
        <v>7840599.1</v>
      </c>
      <c r="X9" s="8" t="n">
        <v>9801126.199999999</v>
      </c>
      <c r="Y9" s="8" t="n">
        <v>12791664.3</v>
      </c>
      <c r="Z9" s="8" t="n">
        <v>7015840.1</v>
      </c>
      <c r="AA9" s="8" t="n">
        <v>1909133.9</v>
      </c>
      <c r="AB9" s="8" t="n">
        <v>2555048.3</v>
      </c>
      <c r="AC9" s="8" t="n">
        <v>7695636.7</v>
      </c>
      <c r="AD9" s="8" t="n">
        <v>11234777.9</v>
      </c>
      <c r="AE9" s="8" t="n">
        <v>12231686.4</v>
      </c>
      <c r="AF9" s="8" t="n">
        <v>8236257.6</v>
      </c>
      <c r="AG9" s="8" t="n">
        <v>6007385.7</v>
      </c>
      <c r="AH9" s="8" t="n">
        <v>7952075.5</v>
      </c>
      <c r="AI9" s="8" t="n">
        <v>7502749.2</v>
      </c>
      <c r="AJ9" s="8" t="n">
        <v>3325197.6</v>
      </c>
      <c r="AK9" s="8" t="n">
        <v>3557782.3</v>
      </c>
    </row>
    <row r="11">
      <c r="A11" s="2" t="inlineStr">
        <is>
          <t>区域</t>
        </is>
      </c>
      <c r="B11" s="2" t="inlineStr">
        <is>
          <t>1月</t>
        </is>
      </c>
      <c r="E11" s="2" t="inlineStr">
        <is>
          <t>2月</t>
        </is>
      </c>
      <c r="H11" s="2" t="inlineStr">
        <is>
          <t>3月</t>
        </is>
      </c>
      <c r="K11" s="2" t="inlineStr">
        <is>
          <t>4月</t>
        </is>
      </c>
      <c r="N11" s="2" t="inlineStr">
        <is>
          <t>5月</t>
        </is>
      </c>
      <c r="Q11" s="2" t="inlineStr">
        <is>
          <t>6月</t>
        </is>
      </c>
      <c r="T11" s="2" t="inlineStr">
        <is>
          <t>7月</t>
        </is>
      </c>
      <c r="W11" s="2" t="inlineStr">
        <is>
          <t>8月</t>
        </is>
      </c>
      <c r="Z11" s="2" t="inlineStr">
        <is>
          <t>9月</t>
        </is>
      </c>
      <c r="AC11" s="2" t="inlineStr">
        <is>
          <t>10月</t>
        </is>
      </c>
      <c r="AF11" s="2" t="inlineStr">
        <is>
          <t>11月</t>
        </is>
      </c>
      <c r="AI11" s="2" t="inlineStr">
        <is>
          <t>12月</t>
        </is>
      </c>
    </row>
    <row r="12">
      <c r="A12" s="4" t="n"/>
      <c r="B12" s="2" t="inlineStr">
        <is>
          <t>预算净利</t>
        </is>
      </c>
      <c r="C12" s="2" t="inlineStr">
        <is>
          <t>24年同期实际</t>
        </is>
      </c>
      <c r="D12" s="2" t="inlineStr">
        <is>
          <t>实际净利</t>
        </is>
      </c>
      <c r="E12" s="2" t="inlineStr">
        <is>
          <t>预算净利</t>
        </is>
      </c>
      <c r="F12" s="2" t="inlineStr">
        <is>
          <t>24年同期实际</t>
        </is>
      </c>
      <c r="G12" s="2" t="inlineStr">
        <is>
          <t>实际净利</t>
        </is>
      </c>
      <c r="H12" s="2" t="inlineStr">
        <is>
          <t>预算净利</t>
        </is>
      </c>
      <c r="I12" s="2" t="inlineStr">
        <is>
          <t>24年同期实际</t>
        </is>
      </c>
      <c r="J12" s="2" t="inlineStr">
        <is>
          <t>实际净利</t>
        </is>
      </c>
      <c r="K12" s="2" t="inlineStr">
        <is>
          <t>预算净利</t>
        </is>
      </c>
      <c r="L12" s="2" t="inlineStr">
        <is>
          <t>24年同期实际</t>
        </is>
      </c>
      <c r="M12" s="2" t="inlineStr">
        <is>
          <t>实际净利</t>
        </is>
      </c>
      <c r="N12" s="2" t="inlineStr">
        <is>
          <t>预算净利</t>
        </is>
      </c>
      <c r="O12" s="2" t="inlineStr">
        <is>
          <t>24年同期实际</t>
        </is>
      </c>
      <c r="P12" s="2" t="inlineStr">
        <is>
          <t>实际净利</t>
        </is>
      </c>
      <c r="Q12" s="2" t="inlineStr">
        <is>
          <t>预算净利</t>
        </is>
      </c>
      <c r="R12" s="2" t="inlineStr">
        <is>
          <t>24年同期实际</t>
        </is>
      </c>
      <c r="S12" s="2" t="inlineStr">
        <is>
          <t>实际净利</t>
        </is>
      </c>
      <c r="T12" s="2" t="inlineStr">
        <is>
          <t>预算净利</t>
        </is>
      </c>
      <c r="U12" s="2" t="inlineStr">
        <is>
          <t>24年同期实际</t>
        </is>
      </c>
      <c r="V12" s="2" t="inlineStr">
        <is>
          <t>实际净利</t>
        </is>
      </c>
      <c r="W12" s="2" t="inlineStr">
        <is>
          <t>预算净利</t>
        </is>
      </c>
      <c r="X12" s="2" t="inlineStr">
        <is>
          <t>24年同期实际</t>
        </is>
      </c>
      <c r="Y12" s="2" t="inlineStr">
        <is>
          <t>实际净利</t>
        </is>
      </c>
      <c r="Z12" s="2" t="inlineStr">
        <is>
          <t>预算净利</t>
        </is>
      </c>
      <c r="AA12" s="2" t="inlineStr">
        <is>
          <t>24年同期实际</t>
        </is>
      </c>
      <c r="AB12" s="2" t="inlineStr">
        <is>
          <t>实际净利</t>
        </is>
      </c>
      <c r="AC12" s="2" t="inlineStr">
        <is>
          <t>预算净利</t>
        </is>
      </c>
      <c r="AD12" s="2" t="inlineStr">
        <is>
          <t>24年同期实际</t>
        </is>
      </c>
      <c r="AE12" s="2" t="inlineStr">
        <is>
          <t>实际净利</t>
        </is>
      </c>
      <c r="AF12" s="2" t="inlineStr">
        <is>
          <t>预算净利</t>
        </is>
      </c>
      <c r="AG12" s="2" t="inlineStr">
        <is>
          <t>24年同期实际</t>
        </is>
      </c>
      <c r="AH12" s="2" t="inlineStr">
        <is>
          <t>实际净利</t>
        </is>
      </c>
      <c r="AI12" s="2" t="inlineStr">
        <is>
          <t>预算净利</t>
        </is>
      </c>
      <c r="AJ12" s="2" t="inlineStr">
        <is>
          <t>24年同期实际</t>
        </is>
      </c>
      <c r="AK12" s="2" t="inlineStr">
        <is>
          <t>实际净利</t>
        </is>
      </c>
    </row>
    <row r="13">
      <c r="A13" s="6" t="inlineStr">
        <is>
          <t>江苏区域</t>
        </is>
      </c>
      <c r="B13" s="7" t="n">
        <v>120416.4</v>
      </c>
      <c r="C13" s="7" t="n">
        <v>46983.7</v>
      </c>
      <c r="D13" s="7" t="n">
        <v>36443.3</v>
      </c>
      <c r="E13" s="7" t="n">
        <v>140756</v>
      </c>
      <c r="F13" s="7" t="n">
        <v>247766.4</v>
      </c>
      <c r="G13" s="7" t="n">
        <v>215955.1</v>
      </c>
      <c r="H13" s="7" t="n">
        <v>82790.39999999999</v>
      </c>
      <c r="I13" s="7" t="n">
        <v>68588.60000000001</v>
      </c>
      <c r="J13" s="7" t="n">
        <v>121200.1</v>
      </c>
      <c r="K13" s="7" t="n">
        <v>102698.2</v>
      </c>
      <c r="L13" s="7" t="n">
        <v>36275</v>
      </c>
      <c r="M13" s="7" t="n">
        <v>61017</v>
      </c>
      <c r="N13" s="7" t="n">
        <v>98554.5</v>
      </c>
      <c r="O13" s="7" t="n">
        <v>243230</v>
      </c>
      <c r="P13" s="7" t="n">
        <v>206410.6</v>
      </c>
      <c r="Q13" s="7" t="n">
        <v>132739.7</v>
      </c>
      <c r="R13" s="7" t="n">
        <v>87926.89999999999</v>
      </c>
      <c r="S13" s="7" t="n">
        <v>112130.7</v>
      </c>
      <c r="T13" s="7" t="n">
        <v>92622.39999999999</v>
      </c>
      <c r="U13" s="7" t="n">
        <v>133278.4</v>
      </c>
      <c r="V13" s="7" t="n">
        <v>108911.3</v>
      </c>
      <c r="W13" s="7" t="n">
        <v>88797.39999999999</v>
      </c>
      <c r="X13" s="7" t="n">
        <v>83545.3</v>
      </c>
      <c r="Y13" s="7" t="n">
        <v>72235.8</v>
      </c>
      <c r="Z13" s="7" t="n">
        <v>105708.1</v>
      </c>
      <c r="AA13" s="7" t="n">
        <v>0</v>
      </c>
      <c r="AB13" s="7" t="n">
        <v>0</v>
      </c>
      <c r="AC13" s="7" t="n">
        <v>103958.7</v>
      </c>
      <c r="AD13" s="7" t="n">
        <v>294234.6</v>
      </c>
      <c r="AE13" s="7" t="n">
        <v>214256.9</v>
      </c>
      <c r="AF13" s="7" t="n">
        <v>94578.39999999999</v>
      </c>
      <c r="AG13" s="7" t="n">
        <v>124171.4</v>
      </c>
      <c r="AH13" s="7" t="n">
        <v>149000.6</v>
      </c>
      <c r="AI13" s="7" t="n">
        <v>92697.60000000001</v>
      </c>
      <c r="AJ13" s="7" t="n">
        <v>12224.2</v>
      </c>
      <c r="AK13" s="7" t="n">
        <v>11290.1</v>
      </c>
    </row>
    <row r="14">
      <c r="A14" s="6" t="inlineStr">
        <is>
          <t>浙江区域</t>
        </is>
      </c>
      <c r="B14" s="7" t="n">
        <v>187990.4</v>
      </c>
      <c r="C14" s="7" t="n">
        <v>118798.4</v>
      </c>
      <c r="D14" s="7" t="n">
        <v>185209.1</v>
      </c>
      <c r="E14" s="7" t="n">
        <v>151857.3</v>
      </c>
      <c r="F14" s="7" t="n">
        <v>167416.1</v>
      </c>
      <c r="G14" s="7" t="n">
        <v>197001.6</v>
      </c>
      <c r="H14" s="7" t="n">
        <v>224831.9</v>
      </c>
      <c r="I14" s="7" t="n">
        <v>329345.1</v>
      </c>
      <c r="J14" s="7" t="n">
        <v>224395.9</v>
      </c>
      <c r="K14" s="7" t="n">
        <v>183812.6</v>
      </c>
      <c r="L14" s="7" t="n">
        <v>437714.1</v>
      </c>
      <c r="M14" s="7" t="n">
        <v>365224.4</v>
      </c>
      <c r="N14" s="7" t="n">
        <v>181812.9</v>
      </c>
      <c r="O14" s="7" t="n">
        <v>139095.9</v>
      </c>
      <c r="P14" s="7" t="n">
        <v>155944.5</v>
      </c>
      <c r="Q14" s="7" t="n">
        <v>247399.4</v>
      </c>
      <c r="R14" s="7" t="n">
        <v>0</v>
      </c>
      <c r="S14" s="7" t="n">
        <v>0</v>
      </c>
      <c r="T14" s="7" t="n">
        <v>231649.2</v>
      </c>
      <c r="U14" s="7" t="n">
        <v>87252.7</v>
      </c>
      <c r="V14" s="7" t="n">
        <v>60676.3</v>
      </c>
      <c r="W14" s="7" t="n">
        <v>180143.7</v>
      </c>
      <c r="X14" s="7" t="n">
        <v>443293.4</v>
      </c>
      <c r="Y14" s="7" t="n">
        <v>547558.4</v>
      </c>
      <c r="Z14" s="7" t="n">
        <v>181244.2</v>
      </c>
      <c r="AA14" s="7" t="n">
        <v>84777.8</v>
      </c>
      <c r="AB14" s="7" t="n">
        <v>96703.3</v>
      </c>
      <c r="AC14" s="7" t="n">
        <v>193414.6</v>
      </c>
      <c r="AD14" s="7" t="n">
        <v>420153.4</v>
      </c>
      <c r="AE14" s="7" t="n">
        <v>325281.2</v>
      </c>
      <c r="AF14" s="7" t="n">
        <v>192678.7</v>
      </c>
      <c r="AG14" s="7" t="n">
        <v>282456.9</v>
      </c>
      <c r="AH14" s="7" t="n">
        <v>215093</v>
      </c>
      <c r="AI14" s="7" t="n">
        <v>179570.6</v>
      </c>
      <c r="AJ14" s="7" t="n">
        <v>96976.2</v>
      </c>
      <c r="AK14" s="7" t="n">
        <v>82877.39999999999</v>
      </c>
    </row>
    <row r="15">
      <c r="A15" s="6" t="inlineStr">
        <is>
          <t>广东区域</t>
        </is>
      </c>
      <c r="B15" s="7" t="n">
        <v>87691.7</v>
      </c>
      <c r="C15" s="7" t="n">
        <v>90877.3</v>
      </c>
      <c r="D15" s="7" t="n">
        <v>68382.3</v>
      </c>
      <c r="E15" s="7" t="n">
        <v>74287.2</v>
      </c>
      <c r="F15" s="7" t="n">
        <v>18660</v>
      </c>
      <c r="G15" s="7" t="n">
        <v>15063.3</v>
      </c>
      <c r="H15" s="7" t="n">
        <v>82247.5</v>
      </c>
      <c r="I15" s="7" t="n">
        <v>133281</v>
      </c>
      <c r="J15" s="7" t="n">
        <v>112434.1</v>
      </c>
      <c r="K15" s="7" t="n">
        <v>77243.5</v>
      </c>
      <c r="L15" s="7" t="n">
        <v>110863.8</v>
      </c>
      <c r="M15" s="7" t="n">
        <v>108013</v>
      </c>
      <c r="N15" s="7" t="n">
        <v>66039.3</v>
      </c>
      <c r="O15" s="7" t="n">
        <v>63999.5</v>
      </c>
      <c r="P15" s="7" t="n">
        <v>55844.8</v>
      </c>
      <c r="Q15" s="7" t="n">
        <v>78335.3</v>
      </c>
      <c r="R15" s="7" t="n">
        <v>58165.8</v>
      </c>
      <c r="S15" s="7" t="n">
        <v>62990.5</v>
      </c>
      <c r="T15" s="7" t="n">
        <v>87884.89999999999</v>
      </c>
      <c r="U15" s="7" t="n">
        <v>83130.60000000001</v>
      </c>
      <c r="V15" s="7" t="n">
        <v>96458.5</v>
      </c>
      <c r="W15" s="7" t="n">
        <v>59221.5</v>
      </c>
      <c r="X15" s="7" t="n">
        <v>61141.1</v>
      </c>
      <c r="Y15" s="7" t="n">
        <v>70880.2</v>
      </c>
      <c r="Z15" s="7" t="n">
        <v>81402.10000000001</v>
      </c>
      <c r="AA15" s="7" t="n">
        <v>20263.6</v>
      </c>
      <c r="AB15" s="7" t="n">
        <v>29787.9</v>
      </c>
      <c r="AC15" s="7" t="n">
        <v>70271.89999999999</v>
      </c>
      <c r="AD15" s="7" t="n">
        <v>86219.60000000001</v>
      </c>
      <c r="AE15" s="7" t="n">
        <v>120723.2</v>
      </c>
      <c r="AF15" s="7" t="n">
        <v>68018.2</v>
      </c>
      <c r="AG15" s="7" t="n">
        <v>113458.8</v>
      </c>
      <c r="AH15" s="7" t="n">
        <v>78373.5</v>
      </c>
      <c r="AI15" s="7" t="n">
        <v>66042.89999999999</v>
      </c>
      <c r="AJ15" s="7" t="n">
        <v>5355.6</v>
      </c>
      <c r="AK15" s="7" t="n">
        <v>5430.2</v>
      </c>
    </row>
    <row r="16">
      <c r="A16" s="6" t="inlineStr">
        <is>
          <t>华中区域</t>
        </is>
      </c>
      <c r="B16" s="7" t="n">
        <v>199696.7</v>
      </c>
      <c r="C16" s="7" t="n">
        <v>77194.3</v>
      </c>
      <c r="D16" s="7" t="n">
        <v>106248.8</v>
      </c>
      <c r="E16" s="7" t="n">
        <v>186090</v>
      </c>
      <c r="F16" s="7" t="n">
        <v>8823.5</v>
      </c>
      <c r="G16" s="7" t="n">
        <v>13839.4</v>
      </c>
      <c r="H16" s="7" t="n">
        <v>200065</v>
      </c>
      <c r="I16" s="7" t="n">
        <v>42475.6</v>
      </c>
      <c r="J16" s="7" t="n">
        <v>73593.5</v>
      </c>
      <c r="K16" s="7" t="n">
        <v>142284.8</v>
      </c>
      <c r="L16" s="7" t="n">
        <v>260579.3</v>
      </c>
      <c r="M16" s="7" t="n">
        <v>193821.6</v>
      </c>
      <c r="N16" s="7" t="n">
        <v>178178.5</v>
      </c>
      <c r="O16" s="7" t="n">
        <v>135498.6</v>
      </c>
      <c r="P16" s="7" t="n">
        <v>225402.5</v>
      </c>
      <c r="Q16" s="7" t="n">
        <v>217477.2</v>
      </c>
      <c r="R16" s="7" t="n">
        <v>253965</v>
      </c>
      <c r="S16" s="7" t="n">
        <v>199834.8</v>
      </c>
      <c r="T16" s="7" t="n">
        <v>166641.4</v>
      </c>
      <c r="U16" s="7" t="n">
        <v>466086.9</v>
      </c>
      <c r="V16" s="7" t="n">
        <v>349097.4</v>
      </c>
      <c r="W16" s="7" t="n">
        <v>193653.9</v>
      </c>
      <c r="X16" s="7" t="n">
        <v>531461.9</v>
      </c>
      <c r="Y16" s="7" t="n">
        <v>384092.5</v>
      </c>
      <c r="Z16" s="7" t="n">
        <v>133756.2</v>
      </c>
      <c r="AA16" s="7" t="n">
        <v>26728</v>
      </c>
      <c r="AB16" s="7" t="n">
        <v>49703.7</v>
      </c>
      <c r="AC16" s="7" t="n">
        <v>222199.3</v>
      </c>
      <c r="AD16" s="7" t="n">
        <v>209040.5</v>
      </c>
      <c r="AE16" s="7" t="n">
        <v>249820</v>
      </c>
      <c r="AF16" s="7" t="n">
        <v>184372.8</v>
      </c>
      <c r="AG16" s="7" t="n">
        <v>130447.3</v>
      </c>
      <c r="AH16" s="7" t="n">
        <v>103013.9</v>
      </c>
      <c r="AI16" s="7" t="n">
        <v>145996</v>
      </c>
      <c r="AJ16" s="7" t="n">
        <v>80989.8</v>
      </c>
      <c r="AK16" s="7" t="n">
        <v>128341.6</v>
      </c>
    </row>
    <row r="17">
      <c r="A17" s="6" t="inlineStr">
        <is>
          <t>华东事总监费用</t>
        </is>
      </c>
      <c r="B17" s="7" t="n">
        <v>-23635.8</v>
      </c>
      <c r="C17" s="7" t="n">
        <v>-35242.1</v>
      </c>
      <c r="D17" s="7" t="n">
        <v>-40197.7</v>
      </c>
      <c r="E17" s="7" t="n">
        <v>-23061.4</v>
      </c>
      <c r="F17" s="7" t="n">
        <v>-9637.5</v>
      </c>
      <c r="G17" s="7" t="n">
        <v>-14552.7</v>
      </c>
      <c r="H17" s="7" t="n">
        <v>-23979.6</v>
      </c>
      <c r="I17" s="7" t="n">
        <v>-36207.9</v>
      </c>
      <c r="J17" s="7" t="n">
        <v>-27196.5</v>
      </c>
      <c r="K17" s="7" t="n">
        <v>-24543.3</v>
      </c>
      <c r="L17" s="7" t="n">
        <v>-27112.4</v>
      </c>
      <c r="M17" s="7" t="n">
        <v>-21329.9</v>
      </c>
      <c r="N17" s="7" t="n">
        <v>-22056</v>
      </c>
      <c r="O17" s="7" t="n">
        <v>-48617.2</v>
      </c>
      <c r="P17" s="7" t="n">
        <v>-37139.5</v>
      </c>
      <c r="Q17" s="7" t="n">
        <v>-27795.3</v>
      </c>
      <c r="R17" s="7" t="n">
        <v>-19610.3</v>
      </c>
      <c r="S17" s="7" t="n">
        <v>-29465.3</v>
      </c>
      <c r="T17" s="7" t="n">
        <v>-23359.9</v>
      </c>
      <c r="U17" s="7" t="n">
        <v>-34398.8</v>
      </c>
      <c r="V17" s="7" t="n">
        <v>-36685.3</v>
      </c>
      <c r="W17" s="7" t="n">
        <v>-24947.6</v>
      </c>
      <c r="X17" s="7" t="n">
        <v>-10763.3</v>
      </c>
      <c r="Y17" s="7" t="n">
        <v>-11816.7</v>
      </c>
      <c r="Z17" s="7" t="n">
        <v>-27458.8</v>
      </c>
      <c r="AA17" s="7" t="n">
        <v>-30362.5</v>
      </c>
      <c r="AB17" s="7" t="n">
        <v>-25810.5</v>
      </c>
      <c r="AC17" s="7" t="n">
        <v>-25879.7</v>
      </c>
      <c r="AD17" s="7" t="n">
        <v>-25056.1</v>
      </c>
      <c r="AE17" s="7" t="n">
        <v>-33973</v>
      </c>
      <c r="AF17" s="7" t="n">
        <v>-28465.5</v>
      </c>
      <c r="AG17" s="7" t="n">
        <v>-9732.299999999999</v>
      </c>
      <c r="AH17" s="7" t="n">
        <v>-10307.5</v>
      </c>
      <c r="AI17" s="7" t="n">
        <v>-28254.7</v>
      </c>
      <c r="AJ17" s="7" t="n">
        <v>-17313</v>
      </c>
      <c r="AK17" s="7" t="n">
        <v>-22056.8</v>
      </c>
    </row>
    <row r="18">
      <c r="A18" s="6" t="inlineStr">
        <is>
          <t>合计</t>
        </is>
      </c>
      <c r="B18" s="8" t="n">
        <v>572159.4</v>
      </c>
      <c r="C18" s="8" t="n">
        <v>298611.6</v>
      </c>
      <c r="D18" s="8" t="n">
        <v>356085.8</v>
      </c>
      <c r="E18" s="8" t="n">
        <v>529929.1</v>
      </c>
      <c r="F18" s="8" t="n">
        <v>433028.5</v>
      </c>
      <c r="G18" s="8" t="n">
        <v>427306.7</v>
      </c>
      <c r="H18" s="8" t="n">
        <v>565955.2</v>
      </c>
      <c r="I18" s="8" t="n">
        <v>537482.4</v>
      </c>
      <c r="J18" s="8" t="n">
        <v>504427.1</v>
      </c>
      <c r="K18" s="8" t="n">
        <v>481495.8</v>
      </c>
      <c r="L18" s="8" t="n">
        <v>818319.8</v>
      </c>
      <c r="M18" s="8" t="n">
        <v>706746.1</v>
      </c>
      <c r="N18" s="8" t="n">
        <v>502529.2</v>
      </c>
      <c r="O18" s="8" t="n">
        <v>533206.8</v>
      </c>
      <c r="P18" s="8" t="n">
        <v>606462.9</v>
      </c>
      <c r="Q18" s="8" t="n">
        <v>648156.3</v>
      </c>
      <c r="R18" s="8" t="n">
        <v>380447.4</v>
      </c>
      <c r="S18" s="8" t="n">
        <v>345490.7</v>
      </c>
      <c r="T18" s="8" t="n">
        <v>555438</v>
      </c>
      <c r="U18" s="8" t="n">
        <v>735349.8</v>
      </c>
      <c r="V18" s="8" t="n">
        <v>578458.2</v>
      </c>
      <c r="W18" s="8" t="n">
        <v>496868.9</v>
      </c>
      <c r="X18" s="8" t="n">
        <v>1108678.4</v>
      </c>
      <c r="Y18" s="8" t="n">
        <v>1062950.2</v>
      </c>
      <c r="Z18" s="8" t="n">
        <v>474651.8</v>
      </c>
      <c r="AA18" s="8" t="n">
        <v>101406.9</v>
      </c>
      <c r="AB18" s="8" t="n">
        <v>150384.4</v>
      </c>
      <c r="AC18" s="8" t="n">
        <v>563964.8</v>
      </c>
      <c r="AD18" s="8" t="n">
        <v>984592</v>
      </c>
      <c r="AE18" s="8" t="n">
        <v>876108.3</v>
      </c>
      <c r="AF18" s="8" t="n">
        <v>511182.6</v>
      </c>
      <c r="AG18" s="8" t="n">
        <v>640802.1</v>
      </c>
      <c r="AH18" s="8" t="n">
        <v>535173.5</v>
      </c>
      <c r="AI18" s="8" t="n">
        <v>456052.4</v>
      </c>
      <c r="AJ18" s="8" t="n">
        <v>178232.8</v>
      </c>
      <c r="AK18" s="8" t="n">
        <v>205882.5</v>
      </c>
    </row>
    <row r="19">
      <c r="A19" t="inlineStr">
        <is>
          <t>备注：</t>
        </is>
      </c>
    </row>
    <row r="20">
      <c r="A20" t="inlineStr">
        <is>
          <t>本表收入为扣除返利后收入，利润为分红前利润</t>
        </is>
      </c>
    </row>
    <row r="21">
      <c r="A21" t="inlineStr">
        <is>
          <t>编制说明：</t>
        </is>
      </c>
    </row>
  </sheetData>
  <mergeCells count="25">
    <mergeCell ref="B11:D11"/>
    <mergeCell ref="N2:P2"/>
    <mergeCell ref="AI11:AK11"/>
    <mergeCell ref="H2:J2"/>
    <mergeCell ref="H11:J11"/>
    <mergeCell ref="T11:V11"/>
    <mergeCell ref="T2:V2"/>
    <mergeCell ref="Z2:AB2"/>
    <mergeCell ref="E2:G2"/>
    <mergeCell ref="K2:M2"/>
    <mergeCell ref="AF11:AH11"/>
    <mergeCell ref="E11:G11"/>
    <mergeCell ref="AF2:AH2"/>
    <mergeCell ref="A1:AL1"/>
    <mergeCell ref="B2:D2"/>
    <mergeCell ref="W11:Y11"/>
    <mergeCell ref="Q2:S2"/>
    <mergeCell ref="W2:Y2"/>
    <mergeCell ref="AI2:AK2"/>
    <mergeCell ref="Q11:S11"/>
    <mergeCell ref="AC11:AE11"/>
    <mergeCell ref="AC2:AE2"/>
    <mergeCell ref="N11:P11"/>
    <mergeCell ref="Z11:AB11"/>
    <mergeCell ref="K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精密重工华东事业部利润表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6683034.7</v>
      </c>
      <c r="D6" s="7" t="n">
        <v>5769071.6</v>
      </c>
      <c r="E6" s="7" t="n">
        <v>8499480.6</v>
      </c>
      <c r="F6" s="7" t="n">
        <v>5363512.2</v>
      </c>
      <c r="G6" s="7" t="n">
        <v>6614550.1</v>
      </c>
      <c r="H6" s="7" t="n">
        <v>7752070.3</v>
      </c>
      <c r="I6" s="7" t="n">
        <v>6560355.6</v>
      </c>
      <c r="J6" s="7" t="n">
        <v>8366814.8</v>
      </c>
      <c r="K6" s="7" t="n">
        <v>8636108.300000001</v>
      </c>
      <c r="L6" s="7" t="n">
        <v>10172805.7</v>
      </c>
      <c r="M6" s="7" t="n">
        <v>8500275.699999999</v>
      </c>
      <c r="N6" s="7" t="n">
        <v>4830267</v>
      </c>
      <c r="O6" s="7" t="n">
        <v>7841610.1</v>
      </c>
      <c r="P6" s="7" t="n">
        <v>10200549.9</v>
      </c>
      <c r="Q6" s="7" t="n">
        <v>7836182.8</v>
      </c>
      <c r="R6" s="7" t="n">
        <v>12721913.5</v>
      </c>
      <c r="S6" s="7" t="n">
        <v>8149239</v>
      </c>
      <c r="T6" s="7" t="n">
        <v>2500252.1</v>
      </c>
      <c r="U6" s="7" t="n">
        <v>7478027.8</v>
      </c>
      <c r="V6" s="7" t="n">
        <v>11970860.6</v>
      </c>
      <c r="W6" s="7" t="n">
        <v>6782168.6</v>
      </c>
      <c r="X6" s="7" t="n">
        <v>7805314.1</v>
      </c>
      <c r="Y6" s="7" t="n">
        <v>6565220.6</v>
      </c>
      <c r="Z6" s="7" t="n">
        <v>3540259.8</v>
      </c>
      <c r="AA6" s="8" t="n">
        <v>90146253.90000001</v>
      </c>
      <c r="AB6" s="8" t="n">
        <v>90993691.59999999</v>
      </c>
    </row>
    <row r="7">
      <c r="A7" s="4" t="inlineStr">
        <is>
          <t>数控机床</t>
        </is>
      </c>
      <c r="D7" s="7" t="n">
        <v>1170899.3</v>
      </c>
      <c r="F7" s="7" t="n">
        <v>1062050.3</v>
      </c>
      <c r="H7" s="7" t="n">
        <v>1113868.6</v>
      </c>
      <c r="J7" s="7" t="n">
        <v>1097285.2</v>
      </c>
      <c r="L7" s="7" t="n">
        <v>812009.2</v>
      </c>
      <c r="N7" s="7" t="n">
        <v>0</v>
      </c>
      <c r="P7" s="7" t="n">
        <v>285546.5</v>
      </c>
      <c r="R7" s="7" t="n">
        <v>1105546.8</v>
      </c>
      <c r="T7" s="7" t="n">
        <v>0</v>
      </c>
      <c r="V7" s="7" t="n">
        <v>1478356.5</v>
      </c>
      <c r="X7" s="7" t="n">
        <v>1020139.2</v>
      </c>
      <c r="Z7" s="7" t="n">
        <v>590815.8</v>
      </c>
      <c r="AB7" s="7" t="n">
        <v>9736517.4</v>
      </c>
    </row>
    <row r="8">
      <c r="A8" s="4" t="inlineStr">
        <is>
          <t>精密轴承</t>
        </is>
      </c>
      <c r="D8" s="7" t="n">
        <v>1203918.2</v>
      </c>
      <c r="F8" s="7" t="n">
        <v>679337.6</v>
      </c>
      <c r="H8" s="7" t="n">
        <v>988308.6000000001</v>
      </c>
      <c r="J8" s="7" t="n">
        <v>665090.4</v>
      </c>
      <c r="L8" s="7" t="n">
        <v>889619.8</v>
      </c>
      <c r="N8" s="7" t="n">
        <v>350566.7</v>
      </c>
      <c r="P8" s="7" t="n">
        <v>1618741.4</v>
      </c>
      <c r="R8" s="7" t="n">
        <v>235801.9</v>
      </c>
      <c r="T8" s="7" t="n">
        <v>0</v>
      </c>
      <c r="V8" s="7" t="n">
        <v>2011809</v>
      </c>
      <c r="X8" s="7" t="n">
        <v>1131050.9</v>
      </c>
      <c r="Z8" s="7" t="n">
        <v>1132841.6</v>
      </c>
      <c r="AB8" s="7" t="n">
        <v>10907086.1</v>
      </c>
    </row>
    <row r="9">
      <c r="A9" s="4" t="inlineStr">
        <is>
          <t>液压件</t>
        </is>
      </c>
      <c r="D9" s="7" t="n">
        <v>419462</v>
      </c>
      <c r="F9" s="7" t="n">
        <v>934125.6</v>
      </c>
      <c r="H9" s="7" t="n">
        <v>636383.8</v>
      </c>
      <c r="J9" s="7" t="n">
        <v>1406412.2</v>
      </c>
      <c r="L9" s="7" t="n">
        <v>2868588.1</v>
      </c>
      <c r="N9" s="7" t="n">
        <v>2683677.9</v>
      </c>
      <c r="P9" s="7" t="n">
        <v>2567364.4</v>
      </c>
      <c r="R9" s="7" t="n">
        <v>2205584.6</v>
      </c>
      <c r="T9" s="7" t="n">
        <v>312633.4</v>
      </c>
      <c r="V9" s="7" t="n">
        <v>1411876.2</v>
      </c>
      <c r="X9" s="7" t="n">
        <v>1419956.8</v>
      </c>
      <c r="Z9" s="7" t="n">
        <v>1408186.2</v>
      </c>
      <c r="AB9" s="7" t="n">
        <v>18274251.2</v>
      </c>
    </row>
    <row r="10">
      <c r="A10" s="4" t="inlineStr">
        <is>
          <t>气动元件</t>
        </is>
      </c>
      <c r="D10" s="7" t="n">
        <v>382820.6</v>
      </c>
      <c r="F10" s="7" t="n">
        <v>866944.3</v>
      </c>
      <c r="H10" s="7" t="n">
        <v>1037375</v>
      </c>
      <c r="J10" s="7" t="n">
        <v>191071.4</v>
      </c>
      <c r="L10" s="7" t="n">
        <v>2126650.2</v>
      </c>
      <c r="N10" s="7" t="n">
        <v>0</v>
      </c>
      <c r="P10" s="7" t="n">
        <v>257175.3</v>
      </c>
      <c r="R10" s="7" t="n">
        <v>2522653.2</v>
      </c>
      <c r="T10" s="7" t="n">
        <v>0</v>
      </c>
      <c r="V10" s="7" t="n">
        <v>2124965.4</v>
      </c>
      <c r="X10" s="7" t="n">
        <v>2050136</v>
      </c>
      <c r="Z10" s="7" t="n">
        <v>0</v>
      </c>
      <c r="AB10" s="7" t="n">
        <v>11559791.4</v>
      </c>
    </row>
    <row r="11">
      <c r="A11" s="4" t="inlineStr">
        <is>
          <t>模具</t>
        </is>
      </c>
      <c r="D11" s="7" t="n">
        <v>825489.2</v>
      </c>
      <c r="F11" s="7" t="n">
        <v>561722.7</v>
      </c>
      <c r="H11" s="7" t="n">
        <v>2288250.8</v>
      </c>
      <c r="J11" s="7" t="n">
        <v>2542850.9</v>
      </c>
      <c r="L11" s="7" t="n">
        <v>1201251.8</v>
      </c>
      <c r="N11" s="7" t="n">
        <v>1133555.1</v>
      </c>
      <c r="P11" s="7" t="n">
        <v>5193236</v>
      </c>
      <c r="R11" s="7" t="n">
        <v>4133498.2</v>
      </c>
      <c r="T11" s="7" t="n">
        <v>237739</v>
      </c>
      <c r="V11" s="7" t="n">
        <v>3681842.3</v>
      </c>
      <c r="X11" s="7" t="n">
        <v>2068587.8</v>
      </c>
      <c r="Z11" s="7" t="n">
        <v>0</v>
      </c>
      <c r="AB11" s="7" t="n">
        <v>23868023.8</v>
      </c>
    </row>
    <row r="12">
      <c r="A12" s="4" t="inlineStr">
        <is>
          <t>工装夹具</t>
        </is>
      </c>
      <c r="D12" s="7" t="n">
        <v>1868243.1</v>
      </c>
      <c r="F12" s="7" t="n">
        <v>1304927.1</v>
      </c>
      <c r="H12" s="7" t="n">
        <v>1698400.7</v>
      </c>
      <c r="J12" s="7" t="n">
        <v>2462862.7</v>
      </c>
      <c r="L12" s="7" t="n">
        <v>2378971.2</v>
      </c>
      <c r="N12" s="7" t="n">
        <v>744064.9</v>
      </c>
      <c r="P12" s="7" t="n">
        <v>504771.6</v>
      </c>
      <c r="R12" s="7" t="n">
        <v>2576762.9</v>
      </c>
      <c r="T12" s="7" t="n">
        <v>1978865.4</v>
      </c>
      <c r="V12" s="7" t="n">
        <v>1488864</v>
      </c>
      <c r="X12" s="7" t="n">
        <v>251897.3</v>
      </c>
      <c r="Z12" s="7" t="n">
        <v>403881.9</v>
      </c>
      <c r="AB12" s="7" t="n">
        <v>17662512.8</v>
      </c>
    </row>
    <row r="13">
      <c r="A13" s="4" t="inlineStr">
        <is>
          <t>返利</t>
        </is>
      </c>
      <c r="D13" s="7" t="n">
        <v>-146599</v>
      </c>
      <c r="F13" s="7" t="n">
        <v>-102657.1</v>
      </c>
      <c r="H13" s="7" t="n">
        <v>-160532</v>
      </c>
      <c r="J13" s="7" t="n">
        <v>-135433.3</v>
      </c>
      <c r="L13" s="7" t="n">
        <v>-268976.9</v>
      </c>
      <c r="N13" s="7" t="n">
        <v>-95193.5</v>
      </c>
      <c r="P13" s="7" t="n">
        <v>-278420.1</v>
      </c>
      <c r="R13" s="7" t="n">
        <v>-221817.5</v>
      </c>
      <c r="T13" s="7" t="n">
        <v>-73202.7</v>
      </c>
      <c r="V13" s="7" t="n">
        <v>-362135.4</v>
      </c>
      <c r="X13" s="7" t="n">
        <v>-152748.8</v>
      </c>
      <c r="Z13" s="7" t="n">
        <v>-55282.6</v>
      </c>
      <c r="AB13" s="7" t="n">
        <v>-2052998.9</v>
      </c>
    </row>
    <row r="14">
      <c r="A14" s="4" t="inlineStr">
        <is>
          <t>其他</t>
        </is>
      </c>
      <c r="D14" s="7" t="n">
        <v>44838.2</v>
      </c>
      <c r="F14" s="7" t="n">
        <v>57061.7</v>
      </c>
      <c r="H14" s="7" t="n">
        <v>150014.8</v>
      </c>
      <c r="J14" s="7" t="n">
        <v>136675.3</v>
      </c>
      <c r="L14" s="7" t="n">
        <v>164692.3</v>
      </c>
      <c r="N14" s="7" t="n">
        <v>13595.9</v>
      </c>
      <c r="P14" s="7" t="n">
        <v>52134.8</v>
      </c>
      <c r="R14" s="7" t="n">
        <v>163883.4</v>
      </c>
      <c r="T14" s="7" t="n">
        <v>44217</v>
      </c>
      <c r="V14" s="7" t="n">
        <v>135282.6</v>
      </c>
      <c r="X14" s="7" t="n">
        <v>16294.9</v>
      </c>
      <c r="Z14" s="7" t="n">
        <v>59816.9</v>
      </c>
      <c r="AB14" s="7" t="n">
        <v>1038507.8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4903141.4</v>
      </c>
      <c r="D15" s="7" t="n">
        <v>4332451</v>
      </c>
      <c r="E15" s="7" t="n">
        <v>5665385.4</v>
      </c>
      <c r="F15" s="7" t="n">
        <v>3859895.7</v>
      </c>
      <c r="G15" s="7" t="n">
        <v>5213170.6</v>
      </c>
      <c r="H15" s="7" t="n">
        <v>5743324.2</v>
      </c>
      <c r="I15" s="7" t="n">
        <v>6501973.3</v>
      </c>
      <c r="J15" s="7" t="n">
        <v>6117404.6</v>
      </c>
      <c r="K15" s="7" t="n">
        <v>5449503.6</v>
      </c>
      <c r="L15" s="7" t="n">
        <v>7660833.8</v>
      </c>
      <c r="M15" s="7" t="n">
        <v>4860558.8</v>
      </c>
      <c r="N15" s="7" t="n">
        <v>3626681.5</v>
      </c>
      <c r="O15" s="7" t="n">
        <v>6393773.9</v>
      </c>
      <c r="P15" s="7" t="n">
        <v>7780261</v>
      </c>
      <c r="Q15" s="7" t="n">
        <v>6238098.5</v>
      </c>
      <c r="R15" s="7" t="n">
        <v>9647775.800000001</v>
      </c>
      <c r="S15" s="7" t="n">
        <v>5916698.2</v>
      </c>
      <c r="T15" s="7" t="n">
        <v>1827661.3</v>
      </c>
      <c r="U15" s="7" t="n">
        <v>6156913.1</v>
      </c>
      <c r="V15" s="7" t="n">
        <v>8845475.9</v>
      </c>
      <c r="W15" s="7" t="n">
        <v>5046405.3</v>
      </c>
      <c r="X15" s="7" t="n">
        <v>5771895.1</v>
      </c>
      <c r="Y15" s="7" t="n">
        <v>5299971</v>
      </c>
      <c r="Z15" s="7" t="n">
        <v>2730053.1</v>
      </c>
      <c r="AA15" s="8" t="n">
        <v>67645593.09999999</v>
      </c>
      <c r="AB15" s="8" t="n">
        <v>67943713</v>
      </c>
    </row>
    <row r="16">
      <c r="A16" s="4" t="inlineStr">
        <is>
          <t>数控机床</t>
        </is>
      </c>
      <c r="D16" s="7" t="n">
        <v>798996.1000000001</v>
      </c>
      <c r="F16" s="7" t="n">
        <v>735307.7</v>
      </c>
      <c r="H16" s="7" t="n">
        <v>750875.5</v>
      </c>
      <c r="J16" s="7" t="n">
        <v>730410.5</v>
      </c>
      <c r="L16" s="7" t="n">
        <v>576369.1000000001</v>
      </c>
      <c r="N16" s="7" t="n">
        <v>0</v>
      </c>
      <c r="P16" s="7" t="n">
        <v>208442</v>
      </c>
      <c r="R16" s="7" t="n">
        <v>780288.9</v>
      </c>
      <c r="T16" s="7" t="n">
        <v>0</v>
      </c>
      <c r="V16" s="7" t="n">
        <v>1013198.4</v>
      </c>
      <c r="X16" s="7" t="n">
        <v>679058.1</v>
      </c>
      <c r="Z16" s="7" t="n">
        <v>414946</v>
      </c>
      <c r="AB16" s="7" t="n">
        <v>6687892.3</v>
      </c>
    </row>
    <row r="17">
      <c r="A17" s="4" t="inlineStr">
        <is>
          <t>精密轴承</t>
        </is>
      </c>
      <c r="D17" s="7" t="n">
        <v>895656.5</v>
      </c>
      <c r="F17" s="7" t="n">
        <v>507751</v>
      </c>
      <c r="H17" s="7" t="n">
        <v>733731.7000000001</v>
      </c>
      <c r="J17" s="7" t="n">
        <v>514028.8</v>
      </c>
      <c r="L17" s="7" t="n">
        <v>661185.6</v>
      </c>
      <c r="N17" s="7" t="n">
        <v>241056.7</v>
      </c>
      <c r="P17" s="7" t="n">
        <v>1211638.7</v>
      </c>
      <c r="R17" s="7" t="n">
        <v>176753.6</v>
      </c>
      <c r="T17" s="7" t="n">
        <v>0</v>
      </c>
      <c r="V17" s="7" t="n">
        <v>1505067.8</v>
      </c>
      <c r="X17" s="7" t="n">
        <v>847874.8</v>
      </c>
      <c r="Z17" s="7" t="n">
        <v>847371.3999999999</v>
      </c>
      <c r="AB17" s="7" t="n">
        <v>8142116.6</v>
      </c>
    </row>
    <row r="18">
      <c r="A18" s="4" t="inlineStr">
        <is>
          <t>液压件</t>
        </is>
      </c>
      <c r="D18" s="7" t="n">
        <v>277739.9</v>
      </c>
      <c r="F18" s="7" t="n">
        <v>665628.6</v>
      </c>
      <c r="H18" s="7" t="n">
        <v>419439</v>
      </c>
      <c r="J18" s="7" t="n">
        <v>1028570.9</v>
      </c>
      <c r="L18" s="7" t="n">
        <v>2134120.9</v>
      </c>
      <c r="N18" s="7" t="n">
        <v>1977824</v>
      </c>
      <c r="P18" s="7" t="n">
        <v>1866286</v>
      </c>
      <c r="R18" s="7" t="n">
        <v>1734932.4</v>
      </c>
      <c r="T18" s="7" t="n">
        <v>194741.4</v>
      </c>
      <c r="V18" s="7" t="n">
        <v>997487.5</v>
      </c>
      <c r="X18" s="7" t="n">
        <v>1117586</v>
      </c>
      <c r="Z18" s="7" t="n">
        <v>1107798.5</v>
      </c>
      <c r="AB18" s="7" t="n">
        <v>13522155.1</v>
      </c>
    </row>
    <row r="19">
      <c r="A19" s="4" t="inlineStr">
        <is>
          <t>气动元件</t>
        </is>
      </c>
      <c r="D19" s="7" t="n">
        <v>254452.3</v>
      </c>
      <c r="F19" s="7" t="n">
        <v>547224.6</v>
      </c>
      <c r="H19" s="7" t="n">
        <v>669864.5</v>
      </c>
      <c r="J19" s="7" t="n">
        <v>125309.4</v>
      </c>
      <c r="L19" s="7" t="n">
        <v>1345240.5</v>
      </c>
      <c r="N19" s="7" t="n">
        <v>0</v>
      </c>
      <c r="P19" s="7" t="n">
        <v>196446</v>
      </c>
      <c r="R19" s="7" t="n">
        <v>1619162.6</v>
      </c>
      <c r="T19" s="7" t="n">
        <v>0</v>
      </c>
      <c r="V19" s="7" t="n">
        <v>1336781.1</v>
      </c>
      <c r="X19" s="7" t="n">
        <v>1316041.8</v>
      </c>
      <c r="Z19" s="7" t="n">
        <v>0</v>
      </c>
      <c r="AB19" s="7" t="n">
        <v>7410522.8</v>
      </c>
    </row>
    <row r="20">
      <c r="A20" s="4" t="inlineStr">
        <is>
          <t>模具</t>
        </is>
      </c>
      <c r="D20" s="7" t="n">
        <v>562681.6</v>
      </c>
      <c r="F20" s="7" t="n">
        <v>362277.1</v>
      </c>
      <c r="H20" s="7" t="n">
        <v>1656997.8</v>
      </c>
      <c r="J20" s="7" t="n">
        <v>1795685.1</v>
      </c>
      <c r="L20" s="7" t="n">
        <v>861376.7</v>
      </c>
      <c r="N20" s="7" t="n">
        <v>812833.7</v>
      </c>
      <c r="P20" s="7" t="n">
        <v>3638292</v>
      </c>
      <c r="R20" s="7" t="n">
        <v>2944410.6</v>
      </c>
      <c r="T20" s="7" t="n">
        <v>188513.8</v>
      </c>
      <c r="V20" s="7" t="n">
        <v>2560006.1</v>
      </c>
      <c r="X20" s="7" t="n">
        <v>1412625</v>
      </c>
      <c r="Z20" s="7" t="n">
        <v>0</v>
      </c>
      <c r="AB20" s="7" t="n">
        <v>16795699.5</v>
      </c>
    </row>
    <row r="21">
      <c r="A21" s="4" t="inlineStr">
        <is>
          <t>工装夹具</t>
        </is>
      </c>
      <c r="D21" s="7" t="n">
        <v>1275596.4</v>
      </c>
      <c r="F21" s="7" t="n">
        <v>887266.5</v>
      </c>
      <c r="H21" s="7" t="n">
        <v>1179451.1</v>
      </c>
      <c r="J21" s="7" t="n">
        <v>1687626.8</v>
      </c>
      <c r="L21" s="7" t="n">
        <v>1597881.8</v>
      </c>
      <c r="N21" s="7" t="n">
        <v>475017.1</v>
      </c>
      <c r="P21" s="7" t="n">
        <v>313776</v>
      </c>
      <c r="R21" s="7" t="n">
        <v>1773780.2</v>
      </c>
      <c r="T21" s="7" t="n">
        <v>1376973.7</v>
      </c>
      <c r="V21" s="7" t="n">
        <v>1023898.8</v>
      </c>
      <c r="X21" s="7" t="n">
        <v>156584.3</v>
      </c>
      <c r="Z21" s="7" t="n">
        <v>286393.7</v>
      </c>
      <c r="AB21" s="7" t="n">
        <v>12034246.4</v>
      </c>
    </row>
    <row r="22">
      <c r="A22" s="4" t="inlineStr">
        <is>
          <t>其他</t>
        </is>
      </c>
      <c r="D22" s="7" t="n">
        <v>67461.7</v>
      </c>
      <c r="F22" s="7" t="n">
        <v>51585.3</v>
      </c>
      <c r="H22" s="7" t="n">
        <v>15018.4</v>
      </c>
      <c r="J22" s="7" t="n">
        <v>82994.10000000001</v>
      </c>
      <c r="L22" s="7" t="n">
        <v>64384.9</v>
      </c>
      <c r="N22" s="7" t="n">
        <v>368.3</v>
      </c>
      <c r="P22" s="7" t="n">
        <v>11780.7</v>
      </c>
      <c r="R22" s="7" t="n">
        <v>46216.4</v>
      </c>
      <c r="T22" s="7" t="n">
        <v>29394.5</v>
      </c>
      <c r="V22" s="7" t="n">
        <v>92599.10000000001</v>
      </c>
      <c r="X22" s="7" t="n">
        <v>80428.8</v>
      </c>
      <c r="Z22" s="7" t="n">
        <v>28040.6</v>
      </c>
      <c r="AB22" s="7" t="n">
        <v>570272.8</v>
      </c>
    </row>
    <row r="23">
      <c r="A23" s="4" t="inlineStr">
        <is>
          <t>运费</t>
        </is>
      </c>
      <c r="D23" s="7" t="n">
        <v>267328.2</v>
      </c>
      <c r="F23" s="7" t="n">
        <v>154440.2</v>
      </c>
      <c r="H23" s="7" t="n">
        <v>332964.6</v>
      </c>
      <c r="J23" s="7" t="n">
        <v>235773.1</v>
      </c>
      <c r="L23" s="7" t="n">
        <v>484659.2</v>
      </c>
      <c r="N23" s="7" t="n">
        <v>119950</v>
      </c>
      <c r="P23" s="7" t="n">
        <v>345380.3</v>
      </c>
      <c r="R23" s="7" t="n">
        <v>618447.5</v>
      </c>
      <c r="T23" s="7" t="n">
        <v>67432.39999999999</v>
      </c>
      <c r="V23" s="7" t="n">
        <v>409036.2</v>
      </c>
      <c r="X23" s="7" t="n">
        <v>242125.1</v>
      </c>
      <c r="Z23" s="7" t="n">
        <v>73543.5</v>
      </c>
      <c r="AB23" s="7" t="n">
        <v>3351080.3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1779893.3</v>
      </c>
      <c r="D24" s="7" t="n">
        <v>1436620.6</v>
      </c>
      <c r="E24" s="7" t="n">
        <v>2834095.2</v>
      </c>
      <c r="F24" s="7" t="n">
        <v>1503616.5</v>
      </c>
      <c r="G24" s="7" t="n">
        <v>1401379.5</v>
      </c>
      <c r="H24" s="7" t="n">
        <v>2008746.1</v>
      </c>
      <c r="I24" s="7" t="n">
        <v>58382.3</v>
      </c>
      <c r="J24" s="7" t="n">
        <v>2249410.2</v>
      </c>
      <c r="K24" s="7" t="n">
        <v>3186604.7</v>
      </c>
      <c r="L24" s="7" t="n">
        <v>2511971.9</v>
      </c>
      <c r="M24" s="7" t="n">
        <v>3639716.9</v>
      </c>
      <c r="N24" s="7" t="n">
        <v>1203585.5</v>
      </c>
      <c r="O24" s="7" t="n">
        <v>1447836.2</v>
      </c>
      <c r="P24" s="7" t="n">
        <v>2420288.9</v>
      </c>
      <c r="Q24" s="7" t="n">
        <v>1598084.3</v>
      </c>
      <c r="R24" s="7" t="n">
        <v>3074137.7</v>
      </c>
      <c r="S24" s="7" t="n">
        <v>2232540.8</v>
      </c>
      <c r="T24" s="7" t="n">
        <v>672590.8</v>
      </c>
      <c r="U24" s="7" t="n">
        <v>1321114.7</v>
      </c>
      <c r="V24" s="7" t="n">
        <v>3125384.7</v>
      </c>
      <c r="W24" s="7" t="n">
        <v>1735763.3</v>
      </c>
      <c r="X24" s="7" t="n">
        <v>2033419</v>
      </c>
      <c r="Y24" s="7" t="n">
        <v>1265249.6</v>
      </c>
      <c r="Z24" s="7" t="n">
        <v>810206.7</v>
      </c>
      <c r="AA24" s="8" t="n">
        <v>22500660.8</v>
      </c>
      <c r="AB24" s="8" t="n">
        <v>23049978.6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26.6</v>
      </c>
      <c r="D25" s="13" t="n">
        <v>24.9</v>
      </c>
      <c r="E25" s="13" t="n">
        <v>33.3</v>
      </c>
      <c r="F25" s="13" t="n">
        <v>28</v>
      </c>
      <c r="G25" s="13" t="n">
        <v>21.2</v>
      </c>
      <c r="H25" s="13" t="n">
        <v>25.9</v>
      </c>
      <c r="I25" s="13" t="n">
        <v>0.9</v>
      </c>
      <c r="J25" s="13" t="n">
        <v>26.9</v>
      </c>
      <c r="K25" s="13" t="n">
        <v>36.9</v>
      </c>
      <c r="L25" s="13" t="n">
        <v>24.7</v>
      </c>
      <c r="M25" s="13" t="n">
        <v>42.8</v>
      </c>
      <c r="N25" s="13" t="n">
        <v>24.9</v>
      </c>
      <c r="O25" s="13" t="n">
        <v>18.5</v>
      </c>
      <c r="P25" s="13" t="n">
        <v>23.7</v>
      </c>
      <c r="Q25" s="13" t="n">
        <v>20.4</v>
      </c>
      <c r="R25" s="13" t="n">
        <v>24.2</v>
      </c>
      <c r="S25" s="13" t="n">
        <v>27.4</v>
      </c>
      <c r="T25" s="13" t="n">
        <v>26.9</v>
      </c>
      <c r="U25" s="13" t="n">
        <v>17.7</v>
      </c>
      <c r="V25" s="13" t="n">
        <v>26.1</v>
      </c>
      <c r="W25" s="13" t="n">
        <v>25.6</v>
      </c>
      <c r="X25" s="13" t="n">
        <v>26.1</v>
      </c>
      <c r="Y25" s="13" t="n">
        <v>19.3</v>
      </c>
      <c r="Z25" s="13" t="n">
        <v>22.9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58396.1</v>
      </c>
      <c r="D26" s="7" t="n">
        <v>35259.8</v>
      </c>
      <c r="E26" s="7" t="n">
        <v>56528.3</v>
      </c>
      <c r="F26" s="7" t="n">
        <v>42269.9</v>
      </c>
      <c r="G26" s="7" t="n">
        <v>61952.7</v>
      </c>
      <c r="H26" s="7" t="n">
        <v>62105.8</v>
      </c>
      <c r="I26" s="7" t="n">
        <v>65476.5</v>
      </c>
      <c r="J26" s="7" t="n">
        <v>45829.2</v>
      </c>
      <c r="K26" s="7" t="n">
        <v>58370</v>
      </c>
      <c r="L26" s="7" t="n">
        <v>93572.10000000001</v>
      </c>
      <c r="M26" s="7" t="n">
        <v>61712.1</v>
      </c>
      <c r="N26" s="7" t="n">
        <v>62498.8</v>
      </c>
      <c r="O26" s="7" t="n">
        <v>66417.60000000001</v>
      </c>
      <c r="P26" s="7" t="n">
        <v>97630.89999999999</v>
      </c>
      <c r="Q26" s="7" t="n">
        <v>55427.7</v>
      </c>
      <c r="R26" s="7" t="n">
        <v>77712.8</v>
      </c>
      <c r="S26" s="7" t="n">
        <v>72309.60000000001</v>
      </c>
      <c r="T26" s="7" t="n">
        <v>35132.2</v>
      </c>
      <c r="U26" s="7" t="n">
        <v>55087.1</v>
      </c>
      <c r="V26" s="7" t="n">
        <v>131289.1</v>
      </c>
      <c r="W26" s="7" t="n">
        <v>63791.2</v>
      </c>
      <c r="X26" s="7" t="n">
        <v>40309.4</v>
      </c>
      <c r="Y26" s="7" t="n">
        <v>63435.6</v>
      </c>
      <c r="Z26" s="7" t="n">
        <v>35946.9</v>
      </c>
      <c r="AA26" s="8" t="n">
        <v>738904.5</v>
      </c>
      <c r="AB26" s="8" t="n">
        <v>759556.9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1049661.3</v>
      </c>
      <c r="D27" s="7" t="n">
        <v>1031701.2</v>
      </c>
      <c r="E27" s="7" t="n">
        <v>1039087.3</v>
      </c>
      <c r="F27" s="7" t="n">
        <v>726301.1</v>
      </c>
      <c r="G27" s="7" t="n">
        <v>921837.7</v>
      </c>
      <c r="H27" s="7" t="n">
        <v>922848.1</v>
      </c>
      <c r="I27" s="7" t="n">
        <v>837924.1</v>
      </c>
      <c r="J27" s="7" t="n">
        <v>1062698.5</v>
      </c>
      <c r="K27" s="7" t="n">
        <v>984003.5</v>
      </c>
      <c r="L27" s="7" t="n">
        <v>1460480</v>
      </c>
      <c r="M27" s="7" t="n">
        <v>1061893.2</v>
      </c>
      <c r="N27" s="7" t="n">
        <v>860289.6</v>
      </c>
      <c r="O27" s="7" t="n">
        <v>875997.1</v>
      </c>
      <c r="P27" s="7" t="n">
        <v>1074781.2</v>
      </c>
      <c r="Q27" s="7" t="n">
        <v>1051886.3</v>
      </c>
      <c r="R27" s="7" t="n">
        <v>1038416.3</v>
      </c>
      <c r="S27" s="7" t="n">
        <v>960304</v>
      </c>
      <c r="T27" s="7" t="n">
        <v>397170.1</v>
      </c>
      <c r="U27" s="7" t="n">
        <v>1027498.9</v>
      </c>
      <c r="V27" s="7" t="n">
        <v>1370427.1</v>
      </c>
      <c r="W27" s="7" t="n">
        <v>1008964.2</v>
      </c>
      <c r="X27" s="7" t="n">
        <v>1196508.6</v>
      </c>
      <c r="Y27" s="7" t="n">
        <v>1061307.5</v>
      </c>
      <c r="Z27" s="7" t="n">
        <v>505640.1</v>
      </c>
      <c r="AA27" s="8" t="n">
        <v>11880365.1</v>
      </c>
      <c r="AB27" s="8" t="n">
        <v>11647261.9</v>
      </c>
    </row>
    <row r="28">
      <c r="A28" s="4" t="inlineStr">
        <is>
          <t>职工薪酬</t>
        </is>
      </c>
      <c r="D28" s="7" t="n">
        <v>581137.7</v>
      </c>
      <c r="F28" s="7" t="n">
        <v>335944.9</v>
      </c>
      <c r="H28" s="7" t="n">
        <v>439803.6</v>
      </c>
      <c r="J28" s="7" t="n">
        <v>626283</v>
      </c>
      <c r="L28" s="7" t="n">
        <v>840322.4</v>
      </c>
      <c r="N28" s="7" t="n">
        <v>436564.8</v>
      </c>
      <c r="P28" s="7" t="n">
        <v>481608.2</v>
      </c>
      <c r="R28" s="7" t="n">
        <v>455345.3</v>
      </c>
      <c r="T28" s="7" t="n">
        <v>241657.2</v>
      </c>
      <c r="V28" s="7" t="n">
        <v>772263.4</v>
      </c>
      <c r="X28" s="7" t="n">
        <v>732265.3</v>
      </c>
      <c r="Z28" s="7" t="n">
        <v>236256.6</v>
      </c>
      <c r="AB28" s="7" t="n">
        <v>6179452.4</v>
      </c>
    </row>
    <row r="29">
      <c r="A29" s="4" t="inlineStr">
        <is>
          <t>工资</t>
        </is>
      </c>
      <c r="D29" s="7" t="n">
        <v>356548.1</v>
      </c>
      <c r="F29" s="7" t="n">
        <v>177507</v>
      </c>
      <c r="H29" s="7" t="n">
        <v>253096</v>
      </c>
      <c r="J29" s="7" t="n">
        <v>372530.5</v>
      </c>
      <c r="L29" s="7" t="n">
        <v>534307.4</v>
      </c>
      <c r="N29" s="7" t="n">
        <v>232060.1</v>
      </c>
      <c r="P29" s="7" t="n">
        <v>249785.1</v>
      </c>
      <c r="R29" s="7" t="n">
        <v>286855.7</v>
      </c>
      <c r="T29" s="7" t="n">
        <v>146995.7</v>
      </c>
      <c r="V29" s="7" t="n">
        <v>471146.5</v>
      </c>
      <c r="X29" s="7" t="n">
        <v>443946.3</v>
      </c>
      <c r="Z29" s="7" t="n">
        <v>141375</v>
      </c>
      <c r="AB29" s="7" t="n">
        <v>3666153.4</v>
      </c>
    </row>
    <row r="30">
      <c r="A30" s="4" t="inlineStr">
        <is>
          <t>奖金及提成</t>
        </is>
      </c>
      <c r="D30" s="7" t="n">
        <v>132494.6</v>
      </c>
      <c r="F30" s="7" t="n">
        <v>72464.7</v>
      </c>
      <c r="H30" s="7" t="n">
        <v>92147.7</v>
      </c>
      <c r="J30" s="7" t="n">
        <v>133324.7</v>
      </c>
      <c r="L30" s="7" t="n">
        <v>147737.1</v>
      </c>
      <c r="N30" s="7" t="n">
        <v>101573.4</v>
      </c>
      <c r="P30" s="7" t="n">
        <v>122121.9</v>
      </c>
      <c r="R30" s="7" t="n">
        <v>77606.7</v>
      </c>
      <c r="T30" s="7" t="n">
        <v>42158.5</v>
      </c>
      <c r="V30" s="7" t="n">
        <v>163547.4</v>
      </c>
      <c r="X30" s="7" t="n">
        <v>122915.5</v>
      </c>
      <c r="Z30" s="7" t="n">
        <v>45139.8</v>
      </c>
      <c r="AB30" s="7" t="n">
        <v>1253232</v>
      </c>
    </row>
    <row r="31">
      <c r="A31" s="4" t="inlineStr">
        <is>
          <t>社保</t>
        </is>
      </c>
      <c r="D31" s="7" t="n">
        <v>61740.4</v>
      </c>
      <c r="F31" s="7" t="n">
        <v>63714.1</v>
      </c>
      <c r="H31" s="7" t="n">
        <v>65256.3</v>
      </c>
      <c r="J31" s="7" t="n">
        <v>90250.60000000001</v>
      </c>
      <c r="L31" s="7" t="n">
        <v>111658.9</v>
      </c>
      <c r="N31" s="7" t="n">
        <v>76659.3</v>
      </c>
      <c r="P31" s="7" t="n">
        <v>78323.89999999999</v>
      </c>
      <c r="R31" s="7" t="n">
        <v>60262.5</v>
      </c>
      <c r="T31" s="7" t="n">
        <v>38828.1</v>
      </c>
      <c r="V31" s="7" t="n">
        <v>99935.39999999999</v>
      </c>
      <c r="X31" s="7" t="n">
        <v>124330.7</v>
      </c>
      <c r="Z31" s="7" t="n">
        <v>34979.5</v>
      </c>
      <c r="AB31" s="7" t="n">
        <v>905939.7</v>
      </c>
    </row>
    <row r="32">
      <c r="A32" s="4" t="inlineStr">
        <is>
          <t>养老</t>
        </is>
      </c>
      <c r="D32" s="7" t="n">
        <v>8411.9</v>
      </c>
      <c r="F32" s="7" t="n">
        <v>3477.4</v>
      </c>
      <c r="H32" s="7" t="n">
        <v>6419.9</v>
      </c>
      <c r="J32" s="7" t="n">
        <v>6269.2</v>
      </c>
      <c r="L32" s="7" t="n">
        <v>11081.2</v>
      </c>
      <c r="N32" s="7" t="n">
        <v>6123.7</v>
      </c>
      <c r="P32" s="7" t="n">
        <v>8783.4</v>
      </c>
      <c r="R32" s="7" t="n">
        <v>5243</v>
      </c>
      <c r="T32" s="7" t="n">
        <v>2717.1</v>
      </c>
      <c r="V32" s="7" t="n">
        <v>10293.4</v>
      </c>
      <c r="X32" s="7" t="n">
        <v>5543</v>
      </c>
      <c r="Z32" s="7" t="n">
        <v>2405.7</v>
      </c>
      <c r="AB32" s="7" t="n">
        <v>76768.89999999999</v>
      </c>
    </row>
    <row r="33">
      <c r="A33" s="4" t="inlineStr">
        <is>
          <t>医疗</t>
        </is>
      </c>
      <c r="D33" s="7" t="n">
        <v>4844.4</v>
      </c>
      <c r="F33" s="7" t="n">
        <v>3447.2</v>
      </c>
      <c r="H33" s="7" t="n">
        <v>4901.2</v>
      </c>
      <c r="J33" s="7" t="n">
        <v>5767.2</v>
      </c>
      <c r="L33" s="7" t="n">
        <v>8256.799999999999</v>
      </c>
      <c r="N33" s="7" t="n">
        <v>5574.5</v>
      </c>
      <c r="P33" s="7" t="n">
        <v>5065.4</v>
      </c>
      <c r="R33" s="7" t="n">
        <v>6137.9</v>
      </c>
      <c r="T33" s="7" t="n">
        <v>2117.5</v>
      </c>
      <c r="V33" s="7" t="n">
        <v>7119.7</v>
      </c>
      <c r="X33" s="7" t="n">
        <v>5734.5</v>
      </c>
      <c r="Z33" s="7" t="n">
        <v>2812.9</v>
      </c>
      <c r="AB33" s="7" t="n">
        <v>61779.2</v>
      </c>
    </row>
    <row r="34">
      <c r="A34" s="4" t="inlineStr">
        <is>
          <t>工伤</t>
        </is>
      </c>
      <c r="D34" s="7" t="n">
        <v>1297</v>
      </c>
      <c r="F34" s="7" t="n">
        <v>1356.9</v>
      </c>
      <c r="H34" s="7" t="n">
        <v>1509.6</v>
      </c>
      <c r="J34" s="7" t="n">
        <v>1621.5</v>
      </c>
      <c r="L34" s="7" t="n">
        <v>2479</v>
      </c>
      <c r="N34" s="7" t="n">
        <v>1206.9</v>
      </c>
      <c r="P34" s="7" t="n">
        <v>1506.2</v>
      </c>
      <c r="R34" s="7" t="n">
        <v>1644.9</v>
      </c>
      <c r="T34" s="7" t="n">
        <v>843.7</v>
      </c>
      <c r="V34" s="7" t="n">
        <v>1954.5</v>
      </c>
      <c r="X34" s="7" t="n">
        <v>2447.8</v>
      </c>
      <c r="Z34" s="7" t="n">
        <v>823.3</v>
      </c>
      <c r="AB34" s="7" t="n">
        <v>18691.3</v>
      </c>
    </row>
    <row r="35">
      <c r="A35" s="4" t="inlineStr">
        <is>
          <t>失业</t>
        </is>
      </c>
      <c r="D35" s="7" t="n">
        <v>1005.3</v>
      </c>
      <c r="F35" s="7" t="n">
        <v>567.3</v>
      </c>
      <c r="H35" s="7" t="n">
        <v>919.7</v>
      </c>
      <c r="J35" s="7" t="n">
        <v>826.5</v>
      </c>
      <c r="L35" s="7" t="n">
        <v>884</v>
      </c>
      <c r="N35" s="7" t="n">
        <v>767.3</v>
      </c>
      <c r="P35" s="7" t="n">
        <v>1043.5</v>
      </c>
      <c r="R35" s="7" t="n">
        <v>744.7</v>
      </c>
      <c r="T35" s="7" t="n">
        <v>290.2</v>
      </c>
      <c r="V35" s="7" t="n">
        <v>814.4</v>
      </c>
      <c r="X35" s="7" t="n">
        <v>986.6</v>
      </c>
      <c r="Z35" s="7" t="n">
        <v>502.1</v>
      </c>
      <c r="AB35" s="7" t="n">
        <v>9351.6</v>
      </c>
    </row>
    <row r="36">
      <c r="A36" s="4" t="inlineStr">
        <is>
          <t>生育</t>
        </is>
      </c>
      <c r="D36" s="7" t="n">
        <v>6491.7</v>
      </c>
      <c r="F36" s="7" t="n">
        <v>5094.3</v>
      </c>
      <c r="H36" s="7" t="n">
        <v>5577.6</v>
      </c>
      <c r="J36" s="7" t="n">
        <v>6978.2</v>
      </c>
      <c r="L36" s="7" t="n">
        <v>8196.299999999999</v>
      </c>
      <c r="N36" s="7" t="n">
        <v>3711.6</v>
      </c>
      <c r="P36" s="7" t="n">
        <v>4923.7</v>
      </c>
      <c r="R36" s="7" t="n">
        <v>4541.1</v>
      </c>
      <c r="T36" s="7" t="n">
        <v>2603.6</v>
      </c>
      <c r="V36" s="7" t="n">
        <v>5476.1</v>
      </c>
      <c r="X36" s="7" t="n">
        <v>6896.3</v>
      </c>
      <c r="Z36" s="7" t="n">
        <v>2600.8</v>
      </c>
      <c r="AB36" s="7" t="n">
        <v>63091.3</v>
      </c>
    </row>
    <row r="37">
      <c r="A37" s="4" t="inlineStr">
        <is>
          <t>公积金</t>
        </is>
      </c>
      <c r="D37" s="7" t="n">
        <v>5605.5</v>
      </c>
      <c r="F37" s="7" t="n">
        <v>4084.6</v>
      </c>
      <c r="H37" s="7" t="n">
        <v>3655.9</v>
      </c>
      <c r="J37" s="7" t="n">
        <v>4959.5</v>
      </c>
      <c r="L37" s="7" t="n">
        <v>10003.7</v>
      </c>
      <c r="N37" s="7" t="n">
        <v>5129</v>
      </c>
      <c r="P37" s="7" t="n">
        <v>5751.3</v>
      </c>
      <c r="R37" s="7" t="n">
        <v>6356.1</v>
      </c>
      <c r="T37" s="7" t="n">
        <v>2499.1</v>
      </c>
      <c r="V37" s="7" t="n">
        <v>5375</v>
      </c>
      <c r="X37" s="7" t="n">
        <v>8092.6</v>
      </c>
      <c r="Z37" s="7" t="n">
        <v>2892.3</v>
      </c>
      <c r="AB37" s="7" t="n">
        <v>64404.6</v>
      </c>
    </row>
    <row r="38">
      <c r="A38" s="4" t="inlineStr">
        <is>
          <t>工会经费</t>
        </is>
      </c>
      <c r="D38" s="7" t="n">
        <v>3373.2</v>
      </c>
      <c r="F38" s="7" t="n">
        <v>1943.1</v>
      </c>
      <c r="H38" s="7" t="n">
        <v>3340.5</v>
      </c>
      <c r="J38" s="7" t="n">
        <v>3662.9</v>
      </c>
      <c r="L38" s="7" t="n">
        <v>4670.8</v>
      </c>
      <c r="N38" s="7" t="n">
        <v>2054</v>
      </c>
      <c r="P38" s="7" t="n">
        <v>4058.5</v>
      </c>
      <c r="R38" s="7" t="n">
        <v>2940.1</v>
      </c>
      <c r="T38" s="7" t="n">
        <v>1460.7</v>
      </c>
      <c r="V38" s="7" t="n">
        <v>2965</v>
      </c>
      <c r="X38" s="7" t="n">
        <v>2734.3</v>
      </c>
      <c r="Z38" s="7" t="n">
        <v>1181.4</v>
      </c>
      <c r="AB38" s="7" t="n">
        <v>34384.5</v>
      </c>
    </row>
    <row r="39">
      <c r="A39" s="4" t="inlineStr">
        <is>
          <t>职工教育经费</t>
        </is>
      </c>
      <c r="D39" s="7" t="n">
        <v>995.4</v>
      </c>
      <c r="F39" s="7" t="n">
        <v>882.7</v>
      </c>
      <c r="H39" s="7" t="n">
        <v>904.4</v>
      </c>
      <c r="J39" s="7" t="n">
        <v>1451</v>
      </c>
      <c r="L39" s="7" t="n">
        <v>1950.6</v>
      </c>
      <c r="N39" s="7" t="n">
        <v>1121.7</v>
      </c>
      <c r="P39" s="7" t="n">
        <v>986.8</v>
      </c>
      <c r="R39" s="7" t="n">
        <v>1212.1</v>
      </c>
      <c r="T39" s="7" t="n">
        <v>441.9</v>
      </c>
      <c r="V39" s="7" t="n">
        <v>1146.9</v>
      </c>
      <c r="X39" s="7" t="n">
        <v>1139.1</v>
      </c>
      <c r="Z39" s="7" t="n">
        <v>556.9</v>
      </c>
      <c r="AB39" s="7" t="n">
        <v>12789.5</v>
      </c>
    </row>
    <row r="40">
      <c r="A40" s="4" t="inlineStr">
        <is>
          <t>福利费</t>
        </is>
      </c>
      <c r="D40" s="7" t="n">
        <v>20380.5</v>
      </c>
      <c r="F40" s="7" t="n">
        <v>15348.7</v>
      </c>
      <c r="H40" s="7" t="n">
        <v>21402.8</v>
      </c>
      <c r="J40" s="7" t="n">
        <v>20103.8</v>
      </c>
      <c r="L40" s="7" t="n">
        <v>29993.9</v>
      </c>
      <c r="N40" s="7" t="n">
        <v>17967.3</v>
      </c>
      <c r="P40" s="7" t="n">
        <v>20580.7</v>
      </c>
      <c r="R40" s="7" t="n">
        <v>20112.1</v>
      </c>
      <c r="T40" s="7" t="n">
        <v>9273.200000000001</v>
      </c>
      <c r="V40" s="7" t="n">
        <v>28147.2</v>
      </c>
      <c r="X40" s="7" t="n">
        <v>29106.8</v>
      </c>
      <c r="Z40" s="7" t="n">
        <v>10131.7</v>
      </c>
      <c r="AB40" s="7" t="n">
        <v>242548.7</v>
      </c>
    </row>
    <row r="41">
      <c r="A41" s="4" t="inlineStr">
        <is>
          <t>职工房租</t>
        </is>
      </c>
      <c r="D41" s="7" t="n">
        <v>4539.5</v>
      </c>
      <c r="F41" s="7" t="n">
        <v>3332</v>
      </c>
      <c r="H41" s="7" t="n">
        <v>4503.5</v>
      </c>
      <c r="J41" s="7" t="n">
        <v>4246.3</v>
      </c>
      <c r="L41" s="7" t="n">
        <v>6655.5</v>
      </c>
      <c r="N41" s="7" t="n">
        <v>3614.3</v>
      </c>
      <c r="P41" s="7" t="n">
        <v>4865.7</v>
      </c>
      <c r="R41" s="7" t="n">
        <v>3816.6</v>
      </c>
      <c r="T41" s="7" t="n">
        <v>2128.3</v>
      </c>
      <c r="V41" s="7" t="n">
        <v>5705.4</v>
      </c>
      <c r="X41" s="7" t="n">
        <v>5952.9</v>
      </c>
      <c r="Z41" s="7" t="n">
        <v>2362.9</v>
      </c>
      <c r="AB41" s="7" t="n">
        <v>51722.9</v>
      </c>
    </row>
    <row r="42">
      <c r="A42" s="4" t="inlineStr">
        <is>
          <t>水电物业费</t>
        </is>
      </c>
      <c r="D42" s="7" t="n">
        <v>1496.7</v>
      </c>
      <c r="F42" s="7" t="n">
        <v>1042.5</v>
      </c>
      <c r="H42" s="7" t="n">
        <v>1734.7</v>
      </c>
      <c r="J42" s="7" t="n">
        <v>2053.1</v>
      </c>
      <c r="L42" s="7" t="n">
        <v>2342.6</v>
      </c>
      <c r="N42" s="7" t="n">
        <v>1785.3</v>
      </c>
      <c r="P42" s="7" t="n">
        <v>1860.5</v>
      </c>
      <c r="R42" s="7" t="n">
        <v>2290.7</v>
      </c>
      <c r="T42" s="7" t="n">
        <v>883.5</v>
      </c>
      <c r="V42" s="7" t="n">
        <v>3251.4</v>
      </c>
      <c r="X42" s="7" t="n">
        <v>2999.3</v>
      </c>
      <c r="Z42" s="7" t="n">
        <v>767.7</v>
      </c>
      <c r="AB42" s="7" t="n">
        <v>22508</v>
      </c>
    </row>
    <row r="43">
      <c r="A43" s="4" t="inlineStr">
        <is>
          <t>员工餐</t>
        </is>
      </c>
      <c r="D43" s="7" t="n">
        <v>2599.5</v>
      </c>
      <c r="F43" s="7" t="n">
        <v>1573.2</v>
      </c>
      <c r="H43" s="7" t="n">
        <v>2197.2</v>
      </c>
      <c r="J43" s="7" t="n">
        <v>2221.9</v>
      </c>
      <c r="L43" s="7" t="n">
        <v>3011.9</v>
      </c>
      <c r="N43" s="7" t="n">
        <v>1584.6</v>
      </c>
      <c r="P43" s="7" t="n">
        <v>2282.8</v>
      </c>
      <c r="R43" s="7" t="n">
        <v>2347.7</v>
      </c>
      <c r="T43" s="7" t="n">
        <v>1031.8</v>
      </c>
      <c r="V43" s="7" t="n">
        <v>2826.9</v>
      </c>
      <c r="X43" s="7" t="n">
        <v>3544.5</v>
      </c>
      <c r="Z43" s="7" t="n">
        <v>977.7</v>
      </c>
      <c r="AB43" s="7" t="n">
        <v>26199.7</v>
      </c>
    </row>
    <row r="44">
      <c r="A44" s="4" t="inlineStr">
        <is>
          <t>节日礼品</t>
        </is>
      </c>
      <c r="D44" s="7" t="n">
        <v>2318.4</v>
      </c>
      <c r="F44" s="7" t="n">
        <v>1384.2</v>
      </c>
      <c r="H44" s="7" t="n">
        <v>2294.3</v>
      </c>
      <c r="J44" s="7" t="n">
        <v>2279.4</v>
      </c>
      <c r="L44" s="7" t="n">
        <v>3163.5</v>
      </c>
      <c r="N44" s="7" t="n">
        <v>1845.8</v>
      </c>
      <c r="P44" s="7" t="n">
        <v>2042.6</v>
      </c>
      <c r="R44" s="7" t="n">
        <v>1591.7</v>
      </c>
      <c r="T44" s="7" t="n">
        <v>1080.6</v>
      </c>
      <c r="V44" s="7" t="n">
        <v>2952.1</v>
      </c>
      <c r="X44" s="7" t="n">
        <v>3288.4</v>
      </c>
      <c r="Z44" s="7" t="n">
        <v>900.1</v>
      </c>
      <c r="AB44" s="7" t="n">
        <v>25141.1</v>
      </c>
    </row>
    <row r="45">
      <c r="A45" s="4" t="inlineStr">
        <is>
          <t>生日礼品</t>
        </is>
      </c>
      <c r="D45" s="7" t="n">
        <v>1743.6</v>
      </c>
      <c r="F45" s="7" t="n">
        <v>1675.6</v>
      </c>
      <c r="H45" s="7" t="n">
        <v>2625.4</v>
      </c>
      <c r="J45" s="7" t="n">
        <v>2686.8</v>
      </c>
      <c r="L45" s="7" t="n">
        <v>3320</v>
      </c>
      <c r="N45" s="7" t="n">
        <v>2034.6</v>
      </c>
      <c r="P45" s="7" t="n">
        <v>3005.2</v>
      </c>
      <c r="R45" s="7" t="n">
        <v>2303.4</v>
      </c>
      <c r="T45" s="7" t="n">
        <v>1130</v>
      </c>
      <c r="V45" s="7" t="n">
        <v>3604.2</v>
      </c>
      <c r="X45" s="7" t="n">
        <v>3207.1</v>
      </c>
      <c r="Z45" s="7" t="n">
        <v>1076</v>
      </c>
      <c r="AB45" s="7" t="n">
        <v>28411.9</v>
      </c>
    </row>
    <row r="46">
      <c r="A46" s="4" t="inlineStr">
        <is>
          <t>体检</t>
        </is>
      </c>
      <c r="D46" s="7" t="n">
        <v>2824.3</v>
      </c>
      <c r="F46" s="7" t="n">
        <v>1558.3</v>
      </c>
      <c r="H46" s="7" t="n">
        <v>2501.5</v>
      </c>
      <c r="J46" s="7" t="n">
        <v>2077.2</v>
      </c>
      <c r="L46" s="7" t="n">
        <v>3846.1</v>
      </c>
      <c r="N46" s="7" t="n">
        <v>2618.3</v>
      </c>
      <c r="P46" s="7" t="n">
        <v>2450.1</v>
      </c>
      <c r="R46" s="7" t="n">
        <v>3528.1</v>
      </c>
      <c r="T46" s="7" t="n">
        <v>1156.2</v>
      </c>
      <c r="V46" s="7" t="n">
        <v>2776.5</v>
      </c>
      <c r="X46" s="7" t="n">
        <v>4038.8</v>
      </c>
      <c r="Z46" s="7" t="n">
        <v>1243.6</v>
      </c>
      <c r="AB46" s="7" t="n">
        <v>30619</v>
      </c>
    </row>
    <row r="47">
      <c r="A47" s="4" t="inlineStr">
        <is>
          <t>其他福利支出</t>
        </is>
      </c>
      <c r="D47" s="7" t="n">
        <v>4858.5</v>
      </c>
      <c r="F47" s="7" t="n">
        <v>4782.9</v>
      </c>
      <c r="H47" s="7" t="n">
        <v>5546.2</v>
      </c>
      <c r="J47" s="7" t="n">
        <v>4539.1</v>
      </c>
      <c r="L47" s="7" t="n">
        <v>7654.3</v>
      </c>
      <c r="N47" s="7" t="n">
        <v>4484.4</v>
      </c>
      <c r="P47" s="7" t="n">
        <v>4073.8</v>
      </c>
      <c r="R47" s="7" t="n">
        <v>4233.9</v>
      </c>
      <c r="T47" s="7" t="n">
        <v>1862.8</v>
      </c>
      <c r="V47" s="7" t="n">
        <v>7030.7</v>
      </c>
      <c r="X47" s="7" t="n">
        <v>6075.8</v>
      </c>
      <c r="Z47" s="7" t="n">
        <v>2803.7</v>
      </c>
      <c r="AB47" s="7" t="n">
        <v>57946.1</v>
      </c>
    </row>
    <row r="48">
      <c r="A48" s="4" t="inlineStr">
        <is>
          <t>招聘费</t>
        </is>
      </c>
      <c r="D48" s="7" t="n">
        <v>3127.5</v>
      </c>
      <c r="F48" s="7" t="n">
        <v>2621.7</v>
      </c>
      <c r="H48" s="7" t="n">
        <v>2487.9</v>
      </c>
      <c r="J48" s="7" t="n">
        <v>4649.8</v>
      </c>
      <c r="L48" s="7" t="n">
        <v>5645.9</v>
      </c>
      <c r="N48" s="7" t="n">
        <v>2557.8</v>
      </c>
      <c r="P48" s="7" t="n">
        <v>3276.5</v>
      </c>
      <c r="R48" s="7" t="n">
        <v>4201.6</v>
      </c>
      <c r="T48" s="7" t="n">
        <v>1368.6</v>
      </c>
      <c r="V48" s="7" t="n">
        <v>5212.7</v>
      </c>
      <c r="X48" s="7" t="n">
        <v>3558.8</v>
      </c>
      <c r="Z48" s="7" t="n">
        <v>2033.1</v>
      </c>
      <c r="AB48" s="7" t="n">
        <v>40741.9</v>
      </c>
    </row>
    <row r="49">
      <c r="A49" s="4" t="inlineStr">
        <is>
          <t>办公费</t>
        </is>
      </c>
      <c r="D49" s="7" t="n">
        <v>28506.4</v>
      </c>
      <c r="F49" s="7" t="n">
        <v>24061.3</v>
      </c>
      <c r="H49" s="7" t="n">
        <v>35657.2</v>
      </c>
      <c r="J49" s="7" t="n">
        <v>33482.1</v>
      </c>
      <c r="L49" s="7" t="n">
        <v>51615.7</v>
      </c>
      <c r="N49" s="7" t="n">
        <v>29297.9</v>
      </c>
      <c r="P49" s="7" t="n">
        <v>35881.3</v>
      </c>
      <c r="R49" s="7" t="n">
        <v>22304.8</v>
      </c>
      <c r="T49" s="7" t="n">
        <v>11733.4</v>
      </c>
      <c r="V49" s="7" t="n">
        <v>52634.4</v>
      </c>
      <c r="X49" s="7" t="n">
        <v>41988.2</v>
      </c>
      <c r="Z49" s="7" t="n">
        <v>17682.7</v>
      </c>
      <c r="AB49" s="7" t="n">
        <v>384845.4</v>
      </c>
    </row>
    <row r="50">
      <c r="A50" s="4" t="inlineStr">
        <is>
          <t>市内交通费</t>
        </is>
      </c>
      <c r="D50" s="7" t="n">
        <v>4427</v>
      </c>
      <c r="F50" s="7" t="n">
        <v>2888.9</v>
      </c>
      <c r="H50" s="7" t="n">
        <v>2804.5</v>
      </c>
      <c r="J50" s="7" t="n">
        <v>4336.9</v>
      </c>
      <c r="L50" s="7" t="n">
        <v>5929.4</v>
      </c>
      <c r="N50" s="7" t="n">
        <v>3925.6</v>
      </c>
      <c r="P50" s="7" t="n">
        <v>3210.7</v>
      </c>
      <c r="R50" s="7" t="n">
        <v>4359.8</v>
      </c>
      <c r="T50" s="7" t="n">
        <v>1081.6</v>
      </c>
      <c r="V50" s="7" t="n">
        <v>6586.8</v>
      </c>
      <c r="X50" s="7" t="n">
        <v>3471.3</v>
      </c>
      <c r="Z50" s="7" t="n">
        <v>1362.4</v>
      </c>
      <c r="AB50" s="7" t="n">
        <v>44384.9</v>
      </c>
    </row>
    <row r="51">
      <c r="A51" s="4" t="inlineStr">
        <is>
          <t>差旅费</t>
        </is>
      </c>
      <c r="D51" s="7" t="n">
        <v>54982.4</v>
      </c>
      <c r="F51" s="7" t="n">
        <v>34464.1</v>
      </c>
      <c r="H51" s="7" t="n">
        <v>61699.8</v>
      </c>
      <c r="J51" s="7" t="n">
        <v>60333.2</v>
      </c>
      <c r="L51" s="7" t="n">
        <v>102086.1</v>
      </c>
      <c r="N51" s="7" t="n">
        <v>64641.1</v>
      </c>
      <c r="P51" s="7" t="n">
        <v>78912</v>
      </c>
      <c r="R51" s="7" t="n">
        <v>71121.3</v>
      </c>
      <c r="T51" s="7" t="n">
        <v>17571.6</v>
      </c>
      <c r="V51" s="7" t="n">
        <v>64370.3</v>
      </c>
      <c r="X51" s="7" t="n">
        <v>59184.5</v>
      </c>
      <c r="Z51" s="7" t="n">
        <v>27153.8</v>
      </c>
      <c r="AB51" s="7" t="n">
        <v>696520.2</v>
      </c>
    </row>
    <row r="52">
      <c r="A52" s="4" t="inlineStr">
        <is>
          <t>交通费</t>
        </is>
      </c>
      <c r="D52" s="7" t="n">
        <v>4548.6</v>
      </c>
      <c r="F52" s="7" t="n">
        <v>2801.5</v>
      </c>
      <c r="H52" s="7" t="n">
        <v>3221.6</v>
      </c>
      <c r="J52" s="7" t="n">
        <v>5755.8</v>
      </c>
      <c r="L52" s="7" t="n">
        <v>5742.1</v>
      </c>
      <c r="N52" s="7" t="n">
        <v>3409.2</v>
      </c>
      <c r="P52" s="7" t="n">
        <v>5428.9</v>
      </c>
      <c r="R52" s="7" t="n">
        <v>5107</v>
      </c>
      <c r="T52" s="7" t="n">
        <v>1873</v>
      </c>
      <c r="V52" s="7" t="n">
        <v>6641.3</v>
      </c>
      <c r="X52" s="7" t="n">
        <v>5539</v>
      </c>
      <c r="Z52" s="7" t="n">
        <v>1790.3</v>
      </c>
      <c r="AB52" s="7" t="n">
        <v>51858.3</v>
      </c>
    </row>
    <row r="53">
      <c r="A53" s="4" t="inlineStr">
        <is>
          <t>住宿费</t>
        </is>
      </c>
      <c r="D53" s="7" t="n">
        <v>1725.9</v>
      </c>
      <c r="F53" s="7" t="n">
        <v>980.3</v>
      </c>
      <c r="H53" s="7" t="n">
        <v>1915.1</v>
      </c>
      <c r="J53" s="7" t="n">
        <v>1509.3</v>
      </c>
      <c r="L53" s="7" t="n">
        <v>2062</v>
      </c>
      <c r="N53" s="7" t="n">
        <v>1146.4</v>
      </c>
      <c r="P53" s="7" t="n">
        <v>1951.1</v>
      </c>
      <c r="R53" s="7" t="n">
        <v>1494.3</v>
      </c>
      <c r="T53" s="7" t="n">
        <v>583.8</v>
      </c>
      <c r="V53" s="7" t="n">
        <v>2791.8</v>
      </c>
      <c r="X53" s="7" t="n">
        <v>2277</v>
      </c>
      <c r="Z53" s="7" t="n">
        <v>706.3</v>
      </c>
      <c r="AB53" s="7" t="n">
        <v>19143.3</v>
      </c>
    </row>
    <row r="54">
      <c r="A54" s="4" t="inlineStr">
        <is>
          <t>餐补</t>
        </is>
      </c>
      <c r="D54" s="7" t="n">
        <v>911.9</v>
      </c>
      <c r="F54" s="7" t="n">
        <v>538.5</v>
      </c>
      <c r="H54" s="7" t="n">
        <v>950</v>
      </c>
      <c r="J54" s="7" t="n">
        <v>1011.5</v>
      </c>
      <c r="L54" s="7" t="n">
        <v>1485.5</v>
      </c>
      <c r="N54" s="7" t="n">
        <v>813.2</v>
      </c>
      <c r="P54" s="7" t="n">
        <v>750.9</v>
      </c>
      <c r="R54" s="7" t="n">
        <v>724.1</v>
      </c>
      <c r="T54" s="7" t="n">
        <v>358.2</v>
      </c>
      <c r="V54" s="7" t="n">
        <v>994.3</v>
      </c>
      <c r="X54" s="7" t="n">
        <v>923.2</v>
      </c>
      <c r="Z54" s="7" t="n">
        <v>345</v>
      </c>
      <c r="AB54" s="7" t="n">
        <v>9806.299999999999</v>
      </c>
    </row>
    <row r="55">
      <c r="A55" s="4" t="inlineStr">
        <is>
          <t>交通补助</t>
        </is>
      </c>
      <c r="D55" s="7" t="n">
        <v>2661.7</v>
      </c>
      <c r="F55" s="7" t="n">
        <v>2334.5</v>
      </c>
      <c r="H55" s="7" t="n">
        <v>3652.4</v>
      </c>
      <c r="J55" s="7" t="n">
        <v>3731.4</v>
      </c>
      <c r="L55" s="7" t="n">
        <v>3589.6</v>
      </c>
      <c r="N55" s="7" t="n">
        <v>2890.2</v>
      </c>
      <c r="P55" s="7" t="n">
        <v>3552.3</v>
      </c>
      <c r="R55" s="7" t="n">
        <v>2758.1</v>
      </c>
      <c r="T55" s="7" t="n">
        <v>1374.9</v>
      </c>
      <c r="V55" s="7" t="n">
        <v>4385.4</v>
      </c>
      <c r="X55" s="7" t="n">
        <v>4069.9</v>
      </c>
      <c r="Z55" s="7" t="n">
        <v>1162</v>
      </c>
      <c r="AB55" s="7" t="n">
        <v>36162.4</v>
      </c>
    </row>
    <row r="56">
      <c r="A56" s="4" t="inlineStr">
        <is>
          <t>通讯补助</t>
        </is>
      </c>
      <c r="D56" s="7" t="n">
        <v>3160.7</v>
      </c>
      <c r="F56" s="7" t="n">
        <v>1496.6</v>
      </c>
      <c r="H56" s="7" t="n">
        <v>2907.4</v>
      </c>
      <c r="J56" s="7" t="n">
        <v>2025</v>
      </c>
      <c r="L56" s="7" t="n">
        <v>4077.7</v>
      </c>
      <c r="N56" s="7" t="n">
        <v>2931.8</v>
      </c>
      <c r="P56" s="7" t="n">
        <v>2750.1</v>
      </c>
      <c r="R56" s="7" t="n">
        <v>3548.9</v>
      </c>
      <c r="T56" s="7" t="n">
        <v>1320.8</v>
      </c>
      <c r="V56" s="7" t="n">
        <v>3663.8</v>
      </c>
      <c r="X56" s="7" t="n">
        <v>2658</v>
      </c>
      <c r="Z56" s="7" t="n">
        <v>1751.8</v>
      </c>
      <c r="AB56" s="7" t="n">
        <v>32292.6</v>
      </c>
    </row>
    <row r="57">
      <c r="A57" s="4" t="inlineStr">
        <is>
          <t>招待费</t>
        </is>
      </c>
      <c r="D57" s="7" t="n">
        <v>36840</v>
      </c>
      <c r="F57" s="7" t="n">
        <v>31595.2</v>
      </c>
      <c r="H57" s="7" t="n">
        <v>45949.1</v>
      </c>
      <c r="J57" s="7" t="n">
        <v>32037.2</v>
      </c>
      <c r="L57" s="7" t="n">
        <v>61017.7</v>
      </c>
      <c r="N57" s="7" t="n">
        <v>35137.4</v>
      </c>
      <c r="P57" s="7" t="n">
        <v>48746.5</v>
      </c>
      <c r="R57" s="7" t="n">
        <v>52419.3</v>
      </c>
      <c r="T57" s="7" t="n">
        <v>19825.7</v>
      </c>
      <c r="V57" s="7" t="n">
        <v>44129.9</v>
      </c>
      <c r="X57" s="7" t="n">
        <v>58837</v>
      </c>
      <c r="Z57" s="7" t="n">
        <v>16291.2</v>
      </c>
      <c r="AB57" s="7" t="n">
        <v>482826.2</v>
      </c>
    </row>
    <row r="58">
      <c r="A58" s="4" t="inlineStr">
        <is>
          <t>通讯费</t>
        </is>
      </c>
      <c r="D58" s="7" t="n">
        <v>8077.5</v>
      </c>
      <c r="F58" s="7" t="n">
        <v>4109.2</v>
      </c>
      <c r="H58" s="7" t="n">
        <v>5549.7</v>
      </c>
      <c r="J58" s="7" t="n">
        <v>8087.3</v>
      </c>
      <c r="L58" s="7" t="n">
        <v>11249.3</v>
      </c>
      <c r="N58" s="7" t="n">
        <v>6514</v>
      </c>
      <c r="P58" s="7" t="n">
        <v>7946.4</v>
      </c>
      <c r="R58" s="7" t="n">
        <v>4418.3</v>
      </c>
      <c r="T58" s="7" t="n">
        <v>2492.8</v>
      </c>
      <c r="V58" s="7" t="n">
        <v>6317</v>
      </c>
      <c r="X58" s="7" t="n">
        <v>9306.4</v>
      </c>
      <c r="Z58" s="7" t="n">
        <v>2655.1</v>
      </c>
      <c r="AB58" s="7" t="n">
        <v>76723</v>
      </c>
    </row>
    <row r="59">
      <c r="A59" s="4" t="inlineStr">
        <is>
          <t>网络费</t>
        </is>
      </c>
      <c r="D59" s="7" t="n">
        <v>6865.4</v>
      </c>
      <c r="F59" s="7" t="n">
        <v>4693.5</v>
      </c>
      <c r="H59" s="7" t="n">
        <v>7560.5</v>
      </c>
      <c r="J59" s="7" t="n">
        <v>8344.4</v>
      </c>
      <c r="L59" s="7" t="n">
        <v>9290.799999999999</v>
      </c>
      <c r="N59" s="7" t="n">
        <v>4551.3</v>
      </c>
      <c r="P59" s="7" t="n">
        <v>5350.8</v>
      </c>
      <c r="R59" s="7" t="n">
        <v>5371.2</v>
      </c>
      <c r="T59" s="7" t="n">
        <v>2512.5</v>
      </c>
      <c r="V59" s="7" t="n">
        <v>7593.9</v>
      </c>
      <c r="X59" s="7" t="n">
        <v>6299.3</v>
      </c>
      <c r="Z59" s="7" t="n">
        <v>3745.1</v>
      </c>
      <c r="AB59" s="7" t="n">
        <v>72178.7</v>
      </c>
    </row>
    <row r="60">
      <c r="A60" s="4" t="inlineStr">
        <is>
          <t>修理费</t>
        </is>
      </c>
      <c r="D60" s="7" t="n">
        <v>5567.3</v>
      </c>
      <c r="F60" s="7" t="n">
        <v>4347.5</v>
      </c>
      <c r="H60" s="7" t="n">
        <v>3853.6</v>
      </c>
      <c r="J60" s="7" t="n">
        <v>6688</v>
      </c>
      <c r="L60" s="7" t="n">
        <v>9377.200000000001</v>
      </c>
      <c r="N60" s="7" t="n">
        <v>5336.1</v>
      </c>
      <c r="P60" s="7" t="n">
        <v>5624.2</v>
      </c>
      <c r="R60" s="7" t="n">
        <v>4049.4</v>
      </c>
      <c r="T60" s="7" t="n">
        <v>2268.6</v>
      </c>
      <c r="V60" s="7" t="n">
        <v>5762.2</v>
      </c>
      <c r="X60" s="7" t="n">
        <v>4866.5</v>
      </c>
      <c r="Z60" s="7" t="n">
        <v>2344.4</v>
      </c>
      <c r="AB60" s="7" t="n">
        <v>60085</v>
      </c>
    </row>
    <row r="61">
      <c r="A61" s="4" t="inlineStr">
        <is>
          <t>车辆费</t>
        </is>
      </c>
      <c r="D61" s="7" t="n">
        <v>1437.2</v>
      </c>
      <c r="F61" s="7" t="n">
        <v>993.9</v>
      </c>
      <c r="H61" s="7" t="n">
        <v>1729.6</v>
      </c>
      <c r="J61" s="7" t="n">
        <v>2199.4</v>
      </c>
      <c r="L61" s="7" t="n">
        <v>2093.2</v>
      </c>
      <c r="N61" s="7" t="n">
        <v>1586.4</v>
      </c>
      <c r="P61" s="7" t="n">
        <v>1235.7</v>
      </c>
      <c r="R61" s="7" t="n">
        <v>1844.8</v>
      </c>
      <c r="T61" s="7" t="n">
        <v>720.7</v>
      </c>
      <c r="V61" s="7" t="n">
        <v>1643.4</v>
      </c>
      <c r="X61" s="7" t="n">
        <v>1500.4</v>
      </c>
      <c r="Z61" s="7" t="n">
        <v>727.1</v>
      </c>
      <c r="AB61" s="7" t="n">
        <v>17711.8</v>
      </c>
    </row>
    <row r="62">
      <c r="A62" s="4" t="inlineStr">
        <is>
          <t>租赁费</t>
        </is>
      </c>
      <c r="D62" s="7" t="n">
        <v>48657.6</v>
      </c>
      <c r="F62" s="7" t="n">
        <v>36370</v>
      </c>
      <c r="H62" s="7" t="n">
        <v>57081.4</v>
      </c>
      <c r="J62" s="7" t="n">
        <v>59624.5</v>
      </c>
      <c r="L62" s="7" t="n">
        <v>64742.1</v>
      </c>
      <c r="N62" s="7" t="n">
        <v>33140.5</v>
      </c>
      <c r="P62" s="7" t="n">
        <v>67156.5</v>
      </c>
      <c r="R62" s="7" t="n">
        <v>45535.7</v>
      </c>
      <c r="T62" s="7" t="n">
        <v>21224.3</v>
      </c>
      <c r="V62" s="7" t="n">
        <v>56973.9</v>
      </c>
      <c r="X62" s="7" t="n">
        <v>46672.3</v>
      </c>
      <c r="Z62" s="7" t="n">
        <v>20021.1</v>
      </c>
      <c r="AB62" s="7" t="n">
        <v>557199.9</v>
      </c>
    </row>
    <row r="63">
      <c r="A63" s="4" t="inlineStr">
        <is>
          <t>能源费</t>
        </is>
      </c>
      <c r="D63" s="7" t="n">
        <v>18849.4</v>
      </c>
      <c r="F63" s="7" t="n">
        <v>11403.4</v>
      </c>
      <c r="H63" s="7" t="n">
        <v>18753.4</v>
      </c>
      <c r="J63" s="7" t="n">
        <v>16418.3</v>
      </c>
      <c r="L63" s="7" t="n">
        <v>30737.3</v>
      </c>
      <c r="N63" s="7" t="n">
        <v>17903.2</v>
      </c>
      <c r="P63" s="7" t="n">
        <v>16582.8</v>
      </c>
      <c r="R63" s="7" t="n">
        <v>20076.3</v>
      </c>
      <c r="T63" s="7" t="n">
        <v>7033.8</v>
      </c>
      <c r="V63" s="7" t="n">
        <v>25340.7</v>
      </c>
      <c r="X63" s="7" t="n">
        <v>22166.8</v>
      </c>
      <c r="Z63" s="7" t="n">
        <v>9334.799999999999</v>
      </c>
      <c r="AB63" s="7" t="n">
        <v>214600.2</v>
      </c>
    </row>
    <row r="64">
      <c r="A64" s="4" t="inlineStr">
        <is>
          <t>水费</t>
        </is>
      </c>
      <c r="D64" s="7" t="n">
        <v>3391.9</v>
      </c>
      <c r="F64" s="7" t="n">
        <v>1589.1</v>
      </c>
      <c r="H64" s="7" t="n">
        <v>2807.6</v>
      </c>
      <c r="J64" s="7" t="n">
        <v>2294.6</v>
      </c>
      <c r="L64" s="7" t="n">
        <v>4400.8</v>
      </c>
      <c r="N64" s="7" t="n">
        <v>2528.5</v>
      </c>
      <c r="P64" s="7" t="n">
        <v>3285.9</v>
      </c>
      <c r="R64" s="7" t="n">
        <v>2402.9</v>
      </c>
      <c r="T64" s="7" t="n">
        <v>1043.5</v>
      </c>
      <c r="V64" s="7" t="n">
        <v>4063.7</v>
      </c>
      <c r="X64" s="7" t="n">
        <v>2698.1</v>
      </c>
      <c r="Z64" s="7" t="n">
        <v>1219.4</v>
      </c>
      <c r="AB64" s="7" t="n">
        <v>31726</v>
      </c>
    </row>
    <row r="65">
      <c r="A65" s="4" t="inlineStr">
        <is>
          <t>电费</t>
        </is>
      </c>
      <c r="D65" s="7" t="n">
        <v>2976.9</v>
      </c>
      <c r="F65" s="7" t="n">
        <v>2794.6</v>
      </c>
      <c r="H65" s="7" t="n">
        <v>4182.5</v>
      </c>
      <c r="J65" s="7" t="n">
        <v>3950.1</v>
      </c>
      <c r="L65" s="7" t="n">
        <v>5629.1</v>
      </c>
      <c r="N65" s="7" t="n">
        <v>3204.4</v>
      </c>
      <c r="P65" s="7" t="n">
        <v>3019.3</v>
      </c>
      <c r="R65" s="7" t="n">
        <v>3881.2</v>
      </c>
      <c r="T65" s="7" t="n">
        <v>1798.4</v>
      </c>
      <c r="V65" s="7" t="n">
        <v>5942.4</v>
      </c>
      <c r="X65" s="7" t="n">
        <v>4289.7</v>
      </c>
      <c r="Z65" s="7" t="n">
        <v>2300.6</v>
      </c>
      <c r="AB65" s="7" t="n">
        <v>43969.2</v>
      </c>
    </row>
    <row r="66">
      <c r="A66" s="4" t="inlineStr">
        <is>
          <t>燃气费</t>
        </is>
      </c>
      <c r="D66" s="7" t="n">
        <v>5282.6</v>
      </c>
      <c r="F66" s="7" t="n">
        <v>2582.9</v>
      </c>
      <c r="H66" s="7" t="n">
        <v>4092.2</v>
      </c>
      <c r="J66" s="7" t="n">
        <v>3836.8</v>
      </c>
      <c r="L66" s="7" t="n">
        <v>9260.1</v>
      </c>
      <c r="N66" s="7" t="n">
        <v>5304.3</v>
      </c>
      <c r="P66" s="7" t="n">
        <v>3897</v>
      </c>
      <c r="R66" s="7" t="n">
        <v>6400.1</v>
      </c>
      <c r="T66" s="7" t="n">
        <v>1396.6</v>
      </c>
      <c r="V66" s="7" t="n">
        <v>6335.6</v>
      </c>
      <c r="X66" s="7" t="n">
        <v>6795.9</v>
      </c>
      <c r="Z66" s="7" t="n">
        <v>2867.3</v>
      </c>
      <c r="AB66" s="7" t="n">
        <v>58051.4</v>
      </c>
    </row>
    <row r="67">
      <c r="A67" s="4" t="inlineStr">
        <is>
          <t>蒸汽费</t>
        </is>
      </c>
      <c r="D67" s="7" t="n">
        <v>7198</v>
      </c>
      <c r="F67" s="7" t="n">
        <v>4436.8</v>
      </c>
      <c r="H67" s="7" t="n">
        <v>7671.1</v>
      </c>
      <c r="J67" s="7" t="n">
        <v>6336.8</v>
      </c>
      <c r="L67" s="7" t="n">
        <v>11447.3</v>
      </c>
      <c r="N67" s="7" t="n">
        <v>6866</v>
      </c>
      <c r="P67" s="7" t="n">
        <v>6380.6</v>
      </c>
      <c r="R67" s="7" t="n">
        <v>7392.1</v>
      </c>
      <c r="T67" s="7" t="n">
        <v>2795.3</v>
      </c>
      <c r="V67" s="7" t="n">
        <v>8999</v>
      </c>
      <c r="X67" s="7" t="n">
        <v>8383.1</v>
      </c>
      <c r="Z67" s="7" t="n">
        <v>2947.5</v>
      </c>
      <c r="AB67" s="7" t="n">
        <v>80853.60000000001</v>
      </c>
    </row>
    <row r="68">
      <c r="A68" s="4" t="inlineStr">
        <is>
          <t>物业费</t>
        </is>
      </c>
      <c r="D68" s="7" t="n">
        <v>1234.4</v>
      </c>
      <c r="F68" s="7" t="n">
        <v>864.7</v>
      </c>
      <c r="H68" s="7" t="n">
        <v>1227.7</v>
      </c>
      <c r="J68" s="7" t="n">
        <v>1036.8</v>
      </c>
      <c r="L68" s="7" t="n">
        <v>1200</v>
      </c>
      <c r="N68" s="7" t="n">
        <v>718.5</v>
      </c>
      <c r="P68" s="7" t="n">
        <v>1105.7</v>
      </c>
      <c r="R68" s="7" t="n">
        <v>1341.8</v>
      </c>
      <c r="T68" s="7" t="n">
        <v>477.2</v>
      </c>
      <c r="V68" s="7" t="n">
        <v>1634.6</v>
      </c>
      <c r="X68" s="7" t="n">
        <v>1672</v>
      </c>
      <c r="Z68" s="7" t="n">
        <v>502.1</v>
      </c>
      <c r="AB68" s="7" t="n">
        <v>13015.5</v>
      </c>
    </row>
    <row r="69">
      <c r="A69" s="4" t="inlineStr">
        <is>
          <t>劳动保护费</t>
        </is>
      </c>
      <c r="D69" s="7" t="n">
        <v>2026.6</v>
      </c>
      <c r="F69" s="7" t="n">
        <v>2081.3</v>
      </c>
      <c r="H69" s="7" t="n">
        <v>2377.6</v>
      </c>
      <c r="J69" s="7" t="n">
        <v>1851.9</v>
      </c>
      <c r="L69" s="7" t="n">
        <v>3930.7</v>
      </c>
      <c r="N69" s="7" t="n">
        <v>1858.1</v>
      </c>
      <c r="P69" s="7" t="n">
        <v>2829.1</v>
      </c>
      <c r="R69" s="7" t="n">
        <v>2899.8</v>
      </c>
      <c r="T69" s="7" t="n">
        <v>639.5</v>
      </c>
      <c r="V69" s="7" t="n">
        <v>2562.2</v>
      </c>
      <c r="X69" s="7" t="n">
        <v>2065.6</v>
      </c>
      <c r="Z69" s="7" t="n">
        <v>826.5</v>
      </c>
      <c r="AB69" s="7" t="n">
        <v>25948.9</v>
      </c>
    </row>
    <row r="70">
      <c r="A70" s="4" t="inlineStr">
        <is>
          <t>顾问费</t>
        </is>
      </c>
      <c r="D70" s="7" t="n">
        <v>4537.4</v>
      </c>
      <c r="F70" s="7" t="n">
        <v>2076.1</v>
      </c>
      <c r="H70" s="7" t="n">
        <v>4139.6</v>
      </c>
      <c r="J70" s="7" t="n">
        <v>3921.4</v>
      </c>
      <c r="L70" s="7" t="n">
        <v>4812.4</v>
      </c>
      <c r="N70" s="7" t="n">
        <v>2800.2</v>
      </c>
      <c r="P70" s="7" t="n">
        <v>5132.5</v>
      </c>
      <c r="R70" s="7" t="n">
        <v>2987.2</v>
      </c>
      <c r="T70" s="7" t="n">
        <v>1560.5</v>
      </c>
      <c r="V70" s="7" t="n">
        <v>4692.7</v>
      </c>
      <c r="X70" s="7" t="n">
        <v>5578.9</v>
      </c>
      <c r="Z70" s="7" t="n">
        <v>2257.4</v>
      </c>
      <c r="AB70" s="7" t="n">
        <v>44496.3</v>
      </c>
    </row>
    <row r="71">
      <c r="A71" s="4" t="inlineStr">
        <is>
          <t>快递费</t>
        </is>
      </c>
      <c r="D71" s="7" t="n">
        <v>2284.2</v>
      </c>
      <c r="F71" s="7" t="n">
        <v>1676</v>
      </c>
      <c r="H71" s="7" t="n">
        <v>1722.2</v>
      </c>
      <c r="J71" s="7" t="n">
        <v>1958</v>
      </c>
      <c r="L71" s="7" t="n">
        <v>2400.4</v>
      </c>
      <c r="N71" s="7" t="n">
        <v>1971.9</v>
      </c>
      <c r="P71" s="7" t="n">
        <v>1871.4</v>
      </c>
      <c r="R71" s="7" t="n">
        <v>1911.6</v>
      </c>
      <c r="T71" s="7" t="n">
        <v>611.8</v>
      </c>
      <c r="V71" s="7" t="n">
        <v>3637</v>
      </c>
      <c r="X71" s="7" t="n">
        <v>3072.2</v>
      </c>
      <c r="Z71" s="7" t="n">
        <v>1318.5</v>
      </c>
      <c r="AB71" s="7" t="n">
        <v>24435.2</v>
      </c>
    </row>
    <row r="72">
      <c r="A72" s="4" t="inlineStr">
        <is>
          <t>诉讼费</t>
        </is>
      </c>
      <c r="D72" s="7" t="n">
        <v>4050</v>
      </c>
      <c r="F72" s="7" t="n">
        <v>2973.5</v>
      </c>
      <c r="H72" s="7" t="n">
        <v>4861.6</v>
      </c>
      <c r="J72" s="7" t="n">
        <v>5518</v>
      </c>
      <c r="L72" s="7" t="n">
        <v>6611.4</v>
      </c>
      <c r="N72" s="7" t="n">
        <v>4137</v>
      </c>
      <c r="P72" s="7" t="n">
        <v>3932</v>
      </c>
      <c r="R72" s="7" t="n">
        <v>4048.6</v>
      </c>
      <c r="T72" s="7" t="n">
        <v>1287.2</v>
      </c>
      <c r="V72" s="7" t="n">
        <v>5208.5</v>
      </c>
      <c r="X72" s="7" t="n">
        <v>5661.3</v>
      </c>
      <c r="Z72" s="7" t="n">
        <v>2042.6</v>
      </c>
      <c r="AB72" s="7" t="n">
        <v>50331.7</v>
      </c>
    </row>
    <row r="73">
      <c r="A73" s="4" t="inlineStr">
        <is>
          <t>会员费</t>
        </is>
      </c>
      <c r="D73" s="7" t="n">
        <v>5059</v>
      </c>
      <c r="F73" s="7" t="n">
        <v>4548.9</v>
      </c>
      <c r="H73" s="7" t="n">
        <v>6082.7</v>
      </c>
      <c r="J73" s="7" t="n">
        <v>7391.5</v>
      </c>
      <c r="L73" s="7" t="n">
        <v>8438.5</v>
      </c>
      <c r="N73" s="7" t="n">
        <v>6136.1</v>
      </c>
      <c r="P73" s="7" t="n">
        <v>6191.7</v>
      </c>
      <c r="R73" s="7" t="n">
        <v>4513.7</v>
      </c>
      <c r="T73" s="7" t="n">
        <v>1870.7</v>
      </c>
      <c r="V73" s="7" t="n">
        <v>6273.9</v>
      </c>
      <c r="X73" s="7" t="n">
        <v>7250.5</v>
      </c>
      <c r="Z73" s="7" t="n">
        <v>3529.6</v>
      </c>
      <c r="AB73" s="7" t="n">
        <v>67286.8</v>
      </c>
    </row>
    <row r="74">
      <c r="A74" s="4" t="inlineStr">
        <is>
          <t>广告宣传费</t>
        </is>
      </c>
      <c r="D74" s="7" t="n">
        <v>37397.5</v>
      </c>
      <c r="F74" s="7" t="n">
        <v>16461.1</v>
      </c>
      <c r="H74" s="7" t="n">
        <v>31416.1</v>
      </c>
      <c r="J74" s="7" t="n">
        <v>25960.3</v>
      </c>
      <c r="L74" s="7" t="n">
        <v>37727.6</v>
      </c>
      <c r="N74" s="7" t="n">
        <v>28498</v>
      </c>
      <c r="P74" s="7" t="n">
        <v>34234.6</v>
      </c>
      <c r="R74" s="7" t="n">
        <v>38136</v>
      </c>
      <c r="T74" s="7" t="n">
        <v>9685.799999999999</v>
      </c>
      <c r="V74" s="7" t="n">
        <v>47568.3</v>
      </c>
      <c r="X74" s="7" t="n">
        <v>40726.2</v>
      </c>
      <c r="Z74" s="7" t="n">
        <v>15704.8</v>
      </c>
      <c r="AB74" s="7" t="n">
        <v>363516.3</v>
      </c>
    </row>
    <row r="75">
      <c r="A75" s="4" t="inlineStr">
        <is>
          <t>会务费</t>
        </is>
      </c>
      <c r="D75" s="7" t="n">
        <v>3962.2</v>
      </c>
      <c r="F75" s="7" t="n">
        <v>2054.4</v>
      </c>
      <c r="H75" s="7" t="n">
        <v>3696.5</v>
      </c>
      <c r="J75" s="7" t="n">
        <v>2369.2</v>
      </c>
      <c r="L75" s="7" t="n">
        <v>5795.4</v>
      </c>
      <c r="N75" s="7" t="n">
        <v>3454.2</v>
      </c>
      <c r="P75" s="7" t="n">
        <v>2602.9</v>
      </c>
      <c r="R75" s="7" t="n">
        <v>4242.8</v>
      </c>
      <c r="T75" s="7" t="n">
        <v>1232.7</v>
      </c>
      <c r="V75" s="7" t="n">
        <v>3642.7</v>
      </c>
      <c r="X75" s="7" t="n">
        <v>3996.9</v>
      </c>
      <c r="Z75" s="7" t="n">
        <v>1307.7</v>
      </c>
      <c r="AB75" s="7" t="n">
        <v>38357.6</v>
      </c>
    </row>
    <row r="76">
      <c r="A76" s="4" t="inlineStr">
        <is>
          <t>装修费</t>
        </is>
      </c>
      <c r="D76" s="7" t="n">
        <v>6384.5</v>
      </c>
      <c r="F76" s="7" t="n">
        <v>5078.9</v>
      </c>
      <c r="H76" s="7" t="n">
        <v>5141.3</v>
      </c>
      <c r="J76" s="7" t="n">
        <v>6505.8</v>
      </c>
      <c r="L76" s="7" t="n">
        <v>8024</v>
      </c>
      <c r="N76" s="7" t="n">
        <v>4423.9</v>
      </c>
      <c r="P76" s="7" t="n">
        <v>6499.2</v>
      </c>
      <c r="R76" s="7" t="n">
        <v>6221.2</v>
      </c>
      <c r="T76" s="7" t="n">
        <v>1809.4</v>
      </c>
      <c r="V76" s="7" t="n">
        <v>10598.6</v>
      </c>
      <c r="X76" s="7" t="n">
        <v>7048.6</v>
      </c>
      <c r="Z76" s="7" t="n">
        <v>3652.8</v>
      </c>
      <c r="AB76" s="7" t="n">
        <v>71388.2</v>
      </c>
    </row>
    <row r="77">
      <c r="A77" s="4" t="inlineStr">
        <is>
          <t>推广费</t>
        </is>
      </c>
      <c r="D77" s="7" t="n">
        <v>5705.8</v>
      </c>
      <c r="F77" s="7" t="n">
        <v>4129.7</v>
      </c>
      <c r="H77" s="7" t="n">
        <v>5740.6</v>
      </c>
      <c r="J77" s="7" t="n">
        <v>5306</v>
      </c>
      <c r="L77" s="7" t="n">
        <v>6896.2</v>
      </c>
      <c r="N77" s="7" t="n">
        <v>4417.6</v>
      </c>
      <c r="P77" s="7" t="n">
        <v>8124.9</v>
      </c>
      <c r="R77" s="7" t="n">
        <v>6521.6</v>
      </c>
      <c r="T77" s="7" t="n">
        <v>2263.5</v>
      </c>
      <c r="V77" s="7" t="n">
        <v>6503</v>
      </c>
      <c r="X77" s="7" t="n">
        <v>6441.5</v>
      </c>
      <c r="Z77" s="7" t="n">
        <v>2813.1</v>
      </c>
      <c r="AB77" s="7" t="n">
        <v>64863.5</v>
      </c>
    </row>
    <row r="78">
      <c r="A78" s="4" t="inlineStr">
        <is>
          <t>展会费</t>
        </is>
      </c>
      <c r="D78" s="7" t="n">
        <v>5635.5</v>
      </c>
      <c r="F78" s="7" t="n">
        <v>4337.2</v>
      </c>
      <c r="H78" s="7" t="n">
        <v>5602.4</v>
      </c>
      <c r="J78" s="7" t="n">
        <v>4961.7</v>
      </c>
      <c r="L78" s="7" t="n">
        <v>9521</v>
      </c>
      <c r="N78" s="7" t="n">
        <v>6017.1</v>
      </c>
      <c r="P78" s="7" t="n">
        <v>6372.7</v>
      </c>
      <c r="R78" s="7" t="n">
        <v>5642.6</v>
      </c>
      <c r="T78" s="7" t="n">
        <v>1738.4</v>
      </c>
      <c r="V78" s="7" t="n">
        <v>8814.4</v>
      </c>
      <c r="X78" s="7" t="n">
        <v>5241</v>
      </c>
      <c r="Z78" s="7" t="n">
        <v>3128.4</v>
      </c>
      <c r="AB78" s="7" t="n">
        <v>67012.39999999999</v>
      </c>
    </row>
    <row r="79">
      <c r="A79" s="4" t="inlineStr">
        <is>
          <t>设计费</t>
        </is>
      </c>
      <c r="D79" s="7" t="n">
        <v>4129.9</v>
      </c>
      <c r="F79" s="7" t="n">
        <v>2384.5</v>
      </c>
      <c r="H79" s="7" t="n">
        <v>3206.5</v>
      </c>
      <c r="J79" s="7" t="n">
        <v>2501.9</v>
      </c>
      <c r="L79" s="7" t="n">
        <v>3368.5</v>
      </c>
      <c r="N79" s="7" t="n">
        <v>3327.7</v>
      </c>
      <c r="P79" s="7" t="n">
        <v>4360.8</v>
      </c>
      <c r="R79" s="7" t="n">
        <v>3660.7</v>
      </c>
      <c r="T79" s="7" t="n">
        <v>1473.5</v>
      </c>
      <c r="V79" s="7" t="n">
        <v>4157.5</v>
      </c>
      <c r="X79" s="7" t="n">
        <v>4618.7</v>
      </c>
      <c r="Z79" s="7" t="n">
        <v>1358.2</v>
      </c>
      <c r="AB79" s="7" t="n">
        <v>38548.4</v>
      </c>
    </row>
    <row r="80">
      <c r="A80" s="4" t="inlineStr">
        <is>
          <t>折旧费</t>
        </is>
      </c>
      <c r="D80" s="7" t="n">
        <v>46397.7</v>
      </c>
      <c r="F80" s="7" t="n">
        <v>20495.8</v>
      </c>
      <c r="H80" s="7" t="n">
        <v>37040.9</v>
      </c>
      <c r="J80" s="7" t="n">
        <v>39274</v>
      </c>
      <c r="L80" s="7" t="n">
        <v>62549.5</v>
      </c>
      <c r="N80" s="7" t="n">
        <v>37854.6</v>
      </c>
      <c r="P80" s="7" t="n">
        <v>45996.8</v>
      </c>
      <c r="R80" s="7" t="n">
        <v>41118.1</v>
      </c>
      <c r="T80" s="7" t="n">
        <v>15771</v>
      </c>
      <c r="V80" s="7" t="n">
        <v>38589.4</v>
      </c>
      <c r="X80" s="7" t="n">
        <v>49343.4</v>
      </c>
      <c r="Z80" s="7" t="n">
        <v>14301.7</v>
      </c>
      <c r="AB80" s="7" t="n">
        <v>448732.9</v>
      </c>
    </row>
    <row r="81">
      <c r="A81" s="4" t="inlineStr">
        <is>
          <t>认证费</t>
        </is>
      </c>
      <c r="D81" s="7" t="n">
        <v>3097.6</v>
      </c>
      <c r="F81" s="7" t="n">
        <v>3243.8</v>
      </c>
      <c r="H81" s="7" t="n">
        <v>2275.6</v>
      </c>
      <c r="J81" s="7" t="n">
        <v>4382.4</v>
      </c>
      <c r="L81" s="7" t="n">
        <v>5599.6</v>
      </c>
      <c r="N81" s="7" t="n">
        <v>3535.2</v>
      </c>
      <c r="P81" s="7" t="n">
        <v>4648.6</v>
      </c>
      <c r="R81" s="7" t="n">
        <v>2754.9</v>
      </c>
      <c r="T81" s="7" t="n">
        <v>1044.8</v>
      </c>
      <c r="V81" s="7" t="n">
        <v>3755.3</v>
      </c>
      <c r="X81" s="7" t="n">
        <v>3386</v>
      </c>
      <c r="Z81" s="7" t="n">
        <v>1783.2</v>
      </c>
      <c r="AB81" s="7" t="n">
        <v>39507</v>
      </c>
    </row>
    <row r="82">
      <c r="A82" s="4" t="inlineStr">
        <is>
          <t>样品费</t>
        </is>
      </c>
      <c r="D82" s="7" t="n">
        <v>24536.5</v>
      </c>
      <c r="F82" s="7" t="n">
        <v>12498.1</v>
      </c>
      <c r="H82" s="7" t="n">
        <v>17315.2</v>
      </c>
      <c r="J82" s="7" t="n">
        <v>19635.1</v>
      </c>
      <c r="L82" s="7" t="n">
        <v>27562.7</v>
      </c>
      <c r="N82" s="7" t="n">
        <v>17876.8</v>
      </c>
      <c r="P82" s="7" t="n">
        <v>27818.3</v>
      </c>
      <c r="R82" s="7" t="n">
        <v>17352.2</v>
      </c>
      <c r="T82" s="7" t="n">
        <v>8820.6</v>
      </c>
      <c r="V82" s="7" t="n">
        <v>33129.3</v>
      </c>
      <c r="X82" s="7" t="n">
        <v>26137.5</v>
      </c>
      <c r="Z82" s="7" t="n">
        <v>12286.4</v>
      </c>
      <c r="AB82" s="7" t="n">
        <v>244968.7</v>
      </c>
    </row>
    <row r="83">
      <c r="A83" s="4" t="inlineStr">
        <is>
          <t>劳务费</t>
        </is>
      </c>
      <c r="D83" s="7" t="n">
        <v>3885.4</v>
      </c>
      <c r="F83" s="7" t="n">
        <v>3355.6</v>
      </c>
      <c r="H83" s="7" t="n">
        <v>4742</v>
      </c>
      <c r="J83" s="7" t="n">
        <v>3883.4</v>
      </c>
      <c r="L83" s="7" t="n">
        <v>5133.4</v>
      </c>
      <c r="N83" s="7" t="n">
        <v>3440.1</v>
      </c>
      <c r="P83" s="7" t="n">
        <v>5352.9</v>
      </c>
      <c r="R83" s="7" t="n">
        <v>4967.1</v>
      </c>
      <c r="T83" s="7" t="n">
        <v>2315.8</v>
      </c>
      <c r="V83" s="7" t="n">
        <v>7095.7</v>
      </c>
      <c r="X83" s="7" t="n">
        <v>7239.7</v>
      </c>
      <c r="Z83" s="7" t="n">
        <v>1907.1</v>
      </c>
      <c r="AB83" s="7" t="n">
        <v>53318.2</v>
      </c>
    </row>
    <row r="84">
      <c r="A84" s="4" t="inlineStr">
        <is>
          <t>销售佣金</t>
        </is>
      </c>
      <c r="D84" s="7" t="n">
        <v>2592.4</v>
      </c>
      <c r="F84" s="7" t="n">
        <v>2079.9</v>
      </c>
      <c r="H84" s="7" t="n">
        <v>3902.1</v>
      </c>
      <c r="J84" s="7" t="n">
        <v>4536.3</v>
      </c>
      <c r="L84" s="7" t="n">
        <v>4983.8</v>
      </c>
      <c r="N84" s="7" t="n">
        <v>2168.9</v>
      </c>
      <c r="P84" s="7" t="n">
        <v>2771.7</v>
      </c>
      <c r="R84" s="7" t="n">
        <v>4514.7</v>
      </c>
      <c r="T84" s="7" t="n">
        <v>1705.1</v>
      </c>
      <c r="V84" s="7" t="n">
        <v>4927.1</v>
      </c>
      <c r="X84" s="7" t="n">
        <v>2982.5</v>
      </c>
      <c r="Z84" s="7" t="n">
        <v>2201.7</v>
      </c>
      <c r="AB84" s="7" t="n">
        <v>39366.2</v>
      </c>
    </row>
    <row r="85">
      <c r="A85" s="4" t="inlineStr">
        <is>
          <t>检测费</t>
        </is>
      </c>
      <c r="D85" s="7" t="n">
        <v>2716.7</v>
      </c>
      <c r="F85" s="7" t="n">
        <v>1576</v>
      </c>
      <c r="H85" s="7" t="n">
        <v>2191.1</v>
      </c>
      <c r="J85" s="7" t="n">
        <v>2471.2</v>
      </c>
      <c r="L85" s="7" t="n">
        <v>2828</v>
      </c>
      <c r="N85" s="7" t="n">
        <v>1323.8</v>
      </c>
      <c r="P85" s="7" t="n">
        <v>1767.5</v>
      </c>
      <c r="R85" s="7" t="n">
        <v>1808</v>
      </c>
      <c r="T85" s="7" t="n">
        <v>983.5</v>
      </c>
      <c r="V85" s="7" t="n">
        <v>2638.1</v>
      </c>
      <c r="X85" s="7" t="n">
        <v>3054.5</v>
      </c>
      <c r="Z85" s="7" t="n">
        <v>937.5</v>
      </c>
      <c r="AB85" s="7" t="n">
        <v>24295.9</v>
      </c>
    </row>
    <row r="86">
      <c r="A86" s="4" t="inlineStr">
        <is>
          <t>质量赔偿</t>
        </is>
      </c>
      <c r="D86" s="7" t="n">
        <v>4007.6</v>
      </c>
      <c r="F86" s="7" t="n">
        <v>4653.4</v>
      </c>
      <c r="H86" s="7" t="n">
        <v>5187.5</v>
      </c>
      <c r="J86" s="7" t="n">
        <v>5268</v>
      </c>
      <c r="L86" s="7" t="n">
        <v>9295.799999999999</v>
      </c>
      <c r="N86" s="7" t="n">
        <v>3121.1</v>
      </c>
      <c r="P86" s="7" t="n">
        <v>5124.3</v>
      </c>
      <c r="R86" s="7" t="n">
        <v>6190.7</v>
      </c>
      <c r="T86" s="7" t="n">
        <v>1779.7</v>
      </c>
      <c r="V86" s="7" t="n">
        <v>7886.2</v>
      </c>
      <c r="X86" s="7" t="n">
        <v>7546.4</v>
      </c>
      <c r="Z86" s="7" t="n">
        <v>2350.1</v>
      </c>
      <c r="AB86" s="7" t="n">
        <v>62410.8</v>
      </c>
    </row>
    <row r="87">
      <c r="A87" s="4" t="inlineStr">
        <is>
          <t>保险费</t>
        </is>
      </c>
      <c r="D87" s="7" t="n">
        <v>3756.3</v>
      </c>
      <c r="F87" s="7" t="n">
        <v>3183.1</v>
      </c>
      <c r="H87" s="7" t="n">
        <v>6064.7</v>
      </c>
      <c r="J87" s="7" t="n">
        <v>5360.1</v>
      </c>
      <c r="L87" s="7" t="n">
        <v>6767.4</v>
      </c>
      <c r="N87" s="7" t="n">
        <v>5518.8</v>
      </c>
      <c r="P87" s="7" t="n">
        <v>5228.9</v>
      </c>
      <c r="R87" s="7" t="n">
        <v>5835.3</v>
      </c>
      <c r="T87" s="7" t="n">
        <v>2208.9</v>
      </c>
      <c r="V87" s="7" t="n">
        <v>5223.5</v>
      </c>
      <c r="X87" s="7" t="n">
        <v>6501.2</v>
      </c>
      <c r="Z87" s="7" t="n">
        <v>3023.5</v>
      </c>
      <c r="AB87" s="7" t="n">
        <v>58671.7</v>
      </c>
    </row>
    <row r="88">
      <c r="A88" s="4" t="inlineStr">
        <is>
          <t>清洁费</t>
        </is>
      </c>
      <c r="D88" s="7" t="n">
        <v>3614.5</v>
      </c>
      <c r="F88" s="7" t="n">
        <v>2691.7</v>
      </c>
      <c r="H88" s="7" t="n">
        <v>4863.4</v>
      </c>
      <c r="J88" s="7" t="n">
        <v>5368.5</v>
      </c>
      <c r="L88" s="7" t="n">
        <v>7811.4</v>
      </c>
      <c r="N88" s="7" t="n">
        <v>3580.3</v>
      </c>
      <c r="P88" s="7" t="n">
        <v>3839.4</v>
      </c>
      <c r="R88" s="7" t="n">
        <v>3414.2</v>
      </c>
      <c r="T88" s="7" t="n">
        <v>1643.6</v>
      </c>
      <c r="V88" s="7" t="n">
        <v>5869.7</v>
      </c>
      <c r="X88" s="7" t="n">
        <v>4822.1</v>
      </c>
      <c r="Z88" s="7" t="n">
        <v>1843.1</v>
      </c>
      <c r="AB88" s="7" t="n">
        <v>49361.9</v>
      </c>
    </row>
    <row r="89">
      <c r="A89" s="4" t="inlineStr">
        <is>
          <t>低值易耗品</t>
        </is>
      </c>
      <c r="D89" s="7" t="n">
        <v>1228.8</v>
      </c>
      <c r="F89" s="7" t="n">
        <v>921.8</v>
      </c>
      <c r="H89" s="7" t="n">
        <v>1071.4</v>
      </c>
      <c r="J89" s="7" t="n">
        <v>934.7</v>
      </c>
      <c r="L89" s="7" t="n">
        <v>1637.3</v>
      </c>
      <c r="N89" s="7" t="n">
        <v>799</v>
      </c>
      <c r="P89" s="7" t="n">
        <v>1398.4</v>
      </c>
      <c r="R89" s="7" t="n">
        <v>1141.6</v>
      </c>
      <c r="T89" s="7" t="n">
        <v>454.4</v>
      </c>
      <c r="V89" s="7" t="n">
        <v>1473.7</v>
      </c>
      <c r="X89" s="7" t="n">
        <v>1371.3</v>
      </c>
      <c r="Z89" s="7" t="n">
        <v>466.5</v>
      </c>
      <c r="AB89" s="7" t="n">
        <v>12898.9</v>
      </c>
    </row>
    <row r="90">
      <c r="A90" s="4" t="inlineStr">
        <is>
          <t>物料消耗</t>
        </is>
      </c>
      <c r="D90" s="7" t="n">
        <v>7578.6</v>
      </c>
      <c r="F90" s="7" t="n">
        <v>5523.1</v>
      </c>
      <c r="H90" s="7" t="n">
        <v>5688.6</v>
      </c>
      <c r="J90" s="7" t="n">
        <v>5034.7</v>
      </c>
      <c r="L90" s="7" t="n">
        <v>8012.5</v>
      </c>
      <c r="N90" s="7" t="n">
        <v>3981.9</v>
      </c>
      <c r="P90" s="7" t="n">
        <v>5593.2</v>
      </c>
      <c r="R90" s="7" t="n">
        <v>6110.8</v>
      </c>
      <c r="T90" s="7" t="n">
        <v>1731.9</v>
      </c>
      <c r="V90" s="7" t="n">
        <v>7780.6</v>
      </c>
      <c r="X90" s="7" t="n">
        <v>6735.6</v>
      </c>
      <c r="Z90" s="7" t="n">
        <v>2959.6</v>
      </c>
      <c r="AB90" s="7" t="n">
        <v>66731.10000000001</v>
      </c>
    </row>
    <row r="91">
      <c r="A91" s="4" t="inlineStr">
        <is>
          <t>盘盈盘亏</t>
        </is>
      </c>
      <c r="D91" s="7" t="n">
        <v>442.9</v>
      </c>
      <c r="F91" s="7" t="n">
        <v>310.6</v>
      </c>
      <c r="H91" s="7" t="n">
        <v>500.4</v>
      </c>
      <c r="J91" s="7" t="n">
        <v>566.2</v>
      </c>
      <c r="L91" s="7" t="n">
        <v>602.1</v>
      </c>
      <c r="N91" s="7" t="n">
        <v>331.6</v>
      </c>
      <c r="P91" s="7" t="n">
        <v>478.6</v>
      </c>
      <c r="R91" s="7" t="n">
        <v>664.8</v>
      </c>
      <c r="T91" s="7" t="n">
        <v>180.2</v>
      </c>
      <c r="V91" s="7" t="n">
        <v>741.1</v>
      </c>
      <c r="X91" s="7" t="n">
        <v>713.6</v>
      </c>
      <c r="Z91" s="7" t="n">
        <v>229</v>
      </c>
      <c r="AB91" s="7" t="n">
        <v>5761.1</v>
      </c>
    </row>
    <row r="92">
      <c r="A92" s="4" t="inlineStr">
        <is>
          <t>平台服务费</t>
        </is>
      </c>
      <c r="D92" s="7" t="n">
        <v>2693.2</v>
      </c>
      <c r="F92" s="7" t="n">
        <v>1938.1</v>
      </c>
      <c r="H92" s="7" t="n">
        <v>2602</v>
      </c>
      <c r="J92" s="7" t="n">
        <v>1823.3</v>
      </c>
      <c r="L92" s="7" t="n">
        <v>2860.8</v>
      </c>
      <c r="N92" s="7" t="n">
        <v>2395.1</v>
      </c>
      <c r="P92" s="7" t="n">
        <v>1935.7</v>
      </c>
      <c r="R92" s="7" t="n">
        <v>2025.2</v>
      </c>
      <c r="T92" s="7" t="n">
        <v>1114.8</v>
      </c>
      <c r="V92" s="7" t="n">
        <v>3854.1</v>
      </c>
      <c r="X92" s="7" t="n">
        <v>2297.7</v>
      </c>
      <c r="Z92" s="7" t="n">
        <v>1239.7</v>
      </c>
      <c r="AB92" s="7" t="n">
        <v>26779.7</v>
      </c>
    </row>
    <row r="93">
      <c r="A93" s="4" t="inlineStr">
        <is>
          <t>无形资产摊销</t>
        </is>
      </c>
      <c r="D93" s="7" t="n">
        <v>3473</v>
      </c>
      <c r="F93" s="7" t="n">
        <v>1977.1</v>
      </c>
      <c r="H93" s="7" t="n">
        <v>2750.3</v>
      </c>
      <c r="J93" s="7" t="n">
        <v>4071.3</v>
      </c>
      <c r="L93" s="7" t="n">
        <v>4400.3</v>
      </c>
      <c r="N93" s="7" t="n">
        <v>2128.2</v>
      </c>
      <c r="P93" s="7" t="n">
        <v>3593.1</v>
      </c>
      <c r="R93" s="7" t="n">
        <v>3528.4</v>
      </c>
      <c r="T93" s="7" t="n">
        <v>1313.8</v>
      </c>
      <c r="V93" s="7" t="n">
        <v>4893.5</v>
      </c>
      <c r="X93" s="7" t="n">
        <v>3968.2</v>
      </c>
      <c r="Z93" s="7" t="n">
        <v>2070.5</v>
      </c>
      <c r="AB93" s="7" t="n">
        <v>38167.7</v>
      </c>
    </row>
    <row r="94">
      <c r="A94" s="4" t="inlineStr">
        <is>
          <t>研发材料</t>
        </is>
      </c>
      <c r="D94" s="7" t="n">
        <v>3513.4</v>
      </c>
      <c r="F94" s="7" t="n">
        <v>2117.4</v>
      </c>
      <c r="H94" s="7" t="n">
        <v>2443.7</v>
      </c>
      <c r="J94" s="7" t="n">
        <v>3589</v>
      </c>
      <c r="L94" s="7" t="n">
        <v>5267</v>
      </c>
      <c r="N94" s="7" t="n">
        <v>3066.1</v>
      </c>
      <c r="P94" s="7" t="n">
        <v>3076</v>
      </c>
      <c r="R94" s="7" t="n">
        <v>3142</v>
      </c>
      <c r="T94" s="7" t="n">
        <v>1298.4</v>
      </c>
      <c r="V94" s="7" t="n">
        <v>3506.2</v>
      </c>
      <c r="X94" s="7" t="n">
        <v>3966.7</v>
      </c>
      <c r="Z94" s="7" t="n">
        <v>1728.3</v>
      </c>
      <c r="AB94" s="7" t="n">
        <v>36714.2</v>
      </c>
    </row>
    <row r="95">
      <c r="A95" s="4" t="inlineStr">
        <is>
          <t>项目名称</t>
        </is>
      </c>
      <c r="D95" s="7" t="n">
        <v>3973.7</v>
      </c>
      <c r="F95" s="7" t="n">
        <v>4864.5</v>
      </c>
      <c r="H95" s="7" t="n">
        <v>4715.6</v>
      </c>
      <c r="J95" s="7" t="n">
        <v>5171.4</v>
      </c>
      <c r="L95" s="7" t="n">
        <v>7586.9</v>
      </c>
      <c r="N95" s="7" t="n">
        <v>5574.2</v>
      </c>
      <c r="P95" s="7" t="n">
        <v>6200.9</v>
      </c>
      <c r="R95" s="7" t="n">
        <v>5513.8</v>
      </c>
      <c r="T95" s="7" t="n">
        <v>2413.5</v>
      </c>
      <c r="V95" s="7" t="n">
        <v>6493.3</v>
      </c>
      <c r="X95" s="7" t="n">
        <v>7660.2</v>
      </c>
      <c r="Z95" s="7" t="n">
        <v>2674.3</v>
      </c>
      <c r="AB95" s="7" t="n">
        <v>62842.3</v>
      </c>
    </row>
    <row r="96">
      <c r="A96" s="4" t="inlineStr">
        <is>
          <t>研发费</t>
        </is>
      </c>
      <c r="D96" s="7" t="n">
        <v>3242.4</v>
      </c>
      <c r="F96" s="7" t="n">
        <v>3529.9</v>
      </c>
      <c r="H96" s="7" t="n">
        <v>4227.1</v>
      </c>
      <c r="J96" s="7" t="n">
        <v>4060.3</v>
      </c>
      <c r="L96" s="7" t="n">
        <v>6650.9</v>
      </c>
      <c r="N96" s="7" t="n">
        <v>2615.8</v>
      </c>
      <c r="P96" s="7" t="n">
        <v>5802.8</v>
      </c>
      <c r="R96" s="7" t="n">
        <v>4808.3</v>
      </c>
      <c r="T96" s="7" t="n">
        <v>1562</v>
      </c>
      <c r="V96" s="7" t="n">
        <v>6604.4</v>
      </c>
      <c r="X96" s="7" t="n">
        <v>6406.3</v>
      </c>
      <c r="Z96" s="7" t="n">
        <v>2027.7</v>
      </c>
      <c r="AB96" s="7" t="n">
        <v>51537.9</v>
      </c>
    </row>
    <row r="97">
      <c r="A97" s="4" t="inlineStr">
        <is>
          <t>残保金</t>
        </is>
      </c>
      <c r="D97" s="7" t="n">
        <v>61</v>
      </c>
      <c r="F97" s="7" t="n">
        <v>50.6</v>
      </c>
      <c r="H97" s="7" t="n">
        <v>64.5</v>
      </c>
      <c r="J97" s="7" t="n">
        <v>77.09999999999999</v>
      </c>
      <c r="L97" s="7" t="n">
        <v>105.6</v>
      </c>
      <c r="N97" s="7" t="n">
        <v>57.6</v>
      </c>
      <c r="P97" s="7" t="n">
        <v>69.5</v>
      </c>
      <c r="R97" s="7" t="n">
        <v>83.59999999999999</v>
      </c>
      <c r="T97" s="7" t="n">
        <v>28.9</v>
      </c>
      <c r="V97" s="7" t="n">
        <v>94.8</v>
      </c>
      <c r="X97" s="7" t="n">
        <v>75.09999999999999</v>
      </c>
      <c r="Z97" s="7" t="n">
        <v>25</v>
      </c>
      <c r="AB97" s="7" t="n">
        <v>793.3</v>
      </c>
    </row>
    <row r="98">
      <c r="A98" s="4" t="inlineStr">
        <is>
          <t>环保费</t>
        </is>
      </c>
      <c r="D98" s="7" t="n">
        <v>671.6</v>
      </c>
      <c r="F98" s="7" t="n">
        <v>635.9</v>
      </c>
      <c r="H98" s="7" t="n">
        <v>486.9</v>
      </c>
      <c r="J98" s="7" t="n">
        <v>921.2</v>
      </c>
      <c r="L98" s="7" t="n">
        <v>786</v>
      </c>
      <c r="N98" s="7" t="n">
        <v>523.2</v>
      </c>
      <c r="P98" s="7" t="n">
        <v>717.1</v>
      </c>
      <c r="R98" s="7" t="n">
        <v>586.7</v>
      </c>
      <c r="T98" s="7" t="n">
        <v>269.5</v>
      </c>
      <c r="V98" s="7" t="n">
        <v>926.1</v>
      </c>
      <c r="X98" s="7" t="n">
        <v>789.9</v>
      </c>
      <c r="Z98" s="7" t="n">
        <v>387.6</v>
      </c>
      <c r="AB98" s="7" t="n">
        <v>7701.7</v>
      </c>
    </row>
    <row r="99">
      <c r="A99" s="4" t="inlineStr">
        <is>
          <t>报废损失</t>
        </is>
      </c>
      <c r="D99" s="7" t="n">
        <v>1898.9</v>
      </c>
      <c r="F99" s="7" t="n">
        <v>1801.5</v>
      </c>
      <c r="H99" s="7" t="n">
        <v>1484.2</v>
      </c>
      <c r="J99" s="7" t="n">
        <v>2687.9</v>
      </c>
      <c r="L99" s="7" t="n">
        <v>3325.3</v>
      </c>
      <c r="N99" s="7" t="n">
        <v>1990.3</v>
      </c>
      <c r="P99" s="7" t="n">
        <v>1795</v>
      </c>
      <c r="R99" s="7" t="n">
        <v>2802</v>
      </c>
      <c r="T99" s="7" t="n">
        <v>702.9</v>
      </c>
      <c r="V99" s="7" t="n">
        <v>2306.1</v>
      </c>
      <c r="X99" s="7" t="n">
        <v>1991.9</v>
      </c>
      <c r="Z99" s="7" t="n">
        <v>1095.4</v>
      </c>
      <c r="AB99" s="7" t="n">
        <v>23881.4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364231.1</v>
      </c>
      <c r="D100" s="7" t="n">
        <v>449544.1</v>
      </c>
      <c r="E100" s="7" t="n">
        <v>429732.7</v>
      </c>
      <c r="F100" s="7" t="n">
        <v>223083.4</v>
      </c>
      <c r="G100" s="7" t="n">
        <v>436492.6</v>
      </c>
      <c r="H100" s="7" t="n">
        <v>389559.9</v>
      </c>
      <c r="I100" s="7" t="n">
        <v>347066.4</v>
      </c>
      <c r="J100" s="7" t="n">
        <v>328168.1</v>
      </c>
      <c r="K100" s="7" t="n">
        <v>351763</v>
      </c>
      <c r="L100" s="7" t="n">
        <v>630957.5</v>
      </c>
      <c r="M100" s="7" t="n">
        <v>444072.9</v>
      </c>
      <c r="N100" s="7" t="n">
        <v>249274.2</v>
      </c>
      <c r="O100" s="7" t="n">
        <v>361975</v>
      </c>
      <c r="P100" s="7" t="n">
        <v>320905.4</v>
      </c>
      <c r="Q100" s="7" t="n">
        <v>378636.8</v>
      </c>
      <c r="R100" s="7" t="n">
        <v>772288.2</v>
      </c>
      <c r="S100" s="7" t="n">
        <v>394404.6</v>
      </c>
      <c r="T100" s="7" t="n">
        <v>99675.60000000001</v>
      </c>
      <c r="U100" s="7" t="n">
        <v>371010.7</v>
      </c>
      <c r="V100" s="7" t="n">
        <v>713584.9</v>
      </c>
      <c r="W100" s="7" t="n">
        <v>442953.2</v>
      </c>
      <c r="X100" s="7" t="n">
        <v>385908.7</v>
      </c>
      <c r="Y100" s="7" t="n">
        <v>402813.7</v>
      </c>
      <c r="Z100" s="7" t="n">
        <v>230955.2</v>
      </c>
      <c r="AA100" s="8" t="n">
        <v>4725152.7</v>
      </c>
      <c r="AB100" s="8" t="n">
        <v>4793905.2</v>
      </c>
    </row>
    <row r="101">
      <c r="A101" s="4" t="inlineStr">
        <is>
          <t>职工薪酬</t>
        </is>
      </c>
      <c r="D101" s="7" t="n">
        <v>216292</v>
      </c>
      <c r="F101" s="7" t="n">
        <v>105852.4</v>
      </c>
      <c r="H101" s="7" t="n">
        <v>186051.5</v>
      </c>
      <c r="J101" s="7" t="n">
        <v>150697.8</v>
      </c>
      <c r="L101" s="7" t="n">
        <v>327904.8</v>
      </c>
      <c r="N101" s="7" t="n">
        <v>129410.5</v>
      </c>
      <c r="P101" s="7" t="n">
        <v>158723.6</v>
      </c>
      <c r="R101" s="7" t="n">
        <v>307746.4</v>
      </c>
      <c r="T101" s="7" t="n">
        <v>45901.6</v>
      </c>
      <c r="V101" s="7" t="n">
        <v>313758.8</v>
      </c>
      <c r="X101" s="7" t="n">
        <v>195226.4</v>
      </c>
      <c r="Z101" s="7" t="n">
        <v>129279.2</v>
      </c>
      <c r="AB101" s="7" t="n">
        <v>2266845</v>
      </c>
    </row>
    <row r="102">
      <c r="A102" s="4" t="inlineStr">
        <is>
          <t>工资</t>
        </is>
      </c>
      <c r="D102" s="7" t="n">
        <v>105243</v>
      </c>
      <c r="F102" s="7" t="n">
        <v>51580.3</v>
      </c>
      <c r="H102" s="7" t="n">
        <v>103221.1</v>
      </c>
      <c r="J102" s="7" t="n">
        <v>79727.8</v>
      </c>
      <c r="L102" s="7" t="n">
        <v>211256.3</v>
      </c>
      <c r="N102" s="7" t="n">
        <v>75268</v>
      </c>
      <c r="P102" s="7" t="n">
        <v>91548.89999999999</v>
      </c>
      <c r="R102" s="7" t="n">
        <v>181345.7</v>
      </c>
      <c r="T102" s="7" t="n">
        <v>27816.2</v>
      </c>
      <c r="V102" s="7" t="n">
        <v>173712</v>
      </c>
      <c r="X102" s="7" t="n">
        <v>125185</v>
      </c>
      <c r="Z102" s="7" t="n">
        <v>77327.89999999999</v>
      </c>
      <c r="AB102" s="7" t="n">
        <v>1303232.2</v>
      </c>
    </row>
    <row r="103">
      <c r="A103" s="4" t="inlineStr">
        <is>
          <t>奖金及提成</t>
        </is>
      </c>
      <c r="D103" s="7" t="n">
        <v>48872.5</v>
      </c>
      <c r="F103" s="7" t="n">
        <v>28999.5</v>
      </c>
      <c r="H103" s="7" t="n">
        <v>40239.5</v>
      </c>
      <c r="J103" s="7" t="n">
        <v>32612.9</v>
      </c>
      <c r="L103" s="7" t="n">
        <v>49478.3</v>
      </c>
      <c r="N103" s="7" t="n">
        <v>22154.2</v>
      </c>
      <c r="P103" s="7" t="n">
        <v>31147.1</v>
      </c>
      <c r="R103" s="7" t="n">
        <v>56544.4</v>
      </c>
      <c r="T103" s="7" t="n">
        <v>9124.5</v>
      </c>
      <c r="V103" s="7" t="n">
        <v>50361.3</v>
      </c>
      <c r="X103" s="7" t="n">
        <v>30175</v>
      </c>
      <c r="Z103" s="7" t="n">
        <v>27463.6</v>
      </c>
      <c r="AB103" s="7" t="n">
        <v>427172.8</v>
      </c>
    </row>
    <row r="104">
      <c r="A104" s="4" t="inlineStr">
        <is>
          <t>社保</t>
        </is>
      </c>
      <c r="D104" s="7" t="n">
        <v>45972.1</v>
      </c>
      <c r="F104" s="7" t="n">
        <v>17904.9</v>
      </c>
      <c r="H104" s="7" t="n">
        <v>31070.7</v>
      </c>
      <c r="J104" s="7" t="n">
        <v>29162.8</v>
      </c>
      <c r="L104" s="7" t="n">
        <v>47921.4</v>
      </c>
      <c r="N104" s="7" t="n">
        <v>24008.8</v>
      </c>
      <c r="P104" s="7" t="n">
        <v>25498.4</v>
      </c>
      <c r="R104" s="7" t="n">
        <v>46312.7</v>
      </c>
      <c r="T104" s="7" t="n">
        <v>5729.5</v>
      </c>
      <c r="V104" s="7" t="n">
        <v>66028.5</v>
      </c>
      <c r="X104" s="7" t="n">
        <v>27021.4</v>
      </c>
      <c r="Z104" s="7" t="n">
        <v>15980.5</v>
      </c>
      <c r="AB104" s="7" t="n">
        <v>382611.7</v>
      </c>
    </row>
    <row r="105">
      <c r="A105" s="4" t="inlineStr">
        <is>
          <t>养老</t>
        </is>
      </c>
      <c r="D105" s="7" t="n">
        <v>1269.3</v>
      </c>
      <c r="F105" s="7" t="n">
        <v>766.3</v>
      </c>
      <c r="H105" s="7" t="n">
        <v>1573.1</v>
      </c>
      <c r="J105" s="7" t="n">
        <v>1341.5</v>
      </c>
      <c r="L105" s="7" t="n">
        <v>2290.7</v>
      </c>
      <c r="N105" s="7" t="n">
        <v>674.8</v>
      </c>
      <c r="P105" s="7" t="n">
        <v>869.4</v>
      </c>
      <c r="R105" s="7" t="n">
        <v>3172</v>
      </c>
      <c r="T105" s="7" t="n">
        <v>419.5</v>
      </c>
      <c r="V105" s="7" t="n">
        <v>2314.6</v>
      </c>
      <c r="X105" s="7" t="n">
        <v>1623.8</v>
      </c>
      <c r="Z105" s="7" t="n">
        <v>590.3</v>
      </c>
      <c r="AB105" s="7" t="n">
        <v>16905.3</v>
      </c>
    </row>
    <row r="106">
      <c r="A106" s="4" t="inlineStr">
        <is>
          <t>医疗</t>
        </is>
      </c>
      <c r="D106" s="7" t="n">
        <v>2178.4</v>
      </c>
      <c r="F106" s="7" t="n">
        <v>1360.8</v>
      </c>
      <c r="H106" s="7" t="n">
        <v>1398.5</v>
      </c>
      <c r="J106" s="7" t="n">
        <v>1853.6</v>
      </c>
      <c r="L106" s="7" t="n">
        <v>3423.3</v>
      </c>
      <c r="N106" s="7" t="n">
        <v>1032.6</v>
      </c>
      <c r="P106" s="7" t="n">
        <v>1966.2</v>
      </c>
      <c r="R106" s="7" t="n">
        <v>3531.2</v>
      </c>
      <c r="T106" s="7" t="n">
        <v>427.2</v>
      </c>
      <c r="V106" s="7" t="n">
        <v>4003.6</v>
      </c>
      <c r="X106" s="7" t="n">
        <v>1752.9</v>
      </c>
      <c r="Z106" s="7" t="n">
        <v>1411.6</v>
      </c>
      <c r="AB106" s="7" t="n">
        <v>24339.9</v>
      </c>
    </row>
    <row r="107">
      <c r="A107" s="4" t="inlineStr">
        <is>
          <t>工伤</t>
        </is>
      </c>
      <c r="D107" s="7" t="n">
        <v>1925.6</v>
      </c>
      <c r="F107" s="7" t="n">
        <v>1346.1</v>
      </c>
      <c r="H107" s="7" t="n">
        <v>2085.9</v>
      </c>
      <c r="J107" s="7" t="n">
        <v>1519.5</v>
      </c>
      <c r="L107" s="7" t="n">
        <v>3614.9</v>
      </c>
      <c r="N107" s="7" t="n">
        <v>1368.8</v>
      </c>
      <c r="P107" s="7" t="n">
        <v>1305.1</v>
      </c>
      <c r="R107" s="7" t="n">
        <v>3077.7</v>
      </c>
      <c r="T107" s="7" t="n">
        <v>417.7</v>
      </c>
      <c r="V107" s="7" t="n">
        <v>2991.2</v>
      </c>
      <c r="X107" s="7" t="n">
        <v>1443.8</v>
      </c>
      <c r="Z107" s="7" t="n">
        <v>1069.5</v>
      </c>
      <c r="AB107" s="7" t="n">
        <v>22165.8</v>
      </c>
    </row>
    <row r="108">
      <c r="A108" s="4" t="inlineStr">
        <is>
          <t>失业</t>
        </is>
      </c>
      <c r="D108" s="7" t="n">
        <v>847.9</v>
      </c>
      <c r="F108" s="7" t="n">
        <v>367.7</v>
      </c>
      <c r="H108" s="7" t="n">
        <v>805.9</v>
      </c>
      <c r="J108" s="7" t="n">
        <v>528.4</v>
      </c>
      <c r="L108" s="7" t="n">
        <v>1000.6</v>
      </c>
      <c r="N108" s="7" t="n">
        <v>558.2</v>
      </c>
      <c r="P108" s="7" t="n">
        <v>763.8</v>
      </c>
      <c r="R108" s="7" t="n">
        <v>1576.6</v>
      </c>
      <c r="T108" s="7" t="n">
        <v>139.1</v>
      </c>
      <c r="V108" s="7" t="n">
        <v>1680.5</v>
      </c>
      <c r="X108" s="7" t="n">
        <v>833.2</v>
      </c>
      <c r="Z108" s="7" t="n">
        <v>532.7</v>
      </c>
      <c r="AB108" s="7" t="n">
        <v>9634.6</v>
      </c>
    </row>
    <row r="109">
      <c r="A109" s="4" t="inlineStr">
        <is>
          <t>生育</t>
        </is>
      </c>
      <c r="D109" s="7" t="n">
        <v>3570</v>
      </c>
      <c r="F109" s="7" t="n">
        <v>1126.8</v>
      </c>
      <c r="H109" s="7" t="n">
        <v>3092.2</v>
      </c>
      <c r="J109" s="7" t="n">
        <v>1815</v>
      </c>
      <c r="L109" s="7" t="n">
        <v>4627.2</v>
      </c>
      <c r="N109" s="7" t="n">
        <v>1942</v>
      </c>
      <c r="P109" s="7" t="n">
        <v>2416.1</v>
      </c>
      <c r="R109" s="7" t="n">
        <v>5557.6</v>
      </c>
      <c r="T109" s="7" t="n">
        <v>644.6</v>
      </c>
      <c r="V109" s="7" t="n">
        <v>4859.8</v>
      </c>
      <c r="X109" s="7" t="n">
        <v>2163</v>
      </c>
      <c r="Z109" s="7" t="n">
        <v>1425.7</v>
      </c>
      <c r="AB109" s="7" t="n">
        <v>33240</v>
      </c>
    </row>
    <row r="110">
      <c r="A110" s="4" t="inlineStr">
        <is>
          <t>公积金</t>
        </is>
      </c>
      <c r="D110" s="7" t="n">
        <v>1439.2</v>
      </c>
      <c r="F110" s="7" t="n">
        <v>812</v>
      </c>
      <c r="H110" s="7" t="n">
        <v>872.7</v>
      </c>
      <c r="J110" s="7" t="n">
        <v>981.8</v>
      </c>
      <c r="L110" s="7" t="n">
        <v>1621.2</v>
      </c>
      <c r="N110" s="7" t="n">
        <v>932.2</v>
      </c>
      <c r="P110" s="7" t="n">
        <v>876.4</v>
      </c>
      <c r="R110" s="7" t="n">
        <v>2907.3</v>
      </c>
      <c r="T110" s="7" t="n">
        <v>264.8</v>
      </c>
      <c r="V110" s="7" t="n">
        <v>1483.6</v>
      </c>
      <c r="X110" s="7" t="n">
        <v>1331.9</v>
      </c>
      <c r="Z110" s="7" t="n">
        <v>780.1</v>
      </c>
      <c r="AB110" s="7" t="n">
        <v>14303.2</v>
      </c>
    </row>
    <row r="111">
      <c r="A111" s="4" t="inlineStr">
        <is>
          <t>工会经费</t>
        </is>
      </c>
      <c r="D111" s="7" t="n">
        <v>2100.9</v>
      </c>
      <c r="F111" s="7" t="n">
        <v>1174.5</v>
      </c>
      <c r="H111" s="7" t="n">
        <v>1708.3</v>
      </c>
      <c r="J111" s="7" t="n">
        <v>1160.8</v>
      </c>
      <c r="L111" s="7" t="n">
        <v>3086.6</v>
      </c>
      <c r="N111" s="7" t="n">
        <v>992.5</v>
      </c>
      <c r="P111" s="7" t="n">
        <v>1473.2</v>
      </c>
      <c r="R111" s="7" t="n">
        <v>3061.6</v>
      </c>
      <c r="T111" s="7" t="n">
        <v>411.4</v>
      </c>
      <c r="V111" s="7" t="n">
        <v>4094</v>
      </c>
      <c r="X111" s="7" t="n">
        <v>1669.6</v>
      </c>
      <c r="Z111" s="7" t="n">
        <v>1158.7</v>
      </c>
      <c r="AB111" s="7" t="n">
        <v>22092.1</v>
      </c>
    </row>
    <row r="112">
      <c r="A112" s="4" t="inlineStr">
        <is>
          <t>职工教育经费</t>
        </is>
      </c>
      <c r="D112" s="7" t="n">
        <v>1654.2</v>
      </c>
      <c r="F112" s="7" t="n">
        <v>750.5</v>
      </c>
      <c r="H112" s="7" t="n">
        <v>1604.6</v>
      </c>
      <c r="J112" s="7" t="n">
        <v>888.2</v>
      </c>
      <c r="L112" s="7" t="n">
        <v>1779.6</v>
      </c>
      <c r="N112" s="7" t="n">
        <v>1083</v>
      </c>
      <c r="P112" s="7" t="n">
        <v>1162.4</v>
      </c>
      <c r="R112" s="7" t="n">
        <v>2220.7</v>
      </c>
      <c r="T112" s="7" t="n">
        <v>449.4</v>
      </c>
      <c r="V112" s="7" t="n">
        <v>2555.8</v>
      </c>
      <c r="X112" s="7" t="n">
        <v>1003.4</v>
      </c>
      <c r="Z112" s="7" t="n">
        <v>1093</v>
      </c>
      <c r="AB112" s="7" t="n">
        <v>16244.8</v>
      </c>
    </row>
    <row r="113">
      <c r="A113" s="4" t="inlineStr">
        <is>
          <t>福利费</t>
        </is>
      </c>
      <c r="D113" s="7" t="n">
        <v>11010.1</v>
      </c>
      <c r="F113" s="7" t="n">
        <v>4630.7</v>
      </c>
      <c r="H113" s="7" t="n">
        <v>7334.6</v>
      </c>
      <c r="J113" s="7" t="n">
        <v>6163.5</v>
      </c>
      <c r="L113" s="7" t="n">
        <v>12761.4</v>
      </c>
      <c r="N113" s="7" t="n">
        <v>4971.8</v>
      </c>
      <c r="P113" s="7" t="n">
        <v>7017.2</v>
      </c>
      <c r="R113" s="7" t="n">
        <v>15354</v>
      </c>
      <c r="T113" s="7" t="n">
        <v>2105.8</v>
      </c>
      <c r="V113" s="7" t="n">
        <v>15523.6</v>
      </c>
      <c r="X113" s="7" t="n">
        <v>8840.1</v>
      </c>
      <c r="Z113" s="7" t="n">
        <v>5475.4</v>
      </c>
      <c r="AB113" s="7" t="n">
        <v>101188.2</v>
      </c>
    </row>
    <row r="114">
      <c r="A114" s="4" t="inlineStr">
        <is>
          <t>职工房租</t>
        </is>
      </c>
      <c r="D114" s="7" t="n">
        <v>1032</v>
      </c>
      <c r="F114" s="7" t="n">
        <v>649.2</v>
      </c>
      <c r="H114" s="7" t="n">
        <v>851</v>
      </c>
      <c r="J114" s="7" t="n">
        <v>932.5</v>
      </c>
      <c r="L114" s="7" t="n">
        <v>1840.3</v>
      </c>
      <c r="N114" s="7" t="n">
        <v>453.9</v>
      </c>
      <c r="P114" s="7" t="n">
        <v>822.4</v>
      </c>
      <c r="R114" s="7" t="n">
        <v>1564.8</v>
      </c>
      <c r="T114" s="7" t="n">
        <v>216.5</v>
      </c>
      <c r="V114" s="7" t="n">
        <v>2054.9</v>
      </c>
      <c r="X114" s="7" t="n">
        <v>707.7</v>
      </c>
      <c r="Z114" s="7" t="n">
        <v>670.7</v>
      </c>
      <c r="AB114" s="7" t="n">
        <v>11795.9</v>
      </c>
    </row>
    <row r="115">
      <c r="A115" s="4" t="inlineStr">
        <is>
          <t>水电物业费</t>
        </is>
      </c>
      <c r="D115" s="7" t="n">
        <v>3114.2</v>
      </c>
      <c r="F115" s="7" t="n">
        <v>1139.6</v>
      </c>
      <c r="H115" s="7" t="n">
        <v>1626.6</v>
      </c>
      <c r="J115" s="7" t="n">
        <v>1305.6</v>
      </c>
      <c r="L115" s="7" t="n">
        <v>3143.5</v>
      </c>
      <c r="N115" s="7" t="n">
        <v>1520.6</v>
      </c>
      <c r="P115" s="7" t="n">
        <v>1309.3</v>
      </c>
      <c r="R115" s="7" t="n">
        <v>3674.6</v>
      </c>
      <c r="T115" s="7" t="n">
        <v>656.2</v>
      </c>
      <c r="V115" s="7" t="n">
        <v>2991</v>
      </c>
      <c r="X115" s="7" t="n">
        <v>2407</v>
      </c>
      <c r="Z115" s="7" t="n">
        <v>1425.4</v>
      </c>
      <c r="AB115" s="7" t="n">
        <v>24313.6</v>
      </c>
    </row>
    <row r="116">
      <c r="A116" s="4" t="inlineStr">
        <is>
          <t>员工餐</t>
        </is>
      </c>
      <c r="D116" s="7" t="n">
        <v>508.6</v>
      </c>
      <c r="F116" s="7" t="n">
        <v>153</v>
      </c>
      <c r="H116" s="7" t="n">
        <v>346.3</v>
      </c>
      <c r="J116" s="7" t="n">
        <v>202</v>
      </c>
      <c r="L116" s="7" t="n">
        <v>600.5</v>
      </c>
      <c r="N116" s="7" t="n">
        <v>209.8</v>
      </c>
      <c r="P116" s="7" t="n">
        <v>317.6</v>
      </c>
      <c r="R116" s="7" t="n">
        <v>726.1</v>
      </c>
      <c r="T116" s="7" t="n">
        <v>68.8</v>
      </c>
      <c r="V116" s="7" t="n">
        <v>590</v>
      </c>
      <c r="X116" s="7" t="n">
        <v>374.6</v>
      </c>
      <c r="Z116" s="7" t="n">
        <v>245.2</v>
      </c>
      <c r="AB116" s="7" t="n">
        <v>4342.5</v>
      </c>
    </row>
    <row r="117">
      <c r="A117" s="4" t="inlineStr">
        <is>
          <t>节日礼品</t>
        </is>
      </c>
      <c r="D117" s="7" t="n">
        <v>194.3</v>
      </c>
      <c r="F117" s="7" t="n">
        <v>146</v>
      </c>
      <c r="H117" s="7" t="n">
        <v>233.3</v>
      </c>
      <c r="J117" s="7" t="n">
        <v>173.6</v>
      </c>
      <c r="L117" s="7" t="n">
        <v>458.4</v>
      </c>
      <c r="N117" s="7" t="n">
        <v>125.9</v>
      </c>
      <c r="P117" s="7" t="n">
        <v>143</v>
      </c>
      <c r="R117" s="7" t="n">
        <v>380.3</v>
      </c>
      <c r="T117" s="7" t="n">
        <v>42.5</v>
      </c>
      <c r="V117" s="7" t="n">
        <v>418.6</v>
      </c>
      <c r="X117" s="7" t="n">
        <v>232.5</v>
      </c>
      <c r="Z117" s="7" t="n">
        <v>139.8</v>
      </c>
      <c r="AB117" s="7" t="n">
        <v>2688.2</v>
      </c>
    </row>
    <row r="118">
      <c r="A118" s="4" t="inlineStr">
        <is>
          <t>生日礼品</t>
        </is>
      </c>
      <c r="D118" s="7" t="n">
        <v>2558.7</v>
      </c>
      <c r="F118" s="7" t="n">
        <v>1377.4</v>
      </c>
      <c r="H118" s="7" t="n">
        <v>2179</v>
      </c>
      <c r="J118" s="7" t="n">
        <v>1476.8</v>
      </c>
      <c r="L118" s="7" t="n">
        <v>3257.3</v>
      </c>
      <c r="N118" s="7" t="n">
        <v>1280.6</v>
      </c>
      <c r="P118" s="7" t="n">
        <v>1882.9</v>
      </c>
      <c r="R118" s="7" t="n">
        <v>3460.9</v>
      </c>
      <c r="T118" s="7" t="n">
        <v>373.1</v>
      </c>
      <c r="V118" s="7" t="n">
        <v>4515.2</v>
      </c>
      <c r="X118" s="7" t="n">
        <v>2509</v>
      </c>
      <c r="Z118" s="7" t="n">
        <v>1176.1</v>
      </c>
      <c r="AB118" s="7" t="n">
        <v>26047</v>
      </c>
    </row>
    <row r="119">
      <c r="A119" s="4" t="inlineStr">
        <is>
          <t>体检</t>
        </is>
      </c>
      <c r="D119" s="7" t="n">
        <v>332.3</v>
      </c>
      <c r="F119" s="7" t="n">
        <v>174.2</v>
      </c>
      <c r="H119" s="7" t="n">
        <v>292.9</v>
      </c>
      <c r="J119" s="7" t="n">
        <v>312.2</v>
      </c>
      <c r="L119" s="7" t="n">
        <v>602.7</v>
      </c>
      <c r="N119" s="7" t="n">
        <v>232.3</v>
      </c>
      <c r="P119" s="7" t="n">
        <v>184.9</v>
      </c>
      <c r="R119" s="7" t="n">
        <v>694.6</v>
      </c>
      <c r="T119" s="7" t="n">
        <v>76.7</v>
      </c>
      <c r="V119" s="7" t="n">
        <v>485</v>
      </c>
      <c r="X119" s="7" t="n">
        <v>316.6</v>
      </c>
      <c r="Z119" s="7" t="n">
        <v>197.7</v>
      </c>
      <c r="AB119" s="7" t="n">
        <v>3902.1</v>
      </c>
    </row>
    <row r="120">
      <c r="A120" s="4" t="inlineStr">
        <is>
          <t>其他福利支出</t>
        </is>
      </c>
      <c r="D120" s="7" t="n">
        <v>3270</v>
      </c>
      <c r="F120" s="7" t="n">
        <v>991.3</v>
      </c>
      <c r="H120" s="7" t="n">
        <v>1805.5</v>
      </c>
      <c r="J120" s="7" t="n">
        <v>1760.8</v>
      </c>
      <c r="L120" s="7" t="n">
        <v>2858.7</v>
      </c>
      <c r="N120" s="7" t="n">
        <v>1148.7</v>
      </c>
      <c r="P120" s="7" t="n">
        <v>2357.1</v>
      </c>
      <c r="R120" s="7" t="n">
        <v>4852.7</v>
      </c>
      <c r="T120" s="7" t="n">
        <v>672</v>
      </c>
      <c r="V120" s="7" t="n">
        <v>4468.9</v>
      </c>
      <c r="X120" s="7" t="n">
        <v>2292.7</v>
      </c>
      <c r="Z120" s="7" t="n">
        <v>1620.5</v>
      </c>
      <c r="AB120" s="7" t="n">
        <v>28098.9</v>
      </c>
    </row>
    <row r="121">
      <c r="A121" s="4" t="inlineStr">
        <is>
          <t>招聘费</t>
        </is>
      </c>
      <c r="D121" s="7" t="n">
        <v>248.3</v>
      </c>
      <c r="F121" s="7" t="n">
        <v>129</v>
      </c>
      <c r="H121" s="7" t="n">
        <v>182.4</v>
      </c>
      <c r="J121" s="7" t="n">
        <v>157.1</v>
      </c>
      <c r="L121" s="7" t="n">
        <v>343.4</v>
      </c>
      <c r="N121" s="7" t="n">
        <v>110.7</v>
      </c>
      <c r="P121" s="7" t="n">
        <v>205.5</v>
      </c>
      <c r="R121" s="7" t="n">
        <v>426.5</v>
      </c>
      <c r="T121" s="7" t="n">
        <v>50.3</v>
      </c>
      <c r="V121" s="7" t="n">
        <v>416.8</v>
      </c>
      <c r="X121" s="7" t="n">
        <v>250.5</v>
      </c>
      <c r="Z121" s="7" t="n">
        <v>138.4</v>
      </c>
      <c r="AB121" s="7" t="n">
        <v>2658.9</v>
      </c>
    </row>
    <row r="122">
      <c r="A122" s="4" t="inlineStr">
        <is>
          <t>办公费</t>
        </is>
      </c>
      <c r="D122" s="7" t="n">
        <v>9975.4</v>
      </c>
      <c r="F122" s="7" t="n">
        <v>7490.3</v>
      </c>
      <c r="H122" s="7" t="n">
        <v>13299.3</v>
      </c>
      <c r="J122" s="7" t="n">
        <v>11891.6</v>
      </c>
      <c r="L122" s="7" t="n">
        <v>13907.8</v>
      </c>
      <c r="N122" s="7" t="n">
        <v>5621.6</v>
      </c>
      <c r="P122" s="7" t="n">
        <v>9248.700000000001</v>
      </c>
      <c r="R122" s="7" t="n">
        <v>22520.5</v>
      </c>
      <c r="T122" s="7" t="n">
        <v>3185.5</v>
      </c>
      <c r="V122" s="7" t="n">
        <v>18958</v>
      </c>
      <c r="X122" s="7" t="n">
        <v>13256.2</v>
      </c>
      <c r="Z122" s="7" t="n">
        <v>7929.1</v>
      </c>
      <c r="AB122" s="7" t="n">
        <v>137284</v>
      </c>
    </row>
    <row r="123">
      <c r="A123" s="4" t="inlineStr">
        <is>
          <t>市内交通费</t>
        </is>
      </c>
      <c r="D123" s="7" t="n">
        <v>396</v>
      </c>
      <c r="F123" s="7" t="n">
        <v>195.9</v>
      </c>
      <c r="H123" s="7" t="n">
        <v>243.6</v>
      </c>
      <c r="J123" s="7" t="n">
        <v>326.9</v>
      </c>
      <c r="L123" s="7" t="n">
        <v>501</v>
      </c>
      <c r="N123" s="7" t="n">
        <v>228.4</v>
      </c>
      <c r="P123" s="7" t="n">
        <v>284.6</v>
      </c>
      <c r="R123" s="7" t="n">
        <v>484</v>
      </c>
      <c r="T123" s="7" t="n">
        <v>60.6</v>
      </c>
      <c r="V123" s="7" t="n">
        <v>653.2</v>
      </c>
      <c r="X123" s="7" t="n">
        <v>260.3</v>
      </c>
      <c r="Z123" s="7" t="n">
        <v>222.8</v>
      </c>
      <c r="AB123" s="7" t="n">
        <v>3857.3</v>
      </c>
    </row>
    <row r="124">
      <c r="A124" s="4" t="inlineStr">
        <is>
          <t>差旅费</t>
        </is>
      </c>
      <c r="D124" s="7" t="n">
        <v>31365.4</v>
      </c>
      <c r="F124" s="7" t="n">
        <v>9605.299999999999</v>
      </c>
      <c r="H124" s="7" t="n">
        <v>27680.5</v>
      </c>
      <c r="J124" s="7" t="n">
        <v>16996.3</v>
      </c>
      <c r="L124" s="7" t="n">
        <v>27951</v>
      </c>
      <c r="N124" s="7" t="n">
        <v>16861.8</v>
      </c>
      <c r="P124" s="7" t="n">
        <v>20139.8</v>
      </c>
      <c r="R124" s="7" t="n">
        <v>34578.8</v>
      </c>
      <c r="T124" s="7" t="n">
        <v>5819.8</v>
      </c>
      <c r="V124" s="7" t="n">
        <v>39221.8</v>
      </c>
      <c r="X124" s="7" t="n">
        <v>23149.1</v>
      </c>
      <c r="Z124" s="7" t="n">
        <v>14413.4</v>
      </c>
      <c r="AB124" s="7" t="n">
        <v>267783</v>
      </c>
    </row>
    <row r="125">
      <c r="A125" s="4" t="inlineStr">
        <is>
          <t>交通费</t>
        </is>
      </c>
      <c r="D125" s="7" t="n">
        <v>924.6</v>
      </c>
      <c r="F125" s="7" t="n">
        <v>409.7</v>
      </c>
      <c r="H125" s="7" t="n">
        <v>980.9</v>
      </c>
      <c r="J125" s="7" t="n">
        <v>897</v>
      </c>
      <c r="L125" s="7" t="n">
        <v>1273.4</v>
      </c>
      <c r="N125" s="7" t="n">
        <v>604.2</v>
      </c>
      <c r="P125" s="7" t="n">
        <v>562.1</v>
      </c>
      <c r="R125" s="7" t="n">
        <v>2267.5</v>
      </c>
      <c r="T125" s="7" t="n">
        <v>203.5</v>
      </c>
      <c r="V125" s="7" t="n">
        <v>1691.4</v>
      </c>
      <c r="X125" s="7" t="n">
        <v>865.1</v>
      </c>
      <c r="Z125" s="7" t="n">
        <v>439.9</v>
      </c>
      <c r="AB125" s="7" t="n">
        <v>11119.3</v>
      </c>
    </row>
    <row r="126">
      <c r="A126" s="4" t="inlineStr">
        <is>
          <t>住宿费</t>
        </is>
      </c>
      <c r="D126" s="7" t="n">
        <v>3333.7</v>
      </c>
      <c r="F126" s="7" t="n">
        <v>1405.3</v>
      </c>
      <c r="H126" s="7" t="n">
        <v>2969.4</v>
      </c>
      <c r="J126" s="7" t="n">
        <v>2293.1</v>
      </c>
      <c r="L126" s="7" t="n">
        <v>3666.2</v>
      </c>
      <c r="N126" s="7" t="n">
        <v>1359.3</v>
      </c>
      <c r="P126" s="7" t="n">
        <v>1861</v>
      </c>
      <c r="R126" s="7" t="n">
        <v>5338.8</v>
      </c>
      <c r="T126" s="7" t="n">
        <v>525.1</v>
      </c>
      <c r="V126" s="7" t="n">
        <v>3253.6</v>
      </c>
      <c r="X126" s="7" t="n">
        <v>2176.5</v>
      </c>
      <c r="Z126" s="7" t="n">
        <v>1411.9</v>
      </c>
      <c r="AB126" s="7" t="n">
        <v>29593.9</v>
      </c>
    </row>
    <row r="127">
      <c r="A127" s="4" t="inlineStr">
        <is>
          <t>餐补</t>
        </is>
      </c>
      <c r="D127" s="7" t="n">
        <v>2147.2</v>
      </c>
      <c r="F127" s="7" t="n">
        <v>1560.3</v>
      </c>
      <c r="H127" s="7" t="n">
        <v>2969.5</v>
      </c>
      <c r="J127" s="7" t="n">
        <v>2469.7</v>
      </c>
      <c r="L127" s="7" t="n">
        <v>2766.5</v>
      </c>
      <c r="N127" s="7" t="n">
        <v>1443.4</v>
      </c>
      <c r="P127" s="7" t="n">
        <v>1650</v>
      </c>
      <c r="R127" s="7" t="n">
        <v>5512.7</v>
      </c>
      <c r="T127" s="7" t="n">
        <v>528.4</v>
      </c>
      <c r="V127" s="7" t="n">
        <v>4354.8</v>
      </c>
      <c r="X127" s="7" t="n">
        <v>1608.6</v>
      </c>
      <c r="Z127" s="7" t="n">
        <v>1120.6</v>
      </c>
      <c r="AB127" s="7" t="n">
        <v>28131.7</v>
      </c>
    </row>
    <row r="128">
      <c r="A128" s="4" t="inlineStr">
        <is>
          <t>交通补助</t>
        </is>
      </c>
      <c r="D128" s="7" t="n">
        <v>1466.5</v>
      </c>
      <c r="F128" s="7" t="n">
        <v>885.5</v>
      </c>
      <c r="H128" s="7" t="n">
        <v>1409.1</v>
      </c>
      <c r="J128" s="7" t="n">
        <v>1280</v>
      </c>
      <c r="L128" s="7" t="n">
        <v>2323.4</v>
      </c>
      <c r="N128" s="7" t="n">
        <v>1072.3</v>
      </c>
      <c r="P128" s="7" t="n">
        <v>969.6</v>
      </c>
      <c r="R128" s="7" t="n">
        <v>3541.2</v>
      </c>
      <c r="T128" s="7" t="n">
        <v>426.1</v>
      </c>
      <c r="V128" s="7" t="n">
        <v>2234.7</v>
      </c>
      <c r="X128" s="7" t="n">
        <v>1004.2</v>
      </c>
      <c r="Z128" s="7" t="n">
        <v>807.8</v>
      </c>
      <c r="AB128" s="7" t="n">
        <v>17420.4</v>
      </c>
    </row>
    <row r="129">
      <c r="A129" s="4" t="inlineStr">
        <is>
          <t>通讯补助</t>
        </is>
      </c>
      <c r="D129" s="7" t="n">
        <v>623.5</v>
      </c>
      <c r="F129" s="7" t="n">
        <v>410.3</v>
      </c>
      <c r="H129" s="7" t="n">
        <v>729.9</v>
      </c>
      <c r="J129" s="7" t="n">
        <v>637.1</v>
      </c>
      <c r="L129" s="7" t="n">
        <v>675.7</v>
      </c>
      <c r="N129" s="7" t="n">
        <v>416.8</v>
      </c>
      <c r="P129" s="7" t="n">
        <v>593</v>
      </c>
      <c r="R129" s="7" t="n">
        <v>1340.8</v>
      </c>
      <c r="T129" s="7" t="n">
        <v>116.1</v>
      </c>
      <c r="V129" s="7" t="n">
        <v>1109.8</v>
      </c>
      <c r="X129" s="7" t="n">
        <v>497</v>
      </c>
      <c r="Z129" s="7" t="n">
        <v>351.2</v>
      </c>
      <c r="AB129" s="7" t="n">
        <v>7501.2</v>
      </c>
    </row>
    <row r="130">
      <c r="A130" s="4" t="inlineStr">
        <is>
          <t>招待费</t>
        </is>
      </c>
      <c r="D130" s="7" t="n">
        <v>13233.4</v>
      </c>
      <c r="F130" s="7" t="n">
        <v>11584.1</v>
      </c>
      <c r="H130" s="7" t="n">
        <v>17561.2</v>
      </c>
      <c r="J130" s="7" t="n">
        <v>9921.4</v>
      </c>
      <c r="L130" s="7" t="n">
        <v>31617.6</v>
      </c>
      <c r="N130" s="7" t="n">
        <v>12347.8</v>
      </c>
      <c r="P130" s="7" t="n">
        <v>12988.4</v>
      </c>
      <c r="R130" s="7" t="n">
        <v>34614.2</v>
      </c>
      <c r="T130" s="7" t="n">
        <v>3682</v>
      </c>
      <c r="V130" s="7" t="n">
        <v>36670.6</v>
      </c>
      <c r="X130" s="7" t="n">
        <v>11591.8</v>
      </c>
      <c r="Z130" s="7" t="n">
        <v>6996.5</v>
      </c>
      <c r="AB130" s="7" t="n">
        <v>202809</v>
      </c>
    </row>
    <row r="131">
      <c r="A131" s="4" t="inlineStr">
        <is>
          <t>通讯费</t>
        </is>
      </c>
      <c r="D131" s="7" t="n">
        <v>469.1</v>
      </c>
      <c r="F131" s="7" t="n">
        <v>145.5</v>
      </c>
      <c r="H131" s="7" t="n">
        <v>354.9</v>
      </c>
      <c r="J131" s="7" t="n">
        <v>276.1</v>
      </c>
      <c r="L131" s="7" t="n">
        <v>706.3</v>
      </c>
      <c r="N131" s="7" t="n">
        <v>183.8</v>
      </c>
      <c r="P131" s="7" t="n">
        <v>240.7</v>
      </c>
      <c r="R131" s="7" t="n">
        <v>601.1</v>
      </c>
      <c r="T131" s="7" t="n">
        <v>103</v>
      </c>
      <c r="V131" s="7" t="n">
        <v>700</v>
      </c>
      <c r="X131" s="7" t="n">
        <v>385.6</v>
      </c>
      <c r="Z131" s="7" t="n">
        <v>180.1</v>
      </c>
      <c r="AB131" s="7" t="n">
        <v>4346.2</v>
      </c>
    </row>
    <row r="132">
      <c r="A132" s="4" t="inlineStr">
        <is>
          <t>网络费</t>
        </is>
      </c>
      <c r="D132" s="7" t="n">
        <v>597.1</v>
      </c>
      <c r="F132" s="7" t="n">
        <v>326.9</v>
      </c>
      <c r="H132" s="7" t="n">
        <v>811.4</v>
      </c>
      <c r="J132" s="7" t="n">
        <v>615</v>
      </c>
      <c r="L132" s="7" t="n">
        <v>892.6</v>
      </c>
      <c r="N132" s="7" t="n">
        <v>355</v>
      </c>
      <c r="P132" s="7" t="n">
        <v>560.6</v>
      </c>
      <c r="R132" s="7" t="n">
        <v>1300</v>
      </c>
      <c r="T132" s="7" t="n">
        <v>181.6</v>
      </c>
      <c r="V132" s="7" t="n">
        <v>1627.3</v>
      </c>
      <c r="X132" s="7" t="n">
        <v>567.5</v>
      </c>
      <c r="Z132" s="7" t="n">
        <v>364.5</v>
      </c>
      <c r="AB132" s="7" t="n">
        <v>8199.5</v>
      </c>
    </row>
    <row r="133">
      <c r="A133" s="4" t="inlineStr">
        <is>
          <t>修理费</t>
        </is>
      </c>
      <c r="D133" s="7" t="n">
        <v>603</v>
      </c>
      <c r="F133" s="7" t="n">
        <v>308</v>
      </c>
      <c r="H133" s="7" t="n">
        <v>752.5</v>
      </c>
      <c r="J133" s="7" t="n">
        <v>682</v>
      </c>
      <c r="L133" s="7" t="n">
        <v>1226</v>
      </c>
      <c r="N133" s="7" t="n">
        <v>313.7</v>
      </c>
      <c r="P133" s="7" t="n">
        <v>670.1</v>
      </c>
      <c r="R133" s="7" t="n">
        <v>1203.4</v>
      </c>
      <c r="T133" s="7" t="n">
        <v>130.7</v>
      </c>
      <c r="V133" s="7" t="n">
        <v>1052.7</v>
      </c>
      <c r="X133" s="7" t="n">
        <v>612.6</v>
      </c>
      <c r="Z133" s="7" t="n">
        <v>404.6</v>
      </c>
      <c r="AB133" s="7" t="n">
        <v>7959.3</v>
      </c>
    </row>
    <row r="134">
      <c r="A134" s="4" t="inlineStr">
        <is>
          <t>车辆费</t>
        </is>
      </c>
      <c r="D134" s="7" t="n">
        <v>1709</v>
      </c>
      <c r="F134" s="7" t="n">
        <v>1282.3</v>
      </c>
      <c r="H134" s="7" t="n">
        <v>1243.2</v>
      </c>
      <c r="J134" s="7" t="n">
        <v>1373.7</v>
      </c>
      <c r="L134" s="7" t="n">
        <v>2721.4</v>
      </c>
      <c r="N134" s="7" t="n">
        <v>1271.7</v>
      </c>
      <c r="P134" s="7" t="n">
        <v>1211.1</v>
      </c>
      <c r="R134" s="7" t="n">
        <v>3351.3</v>
      </c>
      <c r="T134" s="7" t="n">
        <v>523.3</v>
      </c>
      <c r="V134" s="7" t="n">
        <v>2483.9</v>
      </c>
      <c r="X134" s="7" t="n">
        <v>1211.8</v>
      </c>
      <c r="Z134" s="7" t="n">
        <v>1228.9</v>
      </c>
      <c r="AB134" s="7" t="n">
        <v>19611.6</v>
      </c>
    </row>
    <row r="135">
      <c r="A135" s="4" t="inlineStr">
        <is>
          <t>租赁费</t>
        </is>
      </c>
      <c r="D135" s="7" t="n">
        <v>28985.3</v>
      </c>
      <c r="F135" s="7" t="n">
        <v>8682.700000000001</v>
      </c>
      <c r="H135" s="7" t="n">
        <v>23260.7</v>
      </c>
      <c r="J135" s="7" t="n">
        <v>15150.6</v>
      </c>
      <c r="L135" s="7" t="n">
        <v>34014.2</v>
      </c>
      <c r="N135" s="7" t="n">
        <v>13545.7</v>
      </c>
      <c r="P135" s="7" t="n">
        <v>16837.8</v>
      </c>
      <c r="R135" s="7" t="n">
        <v>33026.6</v>
      </c>
      <c r="T135" s="7" t="n">
        <v>5919</v>
      </c>
      <c r="V135" s="7" t="n">
        <v>25442.2</v>
      </c>
      <c r="X135" s="7" t="n">
        <v>14253.2</v>
      </c>
      <c r="Z135" s="7" t="n">
        <v>14336.5</v>
      </c>
      <c r="AB135" s="7" t="n">
        <v>233454.5</v>
      </c>
    </row>
    <row r="136">
      <c r="A136" s="4" t="inlineStr">
        <is>
          <t>能源费</t>
        </is>
      </c>
      <c r="D136" s="7" t="n">
        <v>7140.4</v>
      </c>
      <c r="F136" s="7" t="n">
        <v>3968.5</v>
      </c>
      <c r="H136" s="7" t="n">
        <v>6320.3</v>
      </c>
      <c r="J136" s="7" t="n">
        <v>6131.7</v>
      </c>
      <c r="L136" s="7" t="n">
        <v>12903.5</v>
      </c>
      <c r="N136" s="7" t="n">
        <v>4359.1</v>
      </c>
      <c r="P136" s="7" t="n">
        <v>7134.9</v>
      </c>
      <c r="R136" s="7" t="n">
        <v>12265</v>
      </c>
      <c r="T136" s="7" t="n">
        <v>2147</v>
      </c>
      <c r="V136" s="7" t="n">
        <v>13943.4</v>
      </c>
      <c r="X136" s="7" t="n">
        <v>7437.7</v>
      </c>
      <c r="Z136" s="7" t="n">
        <v>4753.8</v>
      </c>
      <c r="AB136" s="7" t="n">
        <v>88505.3</v>
      </c>
    </row>
    <row r="137">
      <c r="A137" s="4" t="inlineStr">
        <is>
          <t>水费</t>
        </is>
      </c>
      <c r="D137" s="7" t="n">
        <v>1618.6</v>
      </c>
      <c r="F137" s="7" t="n">
        <v>828.4</v>
      </c>
      <c r="H137" s="7" t="n">
        <v>1417.7</v>
      </c>
      <c r="J137" s="7" t="n">
        <v>1276</v>
      </c>
      <c r="L137" s="7" t="n">
        <v>3477</v>
      </c>
      <c r="N137" s="7" t="n">
        <v>805</v>
      </c>
      <c r="P137" s="7" t="n">
        <v>1540.5</v>
      </c>
      <c r="R137" s="7" t="n">
        <v>2932.2</v>
      </c>
      <c r="T137" s="7" t="n">
        <v>391.7</v>
      </c>
      <c r="V137" s="7" t="n">
        <v>3028.1</v>
      </c>
      <c r="X137" s="7" t="n">
        <v>1781.5</v>
      </c>
      <c r="Z137" s="7" t="n">
        <v>762.1</v>
      </c>
      <c r="AB137" s="7" t="n">
        <v>19858.8</v>
      </c>
    </row>
    <row r="138">
      <c r="A138" s="4" t="inlineStr">
        <is>
          <t>电费</t>
        </is>
      </c>
      <c r="D138" s="7" t="n">
        <v>645.2</v>
      </c>
      <c r="F138" s="7" t="n">
        <v>335.5</v>
      </c>
      <c r="H138" s="7" t="n">
        <v>879.6</v>
      </c>
      <c r="J138" s="7" t="n">
        <v>611.4</v>
      </c>
      <c r="L138" s="7" t="n">
        <v>1248.4</v>
      </c>
      <c r="N138" s="7" t="n">
        <v>540.2</v>
      </c>
      <c r="P138" s="7" t="n">
        <v>692.9</v>
      </c>
      <c r="R138" s="7" t="n">
        <v>1832.9</v>
      </c>
      <c r="T138" s="7" t="n">
        <v>213.8</v>
      </c>
      <c r="V138" s="7" t="n">
        <v>1198.5</v>
      </c>
      <c r="X138" s="7" t="n">
        <v>726.9</v>
      </c>
      <c r="Z138" s="7" t="n">
        <v>419.8</v>
      </c>
      <c r="AB138" s="7" t="n">
        <v>9345.1</v>
      </c>
    </row>
    <row r="139">
      <c r="A139" s="4" t="inlineStr">
        <is>
          <t>燃气费</t>
        </is>
      </c>
      <c r="D139" s="7" t="n">
        <v>2694.3</v>
      </c>
      <c r="F139" s="7" t="n">
        <v>1245.7</v>
      </c>
      <c r="H139" s="7" t="n">
        <v>1883.5</v>
      </c>
      <c r="J139" s="7" t="n">
        <v>1750.6</v>
      </c>
      <c r="L139" s="7" t="n">
        <v>3139.5</v>
      </c>
      <c r="N139" s="7" t="n">
        <v>1846.1</v>
      </c>
      <c r="P139" s="7" t="n">
        <v>2241.5</v>
      </c>
      <c r="R139" s="7" t="n">
        <v>3397.9</v>
      </c>
      <c r="T139" s="7" t="n">
        <v>772.5</v>
      </c>
      <c r="V139" s="7" t="n">
        <v>4346.1</v>
      </c>
      <c r="X139" s="7" t="n">
        <v>2679.3</v>
      </c>
      <c r="Z139" s="7" t="n">
        <v>1796.6</v>
      </c>
      <c r="AB139" s="7" t="n">
        <v>27793.6</v>
      </c>
    </row>
    <row r="140">
      <c r="A140" s="4" t="inlineStr">
        <is>
          <t>蒸汽费</t>
        </is>
      </c>
      <c r="D140" s="7" t="n">
        <v>2182.3</v>
      </c>
      <c r="F140" s="7" t="n">
        <v>1558.9</v>
      </c>
      <c r="H140" s="7" t="n">
        <v>2139.5</v>
      </c>
      <c r="J140" s="7" t="n">
        <v>2493.7</v>
      </c>
      <c r="L140" s="7" t="n">
        <v>5038.6</v>
      </c>
      <c r="N140" s="7" t="n">
        <v>1167.8</v>
      </c>
      <c r="P140" s="7" t="n">
        <v>2660</v>
      </c>
      <c r="R140" s="7" t="n">
        <v>4102</v>
      </c>
      <c r="T140" s="7" t="n">
        <v>769</v>
      </c>
      <c r="V140" s="7" t="n">
        <v>5370.7</v>
      </c>
      <c r="X140" s="7" t="n">
        <v>2250</v>
      </c>
      <c r="Z140" s="7" t="n">
        <v>1775.3</v>
      </c>
      <c r="AB140" s="7" t="n">
        <v>31507.8</v>
      </c>
    </row>
    <row r="141">
      <c r="A141" s="4" t="inlineStr">
        <is>
          <t>物业费</t>
        </is>
      </c>
      <c r="D141" s="7" t="n">
        <v>2007.4</v>
      </c>
      <c r="F141" s="7" t="n">
        <v>1305.1</v>
      </c>
      <c r="H141" s="7" t="n">
        <v>2555.8</v>
      </c>
      <c r="J141" s="7" t="n">
        <v>2034.5</v>
      </c>
      <c r="L141" s="7" t="n">
        <v>4365.7</v>
      </c>
      <c r="N141" s="7" t="n">
        <v>990.5</v>
      </c>
      <c r="P141" s="7" t="n">
        <v>1992.6</v>
      </c>
      <c r="R141" s="7" t="n">
        <v>5429.8</v>
      </c>
      <c r="T141" s="7" t="n">
        <v>573.5</v>
      </c>
      <c r="V141" s="7" t="n">
        <v>4104.8</v>
      </c>
      <c r="X141" s="7" t="n">
        <v>1738.8</v>
      </c>
      <c r="Z141" s="7" t="n">
        <v>1654.9</v>
      </c>
      <c r="AB141" s="7" t="n">
        <v>28753.4</v>
      </c>
    </row>
    <row r="142">
      <c r="A142" s="4" t="inlineStr">
        <is>
          <t>劳动保护费</t>
        </is>
      </c>
      <c r="D142" s="7" t="n">
        <v>2586.8</v>
      </c>
      <c r="F142" s="7" t="n">
        <v>1141.9</v>
      </c>
      <c r="H142" s="7" t="n">
        <v>2239.2</v>
      </c>
      <c r="J142" s="7" t="n">
        <v>1430.8</v>
      </c>
      <c r="L142" s="7" t="n">
        <v>3062.5</v>
      </c>
      <c r="N142" s="7" t="n">
        <v>1198</v>
      </c>
      <c r="P142" s="7" t="n">
        <v>1884.6</v>
      </c>
      <c r="R142" s="7" t="n">
        <v>3127.1</v>
      </c>
      <c r="T142" s="7" t="n">
        <v>720.7</v>
      </c>
      <c r="V142" s="7" t="n">
        <v>3386.4</v>
      </c>
      <c r="X142" s="7" t="n">
        <v>1736.4</v>
      </c>
      <c r="Z142" s="7" t="n">
        <v>1509</v>
      </c>
      <c r="AB142" s="7" t="n">
        <v>24023.4</v>
      </c>
    </row>
    <row r="143">
      <c r="A143" s="4" t="inlineStr">
        <is>
          <t>顾问费</t>
        </is>
      </c>
      <c r="D143" s="7" t="n">
        <v>3267.9</v>
      </c>
      <c r="F143" s="7" t="n">
        <v>1201.8</v>
      </c>
      <c r="H143" s="7" t="n">
        <v>1673.8</v>
      </c>
      <c r="J143" s="7" t="n">
        <v>2079.9</v>
      </c>
      <c r="L143" s="7" t="n">
        <v>4753</v>
      </c>
      <c r="N143" s="7" t="n">
        <v>1749.1</v>
      </c>
      <c r="P143" s="7" t="n">
        <v>2335.3</v>
      </c>
      <c r="R143" s="7" t="n">
        <v>5659.8</v>
      </c>
      <c r="T143" s="7" t="n">
        <v>766.5</v>
      </c>
      <c r="V143" s="7" t="n">
        <v>3973.1</v>
      </c>
      <c r="X143" s="7" t="n">
        <v>2941.5</v>
      </c>
      <c r="Z143" s="7" t="n">
        <v>1304.3</v>
      </c>
      <c r="AB143" s="7" t="n">
        <v>31706</v>
      </c>
    </row>
    <row r="144">
      <c r="A144" s="4" t="inlineStr">
        <is>
          <t>快递费</t>
        </is>
      </c>
      <c r="D144" s="7" t="n">
        <v>262.4</v>
      </c>
      <c r="F144" s="7" t="n">
        <v>115.6</v>
      </c>
      <c r="H144" s="7" t="n">
        <v>205</v>
      </c>
      <c r="J144" s="7" t="n">
        <v>275.9</v>
      </c>
      <c r="L144" s="7" t="n">
        <v>491.2</v>
      </c>
      <c r="N144" s="7" t="n">
        <v>210.8</v>
      </c>
      <c r="P144" s="7" t="n">
        <v>231.6</v>
      </c>
      <c r="R144" s="7" t="n">
        <v>411.6</v>
      </c>
      <c r="T144" s="7" t="n">
        <v>84.59999999999999</v>
      </c>
      <c r="V144" s="7" t="n">
        <v>527.7</v>
      </c>
      <c r="X144" s="7" t="n">
        <v>321.5</v>
      </c>
      <c r="Z144" s="7" t="n">
        <v>179.4</v>
      </c>
      <c r="AB144" s="7" t="n">
        <v>3317.3</v>
      </c>
    </row>
    <row r="145">
      <c r="A145" s="4" t="inlineStr">
        <is>
          <t>诉讼费</t>
        </is>
      </c>
      <c r="D145" s="7" t="n">
        <v>693.2</v>
      </c>
      <c r="F145" s="7" t="n">
        <v>263</v>
      </c>
      <c r="H145" s="7" t="n">
        <v>504.2</v>
      </c>
      <c r="J145" s="7" t="n">
        <v>534.7</v>
      </c>
      <c r="L145" s="7" t="n">
        <v>717.1</v>
      </c>
      <c r="N145" s="7" t="n">
        <v>415</v>
      </c>
      <c r="P145" s="7" t="n">
        <v>596.3</v>
      </c>
      <c r="R145" s="7" t="n">
        <v>1434.9</v>
      </c>
      <c r="T145" s="7" t="n">
        <v>136.4</v>
      </c>
      <c r="V145" s="7" t="n">
        <v>1354.4</v>
      </c>
      <c r="X145" s="7" t="n">
        <v>722.6</v>
      </c>
      <c r="Z145" s="7" t="n">
        <v>243.2</v>
      </c>
      <c r="AB145" s="7" t="n">
        <v>7615</v>
      </c>
    </row>
    <row r="146">
      <c r="A146" s="4" t="inlineStr">
        <is>
          <t>会员费</t>
        </is>
      </c>
      <c r="D146" s="7" t="n">
        <v>2224.3</v>
      </c>
      <c r="F146" s="7" t="n">
        <v>1128.4</v>
      </c>
      <c r="H146" s="7" t="n">
        <v>1281.1</v>
      </c>
      <c r="J146" s="7" t="n">
        <v>1347.3</v>
      </c>
      <c r="L146" s="7" t="n">
        <v>3145.4</v>
      </c>
      <c r="N146" s="7" t="n">
        <v>772.3</v>
      </c>
      <c r="P146" s="7" t="n">
        <v>1454.2</v>
      </c>
      <c r="R146" s="7" t="n">
        <v>2571</v>
      </c>
      <c r="T146" s="7" t="n">
        <v>507.7</v>
      </c>
      <c r="V146" s="7" t="n">
        <v>2257</v>
      </c>
      <c r="X146" s="7" t="n">
        <v>1876.8</v>
      </c>
      <c r="Z146" s="7" t="n">
        <v>687.2</v>
      </c>
      <c r="AB146" s="7" t="n">
        <v>19252.7</v>
      </c>
    </row>
    <row r="147">
      <c r="A147" s="4" t="inlineStr">
        <is>
          <t>广告宣传费</t>
        </is>
      </c>
      <c r="D147" s="7" t="n">
        <v>15177.2</v>
      </c>
      <c r="F147" s="7" t="n">
        <v>7251.1</v>
      </c>
      <c r="H147" s="7" t="n">
        <v>14398</v>
      </c>
      <c r="J147" s="7" t="n">
        <v>9529.799999999999</v>
      </c>
      <c r="L147" s="7" t="n">
        <v>16262.2</v>
      </c>
      <c r="N147" s="7" t="n">
        <v>6354.4</v>
      </c>
      <c r="P147" s="7" t="n">
        <v>7130.6</v>
      </c>
      <c r="R147" s="7" t="n">
        <v>19785.9</v>
      </c>
      <c r="T147" s="7" t="n">
        <v>2287</v>
      </c>
      <c r="V147" s="7" t="n">
        <v>15001.7</v>
      </c>
      <c r="X147" s="7" t="n">
        <v>10784.9</v>
      </c>
      <c r="Z147" s="7" t="n">
        <v>7895.6</v>
      </c>
      <c r="AB147" s="7" t="n">
        <v>131858.4</v>
      </c>
    </row>
    <row r="148">
      <c r="A148" s="4" t="inlineStr">
        <is>
          <t>会务费</t>
        </is>
      </c>
      <c r="D148" s="7" t="n">
        <v>3515.9</v>
      </c>
      <c r="F148" s="7" t="n">
        <v>1411.8</v>
      </c>
      <c r="H148" s="7" t="n">
        <v>2295.4</v>
      </c>
      <c r="J148" s="7" t="n">
        <v>2143</v>
      </c>
      <c r="L148" s="7" t="n">
        <v>3050.7</v>
      </c>
      <c r="N148" s="7" t="n">
        <v>1564.6</v>
      </c>
      <c r="P148" s="7" t="n">
        <v>2484.7</v>
      </c>
      <c r="R148" s="7" t="n">
        <v>5352.3</v>
      </c>
      <c r="T148" s="7" t="n">
        <v>704.5</v>
      </c>
      <c r="V148" s="7" t="n">
        <v>3616.8</v>
      </c>
      <c r="X148" s="7" t="n">
        <v>1825.1</v>
      </c>
      <c r="Z148" s="7" t="n">
        <v>1772.1</v>
      </c>
      <c r="AB148" s="7" t="n">
        <v>29736.9</v>
      </c>
    </row>
    <row r="149">
      <c r="A149" s="4" t="inlineStr">
        <is>
          <t>装修费</t>
        </is>
      </c>
      <c r="D149" s="7" t="n">
        <v>774.8</v>
      </c>
      <c r="F149" s="7" t="n">
        <v>548.3</v>
      </c>
      <c r="H149" s="7" t="n">
        <v>560.9</v>
      </c>
      <c r="J149" s="7" t="n">
        <v>509</v>
      </c>
      <c r="L149" s="7" t="n">
        <v>1129</v>
      </c>
      <c r="N149" s="7" t="n">
        <v>549.2</v>
      </c>
      <c r="P149" s="7" t="n">
        <v>638.1</v>
      </c>
      <c r="R149" s="7" t="n">
        <v>1850.2</v>
      </c>
      <c r="T149" s="7" t="n">
        <v>145.7</v>
      </c>
      <c r="V149" s="7" t="n">
        <v>1457.8</v>
      </c>
      <c r="X149" s="7" t="n">
        <v>797.2</v>
      </c>
      <c r="Z149" s="7" t="n">
        <v>442</v>
      </c>
      <c r="AB149" s="7" t="n">
        <v>9402.200000000001</v>
      </c>
    </row>
    <row r="150">
      <c r="A150" s="4" t="inlineStr">
        <is>
          <t>推广费</t>
        </is>
      </c>
      <c r="D150" s="7" t="n">
        <v>115.6</v>
      </c>
      <c r="F150" s="7" t="n">
        <v>36.2</v>
      </c>
      <c r="H150" s="7" t="n">
        <v>97.7</v>
      </c>
      <c r="J150" s="7" t="n">
        <v>53</v>
      </c>
      <c r="L150" s="7" t="n">
        <v>97.59999999999999</v>
      </c>
      <c r="N150" s="7" t="n">
        <v>41.7</v>
      </c>
      <c r="P150" s="7" t="n">
        <v>53.1</v>
      </c>
      <c r="R150" s="7" t="n">
        <v>175.5</v>
      </c>
      <c r="T150" s="7" t="n">
        <v>23</v>
      </c>
      <c r="V150" s="7" t="n">
        <v>165</v>
      </c>
      <c r="X150" s="7" t="n">
        <v>67.40000000000001</v>
      </c>
      <c r="Z150" s="7" t="n">
        <v>40.8</v>
      </c>
      <c r="AB150" s="7" t="n">
        <v>966.6</v>
      </c>
    </row>
    <row r="151">
      <c r="A151" s="4" t="inlineStr">
        <is>
          <t>展会费</t>
        </is>
      </c>
      <c r="D151" s="7" t="n">
        <v>511</v>
      </c>
      <c r="F151" s="7" t="n">
        <v>362.5</v>
      </c>
      <c r="H151" s="7" t="n">
        <v>730.6</v>
      </c>
      <c r="J151" s="7" t="n">
        <v>404.9</v>
      </c>
      <c r="L151" s="7" t="n">
        <v>900.8</v>
      </c>
      <c r="N151" s="7" t="n">
        <v>371.4</v>
      </c>
      <c r="P151" s="7" t="n">
        <v>438.3</v>
      </c>
      <c r="R151" s="7" t="n">
        <v>1319.9</v>
      </c>
      <c r="T151" s="7" t="n">
        <v>164.6</v>
      </c>
      <c r="V151" s="7" t="n">
        <v>911.3</v>
      </c>
      <c r="X151" s="7" t="n">
        <v>430.1</v>
      </c>
      <c r="Z151" s="7" t="n">
        <v>288.7</v>
      </c>
      <c r="AB151" s="7" t="n">
        <v>6834.1</v>
      </c>
    </row>
    <row r="152">
      <c r="A152" s="4" t="inlineStr">
        <is>
          <t>设计费</t>
        </is>
      </c>
      <c r="D152" s="7" t="n">
        <v>644.4</v>
      </c>
      <c r="F152" s="7" t="n">
        <v>514.9</v>
      </c>
      <c r="H152" s="7" t="n">
        <v>659.7</v>
      </c>
      <c r="J152" s="7" t="n">
        <v>589.3</v>
      </c>
      <c r="L152" s="7" t="n">
        <v>1199.5</v>
      </c>
      <c r="N152" s="7" t="n">
        <v>523.1</v>
      </c>
      <c r="P152" s="7" t="n">
        <v>463.4</v>
      </c>
      <c r="R152" s="7" t="n">
        <v>1516.9</v>
      </c>
      <c r="T152" s="7" t="n">
        <v>154.7</v>
      </c>
      <c r="V152" s="7" t="n">
        <v>1681.3</v>
      </c>
      <c r="X152" s="7" t="n">
        <v>680.6</v>
      </c>
      <c r="Z152" s="7" t="n">
        <v>427.6</v>
      </c>
      <c r="AB152" s="7" t="n">
        <v>9055.4</v>
      </c>
    </row>
    <row r="153">
      <c r="A153" s="4" t="inlineStr">
        <is>
          <t>折旧费</t>
        </is>
      </c>
      <c r="D153" s="7" t="n">
        <v>15428</v>
      </c>
      <c r="F153" s="7" t="n">
        <v>8736.299999999999</v>
      </c>
      <c r="H153" s="7" t="n">
        <v>13022.9</v>
      </c>
      <c r="J153" s="7" t="n">
        <v>11303.9</v>
      </c>
      <c r="L153" s="7" t="n">
        <v>18600.2</v>
      </c>
      <c r="N153" s="7" t="n">
        <v>11480</v>
      </c>
      <c r="P153" s="7" t="n">
        <v>14126</v>
      </c>
      <c r="R153" s="7" t="n">
        <v>23212.6</v>
      </c>
      <c r="T153" s="7" t="n">
        <v>3613.3</v>
      </c>
      <c r="V153" s="7" t="n">
        <v>29253.3</v>
      </c>
      <c r="X153" s="7" t="n">
        <v>19795.9</v>
      </c>
      <c r="Z153" s="7" t="n">
        <v>9735.6</v>
      </c>
      <c r="AB153" s="7" t="n">
        <v>178308</v>
      </c>
    </row>
    <row r="154">
      <c r="A154" s="4" t="inlineStr">
        <is>
          <t>认证费</t>
        </is>
      </c>
      <c r="D154" s="7" t="n">
        <v>1965.6</v>
      </c>
      <c r="F154" s="7" t="n">
        <v>964.5</v>
      </c>
      <c r="H154" s="7" t="n">
        <v>1345.1</v>
      </c>
      <c r="J154" s="7" t="n">
        <v>1216.7</v>
      </c>
      <c r="L154" s="7" t="n">
        <v>2794.7</v>
      </c>
      <c r="N154" s="7" t="n">
        <v>891.2</v>
      </c>
      <c r="P154" s="7" t="n">
        <v>1431.7</v>
      </c>
      <c r="R154" s="7" t="n">
        <v>2763.6</v>
      </c>
      <c r="T154" s="7" t="n">
        <v>270.4</v>
      </c>
      <c r="V154" s="7" t="n">
        <v>3216.5</v>
      </c>
      <c r="X154" s="7" t="n">
        <v>1581.1</v>
      </c>
      <c r="Z154" s="7" t="n">
        <v>839.5</v>
      </c>
      <c r="AB154" s="7" t="n">
        <v>19280.6</v>
      </c>
    </row>
    <row r="155">
      <c r="A155" s="4" t="inlineStr">
        <is>
          <t>样品费</t>
        </is>
      </c>
      <c r="D155" s="7" t="n">
        <v>11151.1</v>
      </c>
      <c r="F155" s="7" t="n">
        <v>5266</v>
      </c>
      <c r="H155" s="7" t="n">
        <v>8621.1</v>
      </c>
      <c r="J155" s="7" t="n">
        <v>7037</v>
      </c>
      <c r="L155" s="7" t="n">
        <v>9744.1</v>
      </c>
      <c r="N155" s="7" t="n">
        <v>5754.8</v>
      </c>
      <c r="P155" s="7" t="n">
        <v>5158.4</v>
      </c>
      <c r="R155" s="7" t="n">
        <v>19934.6</v>
      </c>
      <c r="T155" s="7" t="n">
        <v>2558.3</v>
      </c>
      <c r="V155" s="7" t="n">
        <v>16913.1</v>
      </c>
      <c r="X155" s="7" t="n">
        <v>5987.1</v>
      </c>
      <c r="Z155" s="7" t="n">
        <v>4406.7</v>
      </c>
      <c r="AB155" s="7" t="n">
        <v>102532.3</v>
      </c>
    </row>
    <row r="156">
      <c r="A156" s="4" t="inlineStr">
        <is>
          <t>劳务费</t>
        </is>
      </c>
      <c r="D156" s="7" t="n">
        <v>2800.4</v>
      </c>
      <c r="F156" s="7" t="n">
        <v>1877</v>
      </c>
      <c r="H156" s="7" t="n">
        <v>2717.3</v>
      </c>
      <c r="J156" s="7" t="n">
        <v>2553</v>
      </c>
      <c r="L156" s="7" t="n">
        <v>3494.9</v>
      </c>
      <c r="N156" s="7" t="n">
        <v>2013.6</v>
      </c>
      <c r="P156" s="7" t="n">
        <v>2596.4</v>
      </c>
      <c r="R156" s="7" t="n">
        <v>3704.6</v>
      </c>
      <c r="T156" s="7" t="n">
        <v>602.6</v>
      </c>
      <c r="V156" s="7" t="n">
        <v>4339.6</v>
      </c>
      <c r="X156" s="7" t="n">
        <v>2240</v>
      </c>
      <c r="Z156" s="7" t="n">
        <v>1295.7</v>
      </c>
      <c r="AB156" s="7" t="n">
        <v>30235.1</v>
      </c>
    </row>
    <row r="157">
      <c r="A157" s="4" t="inlineStr">
        <is>
          <t>销售佣金</t>
        </is>
      </c>
      <c r="D157" s="7" t="n">
        <v>1653.2</v>
      </c>
      <c r="F157" s="7" t="n">
        <v>785.4</v>
      </c>
      <c r="H157" s="7" t="n">
        <v>1256.8</v>
      </c>
      <c r="J157" s="7" t="n">
        <v>999.3</v>
      </c>
      <c r="L157" s="7" t="n">
        <v>1804.1</v>
      </c>
      <c r="N157" s="7" t="n">
        <v>710.5</v>
      </c>
      <c r="P157" s="7" t="n">
        <v>760.6</v>
      </c>
      <c r="R157" s="7" t="n">
        <v>2442.6</v>
      </c>
      <c r="T157" s="7" t="n">
        <v>345.9</v>
      </c>
      <c r="V157" s="7" t="n">
        <v>2709.4</v>
      </c>
      <c r="X157" s="7" t="n">
        <v>1455</v>
      </c>
      <c r="Z157" s="7" t="n">
        <v>720</v>
      </c>
      <c r="AB157" s="7" t="n">
        <v>15642.8</v>
      </c>
    </row>
    <row r="158">
      <c r="A158" s="4" t="inlineStr">
        <is>
          <t>检测费</t>
        </is>
      </c>
      <c r="D158" s="7" t="n">
        <v>259.5</v>
      </c>
      <c r="F158" s="7" t="n">
        <v>150.9</v>
      </c>
      <c r="H158" s="7" t="n">
        <v>233.8</v>
      </c>
      <c r="J158" s="7" t="n">
        <v>205.7</v>
      </c>
      <c r="L158" s="7" t="n">
        <v>388.5</v>
      </c>
      <c r="N158" s="7" t="n">
        <v>163.6</v>
      </c>
      <c r="P158" s="7" t="n">
        <v>226.4</v>
      </c>
      <c r="R158" s="7" t="n">
        <v>369.5</v>
      </c>
      <c r="T158" s="7" t="n">
        <v>57.1</v>
      </c>
      <c r="V158" s="7" t="n">
        <v>371.6</v>
      </c>
      <c r="X158" s="7" t="n">
        <v>272.2</v>
      </c>
      <c r="Z158" s="7" t="n">
        <v>170.7</v>
      </c>
      <c r="AB158" s="7" t="n">
        <v>2869.5</v>
      </c>
    </row>
    <row r="159">
      <c r="A159" s="4" t="inlineStr">
        <is>
          <t>质量赔偿</t>
        </is>
      </c>
      <c r="D159" s="7" t="n">
        <v>141</v>
      </c>
      <c r="F159" s="7" t="n">
        <v>51</v>
      </c>
      <c r="H159" s="7" t="n">
        <v>83.5</v>
      </c>
      <c r="J159" s="7" t="n">
        <v>95.8</v>
      </c>
      <c r="L159" s="7" t="n">
        <v>201</v>
      </c>
      <c r="N159" s="7" t="n">
        <v>78.5</v>
      </c>
      <c r="P159" s="7" t="n">
        <v>58.1</v>
      </c>
      <c r="R159" s="7" t="n">
        <v>233.8</v>
      </c>
      <c r="T159" s="7" t="n">
        <v>22.4</v>
      </c>
      <c r="V159" s="7" t="n">
        <v>157.6</v>
      </c>
      <c r="X159" s="7" t="n">
        <v>97.59999999999999</v>
      </c>
      <c r="Z159" s="7" t="n">
        <v>65.59999999999999</v>
      </c>
      <c r="AB159" s="7" t="n">
        <v>1285.9</v>
      </c>
    </row>
    <row r="160">
      <c r="A160" s="4" t="inlineStr">
        <is>
          <t>保险费</t>
        </is>
      </c>
      <c r="D160" s="7" t="n">
        <v>353.6</v>
      </c>
      <c r="F160" s="7" t="n">
        <v>112.2</v>
      </c>
      <c r="H160" s="7" t="n">
        <v>322.3</v>
      </c>
      <c r="J160" s="7" t="n">
        <v>204.1</v>
      </c>
      <c r="L160" s="7" t="n">
        <v>485.8</v>
      </c>
      <c r="N160" s="7" t="n">
        <v>138.3</v>
      </c>
      <c r="P160" s="7" t="n">
        <v>196.4</v>
      </c>
      <c r="R160" s="7" t="n">
        <v>540.8</v>
      </c>
      <c r="T160" s="7" t="n">
        <v>52.2</v>
      </c>
      <c r="V160" s="7" t="n">
        <v>380</v>
      </c>
      <c r="X160" s="7" t="n">
        <v>296.9</v>
      </c>
      <c r="Z160" s="7" t="n">
        <v>170.3</v>
      </c>
      <c r="AB160" s="7" t="n">
        <v>3252.9</v>
      </c>
    </row>
    <row r="161">
      <c r="A161" s="4" t="inlineStr">
        <is>
          <t>清洁费</t>
        </is>
      </c>
      <c r="D161" s="7" t="n">
        <v>2732.1</v>
      </c>
      <c r="F161" s="7" t="n">
        <v>1325</v>
      </c>
      <c r="H161" s="7" t="n">
        <v>1957.9</v>
      </c>
      <c r="J161" s="7" t="n">
        <v>1300</v>
      </c>
      <c r="L161" s="7" t="n">
        <v>2786.2</v>
      </c>
      <c r="N161" s="7" t="n">
        <v>1246.5</v>
      </c>
      <c r="P161" s="7" t="n">
        <v>1248.8</v>
      </c>
      <c r="R161" s="7" t="n">
        <v>4656.9</v>
      </c>
      <c r="T161" s="7" t="n">
        <v>609.4</v>
      </c>
      <c r="V161" s="7" t="n">
        <v>2549.4</v>
      </c>
      <c r="X161" s="7" t="n">
        <v>1567.6</v>
      </c>
      <c r="Z161" s="7" t="n">
        <v>1380</v>
      </c>
      <c r="AB161" s="7" t="n">
        <v>23359.8</v>
      </c>
    </row>
    <row r="162">
      <c r="A162" s="4" t="inlineStr">
        <is>
          <t>低值易耗品</t>
        </is>
      </c>
      <c r="D162" s="7" t="n">
        <v>2096.4</v>
      </c>
      <c r="F162" s="7" t="n">
        <v>1192.4</v>
      </c>
      <c r="H162" s="7" t="n">
        <v>2674.3</v>
      </c>
      <c r="J162" s="7" t="n">
        <v>2022.2</v>
      </c>
      <c r="L162" s="7" t="n">
        <v>2993.3</v>
      </c>
      <c r="N162" s="7" t="n">
        <v>1633.7</v>
      </c>
      <c r="P162" s="7" t="n">
        <v>1766.7</v>
      </c>
      <c r="R162" s="7" t="n">
        <v>4583</v>
      </c>
      <c r="T162" s="7" t="n">
        <v>423.6</v>
      </c>
      <c r="V162" s="7" t="n">
        <v>2813.3</v>
      </c>
      <c r="X162" s="7" t="n">
        <v>1955.9</v>
      </c>
      <c r="Z162" s="7" t="n">
        <v>1339.1</v>
      </c>
      <c r="AB162" s="7" t="n">
        <v>25493.9</v>
      </c>
    </row>
    <row r="163">
      <c r="A163" s="4" t="inlineStr">
        <is>
          <t>物料消耗</t>
        </is>
      </c>
      <c r="D163" s="7" t="n">
        <v>639.9</v>
      </c>
      <c r="F163" s="7" t="n">
        <v>273.3</v>
      </c>
      <c r="H163" s="7" t="n">
        <v>412.7</v>
      </c>
      <c r="J163" s="7" t="n">
        <v>305</v>
      </c>
      <c r="L163" s="7" t="n">
        <v>908.6</v>
      </c>
      <c r="N163" s="7" t="n">
        <v>333.6</v>
      </c>
      <c r="P163" s="7" t="n">
        <v>416</v>
      </c>
      <c r="R163" s="7" t="n">
        <v>783.3</v>
      </c>
      <c r="T163" s="7" t="n">
        <v>108.2</v>
      </c>
      <c r="V163" s="7" t="n">
        <v>662.9</v>
      </c>
      <c r="X163" s="7" t="n">
        <v>468.9</v>
      </c>
      <c r="Z163" s="7" t="n">
        <v>344</v>
      </c>
      <c r="AB163" s="7" t="n">
        <v>5656.4</v>
      </c>
    </row>
    <row r="164">
      <c r="A164" s="4" t="inlineStr">
        <is>
          <t>盘盈盘亏</t>
        </is>
      </c>
      <c r="D164" s="7" t="n">
        <v>2750</v>
      </c>
      <c r="F164" s="7" t="n">
        <v>1387.5</v>
      </c>
      <c r="H164" s="7" t="n">
        <v>1886.1</v>
      </c>
      <c r="J164" s="7" t="n">
        <v>1744.3</v>
      </c>
      <c r="L164" s="7" t="n">
        <v>2525</v>
      </c>
      <c r="N164" s="7" t="n">
        <v>1636.6</v>
      </c>
      <c r="P164" s="7" t="n">
        <v>2093.2</v>
      </c>
      <c r="R164" s="7" t="n">
        <v>3061.6</v>
      </c>
      <c r="T164" s="7" t="n">
        <v>698.5</v>
      </c>
      <c r="V164" s="7" t="n">
        <v>4365.3</v>
      </c>
      <c r="X164" s="7" t="n">
        <v>2300.6</v>
      </c>
      <c r="Z164" s="7" t="n">
        <v>915.2</v>
      </c>
      <c r="AB164" s="7" t="n">
        <v>25363.9</v>
      </c>
    </row>
    <row r="165">
      <c r="A165" s="4" t="inlineStr">
        <is>
          <t>平台服务费</t>
        </is>
      </c>
      <c r="D165" s="7" t="n">
        <v>880.2</v>
      </c>
      <c r="F165" s="7" t="n">
        <v>326.1</v>
      </c>
      <c r="H165" s="7" t="n">
        <v>825.4</v>
      </c>
      <c r="J165" s="7" t="n">
        <v>589.6</v>
      </c>
      <c r="L165" s="7" t="n">
        <v>996.5</v>
      </c>
      <c r="N165" s="7" t="n">
        <v>382</v>
      </c>
      <c r="P165" s="7" t="n">
        <v>482.9</v>
      </c>
      <c r="R165" s="7" t="n">
        <v>1088</v>
      </c>
      <c r="T165" s="7" t="n">
        <v>161.7</v>
      </c>
      <c r="V165" s="7" t="n">
        <v>1306.6</v>
      </c>
      <c r="X165" s="7" t="n">
        <v>763</v>
      </c>
      <c r="Z165" s="7" t="n">
        <v>358.6</v>
      </c>
      <c r="AB165" s="7" t="n">
        <v>8160.6</v>
      </c>
    </row>
    <row r="166">
      <c r="A166" s="4" t="inlineStr">
        <is>
          <t>无形资产摊销</t>
        </is>
      </c>
      <c r="D166" s="7" t="n">
        <v>303.7</v>
      </c>
      <c r="F166" s="7" t="n">
        <v>164.2</v>
      </c>
      <c r="H166" s="7" t="n">
        <v>315.2</v>
      </c>
      <c r="J166" s="7" t="n">
        <v>203.6</v>
      </c>
      <c r="L166" s="7" t="n">
        <v>460.7</v>
      </c>
      <c r="N166" s="7" t="n">
        <v>178.2</v>
      </c>
      <c r="P166" s="7" t="n">
        <v>189.3</v>
      </c>
      <c r="R166" s="7" t="n">
        <v>396.3</v>
      </c>
      <c r="T166" s="7" t="n">
        <v>49.4</v>
      </c>
      <c r="V166" s="7" t="n">
        <v>619</v>
      </c>
      <c r="X166" s="7" t="n">
        <v>280.7</v>
      </c>
      <c r="Z166" s="7" t="n">
        <v>188.6</v>
      </c>
      <c r="AB166" s="7" t="n">
        <v>3348.9</v>
      </c>
    </row>
    <row r="167">
      <c r="A167" s="4" t="inlineStr">
        <is>
          <t>研发材料</t>
        </is>
      </c>
      <c r="D167" s="7" t="n">
        <v>867.3</v>
      </c>
      <c r="F167" s="7" t="n">
        <v>472</v>
      </c>
      <c r="H167" s="7" t="n">
        <v>586.6</v>
      </c>
      <c r="J167" s="7" t="n">
        <v>443.9</v>
      </c>
      <c r="L167" s="7" t="n">
        <v>1252.6</v>
      </c>
      <c r="N167" s="7" t="n">
        <v>529.2</v>
      </c>
      <c r="P167" s="7" t="n">
        <v>650.2</v>
      </c>
      <c r="R167" s="7" t="n">
        <v>1562.4</v>
      </c>
      <c r="T167" s="7" t="n">
        <v>180.9</v>
      </c>
      <c r="V167" s="7" t="n">
        <v>1339.7</v>
      </c>
      <c r="X167" s="7" t="n">
        <v>732.5</v>
      </c>
      <c r="Z167" s="7" t="n">
        <v>448</v>
      </c>
      <c r="AB167" s="7" t="n">
        <v>9065.299999999999</v>
      </c>
    </row>
    <row r="168">
      <c r="A168" s="4" t="inlineStr">
        <is>
          <t>项目名称</t>
        </is>
      </c>
      <c r="D168" s="7" t="n">
        <v>2508.7</v>
      </c>
      <c r="F168" s="7" t="n">
        <v>820.4</v>
      </c>
      <c r="H168" s="7" t="n">
        <v>1592.4</v>
      </c>
      <c r="J168" s="7" t="n">
        <v>1315.8</v>
      </c>
      <c r="L168" s="7" t="n">
        <v>1955.6</v>
      </c>
      <c r="N168" s="7" t="n">
        <v>1205.1</v>
      </c>
      <c r="P168" s="7" t="n">
        <v>1438.8</v>
      </c>
      <c r="R168" s="7" t="n">
        <v>2701.6</v>
      </c>
      <c r="T168" s="7" t="n">
        <v>486.6</v>
      </c>
      <c r="V168" s="7" t="n">
        <v>2555.9</v>
      </c>
      <c r="X168" s="7" t="n">
        <v>1693</v>
      </c>
      <c r="Z168" s="7" t="n">
        <v>1162.2</v>
      </c>
      <c r="AB168" s="7" t="n">
        <v>19436.1</v>
      </c>
    </row>
    <row r="169">
      <c r="A169" s="4" t="inlineStr">
        <is>
          <t>研发费</t>
        </is>
      </c>
      <c r="D169" s="7" t="n">
        <v>2947.9</v>
      </c>
      <c r="F169" s="7" t="n">
        <v>1331.9</v>
      </c>
      <c r="H169" s="7" t="n">
        <v>2795.6</v>
      </c>
      <c r="J169" s="7" t="n">
        <v>2349.5</v>
      </c>
      <c r="L169" s="7" t="n">
        <v>4598</v>
      </c>
      <c r="N169" s="7" t="n">
        <v>1198.3</v>
      </c>
      <c r="P169" s="7" t="n">
        <v>1447</v>
      </c>
      <c r="R169" s="7" t="n">
        <v>3566</v>
      </c>
      <c r="T169" s="7" t="n">
        <v>506.7</v>
      </c>
      <c r="V169" s="7" t="n">
        <v>5026.6</v>
      </c>
      <c r="X169" s="7" t="n">
        <v>2655.9</v>
      </c>
      <c r="Z169" s="7" t="n">
        <v>1111.8</v>
      </c>
      <c r="AB169" s="7" t="n">
        <v>29535.2</v>
      </c>
    </row>
    <row r="170">
      <c r="A170" s="4" t="inlineStr">
        <is>
          <t>残保金</t>
        </is>
      </c>
      <c r="D170" s="7" t="n">
        <v>1806.1</v>
      </c>
      <c r="F170" s="7" t="n">
        <v>749.3</v>
      </c>
      <c r="H170" s="7" t="n">
        <v>1585.6</v>
      </c>
      <c r="J170" s="7" t="n">
        <v>1677</v>
      </c>
      <c r="L170" s="7" t="n">
        <v>2486.7</v>
      </c>
      <c r="N170" s="7" t="n">
        <v>1303.1</v>
      </c>
      <c r="P170" s="7" t="n">
        <v>1285.6</v>
      </c>
      <c r="R170" s="7" t="n">
        <v>2947.7</v>
      </c>
      <c r="T170" s="7" t="n">
        <v>389.4</v>
      </c>
      <c r="V170" s="7" t="n">
        <v>3850.8</v>
      </c>
      <c r="X170" s="7" t="n">
        <v>1689.6</v>
      </c>
      <c r="Z170" s="7" t="n">
        <v>1255.7</v>
      </c>
      <c r="AB170" s="7" t="n">
        <v>21026.6</v>
      </c>
    </row>
    <row r="171">
      <c r="A171" s="4" t="inlineStr">
        <is>
          <t>环保费</t>
        </is>
      </c>
      <c r="D171" s="7" t="n">
        <v>2178.9</v>
      </c>
      <c r="F171" s="7" t="n">
        <v>634.1</v>
      </c>
      <c r="H171" s="7" t="n">
        <v>1839.1</v>
      </c>
      <c r="J171" s="7" t="n">
        <v>1256.2</v>
      </c>
      <c r="L171" s="7" t="n">
        <v>2946.9</v>
      </c>
      <c r="N171" s="7" t="n">
        <v>886.2</v>
      </c>
      <c r="P171" s="7" t="n">
        <v>1079.4</v>
      </c>
      <c r="R171" s="7" t="n">
        <v>2164.6</v>
      </c>
      <c r="T171" s="7" t="n">
        <v>462.5</v>
      </c>
      <c r="V171" s="7" t="n">
        <v>2136.5</v>
      </c>
      <c r="X171" s="7" t="n">
        <v>1211.2</v>
      </c>
      <c r="Z171" s="7" t="n">
        <v>835.6</v>
      </c>
      <c r="AB171" s="7" t="n">
        <v>17631.2</v>
      </c>
    </row>
    <row r="172">
      <c r="A172" s="4" t="inlineStr">
        <is>
          <t>报废损失</t>
        </is>
      </c>
      <c r="D172" s="7" t="n">
        <v>2088</v>
      </c>
      <c r="F172" s="7" t="n">
        <v>811.7</v>
      </c>
      <c r="H172" s="7" t="n">
        <v>1294.3</v>
      </c>
      <c r="J172" s="7" t="n">
        <v>1383.9</v>
      </c>
      <c r="L172" s="7" t="n">
        <v>2750.2</v>
      </c>
      <c r="N172" s="7" t="n">
        <v>923.8</v>
      </c>
      <c r="P172" s="7" t="n">
        <v>1292.4</v>
      </c>
      <c r="R172" s="7" t="n">
        <v>2324.4</v>
      </c>
      <c r="T172" s="7" t="n">
        <v>402.2</v>
      </c>
      <c r="V172" s="7" t="n">
        <v>1872.6</v>
      </c>
      <c r="X172" s="7" t="n">
        <v>1245.1</v>
      </c>
      <c r="Z172" s="7" t="n">
        <v>997.5</v>
      </c>
      <c r="AB172" s="7" t="n">
        <v>17386.1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166049.2</v>
      </c>
      <c r="D173" s="7" t="n">
        <v>86871.7</v>
      </c>
      <c r="E173" s="7" t="n">
        <v>147456.7</v>
      </c>
      <c r="F173" s="7" t="n">
        <v>176644.7</v>
      </c>
      <c r="G173" s="7" t="n">
        <v>163413.9</v>
      </c>
      <c r="H173" s="7" t="n">
        <v>191377.8</v>
      </c>
      <c r="I173" s="7" t="n">
        <v>189877.5</v>
      </c>
      <c r="J173" s="7" t="n">
        <v>275327.4</v>
      </c>
      <c r="K173" s="7" t="n">
        <v>156597</v>
      </c>
      <c r="L173" s="7" t="n">
        <v>128596.9</v>
      </c>
      <c r="M173" s="7" t="n">
        <v>181774</v>
      </c>
      <c r="N173" s="7" t="n">
        <v>137345.7</v>
      </c>
      <c r="O173" s="7" t="n">
        <v>179181.5</v>
      </c>
      <c r="P173" s="7" t="n">
        <v>295863.1</v>
      </c>
      <c r="Q173" s="7" t="n">
        <v>159613.3</v>
      </c>
      <c r="R173" s="7" t="n">
        <v>281177.2</v>
      </c>
      <c r="S173" s="7" t="n">
        <v>182642.8</v>
      </c>
      <c r="T173" s="7" t="n">
        <v>97409.39999999999</v>
      </c>
      <c r="U173" s="7" t="n">
        <v>164560.3</v>
      </c>
      <c r="V173" s="7" t="n">
        <v>257367.4</v>
      </c>
      <c r="W173" s="7" t="n">
        <v>153404.6</v>
      </c>
      <c r="X173" s="7" t="n">
        <v>86886.89999999999</v>
      </c>
      <c r="Y173" s="7" t="n">
        <v>166590.4</v>
      </c>
      <c r="Z173" s="7" t="n">
        <v>56581.9</v>
      </c>
      <c r="AA173" s="8" t="n">
        <v>2011161.2</v>
      </c>
      <c r="AB173" s="8" t="n">
        <v>2071450.1</v>
      </c>
    </row>
    <row r="174">
      <c r="A174" s="4" t="inlineStr">
        <is>
          <t>职工薪酬</t>
        </is>
      </c>
      <c r="D174" s="7" t="n">
        <v>41907.5</v>
      </c>
      <c r="F174" s="7" t="n">
        <v>75374.3</v>
      </c>
      <c r="H174" s="7" t="n">
        <v>116822.2</v>
      </c>
      <c r="J174" s="7" t="n">
        <v>152655.2</v>
      </c>
      <c r="L174" s="7" t="n">
        <v>64505.5</v>
      </c>
      <c r="N174" s="7" t="n">
        <v>60475.9</v>
      </c>
      <c r="P174" s="7" t="n">
        <v>168718.3</v>
      </c>
      <c r="R174" s="7" t="n">
        <v>129156.6</v>
      </c>
      <c r="T174" s="7" t="n">
        <v>55638.7</v>
      </c>
      <c r="V174" s="7" t="n">
        <v>124625.3</v>
      </c>
      <c r="X174" s="7" t="n">
        <v>40645</v>
      </c>
      <c r="Z174" s="7" t="n">
        <v>26224.8</v>
      </c>
      <c r="AB174" s="7" t="n">
        <v>1056749.3</v>
      </c>
    </row>
    <row r="175">
      <c r="A175" s="4" t="inlineStr">
        <is>
          <t>工资</t>
        </is>
      </c>
      <c r="D175" s="7" t="n">
        <v>23860.6</v>
      </c>
      <c r="F175" s="7" t="n">
        <v>43086.6</v>
      </c>
      <c r="H175" s="7" t="n">
        <v>72849</v>
      </c>
      <c r="J175" s="7" t="n">
        <v>103324</v>
      </c>
      <c r="L175" s="7" t="n">
        <v>36342.8</v>
      </c>
      <c r="N175" s="7" t="n">
        <v>34489.6</v>
      </c>
      <c r="P175" s="7" t="n">
        <v>100856.9</v>
      </c>
      <c r="R175" s="7" t="n">
        <v>65687.8</v>
      </c>
      <c r="T175" s="7" t="n">
        <v>33327</v>
      </c>
      <c r="V175" s="7" t="n">
        <v>81365.3</v>
      </c>
      <c r="X175" s="7" t="n">
        <v>20889.1</v>
      </c>
      <c r="Z175" s="7" t="n">
        <v>15615.8</v>
      </c>
      <c r="AB175" s="7" t="n">
        <v>631694.5</v>
      </c>
    </row>
    <row r="176">
      <c r="A176" s="4" t="inlineStr">
        <is>
          <t>奖金及提成</t>
        </is>
      </c>
      <c r="D176" s="7" t="n">
        <v>9471.799999999999</v>
      </c>
      <c r="F176" s="7" t="n">
        <v>12761.1</v>
      </c>
      <c r="H176" s="7" t="n">
        <v>23461.5</v>
      </c>
      <c r="J176" s="7" t="n">
        <v>23498.5</v>
      </c>
      <c r="L176" s="7" t="n">
        <v>13127.7</v>
      </c>
      <c r="N176" s="7" t="n">
        <v>10014.6</v>
      </c>
      <c r="P176" s="7" t="n">
        <v>38367.8</v>
      </c>
      <c r="R176" s="7" t="n">
        <v>30850.3</v>
      </c>
      <c r="T176" s="7" t="n">
        <v>10638.5</v>
      </c>
      <c r="V176" s="7" t="n">
        <v>18320.6</v>
      </c>
      <c r="X176" s="7" t="n">
        <v>9677.9</v>
      </c>
      <c r="Z176" s="7" t="n">
        <v>5375.7</v>
      </c>
      <c r="AB176" s="7" t="n">
        <v>205566</v>
      </c>
    </row>
    <row r="177">
      <c r="A177" s="4" t="inlineStr">
        <is>
          <t>社保</t>
        </is>
      </c>
      <c r="D177" s="7" t="n">
        <v>6450.4</v>
      </c>
      <c r="F177" s="7" t="n">
        <v>14532.5</v>
      </c>
      <c r="H177" s="7" t="n">
        <v>15075</v>
      </c>
      <c r="J177" s="7" t="n">
        <v>17442</v>
      </c>
      <c r="L177" s="7" t="n">
        <v>11492.6</v>
      </c>
      <c r="N177" s="7" t="n">
        <v>11846.7</v>
      </c>
      <c r="P177" s="7" t="n">
        <v>20844.6</v>
      </c>
      <c r="R177" s="7" t="n">
        <v>24676.1</v>
      </c>
      <c r="T177" s="7" t="n">
        <v>8552.5</v>
      </c>
      <c r="V177" s="7" t="n">
        <v>17747.8</v>
      </c>
      <c r="X177" s="7" t="n">
        <v>7391.5</v>
      </c>
      <c r="Z177" s="7" t="n">
        <v>3541.1</v>
      </c>
      <c r="AB177" s="7" t="n">
        <v>159592.8</v>
      </c>
    </row>
    <row r="178">
      <c r="A178" s="4" t="inlineStr">
        <is>
          <t>养老</t>
        </is>
      </c>
      <c r="D178" s="7" t="n">
        <v>361</v>
      </c>
      <c r="F178" s="7" t="n">
        <v>1088.5</v>
      </c>
      <c r="H178" s="7" t="n">
        <v>803.3</v>
      </c>
      <c r="J178" s="7" t="n">
        <v>1152.4</v>
      </c>
      <c r="L178" s="7" t="n">
        <v>535</v>
      </c>
      <c r="N178" s="7" t="n">
        <v>612.8</v>
      </c>
      <c r="P178" s="7" t="n">
        <v>1321.2</v>
      </c>
      <c r="R178" s="7" t="n">
        <v>1313.8</v>
      </c>
      <c r="T178" s="7" t="n">
        <v>537.9</v>
      </c>
      <c r="V178" s="7" t="n">
        <v>1150.9</v>
      </c>
      <c r="X178" s="7" t="n">
        <v>531</v>
      </c>
      <c r="Z178" s="7" t="n">
        <v>270.4</v>
      </c>
      <c r="AB178" s="7" t="n">
        <v>9678.200000000001</v>
      </c>
    </row>
    <row r="179">
      <c r="A179" s="4" t="inlineStr">
        <is>
          <t>医疗</t>
        </is>
      </c>
      <c r="D179" s="7" t="n">
        <v>22.4</v>
      </c>
      <c r="F179" s="7" t="n">
        <v>37.6</v>
      </c>
      <c r="H179" s="7" t="n">
        <v>62.3</v>
      </c>
      <c r="J179" s="7" t="n">
        <v>63.9</v>
      </c>
      <c r="L179" s="7" t="n">
        <v>23.3</v>
      </c>
      <c r="N179" s="7" t="n">
        <v>39.1</v>
      </c>
      <c r="P179" s="7" t="n">
        <v>95.09999999999999</v>
      </c>
      <c r="R179" s="7" t="n">
        <v>87.3</v>
      </c>
      <c r="T179" s="7" t="n">
        <v>27.7</v>
      </c>
      <c r="V179" s="7" t="n">
        <v>52.5</v>
      </c>
      <c r="X179" s="7" t="n">
        <v>16.9</v>
      </c>
      <c r="Z179" s="7" t="n">
        <v>14.7</v>
      </c>
      <c r="AB179" s="7" t="n">
        <v>542.8</v>
      </c>
    </row>
    <row r="180">
      <c r="A180" s="4" t="inlineStr">
        <is>
          <t>工伤</t>
        </is>
      </c>
      <c r="D180" s="7" t="n">
        <v>313.6</v>
      </c>
      <c r="F180" s="7" t="n">
        <v>715.4</v>
      </c>
      <c r="H180" s="7" t="n">
        <v>761.6</v>
      </c>
      <c r="J180" s="7" t="n">
        <v>1689.4</v>
      </c>
      <c r="L180" s="7" t="n">
        <v>535.5</v>
      </c>
      <c r="N180" s="7" t="n">
        <v>637.7</v>
      </c>
      <c r="P180" s="7" t="n">
        <v>1066.7</v>
      </c>
      <c r="R180" s="7" t="n">
        <v>1073.7</v>
      </c>
      <c r="T180" s="7" t="n">
        <v>334.5</v>
      </c>
      <c r="V180" s="7" t="n">
        <v>1067.7</v>
      </c>
      <c r="X180" s="7" t="n">
        <v>486.9</v>
      </c>
      <c r="Z180" s="7" t="n">
        <v>238.3</v>
      </c>
      <c r="AB180" s="7" t="n">
        <v>8921</v>
      </c>
    </row>
    <row r="181">
      <c r="A181" s="4" t="inlineStr">
        <is>
          <t>失业</t>
        </is>
      </c>
      <c r="D181" s="7" t="n">
        <v>318.5</v>
      </c>
      <c r="F181" s="7" t="n">
        <v>988</v>
      </c>
      <c r="H181" s="7" t="n">
        <v>674.3</v>
      </c>
      <c r="J181" s="7" t="n">
        <v>1615</v>
      </c>
      <c r="L181" s="7" t="n">
        <v>683.8</v>
      </c>
      <c r="N181" s="7" t="n">
        <v>533.7</v>
      </c>
      <c r="P181" s="7" t="n">
        <v>1310.3</v>
      </c>
      <c r="R181" s="7" t="n">
        <v>1310.8</v>
      </c>
      <c r="T181" s="7" t="n">
        <v>506.2</v>
      </c>
      <c r="V181" s="7" t="n">
        <v>1529.4</v>
      </c>
      <c r="X181" s="7" t="n">
        <v>318</v>
      </c>
      <c r="Z181" s="7" t="n">
        <v>325.8</v>
      </c>
      <c r="AB181" s="7" t="n">
        <v>10113.8</v>
      </c>
    </row>
    <row r="182">
      <c r="A182" s="4" t="inlineStr">
        <is>
          <t>生育</t>
        </is>
      </c>
      <c r="D182" s="7" t="n">
        <v>98</v>
      </c>
      <c r="F182" s="7" t="n">
        <v>270.6</v>
      </c>
      <c r="H182" s="7" t="n">
        <v>198.1</v>
      </c>
      <c r="J182" s="7" t="n">
        <v>307.5</v>
      </c>
      <c r="L182" s="7" t="n">
        <v>186.7</v>
      </c>
      <c r="N182" s="7" t="n">
        <v>194.3</v>
      </c>
      <c r="P182" s="7" t="n">
        <v>386.5</v>
      </c>
      <c r="R182" s="7" t="n">
        <v>397.2</v>
      </c>
      <c r="T182" s="7" t="n">
        <v>89.7</v>
      </c>
      <c r="V182" s="7" t="n">
        <v>344.9</v>
      </c>
      <c r="X182" s="7" t="n">
        <v>76.59999999999999</v>
      </c>
      <c r="Z182" s="7" t="n">
        <v>85.90000000000001</v>
      </c>
      <c r="AB182" s="7" t="n">
        <v>2636</v>
      </c>
    </row>
    <row r="183">
      <c r="A183" s="4" t="inlineStr">
        <is>
          <t>公积金</t>
        </is>
      </c>
      <c r="D183" s="7" t="n">
        <v>86.2</v>
      </c>
      <c r="F183" s="7" t="n">
        <v>194.7</v>
      </c>
      <c r="H183" s="7" t="n">
        <v>236.3</v>
      </c>
      <c r="J183" s="7" t="n">
        <v>318.6</v>
      </c>
      <c r="L183" s="7" t="n">
        <v>108.7</v>
      </c>
      <c r="N183" s="7" t="n">
        <v>133.2</v>
      </c>
      <c r="P183" s="7" t="n">
        <v>283</v>
      </c>
      <c r="R183" s="7" t="n">
        <v>210.8</v>
      </c>
      <c r="T183" s="7" t="n">
        <v>113.1</v>
      </c>
      <c r="V183" s="7" t="n">
        <v>323.6</v>
      </c>
      <c r="X183" s="7" t="n">
        <v>116.6</v>
      </c>
      <c r="Z183" s="7" t="n">
        <v>46</v>
      </c>
      <c r="AB183" s="7" t="n">
        <v>2170.8</v>
      </c>
    </row>
    <row r="184">
      <c r="A184" s="4" t="inlineStr">
        <is>
          <t>工会经费</t>
        </is>
      </c>
      <c r="D184" s="7" t="n">
        <v>402.5</v>
      </c>
      <c r="F184" s="7" t="n">
        <v>1009.4</v>
      </c>
      <c r="H184" s="7" t="n">
        <v>840.4</v>
      </c>
      <c r="J184" s="7" t="n">
        <v>1424</v>
      </c>
      <c r="L184" s="7" t="n">
        <v>689.6</v>
      </c>
      <c r="N184" s="7" t="n">
        <v>930.7</v>
      </c>
      <c r="P184" s="7" t="n">
        <v>1976.3</v>
      </c>
      <c r="R184" s="7" t="n">
        <v>1969.4</v>
      </c>
      <c r="T184" s="7" t="n">
        <v>614.9</v>
      </c>
      <c r="V184" s="7" t="n">
        <v>1613.9</v>
      </c>
      <c r="X184" s="7" t="n">
        <v>674.8</v>
      </c>
      <c r="Z184" s="7" t="n">
        <v>376.3</v>
      </c>
      <c r="AB184" s="7" t="n">
        <v>12522.2</v>
      </c>
    </row>
    <row r="185">
      <c r="A185" s="4" t="inlineStr">
        <is>
          <t>职工教育经费</t>
        </is>
      </c>
      <c r="D185" s="7" t="n">
        <v>195.4</v>
      </c>
      <c r="F185" s="7" t="n">
        <v>439</v>
      </c>
      <c r="H185" s="7" t="n">
        <v>321.4</v>
      </c>
      <c r="J185" s="7" t="n">
        <v>670</v>
      </c>
      <c r="L185" s="7" t="n">
        <v>242.2</v>
      </c>
      <c r="N185" s="7" t="n">
        <v>276.5</v>
      </c>
      <c r="P185" s="7" t="n">
        <v>725.8</v>
      </c>
      <c r="R185" s="7" t="n">
        <v>580.7</v>
      </c>
      <c r="T185" s="7" t="n">
        <v>260</v>
      </c>
      <c r="V185" s="7" t="n">
        <v>590.9</v>
      </c>
      <c r="X185" s="7" t="n">
        <v>249.2</v>
      </c>
      <c r="Z185" s="7" t="n">
        <v>92</v>
      </c>
      <c r="AB185" s="7" t="n">
        <v>4643.1</v>
      </c>
    </row>
    <row r="186">
      <c r="A186" s="4" t="inlineStr">
        <is>
          <t>福利费</t>
        </is>
      </c>
      <c r="D186" s="7" t="n">
        <v>1440.6</v>
      </c>
      <c r="F186" s="7" t="n">
        <v>3351</v>
      </c>
      <c r="H186" s="7" t="n">
        <v>4038.6</v>
      </c>
      <c r="J186" s="7" t="n">
        <v>5978.1</v>
      </c>
      <c r="L186" s="7" t="n">
        <v>2501.9</v>
      </c>
      <c r="N186" s="7" t="n">
        <v>2784.6</v>
      </c>
      <c r="P186" s="7" t="n">
        <v>5663.9</v>
      </c>
      <c r="R186" s="7" t="n">
        <v>5181.5</v>
      </c>
      <c r="T186" s="7" t="n">
        <v>2132.7</v>
      </c>
      <c r="V186" s="7" t="n">
        <v>4663.2</v>
      </c>
      <c r="X186" s="7" t="n">
        <v>1645.9</v>
      </c>
      <c r="Z186" s="7" t="n">
        <v>1177.9</v>
      </c>
      <c r="AB186" s="7" t="n">
        <v>40559.9</v>
      </c>
    </row>
    <row r="187">
      <c r="A187" s="4" t="inlineStr">
        <is>
          <t>职工房租</t>
        </is>
      </c>
      <c r="D187" s="7" t="n">
        <v>193.2</v>
      </c>
      <c r="F187" s="7" t="n">
        <v>455.7</v>
      </c>
      <c r="H187" s="7" t="n">
        <v>597.6</v>
      </c>
      <c r="J187" s="7" t="n">
        <v>705.4</v>
      </c>
      <c r="L187" s="7" t="n">
        <v>412.8</v>
      </c>
      <c r="N187" s="7" t="n">
        <v>351.7</v>
      </c>
      <c r="P187" s="7" t="n">
        <v>603.4</v>
      </c>
      <c r="R187" s="7" t="n">
        <v>742.4</v>
      </c>
      <c r="T187" s="7" t="n">
        <v>281.3</v>
      </c>
      <c r="V187" s="7" t="n">
        <v>518.3</v>
      </c>
      <c r="X187" s="7" t="n">
        <v>217.7</v>
      </c>
      <c r="Z187" s="7" t="n">
        <v>154.8</v>
      </c>
      <c r="AB187" s="7" t="n">
        <v>5234.3</v>
      </c>
    </row>
    <row r="188">
      <c r="A188" s="4" t="inlineStr">
        <is>
          <t>水电物业费</t>
        </is>
      </c>
      <c r="D188" s="7" t="n">
        <v>0.1</v>
      </c>
      <c r="F188" s="7" t="n">
        <v>0.2</v>
      </c>
      <c r="H188" s="7" t="n">
        <v>0.2</v>
      </c>
      <c r="J188" s="7" t="n">
        <v>0.3</v>
      </c>
      <c r="L188" s="7" t="n">
        <v>0.1</v>
      </c>
      <c r="N188" s="7" t="n">
        <v>0.1</v>
      </c>
      <c r="P188" s="7" t="n">
        <v>0.4</v>
      </c>
      <c r="R188" s="7" t="n">
        <v>0.4</v>
      </c>
      <c r="T188" s="7" t="n">
        <v>0.1</v>
      </c>
      <c r="V188" s="7" t="n">
        <v>0.2</v>
      </c>
      <c r="X188" s="7" t="n">
        <v>0.1</v>
      </c>
      <c r="Z188" s="7" t="n">
        <v>0.1</v>
      </c>
      <c r="AB188" s="7" t="n">
        <v>2.3</v>
      </c>
    </row>
    <row r="189">
      <c r="A189" s="4" t="inlineStr">
        <is>
          <t>员工餐</t>
        </is>
      </c>
      <c r="D189" s="7" t="n">
        <v>342</v>
      </c>
      <c r="F189" s="7" t="n">
        <v>638.4</v>
      </c>
      <c r="H189" s="7" t="n">
        <v>769.2</v>
      </c>
      <c r="J189" s="7" t="n">
        <v>1142.3</v>
      </c>
      <c r="L189" s="7" t="n">
        <v>363</v>
      </c>
      <c r="N189" s="7" t="n">
        <v>583</v>
      </c>
      <c r="P189" s="7" t="n">
        <v>905.3</v>
      </c>
      <c r="R189" s="7" t="n">
        <v>934.5</v>
      </c>
      <c r="T189" s="7" t="n">
        <v>428.6</v>
      </c>
      <c r="V189" s="7" t="n">
        <v>1208.8</v>
      </c>
      <c r="X189" s="7" t="n">
        <v>279.3</v>
      </c>
      <c r="Z189" s="7" t="n">
        <v>210.6</v>
      </c>
      <c r="AB189" s="7" t="n">
        <v>7805</v>
      </c>
    </row>
    <row r="190">
      <c r="A190" s="4" t="inlineStr">
        <is>
          <t>节日礼品</t>
        </is>
      </c>
      <c r="D190" s="7" t="n">
        <v>290.9</v>
      </c>
      <c r="F190" s="7" t="n">
        <v>649.4</v>
      </c>
      <c r="H190" s="7" t="n">
        <v>691</v>
      </c>
      <c r="J190" s="7" t="n">
        <v>1432.5</v>
      </c>
      <c r="L190" s="7" t="n">
        <v>670.8</v>
      </c>
      <c r="N190" s="7" t="n">
        <v>483.2</v>
      </c>
      <c r="P190" s="7" t="n">
        <v>1452.7</v>
      </c>
      <c r="R190" s="7" t="n">
        <v>1051.8</v>
      </c>
      <c r="T190" s="7" t="n">
        <v>564.2</v>
      </c>
      <c r="V190" s="7" t="n">
        <v>1108.8</v>
      </c>
      <c r="X190" s="7" t="n">
        <v>389.7</v>
      </c>
      <c r="Z190" s="7" t="n">
        <v>304.5</v>
      </c>
      <c r="AB190" s="7" t="n">
        <v>9089.5</v>
      </c>
    </row>
    <row r="191">
      <c r="A191" s="4" t="inlineStr">
        <is>
          <t>生日礼品</t>
        </is>
      </c>
      <c r="D191" s="7" t="n">
        <v>312.2</v>
      </c>
      <c r="F191" s="7" t="n">
        <v>787.7</v>
      </c>
      <c r="H191" s="7" t="n">
        <v>1129.8</v>
      </c>
      <c r="J191" s="7" t="n">
        <v>1556.1</v>
      </c>
      <c r="L191" s="7" t="n">
        <v>636.6</v>
      </c>
      <c r="N191" s="7" t="n">
        <v>751</v>
      </c>
      <c r="P191" s="7" t="n">
        <v>1349.3</v>
      </c>
      <c r="R191" s="7" t="n">
        <v>1447.3</v>
      </c>
      <c r="T191" s="7" t="n">
        <v>583.2</v>
      </c>
      <c r="V191" s="7" t="n">
        <v>944.5</v>
      </c>
      <c r="X191" s="7" t="n">
        <v>408.1</v>
      </c>
      <c r="Z191" s="7" t="n">
        <v>270.8</v>
      </c>
      <c r="AB191" s="7" t="n">
        <v>10176.6</v>
      </c>
    </row>
    <row r="192">
      <c r="A192" s="4" t="inlineStr">
        <is>
          <t>体检</t>
        </is>
      </c>
      <c r="D192" s="7" t="n">
        <v>34.9</v>
      </c>
      <c r="F192" s="7" t="n">
        <v>67.7</v>
      </c>
      <c r="H192" s="7" t="n">
        <v>60.3</v>
      </c>
      <c r="J192" s="7" t="n">
        <v>88.09999999999999</v>
      </c>
      <c r="L192" s="7" t="n">
        <v>51.3</v>
      </c>
      <c r="N192" s="7" t="n">
        <v>35.3</v>
      </c>
      <c r="P192" s="7" t="n">
        <v>98.7</v>
      </c>
      <c r="R192" s="7" t="n">
        <v>101.9</v>
      </c>
      <c r="T192" s="7" t="n">
        <v>24.1</v>
      </c>
      <c r="V192" s="7" t="n">
        <v>76.40000000000001</v>
      </c>
      <c r="X192" s="7" t="n">
        <v>29.3</v>
      </c>
      <c r="Z192" s="7" t="n">
        <v>22.2</v>
      </c>
      <c r="AB192" s="7" t="n">
        <v>690.2</v>
      </c>
    </row>
    <row r="193">
      <c r="A193" s="4" t="inlineStr">
        <is>
          <t>其他福利支出</t>
        </is>
      </c>
      <c r="D193" s="7" t="n">
        <v>267.3</v>
      </c>
      <c r="F193" s="7" t="n">
        <v>751.9</v>
      </c>
      <c r="H193" s="7" t="n">
        <v>790.5</v>
      </c>
      <c r="J193" s="7" t="n">
        <v>1053.4</v>
      </c>
      <c r="L193" s="7" t="n">
        <v>367.3</v>
      </c>
      <c r="N193" s="7" t="n">
        <v>580.3</v>
      </c>
      <c r="P193" s="7" t="n">
        <v>1254.1</v>
      </c>
      <c r="R193" s="7" t="n">
        <v>903.2</v>
      </c>
      <c r="T193" s="7" t="n">
        <v>251.2</v>
      </c>
      <c r="V193" s="7" t="n">
        <v>806.2</v>
      </c>
      <c r="X193" s="7" t="n">
        <v>321.7</v>
      </c>
      <c r="Z193" s="7" t="n">
        <v>214.9</v>
      </c>
      <c r="AB193" s="7" t="n">
        <v>7562</v>
      </c>
    </row>
    <row r="194">
      <c r="A194" s="4" t="inlineStr">
        <is>
          <t>招聘费</t>
        </is>
      </c>
      <c r="D194" s="7" t="n">
        <v>190.9</v>
      </c>
      <c r="F194" s="7" t="n">
        <v>421.2</v>
      </c>
      <c r="H194" s="7" t="n">
        <v>422.8</v>
      </c>
      <c r="J194" s="7" t="n">
        <v>680.7</v>
      </c>
      <c r="L194" s="7" t="n">
        <v>272.1</v>
      </c>
      <c r="N194" s="7" t="n">
        <v>220.9</v>
      </c>
      <c r="P194" s="7" t="n">
        <v>623.1</v>
      </c>
      <c r="R194" s="7" t="n">
        <v>481.9</v>
      </c>
      <c r="T194" s="7" t="n">
        <v>173.2</v>
      </c>
      <c r="V194" s="7" t="n">
        <v>556.6</v>
      </c>
      <c r="X194" s="7" t="n">
        <v>219.5</v>
      </c>
      <c r="Z194" s="7" t="n">
        <v>120.9</v>
      </c>
      <c r="AB194" s="7" t="n">
        <v>4383.8</v>
      </c>
    </row>
    <row r="195">
      <c r="A195" s="4" t="inlineStr">
        <is>
          <t>办公费</t>
        </is>
      </c>
      <c r="D195" s="7" t="n">
        <v>3322.8</v>
      </c>
      <c r="F195" s="7" t="n">
        <v>5311.7</v>
      </c>
      <c r="H195" s="7" t="n">
        <v>6410.7</v>
      </c>
      <c r="J195" s="7" t="n">
        <v>7379.6</v>
      </c>
      <c r="L195" s="7" t="n">
        <v>2967.7</v>
      </c>
      <c r="N195" s="7" t="n">
        <v>3755.1</v>
      </c>
      <c r="P195" s="7" t="n">
        <v>8771.4</v>
      </c>
      <c r="R195" s="7" t="n">
        <v>8792.799999999999</v>
      </c>
      <c r="T195" s="7" t="n">
        <v>3215.4</v>
      </c>
      <c r="V195" s="7" t="n">
        <v>7338.7</v>
      </c>
      <c r="X195" s="7" t="n">
        <v>2994.3</v>
      </c>
      <c r="Z195" s="7" t="n">
        <v>2045.2</v>
      </c>
      <c r="AB195" s="7" t="n">
        <v>62305.4</v>
      </c>
    </row>
    <row r="196">
      <c r="A196" s="4" t="inlineStr">
        <is>
          <t>市内交通费</t>
        </is>
      </c>
      <c r="D196" s="7" t="n">
        <v>196.8</v>
      </c>
      <c r="F196" s="7" t="n">
        <v>392.5</v>
      </c>
      <c r="H196" s="7" t="n">
        <v>363.7</v>
      </c>
      <c r="J196" s="7" t="n">
        <v>369.2</v>
      </c>
      <c r="L196" s="7" t="n">
        <v>189.8</v>
      </c>
      <c r="N196" s="7" t="n">
        <v>283.8</v>
      </c>
      <c r="P196" s="7" t="n">
        <v>454.8</v>
      </c>
      <c r="R196" s="7" t="n">
        <v>606.3</v>
      </c>
      <c r="T196" s="7" t="n">
        <v>145.5</v>
      </c>
      <c r="V196" s="7" t="n">
        <v>420.8</v>
      </c>
      <c r="X196" s="7" t="n">
        <v>138.5</v>
      </c>
      <c r="Z196" s="7" t="n">
        <v>127.7</v>
      </c>
      <c r="AB196" s="7" t="n">
        <v>3689.4</v>
      </c>
    </row>
    <row r="197">
      <c r="A197" s="4" t="inlineStr">
        <is>
          <t>差旅费</t>
        </is>
      </c>
      <c r="D197" s="7" t="n">
        <v>5808.4</v>
      </c>
      <c r="F197" s="7" t="n">
        <v>9295.9</v>
      </c>
      <c r="H197" s="7" t="n">
        <v>13229.8</v>
      </c>
      <c r="J197" s="7" t="n">
        <v>11884</v>
      </c>
      <c r="L197" s="7" t="n">
        <v>9169.6</v>
      </c>
      <c r="N197" s="7" t="n">
        <v>6275.2</v>
      </c>
      <c r="P197" s="7" t="n">
        <v>21671.8</v>
      </c>
      <c r="R197" s="7" t="n">
        <v>19294.9</v>
      </c>
      <c r="T197" s="7" t="n">
        <v>7124</v>
      </c>
      <c r="V197" s="7" t="n">
        <v>17688.1</v>
      </c>
      <c r="X197" s="7" t="n">
        <v>5404.9</v>
      </c>
      <c r="Z197" s="7" t="n">
        <v>2860.4</v>
      </c>
      <c r="AB197" s="7" t="n">
        <v>129707</v>
      </c>
    </row>
    <row r="198">
      <c r="A198" s="4" t="inlineStr">
        <is>
          <t>交通费</t>
        </is>
      </c>
      <c r="D198" s="7" t="n">
        <v>526.9</v>
      </c>
      <c r="F198" s="7" t="n">
        <v>792.7</v>
      </c>
      <c r="H198" s="7" t="n">
        <v>1081.4</v>
      </c>
      <c r="J198" s="7" t="n">
        <v>1778.4</v>
      </c>
      <c r="L198" s="7" t="n">
        <v>616.8</v>
      </c>
      <c r="N198" s="7" t="n">
        <v>899.9</v>
      </c>
      <c r="P198" s="7" t="n">
        <v>1956</v>
      </c>
      <c r="R198" s="7" t="n">
        <v>1283.5</v>
      </c>
      <c r="T198" s="7" t="n">
        <v>516.6</v>
      </c>
      <c r="V198" s="7" t="n">
        <v>936.8</v>
      </c>
      <c r="X198" s="7" t="n">
        <v>380.2</v>
      </c>
      <c r="Z198" s="7" t="n">
        <v>312.1</v>
      </c>
      <c r="AB198" s="7" t="n">
        <v>11081.3</v>
      </c>
    </row>
    <row r="199">
      <c r="A199" s="4" t="inlineStr">
        <is>
          <t>住宿费</t>
        </is>
      </c>
      <c r="D199" s="7" t="n">
        <v>543.6</v>
      </c>
      <c r="F199" s="7" t="n">
        <v>1083.7</v>
      </c>
      <c r="H199" s="7" t="n">
        <v>1222</v>
      </c>
      <c r="J199" s="7" t="n">
        <v>1583</v>
      </c>
      <c r="L199" s="7" t="n">
        <v>716.9</v>
      </c>
      <c r="N199" s="7" t="n">
        <v>811</v>
      </c>
      <c r="P199" s="7" t="n">
        <v>1557.4</v>
      </c>
      <c r="R199" s="7" t="n">
        <v>1529.2</v>
      </c>
      <c r="T199" s="7" t="n">
        <v>581.5</v>
      </c>
      <c r="V199" s="7" t="n">
        <v>1685.1</v>
      </c>
      <c r="X199" s="7" t="n">
        <v>390</v>
      </c>
      <c r="Z199" s="7" t="n">
        <v>233.7</v>
      </c>
      <c r="AB199" s="7" t="n">
        <v>11937.1</v>
      </c>
    </row>
    <row r="200">
      <c r="A200" s="4" t="inlineStr">
        <is>
          <t>餐补</t>
        </is>
      </c>
      <c r="D200" s="7" t="n">
        <v>315.8</v>
      </c>
      <c r="F200" s="7" t="n">
        <v>636</v>
      </c>
      <c r="H200" s="7" t="n">
        <v>863.8</v>
      </c>
      <c r="J200" s="7" t="n">
        <v>1141.7</v>
      </c>
      <c r="L200" s="7" t="n">
        <v>551</v>
      </c>
      <c r="N200" s="7" t="n">
        <v>635.7</v>
      </c>
      <c r="P200" s="7" t="n">
        <v>1030.4</v>
      </c>
      <c r="R200" s="7" t="n">
        <v>1322.1</v>
      </c>
      <c r="T200" s="7" t="n">
        <v>372</v>
      </c>
      <c r="V200" s="7" t="n">
        <v>1035</v>
      </c>
      <c r="X200" s="7" t="n">
        <v>437.9</v>
      </c>
      <c r="Z200" s="7" t="n">
        <v>200.8</v>
      </c>
      <c r="AB200" s="7" t="n">
        <v>8542.200000000001</v>
      </c>
    </row>
    <row r="201">
      <c r="A201" s="4" t="inlineStr">
        <is>
          <t>交通补助</t>
        </is>
      </c>
      <c r="D201" s="7" t="n">
        <v>78.2</v>
      </c>
      <c r="F201" s="7" t="n">
        <v>130.1</v>
      </c>
      <c r="H201" s="7" t="n">
        <v>242.9</v>
      </c>
      <c r="J201" s="7" t="n">
        <v>296.7</v>
      </c>
      <c r="L201" s="7" t="n">
        <v>142.2</v>
      </c>
      <c r="N201" s="7" t="n">
        <v>137.6</v>
      </c>
      <c r="P201" s="7" t="n">
        <v>311.2</v>
      </c>
      <c r="R201" s="7" t="n">
        <v>259.3</v>
      </c>
      <c r="T201" s="7" t="n">
        <v>114.9</v>
      </c>
      <c r="V201" s="7" t="n">
        <v>231.1</v>
      </c>
      <c r="X201" s="7" t="n">
        <v>72.90000000000001</v>
      </c>
      <c r="Z201" s="7" t="n">
        <v>46.2</v>
      </c>
      <c r="AB201" s="7" t="n">
        <v>2063.3</v>
      </c>
    </row>
    <row r="202">
      <c r="A202" s="4" t="inlineStr">
        <is>
          <t>通讯补助</t>
        </is>
      </c>
      <c r="D202" s="7" t="n">
        <v>39</v>
      </c>
      <c r="F202" s="7" t="n">
        <v>75</v>
      </c>
      <c r="H202" s="7" t="n">
        <v>87.5</v>
      </c>
      <c r="J202" s="7" t="n">
        <v>93</v>
      </c>
      <c r="L202" s="7" t="n">
        <v>47.9</v>
      </c>
      <c r="N202" s="7" t="n">
        <v>50.8</v>
      </c>
      <c r="P202" s="7" t="n">
        <v>118.9</v>
      </c>
      <c r="R202" s="7" t="n">
        <v>115.2</v>
      </c>
      <c r="T202" s="7" t="n">
        <v>36.2</v>
      </c>
      <c r="V202" s="7" t="n">
        <v>132.5</v>
      </c>
      <c r="X202" s="7" t="n">
        <v>39.6</v>
      </c>
      <c r="Z202" s="7" t="n">
        <v>32.8</v>
      </c>
      <c r="AB202" s="7" t="n">
        <v>868.4</v>
      </c>
    </row>
    <row r="203">
      <c r="A203" s="4" t="inlineStr">
        <is>
          <t>招待费</t>
        </is>
      </c>
      <c r="D203" s="7" t="n">
        <v>4149.7</v>
      </c>
      <c r="F203" s="7" t="n">
        <v>9105.5</v>
      </c>
      <c r="H203" s="7" t="n">
        <v>5399</v>
      </c>
      <c r="J203" s="7" t="n">
        <v>12129.4</v>
      </c>
      <c r="L203" s="7" t="n">
        <v>4976.2</v>
      </c>
      <c r="N203" s="7" t="n">
        <v>6827.2</v>
      </c>
      <c r="P203" s="7" t="n">
        <v>12641.9</v>
      </c>
      <c r="R203" s="7" t="n">
        <v>12064.5</v>
      </c>
      <c r="T203" s="7" t="n">
        <v>4969.2</v>
      </c>
      <c r="V203" s="7" t="n">
        <v>11422.3</v>
      </c>
      <c r="X203" s="7" t="n">
        <v>3102.1</v>
      </c>
      <c r="Z203" s="7" t="n">
        <v>2828.1</v>
      </c>
      <c r="AB203" s="7" t="n">
        <v>89615.10000000001</v>
      </c>
    </row>
    <row r="204">
      <c r="A204" s="4" t="inlineStr">
        <is>
          <t>通讯费</t>
        </is>
      </c>
      <c r="D204" s="7" t="n">
        <v>501.5</v>
      </c>
      <c r="F204" s="7" t="n">
        <v>1121</v>
      </c>
      <c r="H204" s="7" t="n">
        <v>1031.4</v>
      </c>
      <c r="J204" s="7" t="n">
        <v>2127.2</v>
      </c>
      <c r="L204" s="7" t="n">
        <v>950.9</v>
      </c>
      <c r="N204" s="7" t="n">
        <v>787.2</v>
      </c>
      <c r="P204" s="7" t="n">
        <v>2166.5</v>
      </c>
      <c r="R204" s="7" t="n">
        <v>1685.4</v>
      </c>
      <c r="T204" s="7" t="n">
        <v>438.4</v>
      </c>
      <c r="V204" s="7" t="n">
        <v>1975.9</v>
      </c>
      <c r="X204" s="7" t="n">
        <v>439.1</v>
      </c>
      <c r="Z204" s="7" t="n">
        <v>353.5</v>
      </c>
      <c r="AB204" s="7" t="n">
        <v>13578</v>
      </c>
    </row>
    <row r="205">
      <c r="A205" s="4" t="inlineStr">
        <is>
          <t>网络费</t>
        </is>
      </c>
      <c r="D205" s="7" t="n">
        <v>432.4</v>
      </c>
      <c r="F205" s="7" t="n">
        <v>1399</v>
      </c>
      <c r="H205" s="7" t="n">
        <v>1217.1</v>
      </c>
      <c r="J205" s="7" t="n">
        <v>1205.9</v>
      </c>
      <c r="L205" s="7" t="n">
        <v>591.1</v>
      </c>
      <c r="N205" s="7" t="n">
        <v>941.3</v>
      </c>
      <c r="P205" s="7" t="n">
        <v>2141.6</v>
      </c>
      <c r="R205" s="7" t="n">
        <v>2131.1</v>
      </c>
      <c r="T205" s="7" t="n">
        <v>578.1</v>
      </c>
      <c r="V205" s="7" t="n">
        <v>1220</v>
      </c>
      <c r="X205" s="7" t="n">
        <v>552.5</v>
      </c>
      <c r="Z205" s="7" t="n">
        <v>394.6</v>
      </c>
      <c r="AB205" s="7" t="n">
        <v>12804.7</v>
      </c>
    </row>
    <row r="206">
      <c r="A206" s="4" t="inlineStr">
        <is>
          <t>修理费</t>
        </is>
      </c>
      <c r="D206" s="7" t="n">
        <v>647.9</v>
      </c>
      <c r="F206" s="7" t="n">
        <v>1230.2</v>
      </c>
      <c r="H206" s="7" t="n">
        <v>1548.3</v>
      </c>
      <c r="J206" s="7" t="n">
        <v>2023.6</v>
      </c>
      <c r="L206" s="7" t="n">
        <v>652.2</v>
      </c>
      <c r="N206" s="7" t="n">
        <v>857.7</v>
      </c>
      <c r="P206" s="7" t="n">
        <v>1702.7</v>
      </c>
      <c r="R206" s="7" t="n">
        <v>1354.5</v>
      </c>
      <c r="T206" s="7" t="n">
        <v>456.8</v>
      </c>
      <c r="V206" s="7" t="n">
        <v>1938.4</v>
      </c>
      <c r="X206" s="7" t="n">
        <v>575.6</v>
      </c>
      <c r="Z206" s="7" t="n">
        <v>378.5</v>
      </c>
      <c r="AB206" s="7" t="n">
        <v>13366.4</v>
      </c>
    </row>
    <row r="207">
      <c r="A207" s="4" t="inlineStr">
        <is>
          <t>车辆费</t>
        </is>
      </c>
      <c r="D207" s="7" t="n">
        <v>110.9</v>
      </c>
      <c r="F207" s="7" t="n">
        <v>246</v>
      </c>
      <c r="H207" s="7" t="n">
        <v>308</v>
      </c>
      <c r="J207" s="7" t="n">
        <v>394.5</v>
      </c>
      <c r="L207" s="7" t="n">
        <v>136.3</v>
      </c>
      <c r="N207" s="7" t="n">
        <v>226.3</v>
      </c>
      <c r="P207" s="7" t="n">
        <v>450.9</v>
      </c>
      <c r="R207" s="7" t="n">
        <v>455.3</v>
      </c>
      <c r="T207" s="7" t="n">
        <v>155.7</v>
      </c>
      <c r="V207" s="7" t="n">
        <v>443.2</v>
      </c>
      <c r="X207" s="7" t="n">
        <v>136.4</v>
      </c>
      <c r="Z207" s="7" t="n">
        <v>94.59999999999999</v>
      </c>
      <c r="AB207" s="7" t="n">
        <v>3158.1</v>
      </c>
    </row>
    <row r="208">
      <c r="A208" s="4" t="inlineStr">
        <is>
          <t>租赁费</t>
        </is>
      </c>
      <c r="D208" s="7" t="n">
        <v>3229.7</v>
      </c>
      <c r="F208" s="7" t="n">
        <v>11100.6</v>
      </c>
      <c r="H208" s="7" t="n">
        <v>7307.6</v>
      </c>
      <c r="J208" s="7" t="n">
        <v>16136</v>
      </c>
      <c r="L208" s="7" t="n">
        <v>5663.5</v>
      </c>
      <c r="N208" s="7" t="n">
        <v>5163.5</v>
      </c>
      <c r="P208" s="7" t="n">
        <v>17147.7</v>
      </c>
      <c r="R208" s="7" t="n">
        <v>13533.1</v>
      </c>
      <c r="T208" s="7" t="n">
        <v>4564</v>
      </c>
      <c r="V208" s="7" t="n">
        <v>14109.3</v>
      </c>
      <c r="X208" s="7" t="n">
        <v>4276.5</v>
      </c>
      <c r="Z208" s="7" t="n">
        <v>2885.9</v>
      </c>
      <c r="AB208" s="7" t="n">
        <v>105117.4</v>
      </c>
    </row>
    <row r="209">
      <c r="A209" s="4" t="inlineStr">
        <is>
          <t>能源费</t>
        </is>
      </c>
      <c r="D209" s="7" t="n">
        <v>991.1</v>
      </c>
      <c r="F209" s="7" t="n">
        <v>1995.9</v>
      </c>
      <c r="H209" s="7" t="n">
        <v>2478.7</v>
      </c>
      <c r="J209" s="7" t="n">
        <v>3356</v>
      </c>
      <c r="L209" s="7" t="n">
        <v>1509.5</v>
      </c>
      <c r="N209" s="7" t="n">
        <v>1911.4</v>
      </c>
      <c r="P209" s="7" t="n">
        <v>3609.6</v>
      </c>
      <c r="R209" s="7" t="n">
        <v>3687.5</v>
      </c>
      <c r="T209" s="7" t="n">
        <v>1378.4</v>
      </c>
      <c r="V209" s="7" t="n">
        <v>3766.3</v>
      </c>
      <c r="X209" s="7" t="n">
        <v>1069.2</v>
      </c>
      <c r="Z209" s="7" t="n">
        <v>799.1</v>
      </c>
      <c r="AB209" s="7" t="n">
        <v>26552.7</v>
      </c>
    </row>
    <row r="210">
      <c r="A210" s="4" t="inlineStr">
        <is>
          <t>水费</t>
        </is>
      </c>
      <c r="D210" s="7" t="n">
        <v>325.7</v>
      </c>
      <c r="F210" s="7" t="n">
        <v>496.2</v>
      </c>
      <c r="H210" s="7" t="n">
        <v>488.3</v>
      </c>
      <c r="J210" s="7" t="n">
        <v>1057.3</v>
      </c>
      <c r="L210" s="7" t="n">
        <v>477.2</v>
      </c>
      <c r="N210" s="7" t="n">
        <v>632.2</v>
      </c>
      <c r="P210" s="7" t="n">
        <v>948</v>
      </c>
      <c r="R210" s="7" t="n">
        <v>1172.6</v>
      </c>
      <c r="T210" s="7" t="n">
        <v>439.2</v>
      </c>
      <c r="V210" s="7" t="n">
        <v>846.6</v>
      </c>
      <c r="X210" s="7" t="n">
        <v>298.8</v>
      </c>
      <c r="Z210" s="7" t="n">
        <v>223.4</v>
      </c>
      <c r="AB210" s="7" t="n">
        <v>7405.5</v>
      </c>
    </row>
    <row r="211">
      <c r="A211" s="4" t="inlineStr">
        <is>
          <t>电费</t>
        </is>
      </c>
      <c r="D211" s="7" t="n">
        <v>232.6</v>
      </c>
      <c r="F211" s="7" t="n">
        <v>494.2</v>
      </c>
      <c r="H211" s="7" t="n">
        <v>772.4</v>
      </c>
      <c r="J211" s="7" t="n">
        <v>755.7</v>
      </c>
      <c r="L211" s="7" t="n">
        <v>349.6</v>
      </c>
      <c r="N211" s="7" t="n">
        <v>544.6</v>
      </c>
      <c r="P211" s="7" t="n">
        <v>1204.6</v>
      </c>
      <c r="R211" s="7" t="n">
        <v>1144.3</v>
      </c>
      <c r="T211" s="7" t="n">
        <v>412.3</v>
      </c>
      <c r="V211" s="7" t="n">
        <v>1121.6</v>
      </c>
      <c r="X211" s="7" t="n">
        <v>285.2</v>
      </c>
      <c r="Z211" s="7" t="n">
        <v>195.8</v>
      </c>
      <c r="AB211" s="7" t="n">
        <v>7512.9</v>
      </c>
    </row>
    <row r="212">
      <c r="A212" s="4" t="inlineStr">
        <is>
          <t>燃气费</t>
        </is>
      </c>
      <c r="D212" s="7" t="n">
        <v>122.6</v>
      </c>
      <c r="F212" s="7" t="n">
        <v>255.5</v>
      </c>
      <c r="H212" s="7" t="n">
        <v>414.1</v>
      </c>
      <c r="J212" s="7" t="n">
        <v>520.7</v>
      </c>
      <c r="L212" s="7" t="n">
        <v>220.2</v>
      </c>
      <c r="N212" s="7" t="n">
        <v>203.4</v>
      </c>
      <c r="P212" s="7" t="n">
        <v>616.5</v>
      </c>
      <c r="R212" s="7" t="n">
        <v>407.3</v>
      </c>
      <c r="T212" s="7" t="n">
        <v>199</v>
      </c>
      <c r="V212" s="7" t="n">
        <v>608.3</v>
      </c>
      <c r="X212" s="7" t="n">
        <v>147.5</v>
      </c>
      <c r="Z212" s="7" t="n">
        <v>104.6</v>
      </c>
      <c r="AB212" s="7" t="n">
        <v>3819.7</v>
      </c>
    </row>
    <row r="213">
      <c r="A213" s="4" t="inlineStr">
        <is>
          <t>蒸汽费</t>
        </is>
      </c>
      <c r="D213" s="7" t="n">
        <v>310.2</v>
      </c>
      <c r="F213" s="7" t="n">
        <v>750</v>
      </c>
      <c r="H213" s="7" t="n">
        <v>803.9</v>
      </c>
      <c r="J213" s="7" t="n">
        <v>1022.3</v>
      </c>
      <c r="L213" s="7" t="n">
        <v>462.5</v>
      </c>
      <c r="N213" s="7" t="n">
        <v>531.2</v>
      </c>
      <c r="P213" s="7" t="n">
        <v>840.5</v>
      </c>
      <c r="R213" s="7" t="n">
        <v>963.3</v>
      </c>
      <c r="T213" s="7" t="n">
        <v>327.9</v>
      </c>
      <c r="V213" s="7" t="n">
        <v>1189.8</v>
      </c>
      <c r="X213" s="7" t="n">
        <v>337.7</v>
      </c>
      <c r="Z213" s="7" t="n">
        <v>275.3</v>
      </c>
      <c r="AB213" s="7" t="n">
        <v>7814.6</v>
      </c>
    </row>
    <row r="214">
      <c r="A214" s="4" t="inlineStr">
        <is>
          <t>物业费</t>
        </is>
      </c>
      <c r="D214" s="7" t="n">
        <v>87.2</v>
      </c>
      <c r="F214" s="7" t="n">
        <v>190.8</v>
      </c>
      <c r="H214" s="7" t="n">
        <v>164.8</v>
      </c>
      <c r="J214" s="7" t="n">
        <v>221.9</v>
      </c>
      <c r="L214" s="7" t="n">
        <v>100</v>
      </c>
      <c r="N214" s="7" t="n">
        <v>124.7</v>
      </c>
      <c r="P214" s="7" t="n">
        <v>209.9</v>
      </c>
      <c r="R214" s="7" t="n">
        <v>263.5</v>
      </c>
      <c r="T214" s="7" t="n">
        <v>103.4</v>
      </c>
      <c r="V214" s="7" t="n">
        <v>275.4</v>
      </c>
      <c r="X214" s="7" t="n">
        <v>60</v>
      </c>
      <c r="Z214" s="7" t="n">
        <v>51</v>
      </c>
      <c r="AB214" s="7" t="n">
        <v>1852.6</v>
      </c>
    </row>
    <row r="215">
      <c r="A215" s="4" t="inlineStr">
        <is>
          <t>劳动保护费</t>
        </is>
      </c>
      <c r="D215" s="7" t="n">
        <v>184.7</v>
      </c>
      <c r="F215" s="7" t="n">
        <v>227.4</v>
      </c>
      <c r="H215" s="7" t="n">
        <v>246.2</v>
      </c>
      <c r="J215" s="7" t="n">
        <v>338</v>
      </c>
      <c r="L215" s="7" t="n">
        <v>222.9</v>
      </c>
      <c r="N215" s="7" t="n">
        <v>170.4</v>
      </c>
      <c r="P215" s="7" t="n">
        <v>535.8</v>
      </c>
      <c r="R215" s="7" t="n">
        <v>457.7</v>
      </c>
      <c r="T215" s="7" t="n">
        <v>177.2</v>
      </c>
      <c r="V215" s="7" t="n">
        <v>552.5</v>
      </c>
      <c r="X215" s="7" t="n">
        <v>154.6</v>
      </c>
      <c r="Z215" s="7" t="n">
        <v>100.2</v>
      </c>
      <c r="AB215" s="7" t="n">
        <v>3367.6</v>
      </c>
    </row>
    <row r="216">
      <c r="A216" s="4" t="inlineStr">
        <is>
          <t>顾问费</t>
        </is>
      </c>
      <c r="D216" s="7" t="n">
        <v>559.4</v>
      </c>
      <c r="F216" s="7" t="n">
        <v>1347.9</v>
      </c>
      <c r="H216" s="7" t="n">
        <v>1152.4</v>
      </c>
      <c r="J216" s="7" t="n">
        <v>1503.8</v>
      </c>
      <c r="L216" s="7" t="n">
        <v>979.7</v>
      </c>
      <c r="N216" s="7" t="n">
        <v>1025.4</v>
      </c>
      <c r="P216" s="7" t="n">
        <v>1694.6</v>
      </c>
      <c r="R216" s="7" t="n">
        <v>1802.4</v>
      </c>
      <c r="T216" s="7" t="n">
        <v>641.9</v>
      </c>
      <c r="V216" s="7" t="n">
        <v>1581.1</v>
      </c>
      <c r="X216" s="7" t="n">
        <v>569.8</v>
      </c>
      <c r="Z216" s="7" t="n">
        <v>406.7</v>
      </c>
      <c r="AB216" s="7" t="n">
        <v>13265.1</v>
      </c>
    </row>
    <row r="217">
      <c r="A217" s="4" t="inlineStr">
        <is>
          <t>快递费</t>
        </is>
      </c>
      <c r="D217" s="7" t="n">
        <v>571.9</v>
      </c>
      <c r="F217" s="7" t="n">
        <v>1049.4</v>
      </c>
      <c r="H217" s="7" t="n">
        <v>850.8</v>
      </c>
      <c r="J217" s="7" t="n">
        <v>1544</v>
      </c>
      <c r="L217" s="7" t="n">
        <v>692</v>
      </c>
      <c r="N217" s="7" t="n">
        <v>616.7</v>
      </c>
      <c r="P217" s="7" t="n">
        <v>2088.1</v>
      </c>
      <c r="R217" s="7" t="n">
        <v>1713</v>
      </c>
      <c r="T217" s="7" t="n">
        <v>693.7</v>
      </c>
      <c r="V217" s="7" t="n">
        <v>1633.7</v>
      </c>
      <c r="X217" s="7" t="n">
        <v>478.4</v>
      </c>
      <c r="Z217" s="7" t="n">
        <v>288</v>
      </c>
      <c r="AB217" s="7" t="n">
        <v>12219.7</v>
      </c>
    </row>
    <row r="218">
      <c r="A218" s="4" t="inlineStr">
        <is>
          <t>诉讼费</t>
        </is>
      </c>
      <c r="D218" s="7" t="n">
        <v>123.7</v>
      </c>
      <c r="F218" s="7" t="n">
        <v>187</v>
      </c>
      <c r="H218" s="7" t="n">
        <v>253.1</v>
      </c>
      <c r="J218" s="7" t="n">
        <v>286.7</v>
      </c>
      <c r="L218" s="7" t="n">
        <v>152.1</v>
      </c>
      <c r="N218" s="7" t="n">
        <v>245.3</v>
      </c>
      <c r="P218" s="7" t="n">
        <v>389.2</v>
      </c>
      <c r="R218" s="7" t="n">
        <v>396.1</v>
      </c>
      <c r="T218" s="7" t="n">
        <v>136</v>
      </c>
      <c r="V218" s="7" t="n">
        <v>268.8</v>
      </c>
      <c r="X218" s="7" t="n">
        <v>160.6</v>
      </c>
      <c r="Z218" s="7" t="n">
        <v>72.59999999999999</v>
      </c>
      <c r="AB218" s="7" t="n">
        <v>2671.2</v>
      </c>
    </row>
    <row r="219">
      <c r="A219" s="4" t="inlineStr">
        <is>
          <t>会员费</t>
        </is>
      </c>
      <c r="D219" s="7" t="n">
        <v>406</v>
      </c>
      <c r="F219" s="7" t="n">
        <v>976.4</v>
      </c>
      <c r="H219" s="7" t="n">
        <v>1060.6</v>
      </c>
      <c r="J219" s="7" t="n">
        <v>1090.1</v>
      </c>
      <c r="L219" s="7" t="n">
        <v>609.2</v>
      </c>
      <c r="N219" s="7" t="n">
        <v>509.8</v>
      </c>
      <c r="P219" s="7" t="n">
        <v>1491.2</v>
      </c>
      <c r="R219" s="7" t="n">
        <v>1192.7</v>
      </c>
      <c r="T219" s="7" t="n">
        <v>490.9</v>
      </c>
      <c r="V219" s="7" t="n">
        <v>1426.7</v>
      </c>
      <c r="X219" s="7" t="n">
        <v>405</v>
      </c>
      <c r="Z219" s="7" t="n">
        <v>241.7</v>
      </c>
      <c r="AB219" s="7" t="n">
        <v>9900.299999999999</v>
      </c>
    </row>
    <row r="220">
      <c r="A220" s="4" t="inlineStr">
        <is>
          <t>广告宣传费</t>
        </is>
      </c>
      <c r="D220" s="7" t="n">
        <v>3243</v>
      </c>
      <c r="F220" s="7" t="n">
        <v>5351.4</v>
      </c>
      <c r="H220" s="7" t="n">
        <v>5234.6</v>
      </c>
      <c r="J220" s="7" t="n">
        <v>10082.2</v>
      </c>
      <c r="L220" s="7" t="n">
        <v>3827.5</v>
      </c>
      <c r="N220" s="7" t="n">
        <v>4076.1</v>
      </c>
      <c r="P220" s="7" t="n">
        <v>9430.9</v>
      </c>
      <c r="R220" s="7" t="n">
        <v>8444.6</v>
      </c>
      <c r="T220" s="7" t="n">
        <v>2289.3</v>
      </c>
      <c r="V220" s="7" t="n">
        <v>6171.9</v>
      </c>
      <c r="X220" s="7" t="n">
        <v>1945.2</v>
      </c>
      <c r="Z220" s="7" t="n">
        <v>1843.6</v>
      </c>
      <c r="AB220" s="7" t="n">
        <v>61940.3</v>
      </c>
    </row>
    <row r="221">
      <c r="A221" s="4" t="inlineStr">
        <is>
          <t>会务费</t>
        </is>
      </c>
      <c r="D221" s="7" t="n">
        <v>97.90000000000001</v>
      </c>
      <c r="F221" s="7" t="n">
        <v>224.8</v>
      </c>
      <c r="H221" s="7" t="n">
        <v>300</v>
      </c>
      <c r="J221" s="7" t="n">
        <v>294.4</v>
      </c>
      <c r="L221" s="7" t="n">
        <v>149.5</v>
      </c>
      <c r="N221" s="7" t="n">
        <v>226.1</v>
      </c>
      <c r="P221" s="7" t="n">
        <v>464.6</v>
      </c>
      <c r="R221" s="7" t="n">
        <v>385.7</v>
      </c>
      <c r="T221" s="7" t="n">
        <v>133.4</v>
      </c>
      <c r="V221" s="7" t="n">
        <v>295</v>
      </c>
      <c r="X221" s="7" t="n">
        <v>96</v>
      </c>
      <c r="Z221" s="7" t="n">
        <v>94.2</v>
      </c>
      <c r="AB221" s="7" t="n">
        <v>2761.6</v>
      </c>
    </row>
    <row r="222">
      <c r="A222" s="4" t="inlineStr">
        <is>
          <t>装修费</t>
        </is>
      </c>
      <c r="D222" s="7" t="n">
        <v>9.300000000000001</v>
      </c>
      <c r="F222" s="7" t="n">
        <v>27.1</v>
      </c>
      <c r="H222" s="7" t="n">
        <v>22.4</v>
      </c>
      <c r="J222" s="7" t="n">
        <v>43.7</v>
      </c>
      <c r="L222" s="7" t="n">
        <v>13.7</v>
      </c>
      <c r="N222" s="7" t="n">
        <v>21.1</v>
      </c>
      <c r="P222" s="7" t="n">
        <v>31.9</v>
      </c>
      <c r="R222" s="7" t="n">
        <v>35.4</v>
      </c>
      <c r="T222" s="7" t="n">
        <v>11.6</v>
      </c>
      <c r="V222" s="7" t="n">
        <v>48.3</v>
      </c>
      <c r="X222" s="7" t="n">
        <v>13.6</v>
      </c>
      <c r="Z222" s="7" t="n">
        <v>8.6</v>
      </c>
      <c r="AB222" s="7" t="n">
        <v>286.7</v>
      </c>
    </row>
    <row r="223">
      <c r="A223" s="4" t="inlineStr">
        <is>
          <t>推广费</t>
        </is>
      </c>
      <c r="D223" s="7" t="n">
        <v>12</v>
      </c>
      <c r="F223" s="7" t="n">
        <v>23.7</v>
      </c>
      <c r="H223" s="7" t="n">
        <v>20.3</v>
      </c>
      <c r="J223" s="7" t="n">
        <v>25.3</v>
      </c>
      <c r="L223" s="7" t="n">
        <v>15.2</v>
      </c>
      <c r="N223" s="7" t="n">
        <v>21.7</v>
      </c>
      <c r="P223" s="7" t="n">
        <v>44.1</v>
      </c>
      <c r="R223" s="7" t="n">
        <v>27.5</v>
      </c>
      <c r="T223" s="7" t="n">
        <v>14.3</v>
      </c>
      <c r="V223" s="7" t="n">
        <v>33.3</v>
      </c>
      <c r="X223" s="7" t="n">
        <v>12.5</v>
      </c>
      <c r="Z223" s="7" t="n">
        <v>8.199999999999999</v>
      </c>
      <c r="AB223" s="7" t="n">
        <v>258.1</v>
      </c>
    </row>
    <row r="224">
      <c r="A224" s="4" t="inlineStr">
        <is>
          <t>展会费</t>
        </is>
      </c>
      <c r="D224" s="7" t="n">
        <v>113.5</v>
      </c>
      <c r="F224" s="7" t="n">
        <v>180.9</v>
      </c>
      <c r="H224" s="7" t="n">
        <v>259</v>
      </c>
      <c r="J224" s="7" t="n">
        <v>297.4</v>
      </c>
      <c r="L224" s="7" t="n">
        <v>149.1</v>
      </c>
      <c r="N224" s="7" t="n">
        <v>172.7</v>
      </c>
      <c r="P224" s="7" t="n">
        <v>295.7</v>
      </c>
      <c r="R224" s="7" t="n">
        <v>312.3</v>
      </c>
      <c r="T224" s="7" t="n">
        <v>88.90000000000001</v>
      </c>
      <c r="V224" s="7" t="n">
        <v>252.1</v>
      </c>
      <c r="X224" s="7" t="n">
        <v>126</v>
      </c>
      <c r="Z224" s="7" t="n">
        <v>67.7</v>
      </c>
      <c r="AB224" s="7" t="n">
        <v>2315.3</v>
      </c>
    </row>
    <row r="225">
      <c r="A225" s="4" t="inlineStr">
        <is>
          <t>设计费</t>
        </is>
      </c>
      <c r="D225" s="7" t="n">
        <v>188.9</v>
      </c>
      <c r="F225" s="7" t="n">
        <v>368.5</v>
      </c>
      <c r="H225" s="7" t="n">
        <v>519.2</v>
      </c>
      <c r="J225" s="7" t="n">
        <v>810.1</v>
      </c>
      <c r="L225" s="7" t="n">
        <v>256.1</v>
      </c>
      <c r="N225" s="7" t="n">
        <v>442.5</v>
      </c>
      <c r="P225" s="7" t="n">
        <v>816.1</v>
      </c>
      <c r="R225" s="7" t="n">
        <v>596.4</v>
      </c>
      <c r="T225" s="7" t="n">
        <v>265.3</v>
      </c>
      <c r="V225" s="7" t="n">
        <v>551.3</v>
      </c>
      <c r="X225" s="7" t="n">
        <v>254</v>
      </c>
      <c r="Z225" s="7" t="n">
        <v>186.4</v>
      </c>
      <c r="AB225" s="7" t="n">
        <v>5254.8</v>
      </c>
    </row>
    <row r="226">
      <c r="A226" s="4" t="inlineStr">
        <is>
          <t>折旧费</t>
        </is>
      </c>
      <c r="D226" s="7" t="n">
        <v>4302.5</v>
      </c>
      <c r="F226" s="7" t="n">
        <v>8231.1</v>
      </c>
      <c r="H226" s="7" t="n">
        <v>8340.5</v>
      </c>
      <c r="J226" s="7" t="n">
        <v>11158.8</v>
      </c>
      <c r="L226" s="7" t="n">
        <v>4743.8</v>
      </c>
      <c r="N226" s="7" t="n">
        <v>3988.9</v>
      </c>
      <c r="P226" s="7" t="n">
        <v>12046.2</v>
      </c>
      <c r="R226" s="7" t="n">
        <v>9421.6</v>
      </c>
      <c r="T226" s="7" t="n">
        <v>4603.1</v>
      </c>
      <c r="V226" s="7" t="n">
        <v>12083.2</v>
      </c>
      <c r="X226" s="7" t="n">
        <v>3227.8</v>
      </c>
      <c r="Z226" s="7" t="n">
        <v>2384.2</v>
      </c>
      <c r="AB226" s="7" t="n">
        <v>84531.7</v>
      </c>
    </row>
    <row r="227">
      <c r="A227" s="4" t="inlineStr">
        <is>
          <t>认证费</t>
        </is>
      </c>
      <c r="D227" s="7" t="n">
        <v>488.6</v>
      </c>
      <c r="F227" s="7" t="n">
        <v>960.1</v>
      </c>
      <c r="H227" s="7" t="n">
        <v>705.8</v>
      </c>
      <c r="J227" s="7" t="n">
        <v>1044.5</v>
      </c>
      <c r="L227" s="7" t="n">
        <v>616.6</v>
      </c>
      <c r="N227" s="7" t="n">
        <v>560.6</v>
      </c>
      <c r="P227" s="7" t="n">
        <v>1748.2</v>
      </c>
      <c r="R227" s="7" t="n">
        <v>1189.2</v>
      </c>
      <c r="T227" s="7" t="n">
        <v>580.6</v>
      </c>
      <c r="V227" s="7" t="n">
        <v>1182.6</v>
      </c>
      <c r="X227" s="7" t="n">
        <v>343.6</v>
      </c>
      <c r="Z227" s="7" t="n">
        <v>309.6</v>
      </c>
      <c r="AB227" s="7" t="n">
        <v>9730</v>
      </c>
    </row>
    <row r="228">
      <c r="A228" s="4" t="inlineStr">
        <is>
          <t>样品费</t>
        </is>
      </c>
      <c r="D228" s="7" t="n">
        <v>2039.1</v>
      </c>
      <c r="F228" s="7" t="n">
        <v>3698.2</v>
      </c>
      <c r="H228" s="7" t="n">
        <v>2949.9</v>
      </c>
      <c r="J228" s="7" t="n">
        <v>3878.4</v>
      </c>
      <c r="L228" s="7" t="n">
        <v>2810.4</v>
      </c>
      <c r="N228" s="7" t="n">
        <v>3056.4</v>
      </c>
      <c r="P228" s="7" t="n">
        <v>5263.6</v>
      </c>
      <c r="R228" s="7" t="n">
        <v>5158.8</v>
      </c>
      <c r="T228" s="7" t="n">
        <v>1544.7</v>
      </c>
      <c r="V228" s="7" t="n">
        <v>5615.5</v>
      </c>
      <c r="X228" s="7" t="n">
        <v>1480.9</v>
      </c>
      <c r="Z228" s="7" t="n">
        <v>1372.7</v>
      </c>
      <c r="AB228" s="7" t="n">
        <v>38868.6</v>
      </c>
    </row>
    <row r="229">
      <c r="A229" s="4" t="inlineStr">
        <is>
          <t>劳务费</t>
        </is>
      </c>
      <c r="D229" s="7" t="n">
        <v>221.8</v>
      </c>
      <c r="F229" s="7" t="n">
        <v>424.6</v>
      </c>
      <c r="H229" s="7" t="n">
        <v>589.1</v>
      </c>
      <c r="J229" s="7" t="n">
        <v>881.7</v>
      </c>
      <c r="L229" s="7" t="n">
        <v>338.6</v>
      </c>
      <c r="N229" s="7" t="n">
        <v>446.4</v>
      </c>
      <c r="P229" s="7" t="n">
        <v>813.1</v>
      </c>
      <c r="R229" s="7" t="n">
        <v>720.1</v>
      </c>
      <c r="T229" s="7" t="n">
        <v>279.5</v>
      </c>
      <c r="V229" s="7" t="n">
        <v>609.2</v>
      </c>
      <c r="X229" s="7" t="n">
        <v>213.3</v>
      </c>
      <c r="Z229" s="7" t="n">
        <v>142.5</v>
      </c>
      <c r="AB229" s="7" t="n">
        <v>5679.9</v>
      </c>
    </row>
    <row r="230">
      <c r="A230" s="4" t="inlineStr">
        <is>
          <t>销售佣金</t>
        </is>
      </c>
      <c r="D230" s="7" t="n">
        <v>458.7</v>
      </c>
      <c r="F230" s="7" t="n">
        <v>991.3</v>
      </c>
      <c r="H230" s="7" t="n">
        <v>970</v>
      </c>
      <c r="J230" s="7" t="n">
        <v>1463.1</v>
      </c>
      <c r="L230" s="7" t="n">
        <v>575.9</v>
      </c>
      <c r="N230" s="7" t="n">
        <v>711.4</v>
      </c>
      <c r="P230" s="7" t="n">
        <v>1091</v>
      </c>
      <c r="R230" s="7" t="n">
        <v>1077.9</v>
      </c>
      <c r="T230" s="7" t="n">
        <v>423.7</v>
      </c>
      <c r="V230" s="7" t="n">
        <v>1075.2</v>
      </c>
      <c r="X230" s="7" t="n">
        <v>414.2</v>
      </c>
      <c r="Z230" s="7" t="n">
        <v>292.7</v>
      </c>
      <c r="AB230" s="7" t="n">
        <v>9545.1</v>
      </c>
    </row>
    <row r="231">
      <c r="A231" s="4" t="inlineStr">
        <is>
          <t>检测费</t>
        </is>
      </c>
      <c r="D231" s="7" t="n">
        <v>320.7</v>
      </c>
      <c r="F231" s="7" t="n">
        <v>1046.9</v>
      </c>
      <c r="H231" s="7" t="n">
        <v>623.7</v>
      </c>
      <c r="J231" s="7" t="n">
        <v>963</v>
      </c>
      <c r="L231" s="7" t="n">
        <v>469.2</v>
      </c>
      <c r="N231" s="7" t="n">
        <v>799.2</v>
      </c>
      <c r="P231" s="7" t="n">
        <v>1318.1</v>
      </c>
      <c r="R231" s="7" t="n">
        <v>962.3</v>
      </c>
      <c r="T231" s="7" t="n">
        <v>376.1</v>
      </c>
      <c r="V231" s="7" t="n">
        <v>892.3</v>
      </c>
      <c r="X231" s="7" t="n">
        <v>291</v>
      </c>
      <c r="Z231" s="7" t="n">
        <v>244</v>
      </c>
      <c r="AB231" s="7" t="n">
        <v>8306.5</v>
      </c>
    </row>
    <row r="232">
      <c r="A232" s="4" t="inlineStr">
        <is>
          <t>质量赔偿</t>
        </is>
      </c>
      <c r="D232" s="7" t="n">
        <v>599.1</v>
      </c>
      <c r="F232" s="7" t="n">
        <v>1154.7</v>
      </c>
      <c r="H232" s="7" t="n">
        <v>1392.3</v>
      </c>
      <c r="J232" s="7" t="n">
        <v>1881.3</v>
      </c>
      <c r="L232" s="7" t="n">
        <v>1052.1</v>
      </c>
      <c r="N232" s="7" t="n">
        <v>1057</v>
      </c>
      <c r="P232" s="7" t="n">
        <v>2070.7</v>
      </c>
      <c r="R232" s="7" t="n">
        <v>1748.6</v>
      </c>
      <c r="T232" s="7" t="n">
        <v>516.3</v>
      </c>
      <c r="V232" s="7" t="n">
        <v>1817.8</v>
      </c>
      <c r="X232" s="7" t="n">
        <v>663.2</v>
      </c>
      <c r="Z232" s="7" t="n">
        <v>318.4</v>
      </c>
      <c r="AB232" s="7" t="n">
        <v>14271.5</v>
      </c>
    </row>
    <row r="233">
      <c r="A233" s="4" t="inlineStr">
        <is>
          <t>保险费</t>
        </is>
      </c>
      <c r="D233" s="7" t="n">
        <v>20.3</v>
      </c>
      <c r="F233" s="7" t="n">
        <v>39.3</v>
      </c>
      <c r="H233" s="7" t="n">
        <v>35.4</v>
      </c>
      <c r="J233" s="7" t="n">
        <v>48.6</v>
      </c>
      <c r="L233" s="7" t="n">
        <v>20.5</v>
      </c>
      <c r="N233" s="7" t="n">
        <v>25.5</v>
      </c>
      <c r="P233" s="7" t="n">
        <v>45.7</v>
      </c>
      <c r="R233" s="7" t="n">
        <v>49.2</v>
      </c>
      <c r="T233" s="7" t="n">
        <v>27.9</v>
      </c>
      <c r="V233" s="7" t="n">
        <v>66.2</v>
      </c>
      <c r="X233" s="7" t="n">
        <v>17.5</v>
      </c>
      <c r="Z233" s="7" t="n">
        <v>11.7</v>
      </c>
      <c r="AB233" s="7" t="n">
        <v>407.8</v>
      </c>
    </row>
    <row r="234">
      <c r="A234" s="4" t="inlineStr">
        <is>
          <t>清洁费</t>
        </is>
      </c>
      <c r="D234" s="7" t="n">
        <v>337.4</v>
      </c>
      <c r="F234" s="7" t="n">
        <v>775.4</v>
      </c>
      <c r="H234" s="7" t="n">
        <v>545.1</v>
      </c>
      <c r="J234" s="7" t="n">
        <v>797.9</v>
      </c>
      <c r="L234" s="7" t="n">
        <v>430.3</v>
      </c>
      <c r="N234" s="7" t="n">
        <v>632.3</v>
      </c>
      <c r="P234" s="7" t="n">
        <v>1420.2</v>
      </c>
      <c r="R234" s="7" t="n">
        <v>982.1</v>
      </c>
      <c r="T234" s="7" t="n">
        <v>478.4</v>
      </c>
      <c r="V234" s="7" t="n">
        <v>856.5</v>
      </c>
      <c r="X234" s="7" t="n">
        <v>355.2</v>
      </c>
      <c r="Z234" s="7" t="n">
        <v>177.6</v>
      </c>
      <c r="AB234" s="7" t="n">
        <v>7788.4</v>
      </c>
    </row>
    <row r="235">
      <c r="A235" s="4" t="inlineStr">
        <is>
          <t>低值易耗品</t>
        </is>
      </c>
      <c r="D235" s="7" t="n">
        <v>553.4</v>
      </c>
      <c r="F235" s="7" t="n">
        <v>922.6</v>
      </c>
      <c r="H235" s="7" t="n">
        <v>1101.7</v>
      </c>
      <c r="J235" s="7" t="n">
        <v>1282.2</v>
      </c>
      <c r="L235" s="7" t="n">
        <v>582.8</v>
      </c>
      <c r="N235" s="7" t="n">
        <v>734</v>
      </c>
      <c r="P235" s="7" t="n">
        <v>2287.5</v>
      </c>
      <c r="R235" s="7" t="n">
        <v>2025.8</v>
      </c>
      <c r="T235" s="7" t="n">
        <v>756.6</v>
      </c>
      <c r="V235" s="7" t="n">
        <v>1923.1</v>
      </c>
      <c r="X235" s="7" t="n">
        <v>629.2</v>
      </c>
      <c r="Z235" s="7" t="n">
        <v>360.5</v>
      </c>
      <c r="AB235" s="7" t="n">
        <v>13159.4</v>
      </c>
    </row>
    <row r="236">
      <c r="A236" s="4" t="inlineStr">
        <is>
          <t>物料消耗</t>
        </is>
      </c>
      <c r="D236" s="7" t="n">
        <v>506</v>
      </c>
      <c r="F236" s="7" t="n">
        <v>834.6</v>
      </c>
      <c r="H236" s="7" t="n">
        <v>1012.3</v>
      </c>
      <c r="J236" s="7" t="n">
        <v>1446.9</v>
      </c>
      <c r="L236" s="7" t="n">
        <v>747.4</v>
      </c>
      <c r="N236" s="7" t="n">
        <v>609.8</v>
      </c>
      <c r="P236" s="7" t="n">
        <v>1315.1</v>
      </c>
      <c r="R236" s="7" t="n">
        <v>1346.6</v>
      </c>
      <c r="T236" s="7" t="n">
        <v>317.7</v>
      </c>
      <c r="V236" s="7" t="n">
        <v>901.8</v>
      </c>
      <c r="X236" s="7" t="n">
        <v>292.9</v>
      </c>
      <c r="Z236" s="7" t="n">
        <v>278.2</v>
      </c>
      <c r="AB236" s="7" t="n">
        <v>9609.299999999999</v>
      </c>
    </row>
    <row r="237">
      <c r="A237" s="4" t="inlineStr">
        <is>
          <t>盘盈盘亏</t>
        </is>
      </c>
      <c r="D237" s="7" t="n">
        <v>626.5</v>
      </c>
      <c r="F237" s="7" t="n">
        <v>965</v>
      </c>
      <c r="H237" s="7" t="n">
        <v>1109.7</v>
      </c>
      <c r="J237" s="7" t="n">
        <v>2285.5</v>
      </c>
      <c r="L237" s="7" t="n">
        <v>846.7</v>
      </c>
      <c r="N237" s="7" t="n">
        <v>632</v>
      </c>
      <c r="P237" s="7" t="n">
        <v>2313.3</v>
      </c>
      <c r="R237" s="7" t="n">
        <v>1556.2</v>
      </c>
      <c r="T237" s="7" t="n">
        <v>480</v>
      </c>
      <c r="V237" s="7" t="n">
        <v>1852.7</v>
      </c>
      <c r="X237" s="7" t="n">
        <v>675.6</v>
      </c>
      <c r="Z237" s="7" t="n">
        <v>275</v>
      </c>
      <c r="AB237" s="7" t="n">
        <v>13618.2</v>
      </c>
    </row>
    <row r="238">
      <c r="A238" s="4" t="inlineStr">
        <is>
          <t>平台服务费</t>
        </is>
      </c>
      <c r="D238" s="7" t="n">
        <v>523.1</v>
      </c>
      <c r="F238" s="7" t="n">
        <v>984.1</v>
      </c>
      <c r="H238" s="7" t="n">
        <v>1445.4</v>
      </c>
      <c r="J238" s="7" t="n">
        <v>1448.6</v>
      </c>
      <c r="L238" s="7" t="n">
        <v>996.1</v>
      </c>
      <c r="N238" s="7" t="n">
        <v>931</v>
      </c>
      <c r="P238" s="7" t="n">
        <v>2251.4</v>
      </c>
      <c r="R238" s="7" t="n">
        <v>1716.3</v>
      </c>
      <c r="T238" s="7" t="n">
        <v>487.7</v>
      </c>
      <c r="V238" s="7" t="n">
        <v>1793.9</v>
      </c>
      <c r="X238" s="7" t="n">
        <v>649.3</v>
      </c>
      <c r="Z238" s="7" t="n">
        <v>284.8</v>
      </c>
      <c r="AB238" s="7" t="n">
        <v>13511.7</v>
      </c>
    </row>
    <row r="239">
      <c r="A239" s="4" t="inlineStr">
        <is>
          <t>无形资产摊销</t>
        </is>
      </c>
      <c r="D239" s="7" t="n">
        <v>98.2</v>
      </c>
      <c r="F239" s="7" t="n">
        <v>251.6</v>
      </c>
      <c r="H239" s="7" t="n">
        <v>201.9</v>
      </c>
      <c r="J239" s="7" t="n">
        <v>279.7</v>
      </c>
      <c r="L239" s="7" t="n">
        <v>214.1</v>
      </c>
      <c r="N239" s="7" t="n">
        <v>201.9</v>
      </c>
      <c r="P239" s="7" t="n">
        <v>432</v>
      </c>
      <c r="R239" s="7" t="n">
        <v>399.4</v>
      </c>
      <c r="T239" s="7" t="n">
        <v>150.1</v>
      </c>
      <c r="V239" s="7" t="n">
        <v>350.7</v>
      </c>
      <c r="X239" s="7" t="n">
        <v>83.8</v>
      </c>
      <c r="Z239" s="7" t="n">
        <v>74.40000000000001</v>
      </c>
      <c r="AB239" s="7" t="n">
        <v>2737.8</v>
      </c>
    </row>
    <row r="240">
      <c r="A240" s="4" t="inlineStr">
        <is>
          <t>研发材料</t>
        </is>
      </c>
      <c r="D240" s="7" t="n">
        <v>351.9</v>
      </c>
      <c r="F240" s="7" t="n">
        <v>928.3</v>
      </c>
      <c r="H240" s="7" t="n">
        <v>964.4</v>
      </c>
      <c r="J240" s="7" t="n">
        <v>1368.5</v>
      </c>
      <c r="L240" s="7" t="n">
        <v>520.5</v>
      </c>
      <c r="N240" s="7" t="n">
        <v>721.5</v>
      </c>
      <c r="P240" s="7" t="n">
        <v>1504.7</v>
      </c>
      <c r="R240" s="7" t="n">
        <v>993.5</v>
      </c>
      <c r="T240" s="7" t="n">
        <v>330.3</v>
      </c>
      <c r="V240" s="7" t="n">
        <v>1095.7</v>
      </c>
      <c r="X240" s="7" t="n">
        <v>259</v>
      </c>
      <c r="Z240" s="7" t="n">
        <v>271.6</v>
      </c>
      <c r="AB240" s="7" t="n">
        <v>9309.9</v>
      </c>
    </row>
    <row r="241">
      <c r="A241" s="4" t="inlineStr">
        <is>
          <t>项目名称</t>
        </is>
      </c>
      <c r="D241" s="7" t="n">
        <v>279.1</v>
      </c>
      <c r="F241" s="7" t="n">
        <v>554.9</v>
      </c>
      <c r="H241" s="7" t="n">
        <v>562</v>
      </c>
      <c r="J241" s="7" t="n">
        <v>960.1</v>
      </c>
      <c r="L241" s="7" t="n">
        <v>324.6</v>
      </c>
      <c r="N241" s="7" t="n">
        <v>554</v>
      </c>
      <c r="P241" s="7" t="n">
        <v>1038.4</v>
      </c>
      <c r="R241" s="7" t="n">
        <v>860.8</v>
      </c>
      <c r="T241" s="7" t="n">
        <v>340.2</v>
      </c>
      <c r="V241" s="7" t="n">
        <v>570.8</v>
      </c>
      <c r="X241" s="7" t="n">
        <v>225.2</v>
      </c>
      <c r="Z241" s="7" t="n">
        <v>186.1</v>
      </c>
      <c r="AB241" s="7" t="n">
        <v>6456.2</v>
      </c>
    </row>
    <row r="242">
      <c r="A242" s="4" t="inlineStr">
        <is>
          <t>研发费</t>
        </is>
      </c>
      <c r="D242" s="7" t="n">
        <v>197.9</v>
      </c>
      <c r="F242" s="7" t="n">
        <v>322.6</v>
      </c>
      <c r="H242" s="7" t="n">
        <v>420.3</v>
      </c>
      <c r="J242" s="7" t="n">
        <v>494.9</v>
      </c>
      <c r="L242" s="7" t="n">
        <v>269.7</v>
      </c>
      <c r="N242" s="7" t="n">
        <v>313</v>
      </c>
      <c r="P242" s="7" t="n">
        <v>580.6</v>
      </c>
      <c r="R242" s="7" t="n">
        <v>599.6</v>
      </c>
      <c r="T242" s="7" t="n">
        <v>171.8</v>
      </c>
      <c r="V242" s="7" t="n">
        <v>615.4</v>
      </c>
      <c r="X242" s="7" t="n">
        <v>171.2</v>
      </c>
      <c r="Z242" s="7" t="n">
        <v>146.4</v>
      </c>
      <c r="AB242" s="7" t="n">
        <v>4303.4</v>
      </c>
    </row>
    <row r="243">
      <c r="A243" s="4" t="inlineStr">
        <is>
          <t>残保金</t>
        </is>
      </c>
      <c r="D243" s="7" t="n">
        <v>128.7</v>
      </c>
      <c r="F243" s="7" t="n">
        <v>252.2</v>
      </c>
      <c r="H243" s="7" t="n">
        <v>366.9</v>
      </c>
      <c r="J243" s="7" t="n">
        <v>422.6</v>
      </c>
      <c r="L243" s="7" t="n">
        <v>179.2</v>
      </c>
      <c r="N243" s="7" t="n">
        <v>217.1</v>
      </c>
      <c r="P243" s="7" t="n">
        <v>456.5</v>
      </c>
      <c r="R243" s="7" t="n">
        <v>494.6</v>
      </c>
      <c r="T243" s="7" t="n">
        <v>165.8</v>
      </c>
      <c r="V243" s="7" t="n">
        <v>371.6</v>
      </c>
      <c r="X243" s="7" t="n">
        <v>203.2</v>
      </c>
      <c r="Z243" s="7" t="n">
        <v>81.90000000000001</v>
      </c>
      <c r="AB243" s="7" t="n">
        <v>3340.3</v>
      </c>
    </row>
    <row r="244">
      <c r="A244" s="4" t="inlineStr">
        <is>
          <t>环保费</t>
        </is>
      </c>
      <c r="D244" s="7" t="n">
        <v>369.9</v>
      </c>
      <c r="F244" s="7" t="n">
        <v>933</v>
      </c>
      <c r="H244" s="7" t="n">
        <v>1311.7</v>
      </c>
      <c r="J244" s="7" t="n">
        <v>1759.5</v>
      </c>
      <c r="L244" s="7" t="n">
        <v>686.3</v>
      </c>
      <c r="N244" s="7" t="n">
        <v>821.6</v>
      </c>
      <c r="P244" s="7" t="n">
        <v>1830.7</v>
      </c>
      <c r="R244" s="7" t="n">
        <v>1307.3</v>
      </c>
      <c r="T244" s="7" t="n">
        <v>533.8</v>
      </c>
      <c r="V244" s="7" t="n">
        <v>1415</v>
      </c>
      <c r="X244" s="7" t="n">
        <v>431</v>
      </c>
      <c r="Z244" s="7" t="n">
        <v>333.1</v>
      </c>
      <c r="AB244" s="7" t="n">
        <v>11732.9</v>
      </c>
    </row>
    <row r="245">
      <c r="A245" s="4" t="inlineStr">
        <is>
          <t>报废损失</t>
        </is>
      </c>
      <c r="D245" s="7" t="n">
        <v>40.6</v>
      </c>
      <c r="F245" s="7" t="n">
        <v>68.59999999999999</v>
      </c>
      <c r="H245" s="7" t="n">
        <v>81.2</v>
      </c>
      <c r="J245" s="7" t="n">
        <v>105.1</v>
      </c>
      <c r="L245" s="7" t="n">
        <v>45.6</v>
      </c>
      <c r="N245" s="7" t="n">
        <v>49.6</v>
      </c>
      <c r="P245" s="7" t="n">
        <v>120.7</v>
      </c>
      <c r="R245" s="7" t="n">
        <v>139.4</v>
      </c>
      <c r="T245" s="7" t="n">
        <v>32.8</v>
      </c>
      <c r="V245" s="7" t="n">
        <v>72.09999999999999</v>
      </c>
      <c r="X245" s="7" t="n">
        <v>26.4</v>
      </c>
      <c r="Z245" s="7" t="n">
        <v>27.2</v>
      </c>
      <c r="AB245" s="7" t="n">
        <v>809.3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8706.299999999999</v>
      </c>
      <c r="D246" s="7" t="n">
        <v>19077.9</v>
      </c>
      <c r="E246" s="7" t="n">
        <v>9669.6</v>
      </c>
      <c r="F246" s="7" t="n">
        <v>-26</v>
      </c>
      <c r="G246" s="7" t="n">
        <v>8310.9</v>
      </c>
      <c r="H246" s="7" t="n">
        <v>9397.4</v>
      </c>
      <c r="I246" s="7" t="n">
        <v>8374.4</v>
      </c>
      <c r="J246" s="7" t="n">
        <v>11228.3</v>
      </c>
      <c r="K246" s="7" t="n">
        <v>10160.8</v>
      </c>
      <c r="L246" s="7" t="n">
        <v>-636.5</v>
      </c>
      <c r="M246" s="7" t="n">
        <v>8848.200000000001</v>
      </c>
      <c r="N246" s="7" t="n">
        <v>14507.7</v>
      </c>
      <c r="O246" s="7" t="n">
        <v>9668.4</v>
      </c>
      <c r="P246" s="7" t="n">
        <v>3877.7</v>
      </c>
      <c r="Q246" s="7" t="n">
        <v>9501.9</v>
      </c>
      <c r="R246" s="7" t="n">
        <v>11829.8</v>
      </c>
      <c r="S246" s="7" t="n">
        <v>10275.7</v>
      </c>
      <c r="T246" s="7" t="n">
        <v>7187.3</v>
      </c>
      <c r="U246" s="7" t="n">
        <v>8105.8</v>
      </c>
      <c r="V246" s="7" t="n">
        <v>13413.2</v>
      </c>
      <c r="W246" s="7" t="n">
        <v>8358.799999999999</v>
      </c>
      <c r="X246" s="7" t="n">
        <v>17240.8</v>
      </c>
      <c r="Y246" s="7" t="n">
        <v>8543.6</v>
      </c>
      <c r="Z246" s="7" t="n">
        <v>4526.8</v>
      </c>
      <c r="AA246" s="8" t="n">
        <v>108524.4</v>
      </c>
      <c r="AB246" s="8" t="n">
        <v>111624.4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-1831.2</v>
      </c>
      <c r="E248" s="7" t="n">
        <v>0</v>
      </c>
      <c r="F248" s="7" t="n">
        <v>-2086.4</v>
      </c>
      <c r="G248" s="7" t="n">
        <v>0</v>
      </c>
      <c r="H248" s="7" t="n">
        <v>-2325.3</v>
      </c>
      <c r="I248" s="7" t="n">
        <v>0</v>
      </c>
      <c r="J248" s="7" t="n">
        <v>1446.4</v>
      </c>
      <c r="K248" s="7" t="n">
        <v>0</v>
      </c>
      <c r="L248" s="7" t="n">
        <v>-2287.5</v>
      </c>
      <c r="M248" s="7" t="n">
        <v>0</v>
      </c>
      <c r="N248" s="7" t="n">
        <v>-551</v>
      </c>
      <c r="O248" s="7" t="n">
        <v>0</v>
      </c>
      <c r="P248" s="7" t="n">
        <v>3628.1</v>
      </c>
      <c r="Q248" s="7" t="n">
        <v>0</v>
      </c>
      <c r="R248" s="7" t="n">
        <v>-1368.4</v>
      </c>
      <c r="S248" s="7" t="n">
        <v>0</v>
      </c>
      <c r="T248" s="7" t="n">
        <v>869.2</v>
      </c>
      <c r="U248" s="7" t="n">
        <v>0</v>
      </c>
      <c r="V248" s="7" t="n">
        <v>4655.3</v>
      </c>
      <c r="W248" s="7" t="n">
        <v>0</v>
      </c>
      <c r="X248" s="7" t="n">
        <v>-860.1</v>
      </c>
      <c r="Y248" s="7" t="n">
        <v>0</v>
      </c>
      <c r="Z248" s="7" t="n">
        <v>-3161.1</v>
      </c>
      <c r="AA248" s="7" t="n">
        <v>0</v>
      </c>
      <c r="AB248" s="7" t="n">
        <v>-3872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11923.1</v>
      </c>
      <c r="D253" s="7" t="n">
        <v>693</v>
      </c>
      <c r="E253" s="7" t="n">
        <v>13281.3</v>
      </c>
      <c r="F253" s="7" t="n">
        <v>21833.2</v>
      </c>
      <c r="G253" s="7" t="n">
        <v>10765</v>
      </c>
      <c r="H253" s="7" t="n">
        <v>19860.7</v>
      </c>
      <c r="I253" s="7" t="n">
        <v>11426.5</v>
      </c>
      <c r="J253" s="7" t="n">
        <v>28213.1</v>
      </c>
      <c r="K253" s="7" t="n">
        <v>11030.9</v>
      </c>
      <c r="L253" s="7" t="n">
        <v>21020.9</v>
      </c>
      <c r="M253" s="7" t="n">
        <v>12874.7</v>
      </c>
      <c r="N253" s="7" t="n">
        <v>2401.9</v>
      </c>
      <c r="O253" s="7" t="n">
        <v>13726</v>
      </c>
      <c r="P253" s="7" t="n">
        <v>5007.3</v>
      </c>
      <c r="Q253" s="7" t="n">
        <v>11599.6</v>
      </c>
      <c r="R253" s="7" t="n">
        <v>3090.3</v>
      </c>
      <c r="S253" s="7" t="n">
        <v>11370.9</v>
      </c>
      <c r="T253" s="7" t="n">
        <v>1913.8</v>
      </c>
      <c r="U253" s="7" t="n">
        <v>11506.6</v>
      </c>
      <c r="V253" s="7" t="n">
        <v>26360.7</v>
      </c>
      <c r="W253" s="7" t="n">
        <v>12770.1</v>
      </c>
      <c r="X253" s="7" t="n">
        <v>16453</v>
      </c>
      <c r="Y253" s="7" t="n">
        <v>10942.3</v>
      </c>
      <c r="Z253" s="7" t="n">
        <v>790.9</v>
      </c>
      <c r="AA253" s="7" t="n">
        <v>143217</v>
      </c>
      <c r="AB253" s="7" t="n">
        <v>147638.8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663882.9</v>
      </c>
      <c r="D254" s="7" t="n">
        <v>648713.7</v>
      </c>
      <c r="E254" s="7" t="n">
        <v>756627.1</v>
      </c>
      <c r="F254" s="7" t="n">
        <v>313611.4</v>
      </c>
      <c r="G254" s="7" t="n">
        <v>764006.8</v>
      </c>
      <c r="H254" s="7" t="n">
        <v>801619.7</v>
      </c>
      <c r="I254" s="7" t="n">
        <v>765066.2</v>
      </c>
      <c r="J254" s="7" t="n">
        <v>1030478.8</v>
      </c>
      <c r="K254" s="7" t="n">
        <v>749217.3</v>
      </c>
      <c r="L254" s="7" t="n">
        <v>747463.4</v>
      </c>
      <c r="M254" s="7" t="n">
        <v>740280.3</v>
      </c>
      <c r="N254" s="7" t="n">
        <v>412645</v>
      </c>
      <c r="O254" s="7" t="n">
        <v>765877.1</v>
      </c>
      <c r="P254" s="7" t="n">
        <v>1191978.9</v>
      </c>
      <c r="Q254" s="7" t="n">
        <v>693130.9</v>
      </c>
      <c r="R254" s="7" t="n">
        <v>1113376.6</v>
      </c>
      <c r="S254" s="7" t="n">
        <v>701402.4</v>
      </c>
      <c r="T254" s="7" t="n">
        <v>189485.2</v>
      </c>
      <c r="U254" s="7" t="n">
        <v>743854.7</v>
      </c>
      <c r="V254" s="7" t="n">
        <v>1042170.4</v>
      </c>
      <c r="W254" s="7" t="n">
        <v>802304.4</v>
      </c>
      <c r="X254" s="7" t="n">
        <v>998129.5</v>
      </c>
      <c r="Y254" s="7" t="n">
        <v>722285</v>
      </c>
      <c r="Z254" s="7" t="n">
        <v>331607</v>
      </c>
      <c r="AA254" s="8" t="n">
        <v>8867935.1</v>
      </c>
      <c r="AB254" s="8" t="n">
        <v>8821279.6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1828.9</v>
      </c>
      <c r="E255" s="7" t="n">
        <v>0</v>
      </c>
      <c r="F255" s="7" t="n">
        <v>1299</v>
      </c>
      <c r="G255" s="7" t="n">
        <v>0</v>
      </c>
      <c r="H255" s="7" t="n">
        <v>1517.9</v>
      </c>
      <c r="I255" s="7" t="n">
        <v>0</v>
      </c>
      <c r="J255" s="7" t="n">
        <v>0.5</v>
      </c>
      <c r="K255" s="7" t="n">
        <v>0</v>
      </c>
      <c r="L255" s="7" t="n">
        <v>4076.9</v>
      </c>
      <c r="M255" s="7" t="n">
        <v>0</v>
      </c>
      <c r="N255" s="7" t="n">
        <v>4239.7</v>
      </c>
      <c r="O255" s="7" t="n">
        <v>0</v>
      </c>
      <c r="P255" s="7" t="n">
        <v>1719.4</v>
      </c>
      <c r="Q255" s="7" t="n">
        <v>0</v>
      </c>
      <c r="R255" s="7" t="n">
        <v>2346</v>
      </c>
      <c r="S255" s="7" t="n">
        <v>0</v>
      </c>
      <c r="T255" s="7" t="n">
        <v>41.6</v>
      </c>
      <c r="U255" s="7" t="n">
        <v>0</v>
      </c>
      <c r="V255" s="7" t="n">
        <v>4610.4</v>
      </c>
      <c r="W255" s="7" t="n">
        <v>0</v>
      </c>
      <c r="X255" s="7" t="n">
        <v>4734.8</v>
      </c>
      <c r="Y255" s="7" t="n">
        <v>0</v>
      </c>
      <c r="Z255" s="7" t="n">
        <v>2385.3</v>
      </c>
      <c r="AA255" s="7" t="n">
        <v>0</v>
      </c>
      <c r="AB255" s="7" t="n">
        <v>28800.4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27.4</v>
      </c>
      <c r="E256" s="7" t="n">
        <v>0</v>
      </c>
      <c r="F256" s="7" t="n">
        <v>1291.3</v>
      </c>
      <c r="G256" s="7" t="n">
        <v>0</v>
      </c>
      <c r="H256" s="7" t="n">
        <v>878.8</v>
      </c>
      <c r="I256" s="7" t="n">
        <v>0</v>
      </c>
      <c r="J256" s="7" t="n">
        <v>693.6</v>
      </c>
      <c r="K256" s="7" t="n">
        <v>0</v>
      </c>
      <c r="L256" s="7" t="n">
        <v>21.7</v>
      </c>
      <c r="M256" s="7" t="n">
        <v>0</v>
      </c>
      <c r="N256" s="7" t="n">
        <v>1120.9</v>
      </c>
      <c r="O256" s="7" t="n">
        <v>0</v>
      </c>
      <c r="P256" s="7" t="n">
        <v>1235.2</v>
      </c>
      <c r="Q256" s="7" t="n">
        <v>0</v>
      </c>
      <c r="R256" s="7" t="n">
        <v>1681.7</v>
      </c>
      <c r="S256" s="7" t="n">
        <v>0</v>
      </c>
      <c r="T256" s="7" t="n">
        <v>1184.3</v>
      </c>
      <c r="U256" s="7" t="n">
        <v>0</v>
      </c>
      <c r="V256" s="7" t="n">
        <v>489.8</v>
      </c>
      <c r="W256" s="7" t="n">
        <v>0</v>
      </c>
      <c r="X256" s="7" t="n">
        <v>2211.4</v>
      </c>
      <c r="Y256" s="7" t="n">
        <v>0</v>
      </c>
      <c r="Z256" s="7" t="n">
        <v>1169.2</v>
      </c>
      <c r="AA256" s="7" t="n">
        <v>0</v>
      </c>
      <c r="AB256" s="7" t="n">
        <v>12005.3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830515.2</v>
      </c>
      <c r="D257" s="7" t="n">
        <v>632931.5</v>
      </c>
      <c r="E257" s="7" t="n">
        <v>679344.7</v>
      </c>
      <c r="F257" s="7" t="n">
        <v>298745</v>
      </c>
      <c r="G257" s="7" t="n">
        <v>703490.6</v>
      </c>
      <c r="H257" s="7" t="n">
        <v>789152.8</v>
      </c>
      <c r="I257" s="7" t="n">
        <v>781725</v>
      </c>
      <c r="J257" s="7" t="n">
        <v>976803.6</v>
      </c>
      <c r="K257" s="7" t="n">
        <v>777408.1</v>
      </c>
      <c r="L257" s="7" t="n">
        <v>787009.9</v>
      </c>
      <c r="M257" s="7" t="n">
        <v>699557.2</v>
      </c>
      <c r="N257" s="7" t="n">
        <v>446478.1</v>
      </c>
      <c r="O257" s="7" t="n">
        <v>778539.9</v>
      </c>
      <c r="P257" s="7" t="n">
        <v>1265303.5</v>
      </c>
      <c r="Q257" s="7" t="n">
        <v>680557.1</v>
      </c>
      <c r="R257" s="7" t="n">
        <v>1154491.4</v>
      </c>
      <c r="S257" s="7" t="n">
        <v>642623.6</v>
      </c>
      <c r="T257" s="7" t="n">
        <v>181325.1</v>
      </c>
      <c r="U257" s="7" t="n">
        <v>649434.9</v>
      </c>
      <c r="V257" s="7" t="n">
        <v>1092804.6</v>
      </c>
      <c r="W257" s="7" t="n">
        <v>758765.4</v>
      </c>
      <c r="X257" s="7" t="n">
        <v>1059775.7</v>
      </c>
      <c r="Y257" s="7" t="n">
        <v>680140</v>
      </c>
      <c r="Z257" s="7" t="n">
        <v>325830.7</v>
      </c>
      <c r="AA257" s="8" t="n">
        <v>8662101.699999999</v>
      </c>
      <c r="AB257" s="8" t="n">
        <v>9010651.9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165323.3</v>
      </c>
      <c r="D258" s="7" t="n">
        <v>158232.9</v>
      </c>
      <c r="E258" s="7" t="n">
        <v>174723.8</v>
      </c>
      <c r="F258" s="7" t="n">
        <v>74686.2</v>
      </c>
      <c r="G258" s="7" t="n">
        <v>199841</v>
      </c>
      <c r="H258" s="7" t="n">
        <v>197288.2</v>
      </c>
      <c r="I258" s="7" t="n">
        <v>200511.8</v>
      </c>
      <c r="J258" s="7" t="n">
        <v>244200.9</v>
      </c>
      <c r="K258" s="7" t="n">
        <v>172674.7</v>
      </c>
      <c r="L258" s="7" t="n">
        <v>196752.5</v>
      </c>
      <c r="M258" s="7" t="n">
        <v>168049.6</v>
      </c>
      <c r="N258" s="7" t="n">
        <v>111619.5</v>
      </c>
      <c r="O258" s="7" t="n">
        <v>187360.3</v>
      </c>
      <c r="P258" s="7" t="n">
        <v>316325.9</v>
      </c>
      <c r="Q258" s="7" t="n">
        <v>178819</v>
      </c>
      <c r="R258" s="7" t="n">
        <v>288622.8</v>
      </c>
      <c r="S258" s="7" t="n">
        <v>177110.6</v>
      </c>
      <c r="T258" s="7" t="n">
        <v>45331.3</v>
      </c>
      <c r="U258" s="7" t="n">
        <v>204586.6</v>
      </c>
      <c r="V258" s="7" t="n">
        <v>273201.2</v>
      </c>
      <c r="W258" s="7" t="n">
        <v>215765.5</v>
      </c>
      <c r="X258" s="7" t="n">
        <v>264943.9</v>
      </c>
      <c r="Y258" s="7" t="n">
        <v>185676.8</v>
      </c>
      <c r="Z258" s="7" t="n">
        <v>81457.7</v>
      </c>
      <c r="AA258" s="7" t="n">
        <v>2230443</v>
      </c>
      <c r="AB258" s="7" t="n">
        <v>2252663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451388.4</v>
      </c>
      <c r="D259" s="7" t="n">
        <v>474698.6</v>
      </c>
      <c r="E259" s="7" t="n">
        <v>449457</v>
      </c>
      <c r="F259" s="7" t="n">
        <v>224058.8</v>
      </c>
      <c r="G259" s="7" t="n">
        <v>400027.2</v>
      </c>
      <c r="H259" s="7" t="n">
        <v>591864.6</v>
      </c>
      <c r="I259" s="7" t="n">
        <v>502626.6</v>
      </c>
      <c r="J259" s="7" t="n">
        <v>732602.7</v>
      </c>
      <c r="K259" s="7" t="n">
        <v>383812.1</v>
      </c>
      <c r="L259" s="7" t="n">
        <v>590257.4</v>
      </c>
      <c r="M259" s="7" t="n">
        <v>502467.4</v>
      </c>
      <c r="N259" s="7" t="n">
        <v>334858.6</v>
      </c>
      <c r="O259" s="7" t="n">
        <v>621136.2</v>
      </c>
      <c r="P259" s="7" t="n">
        <v>948977.6</v>
      </c>
      <c r="Q259" s="7" t="n">
        <v>454344</v>
      </c>
      <c r="R259" s="7" t="n">
        <v>865868.6</v>
      </c>
      <c r="S259" s="7" t="n">
        <v>567628.3</v>
      </c>
      <c r="T259" s="7" t="n">
        <v>135993.8</v>
      </c>
      <c r="U259" s="7" t="n">
        <v>595070.8</v>
      </c>
      <c r="V259" s="7" t="n">
        <v>819603.4</v>
      </c>
      <c r="W259" s="7" t="n">
        <v>593898.6</v>
      </c>
      <c r="X259" s="7" t="n">
        <v>794831.8</v>
      </c>
      <c r="Y259" s="7" t="n">
        <v>420447</v>
      </c>
      <c r="Z259" s="7" t="n">
        <v>244373</v>
      </c>
      <c r="AA259" s="8" t="n">
        <v>5942303.6</v>
      </c>
      <c r="AB259" s="8" t="n">
        <v>6757988.9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112706.5</v>
      </c>
      <c r="E260" s="7" t="n">
        <v>0</v>
      </c>
      <c r="F260" s="7" t="n">
        <v>22198.5</v>
      </c>
      <c r="G260" s="7" t="n">
        <v>0</v>
      </c>
      <c r="H260" s="7" t="n">
        <v>149779.6</v>
      </c>
      <c r="I260" s="7" t="n">
        <v>0</v>
      </c>
      <c r="J260" s="7" t="n">
        <v>209153.1</v>
      </c>
      <c r="K260" s="7" t="n">
        <v>0</v>
      </c>
      <c r="L260" s="7" t="n">
        <v>9923.1</v>
      </c>
      <c r="M260" s="7" t="n">
        <v>0</v>
      </c>
      <c r="N260" s="7" t="n">
        <v>77920.2</v>
      </c>
      <c r="O260" s="7" t="n">
        <v>0</v>
      </c>
      <c r="P260" s="7" t="n">
        <v>20322.7</v>
      </c>
      <c r="Q260" s="7" t="n">
        <v>0</v>
      </c>
      <c r="R260" s="7" t="n">
        <v>122125.6</v>
      </c>
      <c r="S260" s="7" t="n">
        <v>0</v>
      </c>
      <c r="T260" s="7" t="n">
        <v>7841.1</v>
      </c>
      <c r="U260" s="7" t="n">
        <v>0</v>
      </c>
      <c r="V260" s="7" t="n">
        <v>206918.5</v>
      </c>
      <c r="W260" s="7" t="n">
        <v>0</v>
      </c>
      <c r="X260" s="7" t="n">
        <v>194873.1</v>
      </c>
      <c r="Y260" s="7" t="n">
        <v>0</v>
      </c>
      <c r="Z260" s="7" t="n">
        <v>60720.7</v>
      </c>
      <c r="AA260" s="7" t="n">
        <v>0</v>
      </c>
      <c r="AB260" s="7" t="n">
        <v>1194482.7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451388.4</v>
      </c>
      <c r="D261" s="7" t="n">
        <v>361992.1</v>
      </c>
      <c r="E261" s="7" t="n">
        <v>449457</v>
      </c>
      <c r="F261" s="7" t="n">
        <v>201860.3</v>
      </c>
      <c r="G261" s="7" t="n">
        <v>400027.2</v>
      </c>
      <c r="H261" s="7" t="n">
        <v>442085</v>
      </c>
      <c r="I261" s="7" t="n">
        <v>502626.6</v>
      </c>
      <c r="J261" s="7" t="n">
        <v>523449.6</v>
      </c>
      <c r="K261" s="7" t="n">
        <v>383812.1</v>
      </c>
      <c r="L261" s="7" t="n">
        <v>580334.3</v>
      </c>
      <c r="M261" s="7" t="n">
        <v>502467.4</v>
      </c>
      <c r="N261" s="7" t="n">
        <v>256938.4</v>
      </c>
      <c r="O261" s="7" t="n">
        <v>621136.2</v>
      </c>
      <c r="P261" s="7" t="n">
        <v>928654.9</v>
      </c>
      <c r="Q261" s="7" t="n">
        <v>454344</v>
      </c>
      <c r="R261" s="7" t="n">
        <v>743743</v>
      </c>
      <c r="S261" s="7" t="n">
        <v>567628.3</v>
      </c>
      <c r="T261" s="7" t="n">
        <v>128152.7</v>
      </c>
      <c r="U261" s="7" t="n">
        <v>595070.8</v>
      </c>
      <c r="V261" s="7" t="n">
        <v>612684.9</v>
      </c>
      <c r="W261" s="7" t="n">
        <v>593898.6</v>
      </c>
      <c r="X261" s="7" t="n">
        <v>599958.7</v>
      </c>
      <c r="Y261" s="7" t="n">
        <v>420447</v>
      </c>
      <c r="Z261" s="7" t="n">
        <v>183652.3</v>
      </c>
      <c r="AA261" s="8" t="n">
        <v>5942303.6</v>
      </c>
      <c r="AB261" s="8" t="n">
        <v>5563506.2</v>
      </c>
    </row>
    <row r="262">
      <c r="A262" s="4" t="inlineStr">
        <is>
          <t>净利率</t>
        </is>
      </c>
      <c r="D262" s="13" t="n">
        <v>8.199999999999999</v>
      </c>
      <c r="F262" s="13" t="n">
        <v>4.2</v>
      </c>
      <c r="H262" s="13" t="n">
        <v>7.6</v>
      </c>
      <c r="J262" s="13" t="n">
        <v>8.800000000000001</v>
      </c>
      <c r="L262" s="13" t="n">
        <v>5.8</v>
      </c>
      <c r="N262" s="13" t="n">
        <v>6.9</v>
      </c>
      <c r="P262" s="13" t="n">
        <v>9.300000000000001</v>
      </c>
      <c r="R262" s="13" t="n">
        <v>6.8</v>
      </c>
      <c r="T262" s="13" t="n">
        <v>5.4</v>
      </c>
      <c r="V262" s="13" t="n">
        <v>6.8</v>
      </c>
      <c r="X262" s="13" t="n">
        <v>10.2</v>
      </c>
      <c r="Z262" s="13" t="n">
        <v>6.9</v>
      </c>
    </row>
    <row r="263">
      <c r="A263" s="4" t="inlineStr">
        <is>
          <t>销售达成率</t>
        </is>
      </c>
      <c r="D263" s="13" t="n">
        <v>86.3</v>
      </c>
      <c r="F263" s="13" t="n">
        <v>63.1</v>
      </c>
      <c r="H263" s="13" t="n">
        <v>117.2</v>
      </c>
      <c r="J263" s="13" t="n">
        <v>127.5</v>
      </c>
      <c r="L263" s="13" t="n">
        <v>117.8</v>
      </c>
      <c r="N263" s="13" t="n">
        <v>56.8</v>
      </c>
      <c r="P263" s="13" t="n">
        <v>130.1</v>
      </c>
      <c r="R263" s="13" t="n">
        <v>162.3</v>
      </c>
      <c r="T263" s="13" t="n">
        <v>30.7</v>
      </c>
      <c r="V263" s="13" t="n">
        <v>160.1</v>
      </c>
      <c r="X263" s="13" t="n">
        <v>115.1</v>
      </c>
      <c r="Z263" s="13" t="n">
        <v>53.9</v>
      </c>
    </row>
    <row r="264">
      <c r="A264" s="4" t="inlineStr">
        <is>
          <t>净利达成率</t>
        </is>
      </c>
      <c r="D264" s="13" t="n">
        <v>105.2</v>
      </c>
      <c r="F264" s="13" t="n">
        <v>49.9</v>
      </c>
      <c r="H264" s="13" t="n">
        <v>148</v>
      </c>
      <c r="J264" s="13" t="n">
        <v>145.8</v>
      </c>
      <c r="L264" s="13" t="n">
        <v>153.8</v>
      </c>
      <c r="N264" s="13" t="n">
        <v>66.59999999999999</v>
      </c>
      <c r="P264" s="13" t="n">
        <v>152.8</v>
      </c>
      <c r="R264" s="13" t="n">
        <v>190.6</v>
      </c>
      <c r="T264" s="13" t="n">
        <v>24</v>
      </c>
      <c r="V264" s="13" t="n">
        <v>137.7</v>
      </c>
      <c r="X264" s="13" t="n">
        <v>133.8</v>
      </c>
      <c r="Z264" s="13" t="n">
        <v>58.1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华东事业部利润表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6683034.7</v>
      </c>
      <c r="D6" s="7" t="n">
        <v>5877816.5</v>
      </c>
      <c r="E6" s="7" t="n">
        <v>8499480.6</v>
      </c>
      <c r="F6" s="7" t="n">
        <v>5305681.6</v>
      </c>
      <c r="G6" s="7" t="n">
        <v>6614550.1</v>
      </c>
      <c r="H6" s="7" t="n">
        <v>7696465.9</v>
      </c>
      <c r="I6" s="7" t="n">
        <v>6560355.6</v>
      </c>
      <c r="J6" s="7" t="n">
        <v>8258148.6</v>
      </c>
      <c r="K6" s="7" t="n">
        <v>8636108.300000001</v>
      </c>
      <c r="L6" s="7" t="n">
        <v>10091943.4</v>
      </c>
      <c r="M6" s="7" t="n">
        <v>8500275.699999999</v>
      </c>
      <c r="N6" s="7" t="n">
        <v>4882374</v>
      </c>
      <c r="O6" s="7" t="n">
        <v>7841610.1</v>
      </c>
      <c r="P6" s="7" t="n">
        <v>10424210.9</v>
      </c>
      <c r="Q6" s="7" t="n">
        <v>7836182.8</v>
      </c>
      <c r="R6" s="7" t="n">
        <v>12599007.2</v>
      </c>
      <c r="S6" s="7" t="n">
        <v>8149239</v>
      </c>
      <c r="T6" s="7" t="n">
        <v>2497244.2</v>
      </c>
      <c r="U6" s="7" t="n">
        <v>7478027.8</v>
      </c>
      <c r="V6" s="7" t="n">
        <v>11997081.7</v>
      </c>
      <c r="W6" s="7" t="n">
        <v>6782168.6</v>
      </c>
      <c r="X6" s="7" t="n">
        <v>7847325.1</v>
      </c>
      <c r="Y6" s="7" t="n">
        <v>6565220.6</v>
      </c>
      <c r="Z6" s="7" t="n">
        <v>3528005.7</v>
      </c>
      <c r="AA6" s="8" t="n">
        <v>90146253.90000001</v>
      </c>
      <c r="AB6" s="8" t="n">
        <v>91005304.8</v>
      </c>
    </row>
    <row r="7">
      <c r="A7" s="4" t="inlineStr">
        <is>
          <t>数控机床</t>
        </is>
      </c>
      <c r="D7" s="7" t="n">
        <v>1170899.3</v>
      </c>
      <c r="F7" s="7" t="n">
        <v>1062050.3</v>
      </c>
      <c r="H7" s="7" t="n">
        <v>1113868.6</v>
      </c>
      <c r="J7" s="7" t="n">
        <v>1097285.2</v>
      </c>
      <c r="L7" s="7" t="n">
        <v>812009.2</v>
      </c>
      <c r="N7" s="7" t="n">
        <v>0</v>
      </c>
      <c r="P7" s="7" t="n">
        <v>285546.5</v>
      </c>
      <c r="R7" s="7" t="n">
        <v>1105546.8</v>
      </c>
      <c r="T7" s="7" t="n">
        <v>0</v>
      </c>
      <c r="V7" s="7" t="n">
        <v>1478356.5</v>
      </c>
      <c r="X7" s="7" t="n">
        <v>1020139.2</v>
      </c>
      <c r="Z7" s="7" t="n">
        <v>590815.8</v>
      </c>
      <c r="AB7" s="7" t="n">
        <v>9736517.4</v>
      </c>
    </row>
    <row r="8">
      <c r="A8" s="4" t="inlineStr">
        <is>
          <t>精密轴承</t>
        </is>
      </c>
      <c r="D8" s="7" t="n">
        <v>1203918.2</v>
      </c>
      <c r="F8" s="7" t="n">
        <v>679337.6</v>
      </c>
      <c r="H8" s="7" t="n">
        <v>988308.6000000001</v>
      </c>
      <c r="J8" s="7" t="n">
        <v>665090.4</v>
      </c>
      <c r="L8" s="7" t="n">
        <v>889619.8</v>
      </c>
      <c r="N8" s="7" t="n">
        <v>350566.7</v>
      </c>
      <c r="P8" s="7" t="n">
        <v>1618741.4</v>
      </c>
      <c r="R8" s="7" t="n">
        <v>235801.9</v>
      </c>
      <c r="T8" s="7" t="n">
        <v>0</v>
      </c>
      <c r="V8" s="7" t="n">
        <v>2011809</v>
      </c>
      <c r="X8" s="7" t="n">
        <v>1131050.9</v>
      </c>
      <c r="Z8" s="7" t="n">
        <v>1132841.6</v>
      </c>
      <c r="AB8" s="7" t="n">
        <v>10907086.1</v>
      </c>
    </row>
    <row r="9">
      <c r="A9" s="4" t="inlineStr">
        <is>
          <t>液压件</t>
        </is>
      </c>
      <c r="D9" s="7" t="n">
        <v>419462</v>
      </c>
      <c r="F9" s="7" t="n">
        <v>934125.6</v>
      </c>
      <c r="H9" s="7" t="n">
        <v>636383.8</v>
      </c>
      <c r="J9" s="7" t="n">
        <v>1406412.2</v>
      </c>
      <c r="L9" s="7" t="n">
        <v>2868588.1</v>
      </c>
      <c r="N9" s="7" t="n">
        <v>2683677.9</v>
      </c>
      <c r="P9" s="7" t="n">
        <v>2567364.4</v>
      </c>
      <c r="R9" s="7" t="n">
        <v>2205584.6</v>
      </c>
      <c r="T9" s="7" t="n">
        <v>312633.4</v>
      </c>
      <c r="V9" s="7" t="n">
        <v>1411876.2</v>
      </c>
      <c r="X9" s="7" t="n">
        <v>1419956.8</v>
      </c>
      <c r="Z9" s="7" t="n">
        <v>1408186.2</v>
      </c>
      <c r="AB9" s="7" t="n">
        <v>18274251.2</v>
      </c>
    </row>
    <row r="10">
      <c r="A10" s="4" t="inlineStr">
        <is>
          <t>气动元件</t>
        </is>
      </c>
      <c r="D10" s="7" t="n">
        <v>382820.6</v>
      </c>
      <c r="F10" s="7" t="n">
        <v>866944.3</v>
      </c>
      <c r="H10" s="7" t="n">
        <v>1037375</v>
      </c>
      <c r="J10" s="7" t="n">
        <v>191071.4</v>
      </c>
      <c r="L10" s="7" t="n">
        <v>2126650.2</v>
      </c>
      <c r="N10" s="7" t="n">
        <v>0</v>
      </c>
      <c r="P10" s="7" t="n">
        <v>257175.3</v>
      </c>
      <c r="R10" s="7" t="n">
        <v>2522653.2</v>
      </c>
      <c r="T10" s="7" t="n">
        <v>0</v>
      </c>
      <c r="V10" s="7" t="n">
        <v>2124965.4</v>
      </c>
      <c r="X10" s="7" t="n">
        <v>2050136</v>
      </c>
      <c r="Z10" s="7" t="n">
        <v>0</v>
      </c>
      <c r="AB10" s="7" t="n">
        <v>11559791.4</v>
      </c>
    </row>
    <row r="11">
      <c r="A11" s="4" t="inlineStr">
        <is>
          <t>模具</t>
        </is>
      </c>
      <c r="D11" s="7" t="n">
        <v>825489.2</v>
      </c>
      <c r="F11" s="7" t="n">
        <v>561722.7</v>
      </c>
      <c r="H11" s="7" t="n">
        <v>2288250.8</v>
      </c>
      <c r="J11" s="7" t="n">
        <v>2542850.9</v>
      </c>
      <c r="L11" s="7" t="n">
        <v>1201251.8</v>
      </c>
      <c r="N11" s="7" t="n">
        <v>1133555.1</v>
      </c>
      <c r="P11" s="7" t="n">
        <v>5193236</v>
      </c>
      <c r="R11" s="7" t="n">
        <v>4133498.2</v>
      </c>
      <c r="T11" s="7" t="n">
        <v>237739</v>
      </c>
      <c r="V11" s="7" t="n">
        <v>3681842.3</v>
      </c>
      <c r="X11" s="7" t="n">
        <v>2068587.8</v>
      </c>
      <c r="Z11" s="7" t="n">
        <v>0</v>
      </c>
      <c r="AB11" s="7" t="n">
        <v>23868023.8</v>
      </c>
    </row>
    <row r="12">
      <c r="A12" s="4" t="inlineStr">
        <is>
          <t>工装夹具</t>
        </is>
      </c>
      <c r="D12" s="7" t="n">
        <v>1868243.1</v>
      </c>
      <c r="F12" s="7" t="n">
        <v>1304927.1</v>
      </c>
      <c r="H12" s="7" t="n">
        <v>1698400.7</v>
      </c>
      <c r="J12" s="7" t="n">
        <v>2462862.7</v>
      </c>
      <c r="L12" s="7" t="n">
        <v>2378971.2</v>
      </c>
      <c r="N12" s="7" t="n">
        <v>744064.9</v>
      </c>
      <c r="P12" s="7" t="n">
        <v>504771.6</v>
      </c>
      <c r="R12" s="7" t="n">
        <v>2576762.9</v>
      </c>
      <c r="T12" s="7" t="n">
        <v>1978865.4</v>
      </c>
      <c r="V12" s="7" t="n">
        <v>1488864</v>
      </c>
      <c r="X12" s="7" t="n">
        <v>251897.3</v>
      </c>
      <c r="Z12" s="7" t="n">
        <v>403881.9</v>
      </c>
      <c r="AB12" s="7" t="n">
        <v>17662512.8</v>
      </c>
    </row>
    <row r="13">
      <c r="A13" s="4" t="inlineStr">
        <is>
          <t>返利</t>
        </is>
      </c>
      <c r="D13" s="7" t="n">
        <v>-73028.60000000001</v>
      </c>
      <c r="F13" s="7" t="n">
        <v>-137190.7</v>
      </c>
      <c r="H13" s="7" t="n">
        <v>-116277.7</v>
      </c>
      <c r="J13" s="7" t="n">
        <v>-212690.6</v>
      </c>
      <c r="L13" s="7" t="n">
        <v>-193817.9</v>
      </c>
      <c r="N13" s="7" t="n">
        <v>-121580.3</v>
      </c>
      <c r="P13" s="7" t="n">
        <v>-111256.5</v>
      </c>
      <c r="R13" s="7" t="n">
        <v>-245586.4</v>
      </c>
      <c r="T13" s="7" t="n">
        <v>-64293</v>
      </c>
      <c r="V13" s="7" t="n">
        <v>-249111.2</v>
      </c>
      <c r="X13" s="7" t="n">
        <v>-235412.4</v>
      </c>
      <c r="Z13" s="7" t="n">
        <v>-68792.89999999999</v>
      </c>
      <c r="AB13" s="7" t="n">
        <v>-1829038.2</v>
      </c>
    </row>
    <row r="14">
      <c r="A14" s="4" t="inlineStr">
        <is>
          <t>其他</t>
        </is>
      </c>
      <c r="D14" s="7" t="n">
        <v>80012.7</v>
      </c>
      <c r="F14" s="7" t="n">
        <v>33764.7</v>
      </c>
      <c r="H14" s="7" t="n">
        <v>50156.1</v>
      </c>
      <c r="J14" s="7" t="n">
        <v>105266.4</v>
      </c>
      <c r="L14" s="7" t="n">
        <v>8671</v>
      </c>
      <c r="N14" s="7" t="n">
        <v>92089.7</v>
      </c>
      <c r="P14" s="7" t="n">
        <v>108632.2</v>
      </c>
      <c r="R14" s="7" t="n">
        <v>64746</v>
      </c>
      <c r="T14" s="7" t="n">
        <v>32299.4</v>
      </c>
      <c r="V14" s="7" t="n">
        <v>48479.5</v>
      </c>
      <c r="X14" s="7" t="n">
        <v>140969.5</v>
      </c>
      <c r="Z14" s="7" t="n">
        <v>61073.1</v>
      </c>
      <c r="AB14" s="7" t="n">
        <v>826160.3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5779101.6</v>
      </c>
      <c r="D15" s="7" t="n">
        <v>4220897.4</v>
      </c>
      <c r="E15" s="7" t="n">
        <v>5400269.9</v>
      </c>
      <c r="F15" s="7" t="n">
        <v>3831962.9</v>
      </c>
      <c r="G15" s="7" t="n">
        <v>4925210.7</v>
      </c>
      <c r="H15" s="7" t="n">
        <v>5713001.7</v>
      </c>
      <c r="I15" s="7" t="n">
        <v>5040165.2</v>
      </c>
      <c r="J15" s="7" t="n">
        <v>6130385.2</v>
      </c>
      <c r="K15" s="7" t="n">
        <v>4928448.8</v>
      </c>
      <c r="L15" s="7" t="n">
        <v>7433315.7</v>
      </c>
      <c r="M15" s="7" t="n">
        <v>5816902.6</v>
      </c>
      <c r="N15" s="7" t="n">
        <v>3645653.8</v>
      </c>
      <c r="O15" s="7" t="n">
        <v>6342995.1</v>
      </c>
      <c r="P15" s="7" t="n">
        <v>7680844.4</v>
      </c>
      <c r="Q15" s="7" t="n">
        <v>6454420.6</v>
      </c>
      <c r="R15" s="7" t="n">
        <v>9587479.4</v>
      </c>
      <c r="S15" s="7" t="n">
        <v>5827834.6</v>
      </c>
      <c r="T15" s="7" t="n">
        <v>1811491.2</v>
      </c>
      <c r="U15" s="7" t="n">
        <v>4875155.4</v>
      </c>
      <c r="V15" s="7" t="n">
        <v>8695760.699999999</v>
      </c>
      <c r="W15" s="7" t="n">
        <v>5860597.1</v>
      </c>
      <c r="X15" s="7" t="n">
        <v>5875270.7</v>
      </c>
      <c r="Y15" s="7" t="n">
        <v>5956231.5</v>
      </c>
      <c r="Z15" s="7" t="n">
        <v>2777636.9</v>
      </c>
      <c r="AA15" s="8" t="n">
        <v>67207333.09999999</v>
      </c>
      <c r="AB15" s="8" t="n">
        <v>67403700</v>
      </c>
    </row>
    <row r="16">
      <c r="A16" s="4" t="inlineStr">
        <is>
          <t>数控机床</t>
        </is>
      </c>
      <c r="D16" s="7" t="n">
        <v>798996.1000000001</v>
      </c>
      <c r="F16" s="7" t="n">
        <v>735307.7</v>
      </c>
      <c r="H16" s="7" t="n">
        <v>750875.5</v>
      </c>
      <c r="J16" s="7" t="n">
        <v>730410.5</v>
      </c>
      <c r="L16" s="7" t="n">
        <v>576369.1000000001</v>
      </c>
      <c r="N16" s="7" t="n">
        <v>0</v>
      </c>
      <c r="P16" s="7" t="n">
        <v>208442</v>
      </c>
      <c r="R16" s="7" t="n">
        <v>780288.9</v>
      </c>
      <c r="T16" s="7" t="n">
        <v>0</v>
      </c>
      <c r="V16" s="7" t="n">
        <v>1013198.4</v>
      </c>
      <c r="X16" s="7" t="n">
        <v>679058.1</v>
      </c>
      <c r="Z16" s="7" t="n">
        <v>414946</v>
      </c>
      <c r="AB16" s="7" t="n">
        <v>6687892.3</v>
      </c>
    </row>
    <row r="17">
      <c r="A17" s="4" t="inlineStr">
        <is>
          <t>精密轴承</t>
        </is>
      </c>
      <c r="D17" s="7" t="n">
        <v>895656.5</v>
      </c>
      <c r="F17" s="7" t="n">
        <v>507751</v>
      </c>
      <c r="H17" s="7" t="n">
        <v>733731.7000000001</v>
      </c>
      <c r="J17" s="7" t="n">
        <v>514028.8</v>
      </c>
      <c r="L17" s="7" t="n">
        <v>661185.6</v>
      </c>
      <c r="N17" s="7" t="n">
        <v>241056.7</v>
      </c>
      <c r="P17" s="7" t="n">
        <v>1211638.7</v>
      </c>
      <c r="R17" s="7" t="n">
        <v>176753.6</v>
      </c>
      <c r="T17" s="7" t="n">
        <v>0</v>
      </c>
      <c r="V17" s="7" t="n">
        <v>1505067.8</v>
      </c>
      <c r="X17" s="7" t="n">
        <v>847874.8</v>
      </c>
      <c r="Z17" s="7" t="n">
        <v>847371.3999999999</v>
      </c>
      <c r="AB17" s="7" t="n">
        <v>8142116.6</v>
      </c>
    </row>
    <row r="18">
      <c r="A18" s="4" t="inlineStr">
        <is>
          <t>液压件</t>
        </is>
      </c>
      <c r="D18" s="7" t="n">
        <v>277739.9</v>
      </c>
      <c r="F18" s="7" t="n">
        <v>665628.6</v>
      </c>
      <c r="H18" s="7" t="n">
        <v>419439</v>
      </c>
      <c r="J18" s="7" t="n">
        <v>1028570.9</v>
      </c>
      <c r="L18" s="7" t="n">
        <v>2134120.9</v>
      </c>
      <c r="N18" s="7" t="n">
        <v>1977824</v>
      </c>
      <c r="P18" s="7" t="n">
        <v>1866286</v>
      </c>
      <c r="R18" s="7" t="n">
        <v>1734932.4</v>
      </c>
      <c r="T18" s="7" t="n">
        <v>194741.4</v>
      </c>
      <c r="V18" s="7" t="n">
        <v>997487.5</v>
      </c>
      <c r="X18" s="7" t="n">
        <v>1117586</v>
      </c>
      <c r="Z18" s="7" t="n">
        <v>1107798.5</v>
      </c>
      <c r="AB18" s="7" t="n">
        <v>13522155.1</v>
      </c>
    </row>
    <row r="19">
      <c r="A19" s="4" t="inlineStr">
        <is>
          <t>气动元件</t>
        </is>
      </c>
      <c r="D19" s="7" t="n">
        <v>254452.3</v>
      </c>
      <c r="F19" s="7" t="n">
        <v>547224.6</v>
      </c>
      <c r="H19" s="7" t="n">
        <v>669864.5</v>
      </c>
      <c r="J19" s="7" t="n">
        <v>125309.4</v>
      </c>
      <c r="L19" s="7" t="n">
        <v>1345240.5</v>
      </c>
      <c r="N19" s="7" t="n">
        <v>0</v>
      </c>
      <c r="P19" s="7" t="n">
        <v>196446</v>
      </c>
      <c r="R19" s="7" t="n">
        <v>1619162.6</v>
      </c>
      <c r="T19" s="7" t="n">
        <v>0</v>
      </c>
      <c r="V19" s="7" t="n">
        <v>1336781.1</v>
      </c>
      <c r="X19" s="7" t="n">
        <v>1316041.8</v>
      </c>
      <c r="Z19" s="7" t="n">
        <v>0</v>
      </c>
      <c r="AB19" s="7" t="n">
        <v>7410522.8</v>
      </c>
    </row>
    <row r="20">
      <c r="A20" s="4" t="inlineStr">
        <is>
          <t>模具</t>
        </is>
      </c>
      <c r="D20" s="7" t="n">
        <v>562681.6</v>
      </c>
      <c r="F20" s="7" t="n">
        <v>362277.1</v>
      </c>
      <c r="H20" s="7" t="n">
        <v>1656997.8</v>
      </c>
      <c r="J20" s="7" t="n">
        <v>1795685.1</v>
      </c>
      <c r="L20" s="7" t="n">
        <v>861376.7</v>
      </c>
      <c r="N20" s="7" t="n">
        <v>812833.7</v>
      </c>
      <c r="P20" s="7" t="n">
        <v>3638292</v>
      </c>
      <c r="R20" s="7" t="n">
        <v>2944410.6</v>
      </c>
      <c r="T20" s="7" t="n">
        <v>188513.8</v>
      </c>
      <c r="V20" s="7" t="n">
        <v>2560006.1</v>
      </c>
      <c r="X20" s="7" t="n">
        <v>1412625</v>
      </c>
      <c r="Z20" s="7" t="n">
        <v>0</v>
      </c>
      <c r="AB20" s="7" t="n">
        <v>16795699.5</v>
      </c>
    </row>
    <row r="21">
      <c r="A21" s="4" t="inlineStr">
        <is>
          <t>工装夹具</t>
        </is>
      </c>
      <c r="D21" s="7" t="n">
        <v>1275596.4</v>
      </c>
      <c r="F21" s="7" t="n">
        <v>887266.5</v>
      </c>
      <c r="H21" s="7" t="n">
        <v>1179451.1</v>
      </c>
      <c r="J21" s="7" t="n">
        <v>1687626.8</v>
      </c>
      <c r="L21" s="7" t="n">
        <v>1597881.8</v>
      </c>
      <c r="N21" s="7" t="n">
        <v>475017.1</v>
      </c>
      <c r="P21" s="7" t="n">
        <v>313776</v>
      </c>
      <c r="R21" s="7" t="n">
        <v>1773780.2</v>
      </c>
      <c r="T21" s="7" t="n">
        <v>1376973.7</v>
      </c>
      <c r="V21" s="7" t="n">
        <v>1023898.8</v>
      </c>
      <c r="X21" s="7" t="n">
        <v>156584.3</v>
      </c>
      <c r="Z21" s="7" t="n">
        <v>286393.7</v>
      </c>
      <c r="AB21" s="7" t="n">
        <v>12034246.4</v>
      </c>
    </row>
    <row r="22">
      <c r="A22" s="4" t="inlineStr">
        <is>
          <t>其他</t>
        </is>
      </c>
      <c r="D22" s="7" t="n">
        <v>64348.1</v>
      </c>
      <c r="F22" s="7" t="n">
        <v>9325</v>
      </c>
      <c r="H22" s="7" t="n">
        <v>25177.1</v>
      </c>
      <c r="J22" s="7" t="n">
        <v>115477.1</v>
      </c>
      <c r="L22" s="7" t="n">
        <v>113177.1</v>
      </c>
      <c r="N22" s="7" t="n">
        <v>53070.7</v>
      </c>
      <c r="P22" s="7" t="n">
        <v>119779.7</v>
      </c>
      <c r="R22" s="7" t="n">
        <v>79226.7</v>
      </c>
      <c r="T22" s="7" t="n">
        <v>6793.3</v>
      </c>
      <c r="V22" s="7" t="n">
        <v>116296.3</v>
      </c>
      <c r="X22" s="7" t="n">
        <v>39611.7</v>
      </c>
      <c r="Z22" s="7" t="n">
        <v>7158.3</v>
      </c>
      <c r="AB22" s="7" t="n">
        <v>749441.1</v>
      </c>
    </row>
    <row r="23">
      <c r="A23" s="4" t="inlineStr">
        <is>
          <t>运费</t>
        </is>
      </c>
      <c r="D23" s="7" t="n">
        <v>155774.6</v>
      </c>
      <c r="F23" s="7" t="n">
        <v>126507.4</v>
      </c>
      <c r="H23" s="7" t="n">
        <v>302642.1</v>
      </c>
      <c r="J23" s="7" t="n">
        <v>248753.7</v>
      </c>
      <c r="L23" s="7" t="n">
        <v>257141.1</v>
      </c>
      <c r="N23" s="7" t="n">
        <v>138922.3</v>
      </c>
      <c r="P23" s="7" t="n">
        <v>245963.7</v>
      </c>
      <c r="R23" s="7" t="n">
        <v>558151.1</v>
      </c>
      <c r="T23" s="7" t="n">
        <v>51262.3</v>
      </c>
      <c r="V23" s="7" t="n">
        <v>259321</v>
      </c>
      <c r="X23" s="7" t="n">
        <v>345500.7</v>
      </c>
      <c r="Z23" s="7" t="n">
        <v>121127.3</v>
      </c>
      <c r="AB23" s="7" t="n">
        <v>2811067.3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903933.1</v>
      </c>
      <c r="D24" s="7" t="n">
        <v>1656919.1</v>
      </c>
      <c r="E24" s="7" t="n">
        <v>3099210.7</v>
      </c>
      <c r="F24" s="7" t="n">
        <v>1473718.7</v>
      </c>
      <c r="G24" s="7" t="n">
        <v>1689339.4</v>
      </c>
      <c r="H24" s="7" t="n">
        <v>1983464.2</v>
      </c>
      <c r="I24" s="7" t="n">
        <v>1520190.4</v>
      </c>
      <c r="J24" s="7" t="n">
        <v>2127763.4</v>
      </c>
      <c r="K24" s="7" t="n">
        <v>3707659.5</v>
      </c>
      <c r="L24" s="7" t="n">
        <v>2658627.7</v>
      </c>
      <c r="M24" s="7" t="n">
        <v>2683373.1</v>
      </c>
      <c r="N24" s="7" t="n">
        <v>1236720.2</v>
      </c>
      <c r="O24" s="7" t="n">
        <v>1498615</v>
      </c>
      <c r="P24" s="7" t="n">
        <v>2743366.5</v>
      </c>
      <c r="Q24" s="7" t="n">
        <v>1381762.2</v>
      </c>
      <c r="R24" s="7" t="n">
        <v>3011527.8</v>
      </c>
      <c r="S24" s="7" t="n">
        <v>2321404.4</v>
      </c>
      <c r="T24" s="7" t="n">
        <v>685753</v>
      </c>
      <c r="U24" s="7" t="n">
        <v>2602872.4</v>
      </c>
      <c r="V24" s="7" t="n">
        <v>3301321</v>
      </c>
      <c r="W24" s="7" t="n">
        <v>921571.5</v>
      </c>
      <c r="X24" s="7" t="n">
        <v>1972054.4</v>
      </c>
      <c r="Y24" s="7" t="n">
        <v>608989.1</v>
      </c>
      <c r="Z24" s="7" t="n">
        <v>750368.8</v>
      </c>
      <c r="AA24" s="8" t="n">
        <v>22938920.8</v>
      </c>
      <c r="AB24" s="8" t="n">
        <v>23601604.8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13.5</v>
      </c>
      <c r="D25" s="13" t="n">
        <v>28.2</v>
      </c>
      <c r="E25" s="13" t="n">
        <v>36.5</v>
      </c>
      <c r="F25" s="13" t="n">
        <v>27.8</v>
      </c>
      <c r="G25" s="13" t="n">
        <v>25.5</v>
      </c>
      <c r="H25" s="13" t="n">
        <v>25.8</v>
      </c>
      <c r="I25" s="13" t="n">
        <v>23.2</v>
      </c>
      <c r="J25" s="13" t="n">
        <v>25.8</v>
      </c>
      <c r="K25" s="13" t="n">
        <v>42.9</v>
      </c>
      <c r="L25" s="13" t="n">
        <v>26.3</v>
      </c>
      <c r="M25" s="13" t="n">
        <v>31.6</v>
      </c>
      <c r="N25" s="13" t="n">
        <v>25.3</v>
      </c>
      <c r="O25" s="13" t="n">
        <v>19.1</v>
      </c>
      <c r="P25" s="13" t="n">
        <v>26.3</v>
      </c>
      <c r="Q25" s="13" t="n">
        <v>17.6</v>
      </c>
      <c r="R25" s="13" t="n">
        <v>23.9</v>
      </c>
      <c r="S25" s="13" t="n">
        <v>28.5</v>
      </c>
      <c r="T25" s="13" t="n">
        <v>27.5</v>
      </c>
      <c r="U25" s="13" t="n">
        <v>34.8</v>
      </c>
      <c r="V25" s="13" t="n">
        <v>27.5</v>
      </c>
      <c r="W25" s="13" t="n">
        <v>13.6</v>
      </c>
      <c r="X25" s="13" t="n">
        <v>25.1</v>
      </c>
      <c r="Y25" s="13" t="n">
        <v>9.300000000000001</v>
      </c>
      <c r="Z25" s="13" t="n">
        <v>21.3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74811.89999999999</v>
      </c>
      <c r="D26" s="7" t="n">
        <v>82210.8</v>
      </c>
      <c r="E26" s="7" t="n">
        <v>64087.7</v>
      </c>
      <c r="F26" s="7" t="n">
        <v>52277</v>
      </c>
      <c r="G26" s="7" t="n">
        <v>65990.10000000001</v>
      </c>
      <c r="H26" s="7" t="n">
        <v>72154.39999999999</v>
      </c>
      <c r="I26" s="7" t="n">
        <v>69095.89999999999</v>
      </c>
      <c r="J26" s="7" t="n">
        <v>65628.7</v>
      </c>
      <c r="K26" s="7" t="n">
        <v>68382.2</v>
      </c>
      <c r="L26" s="7" t="n">
        <v>120804.4</v>
      </c>
      <c r="M26" s="7" t="n">
        <v>70673.5</v>
      </c>
      <c r="N26" s="7" t="n">
        <v>33677.4</v>
      </c>
      <c r="O26" s="7" t="n">
        <v>62582.7</v>
      </c>
      <c r="P26" s="7" t="n">
        <v>71575.39999999999</v>
      </c>
      <c r="Q26" s="7" t="n">
        <v>76655.89999999999</v>
      </c>
      <c r="R26" s="7" t="n">
        <v>106797.3</v>
      </c>
      <c r="S26" s="7" t="n">
        <v>70937</v>
      </c>
      <c r="T26" s="7" t="n">
        <v>30776.1</v>
      </c>
      <c r="U26" s="7" t="n">
        <v>66663.8</v>
      </c>
      <c r="V26" s="7" t="n">
        <v>93016.3</v>
      </c>
      <c r="W26" s="7" t="n">
        <v>62980.2</v>
      </c>
      <c r="X26" s="7" t="n">
        <v>104475.3</v>
      </c>
      <c r="Y26" s="7" t="n">
        <v>81487.60000000001</v>
      </c>
      <c r="Z26" s="7" t="n">
        <v>49902.7</v>
      </c>
      <c r="AA26" s="8" t="n">
        <v>834348.5</v>
      </c>
      <c r="AB26" s="8" t="n">
        <v>883295.8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899367</v>
      </c>
      <c r="D27" s="7" t="n">
        <v>926353.6</v>
      </c>
      <c r="E27" s="7" t="n">
        <v>1025463.1</v>
      </c>
      <c r="F27" s="7" t="n">
        <v>551147.1</v>
      </c>
      <c r="G27" s="7" t="n">
        <v>885990.3</v>
      </c>
      <c r="H27" s="7" t="n">
        <v>1170635.2</v>
      </c>
      <c r="I27" s="7" t="n">
        <v>1120780.8</v>
      </c>
      <c r="J27" s="7" t="n">
        <v>1204277.1</v>
      </c>
      <c r="K27" s="7" t="n">
        <v>905266.5</v>
      </c>
      <c r="L27" s="7" t="n">
        <v>1351267.3</v>
      </c>
      <c r="M27" s="7" t="n">
        <v>1132481.8</v>
      </c>
      <c r="N27" s="7" t="n">
        <v>579777.4</v>
      </c>
      <c r="O27" s="7" t="n">
        <v>927356.5</v>
      </c>
      <c r="P27" s="7" t="n">
        <v>1380238.3</v>
      </c>
      <c r="Q27" s="7" t="n">
        <v>1013905.5</v>
      </c>
      <c r="R27" s="7" t="n">
        <v>1634783.1</v>
      </c>
      <c r="S27" s="7" t="n">
        <v>895789.3</v>
      </c>
      <c r="T27" s="7" t="n">
        <v>337494.5</v>
      </c>
      <c r="U27" s="7" t="n">
        <v>1040070.2</v>
      </c>
      <c r="V27" s="7" t="n">
        <v>1695234.7</v>
      </c>
      <c r="W27" s="7" t="n">
        <v>1121118.8</v>
      </c>
      <c r="X27" s="7" t="n">
        <v>880940.7</v>
      </c>
      <c r="Y27" s="7" t="n">
        <v>1066622</v>
      </c>
      <c r="Z27" s="7" t="n">
        <v>508351.7</v>
      </c>
      <c r="AA27" s="8" t="n">
        <v>12034211.8</v>
      </c>
      <c r="AB27" s="8" t="n">
        <v>12220500.7</v>
      </c>
    </row>
    <row r="28">
      <c r="A28" s="4" t="inlineStr">
        <is>
          <t>职工薪酬</t>
        </is>
      </c>
      <c r="D28" s="7" t="n">
        <v>434456.9</v>
      </c>
      <c r="F28" s="7" t="n">
        <v>269589.7</v>
      </c>
      <c r="H28" s="7" t="n">
        <v>703213.8</v>
      </c>
      <c r="J28" s="7" t="n">
        <v>611531.7</v>
      </c>
      <c r="L28" s="7" t="n">
        <v>658937.3</v>
      </c>
      <c r="N28" s="7" t="n">
        <v>309268.3</v>
      </c>
      <c r="P28" s="7" t="n">
        <v>743822.7</v>
      </c>
      <c r="R28" s="7" t="n">
        <v>774745.2</v>
      </c>
      <c r="T28" s="7" t="n">
        <v>135929.3</v>
      </c>
      <c r="V28" s="7" t="n">
        <v>731108.9</v>
      </c>
      <c r="X28" s="7" t="n">
        <v>434515</v>
      </c>
      <c r="Z28" s="7" t="n">
        <v>289600.7</v>
      </c>
      <c r="AB28" s="7" t="n">
        <v>6096719.5</v>
      </c>
    </row>
    <row r="29">
      <c r="A29" s="4" t="inlineStr">
        <is>
          <t>工资</t>
        </is>
      </c>
      <c r="D29" s="7" t="n">
        <v>204655.6</v>
      </c>
      <c r="F29" s="7" t="n">
        <v>171100.1</v>
      </c>
      <c r="H29" s="7" t="n">
        <v>443534.8</v>
      </c>
      <c r="J29" s="7" t="n">
        <v>343064.3</v>
      </c>
      <c r="L29" s="7" t="n">
        <v>373534</v>
      </c>
      <c r="N29" s="7" t="n">
        <v>195685.4</v>
      </c>
      <c r="P29" s="7" t="n">
        <v>494478.3</v>
      </c>
      <c r="R29" s="7" t="n">
        <v>421523.6</v>
      </c>
      <c r="T29" s="7" t="n">
        <v>73343.5</v>
      </c>
      <c r="V29" s="7" t="n">
        <v>377477.7</v>
      </c>
      <c r="X29" s="7" t="n">
        <v>233187.5</v>
      </c>
      <c r="Z29" s="7" t="n">
        <v>193188.2</v>
      </c>
      <c r="AB29" s="7" t="n">
        <v>3524773</v>
      </c>
    </row>
    <row r="30">
      <c r="A30" s="4" t="inlineStr">
        <is>
          <t>奖金及提成</t>
        </is>
      </c>
      <c r="D30" s="7" t="n">
        <v>118235.3</v>
      </c>
      <c r="F30" s="7" t="n">
        <v>41791.9</v>
      </c>
      <c r="H30" s="7" t="n">
        <v>132879.2</v>
      </c>
      <c r="J30" s="7" t="n">
        <v>122715.4</v>
      </c>
      <c r="L30" s="7" t="n">
        <v>109949.4</v>
      </c>
      <c r="N30" s="7" t="n">
        <v>58888.9</v>
      </c>
      <c r="P30" s="7" t="n">
        <v>117217.8</v>
      </c>
      <c r="R30" s="7" t="n">
        <v>175771.1</v>
      </c>
      <c r="T30" s="7" t="n">
        <v>27247.2</v>
      </c>
      <c r="V30" s="7" t="n">
        <v>194870</v>
      </c>
      <c r="X30" s="7" t="n">
        <v>83611</v>
      </c>
      <c r="Z30" s="7" t="n">
        <v>38802.9</v>
      </c>
      <c r="AB30" s="7" t="n">
        <v>1221980.1</v>
      </c>
    </row>
    <row r="31">
      <c r="A31" s="4" t="inlineStr">
        <is>
          <t>社保</t>
        </is>
      </c>
      <c r="D31" s="7" t="n">
        <v>80272.2</v>
      </c>
      <c r="F31" s="7" t="n">
        <v>40334.2</v>
      </c>
      <c r="H31" s="7" t="n">
        <v>91331.3</v>
      </c>
      <c r="J31" s="7" t="n">
        <v>105894.1</v>
      </c>
      <c r="L31" s="7" t="n">
        <v>132931.7</v>
      </c>
      <c r="N31" s="7" t="n">
        <v>37109.7</v>
      </c>
      <c r="P31" s="7" t="n">
        <v>89244.89999999999</v>
      </c>
      <c r="R31" s="7" t="n">
        <v>123057.9</v>
      </c>
      <c r="T31" s="7" t="n">
        <v>24367.3</v>
      </c>
      <c r="V31" s="7" t="n">
        <v>107804.2</v>
      </c>
      <c r="X31" s="7" t="n">
        <v>91551.60000000001</v>
      </c>
      <c r="Z31" s="7" t="n">
        <v>39277.6</v>
      </c>
      <c r="AB31" s="7" t="n">
        <v>963176.7</v>
      </c>
    </row>
    <row r="32">
      <c r="A32" s="4" t="inlineStr">
        <is>
          <t>养老</t>
        </is>
      </c>
      <c r="D32" s="7" t="n">
        <v>1902.8</v>
      </c>
      <c r="F32" s="7" t="n">
        <v>1648.8</v>
      </c>
      <c r="H32" s="7" t="n">
        <v>2420</v>
      </c>
      <c r="J32" s="7" t="n">
        <v>2568.1</v>
      </c>
      <c r="L32" s="7" t="n">
        <v>3616.7</v>
      </c>
      <c r="N32" s="7" t="n">
        <v>1283.7</v>
      </c>
      <c r="P32" s="7" t="n">
        <v>3620.9</v>
      </c>
      <c r="R32" s="7" t="n">
        <v>4022.6</v>
      </c>
      <c r="T32" s="7" t="n">
        <v>809.3</v>
      </c>
      <c r="V32" s="7" t="n">
        <v>3244.3</v>
      </c>
      <c r="X32" s="7" t="n">
        <v>2359.7</v>
      </c>
      <c r="Z32" s="7" t="n">
        <v>1474.8</v>
      </c>
      <c r="AB32" s="7" t="n">
        <v>28971.7</v>
      </c>
    </row>
    <row r="33">
      <c r="A33" s="4" t="inlineStr">
        <is>
          <t>医疗</t>
        </is>
      </c>
      <c r="D33" s="7" t="n">
        <v>1971</v>
      </c>
      <c r="F33" s="7" t="n">
        <v>889.4</v>
      </c>
      <c r="H33" s="7" t="n">
        <v>1830</v>
      </c>
      <c r="J33" s="7" t="n">
        <v>2279</v>
      </c>
      <c r="L33" s="7" t="n">
        <v>2903.8</v>
      </c>
      <c r="N33" s="7" t="n">
        <v>1021.5</v>
      </c>
      <c r="P33" s="7" t="n">
        <v>2324</v>
      </c>
      <c r="R33" s="7" t="n">
        <v>3530.2</v>
      </c>
      <c r="T33" s="7" t="n">
        <v>495.5</v>
      </c>
      <c r="V33" s="7" t="n">
        <v>2486.2</v>
      </c>
      <c r="X33" s="7" t="n">
        <v>1222.9</v>
      </c>
      <c r="Z33" s="7" t="n">
        <v>1027.8</v>
      </c>
      <c r="AB33" s="7" t="n">
        <v>21981.3</v>
      </c>
    </row>
    <row r="34">
      <c r="A34" s="4" t="inlineStr">
        <is>
          <t>工伤</t>
        </is>
      </c>
      <c r="D34" s="7" t="n">
        <v>157.3</v>
      </c>
      <c r="F34" s="7" t="n">
        <v>87.40000000000001</v>
      </c>
      <c r="H34" s="7" t="n">
        <v>144.2</v>
      </c>
      <c r="J34" s="7" t="n">
        <v>176.9</v>
      </c>
      <c r="L34" s="7" t="n">
        <v>198.8</v>
      </c>
      <c r="N34" s="7" t="n">
        <v>103.6</v>
      </c>
      <c r="P34" s="7" t="n">
        <v>155.7</v>
      </c>
      <c r="R34" s="7" t="n">
        <v>168.1</v>
      </c>
      <c r="T34" s="7" t="n">
        <v>43.9</v>
      </c>
      <c r="V34" s="7" t="n">
        <v>188.9</v>
      </c>
      <c r="X34" s="7" t="n">
        <v>115.4</v>
      </c>
      <c r="Z34" s="7" t="n">
        <v>75.90000000000001</v>
      </c>
      <c r="AB34" s="7" t="n">
        <v>1616.1</v>
      </c>
    </row>
    <row r="35">
      <c r="A35" s="4" t="inlineStr">
        <is>
          <t>失业</t>
        </is>
      </c>
      <c r="D35" s="7" t="n">
        <v>1679.5</v>
      </c>
      <c r="F35" s="7" t="n">
        <v>635.9</v>
      </c>
      <c r="H35" s="7" t="n">
        <v>1681</v>
      </c>
      <c r="J35" s="7" t="n">
        <v>2301.3</v>
      </c>
      <c r="L35" s="7" t="n">
        <v>2354.7</v>
      </c>
      <c r="N35" s="7" t="n">
        <v>1004.6</v>
      </c>
      <c r="P35" s="7" t="n">
        <v>2479.4</v>
      </c>
      <c r="R35" s="7" t="n">
        <v>2007.5</v>
      </c>
      <c r="T35" s="7" t="n">
        <v>616.4</v>
      </c>
      <c r="V35" s="7" t="n">
        <v>2884.7</v>
      </c>
      <c r="X35" s="7" t="n">
        <v>1407.5</v>
      </c>
      <c r="Z35" s="7" t="n">
        <v>966.6</v>
      </c>
      <c r="AB35" s="7" t="n">
        <v>20019.1</v>
      </c>
    </row>
    <row r="36">
      <c r="A36" s="4" t="inlineStr">
        <is>
          <t>生育</t>
        </is>
      </c>
      <c r="D36" s="7" t="n">
        <v>3182.7</v>
      </c>
      <c r="F36" s="7" t="n">
        <v>2449.1</v>
      </c>
      <c r="H36" s="7" t="n">
        <v>4778.3</v>
      </c>
      <c r="J36" s="7" t="n">
        <v>3511.7</v>
      </c>
      <c r="L36" s="7" t="n">
        <v>3868.9</v>
      </c>
      <c r="N36" s="7" t="n">
        <v>2630.8</v>
      </c>
      <c r="P36" s="7" t="n">
        <v>4895.7</v>
      </c>
      <c r="R36" s="7" t="n">
        <v>7595</v>
      </c>
      <c r="T36" s="7" t="n">
        <v>1251.3</v>
      </c>
      <c r="V36" s="7" t="n">
        <v>8077.1</v>
      </c>
      <c r="X36" s="7" t="n">
        <v>4201.3</v>
      </c>
      <c r="Z36" s="7" t="n">
        <v>1658.8</v>
      </c>
      <c r="AB36" s="7" t="n">
        <v>48100.7</v>
      </c>
    </row>
    <row r="37">
      <c r="A37" s="4" t="inlineStr">
        <is>
          <t>公积金</t>
        </is>
      </c>
      <c r="D37" s="7" t="n">
        <v>4208.7</v>
      </c>
      <c r="F37" s="7" t="n">
        <v>1667.6</v>
      </c>
      <c r="H37" s="7" t="n">
        <v>5845</v>
      </c>
      <c r="J37" s="7" t="n">
        <v>4791.5</v>
      </c>
      <c r="L37" s="7" t="n">
        <v>5106.6</v>
      </c>
      <c r="N37" s="7" t="n">
        <v>1798.5</v>
      </c>
      <c r="P37" s="7" t="n">
        <v>6049.7</v>
      </c>
      <c r="R37" s="7" t="n">
        <v>5526.4</v>
      </c>
      <c r="T37" s="7" t="n">
        <v>1446.7</v>
      </c>
      <c r="V37" s="7" t="n">
        <v>6040.9</v>
      </c>
      <c r="X37" s="7" t="n">
        <v>2753.9</v>
      </c>
      <c r="Z37" s="7" t="n">
        <v>2478.4</v>
      </c>
      <c r="AB37" s="7" t="n">
        <v>47713.9</v>
      </c>
    </row>
    <row r="38">
      <c r="A38" s="4" t="inlineStr">
        <is>
          <t>工会经费</t>
        </is>
      </c>
      <c r="D38" s="7" t="n">
        <v>2308.7</v>
      </c>
      <c r="F38" s="7" t="n">
        <v>1501</v>
      </c>
      <c r="H38" s="7" t="n">
        <v>3024.4</v>
      </c>
      <c r="J38" s="7" t="n">
        <v>2585.2</v>
      </c>
      <c r="L38" s="7" t="n">
        <v>3042.2</v>
      </c>
      <c r="N38" s="7" t="n">
        <v>1399</v>
      </c>
      <c r="P38" s="7" t="n">
        <v>2771.1</v>
      </c>
      <c r="R38" s="7" t="n">
        <v>3156.8</v>
      </c>
      <c r="T38" s="7" t="n">
        <v>906.8</v>
      </c>
      <c r="V38" s="7" t="n">
        <v>3186.4</v>
      </c>
      <c r="X38" s="7" t="n">
        <v>2132.3</v>
      </c>
      <c r="Z38" s="7" t="n">
        <v>983.6</v>
      </c>
      <c r="AB38" s="7" t="n">
        <v>26997.5</v>
      </c>
    </row>
    <row r="39">
      <c r="A39" s="4" t="inlineStr">
        <is>
          <t>职工教育经费</t>
        </is>
      </c>
      <c r="D39" s="7" t="n">
        <v>3549.1</v>
      </c>
      <c r="F39" s="7" t="n">
        <v>1411.4</v>
      </c>
      <c r="H39" s="7" t="n">
        <v>3008.2</v>
      </c>
      <c r="J39" s="7" t="n">
        <v>4103.8</v>
      </c>
      <c r="L39" s="7" t="n">
        <v>4414.2</v>
      </c>
      <c r="N39" s="7" t="n">
        <v>2082.1</v>
      </c>
      <c r="P39" s="7" t="n">
        <v>3713.7</v>
      </c>
      <c r="R39" s="7" t="n">
        <v>5753.9</v>
      </c>
      <c r="T39" s="7" t="n">
        <v>1267.6</v>
      </c>
      <c r="V39" s="7" t="n">
        <v>4729.1</v>
      </c>
      <c r="X39" s="7" t="n">
        <v>2153.8</v>
      </c>
      <c r="Z39" s="7" t="n">
        <v>1950.6</v>
      </c>
      <c r="AB39" s="7" t="n">
        <v>38137.5</v>
      </c>
    </row>
    <row r="40">
      <c r="A40" s="4" t="inlineStr">
        <is>
          <t>福利费</t>
        </is>
      </c>
      <c r="D40" s="7" t="n">
        <v>21227.3</v>
      </c>
      <c r="F40" s="7" t="n">
        <v>11783.5</v>
      </c>
      <c r="H40" s="7" t="n">
        <v>23590.9</v>
      </c>
      <c r="J40" s="7" t="n">
        <v>28377.4</v>
      </c>
      <c r="L40" s="7" t="n">
        <v>29959.2</v>
      </c>
      <c r="N40" s="7" t="n">
        <v>12304.7</v>
      </c>
      <c r="P40" s="7" t="n">
        <v>30347.2</v>
      </c>
      <c r="R40" s="7" t="n">
        <v>39955.5</v>
      </c>
      <c r="T40" s="7" t="n">
        <v>7350.2</v>
      </c>
      <c r="V40" s="7" t="n">
        <v>37000.6</v>
      </c>
      <c r="X40" s="7" t="n">
        <v>19124.9</v>
      </c>
      <c r="Z40" s="7" t="n">
        <v>12919.4</v>
      </c>
      <c r="AB40" s="7" t="n">
        <v>273940.8</v>
      </c>
    </row>
    <row r="41">
      <c r="A41" s="4" t="inlineStr">
        <is>
          <t>职工房租</t>
        </is>
      </c>
      <c r="D41" s="7" t="n">
        <v>5806.1</v>
      </c>
      <c r="F41" s="7" t="n">
        <v>2818</v>
      </c>
      <c r="H41" s="7" t="n">
        <v>5525.2</v>
      </c>
      <c r="J41" s="7" t="n">
        <v>9311.9</v>
      </c>
      <c r="L41" s="7" t="n">
        <v>7192.7</v>
      </c>
      <c r="N41" s="7" t="n">
        <v>3479.4</v>
      </c>
      <c r="P41" s="7" t="n">
        <v>10347.5</v>
      </c>
      <c r="R41" s="7" t="n">
        <v>12861</v>
      </c>
      <c r="T41" s="7" t="n">
        <v>1681.7</v>
      </c>
      <c r="V41" s="7" t="n">
        <v>8065</v>
      </c>
      <c r="X41" s="7" t="n">
        <v>7260.5</v>
      </c>
      <c r="Z41" s="7" t="n">
        <v>4145.7</v>
      </c>
      <c r="AB41" s="7" t="n">
        <v>78494.7</v>
      </c>
    </row>
    <row r="42">
      <c r="A42" s="4" t="inlineStr">
        <is>
          <t>水电物业费</t>
        </is>
      </c>
      <c r="D42" s="7" t="n">
        <v>6290.8</v>
      </c>
      <c r="F42" s="7" t="n">
        <v>2223.7</v>
      </c>
      <c r="H42" s="7" t="n">
        <v>7444.2</v>
      </c>
      <c r="J42" s="7" t="n">
        <v>5260.4</v>
      </c>
      <c r="L42" s="7" t="n">
        <v>7467.2</v>
      </c>
      <c r="N42" s="7" t="n">
        <v>2357.1</v>
      </c>
      <c r="P42" s="7" t="n">
        <v>6490</v>
      </c>
      <c r="R42" s="7" t="n">
        <v>9525.299999999999</v>
      </c>
      <c r="T42" s="7" t="n">
        <v>1580.9</v>
      </c>
      <c r="V42" s="7" t="n">
        <v>9792.1</v>
      </c>
      <c r="X42" s="7" t="n">
        <v>4291.8</v>
      </c>
      <c r="Z42" s="7" t="n">
        <v>2866.5</v>
      </c>
      <c r="AB42" s="7" t="n">
        <v>65590</v>
      </c>
    </row>
    <row r="43">
      <c r="A43" s="4" t="inlineStr">
        <is>
          <t>员工餐</t>
        </is>
      </c>
      <c r="D43" s="7" t="n">
        <v>3479.7</v>
      </c>
      <c r="F43" s="7" t="n">
        <v>2952.6</v>
      </c>
      <c r="H43" s="7" t="n">
        <v>3984</v>
      </c>
      <c r="J43" s="7" t="n">
        <v>6051.2</v>
      </c>
      <c r="L43" s="7" t="n">
        <v>7102.3</v>
      </c>
      <c r="N43" s="7" t="n">
        <v>2014.9</v>
      </c>
      <c r="P43" s="7" t="n">
        <v>5299.6</v>
      </c>
      <c r="R43" s="7" t="n">
        <v>6810.7</v>
      </c>
      <c r="T43" s="7" t="n">
        <v>1895.7</v>
      </c>
      <c r="V43" s="7" t="n">
        <v>8688.299999999999</v>
      </c>
      <c r="X43" s="7" t="n">
        <v>3085.9</v>
      </c>
      <c r="Z43" s="7" t="n">
        <v>2659.1</v>
      </c>
      <c r="AB43" s="7" t="n">
        <v>54024</v>
      </c>
    </row>
    <row r="44">
      <c r="A44" s="4" t="inlineStr">
        <is>
          <t>节日礼品</t>
        </is>
      </c>
      <c r="D44" s="7" t="n">
        <v>47.2</v>
      </c>
      <c r="F44" s="7" t="n">
        <v>26</v>
      </c>
      <c r="H44" s="7" t="n">
        <v>77.5</v>
      </c>
      <c r="J44" s="7" t="n">
        <v>72.09999999999999</v>
      </c>
      <c r="L44" s="7" t="n">
        <v>90</v>
      </c>
      <c r="N44" s="7" t="n">
        <v>22.5</v>
      </c>
      <c r="P44" s="7" t="n">
        <v>92.09999999999999</v>
      </c>
      <c r="R44" s="7" t="n">
        <v>97.40000000000001</v>
      </c>
      <c r="T44" s="7" t="n">
        <v>15.5</v>
      </c>
      <c r="V44" s="7" t="n">
        <v>86</v>
      </c>
      <c r="X44" s="7" t="n">
        <v>61.9</v>
      </c>
      <c r="Z44" s="7" t="n">
        <v>21.1</v>
      </c>
      <c r="AB44" s="7" t="n">
        <v>709.3</v>
      </c>
    </row>
    <row r="45">
      <c r="A45" s="4" t="inlineStr">
        <is>
          <t>生日礼品</t>
        </is>
      </c>
      <c r="D45" s="7" t="n">
        <v>2337.9</v>
      </c>
      <c r="F45" s="7" t="n">
        <v>1161.7</v>
      </c>
      <c r="H45" s="7" t="n">
        <v>1965.9</v>
      </c>
      <c r="J45" s="7" t="n">
        <v>2492.1</v>
      </c>
      <c r="L45" s="7" t="n">
        <v>2724.7</v>
      </c>
      <c r="N45" s="7" t="n">
        <v>1506.1</v>
      </c>
      <c r="P45" s="7" t="n">
        <v>2035.4</v>
      </c>
      <c r="R45" s="7" t="n">
        <v>2869.1</v>
      </c>
      <c r="T45" s="7" t="n">
        <v>710.5</v>
      </c>
      <c r="V45" s="7" t="n">
        <v>3156.5</v>
      </c>
      <c r="X45" s="7" t="n">
        <v>1705.7</v>
      </c>
      <c r="Z45" s="7" t="n">
        <v>835.2</v>
      </c>
      <c r="AB45" s="7" t="n">
        <v>23500.8</v>
      </c>
    </row>
    <row r="46">
      <c r="A46" s="4" t="inlineStr">
        <is>
          <t>体检</t>
        </is>
      </c>
      <c r="D46" s="7" t="n">
        <v>1919.3</v>
      </c>
      <c r="F46" s="7" t="n">
        <v>1347.5</v>
      </c>
      <c r="H46" s="7" t="n">
        <v>2240.7</v>
      </c>
      <c r="J46" s="7" t="n">
        <v>3524.3</v>
      </c>
      <c r="L46" s="7" t="n">
        <v>3075</v>
      </c>
      <c r="N46" s="7" t="n">
        <v>1565.1</v>
      </c>
      <c r="P46" s="7" t="n">
        <v>3375.5</v>
      </c>
      <c r="R46" s="7" t="n">
        <v>4562.1</v>
      </c>
      <c r="T46" s="7" t="n">
        <v>947.2</v>
      </c>
      <c r="V46" s="7" t="n">
        <v>4583.2</v>
      </c>
      <c r="X46" s="7" t="n">
        <v>1437.7</v>
      </c>
      <c r="Z46" s="7" t="n">
        <v>1194.1</v>
      </c>
      <c r="AB46" s="7" t="n">
        <v>29771.7</v>
      </c>
    </row>
    <row r="47">
      <c r="A47" s="4" t="inlineStr">
        <is>
          <t>其他福利支出</t>
        </is>
      </c>
      <c r="D47" s="7" t="n">
        <v>1346.3</v>
      </c>
      <c r="F47" s="7" t="n">
        <v>1254</v>
      </c>
      <c r="H47" s="7" t="n">
        <v>2353.4</v>
      </c>
      <c r="J47" s="7" t="n">
        <v>1665.4</v>
      </c>
      <c r="L47" s="7" t="n">
        <v>2307.3</v>
      </c>
      <c r="N47" s="7" t="n">
        <v>1359.6</v>
      </c>
      <c r="P47" s="7" t="n">
        <v>2707.1</v>
      </c>
      <c r="R47" s="7" t="n">
        <v>3229.9</v>
      </c>
      <c r="T47" s="7" t="n">
        <v>518.7</v>
      </c>
      <c r="V47" s="7" t="n">
        <v>2629.5</v>
      </c>
      <c r="X47" s="7" t="n">
        <v>1281.4</v>
      </c>
      <c r="Z47" s="7" t="n">
        <v>1197.7</v>
      </c>
      <c r="AB47" s="7" t="n">
        <v>21850.3</v>
      </c>
    </row>
    <row r="48">
      <c r="A48" s="4" t="inlineStr">
        <is>
          <t>招聘费</t>
        </is>
      </c>
      <c r="D48" s="7" t="n">
        <v>4960.1</v>
      </c>
      <c r="F48" s="7" t="n">
        <v>3371.2</v>
      </c>
      <c r="H48" s="7" t="n">
        <v>5754.7</v>
      </c>
      <c r="J48" s="7" t="n">
        <v>5626.2</v>
      </c>
      <c r="L48" s="7" t="n">
        <v>8261</v>
      </c>
      <c r="N48" s="7" t="n">
        <v>4081.4</v>
      </c>
      <c r="P48" s="7" t="n">
        <v>10025.1</v>
      </c>
      <c r="R48" s="7" t="n">
        <v>8634.6</v>
      </c>
      <c r="T48" s="7" t="n">
        <v>2261.1</v>
      </c>
      <c r="V48" s="7" t="n">
        <v>10257.3</v>
      </c>
      <c r="X48" s="7" t="n">
        <v>4105.1</v>
      </c>
      <c r="Z48" s="7" t="n">
        <v>3934.5</v>
      </c>
      <c r="AB48" s="7" t="n">
        <v>71272.3</v>
      </c>
    </row>
    <row r="49">
      <c r="A49" s="4" t="inlineStr">
        <is>
          <t>办公费</t>
        </is>
      </c>
      <c r="D49" s="7" t="n">
        <v>35723.9</v>
      </c>
      <c r="F49" s="7" t="n">
        <v>13014.1</v>
      </c>
      <c r="H49" s="7" t="n">
        <v>44243.6</v>
      </c>
      <c r="J49" s="7" t="n">
        <v>45170</v>
      </c>
      <c r="L49" s="7" t="n">
        <v>36099</v>
      </c>
      <c r="N49" s="7" t="n">
        <v>17991.7</v>
      </c>
      <c r="P49" s="7" t="n">
        <v>52552.3</v>
      </c>
      <c r="R49" s="7" t="n">
        <v>37814.1</v>
      </c>
      <c r="T49" s="7" t="n">
        <v>9016.799999999999</v>
      </c>
      <c r="V49" s="7" t="n">
        <v>62441.4</v>
      </c>
      <c r="X49" s="7" t="n">
        <v>30029</v>
      </c>
      <c r="Z49" s="7" t="n">
        <v>17679.4</v>
      </c>
      <c r="AB49" s="7" t="n">
        <v>401775.3</v>
      </c>
    </row>
    <row r="50">
      <c r="A50" s="4" t="inlineStr">
        <is>
          <t>市内交通费</t>
        </is>
      </c>
      <c r="D50" s="7" t="n">
        <v>5070.6</v>
      </c>
      <c r="F50" s="7" t="n">
        <v>3011.5</v>
      </c>
      <c r="H50" s="7" t="n">
        <v>6525.1</v>
      </c>
      <c r="J50" s="7" t="n">
        <v>8759.200000000001</v>
      </c>
      <c r="L50" s="7" t="n">
        <v>9642.9</v>
      </c>
      <c r="N50" s="7" t="n">
        <v>4215.9</v>
      </c>
      <c r="P50" s="7" t="n">
        <v>6884.7</v>
      </c>
      <c r="R50" s="7" t="n">
        <v>11014.9</v>
      </c>
      <c r="T50" s="7" t="n">
        <v>1488.2</v>
      </c>
      <c r="V50" s="7" t="n">
        <v>7933.2</v>
      </c>
      <c r="X50" s="7" t="n">
        <v>5884.8</v>
      </c>
      <c r="Z50" s="7" t="n">
        <v>3131</v>
      </c>
      <c r="AB50" s="7" t="n">
        <v>73562</v>
      </c>
    </row>
    <row r="51">
      <c r="A51" s="4" t="inlineStr">
        <is>
          <t>差旅费</t>
        </is>
      </c>
      <c r="D51" s="7" t="n">
        <v>47806.4</v>
      </c>
      <c r="F51" s="7" t="n">
        <v>34399</v>
      </c>
      <c r="H51" s="7" t="n">
        <v>58897.9</v>
      </c>
      <c r="J51" s="7" t="n">
        <v>60645.7</v>
      </c>
      <c r="L51" s="7" t="n">
        <v>90191.2</v>
      </c>
      <c r="N51" s="7" t="n">
        <v>31849.1</v>
      </c>
      <c r="P51" s="7" t="n">
        <v>92162.8</v>
      </c>
      <c r="R51" s="7" t="n">
        <v>96710</v>
      </c>
      <c r="T51" s="7" t="n">
        <v>20277.9</v>
      </c>
      <c r="V51" s="7" t="n">
        <v>108104.5</v>
      </c>
      <c r="X51" s="7" t="n">
        <v>59580.4</v>
      </c>
      <c r="Z51" s="7" t="n">
        <v>28194.5</v>
      </c>
      <c r="AB51" s="7" t="n">
        <v>728819.4</v>
      </c>
    </row>
    <row r="52">
      <c r="A52" s="4" t="inlineStr">
        <is>
          <t>交通费</t>
        </is>
      </c>
      <c r="D52" s="7" t="n">
        <v>5149.6</v>
      </c>
      <c r="F52" s="7" t="n">
        <v>2409.9</v>
      </c>
      <c r="H52" s="7" t="n">
        <v>5337.3</v>
      </c>
      <c r="J52" s="7" t="n">
        <v>4840.6</v>
      </c>
      <c r="L52" s="7" t="n">
        <v>8749</v>
      </c>
      <c r="N52" s="7" t="n">
        <v>2296.9</v>
      </c>
      <c r="P52" s="7" t="n">
        <v>6647.4</v>
      </c>
      <c r="R52" s="7" t="n">
        <v>8658.1</v>
      </c>
      <c r="T52" s="7" t="n">
        <v>2160.1</v>
      </c>
      <c r="V52" s="7" t="n">
        <v>12247.5</v>
      </c>
      <c r="X52" s="7" t="n">
        <v>5683.8</v>
      </c>
      <c r="Z52" s="7" t="n">
        <v>2101.1</v>
      </c>
      <c r="AB52" s="7" t="n">
        <v>66281.3</v>
      </c>
    </row>
    <row r="53">
      <c r="A53" s="4" t="inlineStr">
        <is>
          <t>住宿费</t>
        </is>
      </c>
      <c r="D53" s="7" t="n">
        <v>7272.6</v>
      </c>
      <c r="F53" s="7" t="n">
        <v>4088.7</v>
      </c>
      <c r="H53" s="7" t="n">
        <v>7073.8</v>
      </c>
      <c r="J53" s="7" t="n">
        <v>6552.1</v>
      </c>
      <c r="L53" s="7" t="n">
        <v>8005.6</v>
      </c>
      <c r="N53" s="7" t="n">
        <v>2989.2</v>
      </c>
      <c r="P53" s="7" t="n">
        <v>7912</v>
      </c>
      <c r="R53" s="7" t="n">
        <v>7206.3</v>
      </c>
      <c r="T53" s="7" t="n">
        <v>2341.5</v>
      </c>
      <c r="V53" s="7" t="n">
        <v>9566.200000000001</v>
      </c>
      <c r="X53" s="7" t="n">
        <v>4754.3</v>
      </c>
      <c r="Z53" s="7" t="n">
        <v>3297.2</v>
      </c>
      <c r="AB53" s="7" t="n">
        <v>71059.5</v>
      </c>
    </row>
    <row r="54">
      <c r="A54" s="4" t="inlineStr">
        <is>
          <t>餐补</t>
        </is>
      </c>
      <c r="D54" s="7" t="n">
        <v>4763.9</v>
      </c>
      <c r="F54" s="7" t="n">
        <v>2724</v>
      </c>
      <c r="H54" s="7" t="n">
        <v>6984.4</v>
      </c>
      <c r="J54" s="7" t="n">
        <v>6872.6</v>
      </c>
      <c r="L54" s="7" t="n">
        <v>6660.3</v>
      </c>
      <c r="N54" s="7" t="n">
        <v>2740.8</v>
      </c>
      <c r="P54" s="7" t="n">
        <v>8038.4</v>
      </c>
      <c r="R54" s="7" t="n">
        <v>5774</v>
      </c>
      <c r="T54" s="7" t="n">
        <v>2132</v>
      </c>
      <c r="V54" s="7" t="n">
        <v>8346.1</v>
      </c>
      <c r="X54" s="7" t="n">
        <v>4020.4</v>
      </c>
      <c r="Z54" s="7" t="n">
        <v>2824.2</v>
      </c>
      <c r="AB54" s="7" t="n">
        <v>61881.1</v>
      </c>
    </row>
    <row r="55">
      <c r="A55" s="4" t="inlineStr">
        <is>
          <t>交通补助</t>
        </is>
      </c>
      <c r="D55" s="7" t="n">
        <v>3420.5</v>
      </c>
      <c r="F55" s="7" t="n">
        <v>2173.6</v>
      </c>
      <c r="H55" s="7" t="n">
        <v>3123.4</v>
      </c>
      <c r="J55" s="7" t="n">
        <v>3852.3</v>
      </c>
      <c r="L55" s="7" t="n">
        <v>4639.3</v>
      </c>
      <c r="N55" s="7" t="n">
        <v>1871.6</v>
      </c>
      <c r="P55" s="7" t="n">
        <v>6039.8</v>
      </c>
      <c r="R55" s="7" t="n">
        <v>5839.8</v>
      </c>
      <c r="T55" s="7" t="n">
        <v>1176.8</v>
      </c>
      <c r="V55" s="7" t="n">
        <v>6620.4</v>
      </c>
      <c r="X55" s="7" t="n">
        <v>2360.6</v>
      </c>
      <c r="Z55" s="7" t="n">
        <v>1878</v>
      </c>
      <c r="AB55" s="7" t="n">
        <v>42996.1</v>
      </c>
    </row>
    <row r="56">
      <c r="A56" s="4" t="inlineStr">
        <is>
          <t>通讯补助</t>
        </is>
      </c>
      <c r="D56" s="7" t="n">
        <v>1035</v>
      </c>
      <c r="F56" s="7" t="n">
        <v>499.2</v>
      </c>
      <c r="H56" s="7" t="n">
        <v>1237.7</v>
      </c>
      <c r="J56" s="7" t="n">
        <v>862.5</v>
      </c>
      <c r="L56" s="7" t="n">
        <v>1471.1</v>
      </c>
      <c r="N56" s="7" t="n">
        <v>682.8</v>
      </c>
      <c r="P56" s="7" t="n">
        <v>1438.9</v>
      </c>
      <c r="R56" s="7" t="n">
        <v>1191.1</v>
      </c>
      <c r="T56" s="7" t="n">
        <v>298.5</v>
      </c>
      <c r="V56" s="7" t="n">
        <v>1534.6</v>
      </c>
      <c r="X56" s="7" t="n">
        <v>663.4</v>
      </c>
      <c r="Z56" s="7" t="n">
        <v>499.8</v>
      </c>
      <c r="AB56" s="7" t="n">
        <v>11414.6</v>
      </c>
    </row>
    <row r="57">
      <c r="A57" s="4" t="inlineStr">
        <is>
          <t>招待费</t>
        </is>
      </c>
      <c r="D57" s="7" t="n">
        <v>41781.5</v>
      </c>
      <c r="F57" s="7" t="n">
        <v>18103.2</v>
      </c>
      <c r="H57" s="7" t="n">
        <v>45552.2</v>
      </c>
      <c r="J57" s="7" t="n">
        <v>40947.8</v>
      </c>
      <c r="L57" s="7" t="n">
        <v>60268.2</v>
      </c>
      <c r="N57" s="7" t="n">
        <v>28856.6</v>
      </c>
      <c r="P57" s="7" t="n">
        <v>65030.9</v>
      </c>
      <c r="R57" s="7" t="n">
        <v>73959.2</v>
      </c>
      <c r="T57" s="7" t="n">
        <v>10450.5</v>
      </c>
      <c r="V57" s="7" t="n">
        <v>52111.4</v>
      </c>
      <c r="X57" s="7" t="n">
        <v>34167.8</v>
      </c>
      <c r="Z57" s="7" t="n">
        <v>18661.9</v>
      </c>
      <c r="AB57" s="7" t="n">
        <v>489891.2</v>
      </c>
    </row>
    <row r="58">
      <c r="A58" s="4" t="inlineStr">
        <is>
          <t>通讯费</t>
        </is>
      </c>
      <c r="D58" s="7" t="n">
        <v>2960.6</v>
      </c>
      <c r="F58" s="7" t="n">
        <v>2223.7</v>
      </c>
      <c r="H58" s="7" t="n">
        <v>4049.1</v>
      </c>
      <c r="J58" s="7" t="n">
        <v>5252.8</v>
      </c>
      <c r="L58" s="7" t="n">
        <v>4303.6</v>
      </c>
      <c r="N58" s="7" t="n">
        <v>1848.8</v>
      </c>
      <c r="P58" s="7" t="n">
        <v>5504</v>
      </c>
      <c r="R58" s="7" t="n">
        <v>7004.2</v>
      </c>
      <c r="T58" s="7" t="n">
        <v>1204.8</v>
      </c>
      <c r="V58" s="7" t="n">
        <v>6380.3</v>
      </c>
      <c r="X58" s="7" t="n">
        <v>2390.6</v>
      </c>
      <c r="Z58" s="7" t="n">
        <v>2132.5</v>
      </c>
      <c r="AB58" s="7" t="n">
        <v>45255</v>
      </c>
    </row>
    <row r="59">
      <c r="A59" s="4" t="inlineStr">
        <is>
          <t>网络费</t>
        </is>
      </c>
      <c r="D59" s="7" t="n">
        <v>1224.8</v>
      </c>
      <c r="F59" s="7" t="n">
        <v>615.2</v>
      </c>
      <c r="H59" s="7" t="n">
        <v>1216.1</v>
      </c>
      <c r="J59" s="7" t="n">
        <v>1640.2</v>
      </c>
      <c r="L59" s="7" t="n">
        <v>1533.8</v>
      </c>
      <c r="N59" s="7" t="n">
        <v>731.6</v>
      </c>
      <c r="P59" s="7" t="n">
        <v>1247.4</v>
      </c>
      <c r="R59" s="7" t="n">
        <v>1493.6</v>
      </c>
      <c r="T59" s="7" t="n">
        <v>325.3</v>
      </c>
      <c r="V59" s="7" t="n">
        <v>2134.6</v>
      </c>
      <c r="X59" s="7" t="n">
        <v>880.2</v>
      </c>
      <c r="Z59" s="7" t="n">
        <v>581.4</v>
      </c>
      <c r="AB59" s="7" t="n">
        <v>13624.2</v>
      </c>
    </row>
    <row r="60">
      <c r="A60" s="4" t="inlineStr">
        <is>
          <t>修理费</t>
        </is>
      </c>
      <c r="D60" s="7" t="n">
        <v>5331.8</v>
      </c>
      <c r="F60" s="7" t="n">
        <v>2174.7</v>
      </c>
      <c r="H60" s="7" t="n">
        <v>8074.2</v>
      </c>
      <c r="J60" s="7" t="n">
        <v>5692.7</v>
      </c>
      <c r="L60" s="7" t="n">
        <v>7983.7</v>
      </c>
      <c r="N60" s="7" t="n">
        <v>3204.7</v>
      </c>
      <c r="P60" s="7" t="n">
        <v>7324.7</v>
      </c>
      <c r="R60" s="7" t="n">
        <v>6855.8</v>
      </c>
      <c r="T60" s="7" t="n">
        <v>2006.8</v>
      </c>
      <c r="V60" s="7" t="n">
        <v>8052.5</v>
      </c>
      <c r="X60" s="7" t="n">
        <v>5081.8</v>
      </c>
      <c r="Z60" s="7" t="n">
        <v>3056.4</v>
      </c>
      <c r="AB60" s="7" t="n">
        <v>64839.8</v>
      </c>
    </row>
    <row r="61">
      <c r="A61" s="4" t="inlineStr">
        <is>
          <t>车辆费</t>
        </is>
      </c>
      <c r="D61" s="7" t="n">
        <v>4047.7</v>
      </c>
      <c r="F61" s="7" t="n">
        <v>1469.7</v>
      </c>
      <c r="H61" s="7" t="n">
        <v>3376.6</v>
      </c>
      <c r="J61" s="7" t="n">
        <v>4807.8</v>
      </c>
      <c r="L61" s="7" t="n">
        <v>3567.1</v>
      </c>
      <c r="N61" s="7" t="n">
        <v>2569.7</v>
      </c>
      <c r="P61" s="7" t="n">
        <v>5551.9</v>
      </c>
      <c r="R61" s="7" t="n">
        <v>7189</v>
      </c>
      <c r="T61" s="7" t="n">
        <v>1084.7</v>
      </c>
      <c r="V61" s="7" t="n">
        <v>7761.2</v>
      </c>
      <c r="X61" s="7" t="n">
        <v>2349.3</v>
      </c>
      <c r="Z61" s="7" t="n">
        <v>1766</v>
      </c>
      <c r="AB61" s="7" t="n">
        <v>45540.7</v>
      </c>
    </row>
    <row r="62">
      <c r="A62" s="4" t="inlineStr">
        <is>
          <t>租赁费</t>
        </is>
      </c>
      <c r="D62" s="7" t="n">
        <v>37376</v>
      </c>
      <c r="F62" s="7" t="n">
        <v>30402.8</v>
      </c>
      <c r="H62" s="7" t="n">
        <v>62433.1</v>
      </c>
      <c r="J62" s="7" t="n">
        <v>67132.89999999999</v>
      </c>
      <c r="L62" s="7" t="n">
        <v>71413.2</v>
      </c>
      <c r="N62" s="7" t="n">
        <v>33986.1</v>
      </c>
      <c r="P62" s="7" t="n">
        <v>55654.8</v>
      </c>
      <c r="R62" s="7" t="n">
        <v>79548.8</v>
      </c>
      <c r="T62" s="7" t="n">
        <v>17674.2</v>
      </c>
      <c r="V62" s="7" t="n">
        <v>106705.5</v>
      </c>
      <c r="X62" s="7" t="n">
        <v>33294.1</v>
      </c>
      <c r="Z62" s="7" t="n">
        <v>22356.7</v>
      </c>
      <c r="AB62" s="7" t="n">
        <v>617978.2</v>
      </c>
    </row>
    <row r="63">
      <c r="A63" s="4" t="inlineStr">
        <is>
          <t>能源费</t>
        </is>
      </c>
      <c r="D63" s="7" t="n">
        <v>13166</v>
      </c>
      <c r="F63" s="7" t="n">
        <v>9041.299999999999</v>
      </c>
      <c r="H63" s="7" t="n">
        <v>20313.7</v>
      </c>
      <c r="J63" s="7" t="n">
        <v>23316.1</v>
      </c>
      <c r="L63" s="7" t="n">
        <v>22608</v>
      </c>
      <c r="N63" s="7" t="n">
        <v>9824.6</v>
      </c>
      <c r="P63" s="7" t="n">
        <v>23103.3</v>
      </c>
      <c r="R63" s="7" t="n">
        <v>29467.3</v>
      </c>
      <c r="T63" s="7" t="n">
        <v>5186.2</v>
      </c>
      <c r="V63" s="7" t="n">
        <v>30269.4</v>
      </c>
      <c r="X63" s="7" t="n">
        <v>11920</v>
      </c>
      <c r="Z63" s="7" t="n">
        <v>8020.9</v>
      </c>
      <c r="AB63" s="7" t="n">
        <v>206236.8</v>
      </c>
    </row>
    <row r="64">
      <c r="A64" s="4" t="inlineStr">
        <is>
          <t>水费</t>
        </is>
      </c>
      <c r="D64" s="7" t="n">
        <v>2846.3</v>
      </c>
      <c r="F64" s="7" t="n">
        <v>2516.9</v>
      </c>
      <c r="H64" s="7" t="n">
        <v>5061.9</v>
      </c>
      <c r="J64" s="7" t="n">
        <v>6246.2</v>
      </c>
      <c r="L64" s="7" t="n">
        <v>5370.1</v>
      </c>
      <c r="N64" s="7" t="n">
        <v>2590.3</v>
      </c>
      <c r="P64" s="7" t="n">
        <v>6981.7</v>
      </c>
      <c r="R64" s="7" t="n">
        <v>8475.5</v>
      </c>
      <c r="T64" s="7" t="n">
        <v>1181.6</v>
      </c>
      <c r="V64" s="7" t="n">
        <v>7248.1</v>
      </c>
      <c r="X64" s="7" t="n">
        <v>3146.3</v>
      </c>
      <c r="Z64" s="7" t="n">
        <v>2071.3</v>
      </c>
      <c r="AB64" s="7" t="n">
        <v>53736.2</v>
      </c>
    </row>
    <row r="65">
      <c r="A65" s="4" t="inlineStr">
        <is>
          <t>电费</t>
        </is>
      </c>
      <c r="D65" s="7" t="n">
        <v>5514.2</v>
      </c>
      <c r="F65" s="7" t="n">
        <v>2797.1</v>
      </c>
      <c r="H65" s="7" t="n">
        <v>7925.1</v>
      </c>
      <c r="J65" s="7" t="n">
        <v>7950.5</v>
      </c>
      <c r="L65" s="7" t="n">
        <v>9514.200000000001</v>
      </c>
      <c r="N65" s="7" t="n">
        <v>3765.9</v>
      </c>
      <c r="P65" s="7" t="n">
        <v>7276.1</v>
      </c>
      <c r="R65" s="7" t="n">
        <v>11366.7</v>
      </c>
      <c r="T65" s="7" t="n">
        <v>2477.7</v>
      </c>
      <c r="V65" s="7" t="n">
        <v>14241.6</v>
      </c>
      <c r="X65" s="7" t="n">
        <v>4029</v>
      </c>
      <c r="Z65" s="7" t="n">
        <v>2369.5</v>
      </c>
      <c r="AB65" s="7" t="n">
        <v>79227.60000000001</v>
      </c>
    </row>
    <row r="66">
      <c r="A66" s="4" t="inlineStr">
        <is>
          <t>燃气费</t>
        </is>
      </c>
      <c r="D66" s="7" t="n">
        <v>2928.4</v>
      </c>
      <c r="F66" s="7" t="n">
        <v>2732.5</v>
      </c>
      <c r="H66" s="7" t="n">
        <v>5664.2</v>
      </c>
      <c r="J66" s="7" t="n">
        <v>6418</v>
      </c>
      <c r="L66" s="7" t="n">
        <v>5256.2</v>
      </c>
      <c r="N66" s="7" t="n">
        <v>2140.8</v>
      </c>
      <c r="P66" s="7" t="n">
        <v>5866.1</v>
      </c>
      <c r="R66" s="7" t="n">
        <v>7258</v>
      </c>
      <c r="T66" s="7" t="n">
        <v>978.3</v>
      </c>
      <c r="V66" s="7" t="n">
        <v>5706.3</v>
      </c>
      <c r="X66" s="7" t="n">
        <v>3139.7</v>
      </c>
      <c r="Z66" s="7" t="n">
        <v>2448</v>
      </c>
      <c r="AB66" s="7" t="n">
        <v>50536.5</v>
      </c>
    </row>
    <row r="67">
      <c r="A67" s="4" t="inlineStr">
        <is>
          <t>蒸汽费</t>
        </is>
      </c>
      <c r="D67" s="7" t="n">
        <v>1877.1</v>
      </c>
      <c r="F67" s="7" t="n">
        <v>994.8</v>
      </c>
      <c r="H67" s="7" t="n">
        <v>1662.5</v>
      </c>
      <c r="J67" s="7" t="n">
        <v>2701.4</v>
      </c>
      <c r="L67" s="7" t="n">
        <v>2467.5</v>
      </c>
      <c r="N67" s="7" t="n">
        <v>1327.6</v>
      </c>
      <c r="P67" s="7" t="n">
        <v>2979.4</v>
      </c>
      <c r="R67" s="7" t="n">
        <v>2367.1</v>
      </c>
      <c r="T67" s="7" t="n">
        <v>548.6</v>
      </c>
      <c r="V67" s="7" t="n">
        <v>3073.4</v>
      </c>
      <c r="X67" s="7" t="n">
        <v>1605</v>
      </c>
      <c r="Z67" s="7" t="n">
        <v>1132.1</v>
      </c>
      <c r="AB67" s="7" t="n">
        <v>22736.5</v>
      </c>
    </row>
    <row r="68">
      <c r="A68" s="4" t="inlineStr">
        <is>
          <t>物业费</t>
        </is>
      </c>
      <c r="D68" s="7" t="n">
        <v>6557.8</v>
      </c>
      <c r="F68" s="7" t="n">
        <v>3600.4</v>
      </c>
      <c r="H68" s="7" t="n">
        <v>6954.7</v>
      </c>
      <c r="J68" s="7" t="n">
        <v>7787</v>
      </c>
      <c r="L68" s="7" t="n">
        <v>10027.5</v>
      </c>
      <c r="N68" s="7" t="n">
        <v>3560.3</v>
      </c>
      <c r="P68" s="7" t="n">
        <v>7471.6</v>
      </c>
      <c r="R68" s="7" t="n">
        <v>11494.6</v>
      </c>
      <c r="T68" s="7" t="n">
        <v>1922.9</v>
      </c>
      <c r="V68" s="7" t="n">
        <v>11666.7</v>
      </c>
      <c r="X68" s="7" t="n">
        <v>6356.5</v>
      </c>
      <c r="Z68" s="7" t="n">
        <v>2686.3</v>
      </c>
      <c r="AB68" s="7" t="n">
        <v>80086.3</v>
      </c>
    </row>
    <row r="69">
      <c r="A69" s="4" t="inlineStr">
        <is>
          <t>劳动保护费</t>
        </is>
      </c>
      <c r="D69" s="7" t="n">
        <v>3916.3</v>
      </c>
      <c r="F69" s="7" t="n">
        <v>2676.5</v>
      </c>
      <c r="H69" s="7" t="n">
        <v>4590.9</v>
      </c>
      <c r="J69" s="7" t="n">
        <v>6362.1</v>
      </c>
      <c r="L69" s="7" t="n">
        <v>7578.2</v>
      </c>
      <c r="N69" s="7" t="n">
        <v>3397.9</v>
      </c>
      <c r="P69" s="7" t="n">
        <v>5985.1</v>
      </c>
      <c r="R69" s="7" t="n">
        <v>9961.299999999999</v>
      </c>
      <c r="T69" s="7" t="n">
        <v>1393.1</v>
      </c>
      <c r="V69" s="7" t="n">
        <v>5792</v>
      </c>
      <c r="X69" s="7" t="n">
        <v>5403.1</v>
      </c>
      <c r="Z69" s="7" t="n">
        <v>2600.1</v>
      </c>
      <c r="AB69" s="7" t="n">
        <v>59656.6</v>
      </c>
    </row>
    <row r="70">
      <c r="A70" s="4" t="inlineStr">
        <is>
          <t>顾问费</t>
        </is>
      </c>
      <c r="D70" s="7" t="n">
        <v>5335.1</v>
      </c>
      <c r="F70" s="7" t="n">
        <v>2842.8</v>
      </c>
      <c r="H70" s="7" t="n">
        <v>6835.9</v>
      </c>
      <c r="J70" s="7" t="n">
        <v>8107.6</v>
      </c>
      <c r="L70" s="7" t="n">
        <v>8590.9</v>
      </c>
      <c r="N70" s="7" t="n">
        <v>3597.1</v>
      </c>
      <c r="P70" s="7" t="n">
        <v>6775.8</v>
      </c>
      <c r="R70" s="7" t="n">
        <v>6492.7</v>
      </c>
      <c r="T70" s="7" t="n">
        <v>1768</v>
      </c>
      <c r="V70" s="7" t="n">
        <v>9347.9</v>
      </c>
      <c r="X70" s="7" t="n">
        <v>4100.3</v>
      </c>
      <c r="Z70" s="7" t="n">
        <v>2727.1</v>
      </c>
      <c r="AB70" s="7" t="n">
        <v>66521.2</v>
      </c>
    </row>
    <row r="71">
      <c r="A71" s="4" t="inlineStr">
        <is>
          <t>快递费</t>
        </is>
      </c>
      <c r="D71" s="7" t="n">
        <v>4791.5</v>
      </c>
      <c r="F71" s="7" t="n">
        <v>3028.5</v>
      </c>
      <c r="H71" s="7" t="n">
        <v>5600.1</v>
      </c>
      <c r="J71" s="7" t="n">
        <v>8791.4</v>
      </c>
      <c r="L71" s="7" t="n">
        <v>9828.299999999999</v>
      </c>
      <c r="N71" s="7" t="n">
        <v>4510.9</v>
      </c>
      <c r="P71" s="7" t="n">
        <v>8314.5</v>
      </c>
      <c r="R71" s="7" t="n">
        <v>7286.7</v>
      </c>
      <c r="T71" s="7" t="n">
        <v>2082.1</v>
      </c>
      <c r="V71" s="7" t="n">
        <v>10568.9</v>
      </c>
      <c r="X71" s="7" t="n">
        <v>4471.2</v>
      </c>
      <c r="Z71" s="7" t="n">
        <v>3974.8</v>
      </c>
      <c r="AB71" s="7" t="n">
        <v>73248.89999999999</v>
      </c>
    </row>
    <row r="72">
      <c r="A72" s="4" t="inlineStr">
        <is>
          <t>诉讼费</t>
        </is>
      </c>
      <c r="D72" s="7" t="n">
        <v>4512.3</v>
      </c>
      <c r="F72" s="7" t="n">
        <v>3084.7</v>
      </c>
      <c r="H72" s="7" t="n">
        <v>4419.1</v>
      </c>
      <c r="J72" s="7" t="n">
        <v>7074.3</v>
      </c>
      <c r="L72" s="7" t="n">
        <v>7744.4</v>
      </c>
      <c r="N72" s="7" t="n">
        <v>3516.4</v>
      </c>
      <c r="P72" s="7" t="n">
        <v>7332</v>
      </c>
      <c r="R72" s="7" t="n">
        <v>6121.4</v>
      </c>
      <c r="T72" s="7" t="n">
        <v>1839.4</v>
      </c>
      <c r="V72" s="7" t="n">
        <v>7943.5</v>
      </c>
      <c r="X72" s="7" t="n">
        <v>4773.5</v>
      </c>
      <c r="Z72" s="7" t="n">
        <v>2474.3</v>
      </c>
      <c r="AB72" s="7" t="n">
        <v>60835.3</v>
      </c>
    </row>
    <row r="73">
      <c r="A73" s="4" t="inlineStr">
        <is>
          <t>会员费</t>
        </is>
      </c>
      <c r="D73" s="7" t="n">
        <v>31.4</v>
      </c>
      <c r="F73" s="7" t="n">
        <v>16.5</v>
      </c>
      <c r="H73" s="7" t="n">
        <v>33.3</v>
      </c>
      <c r="J73" s="7" t="n">
        <v>24.4</v>
      </c>
      <c r="L73" s="7" t="n">
        <v>35.7</v>
      </c>
      <c r="N73" s="7" t="n">
        <v>11.4</v>
      </c>
      <c r="P73" s="7" t="n">
        <v>37.7</v>
      </c>
      <c r="R73" s="7" t="n">
        <v>48.3</v>
      </c>
      <c r="T73" s="7" t="n">
        <v>8.1</v>
      </c>
      <c r="V73" s="7" t="n">
        <v>47.8</v>
      </c>
      <c r="X73" s="7" t="n">
        <v>21.1</v>
      </c>
      <c r="Z73" s="7" t="n">
        <v>16.9</v>
      </c>
      <c r="AB73" s="7" t="n">
        <v>332.6</v>
      </c>
    </row>
    <row r="74">
      <c r="A74" s="4" t="inlineStr">
        <is>
          <t>广告宣传费</t>
        </is>
      </c>
      <c r="D74" s="7" t="n">
        <v>24803.9</v>
      </c>
      <c r="F74" s="7" t="n">
        <v>13484.3</v>
      </c>
      <c r="H74" s="7" t="n">
        <v>30412.7</v>
      </c>
      <c r="J74" s="7" t="n">
        <v>32208</v>
      </c>
      <c r="L74" s="7" t="n">
        <v>39105.8</v>
      </c>
      <c r="N74" s="7" t="n">
        <v>13403.1</v>
      </c>
      <c r="P74" s="7" t="n">
        <v>32694.8</v>
      </c>
      <c r="R74" s="7" t="n">
        <v>42382.5</v>
      </c>
      <c r="T74" s="7" t="n">
        <v>7180.1</v>
      </c>
      <c r="V74" s="7" t="n">
        <v>54608.6</v>
      </c>
      <c r="X74" s="7" t="n">
        <v>26651.2</v>
      </c>
      <c r="Z74" s="7" t="n">
        <v>12565.6</v>
      </c>
      <c r="AB74" s="7" t="n">
        <v>329500.6</v>
      </c>
    </row>
    <row r="75">
      <c r="A75" s="4" t="inlineStr">
        <is>
          <t>会务费</t>
        </is>
      </c>
      <c r="D75" s="7" t="n">
        <v>1896.2</v>
      </c>
      <c r="F75" s="7" t="n">
        <v>993.8</v>
      </c>
      <c r="H75" s="7" t="n">
        <v>3018.9</v>
      </c>
      <c r="J75" s="7" t="n">
        <v>2406.7</v>
      </c>
      <c r="L75" s="7" t="n">
        <v>2628.8</v>
      </c>
      <c r="N75" s="7" t="n">
        <v>989.2</v>
      </c>
      <c r="P75" s="7" t="n">
        <v>3386.1</v>
      </c>
      <c r="R75" s="7" t="n">
        <v>3392</v>
      </c>
      <c r="T75" s="7" t="n">
        <v>749.1</v>
      </c>
      <c r="V75" s="7" t="n">
        <v>3029.9</v>
      </c>
      <c r="X75" s="7" t="n">
        <v>1988.1</v>
      </c>
      <c r="Z75" s="7" t="n">
        <v>1290.7</v>
      </c>
      <c r="AB75" s="7" t="n">
        <v>25769.5</v>
      </c>
    </row>
    <row r="76">
      <c r="A76" s="4" t="inlineStr">
        <is>
          <t>装修费</t>
        </is>
      </c>
      <c r="D76" s="7" t="n">
        <v>471.2</v>
      </c>
      <c r="F76" s="7" t="n">
        <v>365.9</v>
      </c>
      <c r="H76" s="7" t="n">
        <v>656.5</v>
      </c>
      <c r="J76" s="7" t="n">
        <v>884.7</v>
      </c>
      <c r="L76" s="7" t="n">
        <v>990.8</v>
      </c>
      <c r="N76" s="7" t="n">
        <v>483.9</v>
      </c>
      <c r="P76" s="7" t="n">
        <v>1073.4</v>
      </c>
      <c r="R76" s="7" t="n">
        <v>1214.8</v>
      </c>
      <c r="T76" s="7" t="n">
        <v>208</v>
      </c>
      <c r="V76" s="7" t="n">
        <v>1401.8</v>
      </c>
      <c r="X76" s="7" t="n">
        <v>690.1</v>
      </c>
      <c r="Z76" s="7" t="n">
        <v>389.3</v>
      </c>
      <c r="AB76" s="7" t="n">
        <v>8830.4</v>
      </c>
    </row>
    <row r="77">
      <c r="A77" s="4" t="inlineStr">
        <is>
          <t>推广费</t>
        </is>
      </c>
      <c r="D77" s="7" t="n">
        <v>4161.6</v>
      </c>
      <c r="F77" s="7" t="n">
        <v>2223.9</v>
      </c>
      <c r="H77" s="7" t="n">
        <v>4010.9</v>
      </c>
      <c r="J77" s="7" t="n">
        <v>3282.2</v>
      </c>
      <c r="L77" s="7" t="n">
        <v>5614.4</v>
      </c>
      <c r="N77" s="7" t="n">
        <v>2538.9</v>
      </c>
      <c r="P77" s="7" t="n">
        <v>4736.5</v>
      </c>
      <c r="R77" s="7" t="n">
        <v>5566.5</v>
      </c>
      <c r="T77" s="7" t="n">
        <v>1311.3</v>
      </c>
      <c r="V77" s="7" t="n">
        <v>6678.4</v>
      </c>
      <c r="X77" s="7" t="n">
        <v>3017.8</v>
      </c>
      <c r="Z77" s="7" t="n">
        <v>1492.1</v>
      </c>
      <c r="AB77" s="7" t="n">
        <v>44634.5</v>
      </c>
    </row>
    <row r="78">
      <c r="A78" s="4" t="inlineStr">
        <is>
          <t>展会费</t>
        </is>
      </c>
      <c r="D78" s="7" t="n">
        <v>1654</v>
      </c>
      <c r="F78" s="7" t="n">
        <v>865.6</v>
      </c>
      <c r="H78" s="7" t="n">
        <v>2143.5</v>
      </c>
      <c r="J78" s="7" t="n">
        <v>1652.8</v>
      </c>
      <c r="L78" s="7" t="n">
        <v>2220.5</v>
      </c>
      <c r="N78" s="7" t="n">
        <v>935.1</v>
      </c>
      <c r="P78" s="7" t="n">
        <v>2376.5</v>
      </c>
      <c r="R78" s="7" t="n">
        <v>2949.5</v>
      </c>
      <c r="T78" s="7" t="n">
        <v>481.4</v>
      </c>
      <c r="V78" s="7" t="n">
        <v>1786.6</v>
      </c>
      <c r="X78" s="7" t="n">
        <v>1273.7</v>
      </c>
      <c r="Z78" s="7" t="n">
        <v>679.5</v>
      </c>
      <c r="AB78" s="7" t="n">
        <v>19018.7</v>
      </c>
    </row>
    <row r="79">
      <c r="A79" s="4" t="inlineStr">
        <is>
          <t>设计费</t>
        </is>
      </c>
      <c r="D79" s="7" t="n">
        <v>2248.4</v>
      </c>
      <c r="F79" s="7" t="n">
        <v>1935</v>
      </c>
      <c r="H79" s="7" t="n">
        <v>3762.5</v>
      </c>
      <c r="J79" s="7" t="n">
        <v>2828.1</v>
      </c>
      <c r="L79" s="7" t="n">
        <v>3113.3</v>
      </c>
      <c r="N79" s="7" t="n">
        <v>2087.7</v>
      </c>
      <c r="P79" s="7" t="n">
        <v>4917.9</v>
      </c>
      <c r="R79" s="7" t="n">
        <v>4427.9</v>
      </c>
      <c r="T79" s="7" t="n">
        <v>1112.3</v>
      </c>
      <c r="V79" s="7" t="n">
        <v>6026.9</v>
      </c>
      <c r="X79" s="7" t="n">
        <v>2716.8</v>
      </c>
      <c r="Z79" s="7" t="n">
        <v>1446</v>
      </c>
      <c r="AB79" s="7" t="n">
        <v>36622.8</v>
      </c>
    </row>
    <row r="80">
      <c r="A80" s="4" t="inlineStr">
        <is>
          <t>折旧费</t>
        </is>
      </c>
      <c r="D80" s="7" t="n">
        <v>35129.7</v>
      </c>
      <c r="F80" s="7" t="n">
        <v>23644.8</v>
      </c>
      <c r="H80" s="7" t="n">
        <v>48172.5</v>
      </c>
      <c r="J80" s="7" t="n">
        <v>61867.8</v>
      </c>
      <c r="L80" s="7" t="n">
        <v>50282.8</v>
      </c>
      <c r="N80" s="7" t="n">
        <v>20974.7</v>
      </c>
      <c r="P80" s="7" t="n">
        <v>65608.2</v>
      </c>
      <c r="R80" s="7" t="n">
        <v>68960.5</v>
      </c>
      <c r="T80" s="7" t="n">
        <v>15802.7</v>
      </c>
      <c r="V80" s="7" t="n">
        <v>65179.2</v>
      </c>
      <c r="X80" s="7" t="n">
        <v>41312.5</v>
      </c>
      <c r="Z80" s="7" t="n">
        <v>20877.3</v>
      </c>
      <c r="AB80" s="7" t="n">
        <v>517812.7</v>
      </c>
    </row>
    <row r="81">
      <c r="A81" s="4" t="inlineStr">
        <is>
          <t>认证费</t>
        </is>
      </c>
      <c r="D81" s="7" t="n">
        <v>1574.5</v>
      </c>
      <c r="F81" s="7" t="n">
        <v>637.3</v>
      </c>
      <c r="H81" s="7" t="n">
        <v>2281.4</v>
      </c>
      <c r="J81" s="7" t="n">
        <v>1947.9</v>
      </c>
      <c r="L81" s="7" t="n">
        <v>2075.7</v>
      </c>
      <c r="N81" s="7" t="n">
        <v>947.5</v>
      </c>
      <c r="P81" s="7" t="n">
        <v>2089.8</v>
      </c>
      <c r="R81" s="7" t="n">
        <v>2615.2</v>
      </c>
      <c r="T81" s="7" t="n">
        <v>623.6</v>
      </c>
      <c r="V81" s="7" t="n">
        <v>2115.1</v>
      </c>
      <c r="X81" s="7" t="n">
        <v>1737.3</v>
      </c>
      <c r="Z81" s="7" t="n">
        <v>583.9</v>
      </c>
      <c r="AB81" s="7" t="n">
        <v>19229.2</v>
      </c>
    </row>
    <row r="82">
      <c r="A82" s="4" t="inlineStr">
        <is>
          <t>样品费</t>
        </is>
      </c>
      <c r="D82" s="7" t="n">
        <v>14177.8</v>
      </c>
      <c r="F82" s="7" t="n">
        <v>13100.1</v>
      </c>
      <c r="H82" s="7" t="n">
        <v>27224.4</v>
      </c>
      <c r="J82" s="7" t="n">
        <v>22335.6</v>
      </c>
      <c r="L82" s="7" t="n">
        <v>26932.8</v>
      </c>
      <c r="N82" s="7" t="n">
        <v>12709.9</v>
      </c>
      <c r="P82" s="7" t="n">
        <v>20822.8</v>
      </c>
      <c r="R82" s="7" t="n">
        <v>38915</v>
      </c>
      <c r="T82" s="7" t="n">
        <v>8318.299999999999</v>
      </c>
      <c r="V82" s="7" t="n">
        <v>42108.1</v>
      </c>
      <c r="X82" s="7" t="n">
        <v>19057.9</v>
      </c>
      <c r="Z82" s="7" t="n">
        <v>7118</v>
      </c>
      <c r="AB82" s="7" t="n">
        <v>252820.7</v>
      </c>
    </row>
    <row r="83">
      <c r="A83" s="4" t="inlineStr">
        <is>
          <t>劳务费</t>
        </is>
      </c>
      <c r="D83" s="7" t="n">
        <v>703.7</v>
      </c>
      <c r="F83" s="7" t="n">
        <v>540.2</v>
      </c>
      <c r="H83" s="7" t="n">
        <v>1052</v>
      </c>
      <c r="J83" s="7" t="n">
        <v>1212.9</v>
      </c>
      <c r="L83" s="7" t="n">
        <v>1062.7</v>
      </c>
      <c r="N83" s="7" t="n">
        <v>618.6</v>
      </c>
      <c r="P83" s="7" t="n">
        <v>1181.8</v>
      </c>
      <c r="R83" s="7" t="n">
        <v>1639.2</v>
      </c>
      <c r="T83" s="7" t="n">
        <v>405.2</v>
      </c>
      <c r="V83" s="7" t="n">
        <v>1439.8</v>
      </c>
      <c r="X83" s="7" t="n">
        <v>1073</v>
      </c>
      <c r="Z83" s="7" t="n">
        <v>469.9</v>
      </c>
      <c r="AB83" s="7" t="n">
        <v>11399</v>
      </c>
    </row>
    <row r="84">
      <c r="A84" s="4" t="inlineStr">
        <is>
          <t>销售佣金</t>
        </is>
      </c>
      <c r="D84" s="7" t="n">
        <v>5410.9</v>
      </c>
      <c r="F84" s="7" t="n">
        <v>2676</v>
      </c>
      <c r="H84" s="7" t="n">
        <v>5316.5</v>
      </c>
      <c r="J84" s="7" t="n">
        <v>10023.9</v>
      </c>
      <c r="L84" s="7" t="n">
        <v>8206</v>
      </c>
      <c r="N84" s="7" t="n">
        <v>2900.8</v>
      </c>
      <c r="P84" s="7" t="n">
        <v>7794.9</v>
      </c>
      <c r="R84" s="7" t="n">
        <v>9706.700000000001</v>
      </c>
      <c r="T84" s="7" t="n">
        <v>2238.3</v>
      </c>
      <c r="V84" s="7" t="n">
        <v>7994</v>
      </c>
      <c r="X84" s="7" t="n">
        <v>6368.6</v>
      </c>
      <c r="Z84" s="7" t="n">
        <v>3905.7</v>
      </c>
      <c r="AB84" s="7" t="n">
        <v>72542.3</v>
      </c>
    </row>
    <row r="85">
      <c r="A85" s="4" t="inlineStr">
        <is>
          <t>检测费</t>
        </is>
      </c>
      <c r="D85" s="7" t="n">
        <v>2655.2</v>
      </c>
      <c r="F85" s="7" t="n">
        <v>1583.2</v>
      </c>
      <c r="H85" s="7" t="n">
        <v>2319.6</v>
      </c>
      <c r="J85" s="7" t="n">
        <v>3181.1</v>
      </c>
      <c r="L85" s="7" t="n">
        <v>2981.2</v>
      </c>
      <c r="N85" s="7" t="n">
        <v>1216.7</v>
      </c>
      <c r="P85" s="7" t="n">
        <v>3022.8</v>
      </c>
      <c r="R85" s="7" t="n">
        <v>3577.4</v>
      </c>
      <c r="T85" s="7" t="n">
        <v>816.6</v>
      </c>
      <c r="V85" s="7" t="n">
        <v>4382.8</v>
      </c>
      <c r="X85" s="7" t="n">
        <v>2043.9</v>
      </c>
      <c r="Z85" s="7" t="n">
        <v>973.5</v>
      </c>
      <c r="AB85" s="7" t="n">
        <v>28754</v>
      </c>
    </row>
    <row r="86">
      <c r="A86" s="4" t="inlineStr">
        <is>
          <t>质量赔偿</t>
        </is>
      </c>
      <c r="D86" s="7" t="n">
        <v>2931.2</v>
      </c>
      <c r="F86" s="7" t="n">
        <v>1673.5</v>
      </c>
      <c r="H86" s="7" t="n">
        <v>2339.8</v>
      </c>
      <c r="J86" s="7" t="n">
        <v>3943.6</v>
      </c>
      <c r="L86" s="7" t="n">
        <v>3755.5</v>
      </c>
      <c r="N86" s="7" t="n">
        <v>1141.3</v>
      </c>
      <c r="P86" s="7" t="n">
        <v>2586.5</v>
      </c>
      <c r="R86" s="7" t="n">
        <v>2924.8</v>
      </c>
      <c r="T86" s="7" t="n">
        <v>964.2</v>
      </c>
      <c r="V86" s="7" t="n">
        <v>4241.2</v>
      </c>
      <c r="X86" s="7" t="n">
        <v>2137.3</v>
      </c>
      <c r="Z86" s="7" t="n">
        <v>1659.1</v>
      </c>
      <c r="AB86" s="7" t="n">
        <v>30298</v>
      </c>
    </row>
    <row r="87">
      <c r="A87" s="4" t="inlineStr">
        <is>
          <t>保险费</t>
        </is>
      </c>
      <c r="D87" s="7" t="n">
        <v>558.2</v>
      </c>
      <c r="F87" s="7" t="n">
        <v>290.5</v>
      </c>
      <c r="H87" s="7" t="n">
        <v>632.8</v>
      </c>
      <c r="J87" s="7" t="n">
        <v>784.5</v>
      </c>
      <c r="L87" s="7" t="n">
        <v>797.2</v>
      </c>
      <c r="N87" s="7" t="n">
        <v>307.5</v>
      </c>
      <c r="P87" s="7" t="n">
        <v>619.1</v>
      </c>
      <c r="R87" s="7" t="n">
        <v>912.7</v>
      </c>
      <c r="T87" s="7" t="n">
        <v>193.2</v>
      </c>
      <c r="V87" s="7" t="n">
        <v>912.9</v>
      </c>
      <c r="X87" s="7" t="n">
        <v>446.6</v>
      </c>
      <c r="Z87" s="7" t="n">
        <v>229</v>
      </c>
      <c r="AB87" s="7" t="n">
        <v>6684.2</v>
      </c>
    </row>
    <row r="88">
      <c r="A88" s="4" t="inlineStr">
        <is>
          <t>清洁费</t>
        </is>
      </c>
      <c r="D88" s="7" t="n">
        <v>3844.2</v>
      </c>
      <c r="F88" s="7" t="n">
        <v>2639.6</v>
      </c>
      <c r="H88" s="7" t="n">
        <v>3907.9</v>
      </c>
      <c r="J88" s="7" t="n">
        <v>4779.2</v>
      </c>
      <c r="L88" s="7" t="n">
        <v>5070.4</v>
      </c>
      <c r="N88" s="7" t="n">
        <v>2362.1</v>
      </c>
      <c r="P88" s="7" t="n">
        <v>5035.1</v>
      </c>
      <c r="R88" s="7" t="n">
        <v>8340.6</v>
      </c>
      <c r="T88" s="7" t="n">
        <v>1392.7</v>
      </c>
      <c r="V88" s="7" t="n">
        <v>7546.8</v>
      </c>
      <c r="X88" s="7" t="n">
        <v>2681.8</v>
      </c>
      <c r="Z88" s="7" t="n">
        <v>1993</v>
      </c>
      <c r="AB88" s="7" t="n">
        <v>49593.4</v>
      </c>
    </row>
    <row r="89">
      <c r="A89" s="4" t="inlineStr">
        <is>
          <t>低值易耗品</t>
        </is>
      </c>
      <c r="D89" s="7" t="n">
        <v>3293.7</v>
      </c>
      <c r="F89" s="7" t="n">
        <v>2841.8</v>
      </c>
      <c r="H89" s="7" t="n">
        <v>6838.4</v>
      </c>
      <c r="J89" s="7" t="n">
        <v>7035.2</v>
      </c>
      <c r="L89" s="7" t="n">
        <v>7142.1</v>
      </c>
      <c r="N89" s="7" t="n">
        <v>2569.9</v>
      </c>
      <c r="P89" s="7" t="n">
        <v>4668</v>
      </c>
      <c r="R89" s="7" t="n">
        <v>9133.799999999999</v>
      </c>
      <c r="T89" s="7" t="n">
        <v>1150.8</v>
      </c>
      <c r="V89" s="7" t="n">
        <v>7548.9</v>
      </c>
      <c r="X89" s="7" t="n">
        <v>4567.2</v>
      </c>
      <c r="Z89" s="7" t="n">
        <v>2937.6</v>
      </c>
      <c r="AB89" s="7" t="n">
        <v>59727.4</v>
      </c>
    </row>
    <row r="90">
      <c r="A90" s="4" t="inlineStr">
        <is>
          <t>物料消耗</t>
        </is>
      </c>
      <c r="D90" s="7" t="n">
        <v>512.3</v>
      </c>
      <c r="F90" s="7" t="n">
        <v>332.7</v>
      </c>
      <c r="H90" s="7" t="n">
        <v>531.9</v>
      </c>
      <c r="J90" s="7" t="n">
        <v>451.1</v>
      </c>
      <c r="L90" s="7" t="n">
        <v>626.9</v>
      </c>
      <c r="N90" s="7" t="n">
        <v>346.5</v>
      </c>
      <c r="P90" s="7" t="n">
        <v>693.5</v>
      </c>
      <c r="R90" s="7" t="n">
        <v>843.4</v>
      </c>
      <c r="T90" s="7" t="n">
        <v>169.6</v>
      </c>
      <c r="V90" s="7" t="n">
        <v>989.7</v>
      </c>
      <c r="X90" s="7" t="n">
        <v>429.7</v>
      </c>
      <c r="Z90" s="7" t="n">
        <v>332.2</v>
      </c>
      <c r="AB90" s="7" t="n">
        <v>6259.5</v>
      </c>
    </row>
    <row r="91">
      <c r="A91" s="4" t="inlineStr">
        <is>
          <t>盘盈盘亏</t>
        </is>
      </c>
      <c r="D91" s="7" t="n">
        <v>4235.5</v>
      </c>
      <c r="F91" s="7" t="n">
        <v>2080.5</v>
      </c>
      <c r="H91" s="7" t="n">
        <v>7682</v>
      </c>
      <c r="J91" s="7" t="n">
        <v>7246.8</v>
      </c>
      <c r="L91" s="7" t="n">
        <v>8036.1</v>
      </c>
      <c r="N91" s="7" t="n">
        <v>3150.7</v>
      </c>
      <c r="P91" s="7" t="n">
        <v>5323.4</v>
      </c>
      <c r="R91" s="7" t="n">
        <v>8419.1</v>
      </c>
      <c r="T91" s="7" t="n">
        <v>1415.8</v>
      </c>
      <c r="V91" s="7" t="n">
        <v>6486.1</v>
      </c>
      <c r="X91" s="7" t="n">
        <v>5967.7</v>
      </c>
      <c r="Z91" s="7" t="n">
        <v>3154</v>
      </c>
      <c r="AB91" s="7" t="n">
        <v>63197.7</v>
      </c>
    </row>
    <row r="92">
      <c r="A92" s="4" t="inlineStr">
        <is>
          <t>平台服务费</t>
        </is>
      </c>
      <c r="D92" s="7" t="n">
        <v>3307.3</v>
      </c>
      <c r="F92" s="7" t="n">
        <v>1691.1</v>
      </c>
      <c r="H92" s="7" t="n">
        <v>4808.5</v>
      </c>
      <c r="J92" s="7" t="n">
        <v>5969.8</v>
      </c>
      <c r="L92" s="7" t="n">
        <v>4794.6</v>
      </c>
      <c r="N92" s="7" t="n">
        <v>1850.2</v>
      </c>
      <c r="P92" s="7" t="n">
        <v>4908</v>
      </c>
      <c r="R92" s="7" t="n">
        <v>8129.6</v>
      </c>
      <c r="T92" s="7" t="n">
        <v>978.9</v>
      </c>
      <c r="V92" s="7" t="n">
        <v>5322.6</v>
      </c>
      <c r="X92" s="7" t="n">
        <v>2902.4</v>
      </c>
      <c r="Z92" s="7" t="n">
        <v>2195.7</v>
      </c>
      <c r="AB92" s="7" t="n">
        <v>46858.7</v>
      </c>
    </row>
    <row r="93">
      <c r="A93" s="4" t="inlineStr">
        <is>
          <t>无形资产摊销</t>
        </is>
      </c>
      <c r="D93" s="7" t="n">
        <v>888.7</v>
      </c>
      <c r="F93" s="7" t="n">
        <v>647.1</v>
      </c>
      <c r="H93" s="7" t="n">
        <v>994</v>
      </c>
      <c r="J93" s="7" t="n">
        <v>1337.3</v>
      </c>
      <c r="L93" s="7" t="n">
        <v>1327.1</v>
      </c>
      <c r="N93" s="7" t="n">
        <v>677.8</v>
      </c>
      <c r="P93" s="7" t="n">
        <v>1665</v>
      </c>
      <c r="R93" s="7" t="n">
        <v>1467.4</v>
      </c>
      <c r="T93" s="7" t="n">
        <v>251.1</v>
      </c>
      <c r="V93" s="7" t="n">
        <v>1322.3</v>
      </c>
      <c r="X93" s="7" t="n">
        <v>1100.4</v>
      </c>
      <c r="Z93" s="7" t="n">
        <v>399.3</v>
      </c>
      <c r="AB93" s="7" t="n">
        <v>12077.5</v>
      </c>
    </row>
    <row r="94">
      <c r="A94" s="4" t="inlineStr">
        <is>
          <t>研发材料</t>
        </is>
      </c>
      <c r="D94" s="7" t="n">
        <v>3904.8</v>
      </c>
      <c r="F94" s="7" t="n">
        <v>2083.2</v>
      </c>
      <c r="H94" s="7" t="n">
        <v>3208.5</v>
      </c>
      <c r="J94" s="7" t="n">
        <v>3775.9</v>
      </c>
      <c r="L94" s="7" t="n">
        <v>4757.2</v>
      </c>
      <c r="N94" s="7" t="n">
        <v>1558.4</v>
      </c>
      <c r="P94" s="7" t="n">
        <v>5119.9</v>
      </c>
      <c r="R94" s="7" t="n">
        <v>4822.3</v>
      </c>
      <c r="T94" s="7" t="n">
        <v>1191.3</v>
      </c>
      <c r="V94" s="7" t="n">
        <v>6358.2</v>
      </c>
      <c r="X94" s="7" t="n">
        <v>2204.8</v>
      </c>
      <c r="Z94" s="7" t="n">
        <v>1323.5</v>
      </c>
      <c r="AB94" s="7" t="n">
        <v>40308</v>
      </c>
    </row>
    <row r="95">
      <c r="A95" s="4" t="inlineStr">
        <is>
          <t>项目名称</t>
        </is>
      </c>
      <c r="D95" s="7" t="n">
        <v>2133.5</v>
      </c>
      <c r="F95" s="7" t="n">
        <v>1653.9</v>
      </c>
      <c r="H95" s="7" t="n">
        <v>3524.5</v>
      </c>
      <c r="J95" s="7" t="n">
        <v>3210.3</v>
      </c>
      <c r="L95" s="7" t="n">
        <v>3278.4</v>
      </c>
      <c r="N95" s="7" t="n">
        <v>1703</v>
      </c>
      <c r="P95" s="7" t="n">
        <v>3553.9</v>
      </c>
      <c r="R95" s="7" t="n">
        <v>3364.4</v>
      </c>
      <c r="T95" s="7" t="n">
        <v>1078.5</v>
      </c>
      <c r="V95" s="7" t="n">
        <v>3134.3</v>
      </c>
      <c r="X95" s="7" t="n">
        <v>2893.9</v>
      </c>
      <c r="Z95" s="7" t="n">
        <v>1288.4</v>
      </c>
      <c r="AB95" s="7" t="n">
        <v>30817</v>
      </c>
    </row>
    <row r="96">
      <c r="A96" s="4" t="inlineStr">
        <is>
          <t>研发费</t>
        </is>
      </c>
      <c r="D96" s="7" t="n">
        <v>5263.4</v>
      </c>
      <c r="F96" s="7" t="n">
        <v>2721.2</v>
      </c>
      <c r="H96" s="7" t="n">
        <v>3774</v>
      </c>
      <c r="J96" s="7" t="n">
        <v>6700.9</v>
      </c>
      <c r="L96" s="7" t="n">
        <v>6507.7</v>
      </c>
      <c r="N96" s="7" t="n">
        <v>3285.5</v>
      </c>
      <c r="P96" s="7" t="n">
        <v>5889.5</v>
      </c>
      <c r="R96" s="7" t="n">
        <v>9097.700000000001</v>
      </c>
      <c r="T96" s="7" t="n">
        <v>1824.4</v>
      </c>
      <c r="V96" s="7" t="n">
        <v>6795.5</v>
      </c>
      <c r="X96" s="7" t="n">
        <v>3371.7</v>
      </c>
      <c r="Z96" s="7" t="n">
        <v>1716.6</v>
      </c>
      <c r="AB96" s="7" t="n">
        <v>56948.1</v>
      </c>
    </row>
    <row r="97">
      <c r="A97" s="4" t="inlineStr">
        <is>
          <t>残保金</t>
        </is>
      </c>
      <c r="D97" s="7" t="n">
        <v>3715.2</v>
      </c>
      <c r="F97" s="7" t="n">
        <v>2752.4</v>
      </c>
      <c r="H97" s="7" t="n">
        <v>5773.6</v>
      </c>
      <c r="J97" s="7" t="n">
        <v>5893.7</v>
      </c>
      <c r="L97" s="7" t="n">
        <v>6106.6</v>
      </c>
      <c r="N97" s="7" t="n">
        <v>2032.3</v>
      </c>
      <c r="P97" s="7" t="n">
        <v>5344.5</v>
      </c>
      <c r="R97" s="7" t="n">
        <v>7815.3</v>
      </c>
      <c r="T97" s="7" t="n">
        <v>1170</v>
      </c>
      <c r="V97" s="7" t="n">
        <v>7481.7</v>
      </c>
      <c r="X97" s="7" t="n">
        <v>4171.8</v>
      </c>
      <c r="Z97" s="7" t="n">
        <v>2615.3</v>
      </c>
      <c r="AB97" s="7" t="n">
        <v>54872.4</v>
      </c>
    </row>
    <row r="98">
      <c r="A98" s="4" t="inlineStr">
        <is>
          <t>环保费</t>
        </is>
      </c>
      <c r="D98" s="7" t="n">
        <v>55.1</v>
      </c>
      <c r="F98" s="7" t="n">
        <v>33</v>
      </c>
      <c r="H98" s="7" t="n">
        <v>88.8</v>
      </c>
      <c r="J98" s="7" t="n">
        <v>78.59999999999999</v>
      </c>
      <c r="L98" s="7" t="n">
        <v>92.2</v>
      </c>
      <c r="N98" s="7" t="n">
        <v>37.1</v>
      </c>
      <c r="P98" s="7" t="n">
        <v>77.3</v>
      </c>
      <c r="R98" s="7" t="n">
        <v>96.8</v>
      </c>
      <c r="T98" s="7" t="n">
        <v>33.4</v>
      </c>
      <c r="V98" s="7" t="n">
        <v>145.5</v>
      </c>
      <c r="X98" s="7" t="n">
        <v>83</v>
      </c>
      <c r="Z98" s="7" t="n">
        <v>50.7</v>
      </c>
      <c r="AB98" s="7" t="n">
        <v>871.5</v>
      </c>
    </row>
    <row r="99">
      <c r="A99" s="4" t="inlineStr">
        <is>
          <t>报废损失</t>
        </is>
      </c>
      <c r="D99" s="7" t="n">
        <v>4359.9</v>
      </c>
      <c r="F99" s="7" t="n">
        <v>1780.3</v>
      </c>
      <c r="H99" s="7" t="n">
        <v>5945.6</v>
      </c>
      <c r="J99" s="7" t="n">
        <v>3920</v>
      </c>
      <c r="L99" s="7" t="n">
        <v>6184.4</v>
      </c>
      <c r="N99" s="7" t="n">
        <v>3007.9</v>
      </c>
      <c r="P99" s="7" t="n">
        <v>6004.1</v>
      </c>
      <c r="R99" s="7" t="n">
        <v>8757.5</v>
      </c>
      <c r="T99" s="7" t="n">
        <v>1747.7</v>
      </c>
      <c r="V99" s="7" t="n">
        <v>7925.8</v>
      </c>
      <c r="X99" s="7" t="n">
        <v>3140.5</v>
      </c>
      <c r="Z99" s="7" t="n">
        <v>2084.8</v>
      </c>
      <c r="AB99" s="7" t="n">
        <v>54858.5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405403.4</v>
      </c>
      <c r="D100" s="7" t="n">
        <v>451469.8</v>
      </c>
      <c r="E100" s="7" t="n">
        <v>370497.6</v>
      </c>
      <c r="F100" s="7" t="n">
        <v>328628.7</v>
      </c>
      <c r="G100" s="7" t="n">
        <v>485172</v>
      </c>
      <c r="H100" s="7" t="n">
        <v>585968.7</v>
      </c>
      <c r="I100" s="7" t="n">
        <v>396697.4</v>
      </c>
      <c r="J100" s="7" t="n">
        <v>361865.3</v>
      </c>
      <c r="K100" s="7" t="n">
        <v>419222.5</v>
      </c>
      <c r="L100" s="7" t="n">
        <v>518212.9</v>
      </c>
      <c r="M100" s="7" t="n">
        <v>425771.9</v>
      </c>
      <c r="N100" s="7" t="n">
        <v>367006</v>
      </c>
      <c r="O100" s="7" t="n">
        <v>481712.2</v>
      </c>
      <c r="P100" s="7" t="n">
        <v>713996.2</v>
      </c>
      <c r="Q100" s="7" t="n">
        <v>440956</v>
      </c>
      <c r="R100" s="7" t="n">
        <v>581698.8</v>
      </c>
      <c r="S100" s="7" t="n">
        <v>385656.6</v>
      </c>
      <c r="T100" s="7" t="n">
        <v>95140.8</v>
      </c>
      <c r="U100" s="7" t="n">
        <v>425814.9</v>
      </c>
      <c r="V100" s="7" t="n">
        <v>404299.9</v>
      </c>
      <c r="W100" s="7" t="n">
        <v>381230</v>
      </c>
      <c r="X100" s="7" t="n">
        <v>540329.9</v>
      </c>
      <c r="Y100" s="7" t="n">
        <v>461239.8</v>
      </c>
      <c r="Z100" s="7" t="n">
        <v>173366</v>
      </c>
      <c r="AA100" s="8" t="n">
        <v>5079374.3</v>
      </c>
      <c r="AB100" s="8" t="n">
        <v>5121983</v>
      </c>
    </row>
    <row r="101">
      <c r="A101" s="4" t="inlineStr">
        <is>
          <t>职工薪酬</t>
        </is>
      </c>
      <c r="D101" s="7" t="n">
        <v>285609.1</v>
      </c>
      <c r="F101" s="7" t="n">
        <v>172752.9</v>
      </c>
      <c r="H101" s="7" t="n">
        <v>262546.2</v>
      </c>
      <c r="J101" s="7" t="n">
        <v>217541</v>
      </c>
      <c r="L101" s="7" t="n">
        <v>302106.2</v>
      </c>
      <c r="N101" s="7" t="n">
        <v>192620.4</v>
      </c>
      <c r="P101" s="7" t="n">
        <v>384563.6</v>
      </c>
      <c r="R101" s="7" t="n">
        <v>366092</v>
      </c>
      <c r="T101" s="7" t="n">
        <v>46510</v>
      </c>
      <c r="V101" s="7" t="n">
        <v>198427.2</v>
      </c>
      <c r="X101" s="7" t="n">
        <v>306717</v>
      </c>
      <c r="Z101" s="7" t="n">
        <v>96053.8</v>
      </c>
      <c r="AB101" s="7" t="n">
        <v>2831539.4</v>
      </c>
    </row>
    <row r="102">
      <c r="A102" s="4" t="inlineStr">
        <is>
          <t>工资</t>
        </is>
      </c>
      <c r="D102" s="7" t="n">
        <v>170619.9</v>
      </c>
      <c r="F102" s="7" t="n">
        <v>108325.6</v>
      </c>
      <c r="H102" s="7" t="n">
        <v>151155.6</v>
      </c>
      <c r="J102" s="7" t="n">
        <v>121590.3</v>
      </c>
      <c r="L102" s="7" t="n">
        <v>193205.9</v>
      </c>
      <c r="N102" s="7" t="n">
        <v>115032.6</v>
      </c>
      <c r="P102" s="7" t="n">
        <v>216175.9</v>
      </c>
      <c r="R102" s="7" t="n">
        <v>220570.9</v>
      </c>
      <c r="T102" s="7" t="n">
        <v>28382.6</v>
      </c>
      <c r="V102" s="7" t="n">
        <v>116636.6</v>
      </c>
      <c r="X102" s="7" t="n">
        <v>195561</v>
      </c>
      <c r="Z102" s="7" t="n">
        <v>60776.7</v>
      </c>
      <c r="AB102" s="7" t="n">
        <v>1698033.6</v>
      </c>
    </row>
    <row r="103">
      <c r="A103" s="4" t="inlineStr">
        <is>
          <t>奖金及提成</t>
        </is>
      </c>
      <c r="D103" s="7" t="n">
        <v>52877.5</v>
      </c>
      <c r="F103" s="7" t="n">
        <v>33654.1</v>
      </c>
      <c r="H103" s="7" t="n">
        <v>41134.1</v>
      </c>
      <c r="J103" s="7" t="n">
        <v>46047.1</v>
      </c>
      <c r="L103" s="7" t="n">
        <v>61708.1</v>
      </c>
      <c r="N103" s="7" t="n">
        <v>36305.7</v>
      </c>
      <c r="P103" s="7" t="n">
        <v>74280.3</v>
      </c>
      <c r="R103" s="7" t="n">
        <v>73353.7</v>
      </c>
      <c r="T103" s="7" t="n">
        <v>8708.700000000001</v>
      </c>
      <c r="V103" s="7" t="n">
        <v>44841</v>
      </c>
      <c r="X103" s="7" t="n">
        <v>50810.9</v>
      </c>
      <c r="Z103" s="7" t="n">
        <v>18712.5</v>
      </c>
      <c r="AB103" s="7" t="n">
        <v>542433.7</v>
      </c>
    </row>
    <row r="104">
      <c r="A104" s="4" t="inlineStr">
        <is>
          <t>社保</t>
        </is>
      </c>
      <c r="D104" s="7" t="n">
        <v>46060.6</v>
      </c>
      <c r="F104" s="7" t="n">
        <v>19833.4</v>
      </c>
      <c r="H104" s="7" t="n">
        <v>47851.4</v>
      </c>
      <c r="J104" s="7" t="n">
        <v>36955.3</v>
      </c>
      <c r="L104" s="7" t="n">
        <v>31021.2</v>
      </c>
      <c r="N104" s="7" t="n">
        <v>28649.5</v>
      </c>
      <c r="P104" s="7" t="n">
        <v>66253.39999999999</v>
      </c>
      <c r="R104" s="7" t="n">
        <v>50662.5</v>
      </c>
      <c r="T104" s="7" t="n">
        <v>6134.5</v>
      </c>
      <c r="V104" s="7" t="n">
        <v>23404.1</v>
      </c>
      <c r="X104" s="7" t="n">
        <v>40222.1</v>
      </c>
      <c r="Z104" s="7" t="n">
        <v>11297.9</v>
      </c>
      <c r="AB104" s="7" t="n">
        <v>408345.9</v>
      </c>
    </row>
    <row r="105">
      <c r="A105" s="4" t="inlineStr">
        <is>
          <t>养老</t>
        </is>
      </c>
      <c r="D105" s="7" t="n">
        <v>2550.2</v>
      </c>
      <c r="F105" s="7" t="n">
        <v>1617.1</v>
      </c>
      <c r="H105" s="7" t="n">
        <v>2448.1</v>
      </c>
      <c r="J105" s="7" t="n">
        <v>1240</v>
      </c>
      <c r="L105" s="7" t="n">
        <v>2553.1</v>
      </c>
      <c r="N105" s="7" t="n">
        <v>1911.2</v>
      </c>
      <c r="P105" s="7" t="n">
        <v>2554.2</v>
      </c>
      <c r="R105" s="7" t="n">
        <v>2165.6</v>
      </c>
      <c r="T105" s="7" t="n">
        <v>491.4</v>
      </c>
      <c r="V105" s="7" t="n">
        <v>1947.8</v>
      </c>
      <c r="X105" s="7" t="n">
        <v>2449.7</v>
      </c>
      <c r="Z105" s="7" t="n">
        <v>583.7</v>
      </c>
      <c r="AB105" s="7" t="n">
        <v>22512.1</v>
      </c>
    </row>
    <row r="106">
      <c r="A106" s="4" t="inlineStr">
        <is>
          <t>医疗</t>
        </is>
      </c>
      <c r="D106" s="7" t="n">
        <v>1415.7</v>
      </c>
      <c r="F106" s="7" t="n">
        <v>1188.6</v>
      </c>
      <c r="H106" s="7" t="n">
        <v>2493.6</v>
      </c>
      <c r="J106" s="7" t="n">
        <v>1243.7</v>
      </c>
      <c r="L106" s="7" t="n">
        <v>2383.3</v>
      </c>
      <c r="N106" s="7" t="n">
        <v>939.5</v>
      </c>
      <c r="P106" s="7" t="n">
        <v>1856.7</v>
      </c>
      <c r="R106" s="7" t="n">
        <v>2417.9</v>
      </c>
      <c r="T106" s="7" t="n">
        <v>244.7</v>
      </c>
      <c r="V106" s="7" t="n">
        <v>1104.8</v>
      </c>
      <c r="X106" s="7" t="n">
        <v>2268.2</v>
      </c>
      <c r="Z106" s="7" t="n">
        <v>676.2</v>
      </c>
      <c r="AB106" s="7" t="n">
        <v>18232.9</v>
      </c>
    </row>
    <row r="107">
      <c r="A107" s="4" t="inlineStr">
        <is>
          <t>工伤</t>
        </is>
      </c>
      <c r="D107" s="7" t="n">
        <v>1502</v>
      </c>
      <c r="F107" s="7" t="n">
        <v>1209.6</v>
      </c>
      <c r="H107" s="7" t="n">
        <v>1390.3</v>
      </c>
      <c r="J107" s="7" t="n">
        <v>1139.4</v>
      </c>
      <c r="L107" s="7" t="n">
        <v>1954.6</v>
      </c>
      <c r="N107" s="7" t="n">
        <v>796.6</v>
      </c>
      <c r="P107" s="7" t="n">
        <v>1684.6</v>
      </c>
      <c r="R107" s="7" t="n">
        <v>1909.8</v>
      </c>
      <c r="T107" s="7" t="n">
        <v>281</v>
      </c>
      <c r="V107" s="7" t="n">
        <v>1520</v>
      </c>
      <c r="X107" s="7" t="n">
        <v>1181.5</v>
      </c>
      <c r="Z107" s="7" t="n">
        <v>584</v>
      </c>
      <c r="AB107" s="7" t="n">
        <v>15153.4</v>
      </c>
    </row>
    <row r="108">
      <c r="A108" s="4" t="inlineStr">
        <is>
          <t>失业</t>
        </is>
      </c>
      <c r="D108" s="7" t="n">
        <v>310.5</v>
      </c>
      <c r="F108" s="7" t="n">
        <v>205.3</v>
      </c>
      <c r="H108" s="7" t="n">
        <v>443.6</v>
      </c>
      <c r="J108" s="7" t="n">
        <v>364.3</v>
      </c>
      <c r="L108" s="7" t="n">
        <v>431.9</v>
      </c>
      <c r="N108" s="7" t="n">
        <v>252.1</v>
      </c>
      <c r="P108" s="7" t="n">
        <v>644.6</v>
      </c>
      <c r="R108" s="7" t="n">
        <v>592.9</v>
      </c>
      <c r="T108" s="7" t="n">
        <v>62.2</v>
      </c>
      <c r="V108" s="7" t="n">
        <v>345.5</v>
      </c>
      <c r="X108" s="7" t="n">
        <v>545.5</v>
      </c>
      <c r="Z108" s="7" t="n">
        <v>123.5</v>
      </c>
      <c r="AB108" s="7" t="n">
        <v>4321.9</v>
      </c>
    </row>
    <row r="109">
      <c r="A109" s="4" t="inlineStr">
        <is>
          <t>生育</t>
        </is>
      </c>
      <c r="D109" s="7" t="n">
        <v>2276.1</v>
      </c>
      <c r="F109" s="7" t="n">
        <v>2057.6</v>
      </c>
      <c r="H109" s="7" t="n">
        <v>3985.3</v>
      </c>
      <c r="J109" s="7" t="n">
        <v>2113.2</v>
      </c>
      <c r="L109" s="7" t="n">
        <v>2445.3</v>
      </c>
      <c r="N109" s="7" t="n">
        <v>2488.7</v>
      </c>
      <c r="P109" s="7" t="n">
        <v>3938.1</v>
      </c>
      <c r="R109" s="7" t="n">
        <v>2400.8</v>
      </c>
      <c r="T109" s="7" t="n">
        <v>603.2</v>
      </c>
      <c r="V109" s="7" t="n">
        <v>2507.8</v>
      </c>
      <c r="X109" s="7" t="n">
        <v>3302.2</v>
      </c>
      <c r="Z109" s="7" t="n">
        <v>965.6</v>
      </c>
      <c r="AB109" s="7" t="n">
        <v>29083.9</v>
      </c>
    </row>
    <row r="110">
      <c r="A110" s="4" t="inlineStr">
        <is>
          <t>公积金</t>
        </is>
      </c>
      <c r="D110" s="7" t="n">
        <v>767.2</v>
      </c>
      <c r="F110" s="7" t="n">
        <v>567.4</v>
      </c>
      <c r="H110" s="7" t="n">
        <v>1223.5</v>
      </c>
      <c r="J110" s="7" t="n">
        <v>889.9</v>
      </c>
      <c r="L110" s="7" t="n">
        <v>1176.6</v>
      </c>
      <c r="N110" s="7" t="n">
        <v>777.7</v>
      </c>
      <c r="P110" s="7" t="n">
        <v>1972</v>
      </c>
      <c r="R110" s="7" t="n">
        <v>927.1</v>
      </c>
      <c r="T110" s="7" t="n">
        <v>159.1</v>
      </c>
      <c r="V110" s="7" t="n">
        <v>1074.9</v>
      </c>
      <c r="X110" s="7" t="n">
        <v>1268.9</v>
      </c>
      <c r="Z110" s="7" t="n">
        <v>445</v>
      </c>
      <c r="AB110" s="7" t="n">
        <v>11249.3</v>
      </c>
    </row>
    <row r="111">
      <c r="A111" s="4" t="inlineStr">
        <is>
          <t>工会经费</t>
        </is>
      </c>
      <c r="D111" s="7" t="n">
        <v>45.9</v>
      </c>
      <c r="F111" s="7" t="n">
        <v>23.7</v>
      </c>
      <c r="H111" s="7" t="n">
        <v>48.5</v>
      </c>
      <c r="J111" s="7" t="n">
        <v>27.9</v>
      </c>
      <c r="L111" s="7" t="n">
        <v>57.9</v>
      </c>
      <c r="N111" s="7" t="n">
        <v>46.3</v>
      </c>
      <c r="P111" s="7" t="n">
        <v>69.5</v>
      </c>
      <c r="R111" s="7" t="n">
        <v>70.59999999999999</v>
      </c>
      <c r="T111" s="7" t="n">
        <v>11.3</v>
      </c>
      <c r="V111" s="7" t="n">
        <v>46.2</v>
      </c>
      <c r="X111" s="7" t="n">
        <v>45.6</v>
      </c>
      <c r="Z111" s="7" t="n">
        <v>19.3</v>
      </c>
      <c r="AB111" s="7" t="n">
        <v>512.7</v>
      </c>
    </row>
    <row r="112">
      <c r="A112" s="4" t="inlineStr">
        <is>
          <t>职工教育经费</t>
        </is>
      </c>
      <c r="D112" s="7" t="n">
        <v>1466.8</v>
      </c>
      <c r="F112" s="7" t="n">
        <v>1423.5</v>
      </c>
      <c r="H112" s="7" t="n">
        <v>2143.2</v>
      </c>
      <c r="J112" s="7" t="n">
        <v>896.9</v>
      </c>
      <c r="L112" s="7" t="n">
        <v>1436.2</v>
      </c>
      <c r="N112" s="7" t="n">
        <v>1258.8</v>
      </c>
      <c r="P112" s="7" t="n">
        <v>3110.7</v>
      </c>
      <c r="R112" s="7" t="n">
        <v>2147.5</v>
      </c>
      <c r="T112" s="7" t="n">
        <v>381.7</v>
      </c>
      <c r="V112" s="7" t="n">
        <v>1260.2</v>
      </c>
      <c r="X112" s="7" t="n">
        <v>1302.4</v>
      </c>
      <c r="Z112" s="7" t="n">
        <v>500.3</v>
      </c>
      <c r="AB112" s="7" t="n">
        <v>17328.2</v>
      </c>
    </row>
    <row r="113">
      <c r="A113" s="4" t="inlineStr">
        <is>
          <t>福利费</t>
        </is>
      </c>
      <c r="D113" s="7" t="n">
        <v>13771.2</v>
      </c>
      <c r="F113" s="7" t="n">
        <v>8925.200000000001</v>
      </c>
      <c r="H113" s="7" t="n">
        <v>18989.9</v>
      </c>
      <c r="J113" s="7" t="n">
        <v>11133.6</v>
      </c>
      <c r="L113" s="7" t="n">
        <v>13500.3</v>
      </c>
      <c r="N113" s="7" t="n">
        <v>10549.8</v>
      </c>
      <c r="P113" s="7" t="n">
        <v>22701.8</v>
      </c>
      <c r="R113" s="7" t="n">
        <v>18359.7</v>
      </c>
      <c r="T113" s="7" t="n">
        <v>2732.1</v>
      </c>
      <c r="V113" s="7" t="n">
        <v>11164.2</v>
      </c>
      <c r="X113" s="7" t="n">
        <v>17506.1</v>
      </c>
      <c r="Z113" s="7" t="n">
        <v>4302.1</v>
      </c>
      <c r="AB113" s="7" t="n">
        <v>153636</v>
      </c>
    </row>
    <row r="114">
      <c r="A114" s="4" t="inlineStr">
        <is>
          <t>职工房租</t>
        </is>
      </c>
      <c r="D114" s="7" t="n">
        <v>2599</v>
      </c>
      <c r="F114" s="7" t="n">
        <v>1454</v>
      </c>
      <c r="H114" s="7" t="n">
        <v>2121.7</v>
      </c>
      <c r="J114" s="7" t="n">
        <v>1792</v>
      </c>
      <c r="L114" s="7" t="n">
        <v>1690.2</v>
      </c>
      <c r="N114" s="7" t="n">
        <v>1792.4</v>
      </c>
      <c r="P114" s="7" t="n">
        <v>2794.5</v>
      </c>
      <c r="R114" s="7" t="n">
        <v>2511.4</v>
      </c>
      <c r="T114" s="7" t="n">
        <v>385</v>
      </c>
      <c r="V114" s="7" t="n">
        <v>2149.3</v>
      </c>
      <c r="X114" s="7" t="n">
        <v>2804.4</v>
      </c>
      <c r="Z114" s="7" t="n">
        <v>565.5</v>
      </c>
      <c r="AB114" s="7" t="n">
        <v>22659.4</v>
      </c>
    </row>
    <row r="115">
      <c r="A115" s="4" t="inlineStr">
        <is>
          <t>水电物业费</t>
        </is>
      </c>
      <c r="D115" s="7" t="n">
        <v>2750.7</v>
      </c>
      <c r="F115" s="7" t="n">
        <v>1285.3</v>
      </c>
      <c r="H115" s="7" t="n">
        <v>3332.3</v>
      </c>
      <c r="J115" s="7" t="n">
        <v>1741.2</v>
      </c>
      <c r="L115" s="7" t="n">
        <v>1936.4</v>
      </c>
      <c r="N115" s="7" t="n">
        <v>2204.3</v>
      </c>
      <c r="P115" s="7" t="n">
        <v>3927.1</v>
      </c>
      <c r="R115" s="7" t="n">
        <v>2981.4</v>
      </c>
      <c r="T115" s="7" t="n">
        <v>413.7</v>
      </c>
      <c r="V115" s="7" t="n">
        <v>1608.2</v>
      </c>
      <c r="X115" s="7" t="n">
        <v>2901.8</v>
      </c>
      <c r="Z115" s="7" t="n">
        <v>753.7</v>
      </c>
      <c r="AB115" s="7" t="n">
        <v>25836.1</v>
      </c>
    </row>
    <row r="116">
      <c r="A116" s="4" t="inlineStr">
        <is>
          <t>员工餐</t>
        </is>
      </c>
      <c r="D116" s="7" t="n">
        <v>2065.5</v>
      </c>
      <c r="F116" s="7" t="n">
        <v>1273.8</v>
      </c>
      <c r="H116" s="7" t="n">
        <v>3420.1</v>
      </c>
      <c r="J116" s="7" t="n">
        <v>2258.6</v>
      </c>
      <c r="L116" s="7" t="n">
        <v>2449.4</v>
      </c>
      <c r="N116" s="7" t="n">
        <v>1560.5</v>
      </c>
      <c r="P116" s="7" t="n">
        <v>3583.6</v>
      </c>
      <c r="R116" s="7" t="n">
        <v>2943.5</v>
      </c>
      <c r="T116" s="7" t="n">
        <v>599.8</v>
      </c>
      <c r="V116" s="7" t="n">
        <v>1625.2</v>
      </c>
      <c r="X116" s="7" t="n">
        <v>3468.6</v>
      </c>
      <c r="Z116" s="7" t="n">
        <v>861.6</v>
      </c>
      <c r="AB116" s="7" t="n">
        <v>26110.2</v>
      </c>
    </row>
    <row r="117">
      <c r="A117" s="4" t="inlineStr">
        <is>
          <t>节日礼品</t>
        </is>
      </c>
      <c r="D117" s="7" t="n">
        <v>896.5</v>
      </c>
      <c r="F117" s="7" t="n">
        <v>944.8</v>
      </c>
      <c r="H117" s="7" t="n">
        <v>1606.2</v>
      </c>
      <c r="J117" s="7" t="n">
        <v>1181.3</v>
      </c>
      <c r="L117" s="7" t="n">
        <v>1081</v>
      </c>
      <c r="N117" s="7" t="n">
        <v>723.7</v>
      </c>
      <c r="P117" s="7" t="n">
        <v>2022.6</v>
      </c>
      <c r="R117" s="7" t="n">
        <v>1087.1</v>
      </c>
      <c r="T117" s="7" t="n">
        <v>188.9</v>
      </c>
      <c r="V117" s="7" t="n">
        <v>1243.5</v>
      </c>
      <c r="X117" s="7" t="n">
        <v>1338.3</v>
      </c>
      <c r="Z117" s="7" t="n">
        <v>353.5</v>
      </c>
      <c r="AB117" s="7" t="n">
        <v>12667.4</v>
      </c>
    </row>
    <row r="118">
      <c r="A118" s="4" t="inlineStr">
        <is>
          <t>生日礼品</t>
        </is>
      </c>
      <c r="D118" s="7" t="n">
        <v>1253</v>
      </c>
      <c r="F118" s="7" t="n">
        <v>786.4</v>
      </c>
      <c r="H118" s="7" t="n">
        <v>1549.5</v>
      </c>
      <c r="J118" s="7" t="n">
        <v>882.8</v>
      </c>
      <c r="L118" s="7" t="n">
        <v>1245.6</v>
      </c>
      <c r="N118" s="7" t="n">
        <v>663.1</v>
      </c>
      <c r="P118" s="7" t="n">
        <v>2062.4</v>
      </c>
      <c r="R118" s="7" t="n">
        <v>1589.7</v>
      </c>
      <c r="T118" s="7" t="n">
        <v>161.2</v>
      </c>
      <c r="V118" s="7" t="n">
        <v>1106</v>
      </c>
      <c r="X118" s="7" t="n">
        <v>1209.5</v>
      </c>
      <c r="Z118" s="7" t="n">
        <v>506.7</v>
      </c>
      <c r="AB118" s="7" t="n">
        <v>13015.9</v>
      </c>
    </row>
    <row r="119">
      <c r="A119" s="4" t="inlineStr">
        <is>
          <t>体检</t>
        </is>
      </c>
      <c r="D119" s="7" t="n">
        <v>2105.5</v>
      </c>
      <c r="F119" s="7" t="n">
        <v>1105.9</v>
      </c>
      <c r="H119" s="7" t="n">
        <v>2586.8</v>
      </c>
      <c r="J119" s="7" t="n">
        <v>1602.7</v>
      </c>
      <c r="L119" s="7" t="n">
        <v>1704.7</v>
      </c>
      <c r="N119" s="7" t="n">
        <v>1276.2</v>
      </c>
      <c r="P119" s="7" t="n">
        <v>2901.8</v>
      </c>
      <c r="R119" s="7" t="n">
        <v>2787</v>
      </c>
      <c r="T119" s="7" t="n">
        <v>389.4</v>
      </c>
      <c r="V119" s="7" t="n">
        <v>1238</v>
      </c>
      <c r="X119" s="7" t="n">
        <v>2188.7</v>
      </c>
      <c r="Z119" s="7" t="n">
        <v>472.8</v>
      </c>
      <c r="AB119" s="7" t="n">
        <v>20359.5</v>
      </c>
    </row>
    <row r="120">
      <c r="A120" s="4" t="inlineStr">
        <is>
          <t>其他福利支出</t>
        </is>
      </c>
      <c r="D120" s="7" t="n">
        <v>2101</v>
      </c>
      <c r="F120" s="7" t="n">
        <v>2075</v>
      </c>
      <c r="H120" s="7" t="n">
        <v>4373.3</v>
      </c>
      <c r="J120" s="7" t="n">
        <v>1675</v>
      </c>
      <c r="L120" s="7" t="n">
        <v>3393</v>
      </c>
      <c r="N120" s="7" t="n">
        <v>2329.6</v>
      </c>
      <c r="P120" s="7" t="n">
        <v>5409.8</v>
      </c>
      <c r="R120" s="7" t="n">
        <v>4459.6</v>
      </c>
      <c r="T120" s="7" t="n">
        <v>594.1</v>
      </c>
      <c r="V120" s="7" t="n">
        <v>2194</v>
      </c>
      <c r="X120" s="7" t="n">
        <v>3594.8</v>
      </c>
      <c r="Z120" s="7" t="n">
        <v>788.3</v>
      </c>
      <c r="AB120" s="7" t="n">
        <v>32987.5</v>
      </c>
    </row>
    <row r="121">
      <c r="A121" s="4" t="inlineStr">
        <is>
          <t>招聘费</t>
        </is>
      </c>
      <c r="D121" s="7" t="n">
        <v>2751.3</v>
      </c>
      <c r="F121" s="7" t="n">
        <v>1229.4</v>
      </c>
      <c r="H121" s="7" t="n">
        <v>2467.3</v>
      </c>
      <c r="J121" s="7" t="n">
        <v>1890.3</v>
      </c>
      <c r="L121" s="7" t="n">
        <v>1876.1</v>
      </c>
      <c r="N121" s="7" t="n">
        <v>1739.8</v>
      </c>
      <c r="P121" s="7" t="n">
        <v>3025</v>
      </c>
      <c r="R121" s="7" t="n">
        <v>3131.8</v>
      </c>
      <c r="T121" s="7" t="n">
        <v>554.6</v>
      </c>
      <c r="V121" s="7" t="n">
        <v>2227.9</v>
      </c>
      <c r="X121" s="7" t="n">
        <v>1853</v>
      </c>
      <c r="Z121" s="7" t="n">
        <v>809.4</v>
      </c>
      <c r="AB121" s="7" t="n">
        <v>23555.9</v>
      </c>
    </row>
    <row r="122">
      <c r="A122" s="4" t="inlineStr">
        <is>
          <t>办公费</t>
        </is>
      </c>
      <c r="D122" s="7" t="n">
        <v>15753.1</v>
      </c>
      <c r="F122" s="7" t="n">
        <v>12072.4</v>
      </c>
      <c r="H122" s="7" t="n">
        <v>16580.9</v>
      </c>
      <c r="J122" s="7" t="n">
        <v>12744</v>
      </c>
      <c r="L122" s="7" t="n">
        <v>14337.7</v>
      </c>
      <c r="N122" s="7" t="n">
        <v>10774.3</v>
      </c>
      <c r="P122" s="7" t="n">
        <v>23134.4</v>
      </c>
      <c r="R122" s="7" t="n">
        <v>21224.4</v>
      </c>
      <c r="T122" s="7" t="n">
        <v>2119</v>
      </c>
      <c r="V122" s="7" t="n">
        <v>14992.2</v>
      </c>
      <c r="X122" s="7" t="n">
        <v>14584.8</v>
      </c>
      <c r="Z122" s="7" t="n">
        <v>3742.8</v>
      </c>
      <c r="AB122" s="7" t="n">
        <v>162060</v>
      </c>
    </row>
    <row r="123">
      <c r="A123" s="4" t="inlineStr">
        <is>
          <t>市内交通费</t>
        </is>
      </c>
      <c r="D123" s="7" t="n">
        <v>1086.7</v>
      </c>
      <c r="F123" s="7" t="n">
        <v>1163.4</v>
      </c>
      <c r="H123" s="7" t="n">
        <v>1678.2</v>
      </c>
      <c r="J123" s="7" t="n">
        <v>1189.2</v>
      </c>
      <c r="L123" s="7" t="n">
        <v>1697.1</v>
      </c>
      <c r="N123" s="7" t="n">
        <v>767.3</v>
      </c>
      <c r="P123" s="7" t="n">
        <v>2449.7</v>
      </c>
      <c r="R123" s="7" t="n">
        <v>1854.4</v>
      </c>
      <c r="T123" s="7" t="n">
        <v>194.7</v>
      </c>
      <c r="V123" s="7" t="n">
        <v>1430.8</v>
      </c>
      <c r="X123" s="7" t="n">
        <v>1667.2</v>
      </c>
      <c r="Z123" s="7" t="n">
        <v>596.9</v>
      </c>
      <c r="AB123" s="7" t="n">
        <v>15775.6</v>
      </c>
    </row>
    <row r="124">
      <c r="A124" s="4" t="inlineStr">
        <is>
          <t>差旅费</t>
        </is>
      </c>
      <c r="D124" s="7" t="n">
        <v>20765.3</v>
      </c>
      <c r="F124" s="7" t="n">
        <v>18127.6</v>
      </c>
      <c r="H124" s="7" t="n">
        <v>37671.2</v>
      </c>
      <c r="J124" s="7" t="n">
        <v>19960.7</v>
      </c>
      <c r="L124" s="7" t="n">
        <v>25034.7</v>
      </c>
      <c r="N124" s="7" t="n">
        <v>22797.1</v>
      </c>
      <c r="P124" s="7" t="n">
        <v>31710.2</v>
      </c>
      <c r="R124" s="7" t="n">
        <v>39285.7</v>
      </c>
      <c r="T124" s="7" t="n">
        <v>4697.1</v>
      </c>
      <c r="V124" s="7" t="n">
        <v>31262.5</v>
      </c>
      <c r="X124" s="7" t="n">
        <v>27335.7</v>
      </c>
      <c r="Z124" s="7" t="n">
        <v>7990.1</v>
      </c>
      <c r="AB124" s="7" t="n">
        <v>286637.9</v>
      </c>
    </row>
    <row r="125">
      <c r="A125" s="4" t="inlineStr">
        <is>
          <t>交通费</t>
        </is>
      </c>
      <c r="D125" s="7" t="n">
        <v>1789.8</v>
      </c>
      <c r="F125" s="7" t="n">
        <v>1080.7</v>
      </c>
      <c r="H125" s="7" t="n">
        <v>2345</v>
      </c>
      <c r="J125" s="7" t="n">
        <v>937.7</v>
      </c>
      <c r="L125" s="7" t="n">
        <v>1865</v>
      </c>
      <c r="N125" s="7" t="n">
        <v>961.8</v>
      </c>
      <c r="P125" s="7" t="n">
        <v>2042.3</v>
      </c>
      <c r="R125" s="7" t="n">
        <v>1570.4</v>
      </c>
      <c r="T125" s="7" t="n">
        <v>330.8</v>
      </c>
      <c r="V125" s="7" t="n">
        <v>1098.9</v>
      </c>
      <c r="X125" s="7" t="n">
        <v>1251.2</v>
      </c>
      <c r="Z125" s="7" t="n">
        <v>493.4</v>
      </c>
      <c r="AB125" s="7" t="n">
        <v>15767</v>
      </c>
    </row>
    <row r="126">
      <c r="A126" s="4" t="inlineStr">
        <is>
          <t>住宿费</t>
        </is>
      </c>
      <c r="D126" s="7" t="n">
        <v>1462.5</v>
      </c>
      <c r="F126" s="7" t="n">
        <v>810.6</v>
      </c>
      <c r="H126" s="7" t="n">
        <v>2103.5</v>
      </c>
      <c r="J126" s="7" t="n">
        <v>1277.2</v>
      </c>
      <c r="L126" s="7" t="n">
        <v>1684.8</v>
      </c>
      <c r="N126" s="7" t="n">
        <v>1024.3</v>
      </c>
      <c r="P126" s="7" t="n">
        <v>2441.7</v>
      </c>
      <c r="R126" s="7" t="n">
        <v>2188.4</v>
      </c>
      <c r="T126" s="7" t="n">
        <v>384.4</v>
      </c>
      <c r="V126" s="7" t="n">
        <v>1527.9</v>
      </c>
      <c r="X126" s="7" t="n">
        <v>2178.5</v>
      </c>
      <c r="Z126" s="7" t="n">
        <v>408.7</v>
      </c>
      <c r="AB126" s="7" t="n">
        <v>17492.5</v>
      </c>
    </row>
    <row r="127">
      <c r="A127" s="4" t="inlineStr">
        <is>
          <t>餐补</t>
        </is>
      </c>
      <c r="D127" s="7" t="n">
        <v>2573.7</v>
      </c>
      <c r="F127" s="7" t="n">
        <v>1437.9</v>
      </c>
      <c r="H127" s="7" t="n">
        <v>4245.3</v>
      </c>
      <c r="J127" s="7" t="n">
        <v>1847.7</v>
      </c>
      <c r="L127" s="7" t="n">
        <v>3861.2</v>
      </c>
      <c r="N127" s="7" t="n">
        <v>1643.4</v>
      </c>
      <c r="P127" s="7" t="n">
        <v>3614.5</v>
      </c>
      <c r="R127" s="7" t="n">
        <v>3804.4</v>
      </c>
      <c r="T127" s="7" t="n">
        <v>555.2</v>
      </c>
      <c r="V127" s="7" t="n">
        <v>2896.6</v>
      </c>
      <c r="X127" s="7" t="n">
        <v>3199.4</v>
      </c>
      <c r="Z127" s="7" t="n">
        <v>1091.4</v>
      </c>
      <c r="AB127" s="7" t="n">
        <v>30770.7</v>
      </c>
    </row>
    <row r="128">
      <c r="A128" s="4" t="inlineStr">
        <is>
          <t>交通补助</t>
        </is>
      </c>
      <c r="D128" s="7" t="n">
        <v>1112.4</v>
      </c>
      <c r="F128" s="7" t="n">
        <v>647.5</v>
      </c>
      <c r="H128" s="7" t="n">
        <v>877.8</v>
      </c>
      <c r="J128" s="7" t="n">
        <v>631.7</v>
      </c>
      <c r="L128" s="7" t="n">
        <v>962.7</v>
      </c>
      <c r="N128" s="7" t="n">
        <v>766.8</v>
      </c>
      <c r="P128" s="7" t="n">
        <v>1200.9</v>
      </c>
      <c r="R128" s="7" t="n">
        <v>825</v>
      </c>
      <c r="T128" s="7" t="n">
        <v>223.7</v>
      </c>
      <c r="V128" s="7" t="n">
        <v>652.4</v>
      </c>
      <c r="X128" s="7" t="n">
        <v>1317.6</v>
      </c>
      <c r="Z128" s="7" t="n">
        <v>362.2</v>
      </c>
      <c r="AB128" s="7" t="n">
        <v>9580.700000000001</v>
      </c>
    </row>
    <row r="129">
      <c r="A129" s="4" t="inlineStr">
        <is>
          <t>通讯补助</t>
        </is>
      </c>
      <c r="D129" s="7" t="n">
        <v>1103.8</v>
      </c>
      <c r="F129" s="7" t="n">
        <v>964.9</v>
      </c>
      <c r="H129" s="7" t="n">
        <v>1417</v>
      </c>
      <c r="J129" s="7" t="n">
        <v>1031.6</v>
      </c>
      <c r="L129" s="7" t="n">
        <v>1564.2</v>
      </c>
      <c r="N129" s="7" t="n">
        <v>1194</v>
      </c>
      <c r="P129" s="7" t="n">
        <v>1864.2</v>
      </c>
      <c r="R129" s="7" t="n">
        <v>1385.8</v>
      </c>
      <c r="T129" s="7" t="n">
        <v>200.1</v>
      </c>
      <c r="V129" s="7" t="n">
        <v>1280.9</v>
      </c>
      <c r="X129" s="7" t="n">
        <v>1171.4</v>
      </c>
      <c r="Z129" s="7" t="n">
        <v>400.6</v>
      </c>
      <c r="AB129" s="7" t="n">
        <v>13578.5</v>
      </c>
    </row>
    <row r="130">
      <c r="A130" s="4" t="inlineStr">
        <is>
          <t>招待费</t>
        </is>
      </c>
      <c r="D130" s="7" t="n">
        <v>17888.1</v>
      </c>
      <c r="F130" s="7" t="n">
        <v>16857.8</v>
      </c>
      <c r="H130" s="7" t="n">
        <v>27232.3</v>
      </c>
      <c r="J130" s="7" t="n">
        <v>10543.2</v>
      </c>
      <c r="L130" s="7" t="n">
        <v>18901.8</v>
      </c>
      <c r="N130" s="7" t="n">
        <v>14292</v>
      </c>
      <c r="P130" s="7" t="n">
        <v>22842.7</v>
      </c>
      <c r="R130" s="7" t="n">
        <v>29189.2</v>
      </c>
      <c r="T130" s="7" t="n">
        <v>4289.3</v>
      </c>
      <c r="V130" s="7" t="n">
        <v>14088.2</v>
      </c>
      <c r="X130" s="7" t="n">
        <v>27749.7</v>
      </c>
      <c r="Z130" s="7" t="n">
        <v>8346.5</v>
      </c>
      <c r="AB130" s="7" t="n">
        <v>212220.8</v>
      </c>
    </row>
    <row r="131">
      <c r="A131" s="4" t="inlineStr">
        <is>
          <t>通讯费</t>
        </is>
      </c>
      <c r="D131" s="7" t="n">
        <v>2255.9</v>
      </c>
      <c r="F131" s="7" t="n">
        <v>1182.6</v>
      </c>
      <c r="H131" s="7" t="n">
        <v>2243.6</v>
      </c>
      <c r="J131" s="7" t="n">
        <v>1191.4</v>
      </c>
      <c r="L131" s="7" t="n">
        <v>2095.4</v>
      </c>
      <c r="N131" s="7" t="n">
        <v>1293.7</v>
      </c>
      <c r="P131" s="7" t="n">
        <v>2777.6</v>
      </c>
      <c r="R131" s="7" t="n">
        <v>2142.6</v>
      </c>
      <c r="T131" s="7" t="n">
        <v>448.5</v>
      </c>
      <c r="V131" s="7" t="n">
        <v>1324</v>
      </c>
      <c r="X131" s="7" t="n">
        <v>2185.3</v>
      </c>
      <c r="Z131" s="7" t="n">
        <v>713.9</v>
      </c>
      <c r="AB131" s="7" t="n">
        <v>19854.5</v>
      </c>
    </row>
    <row r="132">
      <c r="A132" s="4" t="inlineStr">
        <is>
          <t>网络费</t>
        </is>
      </c>
      <c r="D132" s="7" t="n">
        <v>1130.4</v>
      </c>
      <c r="F132" s="7" t="n">
        <v>640.9</v>
      </c>
      <c r="H132" s="7" t="n">
        <v>1262.3</v>
      </c>
      <c r="J132" s="7" t="n">
        <v>1108.1</v>
      </c>
      <c r="L132" s="7" t="n">
        <v>1194.6</v>
      </c>
      <c r="N132" s="7" t="n">
        <v>897.1</v>
      </c>
      <c r="P132" s="7" t="n">
        <v>1374.5</v>
      </c>
      <c r="R132" s="7" t="n">
        <v>1386.6</v>
      </c>
      <c r="T132" s="7" t="n">
        <v>207.6</v>
      </c>
      <c r="V132" s="7" t="n">
        <v>694.6</v>
      </c>
      <c r="X132" s="7" t="n">
        <v>1510.4</v>
      </c>
      <c r="Z132" s="7" t="n">
        <v>544.9</v>
      </c>
      <c r="AB132" s="7" t="n">
        <v>11952</v>
      </c>
    </row>
    <row r="133">
      <c r="A133" s="4" t="inlineStr">
        <is>
          <t>修理费</t>
        </is>
      </c>
      <c r="D133" s="7" t="n">
        <v>1101.6</v>
      </c>
      <c r="F133" s="7" t="n">
        <v>702.7</v>
      </c>
      <c r="H133" s="7" t="n">
        <v>1112.4</v>
      </c>
      <c r="J133" s="7" t="n">
        <v>995.5</v>
      </c>
      <c r="L133" s="7" t="n">
        <v>1450.4</v>
      </c>
      <c r="N133" s="7" t="n">
        <v>832.5</v>
      </c>
      <c r="P133" s="7" t="n">
        <v>1222.6</v>
      </c>
      <c r="R133" s="7" t="n">
        <v>1313.1</v>
      </c>
      <c r="T133" s="7" t="n">
        <v>257.1</v>
      </c>
      <c r="V133" s="7" t="n">
        <v>847.8</v>
      </c>
      <c r="X133" s="7" t="n">
        <v>1307</v>
      </c>
      <c r="Z133" s="7" t="n">
        <v>429</v>
      </c>
      <c r="AB133" s="7" t="n">
        <v>11571.7</v>
      </c>
    </row>
    <row r="134">
      <c r="A134" s="4" t="inlineStr">
        <is>
          <t>车辆费</t>
        </is>
      </c>
      <c r="D134" s="7" t="n">
        <v>2088.4</v>
      </c>
      <c r="F134" s="7" t="n">
        <v>1999.1</v>
      </c>
      <c r="H134" s="7" t="n">
        <v>3060.6</v>
      </c>
      <c r="J134" s="7" t="n">
        <v>2009.9</v>
      </c>
      <c r="L134" s="7" t="n">
        <v>3684.5</v>
      </c>
      <c r="N134" s="7" t="n">
        <v>2096.1</v>
      </c>
      <c r="P134" s="7" t="n">
        <v>3184.1</v>
      </c>
      <c r="R134" s="7" t="n">
        <v>2516.9</v>
      </c>
      <c r="T134" s="7" t="n">
        <v>609.2</v>
      </c>
      <c r="V134" s="7" t="n">
        <v>2506</v>
      </c>
      <c r="X134" s="7" t="n">
        <v>2657.7</v>
      </c>
      <c r="Z134" s="7" t="n">
        <v>1290.8</v>
      </c>
      <c r="AB134" s="7" t="n">
        <v>27703.3</v>
      </c>
    </row>
    <row r="135">
      <c r="A135" s="4" t="inlineStr">
        <is>
          <t>租赁费</t>
        </is>
      </c>
      <c r="D135" s="7" t="n">
        <v>19565.7</v>
      </c>
      <c r="F135" s="7" t="n">
        <v>11724.3</v>
      </c>
      <c r="H135" s="7" t="n">
        <v>29973.7</v>
      </c>
      <c r="J135" s="7" t="n">
        <v>17501.2</v>
      </c>
      <c r="L135" s="7" t="n">
        <v>28577.7</v>
      </c>
      <c r="N135" s="7" t="n">
        <v>13807.2</v>
      </c>
      <c r="P135" s="7" t="n">
        <v>35952.3</v>
      </c>
      <c r="R135" s="7" t="n">
        <v>23752.8</v>
      </c>
      <c r="T135" s="7" t="n">
        <v>4236.9</v>
      </c>
      <c r="V135" s="7" t="n">
        <v>21489.5</v>
      </c>
      <c r="X135" s="7" t="n">
        <v>34204</v>
      </c>
      <c r="Z135" s="7" t="n">
        <v>10792.6</v>
      </c>
      <c r="AB135" s="7" t="n">
        <v>251577.9</v>
      </c>
    </row>
    <row r="136">
      <c r="A136" s="4" t="inlineStr">
        <is>
          <t>能源费</t>
        </is>
      </c>
      <c r="D136" s="7" t="n">
        <v>8329.200000000001</v>
      </c>
      <c r="F136" s="7" t="n">
        <v>6435.7</v>
      </c>
      <c r="H136" s="7" t="n">
        <v>12366.6</v>
      </c>
      <c r="J136" s="7" t="n">
        <v>6986.7</v>
      </c>
      <c r="L136" s="7" t="n">
        <v>9320.799999999999</v>
      </c>
      <c r="N136" s="7" t="n">
        <v>7836.3</v>
      </c>
      <c r="P136" s="7" t="n">
        <v>11480</v>
      </c>
      <c r="R136" s="7" t="n">
        <v>10478</v>
      </c>
      <c r="T136" s="7" t="n">
        <v>1708</v>
      </c>
      <c r="V136" s="7" t="n">
        <v>6981.5</v>
      </c>
      <c r="X136" s="7" t="n">
        <v>9841.4</v>
      </c>
      <c r="Z136" s="7" t="n">
        <v>3371.8</v>
      </c>
      <c r="AB136" s="7" t="n">
        <v>95136</v>
      </c>
    </row>
    <row r="137">
      <c r="A137" s="4" t="inlineStr">
        <is>
          <t>水费</t>
        </is>
      </c>
      <c r="D137" s="7" t="n">
        <v>3474</v>
      </c>
      <c r="F137" s="7" t="n">
        <v>1867.7</v>
      </c>
      <c r="H137" s="7" t="n">
        <v>4513.5</v>
      </c>
      <c r="J137" s="7" t="n">
        <v>3020</v>
      </c>
      <c r="L137" s="7" t="n">
        <v>3218.8</v>
      </c>
      <c r="N137" s="7" t="n">
        <v>2957</v>
      </c>
      <c r="P137" s="7" t="n">
        <v>3642.3</v>
      </c>
      <c r="R137" s="7" t="n">
        <v>3984.2</v>
      </c>
      <c r="T137" s="7" t="n">
        <v>465.5</v>
      </c>
      <c r="V137" s="7" t="n">
        <v>2170.1</v>
      </c>
      <c r="X137" s="7" t="n">
        <v>3463.3</v>
      </c>
      <c r="Z137" s="7" t="n">
        <v>1377.2</v>
      </c>
      <c r="AB137" s="7" t="n">
        <v>34153.6</v>
      </c>
    </row>
    <row r="138">
      <c r="A138" s="4" t="inlineStr">
        <is>
          <t>电费</t>
        </is>
      </c>
      <c r="D138" s="7" t="n">
        <v>2160.5</v>
      </c>
      <c r="F138" s="7" t="n">
        <v>2713.1</v>
      </c>
      <c r="H138" s="7" t="n">
        <v>4373.6</v>
      </c>
      <c r="J138" s="7" t="n">
        <v>1763.1</v>
      </c>
      <c r="L138" s="7" t="n">
        <v>3170.6</v>
      </c>
      <c r="N138" s="7" t="n">
        <v>2964.8</v>
      </c>
      <c r="P138" s="7" t="n">
        <v>4382.4</v>
      </c>
      <c r="R138" s="7" t="n">
        <v>3889.5</v>
      </c>
      <c r="T138" s="7" t="n">
        <v>693.2</v>
      </c>
      <c r="V138" s="7" t="n">
        <v>3016.3</v>
      </c>
      <c r="X138" s="7" t="n">
        <v>2734.3</v>
      </c>
      <c r="Z138" s="7" t="n">
        <v>910.3</v>
      </c>
      <c r="AB138" s="7" t="n">
        <v>32771.7</v>
      </c>
    </row>
    <row r="139">
      <c r="A139" s="4" t="inlineStr">
        <is>
          <t>燃气费</t>
        </is>
      </c>
      <c r="D139" s="7" t="n">
        <v>1166.7</v>
      </c>
      <c r="F139" s="7" t="n">
        <v>596.7</v>
      </c>
      <c r="H139" s="7" t="n">
        <v>1754.1</v>
      </c>
      <c r="J139" s="7" t="n">
        <v>1087.8</v>
      </c>
      <c r="L139" s="7" t="n">
        <v>1144.7</v>
      </c>
      <c r="N139" s="7" t="n">
        <v>951.4</v>
      </c>
      <c r="P139" s="7" t="n">
        <v>1748.2</v>
      </c>
      <c r="R139" s="7" t="n">
        <v>1042.8</v>
      </c>
      <c r="T139" s="7" t="n">
        <v>167.1</v>
      </c>
      <c r="V139" s="7" t="n">
        <v>868</v>
      </c>
      <c r="X139" s="7" t="n">
        <v>1722.8</v>
      </c>
      <c r="Z139" s="7" t="n">
        <v>521</v>
      </c>
      <c r="AB139" s="7" t="n">
        <v>12771.3</v>
      </c>
    </row>
    <row r="140">
      <c r="A140" s="4" t="inlineStr">
        <is>
          <t>蒸汽费</t>
        </is>
      </c>
      <c r="D140" s="7" t="n">
        <v>1528</v>
      </c>
      <c r="F140" s="7" t="n">
        <v>1258.2</v>
      </c>
      <c r="H140" s="7" t="n">
        <v>1725.4</v>
      </c>
      <c r="J140" s="7" t="n">
        <v>1115.8</v>
      </c>
      <c r="L140" s="7" t="n">
        <v>1786.7</v>
      </c>
      <c r="N140" s="7" t="n">
        <v>963.1</v>
      </c>
      <c r="P140" s="7" t="n">
        <v>1707.1</v>
      </c>
      <c r="R140" s="7" t="n">
        <v>1561.5</v>
      </c>
      <c r="T140" s="7" t="n">
        <v>382.2</v>
      </c>
      <c r="V140" s="7" t="n">
        <v>927.1</v>
      </c>
      <c r="X140" s="7" t="n">
        <v>1921</v>
      </c>
      <c r="Z140" s="7" t="n">
        <v>563.3</v>
      </c>
      <c r="AB140" s="7" t="n">
        <v>15439.4</v>
      </c>
    </row>
    <row r="141">
      <c r="A141" s="4" t="inlineStr">
        <is>
          <t>物业费</t>
        </is>
      </c>
      <c r="D141" s="7" t="n">
        <v>2044.4</v>
      </c>
      <c r="F141" s="7" t="n">
        <v>1312.4</v>
      </c>
      <c r="H141" s="7" t="n">
        <v>2141.9</v>
      </c>
      <c r="J141" s="7" t="n">
        <v>1498.5</v>
      </c>
      <c r="L141" s="7" t="n">
        <v>1483.2</v>
      </c>
      <c r="N141" s="7" t="n">
        <v>1371.3</v>
      </c>
      <c r="P141" s="7" t="n">
        <v>2767.6</v>
      </c>
      <c r="R141" s="7" t="n">
        <v>2604.3</v>
      </c>
      <c r="T141" s="7" t="n">
        <v>281.5</v>
      </c>
      <c r="V141" s="7" t="n">
        <v>1102.2</v>
      </c>
      <c r="X141" s="7" t="n">
        <v>1787.1</v>
      </c>
      <c r="Z141" s="7" t="n">
        <v>788.9</v>
      </c>
      <c r="AB141" s="7" t="n">
        <v>19183.3</v>
      </c>
    </row>
    <row r="142">
      <c r="A142" s="4" t="inlineStr">
        <is>
          <t>劳动保护费</t>
        </is>
      </c>
      <c r="D142" s="7" t="n">
        <v>320.1</v>
      </c>
      <c r="F142" s="7" t="n">
        <v>252.2</v>
      </c>
      <c r="H142" s="7" t="n">
        <v>495.5</v>
      </c>
      <c r="J142" s="7" t="n">
        <v>401</v>
      </c>
      <c r="L142" s="7" t="n">
        <v>420.7</v>
      </c>
      <c r="N142" s="7" t="n">
        <v>285</v>
      </c>
      <c r="P142" s="7" t="n">
        <v>645.7</v>
      </c>
      <c r="R142" s="7" t="n">
        <v>652.1</v>
      </c>
      <c r="T142" s="7" t="n">
        <v>85.2</v>
      </c>
      <c r="V142" s="7" t="n">
        <v>416.7</v>
      </c>
      <c r="X142" s="7" t="n">
        <v>388.8</v>
      </c>
      <c r="Z142" s="7" t="n">
        <v>116.6</v>
      </c>
      <c r="AB142" s="7" t="n">
        <v>4479.6</v>
      </c>
    </row>
    <row r="143">
      <c r="A143" s="4" t="inlineStr">
        <is>
          <t>顾问费</t>
        </is>
      </c>
      <c r="D143" s="7" t="n">
        <v>2286.6</v>
      </c>
      <c r="F143" s="7" t="n">
        <v>1984.3</v>
      </c>
      <c r="H143" s="7" t="n">
        <v>3459</v>
      </c>
      <c r="J143" s="7" t="n">
        <v>1984.1</v>
      </c>
      <c r="L143" s="7" t="n">
        <v>2252.3</v>
      </c>
      <c r="N143" s="7" t="n">
        <v>2012.8</v>
      </c>
      <c r="P143" s="7" t="n">
        <v>3922</v>
      </c>
      <c r="R143" s="7" t="n">
        <v>2174.7</v>
      </c>
      <c r="T143" s="7" t="n">
        <v>492.1</v>
      </c>
      <c r="V143" s="7" t="n">
        <v>2382.4</v>
      </c>
      <c r="X143" s="7" t="n">
        <v>1887.3</v>
      </c>
      <c r="Z143" s="7" t="n">
        <v>864.9</v>
      </c>
      <c r="AB143" s="7" t="n">
        <v>25702.5</v>
      </c>
    </row>
    <row r="144">
      <c r="A144" s="4" t="inlineStr">
        <is>
          <t>快递费</t>
        </is>
      </c>
      <c r="D144" s="7" t="n">
        <v>1094.3</v>
      </c>
      <c r="F144" s="7" t="n">
        <v>726.8</v>
      </c>
      <c r="H144" s="7" t="n">
        <v>1786.5</v>
      </c>
      <c r="J144" s="7" t="n">
        <v>674</v>
      </c>
      <c r="L144" s="7" t="n">
        <v>1004.8</v>
      </c>
      <c r="N144" s="7" t="n">
        <v>747.5</v>
      </c>
      <c r="P144" s="7" t="n">
        <v>1419.9</v>
      </c>
      <c r="R144" s="7" t="n">
        <v>1761.8</v>
      </c>
      <c r="T144" s="7" t="n">
        <v>248.6</v>
      </c>
      <c r="V144" s="7" t="n">
        <v>1185.6</v>
      </c>
      <c r="X144" s="7" t="n">
        <v>1342</v>
      </c>
      <c r="Z144" s="7" t="n">
        <v>432.2</v>
      </c>
      <c r="AB144" s="7" t="n">
        <v>12424</v>
      </c>
    </row>
    <row r="145">
      <c r="A145" s="4" t="inlineStr">
        <is>
          <t>诉讼费</t>
        </is>
      </c>
      <c r="D145" s="7" t="n">
        <v>1882.5</v>
      </c>
      <c r="F145" s="7" t="n">
        <v>912.5</v>
      </c>
      <c r="H145" s="7" t="n">
        <v>2067.4</v>
      </c>
      <c r="J145" s="7" t="n">
        <v>975.4</v>
      </c>
      <c r="L145" s="7" t="n">
        <v>2231</v>
      </c>
      <c r="N145" s="7" t="n">
        <v>1663.2</v>
      </c>
      <c r="P145" s="7" t="n">
        <v>2548.6</v>
      </c>
      <c r="R145" s="7" t="n">
        <v>1864.5</v>
      </c>
      <c r="T145" s="7" t="n">
        <v>315.5</v>
      </c>
      <c r="V145" s="7" t="n">
        <v>1739</v>
      </c>
      <c r="X145" s="7" t="n">
        <v>2409.3</v>
      </c>
      <c r="Z145" s="7" t="n">
        <v>663.2</v>
      </c>
      <c r="AB145" s="7" t="n">
        <v>19272.1</v>
      </c>
    </row>
    <row r="146">
      <c r="A146" s="4" t="inlineStr">
        <is>
          <t>会员费</t>
        </is>
      </c>
      <c r="D146" s="7" t="n">
        <v>2046.3</v>
      </c>
      <c r="F146" s="7" t="n">
        <v>1852.7</v>
      </c>
      <c r="H146" s="7" t="n">
        <v>2104.4</v>
      </c>
      <c r="J146" s="7" t="n">
        <v>2153.9</v>
      </c>
      <c r="L146" s="7" t="n">
        <v>2162.5</v>
      </c>
      <c r="N146" s="7" t="n">
        <v>2231.1</v>
      </c>
      <c r="P146" s="7" t="n">
        <v>2807.9</v>
      </c>
      <c r="R146" s="7" t="n">
        <v>2434.8</v>
      </c>
      <c r="T146" s="7" t="n">
        <v>369.3</v>
      </c>
      <c r="V146" s="7" t="n">
        <v>1575.2</v>
      </c>
      <c r="X146" s="7" t="n">
        <v>2021.5</v>
      </c>
      <c r="Z146" s="7" t="n">
        <v>967.5</v>
      </c>
      <c r="AB146" s="7" t="n">
        <v>22727.1</v>
      </c>
    </row>
    <row r="147">
      <c r="A147" s="4" t="inlineStr">
        <is>
          <t>广告宣传费</t>
        </is>
      </c>
      <c r="D147" s="7" t="n">
        <v>15852.2</v>
      </c>
      <c r="F147" s="7" t="n">
        <v>7361</v>
      </c>
      <c r="H147" s="7" t="n">
        <v>20476.4</v>
      </c>
      <c r="J147" s="7" t="n">
        <v>12532.1</v>
      </c>
      <c r="L147" s="7" t="n">
        <v>11279.1</v>
      </c>
      <c r="N147" s="7" t="n">
        <v>8419.4</v>
      </c>
      <c r="P147" s="7" t="n">
        <v>25186.2</v>
      </c>
      <c r="R147" s="7" t="n">
        <v>17592.1</v>
      </c>
      <c r="T147" s="7" t="n">
        <v>2099.5</v>
      </c>
      <c r="V147" s="7" t="n">
        <v>9355.700000000001</v>
      </c>
      <c r="X147" s="7" t="n">
        <v>13807.7</v>
      </c>
      <c r="Z147" s="7" t="n">
        <v>3847.4</v>
      </c>
      <c r="AB147" s="7" t="n">
        <v>147808.8</v>
      </c>
    </row>
    <row r="148">
      <c r="A148" s="4" t="inlineStr">
        <is>
          <t>会务费</t>
        </is>
      </c>
      <c r="D148" s="7" t="n">
        <v>2278.2</v>
      </c>
      <c r="F148" s="7" t="n">
        <v>1682.3</v>
      </c>
      <c r="H148" s="7" t="n">
        <v>3211.7</v>
      </c>
      <c r="J148" s="7" t="n">
        <v>1304.1</v>
      </c>
      <c r="L148" s="7" t="n">
        <v>2814.6</v>
      </c>
      <c r="N148" s="7" t="n">
        <v>1302.8</v>
      </c>
      <c r="P148" s="7" t="n">
        <v>2847.2</v>
      </c>
      <c r="R148" s="7" t="n">
        <v>1921.2</v>
      </c>
      <c r="T148" s="7" t="n">
        <v>502.9</v>
      </c>
      <c r="V148" s="7" t="n">
        <v>2239.1</v>
      </c>
      <c r="X148" s="7" t="n">
        <v>3002.3</v>
      </c>
      <c r="Z148" s="7" t="n">
        <v>689.6</v>
      </c>
      <c r="AB148" s="7" t="n">
        <v>23796</v>
      </c>
    </row>
    <row r="149">
      <c r="A149" s="4" t="inlineStr">
        <is>
          <t>装修费</t>
        </is>
      </c>
      <c r="D149" s="7" t="n">
        <v>475.5</v>
      </c>
      <c r="F149" s="7" t="n">
        <v>393.4</v>
      </c>
      <c r="H149" s="7" t="n">
        <v>521.4</v>
      </c>
      <c r="J149" s="7" t="n">
        <v>397</v>
      </c>
      <c r="L149" s="7" t="n">
        <v>414.4</v>
      </c>
      <c r="N149" s="7" t="n">
        <v>404.5</v>
      </c>
      <c r="P149" s="7" t="n">
        <v>532.5</v>
      </c>
      <c r="R149" s="7" t="n">
        <v>508.4</v>
      </c>
      <c r="T149" s="7" t="n">
        <v>81.59999999999999</v>
      </c>
      <c r="V149" s="7" t="n">
        <v>369.9</v>
      </c>
      <c r="X149" s="7" t="n">
        <v>706</v>
      </c>
      <c r="Z149" s="7" t="n">
        <v>186.6</v>
      </c>
      <c r="AB149" s="7" t="n">
        <v>4991.2</v>
      </c>
    </row>
    <row r="150">
      <c r="A150" s="4" t="inlineStr">
        <is>
          <t>推广费</t>
        </is>
      </c>
      <c r="D150" s="7" t="n">
        <v>2188.2</v>
      </c>
      <c r="F150" s="7" t="n">
        <v>1738</v>
      </c>
      <c r="H150" s="7" t="n">
        <v>3750.3</v>
      </c>
      <c r="J150" s="7" t="n">
        <v>2598.2</v>
      </c>
      <c r="L150" s="7" t="n">
        <v>3043.3</v>
      </c>
      <c r="N150" s="7" t="n">
        <v>2468.7</v>
      </c>
      <c r="P150" s="7" t="n">
        <v>4393.2</v>
      </c>
      <c r="R150" s="7" t="n">
        <v>4733.6</v>
      </c>
      <c r="T150" s="7" t="n">
        <v>491.1</v>
      </c>
      <c r="V150" s="7" t="n">
        <v>2356.3</v>
      </c>
      <c r="X150" s="7" t="n">
        <v>3200.4</v>
      </c>
      <c r="Z150" s="7" t="n">
        <v>917</v>
      </c>
      <c r="AB150" s="7" t="n">
        <v>31878.3</v>
      </c>
    </row>
    <row r="151">
      <c r="A151" s="4" t="inlineStr">
        <is>
          <t>展会费</t>
        </is>
      </c>
      <c r="D151" s="7" t="n">
        <v>517.2</v>
      </c>
      <c r="F151" s="7" t="n">
        <v>632.9</v>
      </c>
      <c r="H151" s="7" t="n">
        <v>676.9</v>
      </c>
      <c r="J151" s="7" t="n">
        <v>413.7</v>
      </c>
      <c r="L151" s="7" t="n">
        <v>604.3</v>
      </c>
      <c r="N151" s="7" t="n">
        <v>633.8</v>
      </c>
      <c r="P151" s="7" t="n">
        <v>1196.3</v>
      </c>
      <c r="R151" s="7" t="n">
        <v>897.7</v>
      </c>
      <c r="T151" s="7" t="n">
        <v>102.8</v>
      </c>
      <c r="V151" s="7" t="n">
        <v>541.1</v>
      </c>
      <c r="X151" s="7" t="n">
        <v>620.4</v>
      </c>
      <c r="Z151" s="7" t="n">
        <v>225.1</v>
      </c>
      <c r="AB151" s="7" t="n">
        <v>7062.2</v>
      </c>
    </row>
    <row r="152">
      <c r="A152" s="4" t="inlineStr">
        <is>
          <t>设计费</t>
        </is>
      </c>
      <c r="D152" s="7" t="n">
        <v>1576.9</v>
      </c>
      <c r="F152" s="7" t="n">
        <v>1663.5</v>
      </c>
      <c r="H152" s="7" t="n">
        <v>2229.4</v>
      </c>
      <c r="J152" s="7" t="n">
        <v>1470.7</v>
      </c>
      <c r="L152" s="7" t="n">
        <v>1783.9</v>
      </c>
      <c r="N152" s="7" t="n">
        <v>1753</v>
      </c>
      <c r="P152" s="7" t="n">
        <v>2286.1</v>
      </c>
      <c r="R152" s="7" t="n">
        <v>1698.7</v>
      </c>
      <c r="T152" s="7" t="n">
        <v>451.2</v>
      </c>
      <c r="V152" s="7" t="n">
        <v>1568.5</v>
      </c>
      <c r="X152" s="7" t="n">
        <v>2355.9</v>
      </c>
      <c r="Z152" s="7" t="n">
        <v>551.2</v>
      </c>
      <c r="AB152" s="7" t="n">
        <v>19389</v>
      </c>
    </row>
    <row r="153">
      <c r="A153" s="4" t="inlineStr">
        <is>
          <t>折旧费</t>
        </is>
      </c>
      <c r="D153" s="7" t="n">
        <v>23462.6</v>
      </c>
      <c r="F153" s="7" t="n">
        <v>13079.3</v>
      </c>
      <c r="H153" s="7" t="n">
        <v>17886.2</v>
      </c>
      <c r="J153" s="7" t="n">
        <v>13936.7</v>
      </c>
      <c r="L153" s="7" t="n">
        <v>22700.4</v>
      </c>
      <c r="N153" s="7" t="n">
        <v>11024.9</v>
      </c>
      <c r="P153" s="7" t="n">
        <v>22448.6</v>
      </c>
      <c r="R153" s="7" t="n">
        <v>21880.6</v>
      </c>
      <c r="T153" s="7" t="n">
        <v>4012.4</v>
      </c>
      <c r="V153" s="7" t="n">
        <v>12307.4</v>
      </c>
      <c r="X153" s="7" t="n">
        <v>27128.3</v>
      </c>
      <c r="Z153" s="7" t="n">
        <v>8922.9</v>
      </c>
      <c r="AB153" s="7" t="n">
        <v>198790.3</v>
      </c>
    </row>
    <row r="154">
      <c r="A154" s="4" t="inlineStr">
        <is>
          <t>认证费</t>
        </is>
      </c>
      <c r="D154" s="7" t="n">
        <v>246.2</v>
      </c>
      <c r="F154" s="7" t="n">
        <v>125.9</v>
      </c>
      <c r="H154" s="7" t="n">
        <v>262.8</v>
      </c>
      <c r="J154" s="7" t="n">
        <v>198.8</v>
      </c>
      <c r="L154" s="7" t="n">
        <v>170.1</v>
      </c>
      <c r="N154" s="7" t="n">
        <v>187.3</v>
      </c>
      <c r="P154" s="7" t="n">
        <v>343.9</v>
      </c>
      <c r="R154" s="7" t="n">
        <v>214</v>
      </c>
      <c r="T154" s="7" t="n">
        <v>45.5</v>
      </c>
      <c r="V154" s="7" t="n">
        <v>180</v>
      </c>
      <c r="X154" s="7" t="n">
        <v>198</v>
      </c>
      <c r="Z154" s="7" t="n">
        <v>86.3</v>
      </c>
      <c r="AB154" s="7" t="n">
        <v>2258.8</v>
      </c>
    </row>
    <row r="155">
      <c r="A155" s="4" t="inlineStr">
        <is>
          <t>样品费</t>
        </is>
      </c>
      <c r="D155" s="7" t="n">
        <v>9808.6</v>
      </c>
      <c r="F155" s="7" t="n">
        <v>6179.1</v>
      </c>
      <c r="H155" s="7" t="n">
        <v>11549.4</v>
      </c>
      <c r="J155" s="7" t="n">
        <v>7685.3</v>
      </c>
      <c r="L155" s="7" t="n">
        <v>9770</v>
      </c>
      <c r="N155" s="7" t="n">
        <v>7272</v>
      </c>
      <c r="P155" s="7" t="n">
        <v>12385.5</v>
      </c>
      <c r="R155" s="7" t="n">
        <v>13504.7</v>
      </c>
      <c r="T155" s="7" t="n">
        <v>1455.3</v>
      </c>
      <c r="V155" s="7" t="n">
        <v>6876.4</v>
      </c>
      <c r="X155" s="7" t="n">
        <v>10788.9</v>
      </c>
      <c r="Z155" s="7" t="n">
        <v>3734.4</v>
      </c>
      <c r="AB155" s="7" t="n">
        <v>101009.6</v>
      </c>
    </row>
    <row r="156">
      <c r="A156" s="4" t="inlineStr">
        <is>
          <t>劳务费</t>
        </is>
      </c>
      <c r="D156" s="7" t="n">
        <v>302.8</v>
      </c>
      <c r="F156" s="7" t="n">
        <v>212.2</v>
      </c>
      <c r="H156" s="7" t="n">
        <v>383.2</v>
      </c>
      <c r="J156" s="7" t="n">
        <v>353.5</v>
      </c>
      <c r="L156" s="7" t="n">
        <v>587</v>
      </c>
      <c r="N156" s="7" t="n">
        <v>301.1</v>
      </c>
      <c r="P156" s="7" t="n">
        <v>698</v>
      </c>
      <c r="R156" s="7" t="n">
        <v>406.5</v>
      </c>
      <c r="T156" s="7" t="n">
        <v>90.09999999999999</v>
      </c>
      <c r="V156" s="7" t="n">
        <v>270.4</v>
      </c>
      <c r="X156" s="7" t="n">
        <v>355.8</v>
      </c>
      <c r="Z156" s="7" t="n">
        <v>176.1</v>
      </c>
      <c r="AB156" s="7" t="n">
        <v>4136.7</v>
      </c>
    </row>
    <row r="157">
      <c r="A157" s="4" t="inlineStr">
        <is>
          <t>销售佣金</t>
        </is>
      </c>
      <c r="D157" s="7" t="n">
        <v>2671.5</v>
      </c>
      <c r="F157" s="7" t="n">
        <v>1358.3</v>
      </c>
      <c r="H157" s="7" t="n">
        <v>3236.2</v>
      </c>
      <c r="J157" s="7" t="n">
        <v>1810.7</v>
      </c>
      <c r="L157" s="7" t="n">
        <v>2235.3</v>
      </c>
      <c r="N157" s="7" t="n">
        <v>1673.9</v>
      </c>
      <c r="P157" s="7" t="n">
        <v>4369.3</v>
      </c>
      <c r="R157" s="7" t="n">
        <v>3009.7</v>
      </c>
      <c r="T157" s="7" t="n">
        <v>608.9</v>
      </c>
      <c r="V157" s="7" t="n">
        <v>1463</v>
      </c>
      <c r="X157" s="7" t="n">
        <v>2606.1</v>
      </c>
      <c r="Z157" s="7" t="n">
        <v>1089.8</v>
      </c>
      <c r="AB157" s="7" t="n">
        <v>26132.7</v>
      </c>
    </row>
    <row r="158">
      <c r="A158" s="4" t="inlineStr">
        <is>
          <t>检测费</t>
        </is>
      </c>
      <c r="D158" s="7" t="n">
        <v>1009.4</v>
      </c>
      <c r="F158" s="7" t="n">
        <v>765.4</v>
      </c>
      <c r="H158" s="7" t="n">
        <v>1438.4</v>
      </c>
      <c r="J158" s="7" t="n">
        <v>655.2</v>
      </c>
      <c r="L158" s="7" t="n">
        <v>1347.9</v>
      </c>
      <c r="N158" s="7" t="n">
        <v>1122.9</v>
      </c>
      <c r="P158" s="7" t="n">
        <v>1583.9</v>
      </c>
      <c r="R158" s="7" t="n">
        <v>1644.2</v>
      </c>
      <c r="T158" s="7" t="n">
        <v>238.1</v>
      </c>
      <c r="V158" s="7" t="n">
        <v>794</v>
      </c>
      <c r="X158" s="7" t="n">
        <v>1535.2</v>
      </c>
      <c r="Z158" s="7" t="n">
        <v>432.8</v>
      </c>
      <c r="AB158" s="7" t="n">
        <v>12567.4</v>
      </c>
    </row>
    <row r="159">
      <c r="A159" s="4" t="inlineStr">
        <is>
          <t>质量赔偿</t>
        </is>
      </c>
      <c r="D159" s="7" t="n">
        <v>357.8</v>
      </c>
      <c r="F159" s="7" t="n">
        <v>258.4</v>
      </c>
      <c r="H159" s="7" t="n">
        <v>467</v>
      </c>
      <c r="J159" s="7" t="n">
        <v>270.8</v>
      </c>
      <c r="L159" s="7" t="n">
        <v>366.3</v>
      </c>
      <c r="N159" s="7" t="n">
        <v>319.2</v>
      </c>
      <c r="P159" s="7" t="n">
        <v>514.2</v>
      </c>
      <c r="R159" s="7" t="n">
        <v>390</v>
      </c>
      <c r="T159" s="7" t="n">
        <v>68</v>
      </c>
      <c r="V159" s="7" t="n">
        <v>371.9</v>
      </c>
      <c r="X159" s="7" t="n">
        <v>414.7</v>
      </c>
      <c r="Z159" s="7" t="n">
        <v>113.4</v>
      </c>
      <c r="AB159" s="7" t="n">
        <v>3911.7</v>
      </c>
    </row>
    <row r="160">
      <c r="A160" s="4" t="inlineStr">
        <is>
          <t>保险费</t>
        </is>
      </c>
      <c r="D160" s="7" t="n">
        <v>2582.9</v>
      </c>
      <c r="F160" s="7" t="n">
        <v>1510.5</v>
      </c>
      <c r="H160" s="7" t="n">
        <v>2731.6</v>
      </c>
      <c r="J160" s="7" t="n">
        <v>2789.2</v>
      </c>
      <c r="L160" s="7" t="n">
        <v>3021.3</v>
      </c>
      <c r="N160" s="7" t="n">
        <v>2694.9</v>
      </c>
      <c r="P160" s="7" t="n">
        <v>3278.4</v>
      </c>
      <c r="R160" s="7" t="n">
        <v>4605.4</v>
      </c>
      <c r="T160" s="7" t="n">
        <v>551.9</v>
      </c>
      <c r="V160" s="7" t="n">
        <v>1966</v>
      </c>
      <c r="X160" s="7" t="n">
        <v>3142.5</v>
      </c>
      <c r="Z160" s="7" t="n">
        <v>1016.4</v>
      </c>
      <c r="AB160" s="7" t="n">
        <v>29891</v>
      </c>
    </row>
    <row r="161">
      <c r="A161" s="4" t="inlineStr">
        <is>
          <t>清洁费</t>
        </is>
      </c>
      <c r="D161" s="7" t="n">
        <v>1140.5</v>
      </c>
      <c r="F161" s="7" t="n">
        <v>642.3</v>
      </c>
      <c r="H161" s="7" t="n">
        <v>1469.6</v>
      </c>
      <c r="J161" s="7" t="n">
        <v>879.8</v>
      </c>
      <c r="L161" s="7" t="n">
        <v>1487.6</v>
      </c>
      <c r="N161" s="7" t="n">
        <v>625</v>
      </c>
      <c r="P161" s="7" t="n">
        <v>1452.1</v>
      </c>
      <c r="R161" s="7" t="n">
        <v>1209.3</v>
      </c>
      <c r="T161" s="7" t="n">
        <v>156</v>
      </c>
      <c r="V161" s="7" t="n">
        <v>834.1</v>
      </c>
      <c r="X161" s="7" t="n">
        <v>1215.4</v>
      </c>
      <c r="Z161" s="7" t="n">
        <v>486.4</v>
      </c>
      <c r="AB161" s="7" t="n">
        <v>11598.1</v>
      </c>
    </row>
    <row r="162">
      <c r="A162" s="4" t="inlineStr">
        <is>
          <t>低值易耗品</t>
        </is>
      </c>
      <c r="D162" s="7" t="n">
        <v>2086.7</v>
      </c>
      <c r="F162" s="7" t="n">
        <v>1052.7</v>
      </c>
      <c r="H162" s="7" t="n">
        <v>2439.3</v>
      </c>
      <c r="J162" s="7" t="n">
        <v>1419.1</v>
      </c>
      <c r="L162" s="7" t="n">
        <v>2492.9</v>
      </c>
      <c r="N162" s="7" t="n">
        <v>1266.8</v>
      </c>
      <c r="P162" s="7" t="n">
        <v>2484.5</v>
      </c>
      <c r="R162" s="7" t="n">
        <v>2261.1</v>
      </c>
      <c r="T162" s="7" t="n">
        <v>420</v>
      </c>
      <c r="V162" s="7" t="n">
        <v>1144.6</v>
      </c>
      <c r="X162" s="7" t="n">
        <v>2224.1</v>
      </c>
      <c r="Z162" s="7" t="n">
        <v>582.2</v>
      </c>
      <c r="AB162" s="7" t="n">
        <v>19874</v>
      </c>
    </row>
    <row r="163">
      <c r="A163" s="4" t="inlineStr">
        <is>
          <t>物料消耗</t>
        </is>
      </c>
      <c r="D163" s="7" t="n">
        <v>1725</v>
      </c>
      <c r="F163" s="7" t="n">
        <v>979.1</v>
      </c>
      <c r="H163" s="7" t="n">
        <v>2064.9</v>
      </c>
      <c r="J163" s="7" t="n">
        <v>1095.2</v>
      </c>
      <c r="L163" s="7" t="n">
        <v>1642.9</v>
      </c>
      <c r="N163" s="7" t="n">
        <v>1207.7</v>
      </c>
      <c r="P163" s="7" t="n">
        <v>2844.5</v>
      </c>
      <c r="R163" s="7" t="n">
        <v>2248.2</v>
      </c>
      <c r="T163" s="7" t="n">
        <v>377.7</v>
      </c>
      <c r="V163" s="7" t="n">
        <v>1361.6</v>
      </c>
      <c r="X163" s="7" t="n">
        <v>1554.1</v>
      </c>
      <c r="Z163" s="7" t="n">
        <v>416.4</v>
      </c>
      <c r="AB163" s="7" t="n">
        <v>17517.3</v>
      </c>
    </row>
    <row r="164">
      <c r="A164" s="4" t="inlineStr">
        <is>
          <t>盘盈盘亏</t>
        </is>
      </c>
      <c r="D164" s="7" t="n">
        <v>2775.9</v>
      </c>
      <c r="F164" s="7" t="n">
        <v>1793.7</v>
      </c>
      <c r="H164" s="7" t="n">
        <v>4385.8</v>
      </c>
      <c r="J164" s="7" t="n">
        <v>1785.2</v>
      </c>
      <c r="L164" s="7" t="n">
        <v>4084.4</v>
      </c>
      <c r="N164" s="7" t="n">
        <v>1814.5</v>
      </c>
      <c r="P164" s="7" t="n">
        <v>4207.7</v>
      </c>
      <c r="R164" s="7" t="n">
        <v>2813.4</v>
      </c>
      <c r="T164" s="7" t="n">
        <v>733.8</v>
      </c>
      <c r="V164" s="7" t="n">
        <v>2602</v>
      </c>
      <c r="X164" s="7" t="n">
        <v>2915</v>
      </c>
      <c r="Z164" s="7" t="n">
        <v>1333.4</v>
      </c>
      <c r="AB164" s="7" t="n">
        <v>31244.8</v>
      </c>
    </row>
    <row r="165">
      <c r="A165" s="4" t="inlineStr">
        <is>
          <t>平台服务费</t>
        </is>
      </c>
      <c r="D165" s="7" t="n">
        <v>1699.5</v>
      </c>
      <c r="F165" s="7" t="n">
        <v>1660.2</v>
      </c>
      <c r="H165" s="7" t="n">
        <v>2402.7</v>
      </c>
      <c r="J165" s="7" t="n">
        <v>1583.1</v>
      </c>
      <c r="L165" s="7" t="n">
        <v>1815.6</v>
      </c>
      <c r="N165" s="7" t="n">
        <v>1476.1</v>
      </c>
      <c r="P165" s="7" t="n">
        <v>3279.2</v>
      </c>
      <c r="R165" s="7" t="n">
        <v>2415.5</v>
      </c>
      <c r="T165" s="7" t="n">
        <v>470.7</v>
      </c>
      <c r="V165" s="7" t="n">
        <v>1396.3</v>
      </c>
      <c r="X165" s="7" t="n">
        <v>1641.7</v>
      </c>
      <c r="Z165" s="7" t="n">
        <v>831</v>
      </c>
      <c r="AB165" s="7" t="n">
        <v>20671.6</v>
      </c>
    </row>
    <row r="166">
      <c r="A166" s="4" t="inlineStr">
        <is>
          <t>无形资产摊销</t>
        </is>
      </c>
      <c r="D166" s="7" t="n">
        <v>2671.8</v>
      </c>
      <c r="F166" s="7" t="n">
        <v>1538.9</v>
      </c>
      <c r="H166" s="7" t="n">
        <v>4234</v>
      </c>
      <c r="J166" s="7" t="n">
        <v>2344.6</v>
      </c>
      <c r="L166" s="7" t="n">
        <v>2874.1</v>
      </c>
      <c r="N166" s="7" t="n">
        <v>2620.8</v>
      </c>
      <c r="P166" s="7" t="n">
        <v>4118.5</v>
      </c>
      <c r="R166" s="7" t="n">
        <v>3516.7</v>
      </c>
      <c r="T166" s="7" t="n">
        <v>625.1</v>
      </c>
      <c r="V166" s="7" t="n">
        <v>2196.2</v>
      </c>
      <c r="X166" s="7" t="n">
        <v>3178</v>
      </c>
      <c r="Z166" s="7" t="n">
        <v>1055.3</v>
      </c>
      <c r="AB166" s="7" t="n">
        <v>30974</v>
      </c>
    </row>
    <row r="167">
      <c r="A167" s="4" t="inlineStr">
        <is>
          <t>研发材料</t>
        </is>
      </c>
      <c r="D167" s="7" t="n">
        <v>1420.2</v>
      </c>
      <c r="F167" s="7" t="n">
        <v>887.6</v>
      </c>
      <c r="H167" s="7" t="n">
        <v>1585.9</v>
      </c>
      <c r="J167" s="7" t="n">
        <v>1377.1</v>
      </c>
      <c r="L167" s="7" t="n">
        <v>1562.1</v>
      </c>
      <c r="N167" s="7" t="n">
        <v>1208.2</v>
      </c>
      <c r="P167" s="7" t="n">
        <v>2179.2</v>
      </c>
      <c r="R167" s="7" t="n">
        <v>2386.9</v>
      </c>
      <c r="T167" s="7" t="n">
        <v>240.7</v>
      </c>
      <c r="V167" s="7" t="n">
        <v>1138.3</v>
      </c>
      <c r="X167" s="7" t="n">
        <v>1753.3</v>
      </c>
      <c r="Z167" s="7" t="n">
        <v>709</v>
      </c>
      <c r="AB167" s="7" t="n">
        <v>16448.5</v>
      </c>
    </row>
    <row r="168">
      <c r="A168" s="4" t="inlineStr">
        <is>
          <t>项目名称</t>
        </is>
      </c>
      <c r="D168" s="7" t="n">
        <v>1633.1</v>
      </c>
      <c r="F168" s="7" t="n">
        <v>1476.7</v>
      </c>
      <c r="H168" s="7" t="n">
        <v>2342.2</v>
      </c>
      <c r="J168" s="7" t="n">
        <v>1177.5</v>
      </c>
      <c r="L168" s="7" t="n">
        <v>1789.5</v>
      </c>
      <c r="N168" s="7" t="n">
        <v>1317.4</v>
      </c>
      <c r="P168" s="7" t="n">
        <v>3618.6</v>
      </c>
      <c r="R168" s="7" t="n">
        <v>2411.3</v>
      </c>
      <c r="T168" s="7" t="n">
        <v>417.5</v>
      </c>
      <c r="V168" s="7" t="n">
        <v>1647.1</v>
      </c>
      <c r="X168" s="7" t="n">
        <v>2490.8</v>
      </c>
      <c r="Z168" s="7" t="n">
        <v>530.4</v>
      </c>
      <c r="AB168" s="7" t="n">
        <v>20852.1</v>
      </c>
    </row>
    <row r="169">
      <c r="A169" s="4" t="inlineStr">
        <is>
          <t>研发费</t>
        </is>
      </c>
      <c r="D169" s="7" t="n">
        <v>368.9</v>
      </c>
      <c r="F169" s="7" t="n">
        <v>293.6</v>
      </c>
      <c r="H169" s="7" t="n">
        <v>723.8</v>
      </c>
      <c r="J169" s="7" t="n">
        <v>414.1</v>
      </c>
      <c r="L169" s="7" t="n">
        <v>436.2</v>
      </c>
      <c r="N169" s="7" t="n">
        <v>464.6</v>
      </c>
      <c r="P169" s="7" t="n">
        <v>953.7</v>
      </c>
      <c r="R169" s="7" t="n">
        <v>602.7</v>
      </c>
      <c r="T169" s="7" t="n">
        <v>70.8</v>
      </c>
      <c r="V169" s="7" t="n">
        <v>513.6</v>
      </c>
      <c r="X169" s="7" t="n">
        <v>423.7</v>
      </c>
      <c r="Z169" s="7" t="n">
        <v>192.2</v>
      </c>
      <c r="AB169" s="7" t="n">
        <v>5457.9</v>
      </c>
    </row>
    <row r="170">
      <c r="A170" s="4" t="inlineStr">
        <is>
          <t>残保金</t>
        </is>
      </c>
      <c r="D170" s="7" t="n">
        <v>3184.2</v>
      </c>
      <c r="F170" s="7" t="n">
        <v>1764.4</v>
      </c>
      <c r="H170" s="7" t="n">
        <v>3059</v>
      </c>
      <c r="J170" s="7" t="n">
        <v>2252.1</v>
      </c>
      <c r="L170" s="7" t="n">
        <v>2222.4</v>
      </c>
      <c r="N170" s="7" t="n">
        <v>2641.8</v>
      </c>
      <c r="P170" s="7" t="n">
        <v>4606.3</v>
      </c>
      <c r="R170" s="7" t="n">
        <v>2594.4</v>
      </c>
      <c r="T170" s="7" t="n">
        <v>415</v>
      </c>
      <c r="V170" s="7" t="n">
        <v>2622.4</v>
      </c>
      <c r="X170" s="7" t="n">
        <v>3870.6</v>
      </c>
      <c r="Z170" s="7" t="n">
        <v>998.8</v>
      </c>
      <c r="AB170" s="7" t="n">
        <v>30231.4</v>
      </c>
    </row>
    <row r="171">
      <c r="A171" s="4" t="inlineStr">
        <is>
          <t>环保费</t>
        </is>
      </c>
      <c r="D171" s="7" t="n">
        <v>3116.3</v>
      </c>
      <c r="F171" s="7" t="n">
        <v>2249</v>
      </c>
      <c r="H171" s="7" t="n">
        <v>2711</v>
      </c>
      <c r="J171" s="7" t="n">
        <v>2421</v>
      </c>
      <c r="L171" s="7" t="n">
        <v>2374.3</v>
      </c>
      <c r="N171" s="7" t="n">
        <v>1542.9</v>
      </c>
      <c r="P171" s="7" t="n">
        <v>4595.4</v>
      </c>
      <c r="R171" s="7" t="n">
        <v>2838.2</v>
      </c>
      <c r="T171" s="7" t="n">
        <v>543.3</v>
      </c>
      <c r="V171" s="7" t="n">
        <v>2052.6</v>
      </c>
      <c r="X171" s="7" t="n">
        <v>3374.9</v>
      </c>
      <c r="Z171" s="7" t="n">
        <v>793.1</v>
      </c>
      <c r="AB171" s="7" t="n">
        <v>28612</v>
      </c>
    </row>
    <row r="172">
      <c r="A172" s="4" t="inlineStr">
        <is>
          <t>报废损失</t>
        </is>
      </c>
      <c r="D172" s="7" t="n">
        <v>984.7</v>
      </c>
      <c r="F172" s="7" t="n">
        <v>733.6</v>
      </c>
      <c r="H172" s="7" t="n">
        <v>2083</v>
      </c>
      <c r="J172" s="7" t="n">
        <v>967</v>
      </c>
      <c r="L172" s="7" t="n">
        <v>1225.1</v>
      </c>
      <c r="N172" s="7" t="n">
        <v>1072.3</v>
      </c>
      <c r="P172" s="7" t="n">
        <v>1968.4</v>
      </c>
      <c r="R172" s="7" t="n">
        <v>1491.7</v>
      </c>
      <c r="T172" s="7" t="n">
        <v>334.8</v>
      </c>
      <c r="V172" s="7" t="n">
        <v>997.6</v>
      </c>
      <c r="X172" s="7" t="n">
        <v>1429.8</v>
      </c>
      <c r="Z172" s="7" t="n">
        <v>533.4</v>
      </c>
      <c r="AB172" s="7" t="n">
        <v>13821.4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250107.2</v>
      </c>
      <c r="D173" s="7" t="n">
        <v>228643.9</v>
      </c>
      <c r="E173" s="7" t="n">
        <v>257071</v>
      </c>
      <c r="F173" s="7" t="n">
        <v>193036.6</v>
      </c>
      <c r="G173" s="7" t="n">
        <v>218098.3</v>
      </c>
      <c r="H173" s="7" t="n">
        <v>293305.9</v>
      </c>
      <c r="I173" s="7" t="n">
        <v>240316.3</v>
      </c>
      <c r="J173" s="7" t="n">
        <v>172512.2</v>
      </c>
      <c r="K173" s="7" t="n">
        <v>223037.4</v>
      </c>
      <c r="L173" s="7" t="n">
        <v>317594.8</v>
      </c>
      <c r="M173" s="7" t="n">
        <v>269113.7</v>
      </c>
      <c r="N173" s="7" t="n">
        <v>169130.1</v>
      </c>
      <c r="O173" s="7" t="n">
        <v>226840.6</v>
      </c>
      <c r="P173" s="7" t="n">
        <v>110832.6</v>
      </c>
      <c r="Q173" s="7" t="n">
        <v>258735.2</v>
      </c>
      <c r="R173" s="7" t="n">
        <v>491413.6</v>
      </c>
      <c r="S173" s="7" t="n">
        <v>209750.4</v>
      </c>
      <c r="T173" s="7" t="n">
        <v>70358.5</v>
      </c>
      <c r="U173" s="7" t="n">
        <v>262617.5</v>
      </c>
      <c r="V173" s="7" t="n">
        <v>422827.4</v>
      </c>
      <c r="W173" s="7" t="n">
        <v>261957.1</v>
      </c>
      <c r="X173" s="7" t="n">
        <v>234373.7</v>
      </c>
      <c r="Y173" s="7" t="n">
        <v>228658.6</v>
      </c>
      <c r="Z173" s="7" t="n">
        <v>134859.6</v>
      </c>
      <c r="AA173" s="8" t="n">
        <v>2906303.3</v>
      </c>
      <c r="AB173" s="8" t="n">
        <v>2838888.9</v>
      </c>
    </row>
    <row r="174">
      <c r="A174" s="4" t="inlineStr">
        <is>
          <t>职工薪酬</t>
        </is>
      </c>
      <c r="D174" s="7" t="n">
        <v>137782.6</v>
      </c>
      <c r="F174" s="7" t="n">
        <v>96839.10000000001</v>
      </c>
      <c r="H174" s="7" t="n">
        <v>127679.2</v>
      </c>
      <c r="J174" s="7" t="n">
        <v>100567.7</v>
      </c>
      <c r="L174" s="7" t="n">
        <v>182012.6</v>
      </c>
      <c r="N174" s="7" t="n">
        <v>101669.6</v>
      </c>
      <c r="P174" s="7" t="n">
        <v>56894.1</v>
      </c>
      <c r="R174" s="7" t="n">
        <v>251691.4</v>
      </c>
      <c r="T174" s="7" t="n">
        <v>40897.8</v>
      </c>
      <c r="V174" s="7" t="n">
        <v>232458.1</v>
      </c>
      <c r="X174" s="7" t="n">
        <v>144263.8</v>
      </c>
      <c r="Z174" s="7" t="n">
        <v>82060.89999999999</v>
      </c>
      <c r="AB174" s="7" t="n">
        <v>1554816.9</v>
      </c>
    </row>
    <row r="175">
      <c r="A175" s="4" t="inlineStr">
        <is>
          <t>工资</t>
        </is>
      </c>
      <c r="D175" s="7" t="n">
        <v>79571.10000000001</v>
      </c>
      <c r="F175" s="7" t="n">
        <v>54654.8</v>
      </c>
      <c r="H175" s="7" t="n">
        <v>63383</v>
      </c>
      <c r="J175" s="7" t="n">
        <v>63132.6</v>
      </c>
      <c r="L175" s="7" t="n">
        <v>113754.7</v>
      </c>
      <c r="N175" s="7" t="n">
        <v>64149.2</v>
      </c>
      <c r="P175" s="7" t="n">
        <v>32673.1</v>
      </c>
      <c r="R175" s="7" t="n">
        <v>139725.1</v>
      </c>
      <c r="T175" s="7" t="n">
        <v>25428.2</v>
      </c>
      <c r="V175" s="7" t="n">
        <v>143393.2</v>
      </c>
      <c r="X175" s="7" t="n">
        <v>86206.60000000001</v>
      </c>
      <c r="Z175" s="7" t="n">
        <v>48231.7</v>
      </c>
      <c r="AB175" s="7" t="n">
        <v>914303.3</v>
      </c>
    </row>
    <row r="176">
      <c r="A176" s="4" t="inlineStr">
        <is>
          <t>奖金及提成</t>
        </is>
      </c>
      <c r="D176" s="7" t="n">
        <v>27314.7</v>
      </c>
      <c r="F176" s="7" t="n">
        <v>21602.5</v>
      </c>
      <c r="H176" s="7" t="n">
        <v>29442.1</v>
      </c>
      <c r="J176" s="7" t="n">
        <v>15717.8</v>
      </c>
      <c r="L176" s="7" t="n">
        <v>33705.4</v>
      </c>
      <c r="N176" s="7" t="n">
        <v>20093.6</v>
      </c>
      <c r="P176" s="7" t="n">
        <v>12664.5</v>
      </c>
      <c r="R176" s="7" t="n">
        <v>47763.3</v>
      </c>
      <c r="T176" s="7" t="n">
        <v>5040.6</v>
      </c>
      <c r="V176" s="7" t="n">
        <v>30919.6</v>
      </c>
      <c r="X176" s="7" t="n">
        <v>25428.5</v>
      </c>
      <c r="Z176" s="7" t="n">
        <v>14539.1</v>
      </c>
      <c r="AB176" s="7" t="n">
        <v>284231.7</v>
      </c>
    </row>
    <row r="177">
      <c r="A177" s="4" t="inlineStr">
        <is>
          <t>社保</t>
        </is>
      </c>
      <c r="D177" s="7" t="n">
        <v>21485.4</v>
      </c>
      <c r="F177" s="7" t="n">
        <v>12071</v>
      </c>
      <c r="H177" s="7" t="n">
        <v>22065.9</v>
      </c>
      <c r="J177" s="7" t="n">
        <v>14863.3</v>
      </c>
      <c r="L177" s="7" t="n">
        <v>22567.9</v>
      </c>
      <c r="N177" s="7" t="n">
        <v>10138.9</v>
      </c>
      <c r="P177" s="7" t="n">
        <v>7046.2</v>
      </c>
      <c r="R177" s="7" t="n">
        <v>39699.1</v>
      </c>
      <c r="T177" s="7" t="n">
        <v>7214.8</v>
      </c>
      <c r="V177" s="7" t="n">
        <v>40536.4</v>
      </c>
      <c r="X177" s="7" t="n">
        <v>21710.5</v>
      </c>
      <c r="Z177" s="7" t="n">
        <v>13034.7</v>
      </c>
      <c r="AB177" s="7" t="n">
        <v>232434.1</v>
      </c>
    </row>
    <row r="178">
      <c r="A178" s="4" t="inlineStr">
        <is>
          <t>养老</t>
        </is>
      </c>
      <c r="D178" s="7" t="n">
        <v>1208.7</v>
      </c>
      <c r="F178" s="7" t="n">
        <v>774</v>
      </c>
      <c r="H178" s="7" t="n">
        <v>1301.8</v>
      </c>
      <c r="J178" s="7" t="n">
        <v>885.2</v>
      </c>
      <c r="L178" s="7" t="n">
        <v>1223.1</v>
      </c>
      <c r="N178" s="7" t="n">
        <v>846.1</v>
      </c>
      <c r="P178" s="7" t="n">
        <v>596.1</v>
      </c>
      <c r="R178" s="7" t="n">
        <v>2606.9</v>
      </c>
      <c r="T178" s="7" t="n">
        <v>259.2</v>
      </c>
      <c r="V178" s="7" t="n">
        <v>1803.8</v>
      </c>
      <c r="X178" s="7" t="n">
        <v>852.8</v>
      </c>
      <c r="Z178" s="7" t="n">
        <v>743.4</v>
      </c>
      <c r="AB178" s="7" t="n">
        <v>13101.1</v>
      </c>
    </row>
    <row r="179">
      <c r="A179" s="4" t="inlineStr">
        <is>
          <t>医疗</t>
        </is>
      </c>
      <c r="D179" s="7" t="n">
        <v>1743.1</v>
      </c>
      <c r="F179" s="7" t="n">
        <v>998.2</v>
      </c>
      <c r="H179" s="7" t="n">
        <v>2305.6</v>
      </c>
      <c r="J179" s="7" t="n">
        <v>1340.1</v>
      </c>
      <c r="L179" s="7" t="n">
        <v>2141.2</v>
      </c>
      <c r="N179" s="7" t="n">
        <v>1127.4</v>
      </c>
      <c r="P179" s="7" t="n">
        <v>854.2</v>
      </c>
      <c r="R179" s="7" t="n">
        <v>3910.4</v>
      </c>
      <c r="T179" s="7" t="n">
        <v>357</v>
      </c>
      <c r="V179" s="7" t="n">
        <v>2935.8</v>
      </c>
      <c r="X179" s="7" t="n">
        <v>1163.4</v>
      </c>
      <c r="Z179" s="7" t="n">
        <v>785.9</v>
      </c>
      <c r="AB179" s="7" t="n">
        <v>19662.3</v>
      </c>
    </row>
    <row r="180">
      <c r="A180" s="4" t="inlineStr">
        <is>
          <t>工伤</t>
        </is>
      </c>
      <c r="D180" s="7" t="n">
        <v>550.5</v>
      </c>
      <c r="F180" s="7" t="n">
        <v>409</v>
      </c>
      <c r="H180" s="7" t="n">
        <v>759.5</v>
      </c>
      <c r="J180" s="7" t="n">
        <v>615.4</v>
      </c>
      <c r="L180" s="7" t="n">
        <v>688.2</v>
      </c>
      <c r="N180" s="7" t="n">
        <v>538.1</v>
      </c>
      <c r="P180" s="7" t="n">
        <v>299.6</v>
      </c>
      <c r="R180" s="7" t="n">
        <v>1730.4</v>
      </c>
      <c r="T180" s="7" t="n">
        <v>192.4</v>
      </c>
      <c r="V180" s="7" t="n">
        <v>1313.1</v>
      </c>
      <c r="X180" s="7" t="n">
        <v>508.3</v>
      </c>
      <c r="Z180" s="7" t="n">
        <v>427.9</v>
      </c>
      <c r="AB180" s="7" t="n">
        <v>8032.4</v>
      </c>
    </row>
    <row r="181">
      <c r="A181" s="4" t="inlineStr">
        <is>
          <t>失业</t>
        </is>
      </c>
      <c r="D181" s="7" t="n">
        <v>347.7</v>
      </c>
      <c r="F181" s="7" t="n">
        <v>282</v>
      </c>
      <c r="H181" s="7" t="n">
        <v>319.9</v>
      </c>
      <c r="J181" s="7" t="n">
        <v>214.8</v>
      </c>
      <c r="L181" s="7" t="n">
        <v>308.8</v>
      </c>
      <c r="N181" s="7" t="n">
        <v>256.5</v>
      </c>
      <c r="P181" s="7" t="n">
        <v>146.8</v>
      </c>
      <c r="R181" s="7" t="n">
        <v>796.4</v>
      </c>
      <c r="T181" s="7" t="n">
        <v>76.5</v>
      </c>
      <c r="V181" s="7" t="n">
        <v>584.5</v>
      </c>
      <c r="X181" s="7" t="n">
        <v>278.5</v>
      </c>
      <c r="Z181" s="7" t="n">
        <v>159.3</v>
      </c>
      <c r="AB181" s="7" t="n">
        <v>3771.7</v>
      </c>
    </row>
    <row r="182">
      <c r="A182" s="4" t="inlineStr">
        <is>
          <t>生育</t>
        </is>
      </c>
      <c r="D182" s="7" t="n">
        <v>191.3</v>
      </c>
      <c r="F182" s="7" t="n">
        <v>158.3</v>
      </c>
      <c r="H182" s="7" t="n">
        <v>300.5</v>
      </c>
      <c r="J182" s="7" t="n">
        <v>205.4</v>
      </c>
      <c r="L182" s="7" t="n">
        <v>280.2</v>
      </c>
      <c r="N182" s="7" t="n">
        <v>179.8</v>
      </c>
      <c r="P182" s="7" t="n">
        <v>103.4</v>
      </c>
      <c r="R182" s="7" t="n">
        <v>332.1</v>
      </c>
      <c r="T182" s="7" t="n">
        <v>52.5</v>
      </c>
      <c r="V182" s="7" t="n">
        <v>361.7</v>
      </c>
      <c r="X182" s="7" t="n">
        <v>250.3</v>
      </c>
      <c r="Z182" s="7" t="n">
        <v>143.5</v>
      </c>
      <c r="AB182" s="7" t="n">
        <v>2559</v>
      </c>
    </row>
    <row r="183">
      <c r="A183" s="4" t="inlineStr">
        <is>
          <t>公积金</t>
        </is>
      </c>
      <c r="D183" s="7" t="n">
        <v>1203.3</v>
      </c>
      <c r="F183" s="7" t="n">
        <v>1030.9</v>
      </c>
      <c r="H183" s="7" t="n">
        <v>1171.3</v>
      </c>
      <c r="J183" s="7" t="n">
        <v>611</v>
      </c>
      <c r="L183" s="7" t="n">
        <v>1092.3</v>
      </c>
      <c r="N183" s="7" t="n">
        <v>711.8</v>
      </c>
      <c r="P183" s="7" t="n">
        <v>436</v>
      </c>
      <c r="R183" s="7" t="n">
        <v>2861.7</v>
      </c>
      <c r="T183" s="7" t="n">
        <v>427.2</v>
      </c>
      <c r="V183" s="7" t="n">
        <v>2499.2</v>
      </c>
      <c r="X183" s="7" t="n">
        <v>1403.6</v>
      </c>
      <c r="Z183" s="7" t="n">
        <v>668</v>
      </c>
      <c r="AB183" s="7" t="n">
        <v>14116.3</v>
      </c>
    </row>
    <row r="184">
      <c r="A184" s="4" t="inlineStr">
        <is>
          <t>工会经费</t>
        </is>
      </c>
      <c r="D184" s="7" t="n">
        <v>815.9</v>
      </c>
      <c r="F184" s="7" t="n">
        <v>807.1</v>
      </c>
      <c r="H184" s="7" t="n">
        <v>1542.4</v>
      </c>
      <c r="J184" s="7" t="n">
        <v>746.1</v>
      </c>
      <c r="L184" s="7" t="n">
        <v>1459.8</v>
      </c>
      <c r="N184" s="7" t="n">
        <v>765.6</v>
      </c>
      <c r="P184" s="7" t="n">
        <v>696.5</v>
      </c>
      <c r="R184" s="7" t="n">
        <v>2497.3</v>
      </c>
      <c r="T184" s="7" t="n">
        <v>361.9</v>
      </c>
      <c r="V184" s="7" t="n">
        <v>1776.2</v>
      </c>
      <c r="X184" s="7" t="n">
        <v>1152.5</v>
      </c>
      <c r="Z184" s="7" t="n">
        <v>832.5</v>
      </c>
      <c r="AB184" s="7" t="n">
        <v>13453.8</v>
      </c>
    </row>
    <row r="185">
      <c r="A185" s="4" t="inlineStr">
        <is>
          <t>职工教育经费</t>
        </is>
      </c>
      <c r="D185" s="7" t="n">
        <v>1025.5</v>
      </c>
      <c r="F185" s="7" t="n">
        <v>989.4</v>
      </c>
      <c r="H185" s="7" t="n">
        <v>1719.3</v>
      </c>
      <c r="J185" s="7" t="n">
        <v>779.7</v>
      </c>
      <c r="L185" s="7" t="n">
        <v>1408</v>
      </c>
      <c r="N185" s="7" t="n">
        <v>707.3</v>
      </c>
      <c r="P185" s="7" t="n">
        <v>495.6</v>
      </c>
      <c r="R185" s="7" t="n">
        <v>3459.8</v>
      </c>
      <c r="T185" s="7" t="n">
        <v>486.4</v>
      </c>
      <c r="V185" s="7" t="n">
        <v>2796</v>
      </c>
      <c r="X185" s="7" t="n">
        <v>1694.3</v>
      </c>
      <c r="Z185" s="7" t="n">
        <v>675.2</v>
      </c>
      <c r="AB185" s="7" t="n">
        <v>16236.5</v>
      </c>
    </row>
    <row r="186">
      <c r="A186" s="4" t="inlineStr">
        <is>
          <t>福利费</t>
        </is>
      </c>
      <c r="D186" s="7" t="n">
        <v>6366.7</v>
      </c>
      <c r="F186" s="7" t="n">
        <v>5683.4</v>
      </c>
      <c r="H186" s="7" t="n">
        <v>8355.200000000001</v>
      </c>
      <c r="J186" s="7" t="n">
        <v>4717.2</v>
      </c>
      <c r="L186" s="7" t="n">
        <v>8024.5</v>
      </c>
      <c r="N186" s="7" t="n">
        <v>5103.2</v>
      </c>
      <c r="P186" s="7" t="n">
        <v>2882.2</v>
      </c>
      <c r="R186" s="7" t="n">
        <v>15685.1</v>
      </c>
      <c r="T186" s="7" t="n">
        <v>1938.7</v>
      </c>
      <c r="V186" s="7" t="n">
        <v>10537.5</v>
      </c>
      <c r="X186" s="7" t="n">
        <v>6667.8</v>
      </c>
      <c r="Z186" s="7" t="n">
        <v>4079.7</v>
      </c>
      <c r="AB186" s="7" t="n">
        <v>80041.2</v>
      </c>
    </row>
    <row r="187">
      <c r="A187" s="4" t="inlineStr">
        <is>
          <t>职工房租</t>
        </is>
      </c>
      <c r="D187" s="7" t="n">
        <v>876</v>
      </c>
      <c r="F187" s="7" t="n">
        <v>797.4</v>
      </c>
      <c r="H187" s="7" t="n">
        <v>1286.4</v>
      </c>
      <c r="J187" s="7" t="n">
        <v>651.5</v>
      </c>
      <c r="L187" s="7" t="n">
        <v>1423.2</v>
      </c>
      <c r="N187" s="7" t="n">
        <v>994.7</v>
      </c>
      <c r="P187" s="7" t="n">
        <v>558</v>
      </c>
      <c r="R187" s="7" t="n">
        <v>3336.4</v>
      </c>
      <c r="T187" s="7" t="n">
        <v>462.7</v>
      </c>
      <c r="V187" s="7" t="n">
        <v>1603.4</v>
      </c>
      <c r="X187" s="7" t="n">
        <v>1121.2</v>
      </c>
      <c r="Z187" s="7" t="n">
        <v>794.4</v>
      </c>
      <c r="AB187" s="7" t="n">
        <v>13905.3</v>
      </c>
    </row>
    <row r="188">
      <c r="A188" s="4" t="inlineStr">
        <is>
          <t>水电物业费</t>
        </is>
      </c>
      <c r="D188" s="7" t="n">
        <v>724.4</v>
      </c>
      <c r="F188" s="7" t="n">
        <v>741.6</v>
      </c>
      <c r="H188" s="7" t="n">
        <v>1138.6</v>
      </c>
      <c r="J188" s="7" t="n">
        <v>424.9</v>
      </c>
      <c r="L188" s="7" t="n">
        <v>764.1</v>
      </c>
      <c r="N188" s="7" t="n">
        <v>657</v>
      </c>
      <c r="P188" s="7" t="n">
        <v>285.1</v>
      </c>
      <c r="R188" s="7" t="n">
        <v>1252.3</v>
      </c>
      <c r="T188" s="7" t="n">
        <v>225</v>
      </c>
      <c r="V188" s="7" t="n">
        <v>1161.9</v>
      </c>
      <c r="X188" s="7" t="n">
        <v>920.6</v>
      </c>
      <c r="Z188" s="7" t="n">
        <v>451.1</v>
      </c>
      <c r="AB188" s="7" t="n">
        <v>8746.6</v>
      </c>
    </row>
    <row r="189">
      <c r="A189" s="4" t="inlineStr">
        <is>
          <t>员工餐</t>
        </is>
      </c>
      <c r="D189" s="7" t="n">
        <v>1122.5</v>
      </c>
      <c r="F189" s="7" t="n">
        <v>750.2</v>
      </c>
      <c r="H189" s="7" t="n">
        <v>1170</v>
      </c>
      <c r="J189" s="7" t="n">
        <v>627</v>
      </c>
      <c r="L189" s="7" t="n">
        <v>906.7</v>
      </c>
      <c r="N189" s="7" t="n">
        <v>751.3</v>
      </c>
      <c r="P189" s="7" t="n">
        <v>469.1</v>
      </c>
      <c r="R189" s="7" t="n">
        <v>2317.5</v>
      </c>
      <c r="T189" s="7" t="n">
        <v>192.7</v>
      </c>
      <c r="V189" s="7" t="n">
        <v>1794</v>
      </c>
      <c r="X189" s="7" t="n">
        <v>994</v>
      </c>
      <c r="Z189" s="7" t="n">
        <v>483.3</v>
      </c>
      <c r="AB189" s="7" t="n">
        <v>11578.3</v>
      </c>
    </row>
    <row r="190">
      <c r="A190" s="4" t="inlineStr">
        <is>
          <t>节日礼品</t>
        </is>
      </c>
      <c r="D190" s="7" t="n">
        <v>1124.7</v>
      </c>
      <c r="F190" s="7" t="n">
        <v>898.3</v>
      </c>
      <c r="H190" s="7" t="n">
        <v>899.5</v>
      </c>
      <c r="J190" s="7" t="n">
        <v>499.9</v>
      </c>
      <c r="L190" s="7" t="n">
        <v>1473.4</v>
      </c>
      <c r="N190" s="7" t="n">
        <v>717.4</v>
      </c>
      <c r="P190" s="7" t="n">
        <v>417.2</v>
      </c>
      <c r="R190" s="7" t="n">
        <v>2421.9</v>
      </c>
      <c r="T190" s="7" t="n">
        <v>287.8</v>
      </c>
      <c r="V190" s="7" t="n">
        <v>1151.5</v>
      </c>
      <c r="X190" s="7" t="n">
        <v>1163</v>
      </c>
      <c r="Z190" s="7" t="n">
        <v>571</v>
      </c>
      <c r="AB190" s="7" t="n">
        <v>11625.6</v>
      </c>
    </row>
    <row r="191">
      <c r="A191" s="4" t="inlineStr">
        <is>
          <t>生日礼品</t>
        </is>
      </c>
      <c r="D191" s="7" t="n">
        <v>1275.9</v>
      </c>
      <c r="F191" s="7" t="n">
        <v>1370.9</v>
      </c>
      <c r="H191" s="7" t="n">
        <v>2086</v>
      </c>
      <c r="J191" s="7" t="n">
        <v>1370.9</v>
      </c>
      <c r="L191" s="7" t="n">
        <v>2062.5</v>
      </c>
      <c r="N191" s="7" t="n">
        <v>872</v>
      </c>
      <c r="P191" s="7" t="n">
        <v>503.9</v>
      </c>
      <c r="R191" s="7" t="n">
        <v>3328.2</v>
      </c>
      <c r="T191" s="7" t="n">
        <v>392.2</v>
      </c>
      <c r="V191" s="7" t="n">
        <v>1933.4</v>
      </c>
      <c r="X191" s="7" t="n">
        <v>1085</v>
      </c>
      <c r="Z191" s="7" t="n">
        <v>1068.9</v>
      </c>
      <c r="AB191" s="7" t="n">
        <v>17349.8</v>
      </c>
    </row>
    <row r="192">
      <c r="A192" s="4" t="inlineStr">
        <is>
          <t>体检</t>
        </is>
      </c>
      <c r="D192" s="7" t="n">
        <v>537.1</v>
      </c>
      <c r="F192" s="7" t="n">
        <v>389.5</v>
      </c>
      <c r="H192" s="7" t="n">
        <v>938.2</v>
      </c>
      <c r="J192" s="7" t="n">
        <v>526.1</v>
      </c>
      <c r="L192" s="7" t="n">
        <v>598.5</v>
      </c>
      <c r="N192" s="7" t="n">
        <v>512.4</v>
      </c>
      <c r="P192" s="7" t="n">
        <v>221.1</v>
      </c>
      <c r="R192" s="7" t="n">
        <v>1435.1</v>
      </c>
      <c r="T192" s="7" t="n">
        <v>153.3</v>
      </c>
      <c r="V192" s="7" t="n">
        <v>1217.7</v>
      </c>
      <c r="X192" s="7" t="n">
        <v>640.3</v>
      </c>
      <c r="Z192" s="7" t="n">
        <v>260.5</v>
      </c>
      <c r="AB192" s="7" t="n">
        <v>7429.8</v>
      </c>
    </row>
    <row r="193">
      <c r="A193" s="4" t="inlineStr">
        <is>
          <t>其他福利支出</t>
        </is>
      </c>
      <c r="D193" s="7" t="n">
        <v>706.1</v>
      </c>
      <c r="F193" s="7" t="n">
        <v>735.5</v>
      </c>
      <c r="H193" s="7" t="n">
        <v>836.5</v>
      </c>
      <c r="J193" s="7" t="n">
        <v>616.9</v>
      </c>
      <c r="L193" s="7" t="n">
        <v>796.1</v>
      </c>
      <c r="N193" s="7" t="n">
        <v>598.4</v>
      </c>
      <c r="P193" s="7" t="n">
        <v>427.8</v>
      </c>
      <c r="R193" s="7" t="n">
        <v>1593.7</v>
      </c>
      <c r="T193" s="7" t="n">
        <v>225</v>
      </c>
      <c r="V193" s="7" t="n">
        <v>1675.6</v>
      </c>
      <c r="X193" s="7" t="n">
        <v>743.7</v>
      </c>
      <c r="Z193" s="7" t="n">
        <v>450.5</v>
      </c>
      <c r="AB193" s="7" t="n">
        <v>9405.799999999999</v>
      </c>
    </row>
    <row r="194">
      <c r="A194" s="4" t="inlineStr">
        <is>
          <t>招聘费</t>
        </is>
      </c>
      <c r="D194" s="7" t="n">
        <v>731.9</v>
      </c>
      <c r="F194" s="7" t="n">
        <v>635.5</v>
      </c>
      <c r="H194" s="7" t="n">
        <v>869.3</v>
      </c>
      <c r="J194" s="7" t="n">
        <v>459.7</v>
      </c>
      <c r="L194" s="7" t="n">
        <v>842</v>
      </c>
      <c r="N194" s="7" t="n">
        <v>339.8</v>
      </c>
      <c r="P194" s="7" t="n">
        <v>278.3</v>
      </c>
      <c r="R194" s="7" t="n">
        <v>1333.5</v>
      </c>
      <c r="T194" s="7" t="n">
        <v>162.9</v>
      </c>
      <c r="V194" s="7" t="n">
        <v>1304.1</v>
      </c>
      <c r="X194" s="7" t="n">
        <v>515.6</v>
      </c>
      <c r="Z194" s="7" t="n">
        <v>373.1</v>
      </c>
      <c r="AB194" s="7" t="n">
        <v>7845.7</v>
      </c>
    </row>
    <row r="195">
      <c r="A195" s="4" t="inlineStr">
        <is>
          <t>办公费</t>
        </is>
      </c>
      <c r="D195" s="7" t="n">
        <v>7392.5</v>
      </c>
      <c r="F195" s="7" t="n">
        <v>5876.8</v>
      </c>
      <c r="H195" s="7" t="n">
        <v>7694.2</v>
      </c>
      <c r="J195" s="7" t="n">
        <v>4980.8</v>
      </c>
      <c r="L195" s="7" t="n">
        <v>11855.7</v>
      </c>
      <c r="N195" s="7" t="n">
        <v>5005.7</v>
      </c>
      <c r="P195" s="7" t="n">
        <v>2624</v>
      </c>
      <c r="R195" s="7" t="n">
        <v>11450</v>
      </c>
      <c r="T195" s="7" t="n">
        <v>2621</v>
      </c>
      <c r="V195" s="7" t="n">
        <v>15284.2</v>
      </c>
      <c r="X195" s="7" t="n">
        <v>7128.6</v>
      </c>
      <c r="Z195" s="7" t="n">
        <v>3549.3</v>
      </c>
      <c r="AB195" s="7" t="n">
        <v>85462.8</v>
      </c>
    </row>
    <row r="196">
      <c r="A196" s="4" t="inlineStr">
        <is>
          <t>市内交通费</t>
        </is>
      </c>
      <c r="D196" s="7" t="n">
        <v>53.4</v>
      </c>
      <c r="F196" s="7" t="n">
        <v>43.9</v>
      </c>
      <c r="H196" s="7" t="n">
        <v>70.2</v>
      </c>
      <c r="J196" s="7" t="n">
        <v>51.6</v>
      </c>
      <c r="L196" s="7" t="n">
        <v>75.2</v>
      </c>
      <c r="N196" s="7" t="n">
        <v>58</v>
      </c>
      <c r="P196" s="7" t="n">
        <v>36.1</v>
      </c>
      <c r="R196" s="7" t="n">
        <v>131</v>
      </c>
      <c r="T196" s="7" t="n">
        <v>18.8</v>
      </c>
      <c r="V196" s="7" t="n">
        <v>99.09999999999999</v>
      </c>
      <c r="X196" s="7" t="n">
        <v>73.5</v>
      </c>
      <c r="Z196" s="7" t="n">
        <v>32.4</v>
      </c>
      <c r="AB196" s="7" t="n">
        <v>743.2</v>
      </c>
    </row>
    <row r="197">
      <c r="A197" s="4" t="inlineStr">
        <is>
          <t>差旅费</t>
        </is>
      </c>
      <c r="D197" s="7" t="n">
        <v>15048.6</v>
      </c>
      <c r="F197" s="7" t="n">
        <v>9355.299999999999</v>
      </c>
      <c r="H197" s="7" t="n">
        <v>14242.8</v>
      </c>
      <c r="J197" s="7" t="n">
        <v>9686</v>
      </c>
      <c r="L197" s="7" t="n">
        <v>14291.3</v>
      </c>
      <c r="N197" s="7" t="n">
        <v>12441.8</v>
      </c>
      <c r="P197" s="7" t="n">
        <v>5842.6</v>
      </c>
      <c r="R197" s="7" t="n">
        <v>31027.6</v>
      </c>
      <c r="T197" s="7" t="n">
        <v>4107.5</v>
      </c>
      <c r="V197" s="7" t="n">
        <v>27961.3</v>
      </c>
      <c r="X197" s="7" t="n">
        <v>15107.1</v>
      </c>
      <c r="Z197" s="7" t="n">
        <v>6951</v>
      </c>
      <c r="AB197" s="7" t="n">
        <v>166062.9</v>
      </c>
    </row>
    <row r="198">
      <c r="A198" s="4" t="inlineStr">
        <is>
          <t>交通费</t>
        </is>
      </c>
      <c r="D198" s="7" t="n">
        <v>1772.3</v>
      </c>
      <c r="F198" s="7" t="n">
        <v>994</v>
      </c>
      <c r="H198" s="7" t="n">
        <v>1508</v>
      </c>
      <c r="J198" s="7" t="n">
        <v>1255.7</v>
      </c>
      <c r="L198" s="7" t="n">
        <v>2139</v>
      </c>
      <c r="N198" s="7" t="n">
        <v>1311.2</v>
      </c>
      <c r="P198" s="7" t="n">
        <v>536.6</v>
      </c>
      <c r="R198" s="7" t="n">
        <v>3179.4</v>
      </c>
      <c r="T198" s="7" t="n">
        <v>313.8</v>
      </c>
      <c r="V198" s="7" t="n">
        <v>2063.9</v>
      </c>
      <c r="X198" s="7" t="n">
        <v>1193.1</v>
      </c>
      <c r="Z198" s="7" t="n">
        <v>843.2</v>
      </c>
      <c r="AB198" s="7" t="n">
        <v>17110.2</v>
      </c>
    </row>
    <row r="199">
      <c r="A199" s="4" t="inlineStr">
        <is>
          <t>住宿费</t>
        </is>
      </c>
      <c r="D199" s="7" t="n">
        <v>1266.7</v>
      </c>
      <c r="F199" s="7" t="n">
        <v>1120.4</v>
      </c>
      <c r="H199" s="7" t="n">
        <v>1411.9</v>
      </c>
      <c r="J199" s="7" t="n">
        <v>776.4</v>
      </c>
      <c r="L199" s="7" t="n">
        <v>1543.2</v>
      </c>
      <c r="N199" s="7" t="n">
        <v>985.4</v>
      </c>
      <c r="P199" s="7" t="n">
        <v>460.8</v>
      </c>
      <c r="R199" s="7" t="n">
        <v>2461.7</v>
      </c>
      <c r="T199" s="7" t="n">
        <v>355.6</v>
      </c>
      <c r="V199" s="7" t="n">
        <v>1797.3</v>
      </c>
      <c r="X199" s="7" t="n">
        <v>937.3</v>
      </c>
      <c r="Z199" s="7" t="n">
        <v>474.2</v>
      </c>
      <c r="AB199" s="7" t="n">
        <v>13590.9</v>
      </c>
    </row>
    <row r="200">
      <c r="A200" s="4" t="inlineStr">
        <is>
          <t>餐补</t>
        </is>
      </c>
      <c r="D200" s="7" t="n">
        <v>16</v>
      </c>
      <c r="F200" s="7" t="n">
        <v>12.5</v>
      </c>
      <c r="H200" s="7" t="n">
        <v>34.2</v>
      </c>
      <c r="J200" s="7" t="n">
        <v>19.1</v>
      </c>
      <c r="L200" s="7" t="n">
        <v>23.9</v>
      </c>
      <c r="N200" s="7" t="n">
        <v>16.8</v>
      </c>
      <c r="P200" s="7" t="n">
        <v>11</v>
      </c>
      <c r="R200" s="7" t="n">
        <v>43</v>
      </c>
      <c r="T200" s="7" t="n">
        <v>6.9</v>
      </c>
      <c r="V200" s="7" t="n">
        <v>45.2</v>
      </c>
      <c r="X200" s="7" t="n">
        <v>17.4</v>
      </c>
      <c r="Z200" s="7" t="n">
        <v>10.8</v>
      </c>
      <c r="AB200" s="7" t="n">
        <v>256.8</v>
      </c>
    </row>
    <row r="201">
      <c r="A201" s="4" t="inlineStr">
        <is>
          <t>交通补助</t>
        </is>
      </c>
      <c r="D201" s="7" t="n">
        <v>684</v>
      </c>
      <c r="F201" s="7" t="n">
        <v>418.3</v>
      </c>
      <c r="H201" s="7" t="n">
        <v>712.8</v>
      </c>
      <c r="J201" s="7" t="n">
        <v>414.9</v>
      </c>
      <c r="L201" s="7" t="n">
        <v>1082.4</v>
      </c>
      <c r="N201" s="7" t="n">
        <v>657</v>
      </c>
      <c r="P201" s="7" t="n">
        <v>331</v>
      </c>
      <c r="R201" s="7" t="n">
        <v>1815.7</v>
      </c>
      <c r="T201" s="7" t="n">
        <v>224.7</v>
      </c>
      <c r="V201" s="7" t="n">
        <v>1054.7</v>
      </c>
      <c r="X201" s="7" t="n">
        <v>741.9</v>
      </c>
      <c r="Z201" s="7" t="n">
        <v>491.9</v>
      </c>
      <c r="AB201" s="7" t="n">
        <v>8629.299999999999</v>
      </c>
    </row>
    <row r="202">
      <c r="A202" s="4" t="inlineStr">
        <is>
          <t>通讯补助</t>
        </is>
      </c>
      <c r="D202" s="7" t="n">
        <v>53.8</v>
      </c>
      <c r="F202" s="7" t="n">
        <v>69.5</v>
      </c>
      <c r="H202" s="7" t="n">
        <v>110.5</v>
      </c>
      <c r="J202" s="7" t="n">
        <v>74.2</v>
      </c>
      <c r="L202" s="7" t="n">
        <v>128.2</v>
      </c>
      <c r="N202" s="7" t="n">
        <v>64.5</v>
      </c>
      <c r="P202" s="7" t="n">
        <v>39.1</v>
      </c>
      <c r="R202" s="7" t="n">
        <v>169.4</v>
      </c>
      <c r="T202" s="7" t="n">
        <v>20.5</v>
      </c>
      <c r="V202" s="7" t="n">
        <v>140.1</v>
      </c>
      <c r="X202" s="7" t="n">
        <v>77.59999999999999</v>
      </c>
      <c r="Z202" s="7" t="n">
        <v>47.5</v>
      </c>
      <c r="AB202" s="7" t="n">
        <v>994.9</v>
      </c>
    </row>
    <row r="203">
      <c r="A203" s="4" t="inlineStr">
        <is>
          <t>招待费</t>
        </is>
      </c>
      <c r="D203" s="7" t="n">
        <v>9757.6</v>
      </c>
      <c r="F203" s="7" t="n">
        <v>8549.200000000001</v>
      </c>
      <c r="H203" s="7" t="n">
        <v>13961.5</v>
      </c>
      <c r="J203" s="7" t="n">
        <v>6850.4</v>
      </c>
      <c r="L203" s="7" t="n">
        <v>14337.2</v>
      </c>
      <c r="N203" s="7" t="n">
        <v>6880.1</v>
      </c>
      <c r="P203" s="7" t="n">
        <v>4225.8</v>
      </c>
      <c r="R203" s="7" t="n">
        <v>17484.7</v>
      </c>
      <c r="T203" s="7" t="n">
        <v>2077.3</v>
      </c>
      <c r="V203" s="7" t="n">
        <v>20900</v>
      </c>
      <c r="X203" s="7" t="n">
        <v>8908.799999999999</v>
      </c>
      <c r="Z203" s="7" t="n">
        <v>5308.1</v>
      </c>
      <c r="AB203" s="7" t="n">
        <v>119240.7</v>
      </c>
    </row>
    <row r="204">
      <c r="A204" s="4" t="inlineStr">
        <is>
          <t>通讯费</t>
        </is>
      </c>
      <c r="D204" s="7" t="n">
        <v>937.2</v>
      </c>
      <c r="F204" s="7" t="n">
        <v>568.7</v>
      </c>
      <c r="H204" s="7" t="n">
        <v>1064.4</v>
      </c>
      <c r="J204" s="7" t="n">
        <v>398.8</v>
      </c>
      <c r="L204" s="7" t="n">
        <v>899.4</v>
      </c>
      <c r="N204" s="7" t="n">
        <v>447.4</v>
      </c>
      <c r="P204" s="7" t="n">
        <v>325.9</v>
      </c>
      <c r="R204" s="7" t="n">
        <v>1338.1</v>
      </c>
      <c r="T204" s="7" t="n">
        <v>189.9</v>
      </c>
      <c r="V204" s="7" t="n">
        <v>1708.6</v>
      </c>
      <c r="X204" s="7" t="n">
        <v>687</v>
      </c>
      <c r="Z204" s="7" t="n">
        <v>464.4</v>
      </c>
      <c r="AB204" s="7" t="n">
        <v>9029.799999999999</v>
      </c>
    </row>
    <row r="205">
      <c r="A205" s="4" t="inlineStr">
        <is>
          <t>网络费</t>
        </is>
      </c>
      <c r="D205" s="7" t="n">
        <v>1382.1</v>
      </c>
      <c r="F205" s="7" t="n">
        <v>830.4</v>
      </c>
      <c r="H205" s="7" t="n">
        <v>1419.5</v>
      </c>
      <c r="J205" s="7" t="n">
        <v>1073.9</v>
      </c>
      <c r="L205" s="7" t="n">
        <v>2238.6</v>
      </c>
      <c r="N205" s="7" t="n">
        <v>1121.1</v>
      </c>
      <c r="P205" s="7" t="n">
        <v>675.9</v>
      </c>
      <c r="R205" s="7" t="n">
        <v>3096.9</v>
      </c>
      <c r="T205" s="7" t="n">
        <v>457.7</v>
      </c>
      <c r="V205" s="7" t="n">
        <v>2756</v>
      </c>
      <c r="X205" s="7" t="n">
        <v>1562.4</v>
      </c>
      <c r="Z205" s="7" t="n">
        <v>799.5</v>
      </c>
      <c r="AB205" s="7" t="n">
        <v>17414</v>
      </c>
    </row>
    <row r="206">
      <c r="A206" s="4" t="inlineStr">
        <is>
          <t>修理费</t>
        </is>
      </c>
      <c r="D206" s="7" t="n">
        <v>486.8</v>
      </c>
      <c r="F206" s="7" t="n">
        <v>393.4</v>
      </c>
      <c r="H206" s="7" t="n">
        <v>422.4</v>
      </c>
      <c r="J206" s="7" t="n">
        <v>261.9</v>
      </c>
      <c r="L206" s="7" t="n">
        <v>625.6</v>
      </c>
      <c r="N206" s="7" t="n">
        <v>238.2</v>
      </c>
      <c r="P206" s="7" t="n">
        <v>194.9</v>
      </c>
      <c r="R206" s="7" t="n">
        <v>1179.8</v>
      </c>
      <c r="T206" s="7" t="n">
        <v>115</v>
      </c>
      <c r="V206" s="7" t="n">
        <v>646.6</v>
      </c>
      <c r="X206" s="7" t="n">
        <v>316.1</v>
      </c>
      <c r="Z206" s="7" t="n">
        <v>177.6</v>
      </c>
      <c r="AB206" s="7" t="n">
        <v>5058.3</v>
      </c>
    </row>
    <row r="207">
      <c r="A207" s="4" t="inlineStr">
        <is>
          <t>车辆费</t>
        </is>
      </c>
      <c r="D207" s="7" t="n">
        <v>1207.5</v>
      </c>
      <c r="F207" s="7" t="n">
        <v>886.7</v>
      </c>
      <c r="H207" s="7" t="n">
        <v>2027.6</v>
      </c>
      <c r="J207" s="7" t="n">
        <v>1232.4</v>
      </c>
      <c r="L207" s="7" t="n">
        <v>1319.4</v>
      </c>
      <c r="N207" s="7" t="n">
        <v>721.2</v>
      </c>
      <c r="P207" s="7" t="n">
        <v>613.6</v>
      </c>
      <c r="R207" s="7" t="n">
        <v>3038.8</v>
      </c>
      <c r="T207" s="7" t="n">
        <v>313.9</v>
      </c>
      <c r="V207" s="7" t="n">
        <v>2038.1</v>
      </c>
      <c r="X207" s="7" t="n">
        <v>1157.1</v>
      </c>
      <c r="Z207" s="7" t="n">
        <v>704.4</v>
      </c>
      <c r="AB207" s="7" t="n">
        <v>15260.7</v>
      </c>
    </row>
    <row r="208">
      <c r="A208" s="4" t="inlineStr">
        <is>
          <t>租赁费</t>
        </is>
      </c>
      <c r="D208" s="7" t="n">
        <v>10439.2</v>
      </c>
      <c r="F208" s="7" t="n">
        <v>7026.6</v>
      </c>
      <c r="H208" s="7" t="n">
        <v>17988.9</v>
      </c>
      <c r="J208" s="7" t="n">
        <v>7422.3</v>
      </c>
      <c r="L208" s="7" t="n">
        <v>12556.2</v>
      </c>
      <c r="N208" s="7" t="n">
        <v>9421.200000000001</v>
      </c>
      <c r="P208" s="7" t="n">
        <v>5592.8</v>
      </c>
      <c r="R208" s="7" t="n">
        <v>27069.3</v>
      </c>
      <c r="T208" s="7" t="n">
        <v>3953.6</v>
      </c>
      <c r="V208" s="7" t="n">
        <v>26553.1</v>
      </c>
      <c r="X208" s="7" t="n">
        <v>11281.5</v>
      </c>
      <c r="Z208" s="7" t="n">
        <v>6569.6</v>
      </c>
      <c r="AB208" s="7" t="n">
        <v>145874.3</v>
      </c>
    </row>
    <row r="209">
      <c r="A209" s="4" t="inlineStr">
        <is>
          <t>能源费</t>
        </is>
      </c>
      <c r="D209" s="7" t="n">
        <v>2390.2</v>
      </c>
      <c r="F209" s="7" t="n">
        <v>1750.7</v>
      </c>
      <c r="H209" s="7" t="n">
        <v>2726.4</v>
      </c>
      <c r="J209" s="7" t="n">
        <v>1921.1</v>
      </c>
      <c r="L209" s="7" t="n">
        <v>3403.7</v>
      </c>
      <c r="N209" s="7" t="n">
        <v>1697.5</v>
      </c>
      <c r="P209" s="7" t="n">
        <v>968.5</v>
      </c>
      <c r="R209" s="7" t="n">
        <v>4044.3</v>
      </c>
      <c r="T209" s="7" t="n">
        <v>594.9</v>
      </c>
      <c r="V209" s="7" t="n">
        <v>4819.2</v>
      </c>
      <c r="X209" s="7" t="n">
        <v>2679</v>
      </c>
      <c r="Z209" s="7" t="n">
        <v>1157</v>
      </c>
      <c r="AB209" s="7" t="n">
        <v>28152.5</v>
      </c>
    </row>
    <row r="210">
      <c r="A210" s="4" t="inlineStr">
        <is>
          <t>水费</t>
        </is>
      </c>
      <c r="D210" s="7" t="n">
        <v>206.1</v>
      </c>
      <c r="F210" s="7" t="n">
        <v>191.8</v>
      </c>
      <c r="H210" s="7" t="n">
        <v>303.1</v>
      </c>
      <c r="J210" s="7" t="n">
        <v>202.4</v>
      </c>
      <c r="L210" s="7" t="n">
        <v>248.4</v>
      </c>
      <c r="N210" s="7" t="n">
        <v>189.5</v>
      </c>
      <c r="P210" s="7" t="n">
        <v>102.8</v>
      </c>
      <c r="R210" s="7" t="n">
        <v>396</v>
      </c>
      <c r="T210" s="7" t="n">
        <v>87.59999999999999</v>
      </c>
      <c r="V210" s="7" t="n">
        <v>419.5</v>
      </c>
      <c r="X210" s="7" t="n">
        <v>229.1</v>
      </c>
      <c r="Z210" s="7" t="n">
        <v>161.3</v>
      </c>
      <c r="AB210" s="7" t="n">
        <v>2737.6</v>
      </c>
    </row>
    <row r="211">
      <c r="A211" s="4" t="inlineStr">
        <is>
          <t>电费</t>
        </is>
      </c>
      <c r="D211" s="7" t="n">
        <v>436</v>
      </c>
      <c r="F211" s="7" t="n">
        <v>281</v>
      </c>
      <c r="H211" s="7" t="n">
        <v>473.2</v>
      </c>
      <c r="J211" s="7" t="n">
        <v>208.4</v>
      </c>
      <c r="L211" s="7" t="n">
        <v>471.8</v>
      </c>
      <c r="N211" s="7" t="n">
        <v>313.7</v>
      </c>
      <c r="P211" s="7" t="n">
        <v>163.4</v>
      </c>
      <c r="R211" s="7" t="n">
        <v>868.8</v>
      </c>
      <c r="T211" s="7" t="n">
        <v>89.5</v>
      </c>
      <c r="V211" s="7" t="n">
        <v>783.6</v>
      </c>
      <c r="X211" s="7" t="n">
        <v>359.3</v>
      </c>
      <c r="Z211" s="7" t="n">
        <v>181.6</v>
      </c>
      <c r="AB211" s="7" t="n">
        <v>4630.3</v>
      </c>
    </row>
    <row r="212">
      <c r="A212" s="4" t="inlineStr">
        <is>
          <t>燃气费</t>
        </is>
      </c>
      <c r="D212" s="7" t="n">
        <v>1139.6</v>
      </c>
      <c r="F212" s="7" t="n">
        <v>959.7</v>
      </c>
      <c r="H212" s="7" t="n">
        <v>1503.9</v>
      </c>
      <c r="J212" s="7" t="n">
        <v>1098.8</v>
      </c>
      <c r="L212" s="7" t="n">
        <v>1964.9</v>
      </c>
      <c r="N212" s="7" t="n">
        <v>815.5</v>
      </c>
      <c r="P212" s="7" t="n">
        <v>418.3</v>
      </c>
      <c r="R212" s="7" t="n">
        <v>2034.2</v>
      </c>
      <c r="T212" s="7" t="n">
        <v>261.1</v>
      </c>
      <c r="V212" s="7" t="n">
        <v>2631.5</v>
      </c>
      <c r="X212" s="7" t="n">
        <v>1560.2</v>
      </c>
      <c r="Z212" s="7" t="n">
        <v>532.4</v>
      </c>
      <c r="AB212" s="7" t="n">
        <v>14920.1</v>
      </c>
    </row>
    <row r="213">
      <c r="A213" s="4" t="inlineStr">
        <is>
          <t>蒸汽费</t>
        </is>
      </c>
      <c r="D213" s="7" t="n">
        <v>608.5</v>
      </c>
      <c r="F213" s="7" t="n">
        <v>318.2</v>
      </c>
      <c r="H213" s="7" t="n">
        <v>446.2</v>
      </c>
      <c r="J213" s="7" t="n">
        <v>411.5</v>
      </c>
      <c r="L213" s="7" t="n">
        <v>718.6</v>
      </c>
      <c r="N213" s="7" t="n">
        <v>378.8</v>
      </c>
      <c r="P213" s="7" t="n">
        <v>284</v>
      </c>
      <c r="R213" s="7" t="n">
        <v>745.3</v>
      </c>
      <c r="T213" s="7" t="n">
        <v>156.7</v>
      </c>
      <c r="V213" s="7" t="n">
        <v>984.6</v>
      </c>
      <c r="X213" s="7" t="n">
        <v>530.4</v>
      </c>
      <c r="Z213" s="7" t="n">
        <v>281.7</v>
      </c>
      <c r="AB213" s="7" t="n">
        <v>5864.5</v>
      </c>
    </row>
    <row r="214">
      <c r="A214" s="4" t="inlineStr">
        <is>
          <t>物业费</t>
        </is>
      </c>
      <c r="D214" s="7" t="n">
        <v>417.3</v>
      </c>
      <c r="F214" s="7" t="n">
        <v>415</v>
      </c>
      <c r="H214" s="7" t="n">
        <v>587.1</v>
      </c>
      <c r="J214" s="7" t="n">
        <v>295.3</v>
      </c>
      <c r="L214" s="7" t="n">
        <v>705.6</v>
      </c>
      <c r="N214" s="7" t="n">
        <v>408.5</v>
      </c>
      <c r="P214" s="7" t="n">
        <v>151.5</v>
      </c>
      <c r="R214" s="7" t="n">
        <v>827</v>
      </c>
      <c r="T214" s="7" t="n">
        <v>138.7</v>
      </c>
      <c r="V214" s="7" t="n">
        <v>1026.8</v>
      </c>
      <c r="X214" s="7" t="n">
        <v>509.1</v>
      </c>
      <c r="Z214" s="7" t="n">
        <v>253.1</v>
      </c>
      <c r="AB214" s="7" t="n">
        <v>5735</v>
      </c>
    </row>
    <row r="215">
      <c r="A215" s="4" t="inlineStr">
        <is>
          <t>劳动保护费</t>
        </is>
      </c>
      <c r="D215" s="7" t="n">
        <v>315.8</v>
      </c>
      <c r="F215" s="7" t="n">
        <v>304.6</v>
      </c>
      <c r="H215" s="7" t="n">
        <v>430.5</v>
      </c>
      <c r="J215" s="7" t="n">
        <v>259.5</v>
      </c>
      <c r="L215" s="7" t="n">
        <v>526.6</v>
      </c>
      <c r="N215" s="7" t="n">
        <v>265.9</v>
      </c>
      <c r="P215" s="7" t="n">
        <v>140.5</v>
      </c>
      <c r="R215" s="7" t="n">
        <v>541</v>
      </c>
      <c r="T215" s="7" t="n">
        <v>83.40000000000001</v>
      </c>
      <c r="V215" s="7" t="n">
        <v>410.7</v>
      </c>
      <c r="X215" s="7" t="n">
        <v>284</v>
      </c>
      <c r="Z215" s="7" t="n">
        <v>205.9</v>
      </c>
      <c r="AB215" s="7" t="n">
        <v>3768.4</v>
      </c>
    </row>
    <row r="216">
      <c r="A216" s="4" t="inlineStr">
        <is>
          <t>顾问费</t>
        </is>
      </c>
      <c r="D216" s="7" t="n">
        <v>860.6</v>
      </c>
      <c r="F216" s="7" t="n">
        <v>1213.3</v>
      </c>
      <c r="H216" s="7" t="n">
        <v>1238.8</v>
      </c>
      <c r="J216" s="7" t="n">
        <v>632.6</v>
      </c>
      <c r="L216" s="7" t="n">
        <v>1589.1</v>
      </c>
      <c r="N216" s="7" t="n">
        <v>831.3</v>
      </c>
      <c r="P216" s="7" t="n">
        <v>620.8</v>
      </c>
      <c r="R216" s="7" t="n">
        <v>1898.3</v>
      </c>
      <c r="T216" s="7" t="n">
        <v>244.7</v>
      </c>
      <c r="V216" s="7" t="n">
        <v>2417.1</v>
      </c>
      <c r="X216" s="7" t="n">
        <v>1200.5</v>
      </c>
      <c r="Z216" s="7" t="n">
        <v>552.9</v>
      </c>
      <c r="AB216" s="7" t="n">
        <v>13300</v>
      </c>
    </row>
    <row r="217">
      <c r="A217" s="4" t="inlineStr">
        <is>
          <t>快递费</t>
        </is>
      </c>
      <c r="D217" s="7" t="n">
        <v>1318.4</v>
      </c>
      <c r="F217" s="7" t="n">
        <v>1266.3</v>
      </c>
      <c r="H217" s="7" t="n">
        <v>1140.9</v>
      </c>
      <c r="J217" s="7" t="n">
        <v>644.5</v>
      </c>
      <c r="L217" s="7" t="n">
        <v>1489.4</v>
      </c>
      <c r="N217" s="7" t="n">
        <v>924</v>
      </c>
      <c r="P217" s="7" t="n">
        <v>513.5</v>
      </c>
      <c r="R217" s="7" t="n">
        <v>1817.7</v>
      </c>
      <c r="T217" s="7" t="n">
        <v>389.5</v>
      </c>
      <c r="V217" s="7" t="n">
        <v>1663.2</v>
      </c>
      <c r="X217" s="7" t="n">
        <v>1045.6</v>
      </c>
      <c r="Z217" s="7" t="n">
        <v>781.9</v>
      </c>
      <c r="AB217" s="7" t="n">
        <v>12994.9</v>
      </c>
    </row>
    <row r="218">
      <c r="A218" s="4" t="inlineStr">
        <is>
          <t>诉讼费</t>
        </is>
      </c>
      <c r="D218" s="7" t="n">
        <v>876.3</v>
      </c>
      <c r="F218" s="7" t="n">
        <v>678.7</v>
      </c>
      <c r="H218" s="7" t="n">
        <v>1127.3</v>
      </c>
      <c r="J218" s="7" t="n">
        <v>532.8</v>
      </c>
      <c r="L218" s="7" t="n">
        <v>1167</v>
      </c>
      <c r="N218" s="7" t="n">
        <v>541.1</v>
      </c>
      <c r="P218" s="7" t="n">
        <v>335.9</v>
      </c>
      <c r="R218" s="7" t="n">
        <v>1543.9</v>
      </c>
      <c r="T218" s="7" t="n">
        <v>190.3</v>
      </c>
      <c r="V218" s="7" t="n">
        <v>1094</v>
      </c>
      <c r="X218" s="7" t="n">
        <v>815.4</v>
      </c>
      <c r="Z218" s="7" t="n">
        <v>452.4</v>
      </c>
      <c r="AB218" s="7" t="n">
        <v>9355.1</v>
      </c>
    </row>
    <row r="219">
      <c r="A219" s="4" t="inlineStr">
        <is>
          <t>会员费</t>
        </is>
      </c>
      <c r="D219" s="7" t="n">
        <v>1137.8</v>
      </c>
      <c r="F219" s="7" t="n">
        <v>861.2</v>
      </c>
      <c r="H219" s="7" t="n">
        <v>1097.5</v>
      </c>
      <c r="J219" s="7" t="n">
        <v>682.1</v>
      </c>
      <c r="L219" s="7" t="n">
        <v>1469.6</v>
      </c>
      <c r="N219" s="7" t="n">
        <v>890.2</v>
      </c>
      <c r="P219" s="7" t="n">
        <v>448</v>
      </c>
      <c r="R219" s="7" t="n">
        <v>1644.2</v>
      </c>
      <c r="T219" s="7" t="n">
        <v>349.6</v>
      </c>
      <c r="V219" s="7" t="n">
        <v>2231.8</v>
      </c>
      <c r="X219" s="7" t="n">
        <v>774.2</v>
      </c>
      <c r="Z219" s="7" t="n">
        <v>438.4</v>
      </c>
      <c r="AB219" s="7" t="n">
        <v>12024.6</v>
      </c>
    </row>
    <row r="220">
      <c r="A220" s="4" t="inlineStr">
        <is>
          <t>广告宣传费</t>
        </is>
      </c>
      <c r="D220" s="7" t="n">
        <v>8458.299999999999</v>
      </c>
      <c r="F220" s="7" t="n">
        <v>5708.6</v>
      </c>
      <c r="H220" s="7" t="n">
        <v>8514.9</v>
      </c>
      <c r="J220" s="7" t="n">
        <v>4769.5</v>
      </c>
      <c r="L220" s="7" t="n">
        <v>9677.9</v>
      </c>
      <c r="N220" s="7" t="n">
        <v>5342.5</v>
      </c>
      <c r="P220" s="7" t="n">
        <v>3362.8</v>
      </c>
      <c r="R220" s="7" t="n">
        <v>13811.7</v>
      </c>
      <c r="T220" s="7" t="n">
        <v>1811.5</v>
      </c>
      <c r="V220" s="7" t="n">
        <v>12675.9</v>
      </c>
      <c r="X220" s="7" t="n">
        <v>6708.2</v>
      </c>
      <c r="Z220" s="7" t="n">
        <v>3900.3</v>
      </c>
      <c r="AB220" s="7" t="n">
        <v>84742.10000000001</v>
      </c>
    </row>
    <row r="221">
      <c r="A221" s="4" t="inlineStr">
        <is>
          <t>会务费</t>
        </is>
      </c>
      <c r="D221" s="7" t="n">
        <v>1387.1</v>
      </c>
      <c r="F221" s="7" t="n">
        <v>1513.2</v>
      </c>
      <c r="H221" s="7" t="n">
        <v>2138.6</v>
      </c>
      <c r="J221" s="7" t="n">
        <v>828.5</v>
      </c>
      <c r="L221" s="7" t="n">
        <v>1505.2</v>
      </c>
      <c r="N221" s="7" t="n">
        <v>1163.4</v>
      </c>
      <c r="P221" s="7" t="n">
        <v>526.2</v>
      </c>
      <c r="R221" s="7" t="n">
        <v>3368.3</v>
      </c>
      <c r="T221" s="7" t="n">
        <v>523.2</v>
      </c>
      <c r="V221" s="7" t="n">
        <v>1989.9</v>
      </c>
      <c r="X221" s="7" t="n">
        <v>1184.2</v>
      </c>
      <c r="Z221" s="7" t="n">
        <v>810.2</v>
      </c>
      <c r="AB221" s="7" t="n">
        <v>16938</v>
      </c>
    </row>
    <row r="222">
      <c r="A222" s="4" t="inlineStr">
        <is>
          <t>装修费</t>
        </is>
      </c>
      <c r="D222" s="7" t="n">
        <v>1417.4</v>
      </c>
      <c r="F222" s="7" t="n">
        <v>870.8</v>
      </c>
      <c r="H222" s="7" t="n">
        <v>1825</v>
      </c>
      <c r="J222" s="7" t="n">
        <v>895.9</v>
      </c>
      <c r="L222" s="7" t="n">
        <v>1469.4</v>
      </c>
      <c r="N222" s="7" t="n">
        <v>639.6</v>
      </c>
      <c r="P222" s="7" t="n">
        <v>565.9</v>
      </c>
      <c r="R222" s="7" t="n">
        <v>1742</v>
      </c>
      <c r="T222" s="7" t="n">
        <v>272.8</v>
      </c>
      <c r="V222" s="7" t="n">
        <v>1910.1</v>
      </c>
      <c r="X222" s="7" t="n">
        <v>1485.3</v>
      </c>
      <c r="Z222" s="7" t="n">
        <v>582.2</v>
      </c>
      <c r="AB222" s="7" t="n">
        <v>13676.4</v>
      </c>
    </row>
    <row r="223">
      <c r="A223" s="4" t="inlineStr">
        <is>
          <t>推广费</t>
        </is>
      </c>
      <c r="D223" s="7" t="n">
        <v>855.8</v>
      </c>
      <c r="F223" s="7" t="n">
        <v>483</v>
      </c>
      <c r="H223" s="7" t="n">
        <v>984.8</v>
      </c>
      <c r="J223" s="7" t="n">
        <v>400.8</v>
      </c>
      <c r="L223" s="7" t="n">
        <v>1251.4</v>
      </c>
      <c r="N223" s="7" t="n">
        <v>664.7</v>
      </c>
      <c r="P223" s="7" t="n">
        <v>292.9</v>
      </c>
      <c r="R223" s="7" t="n">
        <v>1865.7</v>
      </c>
      <c r="T223" s="7" t="n">
        <v>222.7</v>
      </c>
      <c r="V223" s="7" t="n">
        <v>1042</v>
      </c>
      <c r="X223" s="7" t="n">
        <v>679</v>
      </c>
      <c r="Z223" s="7" t="n">
        <v>525.2</v>
      </c>
      <c r="AB223" s="7" t="n">
        <v>9268</v>
      </c>
    </row>
    <row r="224">
      <c r="A224" s="4" t="inlineStr">
        <is>
          <t>展会费</t>
        </is>
      </c>
      <c r="D224" s="7" t="n">
        <v>653.5</v>
      </c>
      <c r="F224" s="7" t="n">
        <v>549.4</v>
      </c>
      <c r="H224" s="7" t="n">
        <v>996</v>
      </c>
      <c r="J224" s="7" t="n">
        <v>552.1</v>
      </c>
      <c r="L224" s="7" t="n">
        <v>856.7</v>
      </c>
      <c r="N224" s="7" t="n">
        <v>524.3</v>
      </c>
      <c r="P224" s="7" t="n">
        <v>322.7</v>
      </c>
      <c r="R224" s="7" t="n">
        <v>1557.1</v>
      </c>
      <c r="T224" s="7" t="n">
        <v>193.2</v>
      </c>
      <c r="V224" s="7" t="n">
        <v>1130.6</v>
      </c>
      <c r="X224" s="7" t="n">
        <v>622.5</v>
      </c>
      <c r="Z224" s="7" t="n">
        <v>358</v>
      </c>
      <c r="AB224" s="7" t="n">
        <v>8316.1</v>
      </c>
    </row>
    <row r="225">
      <c r="A225" s="4" t="inlineStr">
        <is>
          <t>设计费</t>
        </is>
      </c>
      <c r="D225" s="7" t="n">
        <v>1162.7</v>
      </c>
      <c r="F225" s="7" t="n">
        <v>1293.9</v>
      </c>
      <c r="H225" s="7" t="n">
        <v>1830.7</v>
      </c>
      <c r="J225" s="7" t="n">
        <v>926.9</v>
      </c>
      <c r="L225" s="7" t="n">
        <v>1515</v>
      </c>
      <c r="N225" s="7" t="n">
        <v>900.5</v>
      </c>
      <c r="P225" s="7" t="n">
        <v>645.1</v>
      </c>
      <c r="R225" s="7" t="n">
        <v>3559</v>
      </c>
      <c r="T225" s="7" t="n">
        <v>493.2</v>
      </c>
      <c r="V225" s="7" t="n">
        <v>2742.1</v>
      </c>
      <c r="X225" s="7" t="n">
        <v>1448</v>
      </c>
      <c r="Z225" s="7" t="n">
        <v>934.4</v>
      </c>
      <c r="AB225" s="7" t="n">
        <v>17451.5</v>
      </c>
    </row>
    <row r="226">
      <c r="A226" s="4" t="inlineStr">
        <is>
          <t>折旧费</t>
        </is>
      </c>
      <c r="D226" s="7" t="n">
        <v>10282.8</v>
      </c>
      <c r="F226" s="7" t="n">
        <v>8055</v>
      </c>
      <c r="H226" s="7" t="n">
        <v>13817</v>
      </c>
      <c r="J226" s="7" t="n">
        <v>7759.2</v>
      </c>
      <c r="L226" s="7" t="n">
        <v>13169.1</v>
      </c>
      <c r="N226" s="7" t="n">
        <v>5238.1</v>
      </c>
      <c r="P226" s="7" t="n">
        <v>4591.2</v>
      </c>
      <c r="R226" s="7" t="n">
        <v>16029</v>
      </c>
      <c r="T226" s="7" t="n">
        <v>3014.8</v>
      </c>
      <c r="V226" s="7" t="n">
        <v>17693</v>
      </c>
      <c r="X226" s="7" t="n">
        <v>6859.9</v>
      </c>
      <c r="Z226" s="7" t="n">
        <v>5621.7</v>
      </c>
      <c r="AB226" s="7" t="n">
        <v>112130.8</v>
      </c>
    </row>
    <row r="227">
      <c r="A227" s="4" t="inlineStr">
        <is>
          <t>认证费</t>
        </is>
      </c>
      <c r="D227" s="7" t="n">
        <v>279.8</v>
      </c>
      <c r="F227" s="7" t="n">
        <v>296.8</v>
      </c>
      <c r="H227" s="7" t="n">
        <v>281.3</v>
      </c>
      <c r="J227" s="7" t="n">
        <v>270.3</v>
      </c>
      <c r="L227" s="7" t="n">
        <v>318.6</v>
      </c>
      <c r="N227" s="7" t="n">
        <v>149.4</v>
      </c>
      <c r="P227" s="7" t="n">
        <v>161.3</v>
      </c>
      <c r="R227" s="7" t="n">
        <v>517</v>
      </c>
      <c r="T227" s="7" t="n">
        <v>98.2</v>
      </c>
      <c r="V227" s="7" t="n">
        <v>647.3</v>
      </c>
      <c r="X227" s="7" t="n">
        <v>281.3</v>
      </c>
      <c r="Z227" s="7" t="n">
        <v>198.3</v>
      </c>
      <c r="AB227" s="7" t="n">
        <v>3499.6</v>
      </c>
    </row>
    <row r="228">
      <c r="A228" s="4" t="inlineStr">
        <is>
          <t>样品费</t>
        </is>
      </c>
      <c r="D228" s="7" t="n">
        <v>4866.1</v>
      </c>
      <c r="F228" s="7" t="n">
        <v>3633.3</v>
      </c>
      <c r="H228" s="7" t="n">
        <v>4264.6</v>
      </c>
      <c r="J228" s="7" t="n">
        <v>4199.6</v>
      </c>
      <c r="L228" s="7" t="n">
        <v>4535</v>
      </c>
      <c r="N228" s="7" t="n">
        <v>3254.8</v>
      </c>
      <c r="P228" s="7" t="n">
        <v>2103.5</v>
      </c>
      <c r="R228" s="7" t="n">
        <v>11949.1</v>
      </c>
      <c r="T228" s="7" t="n">
        <v>1253</v>
      </c>
      <c r="V228" s="7" t="n">
        <v>7224.5</v>
      </c>
      <c r="X228" s="7" t="n">
        <v>3603.7</v>
      </c>
      <c r="Z228" s="7" t="n">
        <v>2048.8</v>
      </c>
      <c r="AB228" s="7" t="n">
        <v>52936</v>
      </c>
    </row>
    <row r="229">
      <c r="A229" s="4" t="inlineStr">
        <is>
          <t>劳务费</t>
        </is>
      </c>
      <c r="D229" s="7" t="n">
        <v>198.3</v>
      </c>
      <c r="F229" s="7" t="n">
        <v>181.6</v>
      </c>
      <c r="H229" s="7" t="n">
        <v>243.8</v>
      </c>
      <c r="J229" s="7" t="n">
        <v>168.2</v>
      </c>
      <c r="L229" s="7" t="n">
        <v>330.7</v>
      </c>
      <c r="N229" s="7" t="n">
        <v>149.5</v>
      </c>
      <c r="P229" s="7" t="n">
        <v>130.6</v>
      </c>
      <c r="R229" s="7" t="n">
        <v>485.1</v>
      </c>
      <c r="T229" s="7" t="n">
        <v>55.6</v>
      </c>
      <c r="V229" s="7" t="n">
        <v>342.7</v>
      </c>
      <c r="X229" s="7" t="n">
        <v>241.4</v>
      </c>
      <c r="Z229" s="7" t="n">
        <v>132.6</v>
      </c>
      <c r="AB229" s="7" t="n">
        <v>2660.1</v>
      </c>
    </row>
    <row r="230">
      <c r="A230" s="4" t="inlineStr">
        <is>
          <t>销售佣金</t>
        </is>
      </c>
      <c r="D230" s="7" t="n">
        <v>553.7</v>
      </c>
      <c r="F230" s="7" t="n">
        <v>483.5</v>
      </c>
      <c r="H230" s="7" t="n">
        <v>950.1</v>
      </c>
      <c r="J230" s="7" t="n">
        <v>360.8</v>
      </c>
      <c r="L230" s="7" t="n">
        <v>706.3</v>
      </c>
      <c r="N230" s="7" t="n">
        <v>527.1</v>
      </c>
      <c r="P230" s="7" t="n">
        <v>315.5</v>
      </c>
      <c r="R230" s="7" t="n">
        <v>1324.7</v>
      </c>
      <c r="T230" s="7" t="n">
        <v>219.3</v>
      </c>
      <c r="V230" s="7" t="n">
        <v>1065.7</v>
      </c>
      <c r="X230" s="7" t="n">
        <v>487.9</v>
      </c>
      <c r="Z230" s="7" t="n">
        <v>268.8</v>
      </c>
      <c r="AB230" s="7" t="n">
        <v>7263.4</v>
      </c>
    </row>
    <row r="231">
      <c r="A231" s="4" t="inlineStr">
        <is>
          <t>检测费</t>
        </is>
      </c>
      <c r="D231" s="7" t="n">
        <v>658.1</v>
      </c>
      <c r="F231" s="7" t="n">
        <v>582.8</v>
      </c>
      <c r="H231" s="7" t="n">
        <v>844.4</v>
      </c>
      <c r="J231" s="7" t="n">
        <v>441.8</v>
      </c>
      <c r="L231" s="7" t="n">
        <v>1192.3</v>
      </c>
      <c r="N231" s="7" t="n">
        <v>444.1</v>
      </c>
      <c r="P231" s="7" t="n">
        <v>431.8</v>
      </c>
      <c r="R231" s="7" t="n">
        <v>1655.2</v>
      </c>
      <c r="T231" s="7" t="n">
        <v>181.8</v>
      </c>
      <c r="V231" s="7" t="n">
        <v>1331.1</v>
      </c>
      <c r="X231" s="7" t="n">
        <v>836.6</v>
      </c>
      <c r="Z231" s="7" t="n">
        <v>362.9</v>
      </c>
      <c r="AB231" s="7" t="n">
        <v>8962.9</v>
      </c>
    </row>
    <row r="232">
      <c r="A232" s="4" t="inlineStr">
        <is>
          <t>质量赔偿</t>
        </is>
      </c>
      <c r="D232" s="7" t="n">
        <v>457.6</v>
      </c>
      <c r="F232" s="7" t="n">
        <v>556.8</v>
      </c>
      <c r="H232" s="7" t="n">
        <v>643.1</v>
      </c>
      <c r="J232" s="7" t="n">
        <v>589.3</v>
      </c>
      <c r="L232" s="7" t="n">
        <v>782.7</v>
      </c>
      <c r="N232" s="7" t="n">
        <v>582.5</v>
      </c>
      <c r="P232" s="7" t="n">
        <v>345.6</v>
      </c>
      <c r="R232" s="7" t="n">
        <v>1340.2</v>
      </c>
      <c r="T232" s="7" t="n">
        <v>179.1</v>
      </c>
      <c r="V232" s="7" t="n">
        <v>1406.2</v>
      </c>
      <c r="X232" s="7" t="n">
        <v>607</v>
      </c>
      <c r="Z232" s="7" t="n">
        <v>252</v>
      </c>
      <c r="AB232" s="7" t="n">
        <v>7742.1</v>
      </c>
    </row>
    <row r="233">
      <c r="A233" s="4" t="inlineStr">
        <is>
          <t>保险费</t>
        </is>
      </c>
      <c r="D233" s="7" t="n">
        <v>834.3</v>
      </c>
      <c r="F233" s="7" t="n">
        <v>513.8</v>
      </c>
      <c r="H233" s="7" t="n">
        <v>1146.8</v>
      </c>
      <c r="J233" s="7" t="n">
        <v>368.1</v>
      </c>
      <c r="L233" s="7" t="n">
        <v>1219.4</v>
      </c>
      <c r="N233" s="7" t="n">
        <v>509.8</v>
      </c>
      <c r="P233" s="7" t="n">
        <v>357.5</v>
      </c>
      <c r="R233" s="7" t="n">
        <v>1802.3</v>
      </c>
      <c r="T233" s="7" t="n">
        <v>199</v>
      </c>
      <c r="V233" s="7" t="n">
        <v>1173.5</v>
      </c>
      <c r="X233" s="7" t="n">
        <v>770.8</v>
      </c>
      <c r="Z233" s="7" t="n">
        <v>431.9</v>
      </c>
      <c r="AB233" s="7" t="n">
        <v>9327.200000000001</v>
      </c>
    </row>
    <row r="234">
      <c r="A234" s="4" t="inlineStr">
        <is>
          <t>清洁费</t>
        </is>
      </c>
      <c r="D234" s="7" t="n">
        <v>556.5</v>
      </c>
      <c r="F234" s="7" t="n">
        <v>738.7</v>
      </c>
      <c r="H234" s="7" t="n">
        <v>1018.7</v>
      </c>
      <c r="J234" s="7" t="n">
        <v>508.2</v>
      </c>
      <c r="L234" s="7" t="n">
        <v>996</v>
      </c>
      <c r="N234" s="7" t="n">
        <v>437.9</v>
      </c>
      <c r="P234" s="7" t="n">
        <v>290.7</v>
      </c>
      <c r="R234" s="7" t="n">
        <v>1700.2</v>
      </c>
      <c r="T234" s="7" t="n">
        <v>204.3</v>
      </c>
      <c r="V234" s="7" t="n">
        <v>1357.2</v>
      </c>
      <c r="X234" s="7" t="n">
        <v>836.3</v>
      </c>
      <c r="Z234" s="7" t="n">
        <v>575.2</v>
      </c>
      <c r="AB234" s="7" t="n">
        <v>9219.9</v>
      </c>
    </row>
    <row r="235">
      <c r="A235" s="4" t="inlineStr">
        <is>
          <t>低值易耗品</t>
        </is>
      </c>
      <c r="D235" s="7" t="n">
        <v>529.4</v>
      </c>
      <c r="F235" s="7" t="n">
        <v>364.9</v>
      </c>
      <c r="H235" s="7" t="n">
        <v>524.5</v>
      </c>
      <c r="J235" s="7" t="n">
        <v>414.7</v>
      </c>
      <c r="L235" s="7" t="n">
        <v>644.1</v>
      </c>
      <c r="N235" s="7" t="n">
        <v>299.2</v>
      </c>
      <c r="P235" s="7" t="n">
        <v>298.4</v>
      </c>
      <c r="R235" s="7" t="n">
        <v>928.2</v>
      </c>
      <c r="T235" s="7" t="n">
        <v>143.3</v>
      </c>
      <c r="V235" s="7" t="n">
        <v>935.2</v>
      </c>
      <c r="X235" s="7" t="n">
        <v>347.1</v>
      </c>
      <c r="Z235" s="7" t="n">
        <v>313.9</v>
      </c>
      <c r="AB235" s="7" t="n">
        <v>5742.9</v>
      </c>
    </row>
    <row r="236">
      <c r="A236" s="4" t="inlineStr">
        <is>
          <t>物料消耗</t>
        </is>
      </c>
      <c r="D236" s="7" t="n">
        <v>679.6</v>
      </c>
      <c r="F236" s="7" t="n">
        <v>806.8</v>
      </c>
      <c r="H236" s="7" t="n">
        <v>1542.8</v>
      </c>
      <c r="J236" s="7" t="n">
        <v>807.1</v>
      </c>
      <c r="L236" s="7" t="n">
        <v>1276.1</v>
      </c>
      <c r="N236" s="7" t="n">
        <v>887</v>
      </c>
      <c r="P236" s="7" t="n">
        <v>527.1</v>
      </c>
      <c r="R236" s="7" t="n">
        <v>2411.1</v>
      </c>
      <c r="T236" s="7" t="n">
        <v>305.1</v>
      </c>
      <c r="V236" s="7" t="n">
        <v>2101.3</v>
      </c>
      <c r="X236" s="7" t="n">
        <v>1082.4</v>
      </c>
      <c r="Z236" s="7" t="n">
        <v>426.8</v>
      </c>
      <c r="AB236" s="7" t="n">
        <v>12853.2</v>
      </c>
    </row>
    <row r="237">
      <c r="A237" s="4" t="inlineStr">
        <is>
          <t>盘盈盘亏</t>
        </is>
      </c>
      <c r="D237" s="7" t="n">
        <v>55.6</v>
      </c>
      <c r="F237" s="7" t="n">
        <v>43.2</v>
      </c>
      <c r="H237" s="7" t="n">
        <v>65.7</v>
      </c>
      <c r="J237" s="7" t="n">
        <v>31.9</v>
      </c>
      <c r="L237" s="7" t="n">
        <v>76.5</v>
      </c>
      <c r="N237" s="7" t="n">
        <v>41.1</v>
      </c>
      <c r="P237" s="7" t="n">
        <v>20.6</v>
      </c>
      <c r="R237" s="7" t="n">
        <v>80.40000000000001</v>
      </c>
      <c r="T237" s="7" t="n">
        <v>16.6</v>
      </c>
      <c r="V237" s="7" t="n">
        <v>96</v>
      </c>
      <c r="X237" s="7" t="n">
        <v>33.5</v>
      </c>
      <c r="Z237" s="7" t="n">
        <v>26.8</v>
      </c>
      <c r="AB237" s="7" t="n">
        <v>587.9</v>
      </c>
    </row>
    <row r="238">
      <c r="A238" s="4" t="inlineStr">
        <is>
          <t>平台服务费</t>
        </is>
      </c>
      <c r="D238" s="7" t="n">
        <v>1357</v>
      </c>
      <c r="F238" s="7" t="n">
        <v>987.1</v>
      </c>
      <c r="H238" s="7" t="n">
        <v>1281.9</v>
      </c>
      <c r="J238" s="7" t="n">
        <v>920</v>
      </c>
      <c r="L238" s="7" t="n">
        <v>2442.8</v>
      </c>
      <c r="N238" s="7" t="n">
        <v>949.8</v>
      </c>
      <c r="P238" s="7" t="n">
        <v>513</v>
      </c>
      <c r="R238" s="7" t="n">
        <v>3222.3</v>
      </c>
      <c r="T238" s="7" t="n">
        <v>380.9</v>
      </c>
      <c r="V238" s="7" t="n">
        <v>2935.1</v>
      </c>
      <c r="X238" s="7" t="n">
        <v>1209.5</v>
      </c>
      <c r="Z238" s="7" t="n">
        <v>824.9</v>
      </c>
      <c r="AB238" s="7" t="n">
        <v>17024.3</v>
      </c>
    </row>
    <row r="239">
      <c r="A239" s="4" t="inlineStr">
        <is>
          <t>无形资产摊销</t>
        </is>
      </c>
      <c r="D239" s="7" t="n">
        <v>472.7</v>
      </c>
      <c r="F239" s="7" t="n">
        <v>571</v>
      </c>
      <c r="H239" s="7" t="n">
        <v>784.9</v>
      </c>
      <c r="J239" s="7" t="n">
        <v>339</v>
      </c>
      <c r="L239" s="7" t="n">
        <v>618.1</v>
      </c>
      <c r="N239" s="7" t="n">
        <v>480.2</v>
      </c>
      <c r="P239" s="7" t="n">
        <v>247.4</v>
      </c>
      <c r="R239" s="7" t="n">
        <v>1429.3</v>
      </c>
      <c r="T239" s="7" t="n">
        <v>174.4</v>
      </c>
      <c r="V239" s="7" t="n">
        <v>1002.8</v>
      </c>
      <c r="X239" s="7" t="n">
        <v>575.2</v>
      </c>
      <c r="Z239" s="7" t="n">
        <v>351.8</v>
      </c>
      <c r="AB239" s="7" t="n">
        <v>7046.8</v>
      </c>
    </row>
    <row r="240">
      <c r="A240" s="4" t="inlineStr">
        <is>
          <t>研发材料</t>
        </is>
      </c>
      <c r="D240" s="7" t="n">
        <v>941</v>
      </c>
      <c r="F240" s="7" t="n">
        <v>744.1</v>
      </c>
      <c r="H240" s="7" t="n">
        <v>804.3</v>
      </c>
      <c r="J240" s="7" t="n">
        <v>497.2</v>
      </c>
      <c r="L240" s="7" t="n">
        <v>870.7</v>
      </c>
      <c r="N240" s="7" t="n">
        <v>536.9</v>
      </c>
      <c r="P240" s="7" t="n">
        <v>428.4</v>
      </c>
      <c r="R240" s="7" t="n">
        <v>1525.4</v>
      </c>
      <c r="T240" s="7" t="n">
        <v>264.6</v>
      </c>
      <c r="V240" s="7" t="n">
        <v>1834.1</v>
      </c>
      <c r="X240" s="7" t="n">
        <v>708.7</v>
      </c>
      <c r="Z240" s="7" t="n">
        <v>553.7</v>
      </c>
      <c r="AB240" s="7" t="n">
        <v>9709.1</v>
      </c>
    </row>
    <row r="241">
      <c r="A241" s="4" t="inlineStr">
        <is>
          <t>项目名称</t>
        </is>
      </c>
      <c r="D241" s="7" t="n">
        <v>1659.4</v>
      </c>
      <c r="F241" s="7" t="n">
        <v>1280.4</v>
      </c>
      <c r="H241" s="7" t="n">
        <v>1625</v>
      </c>
      <c r="J241" s="7" t="n">
        <v>1162.6</v>
      </c>
      <c r="L241" s="7" t="n">
        <v>2008.7</v>
      </c>
      <c r="N241" s="7" t="n">
        <v>1389.2</v>
      </c>
      <c r="P241" s="7" t="n">
        <v>781.9</v>
      </c>
      <c r="R241" s="7" t="n">
        <v>4046.2</v>
      </c>
      <c r="T241" s="7" t="n">
        <v>334.6</v>
      </c>
      <c r="V241" s="7" t="n">
        <v>3474.4</v>
      </c>
      <c r="X241" s="7" t="n">
        <v>1462.8</v>
      </c>
      <c r="Z241" s="7" t="n">
        <v>1137.8</v>
      </c>
      <c r="AB241" s="7" t="n">
        <v>20363</v>
      </c>
    </row>
    <row r="242">
      <c r="A242" s="4" t="inlineStr">
        <is>
          <t>研发费</t>
        </is>
      </c>
      <c r="D242" s="7" t="n">
        <v>455.3</v>
      </c>
      <c r="F242" s="7" t="n">
        <v>339.9</v>
      </c>
      <c r="H242" s="7" t="n">
        <v>483.3</v>
      </c>
      <c r="J242" s="7" t="n">
        <v>358.2</v>
      </c>
      <c r="L242" s="7" t="n">
        <v>702.1</v>
      </c>
      <c r="N242" s="7" t="n">
        <v>253.7</v>
      </c>
      <c r="P242" s="7" t="n">
        <v>172.6</v>
      </c>
      <c r="R242" s="7" t="n">
        <v>840.7</v>
      </c>
      <c r="T242" s="7" t="n">
        <v>122.6</v>
      </c>
      <c r="V242" s="7" t="n">
        <v>534.2</v>
      </c>
      <c r="X242" s="7" t="n">
        <v>344</v>
      </c>
      <c r="Z242" s="7" t="n">
        <v>181.5</v>
      </c>
      <c r="AB242" s="7" t="n">
        <v>4788.1</v>
      </c>
    </row>
    <row r="243">
      <c r="A243" s="4" t="inlineStr">
        <is>
          <t>残保金</t>
        </is>
      </c>
      <c r="D243" s="7" t="n">
        <v>613.2</v>
      </c>
      <c r="F243" s="7" t="n">
        <v>826.9</v>
      </c>
      <c r="H243" s="7" t="n">
        <v>1415.3</v>
      </c>
      <c r="J243" s="7" t="n">
        <v>617.3</v>
      </c>
      <c r="L243" s="7" t="n">
        <v>886.8</v>
      </c>
      <c r="N243" s="7" t="n">
        <v>539</v>
      </c>
      <c r="P243" s="7" t="n">
        <v>331.9</v>
      </c>
      <c r="R243" s="7" t="n">
        <v>1633.5</v>
      </c>
      <c r="T243" s="7" t="n">
        <v>283.8</v>
      </c>
      <c r="V243" s="7" t="n">
        <v>1201.8</v>
      </c>
      <c r="X243" s="7" t="n">
        <v>868.3</v>
      </c>
      <c r="Z243" s="7" t="n">
        <v>599.1</v>
      </c>
      <c r="AB243" s="7" t="n">
        <v>9816.9</v>
      </c>
    </row>
    <row r="244">
      <c r="A244" s="4" t="inlineStr">
        <is>
          <t>环保费</t>
        </is>
      </c>
      <c r="D244" s="7" t="n">
        <v>955.7</v>
      </c>
      <c r="F244" s="7" t="n">
        <v>675.5</v>
      </c>
      <c r="H244" s="7" t="n">
        <v>969</v>
      </c>
      <c r="J244" s="7" t="n">
        <v>512.6</v>
      </c>
      <c r="L244" s="7" t="n">
        <v>1040.3</v>
      </c>
      <c r="N244" s="7" t="n">
        <v>594.4</v>
      </c>
      <c r="P244" s="7" t="n">
        <v>315.5</v>
      </c>
      <c r="R244" s="7" t="n">
        <v>1718.7</v>
      </c>
      <c r="T244" s="7" t="n">
        <v>321.6</v>
      </c>
      <c r="V244" s="7" t="n">
        <v>2080.1</v>
      </c>
      <c r="X244" s="7" t="n">
        <v>1061.3</v>
      </c>
      <c r="Z244" s="7" t="n">
        <v>561.6</v>
      </c>
      <c r="AB244" s="7" t="n">
        <v>10806.3</v>
      </c>
    </row>
    <row r="245">
      <c r="A245" s="4" t="inlineStr">
        <is>
          <t>报废损失</t>
        </is>
      </c>
      <c r="D245" s="7" t="n">
        <v>1231.8</v>
      </c>
      <c r="F245" s="7" t="n">
        <v>1013</v>
      </c>
      <c r="H245" s="7" t="n">
        <v>1104.1</v>
      </c>
      <c r="J245" s="7" t="n">
        <v>636.5</v>
      </c>
      <c r="L245" s="7" t="n">
        <v>1145.7</v>
      </c>
      <c r="N245" s="7" t="n">
        <v>752.5</v>
      </c>
      <c r="P245" s="7" t="n">
        <v>671.2</v>
      </c>
      <c r="R245" s="7" t="n">
        <v>1819.6</v>
      </c>
      <c r="T245" s="7" t="n">
        <v>273.7</v>
      </c>
      <c r="V245" s="7" t="n">
        <v>2651.3</v>
      </c>
      <c r="X245" s="7" t="n">
        <v>1133.4</v>
      </c>
      <c r="Z245" s="7" t="n">
        <v>595.2</v>
      </c>
      <c r="AB245" s="7" t="n">
        <v>13028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5139.5</v>
      </c>
      <c r="D246" s="7" t="n">
        <v>10654.6</v>
      </c>
      <c r="E246" s="7" t="n">
        <v>5796.5</v>
      </c>
      <c r="F246" s="7" t="n">
        <v>-3355.2</v>
      </c>
      <c r="G246" s="7" t="n">
        <v>5931.9</v>
      </c>
      <c r="H246" s="7" t="n">
        <v>11939.1</v>
      </c>
      <c r="I246" s="7" t="n">
        <v>5515.4</v>
      </c>
      <c r="J246" s="7" t="n">
        <v>8981.5</v>
      </c>
      <c r="K246" s="7" t="n">
        <v>5068.8</v>
      </c>
      <c r="L246" s="7" t="n">
        <v>2372.9</v>
      </c>
      <c r="M246" s="7" t="n">
        <v>6024</v>
      </c>
      <c r="N246" s="7" t="n">
        <v>4536.4</v>
      </c>
      <c r="O246" s="7" t="n">
        <v>5777</v>
      </c>
      <c r="P246" s="7" t="n">
        <v>-2604.2</v>
      </c>
      <c r="Q246" s="7" t="n">
        <v>5251.6</v>
      </c>
      <c r="R246" s="7" t="n">
        <v>13799.1</v>
      </c>
      <c r="S246" s="7" t="n">
        <v>5050.5</v>
      </c>
      <c r="T246" s="7" t="n">
        <v>827.8</v>
      </c>
      <c r="U246" s="7" t="n">
        <v>4833.7</v>
      </c>
      <c r="V246" s="7" t="n">
        <v>9989.4</v>
      </c>
      <c r="W246" s="7" t="n">
        <v>4690.3</v>
      </c>
      <c r="X246" s="7" t="n">
        <v>11493.1</v>
      </c>
      <c r="Y246" s="7" t="n">
        <v>5477</v>
      </c>
      <c r="Z246" s="7" t="n">
        <v>-4734.8</v>
      </c>
      <c r="AA246" s="8" t="n">
        <v>64556.2</v>
      </c>
      <c r="AB246" s="8" t="n">
        <v>63899.7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-4324.6</v>
      </c>
      <c r="E248" s="7" t="n">
        <v>0</v>
      </c>
      <c r="F248" s="7" t="n">
        <v>2894.2</v>
      </c>
      <c r="G248" s="7" t="n">
        <v>0</v>
      </c>
      <c r="H248" s="7" t="n">
        <v>-3063.9</v>
      </c>
      <c r="I248" s="7" t="n">
        <v>0</v>
      </c>
      <c r="J248" s="7" t="n">
        <v>732.1</v>
      </c>
      <c r="K248" s="7" t="n">
        <v>0</v>
      </c>
      <c r="L248" s="7" t="n">
        <v>1373.6</v>
      </c>
      <c r="M248" s="7" t="n">
        <v>0</v>
      </c>
      <c r="N248" s="7" t="n">
        <v>-2437.1</v>
      </c>
      <c r="O248" s="7" t="n">
        <v>0</v>
      </c>
      <c r="P248" s="7" t="n">
        <v>-789.9</v>
      </c>
      <c r="Q248" s="7" t="n">
        <v>0</v>
      </c>
      <c r="R248" s="7" t="n">
        <v>2246.2</v>
      </c>
      <c r="S248" s="7" t="n">
        <v>0</v>
      </c>
      <c r="T248" s="7" t="n">
        <v>-553.8</v>
      </c>
      <c r="U248" s="7" t="n">
        <v>0</v>
      </c>
      <c r="V248" s="7" t="n">
        <v>-2568.5</v>
      </c>
      <c r="W248" s="7" t="n">
        <v>0</v>
      </c>
      <c r="X248" s="7" t="n">
        <v>2970.3</v>
      </c>
      <c r="Y248" s="7" t="n">
        <v>0</v>
      </c>
      <c r="Z248" s="7" t="n">
        <v>-4395.1</v>
      </c>
      <c r="AA248" s="7" t="n">
        <v>0</v>
      </c>
      <c r="AB248" s="7" t="n">
        <v>-7916.5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14387.2</v>
      </c>
      <c r="D253" s="7" t="n">
        <v>9350</v>
      </c>
      <c r="E253" s="7" t="n">
        <v>14773.7</v>
      </c>
      <c r="F253" s="7" t="n">
        <v>13075.4</v>
      </c>
      <c r="G253" s="7" t="n">
        <v>12161.2</v>
      </c>
      <c r="H253" s="7" t="n">
        <v>28792.2</v>
      </c>
      <c r="I253" s="7" t="n">
        <v>14053.5</v>
      </c>
      <c r="J253" s="7" t="n">
        <v>22631.2</v>
      </c>
      <c r="K253" s="7" t="n">
        <v>15433.7</v>
      </c>
      <c r="L253" s="7" t="n">
        <v>9335.6</v>
      </c>
      <c r="M253" s="7" t="n">
        <v>15532.7</v>
      </c>
      <c r="N253" s="7" t="n">
        <v>26556.7</v>
      </c>
      <c r="O253" s="7" t="n">
        <v>13695.7</v>
      </c>
      <c r="P253" s="7" t="n">
        <v>23264.9</v>
      </c>
      <c r="Q253" s="7" t="n">
        <v>12742.1</v>
      </c>
      <c r="R253" s="7" t="n">
        <v>4422.3</v>
      </c>
      <c r="S253" s="7" t="n">
        <v>12763</v>
      </c>
      <c r="T253" s="7" t="n">
        <v>9260.200000000001</v>
      </c>
      <c r="U253" s="7" t="n">
        <v>15742.2</v>
      </c>
      <c r="V253" s="7" t="n">
        <v>10287</v>
      </c>
      <c r="W253" s="7" t="n">
        <v>15223.7</v>
      </c>
      <c r="X253" s="7" t="n">
        <v>11064.9</v>
      </c>
      <c r="Y253" s="7" t="n">
        <v>13357</v>
      </c>
      <c r="Z253" s="7" t="n">
        <v>242.5</v>
      </c>
      <c r="AA253" s="7" t="n">
        <v>169865.7</v>
      </c>
      <c r="AB253" s="7" t="n">
        <v>168282.9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636054.7</v>
      </c>
      <c r="D254" s="7" t="n">
        <v>663360.9</v>
      </c>
      <c r="E254" s="7" t="n">
        <v>675253.6</v>
      </c>
      <c r="F254" s="7" t="n">
        <v>601917.5</v>
      </c>
      <c r="G254" s="7" t="n">
        <v>627539.7</v>
      </c>
      <c r="H254" s="7" t="n">
        <v>980975.7</v>
      </c>
      <c r="I254" s="7" t="n">
        <v>676054.2</v>
      </c>
      <c r="J254" s="7" t="n">
        <v>808398.4</v>
      </c>
      <c r="K254" s="7" t="n">
        <v>677657.6</v>
      </c>
      <c r="L254" s="7" t="n">
        <v>795843.3</v>
      </c>
      <c r="M254" s="7" t="n">
        <v>764730.5</v>
      </c>
      <c r="N254" s="7" t="n">
        <v>461943.7</v>
      </c>
      <c r="O254" s="7" t="n">
        <v>679592</v>
      </c>
      <c r="P254" s="7" t="n">
        <v>1341285.3</v>
      </c>
      <c r="Q254" s="7" t="n">
        <v>789209.5</v>
      </c>
      <c r="R254" s="7" t="n">
        <v>1158929.1</v>
      </c>
      <c r="S254" s="7" t="n">
        <v>837430.6</v>
      </c>
      <c r="T254" s="7" t="n">
        <v>223287.1</v>
      </c>
      <c r="U254" s="7" t="n">
        <v>700051.8</v>
      </c>
      <c r="V254" s="7" t="n">
        <v>820985.7</v>
      </c>
      <c r="W254" s="7" t="n">
        <v>790425</v>
      </c>
      <c r="X254" s="7" t="n">
        <v>663183.4</v>
      </c>
      <c r="Y254" s="7" t="n">
        <v>672137.1</v>
      </c>
      <c r="Z254" s="7" t="n">
        <v>327729.1</v>
      </c>
      <c r="AA254" s="8" t="n">
        <v>8526136.300000001</v>
      </c>
      <c r="AB254" s="8" t="n">
        <v>8847839.199999999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921.2</v>
      </c>
      <c r="E255" s="7" t="n">
        <v>0</v>
      </c>
      <c r="F255" s="7" t="n">
        <v>4949.4</v>
      </c>
      <c r="G255" s="7" t="n">
        <v>0</v>
      </c>
      <c r="H255" s="7" t="n">
        <v>1814.1</v>
      </c>
      <c r="I255" s="7" t="n">
        <v>0</v>
      </c>
      <c r="J255" s="7" t="n">
        <v>368.7</v>
      </c>
      <c r="K255" s="7" t="n">
        <v>0</v>
      </c>
      <c r="L255" s="7" t="n">
        <v>150.1</v>
      </c>
      <c r="M255" s="7" t="n">
        <v>0</v>
      </c>
      <c r="N255" s="7" t="n">
        <v>575.9</v>
      </c>
      <c r="O255" s="7" t="n">
        <v>0</v>
      </c>
      <c r="P255" s="7" t="n">
        <v>1452.9</v>
      </c>
      <c r="Q255" s="7" t="n">
        <v>0</v>
      </c>
      <c r="R255" s="7" t="n">
        <v>972</v>
      </c>
      <c r="S255" s="7" t="n">
        <v>0</v>
      </c>
      <c r="T255" s="7" t="n">
        <v>2928.4</v>
      </c>
      <c r="U255" s="7" t="n">
        <v>0</v>
      </c>
      <c r="V255" s="7" t="n">
        <v>3827.7</v>
      </c>
      <c r="W255" s="7" t="n">
        <v>0</v>
      </c>
      <c r="X255" s="7" t="n">
        <v>219.5</v>
      </c>
      <c r="Y255" s="7" t="n">
        <v>0</v>
      </c>
      <c r="Z255" s="7" t="n">
        <v>148.4</v>
      </c>
      <c r="AA255" s="7" t="n">
        <v>0</v>
      </c>
      <c r="AB255" s="7" t="n">
        <v>18328.3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593.5</v>
      </c>
      <c r="E256" s="7" t="n">
        <v>0</v>
      </c>
      <c r="F256" s="7" t="n">
        <v>522.4</v>
      </c>
      <c r="G256" s="7" t="n">
        <v>0</v>
      </c>
      <c r="H256" s="7" t="n">
        <v>2656.1</v>
      </c>
      <c r="I256" s="7" t="n">
        <v>0</v>
      </c>
      <c r="J256" s="7" t="n">
        <v>2156.5</v>
      </c>
      <c r="K256" s="7" t="n">
        <v>0</v>
      </c>
      <c r="L256" s="7" t="n">
        <v>1019.5</v>
      </c>
      <c r="M256" s="7" t="n">
        <v>0</v>
      </c>
      <c r="N256" s="7" t="n">
        <v>1663.5</v>
      </c>
      <c r="O256" s="7" t="n">
        <v>0</v>
      </c>
      <c r="P256" s="7" t="n">
        <v>535.6</v>
      </c>
      <c r="Q256" s="7" t="n">
        <v>0</v>
      </c>
      <c r="R256" s="7" t="n">
        <v>64.5</v>
      </c>
      <c r="S256" s="7" t="n">
        <v>0</v>
      </c>
      <c r="T256" s="7" t="n">
        <v>2528.6</v>
      </c>
      <c r="U256" s="7" t="n">
        <v>0</v>
      </c>
      <c r="V256" s="7" t="n">
        <v>2731.9</v>
      </c>
      <c r="W256" s="7" t="n">
        <v>0</v>
      </c>
      <c r="X256" s="7" t="n">
        <v>63</v>
      </c>
      <c r="Y256" s="7" t="n">
        <v>0</v>
      </c>
      <c r="Z256" s="7" t="n">
        <v>2032.4</v>
      </c>
      <c r="AA256" s="7" t="n">
        <v>0</v>
      </c>
      <c r="AB256" s="7" t="n">
        <v>16567.5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845800.5</v>
      </c>
      <c r="D257" s="7" t="n">
        <v>647297.3</v>
      </c>
      <c r="E257" s="7" t="n">
        <v>660537.5</v>
      </c>
      <c r="F257" s="7" t="n">
        <v>636517.4</v>
      </c>
      <c r="G257" s="7" t="n">
        <v>678552</v>
      </c>
      <c r="H257" s="7" t="n">
        <v>904649.7</v>
      </c>
      <c r="I257" s="7" t="n">
        <v>856229.7</v>
      </c>
      <c r="J257" s="7" t="n">
        <v>878909.2</v>
      </c>
      <c r="K257" s="7" t="n">
        <v>826775.5</v>
      </c>
      <c r="L257" s="7" t="n">
        <v>764816.9</v>
      </c>
      <c r="M257" s="7" t="n">
        <v>689318.7</v>
      </c>
      <c r="N257" s="7" t="n">
        <v>437936.5</v>
      </c>
      <c r="O257" s="7" t="n">
        <v>731820.3</v>
      </c>
      <c r="P257" s="7" t="n">
        <v>1424307.6</v>
      </c>
      <c r="Q257" s="7" t="n">
        <v>730922.4</v>
      </c>
      <c r="R257" s="7" t="n">
        <v>1196225.5</v>
      </c>
      <c r="S257" s="7" t="n">
        <v>782260.8</v>
      </c>
      <c r="T257" s="7" t="n">
        <v>242988.2</v>
      </c>
      <c r="U257" s="7" t="n">
        <v>868267.3</v>
      </c>
      <c r="V257" s="7" t="n">
        <v>899324.5</v>
      </c>
      <c r="W257" s="7" t="n">
        <v>701366</v>
      </c>
      <c r="X257" s="7" t="n">
        <v>729196</v>
      </c>
      <c r="Y257" s="7" t="n">
        <v>656166.4</v>
      </c>
      <c r="Z257" s="7" t="n">
        <v>352745.6</v>
      </c>
      <c r="AA257" s="8" t="n">
        <v>9028017.1</v>
      </c>
      <c r="AB257" s="8" t="n">
        <v>9114914.4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196504</v>
      </c>
      <c r="D258" s="7" t="n">
        <v>161824.3</v>
      </c>
      <c r="E258" s="7" t="n">
        <v>172182.8</v>
      </c>
      <c r="F258" s="7" t="n">
        <v>159129.4</v>
      </c>
      <c r="G258" s="7" t="n">
        <v>191914.6</v>
      </c>
      <c r="H258" s="7" t="n">
        <v>226162.4</v>
      </c>
      <c r="I258" s="7" t="n">
        <v>206391.3</v>
      </c>
      <c r="J258" s="7" t="n">
        <v>219727.3</v>
      </c>
      <c r="K258" s="7" t="n">
        <v>180077.3</v>
      </c>
      <c r="L258" s="7" t="n">
        <v>191204.2</v>
      </c>
      <c r="M258" s="7" t="n">
        <v>164444</v>
      </c>
      <c r="N258" s="7" t="n">
        <v>109484.1</v>
      </c>
      <c r="O258" s="7" t="n">
        <v>206734.5</v>
      </c>
      <c r="P258" s="7" t="n">
        <v>356076.9</v>
      </c>
      <c r="Q258" s="7" t="n">
        <v>211134.7</v>
      </c>
      <c r="R258" s="7" t="n">
        <v>299056.4</v>
      </c>
      <c r="S258" s="7" t="n">
        <v>209918.5</v>
      </c>
      <c r="T258" s="7" t="n">
        <v>60747.1</v>
      </c>
      <c r="U258" s="7" t="n">
        <v>216577.1</v>
      </c>
      <c r="V258" s="7" t="n">
        <v>224831.1</v>
      </c>
      <c r="W258" s="7" t="n">
        <v>211874.3</v>
      </c>
      <c r="X258" s="7" t="n">
        <v>182299</v>
      </c>
      <c r="Y258" s="7" t="n">
        <v>173329.8</v>
      </c>
      <c r="Z258" s="7" t="n">
        <v>88186.39999999999</v>
      </c>
      <c r="AA258" s="7" t="n">
        <v>2341082.9</v>
      </c>
      <c r="AB258" s="7" t="n">
        <v>2278728.6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451388.4</v>
      </c>
      <c r="D259" s="7" t="n">
        <v>485473</v>
      </c>
      <c r="E259" s="7" t="n">
        <v>449457</v>
      </c>
      <c r="F259" s="7" t="n">
        <v>477388</v>
      </c>
      <c r="G259" s="7" t="n">
        <v>400027.2</v>
      </c>
      <c r="H259" s="7" t="n">
        <v>678487.3</v>
      </c>
      <c r="I259" s="7" t="n">
        <v>502626.6</v>
      </c>
      <c r="J259" s="7" t="n">
        <v>659181.9</v>
      </c>
      <c r="K259" s="7" t="n">
        <v>383812.1</v>
      </c>
      <c r="L259" s="7" t="n">
        <v>573612.7</v>
      </c>
      <c r="M259" s="7" t="n">
        <v>502467.4</v>
      </c>
      <c r="N259" s="7" t="n">
        <v>328452.4</v>
      </c>
      <c r="O259" s="7" t="n">
        <v>621136.2</v>
      </c>
      <c r="P259" s="7" t="n">
        <v>1068230.7</v>
      </c>
      <c r="Q259" s="7" t="n">
        <v>454344</v>
      </c>
      <c r="R259" s="7" t="n">
        <v>897169.1</v>
      </c>
      <c r="S259" s="7" t="n">
        <v>567628.3</v>
      </c>
      <c r="T259" s="7" t="n">
        <v>182241.1</v>
      </c>
      <c r="U259" s="7" t="n">
        <v>595070.8</v>
      </c>
      <c r="V259" s="7" t="n">
        <v>674493.4</v>
      </c>
      <c r="W259" s="7" t="n">
        <v>593898.6</v>
      </c>
      <c r="X259" s="7" t="n">
        <v>546897</v>
      </c>
      <c r="Y259" s="7" t="n">
        <v>420447</v>
      </c>
      <c r="Z259" s="7" t="n">
        <v>264559.2</v>
      </c>
      <c r="AA259" s="8" t="n">
        <v>5942303.6</v>
      </c>
      <c r="AB259" s="8" t="n">
        <v>6836185.8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11856.4</v>
      </c>
      <c r="E260" s="7" t="n">
        <v>0</v>
      </c>
      <c r="F260" s="7" t="n">
        <v>67407.3</v>
      </c>
      <c r="G260" s="7" t="n">
        <v>0</v>
      </c>
      <c r="H260" s="7" t="n">
        <v>135053.3</v>
      </c>
      <c r="I260" s="7" t="n">
        <v>0</v>
      </c>
      <c r="J260" s="7" t="n">
        <v>12828.9</v>
      </c>
      <c r="K260" s="7" t="n">
        <v>0</v>
      </c>
      <c r="L260" s="7" t="n">
        <v>87524.2</v>
      </c>
      <c r="M260" s="7" t="n">
        <v>0</v>
      </c>
      <c r="N260" s="7" t="n">
        <v>74030.7</v>
      </c>
      <c r="O260" s="7" t="n">
        <v>0</v>
      </c>
      <c r="P260" s="7" t="n">
        <v>206725.6</v>
      </c>
      <c r="Q260" s="7" t="n">
        <v>0</v>
      </c>
      <c r="R260" s="7" t="n">
        <v>137040.4</v>
      </c>
      <c r="S260" s="7" t="n">
        <v>0</v>
      </c>
      <c r="T260" s="7" t="n">
        <v>27259</v>
      </c>
      <c r="U260" s="7" t="n">
        <v>0</v>
      </c>
      <c r="V260" s="7" t="n">
        <v>93943.60000000001</v>
      </c>
      <c r="W260" s="7" t="n">
        <v>0</v>
      </c>
      <c r="X260" s="7" t="n">
        <v>52801.2</v>
      </c>
      <c r="Y260" s="7" t="n">
        <v>0</v>
      </c>
      <c r="Z260" s="7" t="n">
        <v>29673.9</v>
      </c>
      <c r="AA260" s="7" t="n">
        <v>0</v>
      </c>
      <c r="AB260" s="7" t="n">
        <v>936144.5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451388.4</v>
      </c>
      <c r="D261" s="7" t="n">
        <v>473616.6</v>
      </c>
      <c r="E261" s="7" t="n">
        <v>449457</v>
      </c>
      <c r="F261" s="7" t="n">
        <v>409980.7</v>
      </c>
      <c r="G261" s="7" t="n">
        <v>400027.2</v>
      </c>
      <c r="H261" s="7" t="n">
        <v>543434</v>
      </c>
      <c r="I261" s="7" t="n">
        <v>502626.6</v>
      </c>
      <c r="J261" s="7" t="n">
        <v>646353</v>
      </c>
      <c r="K261" s="7" t="n">
        <v>383812.1</v>
      </c>
      <c r="L261" s="7" t="n">
        <v>486088.5</v>
      </c>
      <c r="M261" s="7" t="n">
        <v>502467.4</v>
      </c>
      <c r="N261" s="7" t="n">
        <v>254421.7</v>
      </c>
      <c r="O261" s="7" t="n">
        <v>621136.2</v>
      </c>
      <c r="P261" s="7" t="n">
        <v>861505.1</v>
      </c>
      <c r="Q261" s="7" t="n">
        <v>454344</v>
      </c>
      <c r="R261" s="7" t="n">
        <v>760128.7</v>
      </c>
      <c r="S261" s="7" t="n">
        <v>567628.3</v>
      </c>
      <c r="T261" s="7" t="n">
        <v>154982.1</v>
      </c>
      <c r="U261" s="7" t="n">
        <v>595070.8</v>
      </c>
      <c r="V261" s="7" t="n">
        <v>580549.8</v>
      </c>
      <c r="W261" s="7" t="n">
        <v>593898.6</v>
      </c>
      <c r="X261" s="7" t="n">
        <v>494095.8</v>
      </c>
      <c r="Y261" s="7" t="n">
        <v>420447</v>
      </c>
      <c r="Z261" s="7" t="n">
        <v>234885.3</v>
      </c>
      <c r="AA261" s="8" t="n">
        <v>5942303.6</v>
      </c>
      <c r="AB261" s="8" t="n">
        <v>5900041.3</v>
      </c>
    </row>
    <row r="262">
      <c r="A262" s="4" t="inlineStr">
        <is>
          <t>净利率</t>
        </is>
      </c>
      <c r="D262" s="13" t="n">
        <v>8.300000000000001</v>
      </c>
      <c r="F262" s="13" t="n">
        <v>9</v>
      </c>
      <c r="H262" s="13" t="n">
        <v>8.800000000000001</v>
      </c>
      <c r="J262" s="13" t="n">
        <v>8</v>
      </c>
      <c r="L262" s="13" t="n">
        <v>5.7</v>
      </c>
      <c r="N262" s="13" t="n">
        <v>6.7</v>
      </c>
      <c r="P262" s="13" t="n">
        <v>10.2</v>
      </c>
      <c r="R262" s="13" t="n">
        <v>7.1</v>
      </c>
      <c r="T262" s="13" t="n">
        <v>7.3</v>
      </c>
      <c r="V262" s="13" t="n">
        <v>5.6</v>
      </c>
      <c r="X262" s="13" t="n">
        <v>7</v>
      </c>
      <c r="Z262" s="13" t="n">
        <v>7.5</v>
      </c>
    </row>
    <row r="263">
      <c r="A263" s="4" t="inlineStr">
        <is>
          <t>销售达成率</t>
        </is>
      </c>
      <c r="D263" s="13" t="n">
        <v>88</v>
      </c>
      <c r="F263" s="13" t="n">
        <v>62.4</v>
      </c>
      <c r="H263" s="13" t="n">
        <v>116.4</v>
      </c>
      <c r="J263" s="13" t="n">
        <v>125.9</v>
      </c>
      <c r="L263" s="13" t="n">
        <v>116.9</v>
      </c>
      <c r="N263" s="13" t="n">
        <v>57.4</v>
      </c>
      <c r="P263" s="13" t="n">
        <v>132.9</v>
      </c>
      <c r="R263" s="13" t="n">
        <v>160.8</v>
      </c>
      <c r="T263" s="13" t="n">
        <v>30.6</v>
      </c>
      <c r="V263" s="13" t="n">
        <v>160.4</v>
      </c>
      <c r="X263" s="13" t="n">
        <v>115.7</v>
      </c>
      <c r="Z263" s="13" t="n">
        <v>53.7</v>
      </c>
    </row>
    <row r="264">
      <c r="A264" s="4" t="inlineStr">
        <is>
          <t>净利达成率</t>
        </is>
      </c>
      <c r="D264" s="13" t="n">
        <v>107.6</v>
      </c>
      <c r="F264" s="13" t="n">
        <v>106.2</v>
      </c>
      <c r="H264" s="13" t="n">
        <v>169.6</v>
      </c>
      <c r="J264" s="13" t="n">
        <v>131.1</v>
      </c>
      <c r="L264" s="13" t="n">
        <v>149.5</v>
      </c>
      <c r="N264" s="13" t="n">
        <v>65.40000000000001</v>
      </c>
      <c r="P264" s="13" t="n">
        <v>172</v>
      </c>
      <c r="R264" s="13" t="n">
        <v>197.5</v>
      </c>
      <c r="T264" s="13" t="n">
        <v>32.1</v>
      </c>
      <c r="V264" s="13" t="n">
        <v>113.3</v>
      </c>
      <c r="X264" s="13" t="n">
        <v>92.09999999999999</v>
      </c>
      <c r="Z264" s="13" t="n">
        <v>62.9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江苏区域利润表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1685197.1</v>
      </c>
      <c r="D6" s="7" t="n">
        <v>1077170.4</v>
      </c>
      <c r="E6" s="7" t="n">
        <v>1508782.5</v>
      </c>
      <c r="F6" s="7" t="n">
        <v>1889390.8</v>
      </c>
      <c r="G6" s="7" t="n">
        <v>1503908</v>
      </c>
      <c r="H6" s="7" t="n">
        <v>1558586.6</v>
      </c>
      <c r="I6" s="7" t="n">
        <v>1430413.3</v>
      </c>
      <c r="J6" s="7" t="n">
        <v>910118.5</v>
      </c>
      <c r="K6" s="7" t="n">
        <v>1706273.7</v>
      </c>
      <c r="L6" s="7" t="n">
        <v>2074260.7</v>
      </c>
      <c r="M6" s="7" t="n">
        <v>1508204.8</v>
      </c>
      <c r="N6" s="7" t="n">
        <v>1093583.2</v>
      </c>
      <c r="O6" s="7" t="n">
        <v>1841378</v>
      </c>
      <c r="P6" s="7" t="n">
        <v>2736680.5</v>
      </c>
      <c r="Q6" s="7" t="n">
        <v>1818828.5</v>
      </c>
      <c r="R6" s="7" t="n">
        <v>2410728.8</v>
      </c>
      <c r="S6" s="7" t="n">
        <v>1430346.5</v>
      </c>
      <c r="T6" s="7" t="n">
        <v>0</v>
      </c>
      <c r="U6" s="7" t="n">
        <v>1512668.4</v>
      </c>
      <c r="V6" s="7" t="n">
        <v>3411775.6</v>
      </c>
      <c r="W6" s="7" t="n">
        <v>1724927.5</v>
      </c>
      <c r="X6" s="7" t="n">
        <v>2198997</v>
      </c>
      <c r="Y6" s="7" t="n">
        <v>1500962.5</v>
      </c>
      <c r="Z6" s="7" t="n">
        <v>120473.4</v>
      </c>
      <c r="AA6" s="8" t="n">
        <v>19171890.8</v>
      </c>
      <c r="AB6" s="8" t="n">
        <v>19481765.5</v>
      </c>
    </row>
    <row r="7">
      <c r="A7" s="4" t="inlineStr">
        <is>
          <t>数控机床</t>
        </is>
      </c>
      <c r="D7" s="7" t="n">
        <v>0</v>
      </c>
      <c r="F7" s="7" t="n">
        <v>161084.7</v>
      </c>
      <c r="H7" s="7" t="n">
        <v>0</v>
      </c>
      <c r="J7" s="7" t="n">
        <v>0</v>
      </c>
      <c r="L7" s="7" t="n">
        <v>184256.9</v>
      </c>
      <c r="N7" s="7" t="n">
        <v>0</v>
      </c>
      <c r="P7" s="7" t="n">
        <v>285546.5</v>
      </c>
      <c r="R7" s="7" t="n">
        <v>184496.7</v>
      </c>
      <c r="T7" s="7" t="n">
        <v>0</v>
      </c>
      <c r="V7" s="7" t="n">
        <v>286207.5</v>
      </c>
      <c r="X7" s="7" t="n">
        <v>0</v>
      </c>
      <c r="Z7" s="7" t="n">
        <v>0</v>
      </c>
      <c r="AB7" s="7" t="n">
        <v>1101592.3</v>
      </c>
    </row>
    <row r="8">
      <c r="A8" s="4" t="inlineStr">
        <is>
          <t>精密轴承</t>
        </is>
      </c>
      <c r="D8" s="7" t="n">
        <v>124048.7</v>
      </c>
      <c r="F8" s="7" t="n">
        <v>202802.6</v>
      </c>
      <c r="H8" s="7" t="n">
        <v>279304.5</v>
      </c>
      <c r="J8" s="7" t="n">
        <v>0</v>
      </c>
      <c r="L8" s="7" t="n">
        <v>309385.9</v>
      </c>
      <c r="N8" s="7" t="n">
        <v>350566.7</v>
      </c>
      <c r="P8" s="7" t="n">
        <v>371022.6</v>
      </c>
      <c r="R8" s="7" t="n">
        <v>0</v>
      </c>
      <c r="T8" s="7" t="n">
        <v>0</v>
      </c>
      <c r="V8" s="7" t="n">
        <v>0</v>
      </c>
      <c r="X8" s="7" t="n">
        <v>212768.9</v>
      </c>
      <c r="Z8" s="7" t="n">
        <v>0</v>
      </c>
      <c r="AB8" s="7" t="n">
        <v>1849899.9</v>
      </c>
    </row>
    <row r="9">
      <c r="A9" s="4" t="inlineStr">
        <is>
          <t>液压件</t>
        </is>
      </c>
      <c r="D9" s="7" t="n">
        <v>204124.9</v>
      </c>
      <c r="F9" s="7" t="n">
        <v>301444.1</v>
      </c>
      <c r="H9" s="7" t="n">
        <v>285718.8</v>
      </c>
      <c r="J9" s="7" t="n">
        <v>0</v>
      </c>
      <c r="L9" s="7" t="n">
        <v>562837.6</v>
      </c>
      <c r="N9" s="7" t="n">
        <v>490823.4</v>
      </c>
      <c r="P9" s="7" t="n">
        <v>619924.4</v>
      </c>
      <c r="R9" s="7" t="n">
        <v>0</v>
      </c>
      <c r="T9" s="7" t="n">
        <v>0</v>
      </c>
      <c r="V9" s="7" t="n">
        <v>392304.6</v>
      </c>
      <c r="X9" s="7" t="n">
        <v>0</v>
      </c>
      <c r="Z9" s="7" t="n">
        <v>0</v>
      </c>
      <c r="AB9" s="7" t="n">
        <v>2857177.8</v>
      </c>
    </row>
    <row r="10">
      <c r="A10" s="4" t="inlineStr">
        <is>
          <t>气动元件</t>
        </is>
      </c>
      <c r="D10" s="7" t="n">
        <v>0</v>
      </c>
      <c r="F10" s="7" t="n">
        <v>674772.4</v>
      </c>
      <c r="H10" s="7" t="n">
        <v>877456.3</v>
      </c>
      <c r="J10" s="7" t="n">
        <v>0</v>
      </c>
      <c r="L10" s="7" t="n">
        <v>1039869.1</v>
      </c>
      <c r="N10" s="7" t="n">
        <v>0</v>
      </c>
      <c r="P10" s="7" t="n">
        <v>0</v>
      </c>
      <c r="R10" s="7" t="n">
        <v>1346074.5</v>
      </c>
      <c r="T10" s="7" t="n">
        <v>0</v>
      </c>
      <c r="V10" s="7" t="n">
        <v>1267240.7</v>
      </c>
      <c r="X10" s="7" t="n">
        <v>1040971.8</v>
      </c>
      <c r="Z10" s="7" t="n">
        <v>0</v>
      </c>
      <c r="AB10" s="7" t="n">
        <v>6246384.8</v>
      </c>
    </row>
    <row r="11">
      <c r="A11" s="4" t="inlineStr">
        <is>
          <t>模具</t>
        </is>
      </c>
      <c r="D11" s="7" t="n">
        <v>620826.9</v>
      </c>
      <c r="F11" s="7" t="n">
        <v>561722.7</v>
      </c>
      <c r="H11" s="7" t="n">
        <v>0</v>
      </c>
      <c r="J11" s="7" t="n">
        <v>907085.8</v>
      </c>
      <c r="L11" s="7" t="n">
        <v>0</v>
      </c>
      <c r="N11" s="7" t="n">
        <v>0</v>
      </c>
      <c r="P11" s="7" t="n">
        <v>1513171.3</v>
      </c>
      <c r="R11" s="7" t="n">
        <v>902177.7</v>
      </c>
      <c r="T11" s="7" t="n">
        <v>0</v>
      </c>
      <c r="V11" s="7" t="n">
        <v>1295931.8</v>
      </c>
      <c r="X11" s="7" t="n">
        <v>980068.2</v>
      </c>
      <c r="Z11" s="7" t="n">
        <v>0</v>
      </c>
      <c r="AB11" s="7" t="n">
        <v>6780984.4</v>
      </c>
    </row>
    <row r="12">
      <c r="A12" s="4" t="inlineStr">
        <is>
          <t>工装夹具</t>
        </is>
      </c>
      <c r="D12" s="7" t="n">
        <v>147657.8</v>
      </c>
      <c r="F12" s="7" t="n">
        <v>0</v>
      </c>
      <c r="H12" s="7" t="n">
        <v>129418.5</v>
      </c>
      <c r="J12" s="7" t="n">
        <v>0</v>
      </c>
      <c r="L12" s="7" t="n">
        <v>0</v>
      </c>
      <c r="N12" s="7" t="n">
        <v>271572.7</v>
      </c>
      <c r="P12" s="7" t="n">
        <v>0</v>
      </c>
      <c r="R12" s="7" t="n">
        <v>0</v>
      </c>
      <c r="T12" s="7" t="n">
        <v>0</v>
      </c>
      <c r="V12" s="7" t="n">
        <v>194240.4</v>
      </c>
      <c r="X12" s="7" t="n">
        <v>0</v>
      </c>
      <c r="Z12" s="7" t="n">
        <v>121520</v>
      </c>
      <c r="AB12" s="7" t="n">
        <v>864409.4</v>
      </c>
    </row>
    <row r="13">
      <c r="A13" s="4" t="inlineStr">
        <is>
          <t>返利</t>
        </is>
      </c>
      <c r="D13" s="7" t="n">
        <v>-26199.4</v>
      </c>
      <c r="F13" s="7" t="n">
        <v>-46239.1</v>
      </c>
      <c r="H13" s="7" t="n">
        <v>-31274.2</v>
      </c>
      <c r="J13" s="7" t="n">
        <v>-13938.9</v>
      </c>
      <c r="L13" s="7" t="n">
        <v>-37774</v>
      </c>
      <c r="N13" s="7" t="n">
        <v>-31634.5</v>
      </c>
      <c r="P13" s="7" t="n">
        <v>-60479</v>
      </c>
      <c r="R13" s="7" t="n">
        <v>-26108.5</v>
      </c>
      <c r="T13" s="7" t="n">
        <v>-0</v>
      </c>
      <c r="V13" s="7" t="n">
        <v>-48309.1</v>
      </c>
      <c r="X13" s="7" t="n">
        <v>-60901.1</v>
      </c>
      <c r="Z13" s="7" t="n">
        <v>-2177.4</v>
      </c>
      <c r="AB13" s="7" t="n">
        <v>-385035.2</v>
      </c>
    </row>
    <row r="14">
      <c r="A14" s="4" t="inlineStr">
        <is>
          <t>其他</t>
        </is>
      </c>
      <c r="D14" s="7" t="n">
        <v>6711.5</v>
      </c>
      <c r="F14" s="7" t="n">
        <v>33803.4</v>
      </c>
      <c r="H14" s="7" t="n">
        <v>17962.7</v>
      </c>
      <c r="J14" s="7" t="n">
        <v>16971.6</v>
      </c>
      <c r="L14" s="7" t="n">
        <v>15685.2</v>
      </c>
      <c r="N14" s="7" t="n">
        <v>12254.9</v>
      </c>
      <c r="P14" s="7" t="n">
        <v>7494.7</v>
      </c>
      <c r="R14" s="7" t="n">
        <v>4088.4</v>
      </c>
      <c r="T14" s="7" t="n">
        <v>0</v>
      </c>
      <c r="V14" s="7" t="n">
        <v>24159.7</v>
      </c>
      <c r="X14" s="7" t="n">
        <v>26089.2</v>
      </c>
      <c r="Z14" s="7" t="n">
        <v>1130.8</v>
      </c>
      <c r="AB14" s="7" t="n">
        <v>166352.1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1250255.4</v>
      </c>
      <c r="D15" s="7" t="n">
        <v>770246.1</v>
      </c>
      <c r="E15" s="7" t="n">
        <v>1138080</v>
      </c>
      <c r="F15" s="7" t="n">
        <v>1314927.8</v>
      </c>
      <c r="G15" s="7" t="n">
        <v>1182589.1</v>
      </c>
      <c r="H15" s="7" t="n">
        <v>1080660.1</v>
      </c>
      <c r="I15" s="7" t="n">
        <v>1230960.4</v>
      </c>
      <c r="J15" s="7" t="n">
        <v>614285.8</v>
      </c>
      <c r="K15" s="7" t="n">
        <v>1278826.2</v>
      </c>
      <c r="L15" s="7" t="n">
        <v>1484817.6</v>
      </c>
      <c r="M15" s="7" t="n">
        <v>997140.9</v>
      </c>
      <c r="N15" s="7" t="n">
        <v>800509.2</v>
      </c>
      <c r="O15" s="7" t="n">
        <v>987937.1</v>
      </c>
      <c r="P15" s="7" t="n">
        <v>1963388.6</v>
      </c>
      <c r="Q15" s="7" t="n">
        <v>976690.3</v>
      </c>
      <c r="R15" s="7" t="n">
        <v>1618509</v>
      </c>
      <c r="S15" s="7" t="n">
        <v>1031798.1</v>
      </c>
      <c r="T15" s="7" t="n">
        <v>0</v>
      </c>
      <c r="U15" s="7" t="n">
        <v>1030553.2</v>
      </c>
      <c r="V15" s="7" t="n">
        <v>2376645.4</v>
      </c>
      <c r="W15" s="7" t="n">
        <v>1075651.3</v>
      </c>
      <c r="X15" s="7" t="n">
        <v>1496904.9</v>
      </c>
      <c r="Y15" s="7" t="n">
        <v>1066629.4</v>
      </c>
      <c r="Z15" s="7" t="n">
        <v>83859.7</v>
      </c>
      <c r="AA15" s="8" t="n">
        <v>13247111.4</v>
      </c>
      <c r="AB15" s="8" t="n">
        <v>13604754.2</v>
      </c>
    </row>
    <row r="16">
      <c r="A16" s="4" t="inlineStr">
        <is>
          <t>数控机床</t>
        </is>
      </c>
      <c r="D16" s="7" t="n">
        <v>0</v>
      </c>
      <c r="F16" s="7" t="n">
        <v>117587.9</v>
      </c>
      <c r="H16" s="7" t="n">
        <v>0</v>
      </c>
      <c r="J16" s="7" t="n">
        <v>0</v>
      </c>
      <c r="L16" s="7" t="n">
        <v>134503</v>
      </c>
      <c r="N16" s="7" t="n">
        <v>0</v>
      </c>
      <c r="P16" s="7" t="n">
        <v>208442</v>
      </c>
      <c r="R16" s="7" t="n">
        <v>134678.1</v>
      </c>
      <c r="T16" s="7" t="n">
        <v>0</v>
      </c>
      <c r="V16" s="7" t="n">
        <v>208924.5</v>
      </c>
      <c r="X16" s="7" t="n">
        <v>0</v>
      </c>
      <c r="Z16" s="7" t="n">
        <v>0</v>
      </c>
      <c r="AB16" s="7" t="n">
        <v>804135.5</v>
      </c>
    </row>
    <row r="17">
      <c r="A17" s="4" t="inlineStr">
        <is>
          <t>精密轴承</t>
        </is>
      </c>
      <c r="D17" s="7" t="n">
        <v>85298.39999999999</v>
      </c>
      <c r="F17" s="7" t="n">
        <v>139451.1</v>
      </c>
      <c r="H17" s="7" t="n">
        <v>192055.4</v>
      </c>
      <c r="J17" s="7" t="n">
        <v>0</v>
      </c>
      <c r="L17" s="7" t="n">
        <v>212739.9</v>
      </c>
      <c r="N17" s="7" t="n">
        <v>241056.7</v>
      </c>
      <c r="P17" s="7" t="n">
        <v>255122.6</v>
      </c>
      <c r="R17" s="7" t="n">
        <v>0</v>
      </c>
      <c r="T17" s="7" t="n">
        <v>0</v>
      </c>
      <c r="V17" s="7" t="n">
        <v>0</v>
      </c>
      <c r="X17" s="7" t="n">
        <v>146304.2</v>
      </c>
      <c r="Z17" s="7" t="n">
        <v>0</v>
      </c>
      <c r="AB17" s="7" t="n">
        <v>1272028.3</v>
      </c>
    </row>
    <row r="18">
      <c r="A18" s="4" t="inlineStr">
        <is>
          <t>液压件</t>
        </is>
      </c>
      <c r="D18" s="7" t="n">
        <v>143605</v>
      </c>
      <c r="F18" s="7" t="n">
        <v>212070.5</v>
      </c>
      <c r="H18" s="7" t="n">
        <v>201007.5</v>
      </c>
      <c r="J18" s="7" t="n">
        <v>0</v>
      </c>
      <c r="L18" s="7" t="n">
        <v>395964.8</v>
      </c>
      <c r="N18" s="7" t="n">
        <v>345301.7</v>
      </c>
      <c r="P18" s="7" t="n">
        <v>436126.2</v>
      </c>
      <c r="R18" s="7" t="n">
        <v>0</v>
      </c>
      <c r="T18" s="7" t="n">
        <v>0</v>
      </c>
      <c r="V18" s="7" t="n">
        <v>275992.2</v>
      </c>
      <c r="X18" s="7" t="n">
        <v>0</v>
      </c>
      <c r="Z18" s="7" t="n">
        <v>0</v>
      </c>
      <c r="AB18" s="7" t="n">
        <v>2010067.9</v>
      </c>
    </row>
    <row r="19">
      <c r="A19" s="4" t="inlineStr">
        <is>
          <t>气动元件</t>
        </is>
      </c>
      <c r="D19" s="7" t="n">
        <v>0</v>
      </c>
      <c r="F19" s="7" t="n">
        <v>421193.5</v>
      </c>
      <c r="H19" s="7" t="n">
        <v>547709</v>
      </c>
      <c r="J19" s="7" t="n">
        <v>0</v>
      </c>
      <c r="L19" s="7" t="n">
        <v>649087.2</v>
      </c>
      <c r="N19" s="7" t="n">
        <v>0</v>
      </c>
      <c r="P19" s="7" t="n">
        <v>0</v>
      </c>
      <c r="R19" s="7" t="n">
        <v>840220.8</v>
      </c>
      <c r="T19" s="7" t="n">
        <v>0</v>
      </c>
      <c r="V19" s="7" t="n">
        <v>791012.7</v>
      </c>
      <c r="X19" s="7" t="n">
        <v>649775.5</v>
      </c>
      <c r="Z19" s="7" t="n">
        <v>0</v>
      </c>
      <c r="AB19" s="7" t="n">
        <v>3898998.7</v>
      </c>
    </row>
    <row r="20">
      <c r="A20" s="4" t="inlineStr">
        <is>
          <t>模具</t>
        </is>
      </c>
      <c r="D20" s="7" t="n">
        <v>400395.8</v>
      </c>
      <c r="F20" s="7" t="n">
        <v>362277.1</v>
      </c>
      <c r="H20" s="7" t="n">
        <v>0</v>
      </c>
      <c r="J20" s="7" t="n">
        <v>585015.4</v>
      </c>
      <c r="L20" s="7" t="n">
        <v>0</v>
      </c>
      <c r="N20" s="7" t="n">
        <v>0</v>
      </c>
      <c r="P20" s="7" t="n">
        <v>975903.9</v>
      </c>
      <c r="R20" s="7" t="n">
        <v>581850</v>
      </c>
      <c r="T20" s="7" t="n">
        <v>0</v>
      </c>
      <c r="V20" s="7" t="n">
        <v>835797.6</v>
      </c>
      <c r="X20" s="7" t="n">
        <v>632084.7</v>
      </c>
      <c r="Z20" s="7" t="n">
        <v>0</v>
      </c>
      <c r="AB20" s="7" t="n">
        <v>4373324.5</v>
      </c>
    </row>
    <row r="21">
      <c r="A21" s="4" t="inlineStr">
        <is>
          <t>工装夹具</t>
        </is>
      </c>
      <c r="D21" s="7" t="n">
        <v>98578.89999999999</v>
      </c>
      <c r="F21" s="7" t="n">
        <v>0</v>
      </c>
      <c r="H21" s="7" t="n">
        <v>86402</v>
      </c>
      <c r="J21" s="7" t="n">
        <v>0</v>
      </c>
      <c r="L21" s="7" t="n">
        <v>0</v>
      </c>
      <c r="N21" s="7" t="n">
        <v>181306.6</v>
      </c>
      <c r="P21" s="7" t="n">
        <v>0</v>
      </c>
      <c r="R21" s="7" t="n">
        <v>0</v>
      </c>
      <c r="T21" s="7" t="n">
        <v>0</v>
      </c>
      <c r="V21" s="7" t="n">
        <v>129678.2</v>
      </c>
      <c r="X21" s="7" t="n">
        <v>0</v>
      </c>
      <c r="Z21" s="7" t="n">
        <v>81128.8</v>
      </c>
      <c r="AB21" s="7" t="n">
        <v>577094.5</v>
      </c>
    </row>
    <row r="22">
      <c r="A22" s="4" t="inlineStr">
        <is>
          <t>其他</t>
        </is>
      </c>
      <c r="D22" s="7" t="n">
        <v>11872.6</v>
      </c>
      <c r="F22" s="7" t="n">
        <v>17123.8</v>
      </c>
      <c r="H22" s="7" t="n">
        <v>5638.5</v>
      </c>
      <c r="J22" s="7" t="n">
        <v>8256.200000000001</v>
      </c>
      <c r="L22" s="7" t="n">
        <v>27790.1</v>
      </c>
      <c r="N22" s="7" t="n">
        <v>15328.8</v>
      </c>
      <c r="P22" s="7" t="n">
        <v>28223.3</v>
      </c>
      <c r="R22" s="7" t="n">
        <v>23034.3</v>
      </c>
      <c r="T22" s="7" t="n">
        <v>0</v>
      </c>
      <c r="V22" s="7" t="n">
        <v>382.6</v>
      </c>
      <c r="X22" s="7" t="n">
        <v>8554</v>
      </c>
      <c r="Z22" s="7" t="n">
        <v>1334.3</v>
      </c>
      <c r="AB22" s="7" t="n">
        <v>147538.5</v>
      </c>
    </row>
    <row r="23">
      <c r="A23" s="4" t="inlineStr">
        <is>
          <t>运费</t>
        </is>
      </c>
      <c r="D23" s="7" t="n">
        <v>42368</v>
      </c>
      <c r="F23" s="7" t="n">
        <v>62347.7</v>
      </c>
      <c r="H23" s="7" t="n">
        <v>53486.2</v>
      </c>
      <c r="J23" s="7" t="n">
        <v>29270.4</v>
      </c>
      <c r="L23" s="7" t="n">
        <v>92522.7</v>
      </c>
      <c r="N23" s="7" t="n">
        <v>32844.2</v>
      </c>
      <c r="P23" s="7" t="n">
        <v>87793.89999999999</v>
      </c>
      <c r="R23" s="7" t="n">
        <v>61760.1</v>
      </c>
      <c r="T23" s="7" t="n">
        <v>0</v>
      </c>
      <c r="V23" s="7" t="n">
        <v>135240.2</v>
      </c>
      <c r="X23" s="7" t="n">
        <v>68740.5</v>
      </c>
      <c r="Z23" s="7" t="n">
        <v>2730.9</v>
      </c>
      <c r="AB23" s="7" t="n">
        <v>669104.8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434941.7</v>
      </c>
      <c r="D24" s="7" t="n">
        <v>306924.3</v>
      </c>
      <c r="E24" s="7" t="n">
        <v>370702.5</v>
      </c>
      <c r="F24" s="7" t="n">
        <v>574463</v>
      </c>
      <c r="G24" s="7" t="n">
        <v>321318.9</v>
      </c>
      <c r="H24" s="7" t="n">
        <v>477926.5</v>
      </c>
      <c r="I24" s="7" t="n">
        <v>199452.9</v>
      </c>
      <c r="J24" s="7" t="n">
        <v>295832.7</v>
      </c>
      <c r="K24" s="7" t="n">
        <v>427447.5</v>
      </c>
      <c r="L24" s="7" t="n">
        <v>589443.1</v>
      </c>
      <c r="M24" s="7" t="n">
        <v>511063.9</v>
      </c>
      <c r="N24" s="7" t="n">
        <v>293074</v>
      </c>
      <c r="O24" s="7" t="n">
        <v>853440.9</v>
      </c>
      <c r="P24" s="7" t="n">
        <v>773291.9</v>
      </c>
      <c r="Q24" s="7" t="n">
        <v>842138.2</v>
      </c>
      <c r="R24" s="7" t="n">
        <v>792219.8</v>
      </c>
      <c r="S24" s="7" t="n">
        <v>398548.4</v>
      </c>
      <c r="T24" s="7" t="n">
        <v>0</v>
      </c>
      <c r="U24" s="7" t="n">
        <v>482115.2</v>
      </c>
      <c r="V24" s="7" t="n">
        <v>1035130.2</v>
      </c>
      <c r="W24" s="7" t="n">
        <v>649276.2</v>
      </c>
      <c r="X24" s="7" t="n">
        <v>702092.1</v>
      </c>
      <c r="Y24" s="7" t="n">
        <v>434333.1</v>
      </c>
      <c r="Z24" s="7" t="n">
        <v>36613.7</v>
      </c>
      <c r="AA24" s="8" t="n">
        <v>5924779.4</v>
      </c>
      <c r="AB24" s="8" t="n">
        <v>5877011.3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25.8</v>
      </c>
      <c r="D25" s="13" t="n">
        <v>28.5</v>
      </c>
      <c r="E25" s="13" t="n">
        <v>24.6</v>
      </c>
      <c r="F25" s="13" t="n">
        <v>30.4</v>
      </c>
      <c r="G25" s="13" t="n">
        <v>21.4</v>
      </c>
      <c r="H25" s="13" t="n">
        <v>30.7</v>
      </c>
      <c r="I25" s="13" t="n">
        <v>13.9</v>
      </c>
      <c r="J25" s="13" t="n">
        <v>32.5</v>
      </c>
      <c r="K25" s="13" t="n">
        <v>25.1</v>
      </c>
      <c r="L25" s="13" t="n">
        <v>28.4</v>
      </c>
      <c r="M25" s="13" t="n">
        <v>33.9</v>
      </c>
      <c r="N25" s="13" t="n">
        <v>26.8</v>
      </c>
      <c r="O25" s="13" t="n">
        <v>46.3</v>
      </c>
      <c r="P25" s="13" t="n">
        <v>28.3</v>
      </c>
      <c r="Q25" s="13" t="n">
        <v>46.3</v>
      </c>
      <c r="R25" s="13" t="n">
        <v>32.9</v>
      </c>
      <c r="S25" s="13" t="n">
        <v>27.9</v>
      </c>
      <c r="T25" s="13" t="n">
        <v>0</v>
      </c>
      <c r="U25" s="13" t="n">
        <v>31.9</v>
      </c>
      <c r="V25" s="13" t="n">
        <v>30.3</v>
      </c>
      <c r="W25" s="13" t="n">
        <v>37.6</v>
      </c>
      <c r="X25" s="13" t="n">
        <v>31.9</v>
      </c>
      <c r="Y25" s="13" t="n">
        <v>28.9</v>
      </c>
      <c r="Z25" s="13" t="n">
        <v>30.4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16180.4</v>
      </c>
      <c r="D26" s="7" t="n">
        <v>13821.5</v>
      </c>
      <c r="E26" s="7" t="n">
        <v>16382.8</v>
      </c>
      <c r="F26" s="7" t="n">
        <v>17076.5</v>
      </c>
      <c r="G26" s="7" t="n">
        <v>17704.3</v>
      </c>
      <c r="H26" s="7" t="n">
        <v>14117</v>
      </c>
      <c r="I26" s="7" t="n">
        <v>17565.6</v>
      </c>
      <c r="J26" s="7" t="n">
        <v>9828.9</v>
      </c>
      <c r="K26" s="7" t="n">
        <v>17393.8</v>
      </c>
      <c r="L26" s="7" t="n">
        <v>23964.1</v>
      </c>
      <c r="M26" s="7" t="n">
        <v>16116.6</v>
      </c>
      <c r="N26" s="7" t="n">
        <v>10629.7</v>
      </c>
      <c r="O26" s="7" t="n">
        <v>17733.3</v>
      </c>
      <c r="P26" s="7" t="n">
        <v>27712.9</v>
      </c>
      <c r="Q26" s="7" t="n">
        <v>15391</v>
      </c>
      <c r="R26" s="7" t="n">
        <v>30403.2</v>
      </c>
      <c r="S26" s="7" t="n">
        <v>14778.5</v>
      </c>
      <c r="T26" s="7" t="n">
        <v>0</v>
      </c>
      <c r="U26" s="7" t="n">
        <v>17626.8</v>
      </c>
      <c r="V26" s="7" t="n">
        <v>30620.9</v>
      </c>
      <c r="W26" s="7" t="n">
        <v>17273.6</v>
      </c>
      <c r="X26" s="7" t="n">
        <v>15985.1</v>
      </c>
      <c r="Y26" s="7" t="n">
        <v>14884.8</v>
      </c>
      <c r="Z26" s="7" t="n">
        <v>1504.9</v>
      </c>
      <c r="AA26" s="8" t="n">
        <v>199031.5</v>
      </c>
      <c r="AB26" s="8" t="n">
        <v>195664.7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191585</v>
      </c>
      <c r="D27" s="7" t="n">
        <v>134643.3</v>
      </c>
      <c r="E27" s="7" t="n">
        <v>213798</v>
      </c>
      <c r="F27" s="7" t="n">
        <v>256663.7</v>
      </c>
      <c r="G27" s="7" t="n">
        <v>199530.6</v>
      </c>
      <c r="H27" s="7" t="n">
        <v>183087.2</v>
      </c>
      <c r="I27" s="7" t="n">
        <v>187010.1</v>
      </c>
      <c r="J27" s="7" t="n">
        <v>125369.6</v>
      </c>
      <c r="K27" s="7" t="n">
        <v>169084.6</v>
      </c>
      <c r="L27" s="7" t="n">
        <v>192563.1</v>
      </c>
      <c r="M27" s="7" t="n">
        <v>214195.4</v>
      </c>
      <c r="N27" s="7" t="n">
        <v>190650.3</v>
      </c>
      <c r="O27" s="7" t="n">
        <v>222292</v>
      </c>
      <c r="P27" s="7" t="n">
        <v>221583.9</v>
      </c>
      <c r="Q27" s="7" t="n">
        <v>176806.2</v>
      </c>
      <c r="R27" s="7" t="n">
        <v>388224.1</v>
      </c>
      <c r="S27" s="7" t="n">
        <v>224097</v>
      </c>
      <c r="T27" s="7" t="n">
        <v>0</v>
      </c>
      <c r="U27" s="7" t="n">
        <v>187257</v>
      </c>
      <c r="V27" s="7" t="n">
        <v>388881.8</v>
      </c>
      <c r="W27" s="7" t="n">
        <v>204990.1</v>
      </c>
      <c r="X27" s="7" t="n">
        <v>268090.1</v>
      </c>
      <c r="Y27" s="7" t="n">
        <v>203401.6</v>
      </c>
      <c r="Z27" s="7" t="n">
        <v>17899.5</v>
      </c>
      <c r="AA27" s="8" t="n">
        <v>2394047.6</v>
      </c>
      <c r="AB27" s="8" t="n">
        <v>2367656.6</v>
      </c>
    </row>
    <row r="28">
      <c r="A28" s="4" t="inlineStr">
        <is>
          <t>职工薪酬</t>
        </is>
      </c>
      <c r="D28" s="7" t="n">
        <v>53320.1</v>
      </c>
      <c r="F28" s="7" t="n">
        <v>130652.8</v>
      </c>
      <c r="H28" s="7" t="n">
        <v>74592.10000000001</v>
      </c>
      <c r="J28" s="7" t="n">
        <v>72303.89999999999</v>
      </c>
      <c r="L28" s="7" t="n">
        <v>96671.5</v>
      </c>
      <c r="N28" s="7" t="n">
        <v>83609.10000000001</v>
      </c>
      <c r="P28" s="7" t="n">
        <v>95740.60000000001</v>
      </c>
      <c r="R28" s="7" t="n">
        <v>234317.8</v>
      </c>
      <c r="T28" s="7" t="n">
        <v>0</v>
      </c>
      <c r="V28" s="7" t="n">
        <v>174383.2</v>
      </c>
      <c r="X28" s="7" t="n">
        <v>149880.8</v>
      </c>
      <c r="Z28" s="7" t="n">
        <v>7786.7</v>
      </c>
      <c r="AB28" s="7" t="n">
        <v>1173258.6</v>
      </c>
    </row>
    <row r="29">
      <c r="A29" s="4" t="inlineStr">
        <is>
          <t>工资</t>
        </is>
      </c>
      <c r="D29" s="7" t="n">
        <v>30803.2</v>
      </c>
      <c r="F29" s="7" t="n">
        <v>79443.39999999999</v>
      </c>
      <c r="H29" s="7" t="n">
        <v>39504.8</v>
      </c>
      <c r="J29" s="7" t="n">
        <v>41876.5</v>
      </c>
      <c r="L29" s="7" t="n">
        <v>57374.3</v>
      </c>
      <c r="N29" s="7" t="n">
        <v>46443.3</v>
      </c>
      <c r="P29" s="7" t="n">
        <v>49304.3</v>
      </c>
      <c r="R29" s="7" t="n">
        <v>148821.4</v>
      </c>
      <c r="T29" s="7" t="n">
        <v>0</v>
      </c>
      <c r="V29" s="7" t="n">
        <v>97977.60000000001</v>
      </c>
      <c r="X29" s="7" t="n">
        <v>88127.3</v>
      </c>
      <c r="Z29" s="7" t="n">
        <v>3984.4</v>
      </c>
      <c r="AB29" s="7" t="n">
        <v>683660.5</v>
      </c>
    </row>
    <row r="30">
      <c r="A30" s="4" t="inlineStr">
        <is>
          <t>奖金及提成</t>
        </is>
      </c>
      <c r="D30" s="7" t="n">
        <v>9889.200000000001</v>
      </c>
      <c r="F30" s="7" t="n">
        <v>25951.8</v>
      </c>
      <c r="H30" s="7" t="n">
        <v>14703.6</v>
      </c>
      <c r="J30" s="7" t="n">
        <v>15242.7</v>
      </c>
      <c r="L30" s="7" t="n">
        <v>18226.4</v>
      </c>
      <c r="N30" s="7" t="n">
        <v>15141.9</v>
      </c>
      <c r="P30" s="7" t="n">
        <v>16983.2</v>
      </c>
      <c r="R30" s="7" t="n">
        <v>39671.5</v>
      </c>
      <c r="T30" s="7" t="n">
        <v>0</v>
      </c>
      <c r="V30" s="7" t="n">
        <v>28826.2</v>
      </c>
      <c r="X30" s="7" t="n">
        <v>34129.4</v>
      </c>
      <c r="Z30" s="7" t="n">
        <v>2182.7</v>
      </c>
      <c r="AB30" s="7" t="n">
        <v>220948.6</v>
      </c>
    </row>
    <row r="31">
      <c r="A31" s="4" t="inlineStr">
        <is>
          <t>社保</t>
        </is>
      </c>
      <c r="D31" s="7" t="n">
        <v>8379.799999999999</v>
      </c>
      <c r="F31" s="7" t="n">
        <v>16907.1</v>
      </c>
      <c r="H31" s="7" t="n">
        <v>14051.1</v>
      </c>
      <c r="J31" s="7" t="n">
        <v>11291.3</v>
      </c>
      <c r="L31" s="7" t="n">
        <v>15171.9</v>
      </c>
      <c r="N31" s="7" t="n">
        <v>16201.1</v>
      </c>
      <c r="P31" s="7" t="n">
        <v>22397.6</v>
      </c>
      <c r="R31" s="7" t="n">
        <v>32688.3</v>
      </c>
      <c r="T31" s="7" t="n">
        <v>0</v>
      </c>
      <c r="V31" s="7" t="n">
        <v>34560.8</v>
      </c>
      <c r="X31" s="7" t="n">
        <v>18557.5</v>
      </c>
      <c r="Z31" s="7" t="n">
        <v>1008.8</v>
      </c>
      <c r="AB31" s="7" t="n">
        <v>191215.3</v>
      </c>
    </row>
    <row r="32">
      <c r="A32" s="4" t="inlineStr">
        <is>
          <t>养老</t>
        </is>
      </c>
      <c r="D32" s="7" t="n">
        <v>93</v>
      </c>
      <c r="F32" s="7" t="n">
        <v>225.6</v>
      </c>
      <c r="H32" s="7" t="n">
        <v>202.9</v>
      </c>
      <c r="J32" s="7" t="n">
        <v>119.1</v>
      </c>
      <c r="L32" s="7" t="n">
        <v>224.5</v>
      </c>
      <c r="N32" s="7" t="n">
        <v>219</v>
      </c>
      <c r="P32" s="7" t="n">
        <v>202.4</v>
      </c>
      <c r="R32" s="7" t="n">
        <v>379.8</v>
      </c>
      <c r="T32" s="7" t="n">
        <v>0</v>
      </c>
      <c r="V32" s="7" t="n">
        <v>317.6</v>
      </c>
      <c r="X32" s="7" t="n">
        <v>308.2</v>
      </c>
      <c r="Z32" s="7" t="n">
        <v>16.3</v>
      </c>
      <c r="AB32" s="7" t="n">
        <v>2308.4</v>
      </c>
    </row>
    <row r="33">
      <c r="A33" s="4" t="inlineStr">
        <is>
          <t>医疗</t>
        </is>
      </c>
      <c r="D33" s="7" t="n">
        <v>696.8</v>
      </c>
      <c r="F33" s="7" t="n">
        <v>1035.4</v>
      </c>
      <c r="H33" s="7" t="n">
        <v>897.8</v>
      </c>
      <c r="J33" s="7" t="n">
        <v>682.8</v>
      </c>
      <c r="L33" s="7" t="n">
        <v>711.9</v>
      </c>
      <c r="N33" s="7" t="n">
        <v>743.7</v>
      </c>
      <c r="P33" s="7" t="n">
        <v>1261.8</v>
      </c>
      <c r="R33" s="7" t="n">
        <v>2032.3</v>
      </c>
      <c r="T33" s="7" t="n">
        <v>0</v>
      </c>
      <c r="V33" s="7" t="n">
        <v>2226</v>
      </c>
      <c r="X33" s="7" t="n">
        <v>997.3</v>
      </c>
      <c r="Z33" s="7" t="n">
        <v>85.59999999999999</v>
      </c>
      <c r="AB33" s="7" t="n">
        <v>11371.4</v>
      </c>
    </row>
    <row r="34">
      <c r="A34" s="4" t="inlineStr">
        <is>
          <t>工伤</t>
        </is>
      </c>
      <c r="D34" s="7" t="n">
        <v>440.4</v>
      </c>
      <c r="F34" s="7" t="n">
        <v>558.9</v>
      </c>
      <c r="H34" s="7" t="n">
        <v>577.5</v>
      </c>
      <c r="J34" s="7" t="n">
        <v>279.6</v>
      </c>
      <c r="L34" s="7" t="n">
        <v>535.1</v>
      </c>
      <c r="N34" s="7" t="n">
        <v>430.6</v>
      </c>
      <c r="P34" s="7" t="n">
        <v>714.7</v>
      </c>
      <c r="R34" s="7" t="n">
        <v>1120.9</v>
      </c>
      <c r="T34" s="7" t="n">
        <v>0</v>
      </c>
      <c r="V34" s="7" t="n">
        <v>833.3</v>
      </c>
      <c r="X34" s="7" t="n">
        <v>689.1</v>
      </c>
      <c r="Z34" s="7" t="n">
        <v>59.8</v>
      </c>
      <c r="AB34" s="7" t="n">
        <v>6239.9</v>
      </c>
    </row>
    <row r="35">
      <c r="A35" s="4" t="inlineStr">
        <is>
          <t>失业</t>
        </is>
      </c>
      <c r="D35" s="7" t="n">
        <v>633.1</v>
      </c>
      <c r="F35" s="7" t="n">
        <v>694</v>
      </c>
      <c r="H35" s="7" t="n">
        <v>506.5</v>
      </c>
      <c r="J35" s="7" t="n">
        <v>527.2</v>
      </c>
      <c r="L35" s="7" t="n">
        <v>625.2</v>
      </c>
      <c r="N35" s="7" t="n">
        <v>670.8</v>
      </c>
      <c r="P35" s="7" t="n">
        <v>684.1</v>
      </c>
      <c r="R35" s="7" t="n">
        <v>1412.5</v>
      </c>
      <c r="T35" s="7" t="n">
        <v>0</v>
      </c>
      <c r="V35" s="7" t="n">
        <v>1048.7</v>
      </c>
      <c r="X35" s="7" t="n">
        <v>1085.3</v>
      </c>
      <c r="Z35" s="7" t="n">
        <v>74.59999999999999</v>
      </c>
      <c r="AB35" s="7" t="n">
        <v>7962</v>
      </c>
    </row>
    <row r="36">
      <c r="A36" s="4" t="inlineStr">
        <is>
          <t>生育</t>
        </is>
      </c>
      <c r="D36" s="7" t="n">
        <v>386.2</v>
      </c>
      <c r="F36" s="7" t="n">
        <v>778.4</v>
      </c>
      <c r="H36" s="7" t="n">
        <v>429.2</v>
      </c>
      <c r="J36" s="7" t="n">
        <v>221.4</v>
      </c>
      <c r="L36" s="7" t="n">
        <v>370</v>
      </c>
      <c r="N36" s="7" t="n">
        <v>595.8</v>
      </c>
      <c r="P36" s="7" t="n">
        <v>496.4</v>
      </c>
      <c r="R36" s="7" t="n">
        <v>1115.1</v>
      </c>
      <c r="T36" s="7" t="n">
        <v>0</v>
      </c>
      <c r="V36" s="7" t="n">
        <v>720.2</v>
      </c>
      <c r="X36" s="7" t="n">
        <v>689.5</v>
      </c>
      <c r="Z36" s="7" t="n">
        <v>37.8</v>
      </c>
      <c r="AB36" s="7" t="n">
        <v>5840</v>
      </c>
    </row>
    <row r="37">
      <c r="A37" s="4" t="inlineStr">
        <is>
          <t>公积金</t>
        </is>
      </c>
      <c r="D37" s="7" t="n">
        <v>657.7</v>
      </c>
      <c r="F37" s="7" t="n">
        <v>1906.3</v>
      </c>
      <c r="H37" s="7" t="n">
        <v>1374.3</v>
      </c>
      <c r="J37" s="7" t="n">
        <v>626.6</v>
      </c>
      <c r="L37" s="7" t="n">
        <v>852.7</v>
      </c>
      <c r="N37" s="7" t="n">
        <v>903</v>
      </c>
      <c r="P37" s="7" t="n">
        <v>1209.9</v>
      </c>
      <c r="R37" s="7" t="n">
        <v>2468.8</v>
      </c>
      <c r="T37" s="7" t="n">
        <v>0</v>
      </c>
      <c r="V37" s="7" t="n">
        <v>1808.6</v>
      </c>
      <c r="X37" s="7" t="n">
        <v>1934.2</v>
      </c>
      <c r="Z37" s="7" t="n">
        <v>123.4</v>
      </c>
      <c r="AB37" s="7" t="n">
        <v>13865.5</v>
      </c>
    </row>
    <row r="38">
      <c r="A38" s="4" t="inlineStr">
        <is>
          <t>工会经费</t>
        </is>
      </c>
      <c r="D38" s="7" t="n">
        <v>124</v>
      </c>
      <c r="F38" s="7" t="n">
        <v>214.4</v>
      </c>
      <c r="H38" s="7" t="n">
        <v>132.8</v>
      </c>
      <c r="J38" s="7" t="n">
        <v>139.4</v>
      </c>
      <c r="L38" s="7" t="n">
        <v>160.8</v>
      </c>
      <c r="N38" s="7" t="n">
        <v>214.5</v>
      </c>
      <c r="P38" s="7" t="n">
        <v>268.1</v>
      </c>
      <c r="R38" s="7" t="n">
        <v>463.8</v>
      </c>
      <c r="T38" s="7" t="n">
        <v>0</v>
      </c>
      <c r="V38" s="7" t="n">
        <v>442.2</v>
      </c>
      <c r="X38" s="7" t="n">
        <v>334.1</v>
      </c>
      <c r="Z38" s="7" t="n">
        <v>16.8</v>
      </c>
      <c r="AB38" s="7" t="n">
        <v>2510.9</v>
      </c>
    </row>
    <row r="39">
      <c r="A39" s="4" t="inlineStr">
        <is>
          <t>职工教育经费</t>
        </is>
      </c>
      <c r="D39" s="7" t="n">
        <v>199.1</v>
      </c>
      <c r="F39" s="7" t="n">
        <v>364.7</v>
      </c>
      <c r="H39" s="7" t="n">
        <v>430.7</v>
      </c>
      <c r="J39" s="7" t="n">
        <v>294.1</v>
      </c>
      <c r="L39" s="7" t="n">
        <v>489.5</v>
      </c>
      <c r="N39" s="7" t="n">
        <v>356.5</v>
      </c>
      <c r="P39" s="7" t="n">
        <v>377.7</v>
      </c>
      <c r="R39" s="7" t="n">
        <v>592.5</v>
      </c>
      <c r="T39" s="7" t="n">
        <v>0</v>
      </c>
      <c r="V39" s="7" t="n">
        <v>1017.1</v>
      </c>
      <c r="X39" s="7" t="n">
        <v>489.1</v>
      </c>
      <c r="Z39" s="7" t="n">
        <v>29.5</v>
      </c>
      <c r="AB39" s="7" t="n">
        <v>4640.5</v>
      </c>
    </row>
    <row r="40">
      <c r="A40" s="4" t="inlineStr">
        <is>
          <t>福利费</t>
        </is>
      </c>
      <c r="D40" s="7" t="n">
        <v>3267.1</v>
      </c>
      <c r="F40" s="7" t="n">
        <v>5865.1</v>
      </c>
      <c r="H40" s="7" t="n">
        <v>4394.8</v>
      </c>
      <c r="J40" s="7" t="n">
        <v>2833.3</v>
      </c>
      <c r="L40" s="7" t="n">
        <v>4395.9</v>
      </c>
      <c r="N40" s="7" t="n">
        <v>4348.8</v>
      </c>
      <c r="P40" s="7" t="n">
        <v>5199.8</v>
      </c>
      <c r="R40" s="7" t="n">
        <v>9611.5</v>
      </c>
      <c r="T40" s="7" t="n">
        <v>0</v>
      </c>
      <c r="V40" s="7" t="n">
        <v>9750.700000000001</v>
      </c>
      <c r="X40" s="7" t="n">
        <v>6309.2</v>
      </c>
      <c r="Z40" s="7" t="n">
        <v>441.1</v>
      </c>
      <c r="AB40" s="7" t="n">
        <v>56417.3</v>
      </c>
    </row>
    <row r="41">
      <c r="A41" s="4" t="inlineStr">
        <is>
          <t>职工房租</t>
        </is>
      </c>
      <c r="D41" s="7" t="n">
        <v>187.4</v>
      </c>
      <c r="F41" s="7" t="n">
        <v>440.4</v>
      </c>
      <c r="H41" s="7" t="n">
        <v>192.1</v>
      </c>
      <c r="J41" s="7" t="n">
        <v>141</v>
      </c>
      <c r="L41" s="7" t="n">
        <v>239</v>
      </c>
      <c r="N41" s="7" t="n">
        <v>208.2</v>
      </c>
      <c r="P41" s="7" t="n">
        <v>283.3</v>
      </c>
      <c r="R41" s="7" t="n">
        <v>469.1</v>
      </c>
      <c r="T41" s="7" t="n">
        <v>0</v>
      </c>
      <c r="V41" s="7" t="n">
        <v>515.1</v>
      </c>
      <c r="X41" s="7" t="n">
        <v>269.3</v>
      </c>
      <c r="Z41" s="7" t="n">
        <v>28.9</v>
      </c>
      <c r="AB41" s="7" t="n">
        <v>2973.8</v>
      </c>
    </row>
    <row r="42">
      <c r="A42" s="4" t="inlineStr">
        <is>
          <t>水电物业费</t>
        </is>
      </c>
      <c r="D42" s="7" t="n">
        <v>528.7</v>
      </c>
      <c r="F42" s="7" t="n">
        <v>809.9</v>
      </c>
      <c r="H42" s="7" t="n">
        <v>648.5</v>
      </c>
      <c r="J42" s="7" t="n">
        <v>470.7</v>
      </c>
      <c r="L42" s="7" t="n">
        <v>869.4</v>
      </c>
      <c r="N42" s="7" t="n">
        <v>1048.1</v>
      </c>
      <c r="P42" s="7" t="n">
        <v>718.8</v>
      </c>
      <c r="R42" s="7" t="n">
        <v>1690.5</v>
      </c>
      <c r="T42" s="7" t="n">
        <v>0</v>
      </c>
      <c r="V42" s="7" t="n">
        <v>2005.9</v>
      </c>
      <c r="X42" s="7" t="n">
        <v>917.4</v>
      </c>
      <c r="Z42" s="7" t="n">
        <v>97.3</v>
      </c>
      <c r="AB42" s="7" t="n">
        <v>9805.200000000001</v>
      </c>
    </row>
    <row r="43">
      <c r="A43" s="4" t="inlineStr">
        <is>
          <t>员工餐</t>
        </is>
      </c>
      <c r="D43" s="7" t="n">
        <v>682.6</v>
      </c>
      <c r="F43" s="7" t="n">
        <v>1128.5</v>
      </c>
      <c r="H43" s="7" t="n">
        <v>797.1</v>
      </c>
      <c r="J43" s="7" t="n">
        <v>632.9</v>
      </c>
      <c r="L43" s="7" t="n">
        <v>845.5</v>
      </c>
      <c r="N43" s="7" t="n">
        <v>674.4</v>
      </c>
      <c r="P43" s="7" t="n">
        <v>942.4</v>
      </c>
      <c r="R43" s="7" t="n">
        <v>1878.9</v>
      </c>
      <c r="T43" s="7" t="n">
        <v>0</v>
      </c>
      <c r="V43" s="7" t="n">
        <v>1852.3</v>
      </c>
      <c r="X43" s="7" t="n">
        <v>1043.2</v>
      </c>
      <c r="Z43" s="7" t="n">
        <v>63.4</v>
      </c>
      <c r="AB43" s="7" t="n">
        <v>10541.2</v>
      </c>
    </row>
    <row r="44">
      <c r="A44" s="4" t="inlineStr">
        <is>
          <t>节日礼品</t>
        </is>
      </c>
      <c r="D44" s="7" t="n">
        <v>564.7</v>
      </c>
      <c r="F44" s="7" t="n">
        <v>951.9</v>
      </c>
      <c r="H44" s="7" t="n">
        <v>792.2</v>
      </c>
      <c r="J44" s="7" t="n">
        <v>420</v>
      </c>
      <c r="L44" s="7" t="n">
        <v>808.7</v>
      </c>
      <c r="N44" s="7" t="n">
        <v>983.7</v>
      </c>
      <c r="P44" s="7" t="n">
        <v>742.3</v>
      </c>
      <c r="R44" s="7" t="n">
        <v>1657.3</v>
      </c>
      <c r="T44" s="7" t="n">
        <v>0</v>
      </c>
      <c r="V44" s="7" t="n">
        <v>1373.8</v>
      </c>
      <c r="X44" s="7" t="n">
        <v>1222.5</v>
      </c>
      <c r="Z44" s="7" t="n">
        <v>82.5</v>
      </c>
      <c r="AB44" s="7" t="n">
        <v>9599.6</v>
      </c>
    </row>
    <row r="45">
      <c r="A45" s="4" t="inlineStr">
        <is>
          <t>生日礼品</t>
        </is>
      </c>
      <c r="D45" s="7" t="n">
        <v>402.7</v>
      </c>
      <c r="F45" s="7" t="n">
        <v>964.6</v>
      </c>
      <c r="H45" s="7" t="n">
        <v>653.3</v>
      </c>
      <c r="J45" s="7" t="n">
        <v>403</v>
      </c>
      <c r="L45" s="7" t="n">
        <v>643.8</v>
      </c>
      <c r="N45" s="7" t="n">
        <v>560</v>
      </c>
      <c r="P45" s="7" t="n">
        <v>1129.3</v>
      </c>
      <c r="R45" s="7" t="n">
        <v>1670.6</v>
      </c>
      <c r="T45" s="7" t="n">
        <v>0</v>
      </c>
      <c r="V45" s="7" t="n">
        <v>1807.3</v>
      </c>
      <c r="X45" s="7" t="n">
        <v>977.5</v>
      </c>
      <c r="Z45" s="7" t="n">
        <v>63.1</v>
      </c>
      <c r="AB45" s="7" t="n">
        <v>9275.200000000001</v>
      </c>
    </row>
    <row r="46">
      <c r="A46" s="4" t="inlineStr">
        <is>
          <t>体检</t>
        </is>
      </c>
      <c r="D46" s="7" t="n">
        <v>657.1</v>
      </c>
      <c r="F46" s="7" t="n">
        <v>1096.8</v>
      </c>
      <c r="H46" s="7" t="n">
        <v>994.1</v>
      </c>
      <c r="J46" s="7" t="n">
        <v>576.1</v>
      </c>
      <c r="L46" s="7" t="n">
        <v>709.5</v>
      </c>
      <c r="N46" s="7" t="n">
        <v>574.7</v>
      </c>
      <c r="P46" s="7" t="n">
        <v>1129.8</v>
      </c>
      <c r="R46" s="7" t="n">
        <v>1472.6</v>
      </c>
      <c r="T46" s="7" t="n">
        <v>0</v>
      </c>
      <c r="V46" s="7" t="n">
        <v>1679.9</v>
      </c>
      <c r="X46" s="7" t="n">
        <v>1407.5</v>
      </c>
      <c r="Z46" s="7" t="n">
        <v>83</v>
      </c>
      <c r="AB46" s="7" t="n">
        <v>10381.1</v>
      </c>
    </row>
    <row r="47">
      <c r="A47" s="4" t="inlineStr">
        <is>
          <t>其他福利支出</t>
        </is>
      </c>
      <c r="D47" s="7" t="n">
        <v>243.9</v>
      </c>
      <c r="F47" s="7" t="n">
        <v>473</v>
      </c>
      <c r="H47" s="7" t="n">
        <v>317.5</v>
      </c>
      <c r="J47" s="7" t="n">
        <v>189.6</v>
      </c>
      <c r="L47" s="7" t="n">
        <v>280</v>
      </c>
      <c r="N47" s="7" t="n">
        <v>299.7</v>
      </c>
      <c r="P47" s="7" t="n">
        <v>253.9</v>
      </c>
      <c r="R47" s="7" t="n">
        <v>772.5</v>
      </c>
      <c r="T47" s="7" t="n">
        <v>0</v>
      </c>
      <c r="V47" s="7" t="n">
        <v>516.4</v>
      </c>
      <c r="X47" s="7" t="n">
        <v>471.8</v>
      </c>
      <c r="Z47" s="7" t="n">
        <v>22.9</v>
      </c>
      <c r="AB47" s="7" t="n">
        <v>3841.2</v>
      </c>
    </row>
    <row r="48">
      <c r="A48" s="4" t="inlineStr">
        <is>
          <t>招聘费</t>
        </is>
      </c>
      <c r="D48" s="7" t="n">
        <v>136.1</v>
      </c>
      <c r="F48" s="7" t="n">
        <v>362.8</v>
      </c>
      <c r="H48" s="7" t="n">
        <v>293.9</v>
      </c>
      <c r="J48" s="7" t="n">
        <v>211.4</v>
      </c>
      <c r="L48" s="7" t="n">
        <v>217.1</v>
      </c>
      <c r="N48" s="7" t="n">
        <v>190.7</v>
      </c>
      <c r="P48" s="7" t="n">
        <v>336.8</v>
      </c>
      <c r="R48" s="7" t="n">
        <v>461.1</v>
      </c>
      <c r="T48" s="7" t="n">
        <v>0</v>
      </c>
      <c r="V48" s="7" t="n">
        <v>441.1</v>
      </c>
      <c r="X48" s="7" t="n">
        <v>289.3</v>
      </c>
      <c r="Z48" s="7" t="n">
        <v>20.4</v>
      </c>
      <c r="AB48" s="7" t="n">
        <v>2960.7</v>
      </c>
    </row>
    <row r="49">
      <c r="A49" s="4" t="inlineStr">
        <is>
          <t>办公费</t>
        </is>
      </c>
      <c r="D49" s="7" t="n">
        <v>3519.1</v>
      </c>
      <c r="F49" s="7" t="n">
        <v>7460.9</v>
      </c>
      <c r="H49" s="7" t="n">
        <v>5939.5</v>
      </c>
      <c r="J49" s="7" t="n">
        <v>3246.3</v>
      </c>
      <c r="L49" s="7" t="n">
        <v>6751.9</v>
      </c>
      <c r="N49" s="7" t="n">
        <v>4278.2</v>
      </c>
      <c r="P49" s="7" t="n">
        <v>8532.299999999999</v>
      </c>
      <c r="R49" s="7" t="n">
        <v>10935.7</v>
      </c>
      <c r="T49" s="7" t="n">
        <v>0</v>
      </c>
      <c r="V49" s="7" t="n">
        <v>11256.1</v>
      </c>
      <c r="X49" s="7" t="n">
        <v>8068.2</v>
      </c>
      <c r="Z49" s="7" t="n">
        <v>612.7</v>
      </c>
      <c r="AB49" s="7" t="n">
        <v>70600.89999999999</v>
      </c>
    </row>
    <row r="50">
      <c r="A50" s="4" t="inlineStr">
        <is>
          <t>市内交通费</t>
        </is>
      </c>
      <c r="D50" s="7" t="n">
        <v>800</v>
      </c>
      <c r="F50" s="7" t="n">
        <v>1505</v>
      </c>
      <c r="H50" s="7" t="n">
        <v>649.8</v>
      </c>
      <c r="J50" s="7" t="n">
        <v>580.6</v>
      </c>
      <c r="L50" s="7" t="n">
        <v>1164</v>
      </c>
      <c r="N50" s="7" t="n">
        <v>1098.2</v>
      </c>
      <c r="P50" s="7" t="n">
        <v>1384.2</v>
      </c>
      <c r="R50" s="7" t="n">
        <v>2046.1</v>
      </c>
      <c r="T50" s="7" t="n">
        <v>0</v>
      </c>
      <c r="V50" s="7" t="n">
        <v>2202.5</v>
      </c>
      <c r="X50" s="7" t="n">
        <v>1142</v>
      </c>
      <c r="Z50" s="7" t="n">
        <v>87.3</v>
      </c>
      <c r="AB50" s="7" t="n">
        <v>12659.7</v>
      </c>
    </row>
    <row r="51">
      <c r="A51" s="4" t="inlineStr">
        <is>
          <t>差旅费</t>
        </is>
      </c>
      <c r="D51" s="7" t="n">
        <v>7853.7</v>
      </c>
      <c r="F51" s="7" t="n">
        <v>14246.2</v>
      </c>
      <c r="H51" s="7" t="n">
        <v>11684.1</v>
      </c>
      <c r="J51" s="7" t="n">
        <v>5590.2</v>
      </c>
      <c r="L51" s="7" t="n">
        <v>9035</v>
      </c>
      <c r="N51" s="7" t="n">
        <v>11228</v>
      </c>
      <c r="P51" s="7" t="n">
        <v>10540.8</v>
      </c>
      <c r="R51" s="7" t="n">
        <v>18955.6</v>
      </c>
      <c r="T51" s="7" t="n">
        <v>0</v>
      </c>
      <c r="V51" s="7" t="n">
        <v>23342.7</v>
      </c>
      <c r="X51" s="7" t="n">
        <v>18260.3</v>
      </c>
      <c r="Z51" s="7" t="n">
        <v>1068.5</v>
      </c>
      <c r="AB51" s="7" t="n">
        <v>131805.1</v>
      </c>
    </row>
    <row r="52">
      <c r="A52" s="4" t="inlineStr">
        <is>
          <t>交通费</t>
        </is>
      </c>
      <c r="D52" s="7" t="n">
        <v>1033.2</v>
      </c>
      <c r="F52" s="7" t="n">
        <v>1997.8</v>
      </c>
      <c r="H52" s="7" t="n">
        <v>1026.8</v>
      </c>
      <c r="J52" s="7" t="n">
        <v>756.2</v>
      </c>
      <c r="L52" s="7" t="n">
        <v>1267.8</v>
      </c>
      <c r="N52" s="7" t="n">
        <v>1218.6</v>
      </c>
      <c r="P52" s="7" t="n">
        <v>1271.4</v>
      </c>
      <c r="R52" s="7" t="n">
        <v>1704.5</v>
      </c>
      <c r="T52" s="7" t="n">
        <v>0</v>
      </c>
      <c r="V52" s="7" t="n">
        <v>2197.4</v>
      </c>
      <c r="X52" s="7" t="n">
        <v>1691.4</v>
      </c>
      <c r="Z52" s="7" t="n">
        <v>88.7</v>
      </c>
      <c r="AB52" s="7" t="n">
        <v>14253.8</v>
      </c>
    </row>
    <row r="53">
      <c r="A53" s="4" t="inlineStr">
        <is>
          <t>住宿费</t>
        </is>
      </c>
      <c r="D53" s="7" t="n">
        <v>328.6</v>
      </c>
      <c r="F53" s="7" t="n">
        <v>916.3</v>
      </c>
      <c r="H53" s="7" t="n">
        <v>593.7</v>
      </c>
      <c r="J53" s="7" t="n">
        <v>360.7</v>
      </c>
      <c r="L53" s="7" t="n">
        <v>547.2</v>
      </c>
      <c r="N53" s="7" t="n">
        <v>607.1</v>
      </c>
      <c r="P53" s="7" t="n">
        <v>708.7</v>
      </c>
      <c r="R53" s="7" t="n">
        <v>1211.3</v>
      </c>
      <c r="T53" s="7" t="n">
        <v>0</v>
      </c>
      <c r="V53" s="7" t="n">
        <v>1269.9</v>
      </c>
      <c r="X53" s="7" t="n">
        <v>648.4</v>
      </c>
      <c r="Z53" s="7" t="n">
        <v>36.9</v>
      </c>
      <c r="AB53" s="7" t="n">
        <v>7228.8</v>
      </c>
    </row>
    <row r="54">
      <c r="A54" s="4" t="inlineStr">
        <is>
          <t>餐补</t>
        </is>
      </c>
      <c r="D54" s="7" t="n">
        <v>774.3</v>
      </c>
      <c r="F54" s="7" t="n">
        <v>1513.4</v>
      </c>
      <c r="H54" s="7" t="n">
        <v>1091.9</v>
      </c>
      <c r="J54" s="7" t="n">
        <v>726.8</v>
      </c>
      <c r="L54" s="7" t="n">
        <v>879.7</v>
      </c>
      <c r="N54" s="7" t="n">
        <v>989.4</v>
      </c>
      <c r="P54" s="7" t="n">
        <v>1309.8</v>
      </c>
      <c r="R54" s="7" t="n">
        <v>1764.8</v>
      </c>
      <c r="T54" s="7" t="n">
        <v>0</v>
      </c>
      <c r="V54" s="7" t="n">
        <v>2635.6</v>
      </c>
      <c r="X54" s="7" t="n">
        <v>1722.4</v>
      </c>
      <c r="Z54" s="7" t="n">
        <v>67.5</v>
      </c>
      <c r="AB54" s="7" t="n">
        <v>13475.6</v>
      </c>
    </row>
    <row r="55">
      <c r="A55" s="4" t="inlineStr">
        <is>
          <t>交通补助</t>
        </is>
      </c>
      <c r="D55" s="7" t="n">
        <v>739.7</v>
      </c>
      <c r="F55" s="7" t="n">
        <v>1622.1</v>
      </c>
      <c r="H55" s="7" t="n">
        <v>868.8</v>
      </c>
      <c r="J55" s="7" t="n">
        <v>666.6</v>
      </c>
      <c r="L55" s="7" t="n">
        <v>1207.7</v>
      </c>
      <c r="N55" s="7" t="n">
        <v>974.6</v>
      </c>
      <c r="P55" s="7" t="n">
        <v>911.1</v>
      </c>
      <c r="R55" s="7" t="n">
        <v>1871.9</v>
      </c>
      <c r="T55" s="7" t="n">
        <v>0</v>
      </c>
      <c r="V55" s="7" t="n">
        <v>1674.5</v>
      </c>
      <c r="X55" s="7" t="n">
        <v>1194.5</v>
      </c>
      <c r="Z55" s="7" t="n">
        <v>115.9</v>
      </c>
      <c r="AB55" s="7" t="n">
        <v>11847.4</v>
      </c>
    </row>
    <row r="56">
      <c r="A56" s="4" t="inlineStr">
        <is>
          <t>通讯补助</t>
        </is>
      </c>
      <c r="D56" s="7" t="n">
        <v>540.5</v>
      </c>
      <c r="F56" s="7" t="n">
        <v>980.6</v>
      </c>
      <c r="H56" s="7" t="n">
        <v>748.6</v>
      </c>
      <c r="J56" s="7" t="n">
        <v>663.6</v>
      </c>
      <c r="L56" s="7" t="n">
        <v>945</v>
      </c>
      <c r="N56" s="7" t="n">
        <v>620.1</v>
      </c>
      <c r="P56" s="7" t="n">
        <v>1035</v>
      </c>
      <c r="R56" s="7" t="n">
        <v>1954.6</v>
      </c>
      <c r="T56" s="7" t="n">
        <v>0</v>
      </c>
      <c r="V56" s="7" t="n">
        <v>1319.2</v>
      </c>
      <c r="X56" s="7" t="n">
        <v>1330.4</v>
      </c>
      <c r="Z56" s="7" t="n">
        <v>97.2</v>
      </c>
      <c r="AB56" s="7" t="n">
        <v>10234.8</v>
      </c>
    </row>
    <row r="57">
      <c r="A57" s="4" t="inlineStr">
        <is>
          <t>招待费</t>
        </is>
      </c>
      <c r="D57" s="7" t="n">
        <v>5056</v>
      </c>
      <c r="F57" s="7" t="n">
        <v>9084.5</v>
      </c>
      <c r="H57" s="7" t="n">
        <v>9463.5</v>
      </c>
      <c r="J57" s="7" t="n">
        <v>5966.8</v>
      </c>
      <c r="L57" s="7" t="n">
        <v>5399.1</v>
      </c>
      <c r="N57" s="7" t="n">
        <v>5657.8</v>
      </c>
      <c r="P57" s="7" t="n">
        <v>9907.4</v>
      </c>
      <c r="R57" s="7" t="n">
        <v>15761.5</v>
      </c>
      <c r="T57" s="7" t="n">
        <v>0</v>
      </c>
      <c r="V57" s="7" t="n">
        <v>17730.3</v>
      </c>
      <c r="X57" s="7" t="n">
        <v>8604.4</v>
      </c>
      <c r="Z57" s="7" t="n">
        <v>662.1</v>
      </c>
      <c r="AB57" s="7" t="n">
        <v>93293.39999999999</v>
      </c>
    </row>
    <row r="58">
      <c r="A58" s="4" t="inlineStr">
        <is>
          <t>通讯费</t>
        </is>
      </c>
      <c r="D58" s="7" t="n">
        <v>509</v>
      </c>
      <c r="F58" s="7" t="n">
        <v>958.8</v>
      </c>
      <c r="H58" s="7" t="n">
        <v>1072.7</v>
      </c>
      <c r="J58" s="7" t="n">
        <v>561.7</v>
      </c>
      <c r="L58" s="7" t="n">
        <v>1056.7</v>
      </c>
      <c r="N58" s="7" t="n">
        <v>714.2</v>
      </c>
      <c r="P58" s="7" t="n">
        <v>752.3</v>
      </c>
      <c r="R58" s="7" t="n">
        <v>1451.1</v>
      </c>
      <c r="T58" s="7" t="n">
        <v>0</v>
      </c>
      <c r="V58" s="7" t="n">
        <v>1536.1</v>
      </c>
      <c r="X58" s="7" t="n">
        <v>1536.4</v>
      </c>
      <c r="Z58" s="7" t="n">
        <v>78.09999999999999</v>
      </c>
      <c r="AB58" s="7" t="n">
        <v>10227.1</v>
      </c>
    </row>
    <row r="59">
      <c r="A59" s="4" t="inlineStr">
        <is>
          <t>网络费</t>
        </is>
      </c>
      <c r="D59" s="7" t="n">
        <v>594.8</v>
      </c>
      <c r="F59" s="7" t="n">
        <v>1288.2</v>
      </c>
      <c r="H59" s="7" t="n">
        <v>601.8</v>
      </c>
      <c r="J59" s="7" t="n">
        <v>451.4</v>
      </c>
      <c r="L59" s="7" t="n">
        <v>733.4</v>
      </c>
      <c r="N59" s="7" t="n">
        <v>678.7</v>
      </c>
      <c r="P59" s="7" t="n">
        <v>824.5</v>
      </c>
      <c r="R59" s="7" t="n">
        <v>1677.8</v>
      </c>
      <c r="T59" s="7" t="n">
        <v>0</v>
      </c>
      <c r="V59" s="7" t="n">
        <v>1764.2</v>
      </c>
      <c r="X59" s="7" t="n">
        <v>838</v>
      </c>
      <c r="Z59" s="7" t="n">
        <v>54.2</v>
      </c>
      <c r="AB59" s="7" t="n">
        <v>9507</v>
      </c>
    </row>
    <row r="60">
      <c r="A60" s="4" t="inlineStr">
        <is>
          <t>修理费</t>
        </is>
      </c>
      <c r="D60" s="7" t="n">
        <v>467.5</v>
      </c>
      <c r="F60" s="7" t="n">
        <v>1327.9</v>
      </c>
      <c r="H60" s="7" t="n">
        <v>1166.7</v>
      </c>
      <c r="J60" s="7" t="n">
        <v>468.5</v>
      </c>
      <c r="L60" s="7" t="n">
        <v>962</v>
      </c>
      <c r="N60" s="7" t="n">
        <v>662</v>
      </c>
      <c r="P60" s="7" t="n">
        <v>1159.9</v>
      </c>
      <c r="R60" s="7" t="n">
        <v>2473</v>
      </c>
      <c r="T60" s="7" t="n">
        <v>0</v>
      </c>
      <c r="V60" s="7" t="n">
        <v>2414.2</v>
      </c>
      <c r="X60" s="7" t="n">
        <v>1300.4</v>
      </c>
      <c r="Z60" s="7" t="n">
        <v>79.59999999999999</v>
      </c>
      <c r="AB60" s="7" t="n">
        <v>12481.7</v>
      </c>
    </row>
    <row r="61">
      <c r="A61" s="4" t="inlineStr">
        <is>
          <t>车辆费</t>
        </is>
      </c>
      <c r="D61" s="7" t="n">
        <v>349.8</v>
      </c>
      <c r="F61" s="7" t="n">
        <v>892</v>
      </c>
      <c r="H61" s="7" t="n">
        <v>670.1</v>
      </c>
      <c r="J61" s="7" t="n">
        <v>420.2</v>
      </c>
      <c r="L61" s="7" t="n">
        <v>685.8</v>
      </c>
      <c r="N61" s="7" t="n">
        <v>590.1</v>
      </c>
      <c r="P61" s="7" t="n">
        <v>578.5</v>
      </c>
      <c r="R61" s="7" t="n">
        <v>802.8</v>
      </c>
      <c r="T61" s="7" t="n">
        <v>0</v>
      </c>
      <c r="V61" s="7" t="n">
        <v>983.6</v>
      </c>
      <c r="X61" s="7" t="n">
        <v>573.9</v>
      </c>
      <c r="Z61" s="7" t="n">
        <v>49.1</v>
      </c>
      <c r="AB61" s="7" t="n">
        <v>6595.9</v>
      </c>
    </row>
    <row r="62">
      <c r="A62" s="4" t="inlineStr">
        <is>
          <t>租赁费</t>
        </is>
      </c>
      <c r="D62" s="7" t="n">
        <v>7533.2</v>
      </c>
      <c r="F62" s="7" t="n">
        <v>14567.4</v>
      </c>
      <c r="H62" s="7" t="n">
        <v>11285.3</v>
      </c>
      <c r="J62" s="7" t="n">
        <v>4910.2</v>
      </c>
      <c r="L62" s="7" t="n">
        <v>10216.9</v>
      </c>
      <c r="N62" s="7" t="n">
        <v>11643</v>
      </c>
      <c r="P62" s="7" t="n">
        <v>9613.200000000001</v>
      </c>
      <c r="R62" s="7" t="n">
        <v>21732</v>
      </c>
      <c r="T62" s="7" t="n">
        <v>0</v>
      </c>
      <c r="V62" s="7" t="n">
        <v>17909.1</v>
      </c>
      <c r="X62" s="7" t="n">
        <v>14356.4</v>
      </c>
      <c r="Z62" s="7" t="n">
        <v>980.3</v>
      </c>
      <c r="AB62" s="7" t="n">
        <v>124747</v>
      </c>
    </row>
    <row r="63">
      <c r="A63" s="4" t="inlineStr">
        <is>
          <t>能源费</t>
        </is>
      </c>
      <c r="D63" s="7" t="n">
        <v>909.9</v>
      </c>
      <c r="F63" s="7" t="n">
        <v>1871.5</v>
      </c>
      <c r="H63" s="7" t="n">
        <v>1196.8</v>
      </c>
      <c r="J63" s="7" t="n">
        <v>844.9</v>
      </c>
      <c r="L63" s="7" t="n">
        <v>1482.5</v>
      </c>
      <c r="N63" s="7" t="n">
        <v>1555.6</v>
      </c>
      <c r="P63" s="7" t="n">
        <v>1847.4</v>
      </c>
      <c r="R63" s="7" t="n">
        <v>3033.7</v>
      </c>
      <c r="T63" s="7" t="n">
        <v>0</v>
      </c>
      <c r="V63" s="7" t="n">
        <v>3270.3</v>
      </c>
      <c r="X63" s="7" t="n">
        <v>1876.5</v>
      </c>
      <c r="Z63" s="7" t="n">
        <v>120.2</v>
      </c>
      <c r="AB63" s="7" t="n">
        <v>18009.3</v>
      </c>
    </row>
    <row r="64">
      <c r="A64" s="4" t="inlineStr">
        <is>
          <t>水费</t>
        </is>
      </c>
      <c r="D64" s="7" t="n">
        <v>503.6</v>
      </c>
      <c r="F64" s="7" t="n">
        <v>1090.2</v>
      </c>
      <c r="H64" s="7" t="n">
        <v>545.5</v>
      </c>
      <c r="J64" s="7" t="n">
        <v>477.2</v>
      </c>
      <c r="L64" s="7" t="n">
        <v>964.5</v>
      </c>
      <c r="N64" s="7" t="n">
        <v>954.6</v>
      </c>
      <c r="P64" s="7" t="n">
        <v>1139.2</v>
      </c>
      <c r="R64" s="7" t="n">
        <v>1875.6</v>
      </c>
      <c r="T64" s="7" t="n">
        <v>0</v>
      </c>
      <c r="V64" s="7" t="n">
        <v>1764.8</v>
      </c>
      <c r="X64" s="7" t="n">
        <v>934.7</v>
      </c>
      <c r="Z64" s="7" t="n">
        <v>58.2</v>
      </c>
      <c r="AB64" s="7" t="n">
        <v>10308.1</v>
      </c>
    </row>
    <row r="65">
      <c r="A65" s="4" t="inlineStr">
        <is>
          <t>电费</t>
        </is>
      </c>
      <c r="D65" s="7" t="n">
        <v>127.9</v>
      </c>
      <c r="F65" s="7" t="n">
        <v>251.3</v>
      </c>
      <c r="H65" s="7" t="n">
        <v>208.7</v>
      </c>
      <c r="J65" s="7" t="n">
        <v>118</v>
      </c>
      <c r="L65" s="7" t="n">
        <v>140.4</v>
      </c>
      <c r="N65" s="7" t="n">
        <v>210.8</v>
      </c>
      <c r="P65" s="7" t="n">
        <v>183.2</v>
      </c>
      <c r="R65" s="7" t="n">
        <v>402.3</v>
      </c>
      <c r="T65" s="7" t="n">
        <v>0</v>
      </c>
      <c r="V65" s="7" t="n">
        <v>447.2</v>
      </c>
      <c r="X65" s="7" t="n">
        <v>201.5</v>
      </c>
      <c r="Z65" s="7" t="n">
        <v>16.3</v>
      </c>
      <c r="AB65" s="7" t="n">
        <v>2307.6</v>
      </c>
    </row>
    <row r="66">
      <c r="A66" s="4" t="inlineStr">
        <is>
          <t>燃气费</t>
        </is>
      </c>
      <c r="D66" s="7" t="n">
        <v>112.1</v>
      </c>
      <c r="F66" s="7" t="n">
        <v>164.4</v>
      </c>
      <c r="H66" s="7" t="n">
        <v>114.9</v>
      </c>
      <c r="J66" s="7" t="n">
        <v>109.5</v>
      </c>
      <c r="L66" s="7" t="n">
        <v>160.1</v>
      </c>
      <c r="N66" s="7" t="n">
        <v>109</v>
      </c>
      <c r="P66" s="7" t="n">
        <v>161.5</v>
      </c>
      <c r="R66" s="7" t="n">
        <v>332.6</v>
      </c>
      <c r="T66" s="7" t="n">
        <v>0</v>
      </c>
      <c r="V66" s="7" t="n">
        <v>370.9</v>
      </c>
      <c r="X66" s="7" t="n">
        <v>252.5</v>
      </c>
      <c r="Z66" s="7" t="n">
        <v>15.7</v>
      </c>
      <c r="AB66" s="7" t="n">
        <v>1903.2</v>
      </c>
    </row>
    <row r="67">
      <c r="A67" s="4" t="inlineStr">
        <is>
          <t>蒸汽费</t>
        </is>
      </c>
      <c r="D67" s="7" t="n">
        <v>166.3</v>
      </c>
      <c r="F67" s="7" t="n">
        <v>365.6</v>
      </c>
      <c r="H67" s="7" t="n">
        <v>327.7</v>
      </c>
      <c r="J67" s="7" t="n">
        <v>140.2</v>
      </c>
      <c r="L67" s="7" t="n">
        <v>217.5</v>
      </c>
      <c r="N67" s="7" t="n">
        <v>281.2</v>
      </c>
      <c r="P67" s="7" t="n">
        <v>363.5</v>
      </c>
      <c r="R67" s="7" t="n">
        <v>423.2</v>
      </c>
      <c r="T67" s="7" t="n">
        <v>0</v>
      </c>
      <c r="V67" s="7" t="n">
        <v>687.4</v>
      </c>
      <c r="X67" s="7" t="n">
        <v>487.8</v>
      </c>
      <c r="Z67" s="7" t="n">
        <v>30</v>
      </c>
      <c r="AB67" s="7" t="n">
        <v>3490.4</v>
      </c>
    </row>
    <row r="68">
      <c r="A68" s="4" t="inlineStr">
        <is>
          <t>物业费</t>
        </is>
      </c>
      <c r="D68" s="7" t="n">
        <v>576.2</v>
      </c>
      <c r="F68" s="7" t="n">
        <v>936.4</v>
      </c>
      <c r="H68" s="7" t="n">
        <v>815.2</v>
      </c>
      <c r="J68" s="7" t="n">
        <v>563.7</v>
      </c>
      <c r="L68" s="7" t="n">
        <v>704.6</v>
      </c>
      <c r="N68" s="7" t="n">
        <v>815</v>
      </c>
      <c r="P68" s="7" t="n">
        <v>905.2</v>
      </c>
      <c r="R68" s="7" t="n">
        <v>1855.9</v>
      </c>
      <c r="T68" s="7" t="n">
        <v>0</v>
      </c>
      <c r="V68" s="7" t="n">
        <v>1277.7</v>
      </c>
      <c r="X68" s="7" t="n">
        <v>812.5</v>
      </c>
      <c r="Z68" s="7" t="n">
        <v>53.1</v>
      </c>
      <c r="AB68" s="7" t="n">
        <v>9315.5</v>
      </c>
    </row>
    <row r="69">
      <c r="A69" s="4" t="inlineStr">
        <is>
          <t>劳动保护费</t>
        </is>
      </c>
      <c r="D69" s="7" t="n">
        <v>90.09999999999999</v>
      </c>
      <c r="F69" s="7" t="n">
        <v>189.4</v>
      </c>
      <c r="H69" s="7" t="n">
        <v>122.7</v>
      </c>
      <c r="J69" s="7" t="n">
        <v>56.4</v>
      </c>
      <c r="L69" s="7" t="n">
        <v>103.6</v>
      </c>
      <c r="N69" s="7" t="n">
        <v>135.1</v>
      </c>
      <c r="P69" s="7" t="n">
        <v>164.8</v>
      </c>
      <c r="R69" s="7" t="n">
        <v>237.4</v>
      </c>
      <c r="T69" s="7" t="n">
        <v>0</v>
      </c>
      <c r="V69" s="7" t="n">
        <v>167.6</v>
      </c>
      <c r="X69" s="7" t="n">
        <v>160.1</v>
      </c>
      <c r="Z69" s="7" t="n">
        <v>12.6</v>
      </c>
      <c r="AB69" s="7" t="n">
        <v>1439.8</v>
      </c>
    </row>
    <row r="70">
      <c r="A70" s="4" t="inlineStr">
        <is>
          <t>顾问费</t>
        </is>
      </c>
      <c r="D70" s="7" t="n">
        <v>771.5</v>
      </c>
      <c r="F70" s="7" t="n">
        <v>1515.6</v>
      </c>
      <c r="H70" s="7" t="n">
        <v>1302.9</v>
      </c>
      <c r="J70" s="7" t="n">
        <v>948.9</v>
      </c>
      <c r="L70" s="7" t="n">
        <v>1251.9</v>
      </c>
      <c r="N70" s="7" t="n">
        <v>1299.7</v>
      </c>
      <c r="P70" s="7" t="n">
        <v>1186.4</v>
      </c>
      <c r="R70" s="7" t="n">
        <v>2337.8</v>
      </c>
      <c r="T70" s="7" t="n">
        <v>0</v>
      </c>
      <c r="V70" s="7" t="n">
        <v>2439.6</v>
      </c>
      <c r="X70" s="7" t="n">
        <v>1355.3</v>
      </c>
      <c r="Z70" s="7" t="n">
        <v>145.6</v>
      </c>
      <c r="AB70" s="7" t="n">
        <v>14555.2</v>
      </c>
    </row>
    <row r="71">
      <c r="A71" s="4" t="inlineStr">
        <is>
          <t>快递费</t>
        </is>
      </c>
      <c r="D71" s="7" t="n">
        <v>739.1</v>
      </c>
      <c r="F71" s="7" t="n">
        <v>1371.7</v>
      </c>
      <c r="H71" s="7" t="n">
        <v>1066.3</v>
      </c>
      <c r="J71" s="7" t="n">
        <v>542</v>
      </c>
      <c r="L71" s="7" t="n">
        <v>1162</v>
      </c>
      <c r="N71" s="7" t="n">
        <v>1235.9</v>
      </c>
      <c r="P71" s="7" t="n">
        <v>1364.6</v>
      </c>
      <c r="R71" s="7" t="n">
        <v>2257.8</v>
      </c>
      <c r="T71" s="7" t="n">
        <v>0</v>
      </c>
      <c r="V71" s="7" t="n">
        <v>2763</v>
      </c>
      <c r="X71" s="7" t="n">
        <v>1139.3</v>
      </c>
      <c r="Z71" s="7" t="n">
        <v>127.6</v>
      </c>
      <c r="AB71" s="7" t="n">
        <v>13769.3</v>
      </c>
    </row>
    <row r="72">
      <c r="A72" s="4" t="inlineStr">
        <is>
          <t>诉讼费</t>
        </is>
      </c>
      <c r="D72" s="7" t="n">
        <v>615.7</v>
      </c>
      <c r="F72" s="7" t="n">
        <v>1423.6</v>
      </c>
      <c r="H72" s="7" t="n">
        <v>845.7</v>
      </c>
      <c r="J72" s="7" t="n">
        <v>652</v>
      </c>
      <c r="L72" s="7" t="n">
        <v>826.1</v>
      </c>
      <c r="N72" s="7" t="n">
        <v>1138.3</v>
      </c>
      <c r="P72" s="7" t="n">
        <v>923.8</v>
      </c>
      <c r="R72" s="7" t="n">
        <v>2152.5</v>
      </c>
      <c r="T72" s="7" t="n">
        <v>0</v>
      </c>
      <c r="V72" s="7" t="n">
        <v>2053.2</v>
      </c>
      <c r="X72" s="7" t="n">
        <v>1473.4</v>
      </c>
      <c r="Z72" s="7" t="n">
        <v>92.90000000000001</v>
      </c>
      <c r="AB72" s="7" t="n">
        <v>12197.2</v>
      </c>
    </row>
    <row r="73">
      <c r="A73" s="4" t="inlineStr">
        <is>
          <t>会员费</t>
        </is>
      </c>
      <c r="D73" s="7" t="n">
        <v>56.6</v>
      </c>
      <c r="F73" s="7" t="n">
        <v>71.40000000000001</v>
      </c>
      <c r="H73" s="7" t="n">
        <v>62.6</v>
      </c>
      <c r="J73" s="7" t="n">
        <v>40.4</v>
      </c>
      <c r="L73" s="7" t="n">
        <v>85.7</v>
      </c>
      <c r="N73" s="7" t="n">
        <v>72</v>
      </c>
      <c r="P73" s="7" t="n">
        <v>92.40000000000001</v>
      </c>
      <c r="R73" s="7" t="n">
        <v>173.2</v>
      </c>
      <c r="T73" s="7" t="n">
        <v>0</v>
      </c>
      <c r="V73" s="7" t="n">
        <v>121</v>
      </c>
      <c r="X73" s="7" t="n">
        <v>102.3</v>
      </c>
      <c r="Z73" s="7" t="n">
        <v>8</v>
      </c>
      <c r="AB73" s="7" t="n">
        <v>885.6</v>
      </c>
    </row>
    <row r="74">
      <c r="A74" s="4" t="inlineStr">
        <is>
          <t>广告宣传费</t>
        </is>
      </c>
      <c r="D74" s="7" t="n">
        <v>4663.9</v>
      </c>
      <c r="F74" s="7" t="n">
        <v>7196.6</v>
      </c>
      <c r="H74" s="7" t="n">
        <v>5584.4</v>
      </c>
      <c r="J74" s="7" t="n">
        <v>3271.5</v>
      </c>
      <c r="L74" s="7" t="n">
        <v>6457.6</v>
      </c>
      <c r="N74" s="7" t="n">
        <v>4673.2</v>
      </c>
      <c r="P74" s="7" t="n">
        <v>8068.4</v>
      </c>
      <c r="R74" s="7" t="n">
        <v>10904.4</v>
      </c>
      <c r="T74" s="7" t="n">
        <v>0</v>
      </c>
      <c r="V74" s="7" t="n">
        <v>13432.3</v>
      </c>
      <c r="X74" s="7" t="n">
        <v>8430.6</v>
      </c>
      <c r="Z74" s="7" t="n">
        <v>635.3</v>
      </c>
      <c r="AB74" s="7" t="n">
        <v>73318.2</v>
      </c>
    </row>
    <row r="75">
      <c r="A75" s="4" t="inlineStr">
        <is>
          <t>会务费</t>
        </is>
      </c>
      <c r="D75" s="7" t="n">
        <v>844.7</v>
      </c>
      <c r="F75" s="7" t="n">
        <v>1393.8</v>
      </c>
      <c r="H75" s="7" t="n">
        <v>814.4</v>
      </c>
      <c r="J75" s="7" t="n">
        <v>546.7</v>
      </c>
      <c r="L75" s="7" t="n">
        <v>1199.2</v>
      </c>
      <c r="N75" s="7" t="n">
        <v>929.2</v>
      </c>
      <c r="P75" s="7" t="n">
        <v>971.6</v>
      </c>
      <c r="R75" s="7" t="n">
        <v>1797.5</v>
      </c>
      <c r="T75" s="7" t="n">
        <v>0</v>
      </c>
      <c r="V75" s="7" t="n">
        <v>2473</v>
      </c>
      <c r="X75" s="7" t="n">
        <v>1053.9</v>
      </c>
      <c r="Z75" s="7" t="n">
        <v>113.3</v>
      </c>
      <c r="AB75" s="7" t="n">
        <v>12137.3</v>
      </c>
    </row>
    <row r="76">
      <c r="A76" s="4" t="inlineStr">
        <is>
          <t>装修费</t>
        </is>
      </c>
      <c r="D76" s="7" t="n">
        <v>562.7</v>
      </c>
      <c r="F76" s="7" t="n">
        <v>1252.9</v>
      </c>
      <c r="H76" s="7" t="n">
        <v>545</v>
      </c>
      <c r="J76" s="7" t="n">
        <v>601.2</v>
      </c>
      <c r="L76" s="7" t="n">
        <v>695.1</v>
      </c>
      <c r="N76" s="7" t="n">
        <v>867.2</v>
      </c>
      <c r="P76" s="7" t="n">
        <v>1050.3</v>
      </c>
      <c r="R76" s="7" t="n">
        <v>1110.3</v>
      </c>
      <c r="T76" s="7" t="n">
        <v>0</v>
      </c>
      <c r="V76" s="7" t="n">
        <v>1185.8</v>
      </c>
      <c r="X76" s="7" t="n">
        <v>740.3</v>
      </c>
      <c r="Z76" s="7" t="n">
        <v>87</v>
      </c>
      <c r="AB76" s="7" t="n">
        <v>8697.799999999999</v>
      </c>
    </row>
    <row r="77">
      <c r="A77" s="4" t="inlineStr">
        <is>
          <t>推广费</t>
        </is>
      </c>
      <c r="D77" s="7" t="n">
        <v>606.1</v>
      </c>
      <c r="F77" s="7" t="n">
        <v>1402.5</v>
      </c>
      <c r="H77" s="7" t="n">
        <v>839.9</v>
      </c>
      <c r="J77" s="7" t="n">
        <v>503.7</v>
      </c>
      <c r="L77" s="7" t="n">
        <v>591.4</v>
      </c>
      <c r="N77" s="7" t="n">
        <v>686.4</v>
      </c>
      <c r="P77" s="7" t="n">
        <v>938.2</v>
      </c>
      <c r="R77" s="7" t="n">
        <v>1841.6</v>
      </c>
      <c r="T77" s="7" t="n">
        <v>0</v>
      </c>
      <c r="V77" s="7" t="n">
        <v>1809.8</v>
      </c>
      <c r="X77" s="7" t="n">
        <v>1057.4</v>
      </c>
      <c r="Z77" s="7" t="n">
        <v>85.09999999999999</v>
      </c>
      <c r="AB77" s="7" t="n">
        <v>10362.1</v>
      </c>
    </row>
    <row r="78">
      <c r="A78" s="4" t="inlineStr">
        <is>
          <t>展会费</t>
        </is>
      </c>
      <c r="D78" s="7" t="n">
        <v>769</v>
      </c>
      <c r="F78" s="7" t="n">
        <v>1561.6</v>
      </c>
      <c r="H78" s="7" t="n">
        <v>1163.9</v>
      </c>
      <c r="J78" s="7" t="n">
        <v>712.8</v>
      </c>
      <c r="L78" s="7" t="n">
        <v>868.8</v>
      </c>
      <c r="N78" s="7" t="n">
        <v>1085.7</v>
      </c>
      <c r="P78" s="7" t="n">
        <v>1063.6</v>
      </c>
      <c r="R78" s="7" t="n">
        <v>1563.1</v>
      </c>
      <c r="T78" s="7" t="n">
        <v>0</v>
      </c>
      <c r="V78" s="7" t="n">
        <v>2015</v>
      </c>
      <c r="X78" s="7" t="n">
        <v>1539.8</v>
      </c>
      <c r="Z78" s="7" t="n">
        <v>93.90000000000001</v>
      </c>
      <c r="AB78" s="7" t="n">
        <v>12437.2</v>
      </c>
    </row>
    <row r="79">
      <c r="A79" s="4" t="inlineStr">
        <is>
          <t>设计费</t>
        </is>
      </c>
      <c r="D79" s="7" t="n">
        <v>21.2</v>
      </c>
      <c r="F79" s="7" t="n">
        <v>40.4</v>
      </c>
      <c r="H79" s="7" t="n">
        <v>23.9</v>
      </c>
      <c r="J79" s="7" t="n">
        <v>21.7</v>
      </c>
      <c r="L79" s="7" t="n">
        <v>34.2</v>
      </c>
      <c r="N79" s="7" t="n">
        <v>23.3</v>
      </c>
      <c r="P79" s="7" t="n">
        <v>33.1</v>
      </c>
      <c r="R79" s="7" t="n">
        <v>63.7</v>
      </c>
      <c r="T79" s="7" t="n">
        <v>0</v>
      </c>
      <c r="V79" s="7" t="n">
        <v>61.2</v>
      </c>
      <c r="X79" s="7" t="n">
        <v>30.8</v>
      </c>
      <c r="Z79" s="7" t="n">
        <v>2</v>
      </c>
      <c r="AB79" s="7" t="n">
        <v>355.5</v>
      </c>
    </row>
    <row r="80">
      <c r="A80" s="4" t="inlineStr">
        <is>
          <t>折旧费</t>
        </is>
      </c>
      <c r="D80" s="7" t="n">
        <v>6707</v>
      </c>
      <c r="F80" s="7" t="n">
        <v>12085.1</v>
      </c>
      <c r="H80" s="7" t="n">
        <v>5938.9</v>
      </c>
      <c r="J80" s="7" t="n">
        <v>5956.2</v>
      </c>
      <c r="L80" s="7" t="n">
        <v>5483</v>
      </c>
      <c r="N80" s="7" t="n">
        <v>7882.5</v>
      </c>
      <c r="P80" s="7" t="n">
        <v>9057</v>
      </c>
      <c r="R80" s="7" t="n">
        <v>18437.8</v>
      </c>
      <c r="T80" s="7" t="n">
        <v>0</v>
      </c>
      <c r="V80" s="7" t="n">
        <v>15731.7</v>
      </c>
      <c r="X80" s="7" t="n">
        <v>11268.7</v>
      </c>
      <c r="Z80" s="7" t="n">
        <v>807.8</v>
      </c>
      <c r="AB80" s="7" t="n">
        <v>99355.7</v>
      </c>
    </row>
    <row r="81">
      <c r="A81" s="4" t="inlineStr">
        <is>
          <t>认证费</t>
        </is>
      </c>
      <c r="D81" s="7" t="n">
        <v>540.2</v>
      </c>
      <c r="F81" s="7" t="n">
        <v>1531.6</v>
      </c>
      <c r="H81" s="7" t="n">
        <v>1213.6</v>
      </c>
      <c r="J81" s="7" t="n">
        <v>804.5</v>
      </c>
      <c r="L81" s="7" t="n">
        <v>806.5</v>
      </c>
      <c r="N81" s="7" t="n">
        <v>1046.4</v>
      </c>
      <c r="P81" s="7" t="n">
        <v>927.5</v>
      </c>
      <c r="R81" s="7" t="n">
        <v>2077.3</v>
      </c>
      <c r="T81" s="7" t="n">
        <v>0</v>
      </c>
      <c r="V81" s="7" t="n">
        <v>1559</v>
      </c>
      <c r="X81" s="7" t="n">
        <v>1079.6</v>
      </c>
      <c r="Z81" s="7" t="n">
        <v>76.40000000000001</v>
      </c>
      <c r="AB81" s="7" t="n">
        <v>11662.6</v>
      </c>
    </row>
    <row r="82">
      <c r="A82" s="4" t="inlineStr">
        <is>
          <t>样品费</t>
        </is>
      </c>
      <c r="D82" s="7" t="n">
        <v>2145.5</v>
      </c>
      <c r="F82" s="7" t="n">
        <v>5325.8</v>
      </c>
      <c r="H82" s="7" t="n">
        <v>4433.9</v>
      </c>
      <c r="J82" s="7" t="n">
        <v>1807.8</v>
      </c>
      <c r="L82" s="7" t="n">
        <v>4960.3</v>
      </c>
      <c r="N82" s="7" t="n">
        <v>3827.1</v>
      </c>
      <c r="P82" s="7" t="n">
        <v>4068.9</v>
      </c>
      <c r="R82" s="7" t="n">
        <v>7971.5</v>
      </c>
      <c r="T82" s="7" t="n">
        <v>0</v>
      </c>
      <c r="V82" s="7" t="n">
        <v>9855.299999999999</v>
      </c>
      <c r="X82" s="7" t="n">
        <v>3753.5</v>
      </c>
      <c r="Z82" s="7" t="n">
        <v>315.2</v>
      </c>
      <c r="AB82" s="7" t="n">
        <v>48464.8</v>
      </c>
    </row>
    <row r="83">
      <c r="A83" s="4" t="inlineStr">
        <is>
          <t>劳务费</t>
        </is>
      </c>
      <c r="D83" s="7" t="n">
        <v>845.2</v>
      </c>
      <c r="F83" s="7" t="n">
        <v>1862.7</v>
      </c>
      <c r="H83" s="7" t="n">
        <v>1244.5</v>
      </c>
      <c r="J83" s="7" t="n">
        <v>752.2</v>
      </c>
      <c r="L83" s="7" t="n">
        <v>1250</v>
      </c>
      <c r="N83" s="7" t="n">
        <v>1321.4</v>
      </c>
      <c r="P83" s="7" t="n">
        <v>1393.6</v>
      </c>
      <c r="R83" s="7" t="n">
        <v>3111.2</v>
      </c>
      <c r="T83" s="7" t="n">
        <v>0</v>
      </c>
      <c r="V83" s="7" t="n">
        <v>2468.2</v>
      </c>
      <c r="X83" s="7" t="n">
        <v>1373.8</v>
      </c>
      <c r="Z83" s="7" t="n">
        <v>84.3</v>
      </c>
      <c r="AB83" s="7" t="n">
        <v>15707.1</v>
      </c>
    </row>
    <row r="84">
      <c r="A84" s="4" t="inlineStr">
        <is>
          <t>销售佣金</t>
        </is>
      </c>
      <c r="D84" s="7" t="n">
        <v>609.6</v>
      </c>
      <c r="F84" s="7" t="n">
        <v>1121.5</v>
      </c>
      <c r="H84" s="7" t="n">
        <v>865.9</v>
      </c>
      <c r="J84" s="7" t="n">
        <v>808.4</v>
      </c>
      <c r="L84" s="7" t="n">
        <v>1319.2</v>
      </c>
      <c r="N84" s="7" t="n">
        <v>1087.6</v>
      </c>
      <c r="P84" s="7" t="n">
        <v>988.2</v>
      </c>
      <c r="R84" s="7" t="n">
        <v>1910.4</v>
      </c>
      <c r="T84" s="7" t="n">
        <v>0</v>
      </c>
      <c r="V84" s="7" t="n">
        <v>2243.8</v>
      </c>
      <c r="X84" s="7" t="n">
        <v>1073.1</v>
      </c>
      <c r="Z84" s="7" t="n">
        <v>82.09999999999999</v>
      </c>
      <c r="AB84" s="7" t="n">
        <v>12109.8</v>
      </c>
    </row>
    <row r="85">
      <c r="A85" s="4" t="inlineStr">
        <is>
          <t>检测费</t>
        </is>
      </c>
      <c r="D85" s="7" t="n">
        <v>418.7</v>
      </c>
      <c r="F85" s="7" t="n">
        <v>604</v>
      </c>
      <c r="H85" s="7" t="n">
        <v>343.7</v>
      </c>
      <c r="J85" s="7" t="n">
        <v>267.6</v>
      </c>
      <c r="L85" s="7" t="n">
        <v>460.5</v>
      </c>
      <c r="N85" s="7" t="n">
        <v>533</v>
      </c>
      <c r="P85" s="7" t="n">
        <v>566.7</v>
      </c>
      <c r="R85" s="7" t="n">
        <v>721.5</v>
      </c>
      <c r="T85" s="7" t="n">
        <v>0</v>
      </c>
      <c r="V85" s="7" t="n">
        <v>1262.9</v>
      </c>
      <c r="X85" s="7" t="n">
        <v>750.4</v>
      </c>
      <c r="Z85" s="7" t="n">
        <v>36.5</v>
      </c>
      <c r="AB85" s="7" t="n">
        <v>5965.5</v>
      </c>
    </row>
    <row r="86">
      <c r="A86" s="4" t="inlineStr">
        <is>
          <t>质量赔偿</t>
        </is>
      </c>
      <c r="D86" s="7" t="n">
        <v>359.6</v>
      </c>
      <c r="F86" s="7" t="n">
        <v>746.8</v>
      </c>
      <c r="H86" s="7" t="n">
        <v>474.9</v>
      </c>
      <c r="J86" s="7" t="n">
        <v>291.2</v>
      </c>
      <c r="L86" s="7" t="n">
        <v>372.2</v>
      </c>
      <c r="N86" s="7" t="n">
        <v>602.7</v>
      </c>
      <c r="P86" s="7" t="n">
        <v>519.2</v>
      </c>
      <c r="R86" s="7" t="n">
        <v>677.9</v>
      </c>
      <c r="T86" s="7" t="n">
        <v>0</v>
      </c>
      <c r="V86" s="7" t="n">
        <v>708.4</v>
      </c>
      <c r="X86" s="7" t="n">
        <v>506.9</v>
      </c>
      <c r="Z86" s="7" t="n">
        <v>33.5</v>
      </c>
      <c r="AB86" s="7" t="n">
        <v>5293.3</v>
      </c>
    </row>
    <row r="87">
      <c r="A87" s="4" t="inlineStr">
        <is>
          <t>保险费</t>
        </is>
      </c>
      <c r="D87" s="7" t="n">
        <v>358.1</v>
      </c>
      <c r="F87" s="7" t="n">
        <v>1000.6</v>
      </c>
      <c r="H87" s="7" t="n">
        <v>604.2</v>
      </c>
      <c r="J87" s="7" t="n">
        <v>405.8</v>
      </c>
      <c r="L87" s="7" t="n">
        <v>598.2</v>
      </c>
      <c r="N87" s="7" t="n">
        <v>837.3</v>
      </c>
      <c r="P87" s="7" t="n">
        <v>665.7</v>
      </c>
      <c r="R87" s="7" t="n">
        <v>985.5</v>
      </c>
      <c r="T87" s="7" t="n">
        <v>0</v>
      </c>
      <c r="V87" s="7" t="n">
        <v>1791.7</v>
      </c>
      <c r="X87" s="7" t="n">
        <v>893.8</v>
      </c>
      <c r="Z87" s="7" t="n">
        <v>49.1</v>
      </c>
      <c r="AB87" s="7" t="n">
        <v>8190</v>
      </c>
    </row>
    <row r="88">
      <c r="A88" s="4" t="inlineStr">
        <is>
          <t>清洁费</t>
        </is>
      </c>
      <c r="D88" s="7" t="n">
        <v>658.2</v>
      </c>
      <c r="F88" s="7" t="n">
        <v>1771.3</v>
      </c>
      <c r="H88" s="7" t="n">
        <v>982.3</v>
      </c>
      <c r="J88" s="7" t="n">
        <v>907.7</v>
      </c>
      <c r="L88" s="7" t="n">
        <v>1161.5</v>
      </c>
      <c r="N88" s="7" t="n">
        <v>1177.3</v>
      </c>
      <c r="P88" s="7" t="n">
        <v>1506.7</v>
      </c>
      <c r="R88" s="7" t="n">
        <v>2873</v>
      </c>
      <c r="T88" s="7" t="n">
        <v>0</v>
      </c>
      <c r="V88" s="7" t="n">
        <v>2512.6</v>
      </c>
      <c r="X88" s="7" t="n">
        <v>2014.4</v>
      </c>
      <c r="Z88" s="7" t="n">
        <v>87.2</v>
      </c>
      <c r="AB88" s="7" t="n">
        <v>15652.2</v>
      </c>
    </row>
    <row r="89">
      <c r="A89" s="4" t="inlineStr">
        <is>
          <t>低值易耗品</t>
        </is>
      </c>
      <c r="D89" s="7" t="n">
        <v>780.3</v>
      </c>
      <c r="F89" s="7" t="n">
        <v>1445</v>
      </c>
      <c r="H89" s="7" t="n">
        <v>1300.9</v>
      </c>
      <c r="J89" s="7" t="n">
        <v>996.6</v>
      </c>
      <c r="L89" s="7" t="n">
        <v>1217.9</v>
      </c>
      <c r="N89" s="7" t="n">
        <v>1250.5</v>
      </c>
      <c r="P89" s="7" t="n">
        <v>1663.8</v>
      </c>
      <c r="R89" s="7" t="n">
        <v>2376.1</v>
      </c>
      <c r="T89" s="7" t="n">
        <v>0</v>
      </c>
      <c r="V89" s="7" t="n">
        <v>1703.3</v>
      </c>
      <c r="X89" s="7" t="n">
        <v>1677.5</v>
      </c>
      <c r="Z89" s="7" t="n">
        <v>88.09999999999999</v>
      </c>
      <c r="AB89" s="7" t="n">
        <v>14500</v>
      </c>
    </row>
    <row r="90">
      <c r="A90" s="4" t="inlineStr">
        <is>
          <t>物料消耗</t>
        </is>
      </c>
      <c r="D90" s="7" t="n">
        <v>103.5</v>
      </c>
      <c r="F90" s="7" t="n">
        <v>242.7</v>
      </c>
      <c r="H90" s="7" t="n">
        <v>111</v>
      </c>
      <c r="J90" s="7" t="n">
        <v>117.9</v>
      </c>
      <c r="L90" s="7" t="n">
        <v>205</v>
      </c>
      <c r="N90" s="7" t="n">
        <v>177.7</v>
      </c>
      <c r="P90" s="7" t="n">
        <v>156</v>
      </c>
      <c r="R90" s="7" t="n">
        <v>342.7</v>
      </c>
      <c r="T90" s="7" t="n">
        <v>0</v>
      </c>
      <c r="V90" s="7" t="n">
        <v>261</v>
      </c>
      <c r="X90" s="7" t="n">
        <v>287</v>
      </c>
      <c r="Z90" s="7" t="n">
        <v>17.5</v>
      </c>
      <c r="AB90" s="7" t="n">
        <v>2022</v>
      </c>
    </row>
    <row r="91">
      <c r="A91" s="4" t="inlineStr">
        <is>
          <t>盘盈盘亏</t>
        </is>
      </c>
      <c r="D91" s="7" t="n">
        <v>383.8</v>
      </c>
      <c r="F91" s="7" t="n">
        <v>808.6</v>
      </c>
      <c r="H91" s="7" t="n">
        <v>762.8</v>
      </c>
      <c r="J91" s="7" t="n">
        <v>507.4</v>
      </c>
      <c r="L91" s="7" t="n">
        <v>753.7</v>
      </c>
      <c r="N91" s="7" t="n">
        <v>554.5</v>
      </c>
      <c r="P91" s="7" t="n">
        <v>886.5</v>
      </c>
      <c r="R91" s="7" t="n">
        <v>1621.8</v>
      </c>
      <c r="T91" s="7" t="n">
        <v>0</v>
      </c>
      <c r="V91" s="7" t="n">
        <v>1136.8</v>
      </c>
      <c r="X91" s="7" t="n">
        <v>665.8</v>
      </c>
      <c r="Z91" s="7" t="n">
        <v>44.1</v>
      </c>
      <c r="AB91" s="7" t="n">
        <v>8125.8</v>
      </c>
    </row>
    <row r="92">
      <c r="A92" s="4" t="inlineStr">
        <is>
          <t>平台服务费</t>
        </is>
      </c>
      <c r="D92" s="7" t="n">
        <v>816.5</v>
      </c>
      <c r="F92" s="7" t="n">
        <v>981.7</v>
      </c>
      <c r="H92" s="7" t="n">
        <v>643.6</v>
      </c>
      <c r="J92" s="7" t="n">
        <v>687.7</v>
      </c>
      <c r="L92" s="7" t="n">
        <v>951.7</v>
      </c>
      <c r="N92" s="7" t="n">
        <v>908.6</v>
      </c>
      <c r="P92" s="7" t="n">
        <v>1298.9</v>
      </c>
      <c r="R92" s="7" t="n">
        <v>2373.6</v>
      </c>
      <c r="T92" s="7" t="n">
        <v>0</v>
      </c>
      <c r="V92" s="7" t="n">
        <v>1871.1</v>
      </c>
      <c r="X92" s="7" t="n">
        <v>1460.9</v>
      </c>
      <c r="Z92" s="7" t="n">
        <v>84.59999999999999</v>
      </c>
      <c r="AB92" s="7" t="n">
        <v>12078.9</v>
      </c>
    </row>
    <row r="93">
      <c r="A93" s="4" t="inlineStr">
        <is>
          <t>无形资产摊销</t>
        </is>
      </c>
      <c r="D93" s="7" t="n">
        <v>590.6</v>
      </c>
      <c r="F93" s="7" t="n">
        <v>1068.6</v>
      </c>
      <c r="H93" s="7" t="n">
        <v>691.7</v>
      </c>
      <c r="J93" s="7" t="n">
        <v>399.4</v>
      </c>
      <c r="L93" s="7" t="n">
        <v>695.7</v>
      </c>
      <c r="N93" s="7" t="n">
        <v>802.6</v>
      </c>
      <c r="P93" s="7" t="n">
        <v>858.7</v>
      </c>
      <c r="R93" s="7" t="n">
        <v>1479.5</v>
      </c>
      <c r="T93" s="7" t="n">
        <v>0</v>
      </c>
      <c r="V93" s="7" t="n">
        <v>1510</v>
      </c>
      <c r="X93" s="7" t="n">
        <v>766.4</v>
      </c>
      <c r="Z93" s="7" t="n">
        <v>69.09999999999999</v>
      </c>
      <c r="AB93" s="7" t="n">
        <v>8932.299999999999</v>
      </c>
    </row>
    <row r="94">
      <c r="A94" s="4" t="inlineStr">
        <is>
          <t>研发材料</t>
        </is>
      </c>
      <c r="D94" s="7" t="n">
        <v>1002.4</v>
      </c>
      <c r="F94" s="7" t="n">
        <v>1965.5</v>
      </c>
      <c r="H94" s="7" t="n">
        <v>1160.8</v>
      </c>
      <c r="J94" s="7" t="n">
        <v>832.9</v>
      </c>
      <c r="L94" s="7" t="n">
        <v>1278</v>
      </c>
      <c r="N94" s="7" t="n">
        <v>1520.2</v>
      </c>
      <c r="P94" s="7" t="n">
        <v>1526.3</v>
      </c>
      <c r="R94" s="7" t="n">
        <v>2975.4</v>
      </c>
      <c r="T94" s="7" t="n">
        <v>0</v>
      </c>
      <c r="V94" s="7" t="n">
        <v>2024.8</v>
      </c>
      <c r="X94" s="7" t="n">
        <v>1245.5</v>
      </c>
      <c r="Z94" s="7" t="n">
        <v>134.3</v>
      </c>
      <c r="AB94" s="7" t="n">
        <v>15666.1</v>
      </c>
    </row>
    <row r="95">
      <c r="A95" s="4" t="inlineStr">
        <is>
          <t>项目名称</t>
        </is>
      </c>
      <c r="D95" s="7" t="n">
        <v>576.7</v>
      </c>
      <c r="F95" s="7" t="n">
        <v>824.5</v>
      </c>
      <c r="H95" s="7" t="n">
        <v>572</v>
      </c>
      <c r="J95" s="7" t="n">
        <v>390.2</v>
      </c>
      <c r="L95" s="7" t="n">
        <v>498.1</v>
      </c>
      <c r="N95" s="7" t="n">
        <v>801.7</v>
      </c>
      <c r="P95" s="7" t="n">
        <v>634.3</v>
      </c>
      <c r="R95" s="7" t="n">
        <v>1338.4</v>
      </c>
      <c r="T95" s="7" t="n">
        <v>0</v>
      </c>
      <c r="V95" s="7" t="n">
        <v>1009.6</v>
      </c>
      <c r="X95" s="7" t="n">
        <v>794.2</v>
      </c>
      <c r="Z95" s="7" t="n">
        <v>52.8</v>
      </c>
      <c r="AB95" s="7" t="n">
        <v>7492.5</v>
      </c>
    </row>
    <row r="96">
      <c r="A96" s="4" t="inlineStr">
        <is>
          <t>研发费</t>
        </is>
      </c>
      <c r="D96" s="7" t="n">
        <v>215</v>
      </c>
      <c r="F96" s="7" t="n">
        <v>373.4</v>
      </c>
      <c r="H96" s="7" t="n">
        <v>212.4</v>
      </c>
      <c r="J96" s="7" t="n">
        <v>154.6</v>
      </c>
      <c r="L96" s="7" t="n">
        <v>339</v>
      </c>
      <c r="N96" s="7" t="n">
        <v>289.2</v>
      </c>
      <c r="P96" s="7" t="n">
        <v>370.1</v>
      </c>
      <c r="R96" s="7" t="n">
        <v>391.2</v>
      </c>
      <c r="T96" s="7" t="n">
        <v>0</v>
      </c>
      <c r="V96" s="7" t="n">
        <v>581.7</v>
      </c>
      <c r="X96" s="7" t="n">
        <v>371.9</v>
      </c>
      <c r="Z96" s="7" t="n">
        <v>22.8</v>
      </c>
      <c r="AB96" s="7" t="n">
        <v>3321.3</v>
      </c>
    </row>
    <row r="97">
      <c r="A97" s="4" t="inlineStr">
        <is>
          <t>残保金</t>
        </is>
      </c>
      <c r="D97" s="7" t="n">
        <v>487.6</v>
      </c>
      <c r="F97" s="7" t="n">
        <v>945.1</v>
      </c>
      <c r="H97" s="7" t="n">
        <v>519.6</v>
      </c>
      <c r="J97" s="7" t="n">
        <v>624.5</v>
      </c>
      <c r="L97" s="7" t="n">
        <v>630.9</v>
      </c>
      <c r="N97" s="7" t="n">
        <v>702.4</v>
      </c>
      <c r="P97" s="7" t="n">
        <v>680.4</v>
      </c>
      <c r="R97" s="7" t="n">
        <v>1559.5</v>
      </c>
      <c r="T97" s="7" t="n">
        <v>0</v>
      </c>
      <c r="V97" s="7" t="n">
        <v>1583.1</v>
      </c>
      <c r="X97" s="7" t="n">
        <v>857.3</v>
      </c>
      <c r="Z97" s="7" t="n">
        <v>55.9</v>
      </c>
      <c r="AB97" s="7" t="n">
        <v>8646.299999999999</v>
      </c>
    </row>
    <row r="98">
      <c r="A98" s="4" t="inlineStr">
        <is>
          <t>环保费</t>
        </is>
      </c>
      <c r="D98" s="7" t="n">
        <v>341.4</v>
      </c>
      <c r="F98" s="7" t="n">
        <v>897.4</v>
      </c>
      <c r="H98" s="7" t="n">
        <v>489</v>
      </c>
      <c r="J98" s="7" t="n">
        <v>375.5</v>
      </c>
      <c r="L98" s="7" t="n">
        <v>541.3</v>
      </c>
      <c r="N98" s="7" t="n">
        <v>583.1</v>
      </c>
      <c r="P98" s="7" t="n">
        <v>573.2</v>
      </c>
      <c r="R98" s="7" t="n">
        <v>1472.8</v>
      </c>
      <c r="T98" s="7" t="n">
        <v>0</v>
      </c>
      <c r="V98" s="7" t="n">
        <v>1197.1</v>
      </c>
      <c r="X98" s="7" t="n">
        <v>1031.3</v>
      </c>
      <c r="Z98" s="7" t="n">
        <v>45.6</v>
      </c>
      <c r="AB98" s="7" t="n">
        <v>7547.7</v>
      </c>
    </row>
    <row r="99">
      <c r="A99" s="4" t="inlineStr">
        <is>
          <t>报废损失</t>
        </is>
      </c>
      <c r="D99" s="7" t="n">
        <v>299.9</v>
      </c>
      <c r="F99" s="7" t="n">
        <v>545.1</v>
      </c>
      <c r="H99" s="7" t="n">
        <v>519.1</v>
      </c>
      <c r="J99" s="7" t="n">
        <v>238.2</v>
      </c>
      <c r="L99" s="7" t="n">
        <v>363.5</v>
      </c>
      <c r="N99" s="7" t="n">
        <v>320.2</v>
      </c>
      <c r="P99" s="7" t="n">
        <v>481.5</v>
      </c>
      <c r="R99" s="7" t="n">
        <v>1032.3</v>
      </c>
      <c r="T99" s="7" t="n">
        <v>0</v>
      </c>
      <c r="V99" s="7" t="n">
        <v>718.2</v>
      </c>
      <c r="X99" s="7" t="n">
        <v>509.5</v>
      </c>
      <c r="Z99" s="7" t="n">
        <v>41</v>
      </c>
      <c r="AB99" s="7" t="n">
        <v>5068.5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92966.39999999999</v>
      </c>
      <c r="D100" s="7" t="n">
        <v>68144.10000000001</v>
      </c>
      <c r="E100" s="7" t="n">
        <v>84913.3</v>
      </c>
      <c r="F100" s="7" t="n">
        <v>81791.7</v>
      </c>
      <c r="G100" s="7" t="n">
        <v>84859.89999999999</v>
      </c>
      <c r="H100" s="7" t="n">
        <v>79573.3</v>
      </c>
      <c r="I100" s="7" t="n">
        <v>82357.60000000001</v>
      </c>
      <c r="J100" s="7" t="n">
        <v>52337.4</v>
      </c>
      <c r="K100" s="7" t="n">
        <v>86235</v>
      </c>
      <c r="L100" s="7" t="n">
        <v>145179.6</v>
      </c>
      <c r="M100" s="7" t="n">
        <v>96173.3</v>
      </c>
      <c r="N100" s="7" t="n">
        <v>71866</v>
      </c>
      <c r="O100" s="7" t="n">
        <v>103887.9</v>
      </c>
      <c r="P100" s="7" t="n">
        <v>126556.1</v>
      </c>
      <c r="Q100" s="7" t="n">
        <v>88571</v>
      </c>
      <c r="R100" s="7" t="n">
        <v>164459</v>
      </c>
      <c r="S100" s="7" t="n">
        <v>101317.9</v>
      </c>
      <c r="T100" s="7" t="n">
        <v>0</v>
      </c>
      <c r="U100" s="7" t="n">
        <v>91618.8</v>
      </c>
      <c r="V100" s="7" t="n">
        <v>187964.7</v>
      </c>
      <c r="W100" s="7" t="n">
        <v>109919.5</v>
      </c>
      <c r="X100" s="7" t="n">
        <v>167515.3</v>
      </c>
      <c r="Y100" s="7" t="n">
        <v>103023.7</v>
      </c>
      <c r="Z100" s="7" t="n">
        <v>8692.5</v>
      </c>
      <c r="AA100" s="8" t="n">
        <v>1125844.3</v>
      </c>
      <c r="AB100" s="8" t="n">
        <v>1154079.7</v>
      </c>
    </row>
    <row r="101">
      <c r="A101" s="4" t="inlineStr">
        <is>
          <t>职工薪酬</t>
        </is>
      </c>
      <c r="D101" s="7" t="n">
        <v>36759.4</v>
      </c>
      <c r="F101" s="7" t="n">
        <v>39500.8</v>
      </c>
      <c r="H101" s="7" t="n">
        <v>45928.7</v>
      </c>
      <c r="J101" s="7" t="n">
        <v>28805.5</v>
      </c>
      <c r="L101" s="7" t="n">
        <v>78253.8</v>
      </c>
      <c r="N101" s="7" t="n">
        <v>33736.4</v>
      </c>
      <c r="P101" s="7" t="n">
        <v>52702.3</v>
      </c>
      <c r="R101" s="7" t="n">
        <v>96376.10000000001</v>
      </c>
      <c r="T101" s="7" t="n">
        <v>0</v>
      </c>
      <c r="V101" s="7" t="n">
        <v>97283.7</v>
      </c>
      <c r="X101" s="7" t="n">
        <v>69966.7</v>
      </c>
      <c r="Z101" s="7" t="n">
        <v>3544.3</v>
      </c>
      <c r="AB101" s="7" t="n">
        <v>582857.7</v>
      </c>
    </row>
    <row r="102">
      <c r="A102" s="4" t="inlineStr">
        <is>
          <t>工资</t>
        </is>
      </c>
      <c r="D102" s="7" t="n">
        <v>24375.8</v>
      </c>
      <c r="F102" s="7" t="n">
        <v>20097.4</v>
      </c>
      <c r="H102" s="7" t="n">
        <v>26829.2</v>
      </c>
      <c r="J102" s="7" t="n">
        <v>18621.2</v>
      </c>
      <c r="L102" s="7" t="n">
        <v>48810.3</v>
      </c>
      <c r="N102" s="7" t="n">
        <v>21590</v>
      </c>
      <c r="P102" s="7" t="n">
        <v>30704.3</v>
      </c>
      <c r="R102" s="7" t="n">
        <v>63918.5</v>
      </c>
      <c r="T102" s="7" t="n">
        <v>0</v>
      </c>
      <c r="V102" s="7" t="n">
        <v>60939.3</v>
      </c>
      <c r="X102" s="7" t="n">
        <v>42094.8</v>
      </c>
      <c r="Z102" s="7" t="n">
        <v>2032.4</v>
      </c>
      <c r="AB102" s="7" t="n">
        <v>360013.2</v>
      </c>
    </row>
    <row r="103">
      <c r="A103" s="4" t="inlineStr">
        <is>
          <t>奖金及提成</t>
        </is>
      </c>
      <c r="D103" s="7" t="n">
        <v>4927</v>
      </c>
      <c r="F103" s="7" t="n">
        <v>10585.8</v>
      </c>
      <c r="H103" s="7" t="n">
        <v>10006</v>
      </c>
      <c r="J103" s="7" t="n">
        <v>5002.3</v>
      </c>
      <c r="L103" s="7" t="n">
        <v>15532.5</v>
      </c>
      <c r="N103" s="7" t="n">
        <v>5422.7</v>
      </c>
      <c r="P103" s="7" t="n">
        <v>9245.799999999999</v>
      </c>
      <c r="R103" s="7" t="n">
        <v>15531.2</v>
      </c>
      <c r="T103" s="7" t="n">
        <v>0</v>
      </c>
      <c r="V103" s="7" t="n">
        <v>20299.9</v>
      </c>
      <c r="X103" s="7" t="n">
        <v>14052.1</v>
      </c>
      <c r="Z103" s="7" t="n">
        <v>783.8</v>
      </c>
      <c r="AB103" s="7" t="n">
        <v>111389.1</v>
      </c>
    </row>
    <row r="104">
      <c r="A104" s="4" t="inlineStr">
        <is>
          <t>社保</t>
        </is>
      </c>
      <c r="D104" s="7" t="n">
        <v>5383.5</v>
      </c>
      <c r="F104" s="7" t="n">
        <v>6582.1</v>
      </c>
      <c r="H104" s="7" t="n">
        <v>6915.4</v>
      </c>
      <c r="J104" s="7" t="n">
        <v>3695.3</v>
      </c>
      <c r="L104" s="7" t="n">
        <v>10006.3</v>
      </c>
      <c r="N104" s="7" t="n">
        <v>4992.3</v>
      </c>
      <c r="P104" s="7" t="n">
        <v>9219.5</v>
      </c>
      <c r="R104" s="7" t="n">
        <v>12510</v>
      </c>
      <c r="T104" s="7" t="n">
        <v>0</v>
      </c>
      <c r="V104" s="7" t="n">
        <v>10955.1</v>
      </c>
      <c r="X104" s="7" t="n">
        <v>9709.6</v>
      </c>
      <c r="Z104" s="7" t="n">
        <v>508.5</v>
      </c>
      <c r="AB104" s="7" t="n">
        <v>80477.60000000001</v>
      </c>
    </row>
    <row r="105">
      <c r="A105" s="4" t="inlineStr">
        <is>
          <t>养老</t>
        </is>
      </c>
      <c r="D105" s="7" t="n">
        <v>275.3</v>
      </c>
      <c r="F105" s="7" t="n">
        <v>392.7</v>
      </c>
      <c r="H105" s="7" t="n">
        <v>483.9</v>
      </c>
      <c r="J105" s="7" t="n">
        <v>194.4</v>
      </c>
      <c r="L105" s="7" t="n">
        <v>574.9</v>
      </c>
      <c r="N105" s="7" t="n">
        <v>445.4</v>
      </c>
      <c r="P105" s="7" t="n">
        <v>567.5</v>
      </c>
      <c r="R105" s="7" t="n">
        <v>708.9</v>
      </c>
      <c r="T105" s="7" t="n">
        <v>0</v>
      </c>
      <c r="V105" s="7" t="n">
        <v>650.1</v>
      </c>
      <c r="X105" s="7" t="n">
        <v>843.5</v>
      </c>
      <c r="Z105" s="7" t="n">
        <v>51.7</v>
      </c>
      <c r="AB105" s="7" t="n">
        <v>5188.3</v>
      </c>
    </row>
    <row r="106">
      <c r="A106" s="4" t="inlineStr">
        <is>
          <t>医疗</t>
        </is>
      </c>
      <c r="D106" s="7" t="n">
        <v>169.4</v>
      </c>
      <c r="F106" s="7" t="n">
        <v>162.9</v>
      </c>
      <c r="H106" s="7" t="n">
        <v>201.7</v>
      </c>
      <c r="J106" s="7" t="n">
        <v>115.6</v>
      </c>
      <c r="L106" s="7" t="n">
        <v>291</v>
      </c>
      <c r="N106" s="7" t="n">
        <v>170.2</v>
      </c>
      <c r="P106" s="7" t="n">
        <v>227</v>
      </c>
      <c r="R106" s="7" t="n">
        <v>332.3</v>
      </c>
      <c r="T106" s="7" t="n">
        <v>0</v>
      </c>
      <c r="V106" s="7" t="n">
        <v>317.7</v>
      </c>
      <c r="X106" s="7" t="n">
        <v>416.8</v>
      </c>
      <c r="Z106" s="7" t="n">
        <v>14.6</v>
      </c>
      <c r="AB106" s="7" t="n">
        <v>2419.2</v>
      </c>
    </row>
    <row r="107">
      <c r="A107" s="4" t="inlineStr">
        <is>
          <t>工伤</t>
        </is>
      </c>
      <c r="D107" s="7" t="n">
        <v>326.9</v>
      </c>
      <c r="F107" s="7" t="n">
        <v>343.7</v>
      </c>
      <c r="H107" s="7" t="n">
        <v>249.2</v>
      </c>
      <c r="J107" s="7" t="n">
        <v>226</v>
      </c>
      <c r="L107" s="7" t="n">
        <v>701</v>
      </c>
      <c r="N107" s="7" t="n">
        <v>205.9</v>
      </c>
      <c r="P107" s="7" t="n">
        <v>500.4</v>
      </c>
      <c r="R107" s="7" t="n">
        <v>572.9</v>
      </c>
      <c r="T107" s="7" t="n">
        <v>0</v>
      </c>
      <c r="V107" s="7" t="n">
        <v>935.4</v>
      </c>
      <c r="X107" s="7" t="n">
        <v>529.1</v>
      </c>
      <c r="Z107" s="7" t="n">
        <v>37.9</v>
      </c>
      <c r="AB107" s="7" t="n">
        <v>4628.4</v>
      </c>
    </row>
    <row r="108">
      <c r="A108" s="4" t="inlineStr">
        <is>
          <t>失业</t>
        </is>
      </c>
      <c r="D108" s="7" t="n">
        <v>16</v>
      </c>
      <c r="F108" s="7" t="n">
        <v>24.2</v>
      </c>
      <c r="H108" s="7" t="n">
        <v>19.5</v>
      </c>
      <c r="J108" s="7" t="n">
        <v>18.4</v>
      </c>
      <c r="L108" s="7" t="n">
        <v>50.6</v>
      </c>
      <c r="N108" s="7" t="n">
        <v>25.7</v>
      </c>
      <c r="P108" s="7" t="n">
        <v>46.7</v>
      </c>
      <c r="R108" s="7" t="n">
        <v>58.4</v>
      </c>
      <c r="T108" s="7" t="n">
        <v>0</v>
      </c>
      <c r="V108" s="7" t="n">
        <v>61</v>
      </c>
      <c r="X108" s="7" t="n">
        <v>60</v>
      </c>
      <c r="Z108" s="7" t="n">
        <v>1.8</v>
      </c>
      <c r="AB108" s="7" t="n">
        <v>382.3</v>
      </c>
    </row>
    <row r="109">
      <c r="A109" s="4" t="inlineStr">
        <is>
          <t>生育</t>
        </is>
      </c>
      <c r="D109" s="7" t="n">
        <v>235.7</v>
      </c>
      <c r="F109" s="7" t="n">
        <v>225.3</v>
      </c>
      <c r="H109" s="7" t="n">
        <v>155.9</v>
      </c>
      <c r="J109" s="7" t="n">
        <v>152.4</v>
      </c>
      <c r="L109" s="7" t="n">
        <v>446</v>
      </c>
      <c r="N109" s="7" t="n">
        <v>153.5</v>
      </c>
      <c r="P109" s="7" t="n">
        <v>252.9</v>
      </c>
      <c r="R109" s="7" t="n">
        <v>469.8</v>
      </c>
      <c r="T109" s="7" t="n">
        <v>0</v>
      </c>
      <c r="V109" s="7" t="n">
        <v>576.5</v>
      </c>
      <c r="X109" s="7" t="n">
        <v>526.7</v>
      </c>
      <c r="Z109" s="7" t="n">
        <v>22.4</v>
      </c>
      <c r="AB109" s="7" t="n">
        <v>3217.1</v>
      </c>
    </row>
    <row r="110">
      <c r="A110" s="4" t="inlineStr">
        <is>
          <t>公积金</t>
        </is>
      </c>
      <c r="D110" s="7" t="n">
        <v>373.9</v>
      </c>
      <c r="F110" s="7" t="n">
        <v>471.1</v>
      </c>
      <c r="H110" s="7" t="n">
        <v>285.6</v>
      </c>
      <c r="J110" s="7" t="n">
        <v>270.3</v>
      </c>
      <c r="L110" s="7" t="n">
        <v>606.5</v>
      </c>
      <c r="N110" s="7" t="n">
        <v>376.7</v>
      </c>
      <c r="P110" s="7" t="n">
        <v>534.4</v>
      </c>
      <c r="R110" s="7" t="n">
        <v>637.2</v>
      </c>
      <c r="T110" s="7" t="n">
        <v>0</v>
      </c>
      <c r="V110" s="7" t="n">
        <v>671.8</v>
      </c>
      <c r="X110" s="7" t="n">
        <v>624.8</v>
      </c>
      <c r="Z110" s="7" t="n">
        <v>43.6</v>
      </c>
      <c r="AB110" s="7" t="n">
        <v>4895.9</v>
      </c>
    </row>
    <row r="111">
      <c r="A111" s="4" t="inlineStr">
        <is>
          <t>工会经费</t>
        </is>
      </c>
      <c r="D111" s="7" t="n">
        <v>461.4</v>
      </c>
      <c r="F111" s="7" t="n">
        <v>458.9</v>
      </c>
      <c r="H111" s="7" t="n">
        <v>515.9</v>
      </c>
      <c r="J111" s="7" t="n">
        <v>306.3</v>
      </c>
      <c r="L111" s="7" t="n">
        <v>738.2</v>
      </c>
      <c r="N111" s="7" t="n">
        <v>344.8</v>
      </c>
      <c r="P111" s="7" t="n">
        <v>820.8</v>
      </c>
      <c r="R111" s="7" t="n">
        <v>977.8</v>
      </c>
      <c r="T111" s="7" t="n">
        <v>0</v>
      </c>
      <c r="V111" s="7" t="n">
        <v>788.2</v>
      </c>
      <c r="X111" s="7" t="n">
        <v>814</v>
      </c>
      <c r="Z111" s="7" t="n">
        <v>36.3</v>
      </c>
      <c r="AB111" s="7" t="n">
        <v>6262.6</v>
      </c>
    </row>
    <row r="112">
      <c r="A112" s="4" t="inlineStr">
        <is>
          <t>职工教育经费</t>
        </is>
      </c>
      <c r="D112" s="7" t="n">
        <v>81.40000000000001</v>
      </c>
      <c r="F112" s="7" t="n">
        <v>99.8</v>
      </c>
      <c r="H112" s="7" t="n">
        <v>66.7</v>
      </c>
      <c r="J112" s="7" t="n">
        <v>59.7</v>
      </c>
      <c r="L112" s="7" t="n">
        <v>153.1</v>
      </c>
      <c r="N112" s="7" t="n">
        <v>59.3</v>
      </c>
      <c r="P112" s="7" t="n">
        <v>146.8</v>
      </c>
      <c r="R112" s="7" t="n">
        <v>163.1</v>
      </c>
      <c r="T112" s="7" t="n">
        <v>0</v>
      </c>
      <c r="V112" s="7" t="n">
        <v>165.9</v>
      </c>
      <c r="X112" s="7" t="n">
        <v>173</v>
      </c>
      <c r="Z112" s="7" t="n">
        <v>7.8</v>
      </c>
      <c r="AB112" s="7" t="n">
        <v>1176.6</v>
      </c>
    </row>
    <row r="113">
      <c r="A113" s="4" t="inlineStr">
        <is>
          <t>福利费</t>
        </is>
      </c>
      <c r="D113" s="7" t="n">
        <v>1156.4</v>
      </c>
      <c r="F113" s="7" t="n">
        <v>1205.7</v>
      </c>
      <c r="H113" s="7" t="n">
        <v>1309.9</v>
      </c>
      <c r="J113" s="7" t="n">
        <v>850.4</v>
      </c>
      <c r="L113" s="7" t="n">
        <v>2406.9</v>
      </c>
      <c r="N113" s="7" t="n">
        <v>950.6</v>
      </c>
      <c r="P113" s="7" t="n">
        <v>2030.7</v>
      </c>
      <c r="R113" s="7" t="n">
        <v>2638.3</v>
      </c>
      <c r="T113" s="7" t="n">
        <v>0</v>
      </c>
      <c r="V113" s="7" t="n">
        <v>3463.5</v>
      </c>
      <c r="X113" s="7" t="n">
        <v>2498.4</v>
      </c>
      <c r="Z113" s="7" t="n">
        <v>131.9</v>
      </c>
      <c r="AB113" s="7" t="n">
        <v>18642.7</v>
      </c>
    </row>
    <row r="114">
      <c r="A114" s="4" t="inlineStr">
        <is>
          <t>职工房租</t>
        </is>
      </c>
      <c r="D114" s="7" t="n">
        <v>101.3</v>
      </c>
      <c r="F114" s="7" t="n">
        <v>96.90000000000001</v>
      </c>
      <c r="H114" s="7" t="n">
        <v>118.7</v>
      </c>
      <c r="J114" s="7" t="n">
        <v>70.8</v>
      </c>
      <c r="L114" s="7" t="n">
        <v>196.6</v>
      </c>
      <c r="N114" s="7" t="n">
        <v>63.6</v>
      </c>
      <c r="P114" s="7" t="n">
        <v>168.3</v>
      </c>
      <c r="R114" s="7" t="n">
        <v>177.1</v>
      </c>
      <c r="T114" s="7" t="n">
        <v>0</v>
      </c>
      <c r="V114" s="7" t="n">
        <v>266.2</v>
      </c>
      <c r="X114" s="7" t="n">
        <v>209.8</v>
      </c>
      <c r="Z114" s="7" t="n">
        <v>10.4</v>
      </c>
      <c r="AB114" s="7" t="n">
        <v>1479.7</v>
      </c>
    </row>
    <row r="115">
      <c r="A115" s="4" t="inlineStr">
        <is>
          <t>水电物业费</t>
        </is>
      </c>
      <c r="D115" s="7" t="n">
        <v>303.8</v>
      </c>
      <c r="F115" s="7" t="n">
        <v>377.3</v>
      </c>
      <c r="H115" s="7" t="n">
        <v>447.1</v>
      </c>
      <c r="J115" s="7" t="n">
        <v>332.1</v>
      </c>
      <c r="L115" s="7" t="n">
        <v>895.6</v>
      </c>
      <c r="N115" s="7" t="n">
        <v>305.4</v>
      </c>
      <c r="P115" s="7" t="n">
        <v>568.8</v>
      </c>
      <c r="R115" s="7" t="n">
        <v>1000.5</v>
      </c>
      <c r="T115" s="7" t="n">
        <v>0</v>
      </c>
      <c r="V115" s="7" t="n">
        <v>1249.8</v>
      </c>
      <c r="X115" s="7" t="n">
        <v>678.5</v>
      </c>
      <c r="Z115" s="7" t="n">
        <v>37.7</v>
      </c>
      <c r="AB115" s="7" t="n">
        <v>6196.6</v>
      </c>
    </row>
    <row r="116">
      <c r="A116" s="4" t="inlineStr">
        <is>
          <t>员工餐</t>
        </is>
      </c>
      <c r="D116" s="7" t="n">
        <v>100.7</v>
      </c>
      <c r="F116" s="7" t="n">
        <v>80.7</v>
      </c>
      <c r="H116" s="7" t="n">
        <v>96</v>
      </c>
      <c r="J116" s="7" t="n">
        <v>72.2</v>
      </c>
      <c r="L116" s="7" t="n">
        <v>191.7</v>
      </c>
      <c r="N116" s="7" t="n">
        <v>62.1</v>
      </c>
      <c r="P116" s="7" t="n">
        <v>122.5</v>
      </c>
      <c r="R116" s="7" t="n">
        <v>161</v>
      </c>
      <c r="T116" s="7" t="n">
        <v>0</v>
      </c>
      <c r="V116" s="7" t="n">
        <v>242.8</v>
      </c>
      <c r="X116" s="7" t="n">
        <v>150.7</v>
      </c>
      <c r="Z116" s="7" t="n">
        <v>7.8</v>
      </c>
      <c r="AB116" s="7" t="n">
        <v>1288.2</v>
      </c>
    </row>
    <row r="117">
      <c r="A117" s="4" t="inlineStr">
        <is>
          <t>节日礼品</t>
        </is>
      </c>
      <c r="D117" s="7" t="n">
        <v>136.5</v>
      </c>
      <c r="F117" s="7" t="n">
        <v>168.7</v>
      </c>
      <c r="H117" s="7" t="n">
        <v>97.3</v>
      </c>
      <c r="J117" s="7" t="n">
        <v>85.5</v>
      </c>
      <c r="L117" s="7" t="n">
        <v>265.2</v>
      </c>
      <c r="N117" s="7" t="n">
        <v>136.9</v>
      </c>
      <c r="P117" s="7" t="n">
        <v>216.1</v>
      </c>
      <c r="R117" s="7" t="n">
        <v>245.1</v>
      </c>
      <c r="T117" s="7" t="n">
        <v>0</v>
      </c>
      <c r="V117" s="7" t="n">
        <v>361.5</v>
      </c>
      <c r="X117" s="7" t="n">
        <v>312</v>
      </c>
      <c r="Z117" s="7" t="n">
        <v>15.2</v>
      </c>
      <c r="AB117" s="7" t="n">
        <v>2040</v>
      </c>
    </row>
    <row r="118">
      <c r="A118" s="4" t="inlineStr">
        <is>
          <t>生日礼品</t>
        </is>
      </c>
      <c r="D118" s="7" t="n">
        <v>16.6</v>
      </c>
      <c r="F118" s="7" t="n">
        <v>17.6</v>
      </c>
      <c r="H118" s="7" t="n">
        <v>17.9</v>
      </c>
      <c r="J118" s="7" t="n">
        <v>16.2</v>
      </c>
      <c r="L118" s="7" t="n">
        <v>29.5</v>
      </c>
      <c r="N118" s="7" t="n">
        <v>26.4</v>
      </c>
      <c r="P118" s="7" t="n">
        <v>46.3</v>
      </c>
      <c r="R118" s="7" t="n">
        <v>36</v>
      </c>
      <c r="T118" s="7" t="n">
        <v>0</v>
      </c>
      <c r="V118" s="7" t="n">
        <v>48.7</v>
      </c>
      <c r="X118" s="7" t="n">
        <v>54</v>
      </c>
      <c r="Z118" s="7" t="n">
        <v>2</v>
      </c>
      <c r="AB118" s="7" t="n">
        <v>311.2</v>
      </c>
    </row>
    <row r="119">
      <c r="A119" s="4" t="inlineStr">
        <is>
          <t>体检</t>
        </is>
      </c>
      <c r="D119" s="7" t="n">
        <v>222.8</v>
      </c>
      <c r="F119" s="7" t="n">
        <v>249.1</v>
      </c>
      <c r="H119" s="7" t="n">
        <v>200</v>
      </c>
      <c r="J119" s="7" t="n">
        <v>148.2</v>
      </c>
      <c r="L119" s="7" t="n">
        <v>362.6</v>
      </c>
      <c r="N119" s="7" t="n">
        <v>166.1</v>
      </c>
      <c r="P119" s="7" t="n">
        <v>444.6</v>
      </c>
      <c r="R119" s="7" t="n">
        <v>557.7</v>
      </c>
      <c r="T119" s="7" t="n">
        <v>0</v>
      </c>
      <c r="V119" s="7" t="n">
        <v>707.6</v>
      </c>
      <c r="X119" s="7" t="n">
        <v>402</v>
      </c>
      <c r="Z119" s="7" t="n">
        <v>24</v>
      </c>
      <c r="AB119" s="7" t="n">
        <v>3484.7</v>
      </c>
    </row>
    <row r="120">
      <c r="A120" s="4" t="inlineStr">
        <is>
          <t>其他福利支出</t>
        </is>
      </c>
      <c r="D120" s="7" t="n">
        <v>274.7</v>
      </c>
      <c r="F120" s="7" t="n">
        <v>215.4</v>
      </c>
      <c r="H120" s="7" t="n">
        <v>332.9</v>
      </c>
      <c r="J120" s="7" t="n">
        <v>125.4</v>
      </c>
      <c r="L120" s="7" t="n">
        <v>465.7</v>
      </c>
      <c r="N120" s="7" t="n">
        <v>190.1</v>
      </c>
      <c r="P120" s="7" t="n">
        <v>464.1</v>
      </c>
      <c r="R120" s="7" t="n">
        <v>460.9</v>
      </c>
      <c r="T120" s="7" t="n">
        <v>0</v>
      </c>
      <c r="V120" s="7" t="n">
        <v>586.9</v>
      </c>
      <c r="X120" s="7" t="n">
        <v>691.4</v>
      </c>
      <c r="Z120" s="7" t="n">
        <v>34.8</v>
      </c>
      <c r="AB120" s="7" t="n">
        <v>3842.3</v>
      </c>
    </row>
    <row r="121">
      <c r="A121" s="4" t="inlineStr">
        <is>
          <t>招聘费</t>
        </is>
      </c>
      <c r="D121" s="7" t="n">
        <v>40.3</v>
      </c>
      <c r="F121" s="7" t="n">
        <v>46.2</v>
      </c>
      <c r="H121" s="7" t="n">
        <v>44.6</v>
      </c>
      <c r="J121" s="7" t="n">
        <v>49.1</v>
      </c>
      <c r="L121" s="7" t="n">
        <v>97.90000000000001</v>
      </c>
      <c r="N121" s="7" t="n">
        <v>56.7</v>
      </c>
      <c r="P121" s="7" t="n">
        <v>71.90000000000001</v>
      </c>
      <c r="R121" s="7" t="n">
        <v>152</v>
      </c>
      <c r="T121" s="7" t="n">
        <v>0</v>
      </c>
      <c r="V121" s="7" t="n">
        <v>171.4</v>
      </c>
      <c r="X121" s="7" t="n">
        <v>131.2</v>
      </c>
      <c r="Z121" s="7" t="n">
        <v>5.2</v>
      </c>
      <c r="AB121" s="7" t="n">
        <v>866.5</v>
      </c>
    </row>
    <row r="122">
      <c r="A122" s="4" t="inlineStr">
        <is>
          <t>办公费</t>
        </is>
      </c>
      <c r="D122" s="7" t="n">
        <v>2081.7</v>
      </c>
      <c r="F122" s="7" t="n">
        <v>2600.4</v>
      </c>
      <c r="H122" s="7" t="n">
        <v>2644.2</v>
      </c>
      <c r="J122" s="7" t="n">
        <v>1240.6</v>
      </c>
      <c r="L122" s="7" t="n">
        <v>4792.5</v>
      </c>
      <c r="N122" s="7" t="n">
        <v>1899.3</v>
      </c>
      <c r="P122" s="7" t="n">
        <v>4520.1</v>
      </c>
      <c r="R122" s="7" t="n">
        <v>4485</v>
      </c>
      <c r="T122" s="7" t="n">
        <v>0</v>
      </c>
      <c r="V122" s="7" t="n">
        <v>7047.2</v>
      </c>
      <c r="X122" s="7" t="n">
        <v>5513.1</v>
      </c>
      <c r="Z122" s="7" t="n">
        <v>328.5</v>
      </c>
      <c r="AB122" s="7" t="n">
        <v>37152.6</v>
      </c>
    </row>
    <row r="123">
      <c r="A123" s="4" t="inlineStr">
        <is>
          <t>市内交通费</t>
        </is>
      </c>
      <c r="D123" s="7" t="n">
        <v>408.2</v>
      </c>
      <c r="F123" s="7" t="n">
        <v>324.3</v>
      </c>
      <c r="H123" s="7" t="n">
        <v>296.7</v>
      </c>
      <c r="J123" s="7" t="n">
        <v>350.5</v>
      </c>
      <c r="L123" s="7" t="n">
        <v>609.1</v>
      </c>
      <c r="N123" s="7" t="n">
        <v>417.8</v>
      </c>
      <c r="P123" s="7" t="n">
        <v>600.2</v>
      </c>
      <c r="R123" s="7" t="n">
        <v>816.9</v>
      </c>
      <c r="T123" s="7" t="n">
        <v>0</v>
      </c>
      <c r="V123" s="7" t="n">
        <v>1170.5</v>
      </c>
      <c r="X123" s="7" t="n">
        <v>879</v>
      </c>
      <c r="Z123" s="7" t="n">
        <v>34.2</v>
      </c>
      <c r="AB123" s="7" t="n">
        <v>5907.4</v>
      </c>
    </row>
    <row r="124">
      <c r="A124" s="4" t="inlineStr">
        <is>
          <t>差旅费</t>
        </is>
      </c>
      <c r="D124" s="7" t="n">
        <v>4279.6</v>
      </c>
      <c r="F124" s="7" t="n">
        <v>6260.8</v>
      </c>
      <c r="H124" s="7" t="n">
        <v>4139.8</v>
      </c>
      <c r="J124" s="7" t="n">
        <v>2368.6</v>
      </c>
      <c r="L124" s="7" t="n">
        <v>11296.7</v>
      </c>
      <c r="N124" s="7" t="n">
        <v>3488.9</v>
      </c>
      <c r="P124" s="7" t="n">
        <v>7069.5</v>
      </c>
      <c r="R124" s="7" t="n">
        <v>8797.799999999999</v>
      </c>
      <c r="T124" s="7" t="n">
        <v>0</v>
      </c>
      <c r="V124" s="7" t="n">
        <v>12586.7</v>
      </c>
      <c r="X124" s="7" t="n">
        <v>9532</v>
      </c>
      <c r="Z124" s="7" t="n">
        <v>613.4</v>
      </c>
      <c r="AB124" s="7" t="n">
        <v>70433.8</v>
      </c>
    </row>
    <row r="125">
      <c r="A125" s="4" t="inlineStr">
        <is>
          <t>交通费</t>
        </is>
      </c>
      <c r="D125" s="7" t="n">
        <v>176</v>
      </c>
      <c r="F125" s="7" t="n">
        <v>195.4</v>
      </c>
      <c r="H125" s="7" t="n">
        <v>147.5</v>
      </c>
      <c r="J125" s="7" t="n">
        <v>108.9</v>
      </c>
      <c r="L125" s="7" t="n">
        <v>316.9</v>
      </c>
      <c r="N125" s="7" t="n">
        <v>160.3</v>
      </c>
      <c r="P125" s="7" t="n">
        <v>282.1</v>
      </c>
      <c r="R125" s="7" t="n">
        <v>429</v>
      </c>
      <c r="T125" s="7" t="n">
        <v>0</v>
      </c>
      <c r="V125" s="7" t="n">
        <v>431</v>
      </c>
      <c r="X125" s="7" t="n">
        <v>349.1</v>
      </c>
      <c r="Z125" s="7" t="n">
        <v>19.9</v>
      </c>
      <c r="AB125" s="7" t="n">
        <v>2616.1</v>
      </c>
    </row>
    <row r="126">
      <c r="A126" s="4" t="inlineStr">
        <is>
          <t>住宿费</t>
        </is>
      </c>
      <c r="D126" s="7" t="n">
        <v>356.1</v>
      </c>
      <c r="F126" s="7" t="n">
        <v>417.3</v>
      </c>
      <c r="H126" s="7" t="n">
        <v>304.4</v>
      </c>
      <c r="J126" s="7" t="n">
        <v>167</v>
      </c>
      <c r="L126" s="7" t="n">
        <v>855.9</v>
      </c>
      <c r="N126" s="7" t="n">
        <v>232.1</v>
      </c>
      <c r="P126" s="7" t="n">
        <v>595.7</v>
      </c>
      <c r="R126" s="7" t="n">
        <v>953.2</v>
      </c>
      <c r="T126" s="7" t="n">
        <v>0</v>
      </c>
      <c r="V126" s="7" t="n">
        <v>628.9</v>
      </c>
      <c r="X126" s="7" t="n">
        <v>692.9</v>
      </c>
      <c r="Z126" s="7" t="n">
        <v>47.8</v>
      </c>
      <c r="AB126" s="7" t="n">
        <v>5251.3</v>
      </c>
    </row>
    <row r="127">
      <c r="A127" s="4" t="inlineStr">
        <is>
          <t>餐补</t>
        </is>
      </c>
      <c r="D127" s="7" t="n">
        <v>461.4</v>
      </c>
      <c r="F127" s="7" t="n">
        <v>407.6</v>
      </c>
      <c r="H127" s="7" t="n">
        <v>355.7</v>
      </c>
      <c r="J127" s="7" t="n">
        <v>360.5</v>
      </c>
      <c r="L127" s="7" t="n">
        <v>1058.8</v>
      </c>
      <c r="N127" s="7" t="n">
        <v>509.7</v>
      </c>
      <c r="P127" s="7" t="n">
        <v>608.2</v>
      </c>
      <c r="R127" s="7" t="n">
        <v>1118.6</v>
      </c>
      <c r="T127" s="7" t="n">
        <v>0</v>
      </c>
      <c r="V127" s="7" t="n">
        <v>836.2</v>
      </c>
      <c r="X127" s="7" t="n">
        <v>1216.1</v>
      </c>
      <c r="Z127" s="7" t="n">
        <v>55.5</v>
      </c>
      <c r="AB127" s="7" t="n">
        <v>6988.3</v>
      </c>
    </row>
    <row r="128">
      <c r="A128" s="4" t="inlineStr">
        <is>
          <t>交通补助</t>
        </is>
      </c>
      <c r="D128" s="7" t="n">
        <v>120.7</v>
      </c>
      <c r="F128" s="7" t="n">
        <v>258.9</v>
      </c>
      <c r="H128" s="7" t="n">
        <v>181.8</v>
      </c>
      <c r="J128" s="7" t="n">
        <v>145.2</v>
      </c>
      <c r="L128" s="7" t="n">
        <v>394.4</v>
      </c>
      <c r="N128" s="7" t="n">
        <v>132.4</v>
      </c>
      <c r="P128" s="7" t="n">
        <v>376.7</v>
      </c>
      <c r="R128" s="7" t="n">
        <v>497.5</v>
      </c>
      <c r="T128" s="7" t="n">
        <v>0</v>
      </c>
      <c r="V128" s="7" t="n">
        <v>427.6</v>
      </c>
      <c r="X128" s="7" t="n">
        <v>309.9</v>
      </c>
      <c r="Z128" s="7" t="n">
        <v>16.1</v>
      </c>
      <c r="AB128" s="7" t="n">
        <v>2861.2</v>
      </c>
    </row>
    <row r="129">
      <c r="A129" s="4" t="inlineStr">
        <is>
          <t>通讯补助</t>
        </is>
      </c>
      <c r="D129" s="7" t="n">
        <v>302.2</v>
      </c>
      <c r="F129" s="7" t="n">
        <v>241.1</v>
      </c>
      <c r="H129" s="7" t="n">
        <v>240.4</v>
      </c>
      <c r="J129" s="7" t="n">
        <v>223.9</v>
      </c>
      <c r="L129" s="7" t="n">
        <v>622.5</v>
      </c>
      <c r="N129" s="7" t="n">
        <v>300.2</v>
      </c>
      <c r="P129" s="7" t="n">
        <v>415.5</v>
      </c>
      <c r="R129" s="7" t="n">
        <v>581.2</v>
      </c>
      <c r="T129" s="7" t="n">
        <v>0</v>
      </c>
      <c r="V129" s="7" t="n">
        <v>820</v>
      </c>
      <c r="X129" s="7" t="n">
        <v>698.5</v>
      </c>
      <c r="Z129" s="7" t="n">
        <v>28.3</v>
      </c>
      <c r="AB129" s="7" t="n">
        <v>4473.8</v>
      </c>
    </row>
    <row r="130">
      <c r="A130" s="4" t="inlineStr">
        <is>
          <t>招待费</t>
        </is>
      </c>
      <c r="D130" s="7" t="n">
        <v>2163</v>
      </c>
      <c r="F130" s="7" t="n">
        <v>4019.9</v>
      </c>
      <c r="H130" s="7" t="n">
        <v>2289.4</v>
      </c>
      <c r="J130" s="7" t="n">
        <v>2408.9</v>
      </c>
      <c r="L130" s="7" t="n">
        <v>5818.7</v>
      </c>
      <c r="N130" s="7" t="n">
        <v>2031</v>
      </c>
      <c r="P130" s="7" t="n">
        <v>6072.7</v>
      </c>
      <c r="R130" s="7" t="n">
        <v>7288.4</v>
      </c>
      <c r="T130" s="7" t="n">
        <v>0</v>
      </c>
      <c r="V130" s="7" t="n">
        <v>7762.9</v>
      </c>
      <c r="X130" s="7" t="n">
        <v>8025.4</v>
      </c>
      <c r="Z130" s="7" t="n">
        <v>435.1</v>
      </c>
      <c r="AB130" s="7" t="n">
        <v>48315.4</v>
      </c>
    </row>
    <row r="131">
      <c r="A131" s="4" t="inlineStr">
        <is>
          <t>通讯费</t>
        </is>
      </c>
      <c r="D131" s="7" t="n">
        <v>252.4</v>
      </c>
      <c r="F131" s="7" t="n">
        <v>256.8</v>
      </c>
      <c r="H131" s="7" t="n">
        <v>207.9</v>
      </c>
      <c r="J131" s="7" t="n">
        <v>221.1</v>
      </c>
      <c r="L131" s="7" t="n">
        <v>483.9</v>
      </c>
      <c r="N131" s="7" t="n">
        <v>304.3</v>
      </c>
      <c r="P131" s="7" t="n">
        <v>322.8</v>
      </c>
      <c r="R131" s="7" t="n">
        <v>447.7</v>
      </c>
      <c r="T131" s="7" t="n">
        <v>0</v>
      </c>
      <c r="V131" s="7" t="n">
        <v>514.3</v>
      </c>
      <c r="X131" s="7" t="n">
        <v>446.7</v>
      </c>
      <c r="Z131" s="7" t="n">
        <v>32.8</v>
      </c>
      <c r="AB131" s="7" t="n">
        <v>3490.7</v>
      </c>
    </row>
    <row r="132">
      <c r="A132" s="4" t="inlineStr">
        <is>
          <t>网络费</t>
        </is>
      </c>
      <c r="D132" s="7" t="n">
        <v>301.2</v>
      </c>
      <c r="F132" s="7" t="n">
        <v>356.9</v>
      </c>
      <c r="H132" s="7" t="n">
        <v>286.3</v>
      </c>
      <c r="J132" s="7" t="n">
        <v>170.4</v>
      </c>
      <c r="L132" s="7" t="n">
        <v>577.8</v>
      </c>
      <c r="N132" s="7" t="n">
        <v>315.3</v>
      </c>
      <c r="P132" s="7" t="n">
        <v>370.8</v>
      </c>
      <c r="R132" s="7" t="n">
        <v>712.9</v>
      </c>
      <c r="T132" s="7" t="n">
        <v>0</v>
      </c>
      <c r="V132" s="7" t="n">
        <v>563.1</v>
      </c>
      <c r="X132" s="7" t="n">
        <v>470</v>
      </c>
      <c r="Z132" s="7" t="n">
        <v>23.8</v>
      </c>
      <c r="AB132" s="7" t="n">
        <v>4148.5</v>
      </c>
    </row>
    <row r="133">
      <c r="A133" s="4" t="inlineStr">
        <is>
          <t>修理费</t>
        </is>
      </c>
      <c r="D133" s="7" t="n">
        <v>325.6</v>
      </c>
      <c r="F133" s="7" t="n">
        <v>231.9</v>
      </c>
      <c r="H133" s="7" t="n">
        <v>273.6</v>
      </c>
      <c r="J133" s="7" t="n">
        <v>212.2</v>
      </c>
      <c r="L133" s="7" t="n">
        <v>424.5</v>
      </c>
      <c r="N133" s="7" t="n">
        <v>300.8</v>
      </c>
      <c r="P133" s="7" t="n">
        <v>577.6</v>
      </c>
      <c r="R133" s="7" t="n">
        <v>576</v>
      </c>
      <c r="T133" s="7" t="n">
        <v>0</v>
      </c>
      <c r="V133" s="7" t="n">
        <v>805.2</v>
      </c>
      <c r="X133" s="7" t="n">
        <v>476.7</v>
      </c>
      <c r="Z133" s="7" t="n">
        <v>29.6</v>
      </c>
      <c r="AB133" s="7" t="n">
        <v>4233.7</v>
      </c>
    </row>
    <row r="134">
      <c r="A134" s="4" t="inlineStr">
        <is>
          <t>车辆费</t>
        </is>
      </c>
      <c r="D134" s="7" t="n">
        <v>453.4</v>
      </c>
      <c r="F134" s="7" t="n">
        <v>543.9</v>
      </c>
      <c r="H134" s="7" t="n">
        <v>598.4</v>
      </c>
      <c r="J134" s="7" t="n">
        <v>243.8</v>
      </c>
      <c r="L134" s="7" t="n">
        <v>826.3</v>
      </c>
      <c r="N134" s="7" t="n">
        <v>582.7</v>
      </c>
      <c r="P134" s="7" t="n">
        <v>571.5</v>
      </c>
      <c r="R134" s="7" t="n">
        <v>962.7</v>
      </c>
      <c r="T134" s="7" t="n">
        <v>0</v>
      </c>
      <c r="V134" s="7" t="n">
        <v>1130.2</v>
      </c>
      <c r="X134" s="7" t="n">
        <v>876.4</v>
      </c>
      <c r="Z134" s="7" t="n">
        <v>64.09999999999999</v>
      </c>
      <c r="AB134" s="7" t="n">
        <v>6853.4</v>
      </c>
    </row>
    <row r="135">
      <c r="A135" s="4" t="inlineStr">
        <is>
          <t>租赁费</t>
        </is>
      </c>
      <c r="D135" s="7" t="n">
        <v>3868.6</v>
      </c>
      <c r="F135" s="7" t="n">
        <v>5252.3</v>
      </c>
      <c r="H135" s="7" t="n">
        <v>4462.4</v>
      </c>
      <c r="J135" s="7" t="n">
        <v>1984.7</v>
      </c>
      <c r="L135" s="7" t="n">
        <v>6855.2</v>
      </c>
      <c r="N135" s="7" t="n">
        <v>4113.9</v>
      </c>
      <c r="P135" s="7" t="n">
        <v>4812.9</v>
      </c>
      <c r="R135" s="7" t="n">
        <v>9740.1</v>
      </c>
      <c r="T135" s="7" t="n">
        <v>0</v>
      </c>
      <c r="V135" s="7" t="n">
        <v>9889.799999999999</v>
      </c>
      <c r="X135" s="7" t="n">
        <v>7783.3</v>
      </c>
      <c r="Z135" s="7" t="n">
        <v>457.1</v>
      </c>
      <c r="AB135" s="7" t="n">
        <v>59220.3</v>
      </c>
    </row>
    <row r="136">
      <c r="A136" s="4" t="inlineStr">
        <is>
          <t>能源费</t>
        </is>
      </c>
      <c r="D136" s="7" t="n">
        <v>1034.4</v>
      </c>
      <c r="F136" s="7" t="n">
        <v>1219.8</v>
      </c>
      <c r="H136" s="7" t="n">
        <v>1110.7</v>
      </c>
      <c r="J136" s="7" t="n">
        <v>858.5</v>
      </c>
      <c r="L136" s="7" t="n">
        <v>1903.4</v>
      </c>
      <c r="N136" s="7" t="n">
        <v>1254.1</v>
      </c>
      <c r="P136" s="7" t="n">
        <v>1841.8</v>
      </c>
      <c r="R136" s="7" t="n">
        <v>2504.3</v>
      </c>
      <c r="T136" s="7" t="n">
        <v>0</v>
      </c>
      <c r="V136" s="7" t="n">
        <v>2561.6</v>
      </c>
      <c r="X136" s="7" t="n">
        <v>2832.5</v>
      </c>
      <c r="Z136" s="7" t="n">
        <v>154.3</v>
      </c>
      <c r="AB136" s="7" t="n">
        <v>17275.4</v>
      </c>
    </row>
    <row r="137">
      <c r="A137" s="4" t="inlineStr">
        <is>
          <t>水费</t>
        </is>
      </c>
      <c r="D137" s="7" t="n">
        <v>434.8</v>
      </c>
      <c r="F137" s="7" t="n">
        <v>587.8</v>
      </c>
      <c r="H137" s="7" t="n">
        <v>548.5</v>
      </c>
      <c r="J137" s="7" t="n">
        <v>416.1</v>
      </c>
      <c r="L137" s="7" t="n">
        <v>830.1</v>
      </c>
      <c r="N137" s="7" t="n">
        <v>531.9</v>
      </c>
      <c r="P137" s="7" t="n">
        <v>722.5</v>
      </c>
      <c r="R137" s="7" t="n">
        <v>952.1</v>
      </c>
      <c r="T137" s="7" t="n">
        <v>0</v>
      </c>
      <c r="V137" s="7" t="n">
        <v>1138.5</v>
      </c>
      <c r="X137" s="7" t="n">
        <v>1306.7</v>
      </c>
      <c r="Z137" s="7" t="n">
        <v>64</v>
      </c>
      <c r="AB137" s="7" t="n">
        <v>7533</v>
      </c>
    </row>
    <row r="138">
      <c r="A138" s="4" t="inlineStr">
        <is>
          <t>电费</t>
        </is>
      </c>
      <c r="D138" s="7" t="n">
        <v>143</v>
      </c>
      <c r="F138" s="7" t="n">
        <v>221.7</v>
      </c>
      <c r="H138" s="7" t="n">
        <v>150.7</v>
      </c>
      <c r="J138" s="7" t="n">
        <v>105.3</v>
      </c>
      <c r="L138" s="7" t="n">
        <v>397.3</v>
      </c>
      <c r="N138" s="7" t="n">
        <v>182.4</v>
      </c>
      <c r="P138" s="7" t="n">
        <v>380.5</v>
      </c>
      <c r="R138" s="7" t="n">
        <v>328.4</v>
      </c>
      <c r="T138" s="7" t="n">
        <v>0</v>
      </c>
      <c r="V138" s="7" t="n">
        <v>491.3</v>
      </c>
      <c r="X138" s="7" t="n">
        <v>545.6</v>
      </c>
      <c r="Z138" s="7" t="n">
        <v>25.8</v>
      </c>
      <c r="AB138" s="7" t="n">
        <v>2972</v>
      </c>
    </row>
    <row r="139">
      <c r="A139" s="4" t="inlineStr">
        <is>
          <t>燃气费</t>
        </is>
      </c>
      <c r="D139" s="7" t="n">
        <v>29.5</v>
      </c>
      <c r="F139" s="7" t="n">
        <v>41.5</v>
      </c>
      <c r="H139" s="7" t="n">
        <v>57.3</v>
      </c>
      <c r="J139" s="7" t="n">
        <v>23.8</v>
      </c>
      <c r="L139" s="7" t="n">
        <v>72</v>
      </c>
      <c r="N139" s="7" t="n">
        <v>37.7</v>
      </c>
      <c r="P139" s="7" t="n">
        <v>54.5</v>
      </c>
      <c r="R139" s="7" t="n">
        <v>75.90000000000001</v>
      </c>
      <c r="T139" s="7" t="n">
        <v>0</v>
      </c>
      <c r="V139" s="7" t="n">
        <v>91.8</v>
      </c>
      <c r="X139" s="7" t="n">
        <v>94.2</v>
      </c>
      <c r="Z139" s="7" t="n">
        <v>4.2</v>
      </c>
      <c r="AB139" s="7" t="n">
        <v>582.4</v>
      </c>
    </row>
    <row r="140">
      <c r="A140" s="4" t="inlineStr">
        <is>
          <t>蒸汽费</t>
        </is>
      </c>
      <c r="D140" s="7" t="n">
        <v>427.1</v>
      </c>
      <c r="F140" s="7" t="n">
        <v>368.8</v>
      </c>
      <c r="H140" s="7" t="n">
        <v>354.2</v>
      </c>
      <c r="J140" s="7" t="n">
        <v>313.3</v>
      </c>
      <c r="L140" s="7" t="n">
        <v>604</v>
      </c>
      <c r="N140" s="7" t="n">
        <v>502.1</v>
      </c>
      <c r="P140" s="7" t="n">
        <v>684.3</v>
      </c>
      <c r="R140" s="7" t="n">
        <v>1147.9</v>
      </c>
      <c r="T140" s="7" t="n">
        <v>0</v>
      </c>
      <c r="V140" s="7" t="n">
        <v>840</v>
      </c>
      <c r="X140" s="7" t="n">
        <v>886</v>
      </c>
      <c r="Z140" s="7" t="n">
        <v>60.3</v>
      </c>
      <c r="AB140" s="7" t="n">
        <v>6188</v>
      </c>
    </row>
    <row r="141">
      <c r="A141" s="4" t="inlineStr">
        <is>
          <t>物业费</t>
        </is>
      </c>
      <c r="D141" s="7" t="n">
        <v>393.2</v>
      </c>
      <c r="F141" s="7" t="n">
        <v>566.4</v>
      </c>
      <c r="H141" s="7" t="n">
        <v>498.5</v>
      </c>
      <c r="J141" s="7" t="n">
        <v>280.2</v>
      </c>
      <c r="L141" s="7" t="n">
        <v>1110.6</v>
      </c>
      <c r="N141" s="7" t="n">
        <v>497.8</v>
      </c>
      <c r="P141" s="7" t="n">
        <v>847.3</v>
      </c>
      <c r="R141" s="7" t="n">
        <v>1115.3</v>
      </c>
      <c r="T141" s="7" t="n">
        <v>0</v>
      </c>
      <c r="V141" s="7" t="n">
        <v>993.8</v>
      </c>
      <c r="X141" s="7" t="n">
        <v>1247.3</v>
      </c>
      <c r="Z141" s="7" t="n">
        <v>38.2</v>
      </c>
      <c r="AB141" s="7" t="n">
        <v>7588.6</v>
      </c>
    </row>
    <row r="142">
      <c r="A142" s="4" t="inlineStr">
        <is>
          <t>劳动保护费</t>
        </is>
      </c>
      <c r="D142" s="7" t="n">
        <v>333.3</v>
      </c>
      <c r="F142" s="7" t="n">
        <v>363.7</v>
      </c>
      <c r="H142" s="7" t="n">
        <v>418.2</v>
      </c>
      <c r="J142" s="7" t="n">
        <v>217.8</v>
      </c>
      <c r="L142" s="7" t="n">
        <v>757.6</v>
      </c>
      <c r="N142" s="7" t="n">
        <v>392.9</v>
      </c>
      <c r="P142" s="7" t="n">
        <v>535.3</v>
      </c>
      <c r="R142" s="7" t="n">
        <v>901.1</v>
      </c>
      <c r="T142" s="7" t="n">
        <v>0</v>
      </c>
      <c r="V142" s="7" t="n">
        <v>1303.9</v>
      </c>
      <c r="X142" s="7" t="n">
        <v>917.3</v>
      </c>
      <c r="Z142" s="7" t="n">
        <v>36.5</v>
      </c>
      <c r="AB142" s="7" t="n">
        <v>6177.6</v>
      </c>
    </row>
    <row r="143">
      <c r="A143" s="4" t="inlineStr">
        <is>
          <t>顾问费</t>
        </is>
      </c>
      <c r="D143" s="7" t="n">
        <v>408.9</v>
      </c>
      <c r="F143" s="7" t="n">
        <v>492</v>
      </c>
      <c r="H143" s="7" t="n">
        <v>443.3</v>
      </c>
      <c r="J143" s="7" t="n">
        <v>205.9</v>
      </c>
      <c r="L143" s="7" t="n">
        <v>625.1</v>
      </c>
      <c r="N143" s="7" t="n">
        <v>307</v>
      </c>
      <c r="P143" s="7" t="n">
        <v>788.2</v>
      </c>
      <c r="R143" s="7" t="n">
        <v>782.7</v>
      </c>
      <c r="T143" s="7" t="n">
        <v>0</v>
      </c>
      <c r="V143" s="7" t="n">
        <v>889.1</v>
      </c>
      <c r="X143" s="7" t="n">
        <v>696.9</v>
      </c>
      <c r="Z143" s="7" t="n">
        <v>30.2</v>
      </c>
      <c r="AB143" s="7" t="n">
        <v>5669.3</v>
      </c>
    </row>
    <row r="144">
      <c r="A144" s="4" t="inlineStr">
        <is>
          <t>快递费</t>
        </is>
      </c>
      <c r="D144" s="7" t="n">
        <v>68.3</v>
      </c>
      <c r="F144" s="7" t="n">
        <v>90.59999999999999</v>
      </c>
      <c r="H144" s="7" t="n">
        <v>72.5</v>
      </c>
      <c r="J144" s="7" t="n">
        <v>38.4</v>
      </c>
      <c r="L144" s="7" t="n">
        <v>157.3</v>
      </c>
      <c r="N144" s="7" t="n">
        <v>68.09999999999999</v>
      </c>
      <c r="P144" s="7" t="n">
        <v>163.1</v>
      </c>
      <c r="R144" s="7" t="n">
        <v>154</v>
      </c>
      <c r="T144" s="7" t="n">
        <v>0</v>
      </c>
      <c r="V144" s="7" t="n">
        <v>188.9</v>
      </c>
      <c r="X144" s="7" t="n">
        <v>125.3</v>
      </c>
      <c r="Z144" s="7" t="n">
        <v>10.8</v>
      </c>
      <c r="AB144" s="7" t="n">
        <v>1137.3</v>
      </c>
    </row>
    <row r="145">
      <c r="A145" s="4" t="inlineStr">
        <is>
          <t>诉讼费</t>
        </is>
      </c>
      <c r="D145" s="7" t="n">
        <v>472.6</v>
      </c>
      <c r="F145" s="7" t="n">
        <v>440.4</v>
      </c>
      <c r="H145" s="7" t="n">
        <v>537.6</v>
      </c>
      <c r="J145" s="7" t="n">
        <v>245.3</v>
      </c>
      <c r="L145" s="7" t="n">
        <v>672.5</v>
      </c>
      <c r="N145" s="7" t="n">
        <v>423.4</v>
      </c>
      <c r="P145" s="7" t="n">
        <v>694.9</v>
      </c>
      <c r="R145" s="7" t="n">
        <v>1158.2</v>
      </c>
      <c r="T145" s="7" t="n">
        <v>0</v>
      </c>
      <c r="V145" s="7" t="n">
        <v>1191.6</v>
      </c>
      <c r="X145" s="7" t="n">
        <v>1153</v>
      </c>
      <c r="Z145" s="7" t="n">
        <v>46.5</v>
      </c>
      <c r="AB145" s="7" t="n">
        <v>7036</v>
      </c>
    </row>
    <row r="146">
      <c r="A146" s="4" t="inlineStr">
        <is>
          <t>会员费</t>
        </is>
      </c>
      <c r="D146" s="7" t="n">
        <v>280.4</v>
      </c>
      <c r="F146" s="7" t="n">
        <v>552.8</v>
      </c>
      <c r="H146" s="7" t="n">
        <v>392.3</v>
      </c>
      <c r="J146" s="7" t="n">
        <v>328.3</v>
      </c>
      <c r="L146" s="7" t="n">
        <v>631.5</v>
      </c>
      <c r="N146" s="7" t="n">
        <v>356</v>
      </c>
      <c r="P146" s="7" t="n">
        <v>655.8</v>
      </c>
      <c r="R146" s="7" t="n">
        <v>882.5</v>
      </c>
      <c r="T146" s="7" t="n">
        <v>0</v>
      </c>
      <c r="V146" s="7" t="n">
        <v>815.3</v>
      </c>
      <c r="X146" s="7" t="n">
        <v>1020</v>
      </c>
      <c r="Z146" s="7" t="n">
        <v>43.2</v>
      </c>
      <c r="AB146" s="7" t="n">
        <v>5958.1</v>
      </c>
    </row>
    <row r="147">
      <c r="A147" s="4" t="inlineStr">
        <is>
          <t>广告宣传费</t>
        </is>
      </c>
      <c r="D147" s="7" t="n">
        <v>2280.9</v>
      </c>
      <c r="F147" s="7" t="n">
        <v>2290.5</v>
      </c>
      <c r="H147" s="7" t="n">
        <v>1685.3</v>
      </c>
      <c r="J147" s="7" t="n">
        <v>1836.8</v>
      </c>
      <c r="L147" s="7" t="n">
        <v>4609.2</v>
      </c>
      <c r="N147" s="7" t="n">
        <v>1609.8</v>
      </c>
      <c r="P147" s="7" t="n">
        <v>4179.3</v>
      </c>
      <c r="R147" s="7" t="n">
        <v>5278.7</v>
      </c>
      <c r="T147" s="7" t="n">
        <v>0</v>
      </c>
      <c r="V147" s="7" t="n">
        <v>7284.5</v>
      </c>
      <c r="X147" s="7" t="n">
        <v>6349.1</v>
      </c>
      <c r="Z147" s="7" t="n">
        <v>298.8</v>
      </c>
      <c r="AB147" s="7" t="n">
        <v>37702.9</v>
      </c>
    </row>
    <row r="148">
      <c r="A148" s="4" t="inlineStr">
        <is>
          <t>会务费</t>
        </is>
      </c>
      <c r="D148" s="7" t="n">
        <v>293</v>
      </c>
      <c r="F148" s="7" t="n">
        <v>312.3</v>
      </c>
      <c r="H148" s="7" t="n">
        <v>374.9</v>
      </c>
      <c r="J148" s="7" t="n">
        <v>199.4</v>
      </c>
      <c r="L148" s="7" t="n">
        <v>854.7</v>
      </c>
      <c r="N148" s="7" t="n">
        <v>266.7</v>
      </c>
      <c r="P148" s="7" t="n">
        <v>783.8</v>
      </c>
      <c r="R148" s="7" t="n">
        <v>749.9</v>
      </c>
      <c r="T148" s="7" t="n">
        <v>0</v>
      </c>
      <c r="V148" s="7" t="n">
        <v>637.6</v>
      </c>
      <c r="X148" s="7" t="n">
        <v>785.3</v>
      </c>
      <c r="Z148" s="7" t="n">
        <v>50.4</v>
      </c>
      <c r="AB148" s="7" t="n">
        <v>5308</v>
      </c>
    </row>
    <row r="149">
      <c r="A149" s="4" t="inlineStr">
        <is>
          <t>装修费</t>
        </is>
      </c>
      <c r="D149" s="7" t="n">
        <v>54.5</v>
      </c>
      <c r="F149" s="7" t="n">
        <v>86.40000000000001</v>
      </c>
      <c r="H149" s="7" t="n">
        <v>49.8</v>
      </c>
      <c r="J149" s="7" t="n">
        <v>35.9</v>
      </c>
      <c r="L149" s="7" t="n">
        <v>154.1</v>
      </c>
      <c r="N149" s="7" t="n">
        <v>56.4</v>
      </c>
      <c r="P149" s="7" t="n">
        <v>107.2</v>
      </c>
      <c r="R149" s="7" t="n">
        <v>108.4</v>
      </c>
      <c r="T149" s="7" t="n">
        <v>0</v>
      </c>
      <c r="V149" s="7" t="n">
        <v>140.8</v>
      </c>
      <c r="X149" s="7" t="n">
        <v>175.6</v>
      </c>
      <c r="Z149" s="7" t="n">
        <v>9.199999999999999</v>
      </c>
      <c r="AB149" s="7" t="n">
        <v>978.3</v>
      </c>
    </row>
    <row r="150">
      <c r="A150" s="4" t="inlineStr">
        <is>
          <t>推广费</t>
        </is>
      </c>
      <c r="D150" s="7" t="n">
        <v>182.7</v>
      </c>
      <c r="F150" s="7" t="n">
        <v>367.6</v>
      </c>
      <c r="H150" s="7" t="n">
        <v>213.6</v>
      </c>
      <c r="J150" s="7" t="n">
        <v>245.1</v>
      </c>
      <c r="L150" s="7" t="n">
        <v>549.8</v>
      </c>
      <c r="N150" s="7" t="n">
        <v>331.8</v>
      </c>
      <c r="P150" s="7" t="n">
        <v>536</v>
      </c>
      <c r="R150" s="7" t="n">
        <v>677.7</v>
      </c>
      <c r="T150" s="7" t="n">
        <v>0</v>
      </c>
      <c r="V150" s="7" t="n">
        <v>672.8</v>
      </c>
      <c r="X150" s="7" t="n">
        <v>577.4</v>
      </c>
      <c r="Z150" s="7" t="n">
        <v>33.7</v>
      </c>
      <c r="AB150" s="7" t="n">
        <v>4388.2</v>
      </c>
    </row>
    <row r="151">
      <c r="A151" s="4" t="inlineStr">
        <is>
          <t>展会费</t>
        </is>
      </c>
      <c r="D151" s="7" t="n">
        <v>271</v>
      </c>
      <c r="F151" s="7" t="n">
        <v>215.5</v>
      </c>
      <c r="H151" s="7" t="n">
        <v>219.9</v>
      </c>
      <c r="J151" s="7" t="n">
        <v>171.8</v>
      </c>
      <c r="L151" s="7" t="n">
        <v>401.5</v>
      </c>
      <c r="N151" s="7" t="n">
        <v>260.6</v>
      </c>
      <c r="P151" s="7" t="n">
        <v>445.3</v>
      </c>
      <c r="R151" s="7" t="n">
        <v>524.1</v>
      </c>
      <c r="T151" s="7" t="n">
        <v>0</v>
      </c>
      <c r="V151" s="7" t="n">
        <v>717.8</v>
      </c>
      <c r="X151" s="7" t="n">
        <v>553.1</v>
      </c>
      <c r="Z151" s="7" t="n">
        <v>25.9</v>
      </c>
      <c r="AB151" s="7" t="n">
        <v>3806.5</v>
      </c>
    </row>
    <row r="152">
      <c r="A152" s="4" t="inlineStr">
        <is>
          <t>设计费</t>
        </is>
      </c>
      <c r="D152" s="7" t="n">
        <v>347.9</v>
      </c>
      <c r="F152" s="7" t="n">
        <v>404</v>
      </c>
      <c r="H152" s="7" t="n">
        <v>419.9</v>
      </c>
      <c r="J152" s="7" t="n">
        <v>252</v>
      </c>
      <c r="L152" s="7" t="n">
        <v>450.2</v>
      </c>
      <c r="N152" s="7" t="n">
        <v>318.6</v>
      </c>
      <c r="P152" s="7" t="n">
        <v>550.7</v>
      </c>
      <c r="R152" s="7" t="n">
        <v>633.4</v>
      </c>
      <c r="T152" s="7" t="n">
        <v>0</v>
      </c>
      <c r="V152" s="7" t="n">
        <v>880.1</v>
      </c>
      <c r="X152" s="7" t="n">
        <v>856.1</v>
      </c>
      <c r="Z152" s="7" t="n">
        <v>26.9</v>
      </c>
      <c r="AB152" s="7" t="n">
        <v>5139.8</v>
      </c>
    </row>
    <row r="153">
      <c r="A153" s="4" t="inlineStr">
        <is>
          <t>折旧费</t>
        </is>
      </c>
      <c r="D153" s="7" t="n">
        <v>2634.3</v>
      </c>
      <c r="F153" s="7" t="n">
        <v>3431.1</v>
      </c>
      <c r="H153" s="7" t="n">
        <v>2290.4</v>
      </c>
      <c r="J153" s="7" t="n">
        <v>1829.6</v>
      </c>
      <c r="L153" s="7" t="n">
        <v>5530.7</v>
      </c>
      <c r="N153" s="7" t="n">
        <v>2396.7</v>
      </c>
      <c r="P153" s="7" t="n">
        <v>4924.4</v>
      </c>
      <c r="R153" s="7" t="n">
        <v>6109</v>
      </c>
      <c r="T153" s="7" t="n">
        <v>0</v>
      </c>
      <c r="V153" s="7" t="n">
        <v>7381.3</v>
      </c>
      <c r="X153" s="7" t="n">
        <v>5190.7</v>
      </c>
      <c r="Z153" s="7" t="n">
        <v>445.3</v>
      </c>
      <c r="AB153" s="7" t="n">
        <v>42163.5</v>
      </c>
    </row>
    <row r="154">
      <c r="A154" s="4" t="inlineStr">
        <is>
          <t>认证费</t>
        </is>
      </c>
      <c r="D154" s="7" t="n">
        <v>387.1</v>
      </c>
      <c r="F154" s="7" t="n">
        <v>584.5</v>
      </c>
      <c r="H154" s="7" t="n">
        <v>535.3</v>
      </c>
      <c r="J154" s="7" t="n">
        <v>359.1</v>
      </c>
      <c r="L154" s="7" t="n">
        <v>613.1</v>
      </c>
      <c r="N154" s="7" t="n">
        <v>398.3</v>
      </c>
      <c r="P154" s="7" t="n">
        <v>632.9</v>
      </c>
      <c r="R154" s="7" t="n">
        <v>857.7</v>
      </c>
      <c r="T154" s="7" t="n">
        <v>0</v>
      </c>
      <c r="V154" s="7" t="n">
        <v>967.4</v>
      </c>
      <c r="X154" s="7" t="n">
        <v>1207.9</v>
      </c>
      <c r="Z154" s="7" t="n">
        <v>61.3</v>
      </c>
      <c r="AB154" s="7" t="n">
        <v>6604.6</v>
      </c>
    </row>
    <row r="155">
      <c r="A155" s="4" t="inlineStr">
        <is>
          <t>样品费</t>
        </is>
      </c>
      <c r="D155" s="7" t="n">
        <v>1293.1</v>
      </c>
      <c r="F155" s="7" t="n">
        <v>1382.2</v>
      </c>
      <c r="H155" s="7" t="n">
        <v>1973.6</v>
      </c>
      <c r="J155" s="7" t="n">
        <v>993.1</v>
      </c>
      <c r="L155" s="7" t="n">
        <v>2059.6</v>
      </c>
      <c r="N155" s="7" t="n">
        <v>1138.4</v>
      </c>
      <c r="P155" s="7" t="n">
        <v>2340.4</v>
      </c>
      <c r="R155" s="7" t="n">
        <v>3914.2</v>
      </c>
      <c r="T155" s="7" t="n">
        <v>0</v>
      </c>
      <c r="V155" s="7" t="n">
        <v>3984.7</v>
      </c>
      <c r="X155" s="7" t="n">
        <v>3018.8</v>
      </c>
      <c r="Z155" s="7" t="n">
        <v>221.7</v>
      </c>
      <c r="AB155" s="7" t="n">
        <v>22319.8</v>
      </c>
    </row>
    <row r="156">
      <c r="A156" s="4" t="inlineStr">
        <is>
          <t>劳务费</t>
        </is>
      </c>
      <c r="D156" s="7" t="n">
        <v>374.9</v>
      </c>
      <c r="F156" s="7" t="n">
        <v>683.8</v>
      </c>
      <c r="H156" s="7" t="n">
        <v>422.5</v>
      </c>
      <c r="J156" s="7" t="n">
        <v>370.3</v>
      </c>
      <c r="L156" s="7" t="n">
        <v>1131.5</v>
      </c>
      <c r="N156" s="7" t="n">
        <v>552.5</v>
      </c>
      <c r="P156" s="7" t="n">
        <v>862.4</v>
      </c>
      <c r="R156" s="7" t="n">
        <v>832.3</v>
      </c>
      <c r="T156" s="7" t="n">
        <v>0</v>
      </c>
      <c r="V156" s="7" t="n">
        <v>1574.2</v>
      </c>
      <c r="X156" s="7" t="n">
        <v>877.1</v>
      </c>
      <c r="Z156" s="7" t="n">
        <v>70.3</v>
      </c>
      <c r="AB156" s="7" t="n">
        <v>7751.8</v>
      </c>
    </row>
    <row r="157">
      <c r="A157" s="4" t="inlineStr">
        <is>
          <t>销售佣金</t>
        </is>
      </c>
      <c r="D157" s="7" t="n">
        <v>222.5</v>
      </c>
      <c r="F157" s="7" t="n">
        <v>210.8</v>
      </c>
      <c r="H157" s="7" t="n">
        <v>318.7</v>
      </c>
      <c r="J157" s="7" t="n">
        <v>178</v>
      </c>
      <c r="L157" s="7" t="n">
        <v>531.3</v>
      </c>
      <c r="N157" s="7" t="n">
        <v>285.3</v>
      </c>
      <c r="P157" s="7" t="n">
        <v>517.6</v>
      </c>
      <c r="R157" s="7" t="n">
        <v>600.5</v>
      </c>
      <c r="T157" s="7" t="n">
        <v>0</v>
      </c>
      <c r="V157" s="7" t="n">
        <v>657.8</v>
      </c>
      <c r="X157" s="7" t="n">
        <v>721.2</v>
      </c>
      <c r="Z157" s="7" t="n">
        <v>24.2</v>
      </c>
      <c r="AB157" s="7" t="n">
        <v>4267.9</v>
      </c>
    </row>
    <row r="158">
      <c r="A158" s="4" t="inlineStr">
        <is>
          <t>检测费</t>
        </is>
      </c>
      <c r="D158" s="7" t="n">
        <v>40.1</v>
      </c>
      <c r="F158" s="7" t="n">
        <v>53.9</v>
      </c>
      <c r="H158" s="7" t="n">
        <v>51.4</v>
      </c>
      <c r="J158" s="7" t="n">
        <v>22.9</v>
      </c>
      <c r="L158" s="7" t="n">
        <v>99.8</v>
      </c>
      <c r="N158" s="7" t="n">
        <v>55</v>
      </c>
      <c r="P158" s="7" t="n">
        <v>57.8</v>
      </c>
      <c r="R158" s="7" t="n">
        <v>93.5</v>
      </c>
      <c r="T158" s="7" t="n">
        <v>0</v>
      </c>
      <c r="V158" s="7" t="n">
        <v>89.5</v>
      </c>
      <c r="X158" s="7" t="n">
        <v>99.59999999999999</v>
      </c>
      <c r="Z158" s="7" t="n">
        <v>5.7</v>
      </c>
      <c r="AB158" s="7" t="n">
        <v>669.2</v>
      </c>
    </row>
    <row r="159">
      <c r="A159" s="4" t="inlineStr">
        <is>
          <t>质量赔偿</t>
        </is>
      </c>
      <c r="D159" s="7" t="n">
        <v>135</v>
      </c>
      <c r="F159" s="7" t="n">
        <v>237.9</v>
      </c>
      <c r="H159" s="7" t="n">
        <v>164.1</v>
      </c>
      <c r="J159" s="7" t="n">
        <v>125.5</v>
      </c>
      <c r="L159" s="7" t="n">
        <v>288.8</v>
      </c>
      <c r="N159" s="7" t="n">
        <v>197.1</v>
      </c>
      <c r="P159" s="7" t="n">
        <v>348.2</v>
      </c>
      <c r="R159" s="7" t="n">
        <v>448.9</v>
      </c>
      <c r="T159" s="7" t="n">
        <v>0</v>
      </c>
      <c r="V159" s="7" t="n">
        <v>381.8</v>
      </c>
      <c r="X159" s="7" t="n">
        <v>496</v>
      </c>
      <c r="Z159" s="7" t="n">
        <v>22</v>
      </c>
      <c r="AB159" s="7" t="n">
        <v>2845.3</v>
      </c>
    </row>
    <row r="160">
      <c r="A160" s="4" t="inlineStr">
        <is>
          <t>保险费</t>
        </is>
      </c>
      <c r="D160" s="7" t="n">
        <v>298.8</v>
      </c>
      <c r="F160" s="7" t="n">
        <v>260.9</v>
      </c>
      <c r="H160" s="7" t="n">
        <v>324.9</v>
      </c>
      <c r="J160" s="7" t="n">
        <v>231.7</v>
      </c>
      <c r="L160" s="7" t="n">
        <v>464.5</v>
      </c>
      <c r="N160" s="7" t="n">
        <v>261.6</v>
      </c>
      <c r="P160" s="7" t="n">
        <v>655.2</v>
      </c>
      <c r="R160" s="7" t="n">
        <v>520.2</v>
      </c>
      <c r="T160" s="7" t="n">
        <v>0</v>
      </c>
      <c r="V160" s="7" t="n">
        <v>721.4</v>
      </c>
      <c r="X160" s="7" t="n">
        <v>843.6</v>
      </c>
      <c r="Z160" s="7" t="n">
        <v>34</v>
      </c>
      <c r="AB160" s="7" t="n">
        <v>4616.8</v>
      </c>
    </row>
    <row r="161">
      <c r="A161" s="4" t="inlineStr">
        <is>
          <t>清洁费</t>
        </is>
      </c>
      <c r="D161" s="7" t="n">
        <v>156.5</v>
      </c>
      <c r="F161" s="7" t="n">
        <v>196</v>
      </c>
      <c r="H161" s="7" t="n">
        <v>326.8</v>
      </c>
      <c r="J161" s="7" t="n">
        <v>125.7</v>
      </c>
      <c r="L161" s="7" t="n">
        <v>520</v>
      </c>
      <c r="N161" s="7" t="n">
        <v>214.1</v>
      </c>
      <c r="P161" s="7" t="n">
        <v>361.9</v>
      </c>
      <c r="R161" s="7" t="n">
        <v>659.3</v>
      </c>
      <c r="T161" s="7" t="n">
        <v>0</v>
      </c>
      <c r="V161" s="7" t="n">
        <v>489</v>
      </c>
      <c r="X161" s="7" t="n">
        <v>380.9</v>
      </c>
      <c r="Z161" s="7" t="n">
        <v>22.6</v>
      </c>
      <c r="AB161" s="7" t="n">
        <v>3452.8</v>
      </c>
    </row>
    <row r="162">
      <c r="A162" s="4" t="inlineStr">
        <is>
          <t>低值易耗品</t>
        </is>
      </c>
      <c r="D162" s="7" t="n">
        <v>269.7</v>
      </c>
      <c r="F162" s="7" t="n">
        <v>218.7</v>
      </c>
      <c r="H162" s="7" t="n">
        <v>380.5</v>
      </c>
      <c r="J162" s="7" t="n">
        <v>252.4</v>
      </c>
      <c r="L162" s="7" t="n">
        <v>534.8</v>
      </c>
      <c r="N162" s="7" t="n">
        <v>285.6</v>
      </c>
      <c r="P162" s="7" t="n">
        <v>483.9</v>
      </c>
      <c r="R162" s="7" t="n">
        <v>486.4</v>
      </c>
      <c r="T162" s="7" t="n">
        <v>0</v>
      </c>
      <c r="V162" s="7" t="n">
        <v>878.2</v>
      </c>
      <c r="X162" s="7" t="n">
        <v>508.3</v>
      </c>
      <c r="Z162" s="7" t="n">
        <v>23.2</v>
      </c>
      <c r="AB162" s="7" t="n">
        <v>4321.7</v>
      </c>
    </row>
    <row r="163">
      <c r="A163" s="4" t="inlineStr">
        <is>
          <t>物料消耗</t>
        </is>
      </c>
      <c r="D163" s="7" t="n">
        <v>10.4</v>
      </c>
      <c r="F163" s="7" t="n">
        <v>9.800000000000001</v>
      </c>
      <c r="H163" s="7" t="n">
        <v>14.7</v>
      </c>
      <c r="J163" s="7" t="n">
        <v>6.1</v>
      </c>
      <c r="L163" s="7" t="n">
        <v>18.2</v>
      </c>
      <c r="N163" s="7" t="n">
        <v>9.699999999999999</v>
      </c>
      <c r="P163" s="7" t="n">
        <v>15.9</v>
      </c>
      <c r="R163" s="7" t="n">
        <v>28.2</v>
      </c>
      <c r="T163" s="7" t="n">
        <v>0</v>
      </c>
      <c r="V163" s="7" t="n">
        <v>24.4</v>
      </c>
      <c r="X163" s="7" t="n">
        <v>25</v>
      </c>
      <c r="Z163" s="7" t="n">
        <v>1.7</v>
      </c>
      <c r="AB163" s="7" t="n">
        <v>164.1</v>
      </c>
    </row>
    <row r="164">
      <c r="A164" s="4" t="inlineStr">
        <is>
          <t>盘盈盘亏</t>
        </is>
      </c>
      <c r="D164" s="7" t="n">
        <v>160.6</v>
      </c>
      <c r="F164" s="7" t="n">
        <v>163.9</v>
      </c>
      <c r="H164" s="7" t="n">
        <v>208.6</v>
      </c>
      <c r="J164" s="7" t="n">
        <v>119.3</v>
      </c>
      <c r="L164" s="7" t="n">
        <v>334.3</v>
      </c>
      <c r="N164" s="7" t="n">
        <v>154.4</v>
      </c>
      <c r="P164" s="7" t="n">
        <v>236</v>
      </c>
      <c r="R164" s="7" t="n">
        <v>302.1</v>
      </c>
      <c r="T164" s="7" t="n">
        <v>0</v>
      </c>
      <c r="V164" s="7" t="n">
        <v>529.4</v>
      </c>
      <c r="X164" s="7" t="n">
        <v>332.6</v>
      </c>
      <c r="Z164" s="7" t="n">
        <v>18.6</v>
      </c>
      <c r="AB164" s="7" t="n">
        <v>2559.8</v>
      </c>
    </row>
    <row r="165">
      <c r="A165" s="4" t="inlineStr">
        <is>
          <t>平台服务费</t>
        </is>
      </c>
      <c r="D165" s="7" t="n">
        <v>302.5</v>
      </c>
      <c r="F165" s="7" t="n">
        <v>277.6</v>
      </c>
      <c r="H165" s="7" t="n">
        <v>358.3</v>
      </c>
      <c r="J165" s="7" t="n">
        <v>254.8</v>
      </c>
      <c r="L165" s="7" t="n">
        <v>551.6</v>
      </c>
      <c r="N165" s="7" t="n">
        <v>338.2</v>
      </c>
      <c r="P165" s="7" t="n">
        <v>462.2</v>
      </c>
      <c r="R165" s="7" t="n">
        <v>722.7</v>
      </c>
      <c r="T165" s="7" t="n">
        <v>0</v>
      </c>
      <c r="V165" s="7" t="n">
        <v>772.4</v>
      </c>
      <c r="X165" s="7" t="n">
        <v>682.4</v>
      </c>
      <c r="Z165" s="7" t="n">
        <v>31.9</v>
      </c>
      <c r="AB165" s="7" t="n">
        <v>4754.6</v>
      </c>
    </row>
    <row r="166">
      <c r="A166" s="4" t="inlineStr">
        <is>
          <t>无形资产摊销</t>
        </is>
      </c>
      <c r="D166" s="7" t="n">
        <v>234.3</v>
      </c>
      <c r="F166" s="7" t="n">
        <v>328.4</v>
      </c>
      <c r="H166" s="7" t="n">
        <v>218.6</v>
      </c>
      <c r="J166" s="7" t="n">
        <v>155.8</v>
      </c>
      <c r="L166" s="7" t="n">
        <v>388.9</v>
      </c>
      <c r="N166" s="7" t="n">
        <v>269.1</v>
      </c>
      <c r="P166" s="7" t="n">
        <v>495.2</v>
      </c>
      <c r="R166" s="7" t="n">
        <v>535.8</v>
      </c>
      <c r="T166" s="7" t="n">
        <v>0</v>
      </c>
      <c r="V166" s="7" t="n">
        <v>759.9</v>
      </c>
      <c r="X166" s="7" t="n">
        <v>796.9</v>
      </c>
      <c r="Z166" s="7" t="n">
        <v>29.5</v>
      </c>
      <c r="AB166" s="7" t="n">
        <v>4212.4</v>
      </c>
    </row>
    <row r="167">
      <c r="A167" s="4" t="inlineStr">
        <is>
          <t>研发材料</t>
        </is>
      </c>
      <c r="D167" s="7" t="n">
        <v>10.8</v>
      </c>
      <c r="F167" s="7" t="n">
        <v>14.3</v>
      </c>
      <c r="H167" s="7" t="n">
        <v>18.3</v>
      </c>
      <c r="J167" s="7" t="n">
        <v>9.4</v>
      </c>
      <c r="L167" s="7" t="n">
        <v>21.2</v>
      </c>
      <c r="N167" s="7" t="n">
        <v>15.4</v>
      </c>
      <c r="P167" s="7" t="n">
        <v>22.9</v>
      </c>
      <c r="R167" s="7" t="n">
        <v>37.7</v>
      </c>
      <c r="T167" s="7" t="n">
        <v>0</v>
      </c>
      <c r="V167" s="7" t="n">
        <v>32.9</v>
      </c>
      <c r="X167" s="7" t="n">
        <v>23.2</v>
      </c>
      <c r="Z167" s="7" t="n">
        <v>1.5</v>
      </c>
      <c r="AB167" s="7" t="n">
        <v>207.6</v>
      </c>
    </row>
    <row r="168">
      <c r="A168" s="4" t="inlineStr">
        <is>
          <t>项目名称</t>
        </is>
      </c>
      <c r="D168" s="7" t="n">
        <v>244.8</v>
      </c>
      <c r="F168" s="7" t="n">
        <v>309.3</v>
      </c>
      <c r="H168" s="7" t="n">
        <v>251.8</v>
      </c>
      <c r="J168" s="7" t="n">
        <v>148.8</v>
      </c>
      <c r="L168" s="7" t="n">
        <v>470.1</v>
      </c>
      <c r="N168" s="7" t="n">
        <v>222.9</v>
      </c>
      <c r="P168" s="7" t="n">
        <v>294.2</v>
      </c>
      <c r="R168" s="7" t="n">
        <v>435</v>
      </c>
      <c r="T168" s="7" t="n">
        <v>0</v>
      </c>
      <c r="V168" s="7" t="n">
        <v>705.5</v>
      </c>
      <c r="X168" s="7" t="n">
        <v>621.6</v>
      </c>
      <c r="Z168" s="7" t="n">
        <v>19.8</v>
      </c>
      <c r="AB168" s="7" t="n">
        <v>3723.8</v>
      </c>
    </row>
    <row r="169">
      <c r="A169" s="4" t="inlineStr">
        <is>
          <t>研发费</t>
        </is>
      </c>
      <c r="D169" s="7" t="n">
        <v>380.2</v>
      </c>
      <c r="F169" s="7" t="n">
        <v>552.4</v>
      </c>
      <c r="H169" s="7" t="n">
        <v>414.9</v>
      </c>
      <c r="J169" s="7" t="n">
        <v>273.3</v>
      </c>
      <c r="L169" s="7" t="n">
        <v>695.4</v>
      </c>
      <c r="N169" s="7" t="n">
        <v>497.1</v>
      </c>
      <c r="P169" s="7" t="n">
        <v>740.2</v>
      </c>
      <c r="R169" s="7" t="n">
        <v>1245.8</v>
      </c>
      <c r="T169" s="7" t="n">
        <v>0</v>
      </c>
      <c r="V169" s="7" t="n">
        <v>852.1</v>
      </c>
      <c r="X169" s="7" t="n">
        <v>787.1</v>
      </c>
      <c r="Z169" s="7" t="n">
        <v>45.6</v>
      </c>
      <c r="AB169" s="7" t="n">
        <v>6484.1</v>
      </c>
    </row>
    <row r="170">
      <c r="A170" s="4" t="inlineStr">
        <is>
          <t>残保金</t>
        </is>
      </c>
      <c r="D170" s="7" t="n">
        <v>178.9</v>
      </c>
      <c r="F170" s="7" t="n">
        <v>178.9</v>
      </c>
      <c r="H170" s="7" t="n">
        <v>217</v>
      </c>
      <c r="J170" s="7" t="n">
        <v>159.5</v>
      </c>
      <c r="L170" s="7" t="n">
        <v>471.2</v>
      </c>
      <c r="N170" s="7" t="n">
        <v>225</v>
      </c>
      <c r="P170" s="7" t="n">
        <v>276.6</v>
      </c>
      <c r="R170" s="7" t="n">
        <v>497.5</v>
      </c>
      <c r="T170" s="7" t="n">
        <v>0</v>
      </c>
      <c r="V170" s="7" t="n">
        <v>584</v>
      </c>
      <c r="X170" s="7" t="n">
        <v>526</v>
      </c>
      <c r="Z170" s="7" t="n">
        <v>15.8</v>
      </c>
      <c r="AB170" s="7" t="n">
        <v>3330.4</v>
      </c>
    </row>
    <row r="171">
      <c r="A171" s="4" t="inlineStr">
        <is>
          <t>环保费</t>
        </is>
      </c>
      <c r="D171" s="7" t="n">
        <v>213.7</v>
      </c>
      <c r="F171" s="7" t="n">
        <v>261.8</v>
      </c>
      <c r="H171" s="7" t="n">
        <v>397.5</v>
      </c>
      <c r="J171" s="7" t="n">
        <v>250.9</v>
      </c>
      <c r="L171" s="7" t="n">
        <v>530.8</v>
      </c>
      <c r="N171" s="7" t="n">
        <v>350.1</v>
      </c>
      <c r="P171" s="7" t="n">
        <v>503.1</v>
      </c>
      <c r="R171" s="7" t="n">
        <v>718.9</v>
      </c>
      <c r="T171" s="7" t="n">
        <v>0</v>
      </c>
      <c r="V171" s="7" t="n">
        <v>848.3</v>
      </c>
      <c r="X171" s="7" t="n">
        <v>662.9</v>
      </c>
      <c r="Z171" s="7" t="n">
        <v>41.1</v>
      </c>
      <c r="AB171" s="7" t="n">
        <v>4779.1</v>
      </c>
    </row>
    <row r="172">
      <c r="A172" s="4" t="inlineStr">
        <is>
          <t>报废损失</t>
        </is>
      </c>
      <c r="D172" s="7" t="n">
        <v>245.6</v>
      </c>
      <c r="F172" s="7" t="n">
        <v>312.1</v>
      </c>
      <c r="H172" s="7" t="n">
        <v>183.3</v>
      </c>
      <c r="J172" s="7" t="n">
        <v>144.2</v>
      </c>
      <c r="L172" s="7" t="n">
        <v>463.4</v>
      </c>
      <c r="N172" s="7" t="n">
        <v>153.7</v>
      </c>
      <c r="P172" s="7" t="n">
        <v>274.9</v>
      </c>
      <c r="R172" s="7" t="n">
        <v>346.2</v>
      </c>
      <c r="T172" s="7" t="n">
        <v>0</v>
      </c>
      <c r="V172" s="7" t="n">
        <v>500.7</v>
      </c>
      <c r="X172" s="7" t="n">
        <v>555.5</v>
      </c>
      <c r="Z172" s="7" t="n">
        <v>24.9</v>
      </c>
      <c r="AB172" s="7" t="n">
        <v>3204.5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42360.8</v>
      </c>
      <c r="D173" s="7" t="n">
        <v>16271.5</v>
      </c>
      <c r="E173" s="7" t="n">
        <v>46064.5</v>
      </c>
      <c r="F173" s="7" t="n">
        <v>29729.2</v>
      </c>
      <c r="G173" s="7" t="n">
        <v>50192.5</v>
      </c>
      <c r="H173" s="7" t="n">
        <v>57774.1</v>
      </c>
      <c r="I173" s="7" t="n">
        <v>53101.7</v>
      </c>
      <c r="J173" s="7" t="n">
        <v>19172.9</v>
      </c>
      <c r="K173" s="7" t="n">
        <v>45199.1</v>
      </c>
      <c r="L173" s="7" t="n">
        <v>76926.89999999999</v>
      </c>
      <c r="M173" s="7" t="n">
        <v>43748.8</v>
      </c>
      <c r="N173" s="7" t="n">
        <v>43401</v>
      </c>
      <c r="O173" s="7" t="n">
        <v>43274.3</v>
      </c>
      <c r="P173" s="7" t="n">
        <v>104057.7</v>
      </c>
      <c r="Q173" s="7" t="n">
        <v>47977.8</v>
      </c>
      <c r="R173" s="7" t="n">
        <v>86883.7</v>
      </c>
      <c r="S173" s="7" t="n">
        <v>43107.2</v>
      </c>
      <c r="T173" s="7" t="n">
        <v>0</v>
      </c>
      <c r="U173" s="7" t="n">
        <v>53821.4</v>
      </c>
      <c r="V173" s="7" t="n">
        <v>114459.3</v>
      </c>
      <c r="W173" s="7" t="n">
        <v>52235.8</v>
      </c>
      <c r="X173" s="7" t="n">
        <v>29299.7</v>
      </c>
      <c r="Y173" s="7" t="n">
        <v>54198.6</v>
      </c>
      <c r="Z173" s="7" t="n">
        <v>4627.9</v>
      </c>
      <c r="AA173" s="8" t="n">
        <v>575282.5</v>
      </c>
      <c r="AB173" s="8" t="n">
        <v>582603.9</v>
      </c>
    </row>
    <row r="174">
      <c r="A174" s="4" t="inlineStr">
        <is>
          <t>职工薪酬</t>
        </is>
      </c>
      <c r="D174" s="7" t="n">
        <v>8327.700000000001</v>
      </c>
      <c r="F174" s="7" t="n">
        <v>12045.4</v>
      </c>
      <c r="H174" s="7" t="n">
        <v>28388.6</v>
      </c>
      <c r="J174" s="7" t="n">
        <v>11128.8</v>
      </c>
      <c r="L174" s="7" t="n">
        <v>43470.9</v>
      </c>
      <c r="N174" s="7" t="n">
        <v>24172.9</v>
      </c>
      <c r="P174" s="7" t="n">
        <v>51223.9</v>
      </c>
      <c r="R174" s="7" t="n">
        <v>37884.5</v>
      </c>
      <c r="T174" s="7" t="n">
        <v>0</v>
      </c>
      <c r="V174" s="7" t="n">
        <v>47426.4</v>
      </c>
      <c r="X174" s="7" t="n">
        <v>11483.3</v>
      </c>
      <c r="Z174" s="7" t="n">
        <v>2214.3</v>
      </c>
      <c r="AB174" s="7" t="n">
        <v>277766.7</v>
      </c>
    </row>
    <row r="175">
      <c r="A175" s="4" t="inlineStr">
        <is>
          <t>工资</t>
        </is>
      </c>
      <c r="D175" s="7" t="n">
        <v>4284.6</v>
      </c>
      <c r="F175" s="7" t="n">
        <v>6686.2</v>
      </c>
      <c r="H175" s="7" t="n">
        <v>17940.7</v>
      </c>
      <c r="J175" s="7" t="n">
        <v>7038.7</v>
      </c>
      <c r="L175" s="7" t="n">
        <v>25286.4</v>
      </c>
      <c r="N175" s="7" t="n">
        <v>14858.3</v>
      </c>
      <c r="P175" s="7" t="n">
        <v>25708.5</v>
      </c>
      <c r="R175" s="7" t="n">
        <v>19465.7</v>
      </c>
      <c r="T175" s="7" t="n">
        <v>0</v>
      </c>
      <c r="V175" s="7" t="n">
        <v>25278.1</v>
      </c>
      <c r="X175" s="7" t="n">
        <v>6222.2</v>
      </c>
      <c r="Z175" s="7" t="n">
        <v>1151.9</v>
      </c>
      <c r="AB175" s="7" t="n">
        <v>153921.3</v>
      </c>
    </row>
    <row r="176">
      <c r="A176" s="4" t="inlineStr">
        <is>
          <t>奖金及提成</t>
        </is>
      </c>
      <c r="D176" s="7" t="n">
        <v>1938.1</v>
      </c>
      <c r="F176" s="7" t="n">
        <v>2416.2</v>
      </c>
      <c r="H176" s="7" t="n">
        <v>4406.6</v>
      </c>
      <c r="J176" s="7" t="n">
        <v>1582.1</v>
      </c>
      <c r="L176" s="7" t="n">
        <v>8110.5</v>
      </c>
      <c r="N176" s="7" t="n">
        <v>4412.1</v>
      </c>
      <c r="P176" s="7" t="n">
        <v>12643.8</v>
      </c>
      <c r="R176" s="7" t="n">
        <v>10046.3</v>
      </c>
      <c r="T176" s="7" t="n">
        <v>0</v>
      </c>
      <c r="V176" s="7" t="n">
        <v>11130.2</v>
      </c>
      <c r="X176" s="7" t="n">
        <v>2321.7</v>
      </c>
      <c r="Z176" s="7" t="n">
        <v>464</v>
      </c>
      <c r="AB176" s="7" t="n">
        <v>59471.6</v>
      </c>
    </row>
    <row r="177">
      <c r="A177" s="4" t="inlineStr">
        <is>
          <t>社保</t>
        </is>
      </c>
      <c r="D177" s="7" t="n">
        <v>1625.2</v>
      </c>
      <c r="F177" s="7" t="n">
        <v>1977</v>
      </c>
      <c r="H177" s="7" t="n">
        <v>4243.8</v>
      </c>
      <c r="J177" s="7" t="n">
        <v>1971</v>
      </c>
      <c r="L177" s="7" t="n">
        <v>7512.5</v>
      </c>
      <c r="N177" s="7" t="n">
        <v>3500.1</v>
      </c>
      <c r="P177" s="7" t="n">
        <v>9723.299999999999</v>
      </c>
      <c r="R177" s="7" t="n">
        <v>5649.3</v>
      </c>
      <c r="T177" s="7" t="n">
        <v>0</v>
      </c>
      <c r="V177" s="7" t="n">
        <v>7311.8</v>
      </c>
      <c r="X177" s="7" t="n">
        <v>2072.8</v>
      </c>
      <c r="Z177" s="7" t="n">
        <v>452.4</v>
      </c>
      <c r="AB177" s="7" t="n">
        <v>46039.2</v>
      </c>
    </row>
    <row r="178">
      <c r="A178" s="4" t="inlineStr">
        <is>
          <t>养老</t>
        </is>
      </c>
      <c r="D178" s="7" t="n">
        <v>54.5</v>
      </c>
      <c r="F178" s="7" t="n">
        <v>154.9</v>
      </c>
      <c r="H178" s="7" t="n">
        <v>281.8</v>
      </c>
      <c r="J178" s="7" t="n">
        <v>68.8</v>
      </c>
      <c r="L178" s="7" t="n">
        <v>404.4</v>
      </c>
      <c r="N178" s="7" t="n">
        <v>149.9</v>
      </c>
      <c r="P178" s="7" t="n">
        <v>317.3</v>
      </c>
      <c r="R178" s="7" t="n">
        <v>405.3</v>
      </c>
      <c r="T178" s="7" t="n">
        <v>0</v>
      </c>
      <c r="V178" s="7" t="n">
        <v>418.2</v>
      </c>
      <c r="X178" s="7" t="n">
        <v>156.5</v>
      </c>
      <c r="Z178" s="7" t="n">
        <v>14.8</v>
      </c>
      <c r="AB178" s="7" t="n">
        <v>2426.4</v>
      </c>
    </row>
    <row r="179">
      <c r="A179" s="4" t="inlineStr">
        <is>
          <t>医疗</t>
        </is>
      </c>
      <c r="D179" s="7" t="n">
        <v>36.4</v>
      </c>
      <c r="F179" s="7" t="n">
        <v>84.2</v>
      </c>
      <c r="H179" s="7" t="n">
        <v>164.2</v>
      </c>
      <c r="J179" s="7" t="n">
        <v>39.7</v>
      </c>
      <c r="L179" s="7" t="n">
        <v>188</v>
      </c>
      <c r="N179" s="7" t="n">
        <v>93.2</v>
      </c>
      <c r="P179" s="7" t="n">
        <v>320.7</v>
      </c>
      <c r="R179" s="7" t="n">
        <v>280</v>
      </c>
      <c r="T179" s="7" t="n">
        <v>0</v>
      </c>
      <c r="V179" s="7" t="n">
        <v>283.8</v>
      </c>
      <c r="X179" s="7" t="n">
        <v>78.09999999999999</v>
      </c>
      <c r="Z179" s="7" t="n">
        <v>13.8</v>
      </c>
      <c r="AB179" s="7" t="n">
        <v>1582.1</v>
      </c>
    </row>
    <row r="180">
      <c r="A180" s="4" t="inlineStr">
        <is>
          <t>工伤</t>
        </is>
      </c>
      <c r="D180" s="7" t="n">
        <v>56.3</v>
      </c>
      <c r="F180" s="7" t="n">
        <v>99.09999999999999</v>
      </c>
      <c r="H180" s="7" t="n">
        <v>222.4</v>
      </c>
      <c r="J180" s="7" t="n">
        <v>72.40000000000001</v>
      </c>
      <c r="L180" s="7" t="n">
        <v>340.7</v>
      </c>
      <c r="N180" s="7" t="n">
        <v>125.4</v>
      </c>
      <c r="P180" s="7" t="n">
        <v>264.5</v>
      </c>
      <c r="R180" s="7" t="n">
        <v>217.7</v>
      </c>
      <c r="T180" s="7" t="n">
        <v>0</v>
      </c>
      <c r="V180" s="7" t="n">
        <v>293.9</v>
      </c>
      <c r="X180" s="7" t="n">
        <v>77.40000000000001</v>
      </c>
      <c r="Z180" s="7" t="n">
        <v>13.4</v>
      </c>
      <c r="AB180" s="7" t="n">
        <v>1783.2</v>
      </c>
    </row>
    <row r="181">
      <c r="A181" s="4" t="inlineStr">
        <is>
          <t>失业</t>
        </is>
      </c>
      <c r="D181" s="7" t="n">
        <v>74.7</v>
      </c>
      <c r="F181" s="7" t="n">
        <v>113.1</v>
      </c>
      <c r="H181" s="7" t="n">
        <v>178.8</v>
      </c>
      <c r="J181" s="7" t="n">
        <v>88.90000000000001</v>
      </c>
      <c r="L181" s="7" t="n">
        <v>384.1</v>
      </c>
      <c r="N181" s="7" t="n">
        <v>152</v>
      </c>
      <c r="P181" s="7" t="n">
        <v>348.5</v>
      </c>
      <c r="R181" s="7" t="n">
        <v>413.9</v>
      </c>
      <c r="T181" s="7" t="n">
        <v>0</v>
      </c>
      <c r="V181" s="7" t="n">
        <v>406.3</v>
      </c>
      <c r="X181" s="7" t="n">
        <v>126</v>
      </c>
      <c r="Z181" s="7" t="n">
        <v>21.5</v>
      </c>
      <c r="AB181" s="7" t="n">
        <v>2307.8</v>
      </c>
    </row>
    <row r="182">
      <c r="A182" s="4" t="inlineStr">
        <is>
          <t>生育</t>
        </is>
      </c>
      <c r="D182" s="7" t="n">
        <v>10.1</v>
      </c>
      <c r="F182" s="7" t="n">
        <v>20.6</v>
      </c>
      <c r="H182" s="7" t="n">
        <v>35.2</v>
      </c>
      <c r="J182" s="7" t="n">
        <v>10.5</v>
      </c>
      <c r="L182" s="7" t="n">
        <v>59.1</v>
      </c>
      <c r="N182" s="7" t="n">
        <v>22.6</v>
      </c>
      <c r="P182" s="7" t="n">
        <v>57.2</v>
      </c>
      <c r="R182" s="7" t="n">
        <v>39.8</v>
      </c>
      <c r="T182" s="7" t="n">
        <v>0</v>
      </c>
      <c r="V182" s="7" t="n">
        <v>87.7</v>
      </c>
      <c r="X182" s="7" t="n">
        <v>14.2</v>
      </c>
      <c r="Z182" s="7" t="n">
        <v>2</v>
      </c>
      <c r="AB182" s="7" t="n">
        <v>359</v>
      </c>
    </row>
    <row r="183">
      <c r="A183" s="4" t="inlineStr">
        <is>
          <t>公积金</t>
        </is>
      </c>
      <c r="D183" s="7" t="n">
        <v>45.6</v>
      </c>
      <c r="F183" s="7" t="n">
        <v>74.59999999999999</v>
      </c>
      <c r="H183" s="7" t="n">
        <v>154.3</v>
      </c>
      <c r="J183" s="7" t="n">
        <v>44.5</v>
      </c>
      <c r="L183" s="7" t="n">
        <v>265.1</v>
      </c>
      <c r="N183" s="7" t="n">
        <v>163.7</v>
      </c>
      <c r="P183" s="7" t="n">
        <v>342.1</v>
      </c>
      <c r="R183" s="7" t="n">
        <v>346.6</v>
      </c>
      <c r="T183" s="7" t="n">
        <v>0</v>
      </c>
      <c r="V183" s="7" t="n">
        <v>353.7</v>
      </c>
      <c r="X183" s="7" t="n">
        <v>77.40000000000001</v>
      </c>
      <c r="Z183" s="7" t="n">
        <v>11</v>
      </c>
      <c r="AB183" s="7" t="n">
        <v>1878.6</v>
      </c>
    </row>
    <row r="184">
      <c r="A184" s="4" t="inlineStr">
        <is>
          <t>工会经费</t>
        </is>
      </c>
      <c r="D184" s="7" t="n">
        <v>90.90000000000001</v>
      </c>
      <c r="F184" s="7" t="n">
        <v>206.6</v>
      </c>
      <c r="H184" s="7" t="n">
        <v>372.7</v>
      </c>
      <c r="J184" s="7" t="n">
        <v>104.5</v>
      </c>
      <c r="L184" s="7" t="n">
        <v>330.6</v>
      </c>
      <c r="N184" s="7" t="n">
        <v>183.6</v>
      </c>
      <c r="P184" s="7" t="n">
        <v>422.6</v>
      </c>
      <c r="R184" s="7" t="n">
        <v>411.9</v>
      </c>
      <c r="T184" s="7" t="n">
        <v>0</v>
      </c>
      <c r="V184" s="7" t="n">
        <v>597.2</v>
      </c>
      <c r="X184" s="7" t="n">
        <v>179.5</v>
      </c>
      <c r="Z184" s="7" t="n">
        <v>32.2</v>
      </c>
      <c r="AB184" s="7" t="n">
        <v>2932.3</v>
      </c>
    </row>
    <row r="185">
      <c r="A185" s="4" t="inlineStr">
        <is>
          <t>职工教育经费</t>
        </is>
      </c>
      <c r="D185" s="7" t="n">
        <v>27.2</v>
      </c>
      <c r="F185" s="7" t="n">
        <v>46.1</v>
      </c>
      <c r="H185" s="7" t="n">
        <v>69</v>
      </c>
      <c r="J185" s="7" t="n">
        <v>29.5</v>
      </c>
      <c r="L185" s="7" t="n">
        <v>146.2</v>
      </c>
      <c r="N185" s="7" t="n">
        <v>90.40000000000001</v>
      </c>
      <c r="P185" s="7" t="n">
        <v>204.5</v>
      </c>
      <c r="R185" s="7" t="n">
        <v>178</v>
      </c>
      <c r="T185" s="7" t="n">
        <v>0</v>
      </c>
      <c r="V185" s="7" t="n">
        <v>204.2</v>
      </c>
      <c r="X185" s="7" t="n">
        <v>38</v>
      </c>
      <c r="Z185" s="7" t="n">
        <v>8.699999999999999</v>
      </c>
      <c r="AB185" s="7" t="n">
        <v>1041.8</v>
      </c>
    </row>
    <row r="186">
      <c r="A186" s="4" t="inlineStr">
        <is>
          <t>福利费</t>
        </is>
      </c>
      <c r="D186" s="7" t="n">
        <v>316.1</v>
      </c>
      <c r="F186" s="7" t="n">
        <v>638.7</v>
      </c>
      <c r="H186" s="7" t="n">
        <v>1201.5</v>
      </c>
      <c r="J186" s="7" t="n">
        <v>358.5</v>
      </c>
      <c r="L186" s="7" t="n">
        <v>1819.6</v>
      </c>
      <c r="N186" s="7" t="n">
        <v>964.7</v>
      </c>
      <c r="P186" s="7" t="n">
        <v>2179.1</v>
      </c>
      <c r="R186" s="7" t="n">
        <v>1786.7</v>
      </c>
      <c r="T186" s="7" t="n">
        <v>0</v>
      </c>
      <c r="V186" s="7" t="n">
        <v>2551.2</v>
      </c>
      <c r="X186" s="7" t="n">
        <v>571.7</v>
      </c>
      <c r="Z186" s="7" t="n">
        <v>94.09999999999999</v>
      </c>
      <c r="AB186" s="7" t="n">
        <v>12481.9</v>
      </c>
    </row>
    <row r="187">
      <c r="A187" s="4" t="inlineStr">
        <is>
          <t>职工房租</t>
        </is>
      </c>
      <c r="D187" s="7" t="n">
        <v>26.3</v>
      </c>
      <c r="F187" s="7" t="n">
        <v>40.9</v>
      </c>
      <c r="H187" s="7" t="n">
        <v>93.90000000000001</v>
      </c>
      <c r="J187" s="7" t="n">
        <v>29.9</v>
      </c>
      <c r="L187" s="7" t="n">
        <v>108.3</v>
      </c>
      <c r="N187" s="7" t="n">
        <v>68.40000000000001</v>
      </c>
      <c r="P187" s="7" t="n">
        <v>128.2</v>
      </c>
      <c r="R187" s="7" t="n">
        <v>140.8</v>
      </c>
      <c r="T187" s="7" t="n">
        <v>0</v>
      </c>
      <c r="V187" s="7" t="n">
        <v>125</v>
      </c>
      <c r="X187" s="7" t="n">
        <v>41.2</v>
      </c>
      <c r="Z187" s="7" t="n">
        <v>7.3</v>
      </c>
      <c r="AB187" s="7" t="n">
        <v>810.2</v>
      </c>
    </row>
    <row r="188">
      <c r="A188" s="4" t="inlineStr">
        <is>
          <t>水电物业费</t>
        </is>
      </c>
      <c r="D188" s="7" t="n">
        <v>39.7</v>
      </c>
      <c r="F188" s="7" t="n">
        <v>98.8</v>
      </c>
      <c r="H188" s="7" t="n">
        <v>131.2</v>
      </c>
      <c r="J188" s="7" t="n">
        <v>35.6</v>
      </c>
      <c r="L188" s="7" t="n">
        <v>199.6</v>
      </c>
      <c r="N188" s="7" t="n">
        <v>100.8</v>
      </c>
      <c r="P188" s="7" t="n">
        <v>284.8</v>
      </c>
      <c r="R188" s="7" t="n">
        <v>213.9</v>
      </c>
      <c r="T188" s="7" t="n">
        <v>0</v>
      </c>
      <c r="V188" s="7" t="n">
        <v>375.9</v>
      </c>
      <c r="X188" s="7" t="n">
        <v>88.3</v>
      </c>
      <c r="Z188" s="7" t="n">
        <v>10.4</v>
      </c>
      <c r="AB188" s="7" t="n">
        <v>1579</v>
      </c>
    </row>
    <row r="189">
      <c r="A189" s="4" t="inlineStr">
        <is>
          <t>员工餐</t>
        </is>
      </c>
      <c r="D189" s="7" t="n">
        <v>103.4</v>
      </c>
      <c r="F189" s="7" t="n">
        <v>210</v>
      </c>
      <c r="H189" s="7" t="n">
        <v>359.9</v>
      </c>
      <c r="J189" s="7" t="n">
        <v>96.3</v>
      </c>
      <c r="L189" s="7" t="n">
        <v>626</v>
      </c>
      <c r="N189" s="7" t="n">
        <v>296.4</v>
      </c>
      <c r="P189" s="7" t="n">
        <v>726.7</v>
      </c>
      <c r="R189" s="7" t="n">
        <v>487.3</v>
      </c>
      <c r="T189" s="7" t="n">
        <v>0</v>
      </c>
      <c r="V189" s="7" t="n">
        <v>858.5</v>
      </c>
      <c r="X189" s="7" t="n">
        <v>132.1</v>
      </c>
      <c r="Z189" s="7" t="n">
        <v>21.3</v>
      </c>
      <c r="AB189" s="7" t="n">
        <v>3917.9</v>
      </c>
    </row>
    <row r="190">
      <c r="A190" s="4" t="inlineStr">
        <is>
          <t>节日礼品</t>
        </is>
      </c>
      <c r="D190" s="7" t="n">
        <v>31.9</v>
      </c>
      <c r="F190" s="7" t="n">
        <v>40.4</v>
      </c>
      <c r="H190" s="7" t="n">
        <v>94.7</v>
      </c>
      <c r="J190" s="7" t="n">
        <v>34.1</v>
      </c>
      <c r="L190" s="7" t="n">
        <v>156.5</v>
      </c>
      <c r="N190" s="7" t="n">
        <v>56.4</v>
      </c>
      <c r="P190" s="7" t="n">
        <v>164.3</v>
      </c>
      <c r="R190" s="7" t="n">
        <v>146.8</v>
      </c>
      <c r="T190" s="7" t="n">
        <v>0</v>
      </c>
      <c r="V190" s="7" t="n">
        <v>258.2</v>
      </c>
      <c r="X190" s="7" t="n">
        <v>59.8</v>
      </c>
      <c r="Z190" s="7" t="n">
        <v>10</v>
      </c>
      <c r="AB190" s="7" t="n">
        <v>1053.1</v>
      </c>
    </row>
    <row r="191">
      <c r="A191" s="4" t="inlineStr">
        <is>
          <t>生日礼品</t>
        </is>
      </c>
      <c r="D191" s="7" t="n">
        <v>12.4</v>
      </c>
      <c r="F191" s="7" t="n">
        <v>26.1</v>
      </c>
      <c r="H191" s="7" t="n">
        <v>76.2</v>
      </c>
      <c r="J191" s="7" t="n">
        <v>15.9</v>
      </c>
      <c r="L191" s="7" t="n">
        <v>82.2</v>
      </c>
      <c r="N191" s="7" t="n">
        <v>33</v>
      </c>
      <c r="P191" s="7" t="n">
        <v>87.90000000000001</v>
      </c>
      <c r="R191" s="7" t="n">
        <v>86.90000000000001</v>
      </c>
      <c r="T191" s="7" t="n">
        <v>0</v>
      </c>
      <c r="V191" s="7" t="n">
        <v>138.1</v>
      </c>
      <c r="X191" s="7" t="n">
        <v>32.2</v>
      </c>
      <c r="Z191" s="7" t="n">
        <v>4.5</v>
      </c>
      <c r="AB191" s="7" t="n">
        <v>595.4</v>
      </c>
    </row>
    <row r="192">
      <c r="A192" s="4" t="inlineStr">
        <is>
          <t>体检</t>
        </is>
      </c>
      <c r="D192" s="7" t="n">
        <v>78.3</v>
      </c>
      <c r="F192" s="7" t="n">
        <v>161.5</v>
      </c>
      <c r="H192" s="7" t="n">
        <v>322.8</v>
      </c>
      <c r="J192" s="7" t="n">
        <v>107.8</v>
      </c>
      <c r="L192" s="7" t="n">
        <v>506.4</v>
      </c>
      <c r="N192" s="7" t="n">
        <v>304.7</v>
      </c>
      <c r="P192" s="7" t="n">
        <v>589.5</v>
      </c>
      <c r="R192" s="7" t="n">
        <v>576.7</v>
      </c>
      <c r="T192" s="7" t="n">
        <v>0</v>
      </c>
      <c r="V192" s="7" t="n">
        <v>594.9</v>
      </c>
      <c r="X192" s="7" t="n">
        <v>145.2</v>
      </c>
      <c r="Z192" s="7" t="n">
        <v>30.3</v>
      </c>
      <c r="AB192" s="7" t="n">
        <v>3418.1</v>
      </c>
    </row>
    <row r="193">
      <c r="A193" s="4" t="inlineStr">
        <is>
          <t>其他福利支出</t>
        </is>
      </c>
      <c r="D193" s="7" t="n">
        <v>24.1</v>
      </c>
      <c r="F193" s="7" t="n">
        <v>61</v>
      </c>
      <c r="H193" s="7" t="n">
        <v>122.8</v>
      </c>
      <c r="J193" s="7" t="n">
        <v>38.9</v>
      </c>
      <c r="L193" s="7" t="n">
        <v>140.6</v>
      </c>
      <c r="N193" s="7" t="n">
        <v>105</v>
      </c>
      <c r="P193" s="7" t="n">
        <v>197.7</v>
      </c>
      <c r="R193" s="7" t="n">
        <v>134.3</v>
      </c>
      <c r="T193" s="7" t="n">
        <v>0</v>
      </c>
      <c r="V193" s="7" t="n">
        <v>200.6</v>
      </c>
      <c r="X193" s="7" t="n">
        <v>72.90000000000001</v>
      </c>
      <c r="Z193" s="7" t="n">
        <v>10.3</v>
      </c>
      <c r="AB193" s="7" t="n">
        <v>1108.2</v>
      </c>
    </row>
    <row r="194">
      <c r="A194" s="4" t="inlineStr">
        <is>
          <t>招聘费</t>
        </is>
      </c>
      <c r="D194" s="7" t="n">
        <v>47.8</v>
      </c>
      <c r="F194" s="7" t="n">
        <v>87</v>
      </c>
      <c r="H194" s="7" t="n">
        <v>167.9</v>
      </c>
      <c r="J194" s="7" t="n">
        <v>42.2</v>
      </c>
      <c r="L194" s="7" t="n">
        <v>244.6</v>
      </c>
      <c r="N194" s="7" t="n">
        <v>169.9</v>
      </c>
      <c r="P194" s="7" t="n">
        <v>304.4</v>
      </c>
      <c r="R194" s="7" t="n">
        <v>307.8</v>
      </c>
      <c r="T194" s="7" t="n">
        <v>0</v>
      </c>
      <c r="V194" s="7" t="n">
        <v>309.9</v>
      </c>
      <c r="X194" s="7" t="n">
        <v>76.09999999999999</v>
      </c>
      <c r="Z194" s="7" t="n">
        <v>14.3</v>
      </c>
      <c r="AB194" s="7" t="n">
        <v>1771.9</v>
      </c>
    </row>
    <row r="195">
      <c r="A195" s="4" t="inlineStr">
        <is>
          <t>办公费</t>
        </is>
      </c>
      <c r="D195" s="7" t="n">
        <v>379</v>
      </c>
      <c r="F195" s="7" t="n">
        <v>915</v>
      </c>
      <c r="H195" s="7" t="n">
        <v>1801.4</v>
      </c>
      <c r="J195" s="7" t="n">
        <v>503.9</v>
      </c>
      <c r="L195" s="7" t="n">
        <v>2661.4</v>
      </c>
      <c r="N195" s="7" t="n">
        <v>1218.2</v>
      </c>
      <c r="P195" s="7" t="n">
        <v>2939.9</v>
      </c>
      <c r="R195" s="7" t="n">
        <v>1833.9</v>
      </c>
      <c r="T195" s="7" t="n">
        <v>0</v>
      </c>
      <c r="V195" s="7" t="n">
        <v>4206.2</v>
      </c>
      <c r="X195" s="7" t="n">
        <v>858</v>
      </c>
      <c r="Z195" s="7" t="n">
        <v>101.7</v>
      </c>
      <c r="AB195" s="7" t="n">
        <v>17418.6</v>
      </c>
    </row>
    <row r="196">
      <c r="A196" s="4" t="inlineStr">
        <is>
          <t>市内交通费</t>
        </is>
      </c>
      <c r="D196" s="7" t="n">
        <v>7</v>
      </c>
      <c r="F196" s="7" t="n">
        <v>11.6</v>
      </c>
      <c r="H196" s="7" t="n">
        <v>18.7</v>
      </c>
      <c r="J196" s="7" t="n">
        <v>5.2</v>
      </c>
      <c r="L196" s="7" t="n">
        <v>24.1</v>
      </c>
      <c r="N196" s="7" t="n">
        <v>15.4</v>
      </c>
      <c r="P196" s="7" t="n">
        <v>33.5</v>
      </c>
      <c r="R196" s="7" t="n">
        <v>22.9</v>
      </c>
      <c r="T196" s="7" t="n">
        <v>0</v>
      </c>
      <c r="V196" s="7" t="n">
        <v>45.3</v>
      </c>
      <c r="X196" s="7" t="n">
        <v>12</v>
      </c>
      <c r="Z196" s="7" t="n">
        <v>1.2</v>
      </c>
      <c r="AB196" s="7" t="n">
        <v>196.9</v>
      </c>
    </row>
    <row r="197">
      <c r="A197" s="4" t="inlineStr">
        <is>
          <t>差旅费</t>
        </is>
      </c>
      <c r="D197" s="7" t="n">
        <v>803.5</v>
      </c>
      <c r="F197" s="7" t="n">
        <v>1402.9</v>
      </c>
      <c r="H197" s="7" t="n">
        <v>3966.5</v>
      </c>
      <c r="J197" s="7" t="n">
        <v>1147.1</v>
      </c>
      <c r="L197" s="7" t="n">
        <v>3850</v>
      </c>
      <c r="N197" s="7" t="n">
        <v>2878.5</v>
      </c>
      <c r="P197" s="7" t="n">
        <v>7563</v>
      </c>
      <c r="R197" s="7" t="n">
        <v>4590.3</v>
      </c>
      <c r="T197" s="7" t="n">
        <v>0</v>
      </c>
      <c r="V197" s="7" t="n">
        <v>8883.200000000001</v>
      </c>
      <c r="X197" s="7" t="n">
        <v>1237.4</v>
      </c>
      <c r="Z197" s="7" t="n">
        <v>275.2</v>
      </c>
      <c r="AB197" s="7" t="n">
        <v>36597.6</v>
      </c>
    </row>
    <row r="198">
      <c r="A198" s="4" t="inlineStr">
        <is>
          <t>交通费</t>
        </is>
      </c>
      <c r="D198" s="7" t="n">
        <v>56.4</v>
      </c>
      <c r="F198" s="7" t="n">
        <v>93.90000000000001</v>
      </c>
      <c r="H198" s="7" t="n">
        <v>276.8</v>
      </c>
      <c r="J198" s="7" t="n">
        <v>66.8</v>
      </c>
      <c r="L198" s="7" t="n">
        <v>263</v>
      </c>
      <c r="N198" s="7" t="n">
        <v>161</v>
      </c>
      <c r="P198" s="7" t="n">
        <v>461.9</v>
      </c>
      <c r="R198" s="7" t="n">
        <v>470.1</v>
      </c>
      <c r="T198" s="7" t="n">
        <v>0</v>
      </c>
      <c r="V198" s="7" t="n">
        <v>378.6</v>
      </c>
      <c r="X198" s="7" t="n">
        <v>102.2</v>
      </c>
      <c r="Z198" s="7" t="n">
        <v>19.7</v>
      </c>
      <c r="AB198" s="7" t="n">
        <v>2350.4</v>
      </c>
    </row>
    <row r="199">
      <c r="A199" s="4" t="inlineStr">
        <is>
          <t>住宿费</t>
        </is>
      </c>
      <c r="D199" s="7" t="n">
        <v>125</v>
      </c>
      <c r="F199" s="7" t="n">
        <v>230.9</v>
      </c>
      <c r="H199" s="7" t="n">
        <v>382.7</v>
      </c>
      <c r="J199" s="7" t="n">
        <v>147.4</v>
      </c>
      <c r="L199" s="7" t="n">
        <v>549.6</v>
      </c>
      <c r="N199" s="7" t="n">
        <v>340</v>
      </c>
      <c r="P199" s="7" t="n">
        <v>717.7</v>
      </c>
      <c r="R199" s="7" t="n">
        <v>537.1</v>
      </c>
      <c r="T199" s="7" t="n">
        <v>0</v>
      </c>
      <c r="V199" s="7" t="n">
        <v>598.1</v>
      </c>
      <c r="X199" s="7" t="n">
        <v>224.9</v>
      </c>
      <c r="Z199" s="7" t="n">
        <v>32.6</v>
      </c>
      <c r="AB199" s="7" t="n">
        <v>3886</v>
      </c>
    </row>
    <row r="200">
      <c r="A200" s="4" t="inlineStr">
        <is>
          <t>餐补</t>
        </is>
      </c>
      <c r="D200" s="7" t="n">
        <v>20.9</v>
      </c>
      <c r="F200" s="7" t="n">
        <v>34.2</v>
      </c>
      <c r="H200" s="7" t="n">
        <v>63.8</v>
      </c>
      <c r="J200" s="7" t="n">
        <v>18.8</v>
      </c>
      <c r="L200" s="7" t="n">
        <v>94.8</v>
      </c>
      <c r="N200" s="7" t="n">
        <v>62</v>
      </c>
      <c r="P200" s="7" t="n">
        <v>116</v>
      </c>
      <c r="R200" s="7" t="n">
        <v>107.1</v>
      </c>
      <c r="T200" s="7" t="n">
        <v>0</v>
      </c>
      <c r="V200" s="7" t="n">
        <v>143.4</v>
      </c>
      <c r="X200" s="7" t="n">
        <v>25.1</v>
      </c>
      <c r="Z200" s="7" t="n">
        <v>4.9</v>
      </c>
      <c r="AB200" s="7" t="n">
        <v>691</v>
      </c>
    </row>
    <row r="201">
      <c r="A201" s="4" t="inlineStr">
        <is>
          <t>交通补助</t>
        </is>
      </c>
      <c r="D201" s="7" t="n">
        <v>32.5</v>
      </c>
      <c r="F201" s="7" t="n">
        <v>80.7</v>
      </c>
      <c r="H201" s="7" t="n">
        <v>167.1</v>
      </c>
      <c r="J201" s="7" t="n">
        <v>37.7</v>
      </c>
      <c r="L201" s="7" t="n">
        <v>188.9</v>
      </c>
      <c r="N201" s="7" t="n">
        <v>131.4</v>
      </c>
      <c r="P201" s="7" t="n">
        <v>358.3</v>
      </c>
      <c r="R201" s="7" t="n">
        <v>259.4</v>
      </c>
      <c r="T201" s="7" t="n">
        <v>0</v>
      </c>
      <c r="V201" s="7" t="n">
        <v>396.7</v>
      </c>
      <c r="X201" s="7" t="n">
        <v>104.3</v>
      </c>
      <c r="Z201" s="7" t="n">
        <v>12.6</v>
      </c>
      <c r="AB201" s="7" t="n">
        <v>1769.6</v>
      </c>
    </row>
    <row r="202">
      <c r="A202" s="4" t="inlineStr">
        <is>
          <t>通讯补助</t>
        </is>
      </c>
      <c r="D202" s="7" t="n">
        <v>66.8</v>
      </c>
      <c r="F202" s="7" t="n">
        <v>181.7</v>
      </c>
      <c r="H202" s="7" t="n">
        <v>250.6</v>
      </c>
      <c r="J202" s="7" t="n">
        <v>110.3</v>
      </c>
      <c r="L202" s="7" t="n">
        <v>365.4</v>
      </c>
      <c r="N202" s="7" t="n">
        <v>187.1</v>
      </c>
      <c r="P202" s="7" t="n">
        <v>554.4</v>
      </c>
      <c r="R202" s="7" t="n">
        <v>384.9</v>
      </c>
      <c r="T202" s="7" t="n">
        <v>0</v>
      </c>
      <c r="V202" s="7" t="n">
        <v>593.5</v>
      </c>
      <c r="X202" s="7" t="n">
        <v>126.6</v>
      </c>
      <c r="Z202" s="7" t="n">
        <v>24.8</v>
      </c>
      <c r="AB202" s="7" t="n">
        <v>2846.1</v>
      </c>
    </row>
    <row r="203">
      <c r="A203" s="4" t="inlineStr">
        <is>
          <t>招待费</t>
        </is>
      </c>
      <c r="D203" s="7" t="n">
        <v>588.1</v>
      </c>
      <c r="F203" s="7" t="n">
        <v>1342.7</v>
      </c>
      <c r="H203" s="7" t="n">
        <v>2708.5</v>
      </c>
      <c r="J203" s="7" t="n">
        <v>664.9</v>
      </c>
      <c r="L203" s="7" t="n">
        <v>3561.9</v>
      </c>
      <c r="N203" s="7" t="n">
        <v>1530.8</v>
      </c>
      <c r="P203" s="7" t="n">
        <v>3897.4</v>
      </c>
      <c r="R203" s="7" t="n">
        <v>4343.1</v>
      </c>
      <c r="T203" s="7" t="n">
        <v>0</v>
      </c>
      <c r="V203" s="7" t="n">
        <v>4239.2</v>
      </c>
      <c r="X203" s="7" t="n">
        <v>1152.1</v>
      </c>
      <c r="Z203" s="7" t="n">
        <v>202.8</v>
      </c>
      <c r="AB203" s="7" t="n">
        <v>24231.5</v>
      </c>
    </row>
    <row r="204">
      <c r="A204" s="4" t="inlineStr">
        <is>
          <t>通讯费</t>
        </is>
      </c>
      <c r="D204" s="7" t="n">
        <v>77.2</v>
      </c>
      <c r="F204" s="7" t="n">
        <v>130.9</v>
      </c>
      <c r="H204" s="7" t="n">
        <v>221.6</v>
      </c>
      <c r="J204" s="7" t="n">
        <v>56.3</v>
      </c>
      <c r="L204" s="7" t="n">
        <v>259.9</v>
      </c>
      <c r="N204" s="7" t="n">
        <v>208.7</v>
      </c>
      <c r="P204" s="7" t="n">
        <v>357.2</v>
      </c>
      <c r="R204" s="7" t="n">
        <v>351.3</v>
      </c>
      <c r="T204" s="7" t="n">
        <v>0</v>
      </c>
      <c r="V204" s="7" t="n">
        <v>314.3</v>
      </c>
      <c r="X204" s="7" t="n">
        <v>134.1</v>
      </c>
      <c r="Z204" s="7" t="n">
        <v>13.9</v>
      </c>
      <c r="AB204" s="7" t="n">
        <v>2125.4</v>
      </c>
    </row>
    <row r="205">
      <c r="A205" s="4" t="inlineStr">
        <is>
          <t>网络费</t>
        </is>
      </c>
      <c r="D205" s="7" t="n">
        <v>7.9</v>
      </c>
      <c r="F205" s="7" t="n">
        <v>23.7</v>
      </c>
      <c r="H205" s="7" t="n">
        <v>36.1</v>
      </c>
      <c r="J205" s="7" t="n">
        <v>14</v>
      </c>
      <c r="L205" s="7" t="n">
        <v>62.8</v>
      </c>
      <c r="N205" s="7" t="n">
        <v>32.6</v>
      </c>
      <c r="P205" s="7" t="n">
        <v>75.09999999999999</v>
      </c>
      <c r="R205" s="7" t="n">
        <v>46.3</v>
      </c>
      <c r="T205" s="7" t="n">
        <v>0</v>
      </c>
      <c r="V205" s="7" t="n">
        <v>58.3</v>
      </c>
      <c r="X205" s="7" t="n">
        <v>22.9</v>
      </c>
      <c r="Z205" s="7" t="n">
        <v>3.4</v>
      </c>
      <c r="AB205" s="7" t="n">
        <v>383.1</v>
      </c>
    </row>
    <row r="206">
      <c r="A206" s="4" t="inlineStr">
        <is>
          <t>修理费</t>
        </is>
      </c>
      <c r="D206" s="7" t="n">
        <v>33.1</v>
      </c>
      <c r="F206" s="7" t="n">
        <v>87.40000000000001</v>
      </c>
      <c r="H206" s="7" t="n">
        <v>122.3</v>
      </c>
      <c r="J206" s="7" t="n">
        <v>63.8</v>
      </c>
      <c r="L206" s="7" t="n">
        <v>157.6</v>
      </c>
      <c r="N206" s="7" t="n">
        <v>138.4</v>
      </c>
      <c r="P206" s="7" t="n">
        <v>304.9</v>
      </c>
      <c r="R206" s="7" t="n">
        <v>288.2</v>
      </c>
      <c r="T206" s="7" t="n">
        <v>0</v>
      </c>
      <c r="V206" s="7" t="n">
        <v>281.4</v>
      </c>
      <c r="X206" s="7" t="n">
        <v>90.3</v>
      </c>
      <c r="Z206" s="7" t="n">
        <v>11.8</v>
      </c>
      <c r="AB206" s="7" t="n">
        <v>1579.2</v>
      </c>
    </row>
    <row r="207">
      <c r="A207" s="4" t="inlineStr">
        <is>
          <t>车辆费</t>
        </is>
      </c>
      <c r="D207" s="7" t="n">
        <v>110.2</v>
      </c>
      <c r="F207" s="7" t="n">
        <v>158</v>
      </c>
      <c r="H207" s="7" t="n">
        <v>319</v>
      </c>
      <c r="J207" s="7" t="n">
        <v>119.7</v>
      </c>
      <c r="L207" s="7" t="n">
        <v>434.8</v>
      </c>
      <c r="N207" s="7" t="n">
        <v>231</v>
      </c>
      <c r="P207" s="7" t="n">
        <v>537.9</v>
      </c>
      <c r="R207" s="7" t="n">
        <v>669.5</v>
      </c>
      <c r="T207" s="7" t="n">
        <v>0</v>
      </c>
      <c r="V207" s="7" t="n">
        <v>605.2</v>
      </c>
      <c r="X207" s="7" t="n">
        <v>199.4</v>
      </c>
      <c r="Z207" s="7" t="n">
        <v>32.3</v>
      </c>
      <c r="AB207" s="7" t="n">
        <v>3417</v>
      </c>
    </row>
    <row r="208">
      <c r="A208" s="4" t="inlineStr">
        <is>
          <t>租赁费</t>
        </is>
      </c>
      <c r="D208" s="7" t="n">
        <v>895.9</v>
      </c>
      <c r="F208" s="7" t="n">
        <v>1222.1</v>
      </c>
      <c r="H208" s="7" t="n">
        <v>3426</v>
      </c>
      <c r="J208" s="7" t="n">
        <v>1184.9</v>
      </c>
      <c r="L208" s="7" t="n">
        <v>3522.2</v>
      </c>
      <c r="N208" s="7" t="n">
        <v>2050.3</v>
      </c>
      <c r="P208" s="7" t="n">
        <v>5348.3</v>
      </c>
      <c r="R208" s="7" t="n">
        <v>3228.5</v>
      </c>
      <c r="T208" s="7" t="n">
        <v>0</v>
      </c>
      <c r="V208" s="7" t="n">
        <v>6512.7</v>
      </c>
      <c r="X208" s="7" t="n">
        <v>1826.2</v>
      </c>
      <c r="Z208" s="7" t="n">
        <v>251.1</v>
      </c>
      <c r="AB208" s="7" t="n">
        <v>29468.2</v>
      </c>
    </row>
    <row r="209">
      <c r="A209" s="4" t="inlineStr">
        <is>
          <t>能源费</t>
        </is>
      </c>
      <c r="D209" s="7" t="n">
        <v>159</v>
      </c>
      <c r="F209" s="7" t="n">
        <v>203.9</v>
      </c>
      <c r="H209" s="7" t="n">
        <v>484.3</v>
      </c>
      <c r="J209" s="7" t="n">
        <v>181.4</v>
      </c>
      <c r="L209" s="7" t="n">
        <v>775.6</v>
      </c>
      <c r="N209" s="7" t="n">
        <v>353.4</v>
      </c>
      <c r="P209" s="7" t="n">
        <v>851</v>
      </c>
      <c r="R209" s="7" t="n">
        <v>635.6</v>
      </c>
      <c r="T209" s="7" t="n">
        <v>0</v>
      </c>
      <c r="V209" s="7" t="n">
        <v>809.1</v>
      </c>
      <c r="X209" s="7" t="n">
        <v>257.7</v>
      </c>
      <c r="Z209" s="7" t="n">
        <v>44.4</v>
      </c>
      <c r="AB209" s="7" t="n">
        <v>4755.4</v>
      </c>
    </row>
    <row r="210">
      <c r="A210" s="4" t="inlineStr">
        <is>
          <t>水费</t>
        </is>
      </c>
      <c r="D210" s="7" t="n">
        <v>9.800000000000001</v>
      </c>
      <c r="F210" s="7" t="n">
        <v>13.4</v>
      </c>
      <c r="H210" s="7" t="n">
        <v>22.8</v>
      </c>
      <c r="J210" s="7" t="n">
        <v>8.199999999999999</v>
      </c>
      <c r="L210" s="7" t="n">
        <v>41.8</v>
      </c>
      <c r="N210" s="7" t="n">
        <v>20</v>
      </c>
      <c r="P210" s="7" t="n">
        <v>44.5</v>
      </c>
      <c r="R210" s="7" t="n">
        <v>56.3</v>
      </c>
      <c r="T210" s="7" t="n">
        <v>0</v>
      </c>
      <c r="V210" s="7" t="n">
        <v>49.9</v>
      </c>
      <c r="X210" s="7" t="n">
        <v>16.8</v>
      </c>
      <c r="Z210" s="7" t="n">
        <v>1.8</v>
      </c>
      <c r="AB210" s="7" t="n">
        <v>285.3</v>
      </c>
    </row>
    <row r="211">
      <c r="A211" s="4" t="inlineStr">
        <is>
          <t>电费</t>
        </is>
      </c>
      <c r="D211" s="7" t="n">
        <v>119.1</v>
      </c>
      <c r="F211" s="7" t="n">
        <v>126.5</v>
      </c>
      <c r="H211" s="7" t="n">
        <v>345.1</v>
      </c>
      <c r="J211" s="7" t="n">
        <v>132.8</v>
      </c>
      <c r="L211" s="7" t="n">
        <v>553.5</v>
      </c>
      <c r="N211" s="7" t="n">
        <v>248</v>
      </c>
      <c r="P211" s="7" t="n">
        <v>558.7</v>
      </c>
      <c r="R211" s="7" t="n">
        <v>364.4</v>
      </c>
      <c r="T211" s="7" t="n">
        <v>0</v>
      </c>
      <c r="V211" s="7" t="n">
        <v>501.4</v>
      </c>
      <c r="X211" s="7" t="n">
        <v>164.5</v>
      </c>
      <c r="Z211" s="7" t="n">
        <v>33.1</v>
      </c>
      <c r="AB211" s="7" t="n">
        <v>3147.1</v>
      </c>
    </row>
    <row r="212">
      <c r="A212" s="4" t="inlineStr">
        <is>
          <t>燃气费</t>
        </is>
      </c>
      <c r="D212" s="7" t="n">
        <v>20.2</v>
      </c>
      <c r="F212" s="7" t="n">
        <v>46.3</v>
      </c>
      <c r="H212" s="7" t="n">
        <v>85.40000000000001</v>
      </c>
      <c r="J212" s="7" t="n">
        <v>29.8</v>
      </c>
      <c r="L212" s="7" t="n">
        <v>153.8</v>
      </c>
      <c r="N212" s="7" t="n">
        <v>58.7</v>
      </c>
      <c r="P212" s="7" t="n">
        <v>184.6</v>
      </c>
      <c r="R212" s="7" t="n">
        <v>170.9</v>
      </c>
      <c r="T212" s="7" t="n">
        <v>0</v>
      </c>
      <c r="V212" s="7" t="n">
        <v>216.8</v>
      </c>
      <c r="X212" s="7" t="n">
        <v>62</v>
      </c>
      <c r="Z212" s="7" t="n">
        <v>6.7</v>
      </c>
      <c r="AB212" s="7" t="n">
        <v>1035.2</v>
      </c>
    </row>
    <row r="213">
      <c r="A213" s="4" t="inlineStr">
        <is>
          <t>蒸汽费</t>
        </is>
      </c>
      <c r="D213" s="7" t="n">
        <v>9.9</v>
      </c>
      <c r="F213" s="7" t="n">
        <v>17.7</v>
      </c>
      <c r="H213" s="7" t="n">
        <v>31</v>
      </c>
      <c r="J213" s="7" t="n">
        <v>10.6</v>
      </c>
      <c r="L213" s="7" t="n">
        <v>26.5</v>
      </c>
      <c r="N213" s="7" t="n">
        <v>26.7</v>
      </c>
      <c r="P213" s="7" t="n">
        <v>63.2</v>
      </c>
      <c r="R213" s="7" t="n">
        <v>44</v>
      </c>
      <c r="T213" s="7" t="n">
        <v>0</v>
      </c>
      <c r="V213" s="7" t="n">
        <v>41</v>
      </c>
      <c r="X213" s="7" t="n">
        <v>14.4</v>
      </c>
      <c r="Z213" s="7" t="n">
        <v>2.8</v>
      </c>
      <c r="AB213" s="7" t="n">
        <v>287.8</v>
      </c>
    </row>
    <row r="214">
      <c r="A214" s="4" t="inlineStr">
        <is>
          <t>物业费</t>
        </is>
      </c>
      <c r="D214" s="7" t="n">
        <v>20.9</v>
      </c>
      <c r="F214" s="7" t="n">
        <v>38</v>
      </c>
      <c r="H214" s="7" t="n">
        <v>102.9</v>
      </c>
      <c r="J214" s="7" t="n">
        <v>37.1</v>
      </c>
      <c r="L214" s="7" t="n">
        <v>130.8</v>
      </c>
      <c r="N214" s="7" t="n">
        <v>67.90000000000001</v>
      </c>
      <c r="P214" s="7" t="n">
        <v>223.3</v>
      </c>
      <c r="R214" s="7" t="n">
        <v>197.7</v>
      </c>
      <c r="T214" s="7" t="n">
        <v>0</v>
      </c>
      <c r="V214" s="7" t="n">
        <v>148.9</v>
      </c>
      <c r="X214" s="7" t="n">
        <v>60.5</v>
      </c>
      <c r="Z214" s="7" t="n">
        <v>9.699999999999999</v>
      </c>
      <c r="AB214" s="7" t="n">
        <v>1037.7</v>
      </c>
    </row>
    <row r="215">
      <c r="A215" s="4" t="inlineStr">
        <is>
          <t>劳动保护费</t>
        </is>
      </c>
      <c r="D215" s="7" t="n">
        <v>69.3</v>
      </c>
      <c r="F215" s="7" t="n">
        <v>115.5</v>
      </c>
      <c r="H215" s="7" t="n">
        <v>231.3</v>
      </c>
      <c r="J215" s="7" t="n">
        <v>69.3</v>
      </c>
      <c r="L215" s="7" t="n">
        <v>197.1</v>
      </c>
      <c r="N215" s="7" t="n">
        <v>176.3</v>
      </c>
      <c r="P215" s="7" t="n">
        <v>407.2</v>
      </c>
      <c r="R215" s="7" t="n">
        <v>291.5</v>
      </c>
      <c r="T215" s="7" t="n">
        <v>0</v>
      </c>
      <c r="V215" s="7" t="n">
        <v>313.8</v>
      </c>
      <c r="X215" s="7" t="n">
        <v>98.8</v>
      </c>
      <c r="Z215" s="7" t="n">
        <v>20.1</v>
      </c>
      <c r="AB215" s="7" t="n">
        <v>1990.2</v>
      </c>
    </row>
    <row r="216">
      <c r="A216" s="4" t="inlineStr">
        <is>
          <t>顾问费</t>
        </is>
      </c>
      <c r="D216" s="7" t="n">
        <v>96.5</v>
      </c>
      <c r="F216" s="7" t="n">
        <v>156.3</v>
      </c>
      <c r="H216" s="7" t="n">
        <v>358.1</v>
      </c>
      <c r="J216" s="7" t="n">
        <v>90.8</v>
      </c>
      <c r="L216" s="7" t="n">
        <v>415.9</v>
      </c>
      <c r="N216" s="7" t="n">
        <v>294.5</v>
      </c>
      <c r="P216" s="7" t="n">
        <v>560.7</v>
      </c>
      <c r="R216" s="7" t="n">
        <v>642.9</v>
      </c>
      <c r="T216" s="7" t="n">
        <v>0</v>
      </c>
      <c r="V216" s="7" t="n">
        <v>867.2</v>
      </c>
      <c r="X216" s="7" t="n">
        <v>196.5</v>
      </c>
      <c r="Z216" s="7" t="n">
        <v>38.6</v>
      </c>
      <c r="AB216" s="7" t="n">
        <v>3718</v>
      </c>
    </row>
    <row r="217">
      <c r="A217" s="4" t="inlineStr">
        <is>
          <t>快递费</t>
        </is>
      </c>
      <c r="D217" s="7" t="n">
        <v>1.8</v>
      </c>
      <c r="F217" s="7" t="n">
        <v>3.4</v>
      </c>
      <c r="H217" s="7" t="n">
        <v>4.2</v>
      </c>
      <c r="J217" s="7" t="n">
        <v>1.5</v>
      </c>
      <c r="L217" s="7" t="n">
        <v>6.1</v>
      </c>
      <c r="N217" s="7" t="n">
        <v>3.1</v>
      </c>
      <c r="P217" s="7" t="n">
        <v>9.199999999999999</v>
      </c>
      <c r="R217" s="7" t="n">
        <v>9.300000000000001</v>
      </c>
      <c r="T217" s="7" t="n">
        <v>0</v>
      </c>
      <c r="V217" s="7" t="n">
        <v>9.800000000000001</v>
      </c>
      <c r="X217" s="7" t="n">
        <v>3</v>
      </c>
      <c r="Z217" s="7" t="n">
        <v>0.4</v>
      </c>
      <c r="AB217" s="7" t="n">
        <v>51.8</v>
      </c>
    </row>
    <row r="218">
      <c r="A218" s="4" t="inlineStr">
        <is>
          <t>诉讼费</t>
        </is>
      </c>
      <c r="D218" s="7" t="n">
        <v>9.699999999999999</v>
      </c>
      <c r="F218" s="7" t="n">
        <v>20.3</v>
      </c>
      <c r="H218" s="7" t="n">
        <v>47.6</v>
      </c>
      <c r="J218" s="7" t="n">
        <v>15.3</v>
      </c>
      <c r="L218" s="7" t="n">
        <v>70.40000000000001</v>
      </c>
      <c r="N218" s="7" t="n">
        <v>31.8</v>
      </c>
      <c r="P218" s="7" t="n">
        <v>104.3</v>
      </c>
      <c r="R218" s="7" t="n">
        <v>58</v>
      </c>
      <c r="T218" s="7" t="n">
        <v>0</v>
      </c>
      <c r="V218" s="7" t="n">
        <v>116.2</v>
      </c>
      <c r="X218" s="7" t="n">
        <v>27.5</v>
      </c>
      <c r="Z218" s="7" t="n">
        <v>3.3</v>
      </c>
      <c r="AB218" s="7" t="n">
        <v>504.4</v>
      </c>
    </row>
    <row r="219">
      <c r="A219" s="4" t="inlineStr">
        <is>
          <t>会员费</t>
        </is>
      </c>
      <c r="D219" s="7" t="n">
        <v>70.90000000000001</v>
      </c>
      <c r="F219" s="7" t="n">
        <v>109.7</v>
      </c>
      <c r="H219" s="7" t="n">
        <v>277</v>
      </c>
      <c r="J219" s="7" t="n">
        <v>82.3</v>
      </c>
      <c r="L219" s="7" t="n">
        <v>241.5</v>
      </c>
      <c r="N219" s="7" t="n">
        <v>230.7</v>
      </c>
      <c r="P219" s="7" t="n">
        <v>501</v>
      </c>
      <c r="R219" s="7" t="n">
        <v>399.6</v>
      </c>
      <c r="T219" s="7" t="n">
        <v>0</v>
      </c>
      <c r="V219" s="7" t="n">
        <v>403.3</v>
      </c>
      <c r="X219" s="7" t="n">
        <v>98.2</v>
      </c>
      <c r="Z219" s="7" t="n">
        <v>25.5</v>
      </c>
      <c r="AB219" s="7" t="n">
        <v>2439.7</v>
      </c>
    </row>
    <row r="220">
      <c r="A220" s="4" t="inlineStr">
        <is>
          <t>广告宣传费</t>
        </is>
      </c>
      <c r="D220" s="7" t="n">
        <v>409.2</v>
      </c>
      <c r="F220" s="7" t="n">
        <v>1021.3</v>
      </c>
      <c r="H220" s="7" t="n">
        <v>1432.4</v>
      </c>
      <c r="J220" s="7" t="n">
        <v>531.1</v>
      </c>
      <c r="L220" s="7" t="n">
        <v>2745.9</v>
      </c>
      <c r="N220" s="7" t="n">
        <v>1022.3</v>
      </c>
      <c r="P220" s="7" t="n">
        <v>4016.9</v>
      </c>
      <c r="R220" s="7" t="n">
        <v>2916.7</v>
      </c>
      <c r="T220" s="7" t="n">
        <v>0</v>
      </c>
      <c r="V220" s="7" t="n">
        <v>3338.5</v>
      </c>
      <c r="X220" s="7" t="n">
        <v>675.5</v>
      </c>
      <c r="Z220" s="7" t="n">
        <v>138.7</v>
      </c>
      <c r="AB220" s="7" t="n">
        <v>18248.5</v>
      </c>
    </row>
    <row r="221">
      <c r="A221" s="4" t="inlineStr">
        <is>
          <t>会务费</t>
        </is>
      </c>
      <c r="D221" s="7" t="n">
        <v>3.1</v>
      </c>
      <c r="F221" s="7" t="n">
        <v>6.1</v>
      </c>
      <c r="H221" s="7" t="n">
        <v>15.3</v>
      </c>
      <c r="J221" s="7" t="n">
        <v>3.2</v>
      </c>
      <c r="L221" s="7" t="n">
        <v>14.8</v>
      </c>
      <c r="N221" s="7" t="n">
        <v>10.2</v>
      </c>
      <c r="P221" s="7" t="n">
        <v>23</v>
      </c>
      <c r="R221" s="7" t="n">
        <v>23.4</v>
      </c>
      <c r="T221" s="7" t="n">
        <v>0</v>
      </c>
      <c r="V221" s="7" t="n">
        <v>18.4</v>
      </c>
      <c r="X221" s="7" t="n">
        <v>5.3</v>
      </c>
      <c r="Z221" s="7" t="n">
        <v>0.8</v>
      </c>
      <c r="AB221" s="7" t="n">
        <v>123.6</v>
      </c>
    </row>
    <row r="222">
      <c r="A222" s="4" t="inlineStr">
        <is>
          <t>装修费</t>
        </is>
      </c>
      <c r="D222" s="7" t="n">
        <v>33.6</v>
      </c>
      <c r="F222" s="7" t="n">
        <v>74.2</v>
      </c>
      <c r="H222" s="7" t="n">
        <v>167.4</v>
      </c>
      <c r="J222" s="7" t="n">
        <v>49.2</v>
      </c>
      <c r="L222" s="7" t="n">
        <v>155.6</v>
      </c>
      <c r="N222" s="7" t="n">
        <v>130.7</v>
      </c>
      <c r="P222" s="7" t="n">
        <v>363.5</v>
      </c>
      <c r="R222" s="7" t="n">
        <v>307.9</v>
      </c>
      <c r="T222" s="7" t="n">
        <v>0</v>
      </c>
      <c r="V222" s="7" t="n">
        <v>383.8</v>
      </c>
      <c r="X222" s="7" t="n">
        <v>87.3</v>
      </c>
      <c r="Z222" s="7" t="n">
        <v>15.1</v>
      </c>
      <c r="AB222" s="7" t="n">
        <v>1768.3</v>
      </c>
    </row>
    <row r="223">
      <c r="A223" s="4" t="inlineStr">
        <is>
          <t>推广费</t>
        </is>
      </c>
      <c r="D223" s="7" t="n">
        <v>43.6</v>
      </c>
      <c r="F223" s="7" t="n">
        <v>63.8</v>
      </c>
      <c r="H223" s="7" t="n">
        <v>123.6</v>
      </c>
      <c r="J223" s="7" t="n">
        <v>48.8</v>
      </c>
      <c r="L223" s="7" t="n">
        <v>196.3</v>
      </c>
      <c r="N223" s="7" t="n">
        <v>71.2</v>
      </c>
      <c r="P223" s="7" t="n">
        <v>178.1</v>
      </c>
      <c r="R223" s="7" t="n">
        <v>181.2</v>
      </c>
      <c r="T223" s="7" t="n">
        <v>0</v>
      </c>
      <c r="V223" s="7" t="n">
        <v>283.2</v>
      </c>
      <c r="X223" s="7" t="n">
        <v>79.59999999999999</v>
      </c>
      <c r="Z223" s="7" t="n">
        <v>13.1</v>
      </c>
      <c r="AB223" s="7" t="n">
        <v>1282.5</v>
      </c>
    </row>
    <row r="224">
      <c r="A224" s="4" t="inlineStr">
        <is>
          <t>展会费</t>
        </is>
      </c>
      <c r="D224" s="7" t="n">
        <v>51.6</v>
      </c>
      <c r="F224" s="7" t="n">
        <v>94.09999999999999</v>
      </c>
      <c r="H224" s="7" t="n">
        <v>177.6</v>
      </c>
      <c r="J224" s="7" t="n">
        <v>46.5</v>
      </c>
      <c r="L224" s="7" t="n">
        <v>217.2</v>
      </c>
      <c r="N224" s="7" t="n">
        <v>151.4</v>
      </c>
      <c r="P224" s="7" t="n">
        <v>396.9</v>
      </c>
      <c r="R224" s="7" t="n">
        <v>205.7</v>
      </c>
      <c r="T224" s="7" t="n">
        <v>0</v>
      </c>
      <c r="V224" s="7" t="n">
        <v>410.4</v>
      </c>
      <c r="X224" s="7" t="n">
        <v>113.1</v>
      </c>
      <c r="Z224" s="7" t="n">
        <v>10.6</v>
      </c>
      <c r="AB224" s="7" t="n">
        <v>1875.1</v>
      </c>
    </row>
    <row r="225">
      <c r="A225" s="4" t="inlineStr">
        <is>
          <t>设计费</t>
        </is>
      </c>
      <c r="D225" s="7" t="n">
        <v>27.4</v>
      </c>
      <c r="F225" s="7" t="n">
        <v>44</v>
      </c>
      <c r="H225" s="7" t="n">
        <v>88.7</v>
      </c>
      <c r="J225" s="7" t="n">
        <v>33.6</v>
      </c>
      <c r="L225" s="7" t="n">
        <v>115.6</v>
      </c>
      <c r="N225" s="7" t="n">
        <v>77.90000000000001</v>
      </c>
      <c r="P225" s="7" t="n">
        <v>199.4</v>
      </c>
      <c r="R225" s="7" t="n">
        <v>168.9</v>
      </c>
      <c r="T225" s="7" t="n">
        <v>0</v>
      </c>
      <c r="V225" s="7" t="n">
        <v>145.3</v>
      </c>
      <c r="X225" s="7" t="n">
        <v>50</v>
      </c>
      <c r="Z225" s="7" t="n">
        <v>6.8</v>
      </c>
      <c r="AB225" s="7" t="n">
        <v>957.6</v>
      </c>
    </row>
    <row r="226">
      <c r="A226" s="4" t="inlineStr">
        <is>
          <t>折旧费</t>
        </is>
      </c>
      <c r="D226" s="7" t="n">
        <v>558.9</v>
      </c>
      <c r="F226" s="7" t="n">
        <v>960</v>
      </c>
      <c r="H226" s="7" t="n">
        <v>2259.3</v>
      </c>
      <c r="J226" s="7" t="n">
        <v>739.3</v>
      </c>
      <c r="L226" s="7" t="n">
        <v>3015.1</v>
      </c>
      <c r="N226" s="7" t="n">
        <v>2221.3</v>
      </c>
      <c r="P226" s="7" t="n">
        <v>4112.9</v>
      </c>
      <c r="R226" s="7" t="n">
        <v>4193.3</v>
      </c>
      <c r="T226" s="7" t="n">
        <v>0</v>
      </c>
      <c r="V226" s="7" t="n">
        <v>3365.8</v>
      </c>
      <c r="X226" s="7" t="n">
        <v>1480.6</v>
      </c>
      <c r="Z226" s="7" t="n">
        <v>160.3</v>
      </c>
      <c r="AB226" s="7" t="n">
        <v>23066.8</v>
      </c>
    </row>
    <row r="227">
      <c r="A227" s="4" t="inlineStr">
        <is>
          <t>认证费</t>
        </is>
      </c>
      <c r="D227" s="7" t="n">
        <v>57.9</v>
      </c>
      <c r="F227" s="7" t="n">
        <v>87.90000000000001</v>
      </c>
      <c r="H227" s="7" t="n">
        <v>186.8</v>
      </c>
      <c r="J227" s="7" t="n">
        <v>89</v>
      </c>
      <c r="L227" s="7" t="n">
        <v>266.5</v>
      </c>
      <c r="N227" s="7" t="n">
        <v>212.2</v>
      </c>
      <c r="P227" s="7" t="n">
        <v>323.3</v>
      </c>
      <c r="R227" s="7" t="n">
        <v>374.9</v>
      </c>
      <c r="T227" s="7" t="n">
        <v>0</v>
      </c>
      <c r="V227" s="7" t="n">
        <v>490.5</v>
      </c>
      <c r="X227" s="7" t="n">
        <v>85.59999999999999</v>
      </c>
      <c r="Z227" s="7" t="n">
        <v>14.2</v>
      </c>
      <c r="AB227" s="7" t="n">
        <v>2188.8</v>
      </c>
    </row>
    <row r="228">
      <c r="A228" s="4" t="inlineStr">
        <is>
          <t>样品费</t>
        </is>
      </c>
      <c r="D228" s="7" t="n">
        <v>235.3</v>
      </c>
      <c r="F228" s="7" t="n">
        <v>660.4</v>
      </c>
      <c r="H228" s="7" t="n">
        <v>1405.5</v>
      </c>
      <c r="J228" s="7" t="n">
        <v>401.8</v>
      </c>
      <c r="L228" s="7" t="n">
        <v>1115.7</v>
      </c>
      <c r="N228" s="7" t="n">
        <v>981.2</v>
      </c>
      <c r="P228" s="7" t="n">
        <v>1532.7</v>
      </c>
      <c r="R228" s="7" t="n">
        <v>1961.4</v>
      </c>
      <c r="T228" s="7" t="n">
        <v>0</v>
      </c>
      <c r="V228" s="7" t="n">
        <v>1956</v>
      </c>
      <c r="X228" s="7" t="n">
        <v>648.7</v>
      </c>
      <c r="Z228" s="7" t="n">
        <v>112.4</v>
      </c>
      <c r="AB228" s="7" t="n">
        <v>11011.1</v>
      </c>
    </row>
    <row r="229">
      <c r="A229" s="4" t="inlineStr">
        <is>
          <t>劳务费</t>
        </is>
      </c>
      <c r="D229" s="7" t="n">
        <v>42.6</v>
      </c>
      <c r="F229" s="7" t="n">
        <v>73</v>
      </c>
      <c r="H229" s="7" t="n">
        <v>121.8</v>
      </c>
      <c r="J229" s="7" t="n">
        <v>33.2</v>
      </c>
      <c r="L229" s="7" t="n">
        <v>172.2</v>
      </c>
      <c r="N229" s="7" t="n">
        <v>101.2</v>
      </c>
      <c r="P229" s="7" t="n">
        <v>203</v>
      </c>
      <c r="R229" s="7" t="n">
        <v>180.3</v>
      </c>
      <c r="T229" s="7" t="n">
        <v>0</v>
      </c>
      <c r="V229" s="7" t="n">
        <v>316.5</v>
      </c>
      <c r="X229" s="7" t="n">
        <v>64.5</v>
      </c>
      <c r="Z229" s="7" t="n">
        <v>11.6</v>
      </c>
      <c r="AB229" s="7" t="n">
        <v>1319.9</v>
      </c>
    </row>
    <row r="230">
      <c r="A230" s="4" t="inlineStr">
        <is>
          <t>销售佣金</t>
        </is>
      </c>
      <c r="D230" s="7" t="n">
        <v>73.40000000000001</v>
      </c>
      <c r="F230" s="7" t="n">
        <v>153</v>
      </c>
      <c r="H230" s="7" t="n">
        <v>389.2</v>
      </c>
      <c r="J230" s="7" t="n">
        <v>99.2</v>
      </c>
      <c r="L230" s="7" t="n">
        <v>417.5</v>
      </c>
      <c r="N230" s="7" t="n">
        <v>272</v>
      </c>
      <c r="P230" s="7" t="n">
        <v>587.1</v>
      </c>
      <c r="R230" s="7" t="n">
        <v>640.8</v>
      </c>
      <c r="T230" s="7" t="n">
        <v>0</v>
      </c>
      <c r="V230" s="7" t="n">
        <v>523.4</v>
      </c>
      <c r="X230" s="7" t="n">
        <v>122.3</v>
      </c>
      <c r="Z230" s="7" t="n">
        <v>33.4</v>
      </c>
      <c r="AB230" s="7" t="n">
        <v>3311.3</v>
      </c>
    </row>
    <row r="231">
      <c r="A231" s="4" t="inlineStr">
        <is>
          <t>检测费</t>
        </is>
      </c>
      <c r="D231" s="7" t="n">
        <v>69.59999999999999</v>
      </c>
      <c r="F231" s="7" t="n">
        <v>189.4</v>
      </c>
      <c r="H231" s="7" t="n">
        <v>409.3</v>
      </c>
      <c r="J231" s="7" t="n">
        <v>115.4</v>
      </c>
      <c r="L231" s="7" t="n">
        <v>537.5</v>
      </c>
      <c r="N231" s="7" t="n">
        <v>260.8</v>
      </c>
      <c r="P231" s="7" t="n">
        <v>652.6</v>
      </c>
      <c r="R231" s="7" t="n">
        <v>470.9</v>
      </c>
      <c r="T231" s="7" t="n">
        <v>0</v>
      </c>
      <c r="V231" s="7" t="n">
        <v>820.2</v>
      </c>
      <c r="X231" s="7" t="n">
        <v>126.1</v>
      </c>
      <c r="Z231" s="7" t="n">
        <v>31.4</v>
      </c>
      <c r="AB231" s="7" t="n">
        <v>3683.2</v>
      </c>
    </row>
    <row r="232">
      <c r="A232" s="4" t="inlineStr">
        <is>
          <t>质量赔偿</t>
        </is>
      </c>
      <c r="D232" s="7" t="n">
        <v>52.8</v>
      </c>
      <c r="F232" s="7" t="n">
        <v>55.5</v>
      </c>
      <c r="H232" s="7" t="n">
        <v>107.8</v>
      </c>
      <c r="J232" s="7" t="n">
        <v>60.4</v>
      </c>
      <c r="L232" s="7" t="n">
        <v>160.5</v>
      </c>
      <c r="N232" s="7" t="n">
        <v>108.7</v>
      </c>
      <c r="P232" s="7" t="n">
        <v>271.6</v>
      </c>
      <c r="R232" s="7" t="n">
        <v>223.4</v>
      </c>
      <c r="T232" s="7" t="n">
        <v>0</v>
      </c>
      <c r="V232" s="7" t="n">
        <v>326</v>
      </c>
      <c r="X232" s="7" t="n">
        <v>88.5</v>
      </c>
      <c r="Z232" s="7" t="n">
        <v>11.8</v>
      </c>
      <c r="AB232" s="7" t="n">
        <v>1467</v>
      </c>
    </row>
    <row r="233">
      <c r="A233" s="4" t="inlineStr">
        <is>
          <t>保险费</t>
        </is>
      </c>
      <c r="D233" s="7" t="n">
        <v>5.4</v>
      </c>
      <c r="F233" s="7" t="n">
        <v>10.2</v>
      </c>
      <c r="H233" s="7" t="n">
        <v>18.8</v>
      </c>
      <c r="J233" s="7" t="n">
        <v>5.6</v>
      </c>
      <c r="L233" s="7" t="n">
        <v>31.2</v>
      </c>
      <c r="N233" s="7" t="n">
        <v>12.8</v>
      </c>
      <c r="P233" s="7" t="n">
        <v>29.7</v>
      </c>
      <c r="R233" s="7" t="n">
        <v>24.8</v>
      </c>
      <c r="T233" s="7" t="n">
        <v>0</v>
      </c>
      <c r="V233" s="7" t="n">
        <v>35.4</v>
      </c>
      <c r="X233" s="7" t="n">
        <v>9.6</v>
      </c>
      <c r="Z233" s="7" t="n">
        <v>1.8</v>
      </c>
      <c r="AB233" s="7" t="n">
        <v>185.3</v>
      </c>
    </row>
    <row r="234">
      <c r="A234" s="4" t="inlineStr">
        <is>
          <t>清洁费</t>
        </is>
      </c>
      <c r="D234" s="7" t="n">
        <v>10.4</v>
      </c>
      <c r="F234" s="7" t="n">
        <v>25.6</v>
      </c>
      <c r="H234" s="7" t="n">
        <v>53.7</v>
      </c>
      <c r="J234" s="7" t="n">
        <v>13.3</v>
      </c>
      <c r="L234" s="7" t="n">
        <v>53.1</v>
      </c>
      <c r="N234" s="7" t="n">
        <v>33</v>
      </c>
      <c r="P234" s="7" t="n">
        <v>98.3</v>
      </c>
      <c r="R234" s="7" t="n">
        <v>71.8</v>
      </c>
      <c r="T234" s="7" t="n">
        <v>0</v>
      </c>
      <c r="V234" s="7" t="n">
        <v>84</v>
      </c>
      <c r="X234" s="7" t="n">
        <v>21.1</v>
      </c>
      <c r="Z234" s="7" t="n">
        <v>3.6</v>
      </c>
      <c r="AB234" s="7" t="n">
        <v>467.9</v>
      </c>
    </row>
    <row r="235">
      <c r="A235" s="4" t="inlineStr">
        <is>
          <t>低值易耗品</t>
        </is>
      </c>
      <c r="D235" s="7" t="n">
        <v>68.40000000000001</v>
      </c>
      <c r="F235" s="7" t="n">
        <v>164.8</v>
      </c>
      <c r="H235" s="7" t="n">
        <v>365.2</v>
      </c>
      <c r="J235" s="7" t="n">
        <v>98.2</v>
      </c>
      <c r="L235" s="7" t="n">
        <v>438.3</v>
      </c>
      <c r="N235" s="7" t="n">
        <v>184.2</v>
      </c>
      <c r="P235" s="7" t="n">
        <v>483</v>
      </c>
      <c r="R235" s="7" t="n">
        <v>410.8</v>
      </c>
      <c r="T235" s="7" t="n">
        <v>0</v>
      </c>
      <c r="V235" s="7" t="n">
        <v>464.7</v>
      </c>
      <c r="X235" s="7" t="n">
        <v>151.3</v>
      </c>
      <c r="Z235" s="7" t="n">
        <v>32.4</v>
      </c>
      <c r="AB235" s="7" t="n">
        <v>2861.3</v>
      </c>
    </row>
    <row r="236">
      <c r="A236" s="4" t="inlineStr">
        <is>
          <t>物料消耗</t>
        </is>
      </c>
      <c r="D236" s="7" t="n">
        <v>66.40000000000001</v>
      </c>
      <c r="F236" s="7" t="n">
        <v>130.7</v>
      </c>
      <c r="H236" s="7" t="n">
        <v>270.6</v>
      </c>
      <c r="J236" s="7" t="n">
        <v>88.8</v>
      </c>
      <c r="L236" s="7" t="n">
        <v>206.1</v>
      </c>
      <c r="N236" s="7" t="n">
        <v>126.6</v>
      </c>
      <c r="P236" s="7" t="n">
        <v>337.2</v>
      </c>
      <c r="R236" s="7" t="n">
        <v>338.9</v>
      </c>
      <c r="T236" s="7" t="n">
        <v>0</v>
      </c>
      <c r="V236" s="7" t="n">
        <v>495.3</v>
      </c>
      <c r="X236" s="7" t="n">
        <v>85.90000000000001</v>
      </c>
      <c r="Z236" s="7" t="n">
        <v>12.6</v>
      </c>
      <c r="AB236" s="7" t="n">
        <v>2159.1</v>
      </c>
    </row>
    <row r="237">
      <c r="A237" s="4" t="inlineStr">
        <is>
          <t>盘盈盘亏</t>
        </is>
      </c>
      <c r="D237" s="7" t="n">
        <v>51.3</v>
      </c>
      <c r="F237" s="7" t="n">
        <v>108.8</v>
      </c>
      <c r="H237" s="7" t="n">
        <v>127.4</v>
      </c>
      <c r="J237" s="7" t="n">
        <v>66.2</v>
      </c>
      <c r="L237" s="7" t="n">
        <v>272.3</v>
      </c>
      <c r="N237" s="7" t="n">
        <v>152.6</v>
      </c>
      <c r="P237" s="7" t="n">
        <v>268.7</v>
      </c>
      <c r="R237" s="7" t="n">
        <v>231.4</v>
      </c>
      <c r="T237" s="7" t="n">
        <v>0</v>
      </c>
      <c r="V237" s="7" t="n">
        <v>365</v>
      </c>
      <c r="X237" s="7" t="n">
        <v>63.9</v>
      </c>
      <c r="Z237" s="7" t="n">
        <v>16.2</v>
      </c>
      <c r="AB237" s="7" t="n">
        <v>1723.8</v>
      </c>
    </row>
    <row r="238">
      <c r="A238" s="4" t="inlineStr">
        <is>
          <t>平台服务费</t>
        </is>
      </c>
      <c r="D238" s="7" t="n">
        <v>101.1</v>
      </c>
      <c r="F238" s="7" t="n">
        <v>187.4</v>
      </c>
      <c r="H238" s="7" t="n">
        <v>441.2</v>
      </c>
      <c r="J238" s="7" t="n">
        <v>82.09999999999999</v>
      </c>
      <c r="L238" s="7" t="n">
        <v>518.1</v>
      </c>
      <c r="N238" s="7" t="n">
        <v>233.4</v>
      </c>
      <c r="P238" s="7" t="n">
        <v>594.2</v>
      </c>
      <c r="R238" s="7" t="n">
        <v>483.8</v>
      </c>
      <c r="T238" s="7" t="n">
        <v>0</v>
      </c>
      <c r="V238" s="7" t="n">
        <v>809.7</v>
      </c>
      <c r="X238" s="7" t="n">
        <v>150.8</v>
      </c>
      <c r="Z238" s="7" t="n">
        <v>26.9</v>
      </c>
      <c r="AB238" s="7" t="n">
        <v>3628.7</v>
      </c>
    </row>
    <row r="239">
      <c r="A239" s="4" t="inlineStr">
        <is>
          <t>无形资产摊销</t>
        </is>
      </c>
      <c r="D239" s="7" t="n">
        <v>11.6</v>
      </c>
      <c r="F239" s="7" t="n">
        <v>30.4</v>
      </c>
      <c r="H239" s="7" t="n">
        <v>63.7</v>
      </c>
      <c r="J239" s="7" t="n">
        <v>21.4</v>
      </c>
      <c r="L239" s="7" t="n">
        <v>50.9</v>
      </c>
      <c r="N239" s="7" t="n">
        <v>47.4</v>
      </c>
      <c r="P239" s="7" t="n">
        <v>97</v>
      </c>
      <c r="R239" s="7" t="n">
        <v>70.7</v>
      </c>
      <c r="T239" s="7" t="n">
        <v>0</v>
      </c>
      <c r="V239" s="7" t="n">
        <v>93.7</v>
      </c>
      <c r="X239" s="7" t="n">
        <v>24.9</v>
      </c>
      <c r="Z239" s="7" t="n">
        <v>4.1</v>
      </c>
      <c r="AB239" s="7" t="n">
        <v>515.8</v>
      </c>
    </row>
    <row r="240">
      <c r="A240" s="4" t="inlineStr">
        <is>
          <t>研发材料</t>
        </is>
      </c>
      <c r="D240" s="7" t="n">
        <v>79.5</v>
      </c>
      <c r="F240" s="7" t="n">
        <v>86.90000000000001</v>
      </c>
      <c r="H240" s="7" t="n">
        <v>195.7</v>
      </c>
      <c r="J240" s="7" t="n">
        <v>66.90000000000001</v>
      </c>
      <c r="L240" s="7" t="n">
        <v>308.1</v>
      </c>
      <c r="N240" s="7" t="n">
        <v>207.3</v>
      </c>
      <c r="P240" s="7" t="n">
        <v>420.5</v>
      </c>
      <c r="R240" s="7" t="n">
        <v>404.2</v>
      </c>
      <c r="T240" s="7" t="n">
        <v>0</v>
      </c>
      <c r="V240" s="7" t="n">
        <v>394.5</v>
      </c>
      <c r="X240" s="7" t="n">
        <v>100.7</v>
      </c>
      <c r="Z240" s="7" t="n">
        <v>14.4</v>
      </c>
      <c r="AB240" s="7" t="n">
        <v>2278.7</v>
      </c>
    </row>
    <row r="241">
      <c r="A241" s="4" t="inlineStr">
        <is>
          <t>项目名称</t>
        </is>
      </c>
      <c r="D241" s="7" t="n">
        <v>18.2</v>
      </c>
      <c r="F241" s="7" t="n">
        <v>31.8</v>
      </c>
      <c r="H241" s="7" t="n">
        <v>70.2</v>
      </c>
      <c r="J241" s="7" t="n">
        <v>14.9</v>
      </c>
      <c r="L241" s="7" t="n">
        <v>73.09999999999999</v>
      </c>
      <c r="N241" s="7" t="n">
        <v>42.6</v>
      </c>
      <c r="P241" s="7" t="n">
        <v>104.5</v>
      </c>
      <c r="R241" s="7" t="n">
        <v>62</v>
      </c>
      <c r="T241" s="7" t="n">
        <v>0</v>
      </c>
      <c r="V241" s="7" t="n">
        <v>82.90000000000001</v>
      </c>
      <c r="X241" s="7" t="n">
        <v>23.8</v>
      </c>
      <c r="Z241" s="7" t="n">
        <v>4.2</v>
      </c>
      <c r="AB241" s="7" t="n">
        <v>528.2</v>
      </c>
    </row>
    <row r="242">
      <c r="A242" s="4" t="inlineStr">
        <is>
          <t>研发费</t>
        </is>
      </c>
      <c r="D242" s="7" t="n">
        <v>82.5</v>
      </c>
      <c r="F242" s="7" t="n">
        <v>215.8</v>
      </c>
      <c r="H242" s="7" t="n">
        <v>433.8</v>
      </c>
      <c r="J242" s="7" t="n">
        <v>128.2</v>
      </c>
      <c r="L242" s="7" t="n">
        <v>560.4</v>
      </c>
      <c r="N242" s="7" t="n">
        <v>277.1</v>
      </c>
      <c r="P242" s="7" t="n">
        <v>474</v>
      </c>
      <c r="R242" s="7" t="n">
        <v>415.7</v>
      </c>
      <c r="T242" s="7" t="n">
        <v>0</v>
      </c>
      <c r="V242" s="7" t="n">
        <v>766.1</v>
      </c>
      <c r="X242" s="7" t="n">
        <v>121.9</v>
      </c>
      <c r="Z242" s="7" t="n">
        <v>33.4</v>
      </c>
      <c r="AB242" s="7" t="n">
        <v>3508.9</v>
      </c>
    </row>
    <row r="243">
      <c r="A243" s="4" t="inlineStr">
        <is>
          <t>残保金</t>
        </is>
      </c>
      <c r="D243" s="7" t="n">
        <v>104.9</v>
      </c>
      <c r="F243" s="7" t="n">
        <v>220.7</v>
      </c>
      <c r="H243" s="7" t="n">
        <v>256</v>
      </c>
      <c r="J243" s="7" t="n">
        <v>144.8</v>
      </c>
      <c r="L243" s="7" t="n">
        <v>346.4</v>
      </c>
      <c r="N243" s="7" t="n">
        <v>224.5</v>
      </c>
      <c r="P243" s="7" t="n">
        <v>828.6</v>
      </c>
      <c r="R243" s="7" t="n">
        <v>570.2</v>
      </c>
      <c r="T243" s="7" t="n">
        <v>0</v>
      </c>
      <c r="V243" s="7" t="n">
        <v>729.5</v>
      </c>
      <c r="X243" s="7" t="n">
        <v>221</v>
      </c>
      <c r="Z243" s="7" t="n">
        <v>25.5</v>
      </c>
      <c r="AB243" s="7" t="n">
        <v>3672.1</v>
      </c>
    </row>
    <row r="244">
      <c r="A244" s="4" t="inlineStr">
        <is>
          <t>环保费</t>
        </is>
      </c>
      <c r="D244" s="7" t="n">
        <v>13.1</v>
      </c>
      <c r="F244" s="7" t="n">
        <v>25.8</v>
      </c>
      <c r="H244" s="7" t="n">
        <v>40.1</v>
      </c>
      <c r="J244" s="7" t="n">
        <v>13.2</v>
      </c>
      <c r="L244" s="7" t="n">
        <v>47.4</v>
      </c>
      <c r="N244" s="7" t="n">
        <v>38</v>
      </c>
      <c r="P244" s="7" t="n">
        <v>96.90000000000001</v>
      </c>
      <c r="R244" s="7" t="n">
        <v>71.09999999999999</v>
      </c>
      <c r="T244" s="7" t="n">
        <v>0</v>
      </c>
      <c r="V244" s="7" t="n">
        <v>75.09999999999999</v>
      </c>
      <c r="X244" s="7" t="n">
        <v>15.7</v>
      </c>
      <c r="Z244" s="7" t="n">
        <v>3.9</v>
      </c>
      <c r="AB244" s="7" t="n">
        <v>440.3</v>
      </c>
    </row>
    <row r="245">
      <c r="A245" s="4" t="inlineStr">
        <is>
          <t>报废损失</t>
        </is>
      </c>
      <c r="D245" s="7" t="n">
        <v>69.59999999999999</v>
      </c>
      <c r="F245" s="7" t="n">
        <v>142.4</v>
      </c>
      <c r="H245" s="7" t="n">
        <v>238.5</v>
      </c>
      <c r="J245" s="7" t="n">
        <v>98.59999999999999</v>
      </c>
      <c r="L245" s="7" t="n">
        <v>369.7</v>
      </c>
      <c r="N245" s="7" t="n">
        <v>241.4</v>
      </c>
      <c r="P245" s="7" t="n">
        <v>557.9</v>
      </c>
      <c r="R245" s="7" t="n">
        <v>368.4</v>
      </c>
      <c r="T245" s="7" t="n">
        <v>0</v>
      </c>
      <c r="V245" s="7" t="n">
        <v>524.1</v>
      </c>
      <c r="X245" s="7" t="n">
        <v>176</v>
      </c>
      <c r="Z245" s="7" t="n">
        <v>26</v>
      </c>
      <c r="AB245" s="7" t="n">
        <v>2812.6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6287.9</v>
      </c>
      <c r="D246" s="7" t="n">
        <v>2938.2</v>
      </c>
      <c r="E246" s="7" t="n">
        <v>7683.4</v>
      </c>
      <c r="F246" s="7" t="n">
        <v>16035.8</v>
      </c>
      <c r="G246" s="7" t="n">
        <v>7514.2</v>
      </c>
      <c r="H246" s="7" t="n">
        <v>11528.3</v>
      </c>
      <c r="I246" s="7" t="n">
        <v>6564.2</v>
      </c>
      <c r="J246" s="7" t="n">
        <v>16939.3</v>
      </c>
      <c r="K246" s="7" t="n">
        <v>6387.2</v>
      </c>
      <c r="L246" s="7" t="n">
        <v>-4109.1</v>
      </c>
      <c r="M246" s="7" t="n">
        <v>7814</v>
      </c>
      <c r="N246" s="7" t="n">
        <v>10862.4</v>
      </c>
      <c r="O246" s="7" t="n">
        <v>7971.9</v>
      </c>
      <c r="P246" s="7" t="n">
        <v>-4800.7</v>
      </c>
      <c r="Q246" s="7" t="n">
        <v>7774.6</v>
      </c>
      <c r="R246" s="7" t="n">
        <v>-1578.1</v>
      </c>
      <c r="S246" s="7" t="n">
        <v>7547.7</v>
      </c>
      <c r="T246" s="7" t="n">
        <v>4405.2</v>
      </c>
      <c r="U246" s="7" t="n">
        <v>5975.6</v>
      </c>
      <c r="V246" s="7" t="n">
        <v>18579.1</v>
      </c>
      <c r="W246" s="7" t="n">
        <v>6110.6</v>
      </c>
      <c r="X246" s="7" t="n">
        <v>11833.7</v>
      </c>
      <c r="Y246" s="7" t="n">
        <v>7143.8</v>
      </c>
      <c r="Z246" s="7" t="n">
        <v>1632.2</v>
      </c>
      <c r="AA246" s="8" t="n">
        <v>84775.10000000001</v>
      </c>
      <c r="AB246" s="8" t="n">
        <v>84266.3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-2914.5</v>
      </c>
      <c r="E248" s="7" t="n">
        <v>0</v>
      </c>
      <c r="F248" s="7" t="n">
        <v>-3218.8</v>
      </c>
      <c r="G248" s="7" t="n">
        <v>0</v>
      </c>
      <c r="H248" s="7" t="n">
        <v>-818.4</v>
      </c>
      <c r="I248" s="7" t="n">
        <v>0</v>
      </c>
      <c r="J248" s="7" t="n">
        <v>-2369.3</v>
      </c>
      <c r="K248" s="7" t="n">
        <v>0</v>
      </c>
      <c r="L248" s="7" t="n">
        <v>-1197.1</v>
      </c>
      <c r="M248" s="7" t="n">
        <v>0</v>
      </c>
      <c r="N248" s="7" t="n">
        <v>839</v>
      </c>
      <c r="O248" s="7" t="n">
        <v>0</v>
      </c>
      <c r="P248" s="7" t="n">
        <v>1377.1</v>
      </c>
      <c r="Q248" s="7" t="n">
        <v>0</v>
      </c>
      <c r="R248" s="7" t="n">
        <v>-157.7</v>
      </c>
      <c r="S248" s="7" t="n">
        <v>0</v>
      </c>
      <c r="T248" s="7" t="n">
        <v>1569.4</v>
      </c>
      <c r="U248" s="7" t="n">
        <v>0</v>
      </c>
      <c r="V248" s="7" t="n">
        <v>-3199.4</v>
      </c>
      <c r="W248" s="7" t="n">
        <v>0</v>
      </c>
      <c r="X248" s="7" t="n">
        <v>-1999</v>
      </c>
      <c r="Y248" s="7" t="n">
        <v>0</v>
      </c>
      <c r="Z248" s="7" t="n">
        <v>-2681.1</v>
      </c>
      <c r="AA248" s="7" t="n">
        <v>0</v>
      </c>
      <c r="AB248" s="7" t="n">
        <v>-14769.8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13990.7</v>
      </c>
      <c r="D253" s="7" t="n">
        <v>8763.5</v>
      </c>
      <c r="E253" s="7" t="n">
        <v>15483.4</v>
      </c>
      <c r="F253" s="7" t="n">
        <v>14551.8</v>
      </c>
      <c r="G253" s="7" t="n">
        <v>13062.4</v>
      </c>
      <c r="H253" s="7" t="n">
        <v>23902.4</v>
      </c>
      <c r="I253" s="7" t="n">
        <v>14607.8</v>
      </c>
      <c r="J253" s="7" t="n">
        <v>11766.3</v>
      </c>
      <c r="K253" s="7" t="n">
        <v>13961.9</v>
      </c>
      <c r="L253" s="7" t="n">
        <v>10713.8</v>
      </c>
      <c r="M253" s="7" t="n">
        <v>13052.3</v>
      </c>
      <c r="N253" s="7" t="n">
        <v>14428.8</v>
      </c>
      <c r="O253" s="7" t="n">
        <v>15636.4</v>
      </c>
      <c r="P253" s="7" t="n">
        <v>2896</v>
      </c>
      <c r="Q253" s="7" t="n">
        <v>15671.2</v>
      </c>
      <c r="R253" s="7" t="n">
        <v>3371</v>
      </c>
      <c r="S253" s="7" t="n">
        <v>15976.2</v>
      </c>
      <c r="T253" s="7" t="n">
        <v>26426.9</v>
      </c>
      <c r="U253" s="7" t="n">
        <v>14692</v>
      </c>
      <c r="V253" s="7" t="n">
        <v>22648.8</v>
      </c>
      <c r="W253" s="7" t="n">
        <v>16113.7</v>
      </c>
      <c r="X253" s="7" t="n">
        <v>8618.1</v>
      </c>
      <c r="Y253" s="7" t="n">
        <v>14716.1</v>
      </c>
      <c r="Z253" s="7" t="n">
        <v>29080.9</v>
      </c>
      <c r="AA253" s="7" t="n">
        <v>176964.1</v>
      </c>
      <c r="AB253" s="7" t="n">
        <v>177168.3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157576.8</v>
      </c>
      <c r="D254" s="7" t="n">
        <v>99321</v>
      </c>
      <c r="E254" s="7" t="n">
        <v>182621.7</v>
      </c>
      <c r="F254" s="7" t="n">
        <v>155368.1</v>
      </c>
      <c r="G254" s="7" t="n">
        <v>151221</v>
      </c>
      <c r="H254" s="7" t="n">
        <v>137298.3</v>
      </c>
      <c r="I254" s="7" t="n">
        <v>173642</v>
      </c>
      <c r="J254" s="7" t="n">
        <v>104206</v>
      </c>
      <c r="K254" s="7" t="n">
        <v>154708.2</v>
      </c>
      <c r="L254" s="7" t="n">
        <v>275236.4</v>
      </c>
      <c r="M254" s="7" t="n">
        <v>178046.4</v>
      </c>
      <c r="N254" s="7" t="n">
        <v>127442.8</v>
      </c>
      <c r="O254" s="7" t="n">
        <v>153180.6</v>
      </c>
      <c r="P254" s="7" t="n">
        <v>168764</v>
      </c>
      <c r="Q254" s="7" t="n">
        <v>158119.6</v>
      </c>
      <c r="R254" s="7" t="n">
        <v>341874.2</v>
      </c>
      <c r="S254" s="7" t="n">
        <v>166051.7</v>
      </c>
      <c r="T254" s="7" t="n">
        <v>0</v>
      </c>
      <c r="U254" s="7" t="n">
        <v>146258.6</v>
      </c>
      <c r="V254" s="7" t="n">
        <v>305658.9</v>
      </c>
      <c r="W254" s="7" t="n">
        <v>148192.5</v>
      </c>
      <c r="X254" s="7" t="n">
        <v>222853.5</v>
      </c>
      <c r="Y254" s="7" t="n">
        <v>168625</v>
      </c>
      <c r="Z254" s="7" t="n">
        <v>12177.2</v>
      </c>
      <c r="AA254" s="8" t="n">
        <v>1938244.1</v>
      </c>
      <c r="AB254" s="8" t="n">
        <v>1950200.4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4739.4</v>
      </c>
      <c r="E255" s="7" t="n">
        <v>0</v>
      </c>
      <c r="F255" s="7" t="n">
        <v>3066.5</v>
      </c>
      <c r="G255" s="7" t="n">
        <v>0</v>
      </c>
      <c r="H255" s="7" t="n">
        <v>1648.4</v>
      </c>
      <c r="I255" s="7" t="n">
        <v>0</v>
      </c>
      <c r="J255" s="7" t="n">
        <v>3024.8</v>
      </c>
      <c r="K255" s="7" t="n">
        <v>0</v>
      </c>
      <c r="L255" s="7" t="n">
        <v>99.59999999999999</v>
      </c>
      <c r="M255" s="7" t="n">
        <v>0</v>
      </c>
      <c r="N255" s="7" t="n">
        <v>3611.1</v>
      </c>
      <c r="O255" s="7" t="n">
        <v>0</v>
      </c>
      <c r="P255" s="7" t="n">
        <v>4012.1</v>
      </c>
      <c r="Q255" s="7" t="n">
        <v>0</v>
      </c>
      <c r="R255" s="7" t="n">
        <v>451.3</v>
      </c>
      <c r="S255" s="7" t="n">
        <v>0</v>
      </c>
      <c r="T255" s="7" t="n">
        <v>3523.7</v>
      </c>
      <c r="U255" s="7" t="n">
        <v>0</v>
      </c>
      <c r="V255" s="7" t="n">
        <v>4561.1</v>
      </c>
      <c r="W255" s="7" t="n">
        <v>0</v>
      </c>
      <c r="X255" s="7" t="n">
        <v>3834.2</v>
      </c>
      <c r="Y255" s="7" t="n">
        <v>0</v>
      </c>
      <c r="Z255" s="7" t="n">
        <v>2764.5</v>
      </c>
      <c r="AA255" s="7" t="n">
        <v>0</v>
      </c>
      <c r="AB255" s="7" t="n">
        <v>35336.7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1964.8</v>
      </c>
      <c r="E256" s="7" t="n">
        <v>0</v>
      </c>
      <c r="F256" s="7" t="n">
        <v>1555.9</v>
      </c>
      <c r="G256" s="7" t="n">
        <v>0</v>
      </c>
      <c r="H256" s="7" t="n">
        <v>1086.3</v>
      </c>
      <c r="I256" s="7" t="n">
        <v>0</v>
      </c>
      <c r="J256" s="7" t="n">
        <v>595.3</v>
      </c>
      <c r="K256" s="7" t="n">
        <v>0</v>
      </c>
      <c r="L256" s="7" t="n">
        <v>471</v>
      </c>
      <c r="M256" s="7" t="n">
        <v>0</v>
      </c>
      <c r="N256" s="7" t="n">
        <v>1607.1</v>
      </c>
      <c r="O256" s="7" t="n">
        <v>0</v>
      </c>
      <c r="P256" s="7" t="n">
        <v>2579.2</v>
      </c>
      <c r="Q256" s="7" t="n">
        <v>0</v>
      </c>
      <c r="R256" s="7" t="n">
        <v>688</v>
      </c>
      <c r="S256" s="7" t="n">
        <v>0</v>
      </c>
      <c r="T256" s="7" t="n">
        <v>2403.9</v>
      </c>
      <c r="U256" s="7" t="n">
        <v>0</v>
      </c>
      <c r="V256" s="7" t="n">
        <v>2732</v>
      </c>
      <c r="W256" s="7" t="n">
        <v>0</v>
      </c>
      <c r="X256" s="7" t="n">
        <v>994.5</v>
      </c>
      <c r="Y256" s="7" t="n">
        <v>0</v>
      </c>
      <c r="Z256" s="7" t="n">
        <v>646.8</v>
      </c>
      <c r="AA256" s="7" t="n">
        <v>0</v>
      </c>
      <c r="AB256" s="7" t="n">
        <v>17324.8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148786.6</v>
      </c>
      <c r="D257" s="7" t="n">
        <v>103956</v>
      </c>
      <c r="E257" s="7" t="n">
        <v>150001.2</v>
      </c>
      <c r="F257" s="7" t="n">
        <v>169040.9</v>
      </c>
      <c r="G257" s="7" t="n">
        <v>142813.8</v>
      </c>
      <c r="H257" s="7" t="n">
        <v>124559.1</v>
      </c>
      <c r="I257" s="7" t="n">
        <v>174709.9</v>
      </c>
      <c r="J257" s="7" t="n">
        <v>94202.8</v>
      </c>
      <c r="K257" s="7" t="n">
        <v>168490.3</v>
      </c>
      <c r="L257" s="7" t="n">
        <v>299476.8</v>
      </c>
      <c r="M257" s="7" t="n">
        <v>143178.5</v>
      </c>
      <c r="N257" s="7" t="n">
        <v>117311.6</v>
      </c>
      <c r="O257" s="7" t="n">
        <v>172607.6</v>
      </c>
      <c r="P257" s="7" t="n">
        <v>165319.1</v>
      </c>
      <c r="Q257" s="7" t="n">
        <v>149882.4</v>
      </c>
      <c r="R257" s="7" t="n">
        <v>340841.7</v>
      </c>
      <c r="S257" s="7" t="n">
        <v>140943.5</v>
      </c>
      <c r="T257" s="7" t="n">
        <v>0</v>
      </c>
      <c r="U257" s="7" t="n">
        <v>140410.9</v>
      </c>
      <c r="V257" s="7" t="n">
        <v>293522.2</v>
      </c>
      <c r="W257" s="7" t="n">
        <v>171718.3</v>
      </c>
      <c r="X257" s="7" t="n">
        <v>210819.6</v>
      </c>
      <c r="Y257" s="7" t="n">
        <v>173663.4</v>
      </c>
      <c r="Z257" s="7" t="n">
        <v>12840.6</v>
      </c>
      <c r="AA257" s="8" t="n">
        <v>1877206.4</v>
      </c>
      <c r="AB257" s="8" t="n">
        <v>1931890.4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39226</v>
      </c>
      <c r="D258" s="7" t="n">
        <v>25989</v>
      </c>
      <c r="E258" s="7" t="n">
        <v>34388.6</v>
      </c>
      <c r="F258" s="7" t="n">
        <v>42260.2</v>
      </c>
      <c r="G258" s="7" t="n">
        <v>44235.3</v>
      </c>
      <c r="H258" s="7" t="n">
        <v>31139.8</v>
      </c>
      <c r="I258" s="7" t="n">
        <v>41514</v>
      </c>
      <c r="J258" s="7" t="n">
        <v>23550.7</v>
      </c>
      <c r="K258" s="7" t="n">
        <v>36044</v>
      </c>
      <c r="L258" s="7" t="n">
        <v>74869.2</v>
      </c>
      <c r="M258" s="7" t="n">
        <v>43095.7</v>
      </c>
      <c r="N258" s="7" t="n">
        <v>29327.9</v>
      </c>
      <c r="O258" s="7" t="n">
        <v>43780.9</v>
      </c>
      <c r="P258" s="7" t="n">
        <v>41329.8</v>
      </c>
      <c r="Q258" s="7" t="n">
        <v>36556.4</v>
      </c>
      <c r="R258" s="7" t="n">
        <v>85210.39999999999</v>
      </c>
      <c r="S258" s="7" t="n">
        <v>41523.9</v>
      </c>
      <c r="T258" s="7" t="n">
        <v>0</v>
      </c>
      <c r="U258" s="7" t="n">
        <v>37980</v>
      </c>
      <c r="V258" s="7" t="n">
        <v>73380.60000000001</v>
      </c>
      <c r="W258" s="7" t="n">
        <v>38119.3</v>
      </c>
      <c r="X258" s="7" t="n">
        <v>52704.9</v>
      </c>
      <c r="Y258" s="7" t="n">
        <v>40396.9</v>
      </c>
      <c r="Z258" s="7" t="n">
        <v>3210.2</v>
      </c>
      <c r="AA258" s="7" t="n">
        <v>476861</v>
      </c>
      <c r="AB258" s="7" t="n">
        <v>482972.7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120416.4</v>
      </c>
      <c r="D259" s="7" t="n">
        <v>77967</v>
      </c>
      <c r="E259" s="7" t="n">
        <v>140756</v>
      </c>
      <c r="F259" s="7" t="n">
        <v>126780.7</v>
      </c>
      <c r="G259" s="7" t="n">
        <v>82790.39999999999</v>
      </c>
      <c r="H259" s="7" t="n">
        <v>93419.3</v>
      </c>
      <c r="I259" s="7" t="n">
        <v>102698.2</v>
      </c>
      <c r="J259" s="7" t="n">
        <v>70652.10000000001</v>
      </c>
      <c r="K259" s="7" t="n">
        <v>98554.5</v>
      </c>
      <c r="L259" s="7" t="n">
        <v>224607.6</v>
      </c>
      <c r="M259" s="7" t="n">
        <v>132739.7</v>
      </c>
      <c r="N259" s="7" t="n">
        <v>87983.7</v>
      </c>
      <c r="O259" s="7" t="n">
        <v>92622.39999999999</v>
      </c>
      <c r="P259" s="7" t="n">
        <v>123989.3</v>
      </c>
      <c r="Q259" s="7" t="n">
        <v>88797.39999999999</v>
      </c>
      <c r="R259" s="7" t="n">
        <v>255631.3</v>
      </c>
      <c r="S259" s="7" t="n">
        <v>105708.1</v>
      </c>
      <c r="T259" s="7" t="n">
        <v>0</v>
      </c>
      <c r="U259" s="7" t="n">
        <v>103958.7</v>
      </c>
      <c r="V259" s="7" t="n">
        <v>220141.6</v>
      </c>
      <c r="W259" s="7" t="n">
        <v>94578.39999999999</v>
      </c>
      <c r="X259" s="7" t="n">
        <v>158114.7</v>
      </c>
      <c r="Y259" s="7" t="n">
        <v>92697.60000000001</v>
      </c>
      <c r="Z259" s="7" t="n">
        <v>9630.4</v>
      </c>
      <c r="AA259" s="8" t="n">
        <v>1256317.8</v>
      </c>
      <c r="AB259" s="8" t="n">
        <v>1448917.7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548.1</v>
      </c>
      <c r="E260" s="7" t="n">
        <v>0</v>
      </c>
      <c r="F260" s="7" t="n">
        <v>10423.3</v>
      </c>
      <c r="G260" s="7" t="n">
        <v>0</v>
      </c>
      <c r="H260" s="7" t="n">
        <v>5679.9</v>
      </c>
      <c r="I260" s="7" t="n">
        <v>0</v>
      </c>
      <c r="J260" s="7" t="n">
        <v>5601.4</v>
      </c>
      <c r="K260" s="7" t="n">
        <v>0</v>
      </c>
      <c r="L260" s="7" t="n">
        <v>44206.2</v>
      </c>
      <c r="M260" s="7" t="n">
        <v>0</v>
      </c>
      <c r="N260" s="7" t="n">
        <v>12442.7</v>
      </c>
      <c r="O260" s="7" t="n">
        <v>0</v>
      </c>
      <c r="P260" s="7" t="n">
        <v>10833.1</v>
      </c>
      <c r="Q260" s="7" t="n">
        <v>0</v>
      </c>
      <c r="R260" s="7" t="n">
        <v>7136.9</v>
      </c>
      <c r="S260" s="7" t="n">
        <v>0</v>
      </c>
      <c r="T260" s="7" t="n">
        <v>0</v>
      </c>
      <c r="U260" s="7" t="n">
        <v>0</v>
      </c>
      <c r="V260" s="7" t="n">
        <v>37049.6</v>
      </c>
      <c r="W260" s="7" t="n">
        <v>0</v>
      </c>
      <c r="X260" s="7" t="n">
        <v>22927.4</v>
      </c>
      <c r="Y260" s="7" t="n">
        <v>0</v>
      </c>
      <c r="Z260" s="7" t="n">
        <v>2622.4</v>
      </c>
      <c r="AA260" s="7" t="n">
        <v>0</v>
      </c>
      <c r="AB260" s="7" t="n">
        <v>159471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120416.4</v>
      </c>
      <c r="D261" s="7" t="n">
        <v>77418.89999999999</v>
      </c>
      <c r="E261" s="7" t="n">
        <v>140756</v>
      </c>
      <c r="F261" s="7" t="n">
        <v>116357.4</v>
      </c>
      <c r="G261" s="7" t="n">
        <v>82790.39999999999</v>
      </c>
      <c r="H261" s="7" t="n">
        <v>87739.39999999999</v>
      </c>
      <c r="I261" s="7" t="n">
        <v>102698.2</v>
      </c>
      <c r="J261" s="7" t="n">
        <v>65050.7</v>
      </c>
      <c r="K261" s="7" t="n">
        <v>98554.5</v>
      </c>
      <c r="L261" s="7" t="n">
        <v>180401.4</v>
      </c>
      <c r="M261" s="7" t="n">
        <v>132739.7</v>
      </c>
      <c r="N261" s="7" t="n">
        <v>75541</v>
      </c>
      <c r="O261" s="7" t="n">
        <v>92622.39999999999</v>
      </c>
      <c r="P261" s="7" t="n">
        <v>113156.2</v>
      </c>
      <c r="Q261" s="7" t="n">
        <v>88797.39999999999</v>
      </c>
      <c r="R261" s="7" t="n">
        <v>248494.4</v>
      </c>
      <c r="S261" s="7" t="n">
        <v>105708.1</v>
      </c>
      <c r="T261" s="7" t="n">
        <v>0</v>
      </c>
      <c r="U261" s="7" t="n">
        <v>103958.7</v>
      </c>
      <c r="V261" s="7" t="n">
        <v>183092</v>
      </c>
      <c r="W261" s="7" t="n">
        <v>94578.39999999999</v>
      </c>
      <c r="X261" s="7" t="n">
        <v>135187.3</v>
      </c>
      <c r="Y261" s="7" t="n">
        <v>92697.60000000001</v>
      </c>
      <c r="Z261" s="7" t="n">
        <v>7008</v>
      </c>
      <c r="AA261" s="8" t="n">
        <v>1256317.8</v>
      </c>
      <c r="AB261" s="8" t="n">
        <v>1289446.7</v>
      </c>
    </row>
    <row r="262">
      <c r="A262" s="4" t="inlineStr">
        <is>
          <t>净利率</t>
        </is>
      </c>
      <c r="D262" s="13" t="n">
        <v>7.2</v>
      </c>
      <c r="F262" s="13" t="n">
        <v>6.7</v>
      </c>
      <c r="H262" s="13" t="n">
        <v>6</v>
      </c>
      <c r="J262" s="13" t="n">
        <v>7.8</v>
      </c>
      <c r="L262" s="13" t="n">
        <v>10.8</v>
      </c>
      <c r="N262" s="13" t="n">
        <v>8</v>
      </c>
      <c r="P262" s="13" t="n">
        <v>4.5</v>
      </c>
      <c r="R262" s="13" t="n">
        <v>10.6</v>
      </c>
      <c r="T262" s="13" t="n">
        <v>0</v>
      </c>
      <c r="V262" s="13" t="n">
        <v>6.5</v>
      </c>
      <c r="X262" s="13" t="n">
        <v>7.2</v>
      </c>
      <c r="Z262" s="13" t="n">
        <v>8</v>
      </c>
    </row>
    <row r="263">
      <c r="A263" s="4" t="inlineStr">
        <is>
          <t>销售达成率</t>
        </is>
      </c>
      <c r="D263" s="13" t="n">
        <v>63.9</v>
      </c>
      <c r="F263" s="13" t="n">
        <v>125.2</v>
      </c>
      <c r="H263" s="13" t="n">
        <v>103.6</v>
      </c>
      <c r="J263" s="13" t="n">
        <v>63.6</v>
      </c>
      <c r="L263" s="13" t="n">
        <v>121.6</v>
      </c>
      <c r="N263" s="13" t="n">
        <v>72.5</v>
      </c>
      <c r="P263" s="13" t="n">
        <v>148.6</v>
      </c>
      <c r="R263" s="13" t="n">
        <v>132.5</v>
      </c>
      <c r="T263" s="13" t="n">
        <v>0</v>
      </c>
      <c r="V263" s="13" t="n">
        <v>225.5</v>
      </c>
      <c r="X263" s="13" t="n">
        <v>127.5</v>
      </c>
      <c r="Z263" s="13" t="n">
        <v>8</v>
      </c>
    </row>
    <row r="264">
      <c r="A264" s="4" t="inlineStr">
        <is>
          <t>净利达成率</t>
        </is>
      </c>
      <c r="D264" s="13" t="n">
        <v>64.7</v>
      </c>
      <c r="F264" s="13" t="n">
        <v>90.09999999999999</v>
      </c>
      <c r="H264" s="13" t="n">
        <v>112.8</v>
      </c>
      <c r="J264" s="13" t="n">
        <v>68.8</v>
      </c>
      <c r="L264" s="13" t="n">
        <v>227.9</v>
      </c>
      <c r="N264" s="13" t="n">
        <v>66.3</v>
      </c>
      <c r="P264" s="13" t="n">
        <v>133.9</v>
      </c>
      <c r="R264" s="13" t="n">
        <v>287.9</v>
      </c>
      <c r="T264" s="13" t="n">
        <v>0</v>
      </c>
      <c r="V264" s="13" t="n">
        <v>211.8</v>
      </c>
      <c r="X264" s="13" t="n">
        <v>167.2</v>
      </c>
      <c r="Z264" s="13" t="n">
        <v>10.4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浙江区域利润表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3145919.5</v>
      </c>
      <c r="D6" s="7" t="n">
        <v>2266804.8</v>
      </c>
      <c r="E6" s="7" t="n">
        <v>2778969</v>
      </c>
      <c r="F6" s="7" t="n">
        <v>2759070</v>
      </c>
      <c r="G6" s="7" t="n">
        <v>3111353</v>
      </c>
      <c r="H6" s="7" t="n">
        <v>3844178.8</v>
      </c>
      <c r="I6" s="7" t="n">
        <v>2431861.5</v>
      </c>
      <c r="J6" s="7" t="n">
        <v>4640425.1</v>
      </c>
      <c r="K6" s="7" t="n">
        <v>3137054.4</v>
      </c>
      <c r="L6" s="7" t="n">
        <v>3423683.9</v>
      </c>
      <c r="M6" s="7" t="n">
        <v>2484006</v>
      </c>
      <c r="N6" s="7" t="n">
        <v>0</v>
      </c>
      <c r="O6" s="7" t="n">
        <v>3130566.9</v>
      </c>
      <c r="P6" s="7" t="n">
        <v>2951142.3</v>
      </c>
      <c r="Q6" s="7" t="n">
        <v>2555673.8</v>
      </c>
      <c r="R6" s="7" t="n">
        <v>4821981.7</v>
      </c>
      <c r="S6" s="7" t="n">
        <v>2426138.6</v>
      </c>
      <c r="T6" s="7" t="n">
        <v>1313227.1</v>
      </c>
      <c r="U6" s="7" t="n">
        <v>2695133.6</v>
      </c>
      <c r="V6" s="7" t="n">
        <v>3468134.3</v>
      </c>
      <c r="W6" s="7" t="n">
        <v>2937588.8</v>
      </c>
      <c r="X6" s="7" t="n">
        <v>2253920.1</v>
      </c>
      <c r="Y6" s="7" t="n">
        <v>2595434.9</v>
      </c>
      <c r="Z6" s="7" t="n">
        <v>940678.3</v>
      </c>
      <c r="AA6" s="8" t="n">
        <v>33429700</v>
      </c>
      <c r="AB6" s="8" t="n">
        <v>32683246.4</v>
      </c>
    </row>
    <row r="7">
      <c r="A7" s="4" t="inlineStr">
        <is>
          <t>数控机床</t>
        </is>
      </c>
      <c r="D7" s="7" t="n">
        <v>637919.5</v>
      </c>
      <c r="F7" s="7" t="n">
        <v>446707.2</v>
      </c>
      <c r="H7" s="7" t="n">
        <v>944931.8</v>
      </c>
      <c r="J7" s="7" t="n">
        <v>1097285.2</v>
      </c>
      <c r="L7" s="7" t="n">
        <v>0</v>
      </c>
      <c r="N7" s="7" t="n">
        <v>0</v>
      </c>
      <c r="P7" s="7" t="n">
        <v>0</v>
      </c>
      <c r="R7" s="7" t="n">
        <v>0</v>
      </c>
      <c r="T7" s="7" t="n">
        <v>0</v>
      </c>
      <c r="V7" s="7" t="n">
        <v>1000075.2</v>
      </c>
      <c r="X7" s="7" t="n">
        <v>1020139.2</v>
      </c>
      <c r="Z7" s="7" t="n">
        <v>0</v>
      </c>
      <c r="AB7" s="7" t="n">
        <v>5147058.1</v>
      </c>
    </row>
    <row r="8">
      <c r="A8" s="4" t="inlineStr">
        <is>
          <t>精密轴承</t>
        </is>
      </c>
      <c r="D8" s="7" t="n">
        <v>510405.6</v>
      </c>
      <c r="F8" s="7" t="n">
        <v>476535</v>
      </c>
      <c r="H8" s="7" t="n">
        <v>438787.4</v>
      </c>
      <c r="J8" s="7" t="n">
        <v>665090.4</v>
      </c>
      <c r="L8" s="7" t="n">
        <v>580233.9</v>
      </c>
      <c r="N8" s="7" t="n">
        <v>0</v>
      </c>
      <c r="P8" s="7" t="n">
        <v>912358.6</v>
      </c>
      <c r="R8" s="7" t="n">
        <v>0</v>
      </c>
      <c r="T8" s="7" t="n">
        <v>0</v>
      </c>
      <c r="V8" s="7" t="n">
        <v>841930.6</v>
      </c>
      <c r="X8" s="7" t="n">
        <v>568598.7</v>
      </c>
      <c r="Z8" s="7" t="n">
        <v>471121.7</v>
      </c>
      <c r="AB8" s="7" t="n">
        <v>5465061.9</v>
      </c>
    </row>
    <row r="9">
      <c r="A9" s="4" t="inlineStr">
        <is>
          <t>液压件</t>
        </is>
      </c>
      <c r="D9" s="7" t="n">
        <v>0</v>
      </c>
      <c r="F9" s="7" t="n">
        <v>348778.5</v>
      </c>
      <c r="H9" s="7" t="n">
        <v>0</v>
      </c>
      <c r="J9" s="7" t="n">
        <v>0</v>
      </c>
      <c r="L9" s="7" t="n">
        <v>570004.3</v>
      </c>
      <c r="N9" s="7" t="n">
        <v>0</v>
      </c>
      <c r="P9" s="7" t="n">
        <v>0</v>
      </c>
      <c r="R9" s="7" t="n">
        <v>736616.7</v>
      </c>
      <c r="T9" s="7" t="n">
        <v>0</v>
      </c>
      <c r="V9" s="7" t="n">
        <v>506815.3</v>
      </c>
      <c r="X9" s="7" t="n">
        <v>536756</v>
      </c>
      <c r="Z9" s="7" t="n">
        <v>480804.3</v>
      </c>
      <c r="AB9" s="7" t="n">
        <v>3179775.1</v>
      </c>
    </row>
    <row r="10">
      <c r="A10" s="4" t="inlineStr">
        <is>
          <t>气动元件</t>
        </is>
      </c>
      <c r="D10" s="7" t="n">
        <v>0</v>
      </c>
      <c r="F10" s="7" t="n">
        <v>192171.9</v>
      </c>
      <c r="H10" s="7" t="n">
        <v>0</v>
      </c>
      <c r="J10" s="7" t="n">
        <v>191071.4</v>
      </c>
      <c r="L10" s="7" t="n">
        <v>237457.4</v>
      </c>
      <c r="N10" s="7" t="n">
        <v>0</v>
      </c>
      <c r="P10" s="7" t="n">
        <v>0</v>
      </c>
      <c r="R10" s="7" t="n">
        <v>273130.7</v>
      </c>
      <c r="T10" s="7" t="n">
        <v>0</v>
      </c>
      <c r="V10" s="7" t="n">
        <v>0</v>
      </c>
      <c r="X10" s="7" t="n">
        <v>157991.9</v>
      </c>
      <c r="Z10" s="7" t="n">
        <v>0</v>
      </c>
      <c r="AB10" s="7" t="n">
        <v>1051823.3</v>
      </c>
    </row>
    <row r="11">
      <c r="A11" s="4" t="inlineStr">
        <is>
          <t>模具</t>
        </is>
      </c>
      <c r="D11" s="7" t="n">
        <v>0</v>
      </c>
      <c r="F11" s="7" t="n">
        <v>0</v>
      </c>
      <c r="H11" s="7" t="n">
        <v>1439935</v>
      </c>
      <c r="J11" s="7" t="n">
        <v>1336483.3</v>
      </c>
      <c r="L11" s="7" t="n">
        <v>0</v>
      </c>
      <c r="N11" s="7" t="n">
        <v>0</v>
      </c>
      <c r="P11" s="7" t="n">
        <v>2096014.5</v>
      </c>
      <c r="R11" s="7" t="n">
        <v>1740684.7</v>
      </c>
      <c r="T11" s="7" t="n">
        <v>0</v>
      </c>
      <c r="V11" s="7" t="n">
        <v>1189035.8</v>
      </c>
      <c r="X11" s="7" t="n">
        <v>0</v>
      </c>
      <c r="Z11" s="7" t="n">
        <v>0</v>
      </c>
      <c r="AB11" s="7" t="n">
        <v>7802153.3</v>
      </c>
    </row>
    <row r="12">
      <c r="A12" s="4" t="inlineStr">
        <is>
          <t>工装夹具</t>
        </is>
      </c>
      <c r="D12" s="7" t="n">
        <v>1148959.3</v>
      </c>
      <c r="F12" s="7" t="n">
        <v>1304927.1</v>
      </c>
      <c r="H12" s="7" t="n">
        <v>1010891.8</v>
      </c>
      <c r="J12" s="7" t="n">
        <v>1413006.1</v>
      </c>
      <c r="L12" s="7" t="n">
        <v>2041747.3</v>
      </c>
      <c r="N12" s="7" t="n">
        <v>0</v>
      </c>
      <c r="P12" s="7" t="n">
        <v>0</v>
      </c>
      <c r="R12" s="7" t="n">
        <v>2114266.3</v>
      </c>
      <c r="T12" s="7" t="n">
        <v>1309540.3</v>
      </c>
      <c r="V12" s="7" t="n">
        <v>0</v>
      </c>
      <c r="X12" s="7" t="n">
        <v>0</v>
      </c>
      <c r="Z12" s="7" t="n">
        <v>0</v>
      </c>
      <c r="AB12" s="7" t="n">
        <v>10343338.2</v>
      </c>
    </row>
    <row r="13">
      <c r="A13" s="4" t="inlineStr">
        <is>
          <t>返利</t>
        </is>
      </c>
      <c r="D13" s="7" t="n">
        <v>-47471.3</v>
      </c>
      <c r="F13" s="7" t="n">
        <v>-41238.5</v>
      </c>
      <c r="H13" s="7" t="n">
        <v>-39665.5</v>
      </c>
      <c r="J13" s="7" t="n">
        <v>-93779.8</v>
      </c>
      <c r="L13" s="7" t="n">
        <v>-61294.1</v>
      </c>
      <c r="N13" s="7" t="n">
        <v>-0</v>
      </c>
      <c r="P13" s="7" t="n">
        <v>-62970.1</v>
      </c>
      <c r="R13" s="7" t="n">
        <v>-59184.3</v>
      </c>
      <c r="T13" s="7" t="n">
        <v>-18963.7</v>
      </c>
      <c r="V13" s="7" t="n">
        <v>-104380.3</v>
      </c>
      <c r="X13" s="7" t="n">
        <v>-40981.7</v>
      </c>
      <c r="Z13" s="7" t="n">
        <v>-13938.4</v>
      </c>
      <c r="AB13" s="7" t="n">
        <v>-583867.7</v>
      </c>
    </row>
    <row r="14">
      <c r="A14" s="4" t="inlineStr">
        <is>
          <t>其他</t>
        </is>
      </c>
      <c r="D14" s="7" t="n">
        <v>16991.7</v>
      </c>
      <c r="F14" s="7" t="n">
        <v>31188.8</v>
      </c>
      <c r="H14" s="7" t="n">
        <v>49298.3</v>
      </c>
      <c r="J14" s="7" t="n">
        <v>31268.5</v>
      </c>
      <c r="L14" s="7" t="n">
        <v>55535.1</v>
      </c>
      <c r="N14" s="7" t="n">
        <v>0</v>
      </c>
      <c r="P14" s="7" t="n">
        <v>5739.3</v>
      </c>
      <c r="R14" s="7" t="n">
        <v>16467.6</v>
      </c>
      <c r="T14" s="7" t="n">
        <v>22650.5</v>
      </c>
      <c r="V14" s="7" t="n">
        <v>34657.7</v>
      </c>
      <c r="X14" s="7" t="n">
        <v>11416</v>
      </c>
      <c r="Z14" s="7" t="n">
        <v>2690.7</v>
      </c>
      <c r="AB14" s="7" t="n">
        <v>277904.2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1995909.2</v>
      </c>
      <c r="D15" s="7" t="n">
        <v>1688761.7</v>
      </c>
      <c r="E15" s="7" t="n">
        <v>1748897.7</v>
      </c>
      <c r="F15" s="7" t="n">
        <v>2050381.3</v>
      </c>
      <c r="G15" s="7" t="n">
        <v>2170782.1</v>
      </c>
      <c r="H15" s="7" t="n">
        <v>2864028.8</v>
      </c>
      <c r="I15" s="7" t="n">
        <v>2210603.7</v>
      </c>
      <c r="J15" s="7" t="n">
        <v>3477862.7</v>
      </c>
      <c r="K15" s="7" t="n">
        <v>2235034.8</v>
      </c>
      <c r="L15" s="7" t="n">
        <v>2537163.8</v>
      </c>
      <c r="M15" s="7" t="n">
        <v>2081573.3</v>
      </c>
      <c r="N15" s="7" t="n">
        <v>0</v>
      </c>
      <c r="O15" s="7" t="n">
        <v>1938297.7</v>
      </c>
      <c r="P15" s="7" t="n">
        <v>2314567.7</v>
      </c>
      <c r="Q15" s="7" t="n">
        <v>2147132.9</v>
      </c>
      <c r="R15" s="7" t="n">
        <v>3611588.7</v>
      </c>
      <c r="S15" s="7" t="n">
        <v>1943732.4</v>
      </c>
      <c r="T15" s="7" t="n">
        <v>929867.6</v>
      </c>
      <c r="U15" s="7" t="n">
        <v>2182161</v>
      </c>
      <c r="V15" s="7" t="n">
        <v>2671214.6</v>
      </c>
      <c r="W15" s="7" t="n">
        <v>2062378.7</v>
      </c>
      <c r="X15" s="7" t="n">
        <v>1715666.6</v>
      </c>
      <c r="Y15" s="7" t="n">
        <v>2274435.4</v>
      </c>
      <c r="Z15" s="7" t="n">
        <v>780758.2</v>
      </c>
      <c r="AA15" s="8" t="n">
        <v>24990938.9</v>
      </c>
      <c r="AB15" s="8" t="n">
        <v>24641861.7</v>
      </c>
    </row>
    <row r="16">
      <c r="A16" s="4" t="inlineStr">
        <is>
          <t>数控机床</t>
        </is>
      </c>
      <c r="D16" s="7" t="n">
        <v>424632.6</v>
      </c>
      <c r="F16" s="7" t="n">
        <v>297351.7</v>
      </c>
      <c r="H16" s="7" t="n">
        <v>628996.1</v>
      </c>
      <c r="J16" s="7" t="n">
        <v>730410.5</v>
      </c>
      <c r="L16" s="7" t="n">
        <v>0</v>
      </c>
      <c r="N16" s="7" t="n">
        <v>0</v>
      </c>
      <c r="P16" s="7" t="n">
        <v>0</v>
      </c>
      <c r="R16" s="7" t="n">
        <v>0</v>
      </c>
      <c r="T16" s="7" t="n">
        <v>0</v>
      </c>
      <c r="V16" s="7" t="n">
        <v>665702.4</v>
      </c>
      <c r="X16" s="7" t="n">
        <v>679058.1</v>
      </c>
      <c r="Z16" s="7" t="n">
        <v>0</v>
      </c>
      <c r="AB16" s="7" t="n">
        <v>3426151.4</v>
      </c>
    </row>
    <row r="17">
      <c r="A17" s="4" t="inlineStr">
        <is>
          <t>精密轴承</t>
        </is>
      </c>
      <c r="D17" s="7" t="n">
        <v>394477.5</v>
      </c>
      <c r="F17" s="7" t="n">
        <v>368299.9</v>
      </c>
      <c r="H17" s="7" t="n">
        <v>339125.9</v>
      </c>
      <c r="J17" s="7" t="n">
        <v>514028.8</v>
      </c>
      <c r="L17" s="7" t="n">
        <v>448445.7</v>
      </c>
      <c r="N17" s="7" t="n">
        <v>0</v>
      </c>
      <c r="P17" s="7" t="n">
        <v>705135.1</v>
      </c>
      <c r="R17" s="7" t="n">
        <v>0</v>
      </c>
      <c r="T17" s="7" t="n">
        <v>0</v>
      </c>
      <c r="V17" s="7" t="n">
        <v>650703.4</v>
      </c>
      <c r="X17" s="7" t="n">
        <v>439453.2</v>
      </c>
      <c r="Z17" s="7" t="n">
        <v>364116.1</v>
      </c>
      <c r="AB17" s="7" t="n">
        <v>4223785.6</v>
      </c>
    </row>
    <row r="18">
      <c r="A18" s="4" t="inlineStr">
        <is>
          <t>液压件</t>
        </is>
      </c>
      <c r="D18" s="7" t="n">
        <v>0</v>
      </c>
      <c r="F18" s="7" t="n">
        <v>276713.1</v>
      </c>
      <c r="H18" s="7" t="n">
        <v>0</v>
      </c>
      <c r="J18" s="7" t="n">
        <v>0</v>
      </c>
      <c r="L18" s="7" t="n">
        <v>452228.8</v>
      </c>
      <c r="N18" s="7" t="n">
        <v>0</v>
      </c>
      <c r="P18" s="7" t="n">
        <v>0</v>
      </c>
      <c r="R18" s="7" t="n">
        <v>584415.4</v>
      </c>
      <c r="T18" s="7" t="n">
        <v>0</v>
      </c>
      <c r="V18" s="7" t="n">
        <v>402096</v>
      </c>
      <c r="X18" s="7" t="n">
        <v>425850.3</v>
      </c>
      <c r="Z18" s="7" t="n">
        <v>381459.5</v>
      </c>
      <c r="AB18" s="7" t="n">
        <v>2522763.1</v>
      </c>
    </row>
    <row r="19">
      <c r="A19" s="4" t="inlineStr">
        <is>
          <t>气动元件</t>
        </is>
      </c>
      <c r="D19" s="7" t="n">
        <v>0</v>
      </c>
      <c r="F19" s="7" t="n">
        <v>126031.1</v>
      </c>
      <c r="H19" s="7" t="n">
        <v>0</v>
      </c>
      <c r="J19" s="7" t="n">
        <v>125309.4</v>
      </c>
      <c r="L19" s="7" t="n">
        <v>155730.5</v>
      </c>
      <c r="N19" s="7" t="n">
        <v>0</v>
      </c>
      <c r="P19" s="7" t="n">
        <v>0</v>
      </c>
      <c r="R19" s="7" t="n">
        <v>179125.9</v>
      </c>
      <c r="T19" s="7" t="n">
        <v>0</v>
      </c>
      <c r="V19" s="7" t="n">
        <v>0</v>
      </c>
      <c r="X19" s="7" t="n">
        <v>103615</v>
      </c>
      <c r="Z19" s="7" t="n">
        <v>0</v>
      </c>
      <c r="AB19" s="7" t="n">
        <v>689811.9</v>
      </c>
    </row>
    <row r="20">
      <c r="A20" s="4" t="inlineStr">
        <is>
          <t>模具</t>
        </is>
      </c>
      <c r="D20" s="7" t="n">
        <v>0</v>
      </c>
      <c r="F20" s="7" t="n">
        <v>0</v>
      </c>
      <c r="H20" s="7" t="n">
        <v>1048699.4</v>
      </c>
      <c r="J20" s="7" t="n">
        <v>973355.9</v>
      </c>
      <c r="L20" s="7" t="n">
        <v>0</v>
      </c>
      <c r="N20" s="7" t="n">
        <v>0</v>
      </c>
      <c r="P20" s="7" t="n">
        <v>1526519.7</v>
      </c>
      <c r="R20" s="7" t="n">
        <v>1267734.3</v>
      </c>
      <c r="T20" s="7" t="n">
        <v>0</v>
      </c>
      <c r="V20" s="7" t="n">
        <v>865970.4</v>
      </c>
      <c r="X20" s="7" t="n">
        <v>0</v>
      </c>
      <c r="Z20" s="7" t="n">
        <v>0</v>
      </c>
      <c r="AB20" s="7" t="n">
        <v>5682279.7</v>
      </c>
    </row>
    <row r="21">
      <c r="A21" s="4" t="inlineStr">
        <is>
          <t>工装夹具</t>
        </is>
      </c>
      <c r="D21" s="7" t="n">
        <v>781218.4</v>
      </c>
      <c r="F21" s="7" t="n">
        <v>887266.5</v>
      </c>
      <c r="H21" s="7" t="n">
        <v>687341.4</v>
      </c>
      <c r="J21" s="7" t="n">
        <v>960753.3</v>
      </c>
      <c r="L21" s="7" t="n">
        <v>1388256.8</v>
      </c>
      <c r="N21" s="7" t="n">
        <v>0</v>
      </c>
      <c r="P21" s="7" t="n">
        <v>0</v>
      </c>
      <c r="R21" s="7" t="n">
        <v>1437565.1</v>
      </c>
      <c r="T21" s="7" t="n">
        <v>890403.2</v>
      </c>
      <c r="V21" s="7" t="n">
        <v>0</v>
      </c>
      <c r="X21" s="7" t="n">
        <v>0</v>
      </c>
      <c r="Z21" s="7" t="n">
        <v>0</v>
      </c>
      <c r="AB21" s="7" t="n">
        <v>7032804.7</v>
      </c>
    </row>
    <row r="22">
      <c r="A22" s="4" t="inlineStr">
        <is>
          <t>其他</t>
        </is>
      </c>
      <c r="D22" s="7" t="n">
        <v>31774.7</v>
      </c>
      <c r="F22" s="7" t="n">
        <v>3185.2</v>
      </c>
      <c r="H22" s="7" t="n">
        <v>5681.1</v>
      </c>
      <c r="J22" s="7" t="n">
        <v>46204.8</v>
      </c>
      <c r="L22" s="7" t="n">
        <v>18368.5</v>
      </c>
      <c r="N22" s="7" t="n">
        <v>0</v>
      </c>
      <c r="P22" s="7" t="n">
        <v>7234.7</v>
      </c>
      <c r="R22" s="7" t="n">
        <v>51904.2</v>
      </c>
      <c r="T22" s="7" t="n">
        <v>2959.6</v>
      </c>
      <c r="V22" s="7" t="n">
        <v>22619.4</v>
      </c>
      <c r="X22" s="7" t="n">
        <v>32033.9</v>
      </c>
      <c r="Z22" s="7" t="n">
        <v>582.5</v>
      </c>
      <c r="AB22" s="7" t="n">
        <v>222548.6</v>
      </c>
    </row>
    <row r="23">
      <c r="A23" s="4" t="inlineStr">
        <is>
          <t>运费</t>
        </is>
      </c>
      <c r="D23" s="7" t="n">
        <v>88433.2</v>
      </c>
      <c r="F23" s="7" t="n">
        <v>94719</v>
      </c>
      <c r="H23" s="7" t="n">
        <v>159866</v>
      </c>
      <c r="J23" s="7" t="n">
        <v>174004.8</v>
      </c>
      <c r="L23" s="7" t="n">
        <v>92502</v>
      </c>
      <c r="N23" s="7" t="n">
        <v>0</v>
      </c>
      <c r="P23" s="7" t="n">
        <v>82912.89999999999</v>
      </c>
      <c r="R23" s="7" t="n">
        <v>142748</v>
      </c>
      <c r="T23" s="7" t="n">
        <v>39464.4</v>
      </c>
      <c r="V23" s="7" t="n">
        <v>86742.39999999999</v>
      </c>
      <c r="X23" s="7" t="n">
        <v>67690</v>
      </c>
      <c r="Z23" s="7" t="n">
        <v>35182.6</v>
      </c>
      <c r="AB23" s="7" t="n">
        <v>1064265.3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1150010.3</v>
      </c>
      <c r="D24" s="7" t="n">
        <v>578043.1</v>
      </c>
      <c r="E24" s="7" t="n">
        <v>1030071.3</v>
      </c>
      <c r="F24" s="7" t="n">
        <v>708688.7</v>
      </c>
      <c r="G24" s="7" t="n">
        <v>940570.9</v>
      </c>
      <c r="H24" s="7" t="n">
        <v>980150</v>
      </c>
      <c r="I24" s="7" t="n">
        <v>221257.8</v>
      </c>
      <c r="J24" s="7" t="n">
        <v>1162562.4</v>
      </c>
      <c r="K24" s="7" t="n">
        <v>902019.6</v>
      </c>
      <c r="L24" s="7" t="n">
        <v>886520.1</v>
      </c>
      <c r="M24" s="7" t="n">
        <v>402432.7</v>
      </c>
      <c r="N24" s="7" t="n">
        <v>0</v>
      </c>
      <c r="O24" s="7" t="n">
        <v>1192269.2</v>
      </c>
      <c r="P24" s="7" t="n">
        <v>636574.6</v>
      </c>
      <c r="Q24" s="7" t="n">
        <v>408540.9</v>
      </c>
      <c r="R24" s="7" t="n">
        <v>1210393</v>
      </c>
      <c r="S24" s="7" t="n">
        <v>482406.2</v>
      </c>
      <c r="T24" s="7" t="n">
        <v>383359.5</v>
      </c>
      <c r="U24" s="7" t="n">
        <v>512972.6</v>
      </c>
      <c r="V24" s="7" t="n">
        <v>796919.7</v>
      </c>
      <c r="W24" s="7" t="n">
        <v>875210.1</v>
      </c>
      <c r="X24" s="7" t="n">
        <v>538253.5</v>
      </c>
      <c r="Y24" s="7" t="n">
        <v>320999.5</v>
      </c>
      <c r="Z24" s="7" t="n">
        <v>159920.1</v>
      </c>
      <c r="AA24" s="8" t="n">
        <v>8438761.1</v>
      </c>
      <c r="AB24" s="8" t="n">
        <v>8041384.7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36.6</v>
      </c>
      <c r="D25" s="13" t="n">
        <v>25.5</v>
      </c>
      <c r="E25" s="13" t="n">
        <v>37.1</v>
      </c>
      <c r="F25" s="13" t="n">
        <v>25.7</v>
      </c>
      <c r="G25" s="13" t="n">
        <v>30.2</v>
      </c>
      <c r="H25" s="13" t="n">
        <v>25.5</v>
      </c>
      <c r="I25" s="13" t="n">
        <v>9.1</v>
      </c>
      <c r="J25" s="13" t="n">
        <v>25.1</v>
      </c>
      <c r="K25" s="13" t="n">
        <v>28.8</v>
      </c>
      <c r="L25" s="13" t="n">
        <v>25.9</v>
      </c>
      <c r="M25" s="13" t="n">
        <v>16.2</v>
      </c>
      <c r="N25" s="13" t="n">
        <v>0</v>
      </c>
      <c r="O25" s="13" t="n">
        <v>38.1</v>
      </c>
      <c r="P25" s="13" t="n">
        <v>21.6</v>
      </c>
      <c r="Q25" s="13" t="n">
        <v>16</v>
      </c>
      <c r="R25" s="13" t="n">
        <v>25.1</v>
      </c>
      <c r="S25" s="13" t="n">
        <v>19.9</v>
      </c>
      <c r="T25" s="13" t="n">
        <v>29.2</v>
      </c>
      <c r="U25" s="13" t="n">
        <v>19</v>
      </c>
      <c r="V25" s="13" t="n">
        <v>23</v>
      </c>
      <c r="W25" s="13" t="n">
        <v>29.8</v>
      </c>
      <c r="X25" s="13" t="n">
        <v>23.9</v>
      </c>
      <c r="Y25" s="13" t="n">
        <v>12.4</v>
      </c>
      <c r="Z25" s="13" t="n">
        <v>17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27352.6</v>
      </c>
      <c r="D26" s="7" t="n">
        <v>20949.4</v>
      </c>
      <c r="E26" s="7" t="n">
        <v>28107.6</v>
      </c>
      <c r="F26" s="7" t="n">
        <v>18505.7</v>
      </c>
      <c r="G26" s="7" t="n">
        <v>26123.1</v>
      </c>
      <c r="H26" s="7" t="n">
        <v>50095.6</v>
      </c>
      <c r="I26" s="7" t="n">
        <v>28393.8</v>
      </c>
      <c r="J26" s="7" t="n">
        <v>45810</v>
      </c>
      <c r="K26" s="7" t="n">
        <v>24247.5</v>
      </c>
      <c r="L26" s="7" t="n">
        <v>42761.6</v>
      </c>
      <c r="M26" s="7" t="n">
        <v>27358.9</v>
      </c>
      <c r="N26" s="7" t="n">
        <v>0</v>
      </c>
      <c r="O26" s="7" t="n">
        <v>24760.5</v>
      </c>
      <c r="P26" s="7" t="n">
        <v>26542.7</v>
      </c>
      <c r="Q26" s="7" t="n">
        <v>28098.6</v>
      </c>
      <c r="R26" s="7" t="n">
        <v>38419.2</v>
      </c>
      <c r="S26" s="7" t="n">
        <v>28917.5</v>
      </c>
      <c r="T26" s="7" t="n">
        <v>12285</v>
      </c>
      <c r="U26" s="7" t="n">
        <v>27327.4</v>
      </c>
      <c r="V26" s="7" t="n">
        <v>27544.7</v>
      </c>
      <c r="W26" s="7" t="n">
        <v>25141.8</v>
      </c>
      <c r="X26" s="7" t="n">
        <v>32050.1</v>
      </c>
      <c r="Y26" s="7" t="n">
        <v>26866.8</v>
      </c>
      <c r="Z26" s="7" t="n">
        <v>11068.8</v>
      </c>
      <c r="AA26" s="8" t="n">
        <v>322696.1</v>
      </c>
      <c r="AB26" s="8" t="n">
        <v>326032.8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335331.7</v>
      </c>
      <c r="D27" s="7" t="n">
        <v>393563.2</v>
      </c>
      <c r="E27" s="7" t="n">
        <v>322093.4</v>
      </c>
      <c r="F27" s="7" t="n">
        <v>476513.3</v>
      </c>
      <c r="G27" s="7" t="n">
        <v>376081.5</v>
      </c>
      <c r="H27" s="7" t="n">
        <v>584365.3</v>
      </c>
      <c r="I27" s="7" t="n">
        <v>359415.7</v>
      </c>
      <c r="J27" s="7" t="n">
        <v>766782.1</v>
      </c>
      <c r="K27" s="7" t="n">
        <v>337378.2</v>
      </c>
      <c r="L27" s="7" t="n">
        <v>320230.6</v>
      </c>
      <c r="M27" s="7" t="n">
        <v>308599.1</v>
      </c>
      <c r="N27" s="7" t="n">
        <v>0</v>
      </c>
      <c r="O27" s="7" t="n">
        <v>352055.1</v>
      </c>
      <c r="P27" s="7" t="n">
        <v>480861.5</v>
      </c>
      <c r="Q27" s="7" t="n">
        <v>318764.6</v>
      </c>
      <c r="R27" s="7" t="n">
        <v>390494.3</v>
      </c>
      <c r="S27" s="7" t="n">
        <v>339448.5</v>
      </c>
      <c r="T27" s="7" t="n">
        <v>159728.2</v>
      </c>
      <c r="U27" s="7" t="n">
        <v>361700</v>
      </c>
      <c r="V27" s="7" t="n">
        <v>329593.8</v>
      </c>
      <c r="W27" s="7" t="n">
        <v>326182.7</v>
      </c>
      <c r="X27" s="7" t="n">
        <v>195425.7</v>
      </c>
      <c r="Y27" s="7" t="n">
        <v>369127.6</v>
      </c>
      <c r="Z27" s="7" t="n">
        <v>167156.3</v>
      </c>
      <c r="AA27" s="8" t="n">
        <v>4106178.1</v>
      </c>
      <c r="AB27" s="8" t="n">
        <v>4264714.3</v>
      </c>
    </row>
    <row r="28">
      <c r="A28" s="4" t="inlineStr">
        <is>
          <t>职工薪酬</t>
        </is>
      </c>
      <c r="D28" s="7" t="n">
        <v>176502.1</v>
      </c>
      <c r="F28" s="7" t="n">
        <v>278363.2</v>
      </c>
      <c r="H28" s="7" t="n">
        <v>263681.5</v>
      </c>
      <c r="J28" s="7" t="n">
        <v>349885.2</v>
      </c>
      <c r="L28" s="7" t="n">
        <v>130637.6</v>
      </c>
      <c r="N28" s="7" t="n">
        <v>0</v>
      </c>
      <c r="P28" s="7" t="n">
        <v>259991.8</v>
      </c>
      <c r="R28" s="7" t="n">
        <v>205175</v>
      </c>
      <c r="T28" s="7" t="n">
        <v>75039.60000000001</v>
      </c>
      <c r="V28" s="7" t="n">
        <v>174596.5</v>
      </c>
      <c r="X28" s="7" t="n">
        <v>96581.2</v>
      </c>
      <c r="Z28" s="7" t="n">
        <v>80101.10000000001</v>
      </c>
      <c r="AB28" s="7" t="n">
        <v>2090554.8</v>
      </c>
    </row>
    <row r="29">
      <c r="A29" s="4" t="inlineStr">
        <is>
          <t>工资</t>
        </is>
      </c>
      <c r="D29" s="7" t="n">
        <v>93446</v>
      </c>
      <c r="F29" s="7" t="n">
        <v>162738.1</v>
      </c>
      <c r="H29" s="7" t="n">
        <v>152167.2</v>
      </c>
      <c r="J29" s="7" t="n">
        <v>197315.1</v>
      </c>
      <c r="L29" s="7" t="n">
        <v>73146.39999999999</v>
      </c>
      <c r="N29" s="7" t="n">
        <v>0</v>
      </c>
      <c r="P29" s="7" t="n">
        <v>151816.2</v>
      </c>
      <c r="R29" s="7" t="n">
        <v>135849</v>
      </c>
      <c r="T29" s="7" t="n">
        <v>43035.4</v>
      </c>
      <c r="V29" s="7" t="n">
        <v>115013.8</v>
      </c>
      <c r="X29" s="7" t="n">
        <v>61869.9</v>
      </c>
      <c r="Z29" s="7" t="n">
        <v>43444.4</v>
      </c>
      <c r="AB29" s="7" t="n">
        <v>1229841.5</v>
      </c>
    </row>
    <row r="30">
      <c r="A30" s="4" t="inlineStr">
        <is>
          <t>奖金及提成</t>
        </is>
      </c>
      <c r="D30" s="7" t="n">
        <v>46612.8</v>
      </c>
      <c r="F30" s="7" t="n">
        <v>58268.1</v>
      </c>
      <c r="H30" s="7" t="n">
        <v>64344.4</v>
      </c>
      <c r="J30" s="7" t="n">
        <v>75454.7</v>
      </c>
      <c r="L30" s="7" t="n">
        <v>25646</v>
      </c>
      <c r="N30" s="7" t="n">
        <v>0</v>
      </c>
      <c r="P30" s="7" t="n">
        <v>62197.1</v>
      </c>
      <c r="R30" s="7" t="n">
        <v>29474.6</v>
      </c>
      <c r="T30" s="7" t="n">
        <v>18880.1</v>
      </c>
      <c r="V30" s="7" t="n">
        <v>25968.5</v>
      </c>
      <c r="X30" s="7" t="n">
        <v>15612.4</v>
      </c>
      <c r="Z30" s="7" t="n">
        <v>20472.8</v>
      </c>
      <c r="AB30" s="7" t="n">
        <v>442931.5</v>
      </c>
    </row>
    <row r="31">
      <c r="A31" s="4" t="inlineStr">
        <is>
          <t>社保</t>
        </is>
      </c>
      <c r="D31" s="7" t="n">
        <v>28147.7</v>
      </c>
      <c r="F31" s="7" t="n">
        <v>47177.6</v>
      </c>
      <c r="H31" s="7" t="n">
        <v>34188.3</v>
      </c>
      <c r="J31" s="7" t="n">
        <v>61773.4</v>
      </c>
      <c r="L31" s="7" t="n">
        <v>24691.4</v>
      </c>
      <c r="N31" s="7" t="n">
        <v>0</v>
      </c>
      <c r="P31" s="7" t="n">
        <v>34477.9</v>
      </c>
      <c r="R31" s="7" t="n">
        <v>31246.6</v>
      </c>
      <c r="T31" s="7" t="n">
        <v>9844.1</v>
      </c>
      <c r="V31" s="7" t="n">
        <v>27319</v>
      </c>
      <c r="X31" s="7" t="n">
        <v>14483.2</v>
      </c>
      <c r="Z31" s="7" t="n">
        <v>12454.1</v>
      </c>
      <c r="AB31" s="7" t="n">
        <v>325803.3</v>
      </c>
    </row>
    <row r="32">
      <c r="A32" s="4" t="inlineStr">
        <is>
          <t>养老</t>
        </is>
      </c>
      <c r="D32" s="7" t="n">
        <v>1086.2</v>
      </c>
      <c r="F32" s="7" t="n">
        <v>1502.1</v>
      </c>
      <c r="H32" s="7" t="n">
        <v>1851.6</v>
      </c>
      <c r="J32" s="7" t="n">
        <v>2934.4</v>
      </c>
      <c r="L32" s="7" t="n">
        <v>1200.9</v>
      </c>
      <c r="N32" s="7" t="n">
        <v>0</v>
      </c>
      <c r="P32" s="7" t="n">
        <v>1896</v>
      </c>
      <c r="R32" s="7" t="n">
        <v>1458.1</v>
      </c>
      <c r="T32" s="7" t="n">
        <v>560</v>
      </c>
      <c r="V32" s="7" t="n">
        <v>1234.6</v>
      </c>
      <c r="X32" s="7" t="n">
        <v>630.1</v>
      </c>
      <c r="Z32" s="7" t="n">
        <v>517</v>
      </c>
      <c r="AB32" s="7" t="n">
        <v>14871</v>
      </c>
    </row>
    <row r="33">
      <c r="A33" s="4" t="inlineStr">
        <is>
          <t>医疗</t>
        </is>
      </c>
      <c r="D33" s="7" t="n">
        <v>2262.6</v>
      </c>
      <c r="F33" s="7" t="n">
        <v>2550.9</v>
      </c>
      <c r="H33" s="7" t="n">
        <v>2906.1</v>
      </c>
      <c r="J33" s="7" t="n">
        <v>3605.6</v>
      </c>
      <c r="L33" s="7" t="n">
        <v>1184.9</v>
      </c>
      <c r="N33" s="7" t="n">
        <v>0</v>
      </c>
      <c r="P33" s="7" t="n">
        <v>2437.1</v>
      </c>
      <c r="R33" s="7" t="n">
        <v>2226.4</v>
      </c>
      <c r="T33" s="7" t="n">
        <v>939.7</v>
      </c>
      <c r="V33" s="7" t="n">
        <v>1412.3</v>
      </c>
      <c r="X33" s="7" t="n">
        <v>1047.3</v>
      </c>
      <c r="Z33" s="7" t="n">
        <v>1123.1</v>
      </c>
      <c r="AB33" s="7" t="n">
        <v>21696</v>
      </c>
    </row>
    <row r="34">
      <c r="A34" s="4" t="inlineStr">
        <is>
          <t>工伤</t>
        </is>
      </c>
      <c r="D34" s="7" t="n">
        <v>2253.4</v>
      </c>
      <c r="F34" s="7" t="n">
        <v>2370</v>
      </c>
      <c r="H34" s="7" t="n">
        <v>4134.6</v>
      </c>
      <c r="J34" s="7" t="n">
        <v>3336.6</v>
      </c>
      <c r="L34" s="7" t="n">
        <v>1904.1</v>
      </c>
      <c r="N34" s="7" t="n">
        <v>0</v>
      </c>
      <c r="P34" s="7" t="n">
        <v>2083.5</v>
      </c>
      <c r="R34" s="7" t="n">
        <v>2131.8</v>
      </c>
      <c r="T34" s="7" t="n">
        <v>744.3</v>
      </c>
      <c r="V34" s="7" t="n">
        <v>1870.6</v>
      </c>
      <c r="X34" s="7" t="n">
        <v>1026</v>
      </c>
      <c r="Z34" s="7" t="n">
        <v>1290.1</v>
      </c>
      <c r="AB34" s="7" t="n">
        <v>23145</v>
      </c>
    </row>
    <row r="35">
      <c r="A35" s="4" t="inlineStr">
        <is>
          <t>失业</t>
        </is>
      </c>
      <c r="D35" s="7" t="n">
        <v>1127.7</v>
      </c>
      <c r="F35" s="7" t="n">
        <v>1640</v>
      </c>
      <c r="H35" s="7" t="n">
        <v>2295.4</v>
      </c>
      <c r="J35" s="7" t="n">
        <v>2216</v>
      </c>
      <c r="L35" s="7" t="n">
        <v>1423.6</v>
      </c>
      <c r="N35" s="7" t="n">
        <v>0</v>
      </c>
      <c r="P35" s="7" t="n">
        <v>2057.1</v>
      </c>
      <c r="R35" s="7" t="n">
        <v>1992.9</v>
      </c>
      <c r="T35" s="7" t="n">
        <v>758.8</v>
      </c>
      <c r="V35" s="7" t="n">
        <v>1597.2</v>
      </c>
      <c r="X35" s="7" t="n">
        <v>977.1</v>
      </c>
      <c r="Z35" s="7" t="n">
        <v>863.5</v>
      </c>
      <c r="AB35" s="7" t="n">
        <v>16949.3</v>
      </c>
    </row>
    <row r="36">
      <c r="A36" s="4" t="inlineStr">
        <is>
          <t>生育</t>
        </is>
      </c>
      <c r="D36" s="7" t="n">
        <v>1622.2</v>
      </c>
      <c r="F36" s="7" t="n">
        <v>1944.1</v>
      </c>
      <c r="H36" s="7" t="n">
        <v>2967.7</v>
      </c>
      <c r="J36" s="7" t="n">
        <v>3656.9</v>
      </c>
      <c r="L36" s="7" t="n">
        <v>1572.5</v>
      </c>
      <c r="N36" s="7" t="n">
        <v>0</v>
      </c>
      <c r="P36" s="7" t="n">
        <v>1430</v>
      </c>
      <c r="R36" s="7" t="n">
        <v>2001.9</v>
      </c>
      <c r="T36" s="7" t="n">
        <v>524.4</v>
      </c>
      <c r="V36" s="7" t="n">
        <v>1560.1</v>
      </c>
      <c r="X36" s="7" t="n">
        <v>990.5</v>
      </c>
      <c r="Z36" s="7" t="n">
        <v>539.8</v>
      </c>
      <c r="AB36" s="7" t="n">
        <v>18810.1</v>
      </c>
    </row>
    <row r="37">
      <c r="A37" s="4" t="inlineStr">
        <is>
          <t>公积金</t>
        </is>
      </c>
      <c r="D37" s="7" t="n">
        <v>1307.5</v>
      </c>
      <c r="F37" s="7" t="n">
        <v>961.8</v>
      </c>
      <c r="H37" s="7" t="n">
        <v>1740.4</v>
      </c>
      <c r="J37" s="7" t="n">
        <v>1555.6</v>
      </c>
      <c r="L37" s="7" t="n">
        <v>668.3</v>
      </c>
      <c r="N37" s="7" t="n">
        <v>0</v>
      </c>
      <c r="P37" s="7" t="n">
        <v>1706.7</v>
      </c>
      <c r="R37" s="7" t="n">
        <v>877.2</v>
      </c>
      <c r="T37" s="7" t="n">
        <v>469.5</v>
      </c>
      <c r="V37" s="7" t="n">
        <v>643.8</v>
      </c>
      <c r="X37" s="7" t="n">
        <v>646.5</v>
      </c>
      <c r="Z37" s="7" t="n">
        <v>556</v>
      </c>
      <c r="AB37" s="7" t="n">
        <v>11133.3</v>
      </c>
    </row>
    <row r="38">
      <c r="A38" s="4" t="inlineStr">
        <is>
          <t>工会经费</t>
        </is>
      </c>
      <c r="D38" s="7" t="n">
        <v>919.3</v>
      </c>
      <c r="F38" s="7" t="n">
        <v>1229.6</v>
      </c>
      <c r="H38" s="7" t="n">
        <v>1275.9</v>
      </c>
      <c r="J38" s="7" t="n">
        <v>2015.5</v>
      </c>
      <c r="L38" s="7" t="n">
        <v>671.1</v>
      </c>
      <c r="N38" s="7" t="n">
        <v>0</v>
      </c>
      <c r="P38" s="7" t="n">
        <v>939.9</v>
      </c>
      <c r="R38" s="7" t="n">
        <v>974.6</v>
      </c>
      <c r="T38" s="7" t="n">
        <v>365.2</v>
      </c>
      <c r="V38" s="7" t="n">
        <v>505.5</v>
      </c>
      <c r="X38" s="7" t="n">
        <v>484.7</v>
      </c>
      <c r="Z38" s="7" t="n">
        <v>347.2</v>
      </c>
      <c r="AB38" s="7" t="n">
        <v>9728.5</v>
      </c>
    </row>
    <row r="39">
      <c r="A39" s="4" t="inlineStr">
        <is>
          <t>职工教育经费</t>
        </is>
      </c>
      <c r="D39" s="7" t="n">
        <v>1411.7</v>
      </c>
      <c r="F39" s="7" t="n">
        <v>2200.4</v>
      </c>
      <c r="H39" s="7" t="n">
        <v>2417.1</v>
      </c>
      <c r="J39" s="7" t="n">
        <v>3002.6</v>
      </c>
      <c r="L39" s="7" t="n">
        <v>1535.7</v>
      </c>
      <c r="N39" s="7" t="n">
        <v>0</v>
      </c>
      <c r="P39" s="7" t="n">
        <v>2638.9</v>
      </c>
      <c r="R39" s="7" t="n">
        <v>2245</v>
      </c>
      <c r="T39" s="7" t="n">
        <v>535.9</v>
      </c>
      <c r="V39" s="7" t="n">
        <v>1361.6</v>
      </c>
      <c r="X39" s="7" t="n">
        <v>850.5</v>
      </c>
      <c r="Z39" s="7" t="n">
        <v>723</v>
      </c>
      <c r="AB39" s="7" t="n">
        <v>18922.4</v>
      </c>
    </row>
    <row r="40">
      <c r="A40" s="4" t="inlineStr">
        <is>
          <t>福利费</t>
        </is>
      </c>
      <c r="D40" s="7" t="n">
        <v>4657.1</v>
      </c>
      <c r="F40" s="7" t="n">
        <v>5787.6</v>
      </c>
      <c r="H40" s="7" t="n">
        <v>7548.2</v>
      </c>
      <c r="J40" s="7" t="n">
        <v>8768.299999999999</v>
      </c>
      <c r="L40" s="7" t="n">
        <v>4278.7</v>
      </c>
      <c r="N40" s="7" t="n">
        <v>0</v>
      </c>
      <c r="P40" s="7" t="n">
        <v>6215.1</v>
      </c>
      <c r="R40" s="7" t="n">
        <v>4508</v>
      </c>
      <c r="T40" s="7" t="n">
        <v>1909.4</v>
      </c>
      <c r="V40" s="7" t="n">
        <v>3784.3</v>
      </c>
      <c r="X40" s="7" t="n">
        <v>2634</v>
      </c>
      <c r="Z40" s="7" t="n">
        <v>2103.6</v>
      </c>
      <c r="AB40" s="7" t="n">
        <v>52194.3</v>
      </c>
    </row>
    <row r="41">
      <c r="A41" s="4" t="inlineStr">
        <is>
          <t>职工房租</t>
        </is>
      </c>
      <c r="D41" s="7" t="n">
        <v>519.1</v>
      </c>
      <c r="F41" s="7" t="n">
        <v>508.9</v>
      </c>
      <c r="H41" s="7" t="n">
        <v>945.7</v>
      </c>
      <c r="J41" s="7" t="n">
        <v>927.5</v>
      </c>
      <c r="L41" s="7" t="n">
        <v>549.2</v>
      </c>
      <c r="N41" s="7" t="n">
        <v>0</v>
      </c>
      <c r="P41" s="7" t="n">
        <v>851.1</v>
      </c>
      <c r="R41" s="7" t="n">
        <v>453.8</v>
      </c>
      <c r="T41" s="7" t="n">
        <v>262.8</v>
      </c>
      <c r="V41" s="7" t="n">
        <v>366.5</v>
      </c>
      <c r="X41" s="7" t="n">
        <v>204</v>
      </c>
      <c r="Z41" s="7" t="n">
        <v>267.9</v>
      </c>
      <c r="AB41" s="7" t="n">
        <v>5856.5</v>
      </c>
    </row>
    <row r="42">
      <c r="A42" s="4" t="inlineStr">
        <is>
          <t>水电物业费</t>
        </is>
      </c>
      <c r="D42" s="7" t="n">
        <v>360.3</v>
      </c>
      <c r="F42" s="7" t="n">
        <v>494.6</v>
      </c>
      <c r="H42" s="7" t="n">
        <v>569.9</v>
      </c>
      <c r="J42" s="7" t="n">
        <v>727.6</v>
      </c>
      <c r="L42" s="7" t="n">
        <v>459.8</v>
      </c>
      <c r="N42" s="7" t="n">
        <v>0</v>
      </c>
      <c r="P42" s="7" t="n">
        <v>492.2</v>
      </c>
      <c r="R42" s="7" t="n">
        <v>509.8</v>
      </c>
      <c r="T42" s="7" t="n">
        <v>160.1</v>
      </c>
      <c r="V42" s="7" t="n">
        <v>382.4</v>
      </c>
      <c r="X42" s="7" t="n">
        <v>238.9</v>
      </c>
      <c r="Z42" s="7" t="n">
        <v>177.4</v>
      </c>
      <c r="AB42" s="7" t="n">
        <v>4573</v>
      </c>
    </row>
    <row r="43">
      <c r="A43" s="4" t="inlineStr">
        <is>
          <t>员工餐</t>
        </is>
      </c>
      <c r="D43" s="7" t="n">
        <v>1606.4</v>
      </c>
      <c r="F43" s="7" t="n">
        <v>2163.2</v>
      </c>
      <c r="H43" s="7" t="n">
        <v>2948.9</v>
      </c>
      <c r="J43" s="7" t="n">
        <v>2330.1</v>
      </c>
      <c r="L43" s="7" t="n">
        <v>1618.4</v>
      </c>
      <c r="N43" s="7" t="n">
        <v>0</v>
      </c>
      <c r="P43" s="7" t="n">
        <v>2069.9</v>
      </c>
      <c r="R43" s="7" t="n">
        <v>1358.2</v>
      </c>
      <c r="T43" s="7" t="n">
        <v>753.8</v>
      </c>
      <c r="V43" s="7" t="n">
        <v>1259.8</v>
      </c>
      <c r="X43" s="7" t="n">
        <v>975.9</v>
      </c>
      <c r="Z43" s="7" t="n">
        <v>828.6</v>
      </c>
      <c r="AB43" s="7" t="n">
        <v>17913.2</v>
      </c>
    </row>
    <row r="44">
      <c r="A44" s="4" t="inlineStr">
        <is>
          <t>节日礼品</t>
        </is>
      </c>
      <c r="D44" s="7" t="n">
        <v>599.5</v>
      </c>
      <c r="F44" s="7" t="n">
        <v>649.7</v>
      </c>
      <c r="H44" s="7" t="n">
        <v>952.2</v>
      </c>
      <c r="J44" s="7" t="n">
        <v>1227.2</v>
      </c>
      <c r="L44" s="7" t="n">
        <v>328.6</v>
      </c>
      <c r="N44" s="7" t="n">
        <v>0</v>
      </c>
      <c r="P44" s="7" t="n">
        <v>559.2</v>
      </c>
      <c r="R44" s="7" t="n">
        <v>520.9</v>
      </c>
      <c r="T44" s="7" t="n">
        <v>156.2</v>
      </c>
      <c r="V44" s="7" t="n">
        <v>344.9</v>
      </c>
      <c r="X44" s="7" t="n">
        <v>291.1</v>
      </c>
      <c r="Z44" s="7" t="n">
        <v>184.6</v>
      </c>
      <c r="AB44" s="7" t="n">
        <v>5814.1</v>
      </c>
    </row>
    <row r="45">
      <c r="A45" s="4" t="inlineStr">
        <is>
          <t>生日礼品</t>
        </is>
      </c>
      <c r="D45" s="7" t="n">
        <v>379.6</v>
      </c>
      <c r="F45" s="7" t="n">
        <v>403.4</v>
      </c>
      <c r="H45" s="7" t="n">
        <v>496.5</v>
      </c>
      <c r="J45" s="7" t="n">
        <v>740.3</v>
      </c>
      <c r="L45" s="7" t="n">
        <v>211.5</v>
      </c>
      <c r="N45" s="7" t="n">
        <v>0</v>
      </c>
      <c r="P45" s="7" t="n">
        <v>475.1</v>
      </c>
      <c r="R45" s="7" t="n">
        <v>437.3</v>
      </c>
      <c r="T45" s="7" t="n">
        <v>103.2</v>
      </c>
      <c r="V45" s="7" t="n">
        <v>287.9</v>
      </c>
      <c r="X45" s="7" t="n">
        <v>161.4</v>
      </c>
      <c r="Z45" s="7" t="n">
        <v>166.9</v>
      </c>
      <c r="AB45" s="7" t="n">
        <v>3863.1</v>
      </c>
    </row>
    <row r="46">
      <c r="A46" s="4" t="inlineStr">
        <is>
          <t>体检</t>
        </is>
      </c>
      <c r="D46" s="7" t="n">
        <v>322.7</v>
      </c>
      <c r="F46" s="7" t="n">
        <v>276.7</v>
      </c>
      <c r="H46" s="7" t="n">
        <v>376.3</v>
      </c>
      <c r="J46" s="7" t="n">
        <v>409</v>
      </c>
      <c r="L46" s="7" t="n">
        <v>150</v>
      </c>
      <c r="N46" s="7" t="n">
        <v>0</v>
      </c>
      <c r="P46" s="7" t="n">
        <v>307.7</v>
      </c>
      <c r="R46" s="7" t="n">
        <v>268.3</v>
      </c>
      <c r="T46" s="7" t="n">
        <v>100.9</v>
      </c>
      <c r="V46" s="7" t="n">
        <v>203.5</v>
      </c>
      <c r="X46" s="7" t="n">
        <v>154.2</v>
      </c>
      <c r="Z46" s="7" t="n">
        <v>93.5</v>
      </c>
      <c r="AB46" s="7" t="n">
        <v>2662.8</v>
      </c>
    </row>
    <row r="47">
      <c r="A47" s="4" t="inlineStr">
        <is>
          <t>其他福利支出</t>
        </is>
      </c>
      <c r="D47" s="7" t="n">
        <v>869.5</v>
      </c>
      <c r="F47" s="7" t="n">
        <v>1291.1</v>
      </c>
      <c r="H47" s="7" t="n">
        <v>1258.7</v>
      </c>
      <c r="J47" s="7" t="n">
        <v>2406.6</v>
      </c>
      <c r="L47" s="7" t="n">
        <v>961.2</v>
      </c>
      <c r="N47" s="7" t="n">
        <v>0</v>
      </c>
      <c r="P47" s="7" t="n">
        <v>1459.9</v>
      </c>
      <c r="R47" s="7" t="n">
        <v>959.7</v>
      </c>
      <c r="T47" s="7" t="n">
        <v>372.4</v>
      </c>
      <c r="V47" s="7" t="n">
        <v>939.3</v>
      </c>
      <c r="X47" s="7" t="n">
        <v>608.5</v>
      </c>
      <c r="Z47" s="7" t="n">
        <v>384.7</v>
      </c>
      <c r="AB47" s="7" t="n">
        <v>11511.6</v>
      </c>
    </row>
    <row r="48">
      <c r="A48" s="4" t="inlineStr">
        <is>
          <t>招聘费</t>
        </is>
      </c>
      <c r="D48" s="7" t="n">
        <v>74.2</v>
      </c>
      <c r="F48" s="7" t="n">
        <v>111.8</v>
      </c>
      <c r="H48" s="7" t="n">
        <v>134.8</v>
      </c>
      <c r="J48" s="7" t="n">
        <v>183.7</v>
      </c>
      <c r="L48" s="7" t="n">
        <v>75.90000000000001</v>
      </c>
      <c r="N48" s="7" t="n">
        <v>0</v>
      </c>
      <c r="P48" s="7" t="n">
        <v>115.6</v>
      </c>
      <c r="R48" s="7" t="n">
        <v>84.2</v>
      </c>
      <c r="T48" s="7" t="n">
        <v>23.3</v>
      </c>
      <c r="V48" s="7" t="n">
        <v>55.5</v>
      </c>
      <c r="X48" s="7" t="n">
        <v>46.7</v>
      </c>
      <c r="Z48" s="7" t="n">
        <v>40.1</v>
      </c>
      <c r="AB48" s="7" t="n">
        <v>945.8</v>
      </c>
    </row>
    <row r="49">
      <c r="A49" s="4" t="inlineStr">
        <is>
          <t>办公费</t>
        </is>
      </c>
      <c r="D49" s="7" t="n">
        <v>10455.8</v>
      </c>
      <c r="F49" s="7" t="n">
        <v>16575.4</v>
      </c>
      <c r="H49" s="7" t="n">
        <v>20702.2</v>
      </c>
      <c r="J49" s="7" t="n">
        <v>22433.6</v>
      </c>
      <c r="L49" s="7" t="n">
        <v>7677.9</v>
      </c>
      <c r="N49" s="7" t="n">
        <v>0</v>
      </c>
      <c r="P49" s="7" t="n">
        <v>11374.7</v>
      </c>
      <c r="R49" s="7" t="n">
        <v>14406.6</v>
      </c>
      <c r="T49" s="7" t="n">
        <v>4220.5</v>
      </c>
      <c r="V49" s="7" t="n">
        <v>7398.3</v>
      </c>
      <c r="X49" s="7" t="n">
        <v>4934.8</v>
      </c>
      <c r="Z49" s="7" t="n">
        <v>4122</v>
      </c>
      <c r="AB49" s="7" t="n">
        <v>124301.8</v>
      </c>
    </row>
    <row r="50">
      <c r="A50" s="4" t="inlineStr">
        <is>
          <t>市内交通费</t>
        </is>
      </c>
      <c r="D50" s="7" t="n">
        <v>197.1</v>
      </c>
      <c r="F50" s="7" t="n">
        <v>313</v>
      </c>
      <c r="H50" s="7" t="n">
        <v>417.2</v>
      </c>
      <c r="J50" s="7" t="n">
        <v>419.2</v>
      </c>
      <c r="L50" s="7" t="n">
        <v>186.8</v>
      </c>
      <c r="N50" s="7" t="n">
        <v>0</v>
      </c>
      <c r="P50" s="7" t="n">
        <v>279.3</v>
      </c>
      <c r="R50" s="7" t="n">
        <v>256.8</v>
      </c>
      <c r="T50" s="7" t="n">
        <v>105.7</v>
      </c>
      <c r="V50" s="7" t="n">
        <v>243.1</v>
      </c>
      <c r="X50" s="7" t="n">
        <v>127.2</v>
      </c>
      <c r="Z50" s="7" t="n">
        <v>118.5</v>
      </c>
      <c r="AB50" s="7" t="n">
        <v>2663.9</v>
      </c>
    </row>
    <row r="51">
      <c r="A51" s="4" t="inlineStr">
        <is>
          <t>差旅费</t>
        </is>
      </c>
      <c r="D51" s="7" t="n">
        <v>26535.6</v>
      </c>
      <c r="F51" s="7" t="n">
        <v>33103.4</v>
      </c>
      <c r="H51" s="7" t="n">
        <v>26559.2</v>
      </c>
      <c r="J51" s="7" t="n">
        <v>35752</v>
      </c>
      <c r="L51" s="7" t="n">
        <v>22246.3</v>
      </c>
      <c r="N51" s="7" t="n">
        <v>0</v>
      </c>
      <c r="P51" s="7" t="n">
        <v>33582.1</v>
      </c>
      <c r="R51" s="7" t="n">
        <v>29025</v>
      </c>
      <c r="T51" s="7" t="n">
        <v>11422.6</v>
      </c>
      <c r="V51" s="7" t="n">
        <v>22509.1</v>
      </c>
      <c r="X51" s="7" t="n">
        <v>11195</v>
      </c>
      <c r="Z51" s="7" t="n">
        <v>9390.6</v>
      </c>
      <c r="AB51" s="7" t="n">
        <v>261320.9</v>
      </c>
    </row>
    <row r="52">
      <c r="A52" s="4" t="inlineStr">
        <is>
          <t>交通费</t>
        </is>
      </c>
      <c r="D52" s="7" t="n">
        <v>183.6</v>
      </c>
      <c r="F52" s="7" t="n">
        <v>256.2</v>
      </c>
      <c r="H52" s="7" t="n">
        <v>288.8</v>
      </c>
      <c r="J52" s="7" t="n">
        <v>300.1</v>
      </c>
      <c r="L52" s="7" t="n">
        <v>160.3</v>
      </c>
      <c r="N52" s="7" t="n">
        <v>0</v>
      </c>
      <c r="P52" s="7" t="n">
        <v>208.2</v>
      </c>
      <c r="R52" s="7" t="n">
        <v>165.9</v>
      </c>
      <c r="T52" s="7" t="n">
        <v>89.59999999999999</v>
      </c>
      <c r="V52" s="7" t="n">
        <v>165.1</v>
      </c>
      <c r="X52" s="7" t="n">
        <v>105.7</v>
      </c>
      <c r="Z52" s="7" t="n">
        <v>98.09999999999999</v>
      </c>
      <c r="AB52" s="7" t="n">
        <v>2021.6</v>
      </c>
    </row>
    <row r="53">
      <c r="A53" s="4" t="inlineStr">
        <is>
          <t>住宿费</t>
        </is>
      </c>
      <c r="D53" s="7" t="n">
        <v>1304.3</v>
      </c>
      <c r="F53" s="7" t="n">
        <v>1639.6</v>
      </c>
      <c r="H53" s="7" t="n">
        <v>2045.2</v>
      </c>
      <c r="J53" s="7" t="n">
        <v>3120.2</v>
      </c>
      <c r="L53" s="7" t="n">
        <v>1225.2</v>
      </c>
      <c r="N53" s="7" t="n">
        <v>0</v>
      </c>
      <c r="P53" s="7" t="n">
        <v>1944.9</v>
      </c>
      <c r="R53" s="7" t="n">
        <v>1439.8</v>
      </c>
      <c r="T53" s="7" t="n">
        <v>630.3</v>
      </c>
      <c r="V53" s="7" t="n">
        <v>1664.2</v>
      </c>
      <c r="X53" s="7" t="n">
        <v>596.4</v>
      </c>
      <c r="Z53" s="7" t="n">
        <v>902.3</v>
      </c>
      <c r="AB53" s="7" t="n">
        <v>16512.4</v>
      </c>
    </row>
    <row r="54">
      <c r="A54" s="4" t="inlineStr">
        <is>
          <t>餐补</t>
        </is>
      </c>
      <c r="D54" s="7" t="n">
        <v>868.7</v>
      </c>
      <c r="F54" s="7" t="n">
        <v>1462</v>
      </c>
      <c r="H54" s="7" t="n">
        <v>1940.1</v>
      </c>
      <c r="J54" s="7" t="n">
        <v>2075.9</v>
      </c>
      <c r="L54" s="7" t="n">
        <v>663.8</v>
      </c>
      <c r="N54" s="7" t="n">
        <v>0</v>
      </c>
      <c r="P54" s="7" t="n">
        <v>1011.8</v>
      </c>
      <c r="R54" s="7" t="n">
        <v>1314.8</v>
      </c>
      <c r="T54" s="7" t="n">
        <v>522.2</v>
      </c>
      <c r="V54" s="7" t="n">
        <v>644.7</v>
      </c>
      <c r="X54" s="7" t="n">
        <v>481.8</v>
      </c>
      <c r="Z54" s="7" t="n">
        <v>483</v>
      </c>
      <c r="AB54" s="7" t="n">
        <v>11468.8</v>
      </c>
    </row>
    <row r="55">
      <c r="A55" s="4" t="inlineStr">
        <is>
          <t>交通补助</t>
        </is>
      </c>
      <c r="D55" s="7" t="n">
        <v>964</v>
      </c>
      <c r="F55" s="7" t="n">
        <v>1189.9</v>
      </c>
      <c r="H55" s="7" t="n">
        <v>1877.5</v>
      </c>
      <c r="J55" s="7" t="n">
        <v>1816.9</v>
      </c>
      <c r="L55" s="7" t="n">
        <v>937.6</v>
      </c>
      <c r="N55" s="7" t="n">
        <v>0</v>
      </c>
      <c r="P55" s="7" t="n">
        <v>1035.5</v>
      </c>
      <c r="R55" s="7" t="n">
        <v>1062.4</v>
      </c>
      <c r="T55" s="7" t="n">
        <v>427.2</v>
      </c>
      <c r="V55" s="7" t="n">
        <v>980.5</v>
      </c>
      <c r="X55" s="7" t="n">
        <v>477.4</v>
      </c>
      <c r="Z55" s="7" t="n">
        <v>388.8</v>
      </c>
      <c r="AB55" s="7" t="n">
        <v>11157.7</v>
      </c>
    </row>
    <row r="56">
      <c r="A56" s="4" t="inlineStr">
        <is>
          <t>通讯补助</t>
        </is>
      </c>
      <c r="D56" s="7" t="n">
        <v>1101.2</v>
      </c>
      <c r="F56" s="7" t="n">
        <v>1510.8</v>
      </c>
      <c r="H56" s="7" t="n">
        <v>1667.5</v>
      </c>
      <c r="J56" s="7" t="n">
        <v>2788.9</v>
      </c>
      <c r="L56" s="7" t="n">
        <v>1281.2</v>
      </c>
      <c r="N56" s="7" t="n">
        <v>0</v>
      </c>
      <c r="P56" s="7" t="n">
        <v>1388.8</v>
      </c>
      <c r="R56" s="7" t="n">
        <v>1339.7</v>
      </c>
      <c r="T56" s="7" t="n">
        <v>391.9</v>
      </c>
      <c r="V56" s="7" t="n">
        <v>923.4</v>
      </c>
      <c r="X56" s="7" t="n">
        <v>764.9</v>
      </c>
      <c r="Z56" s="7" t="n">
        <v>547.1</v>
      </c>
      <c r="AB56" s="7" t="n">
        <v>13705.4</v>
      </c>
    </row>
    <row r="57">
      <c r="A57" s="4" t="inlineStr">
        <is>
          <t>招待费</t>
        </is>
      </c>
      <c r="D57" s="7" t="n">
        <v>12886.3</v>
      </c>
      <c r="F57" s="7" t="n">
        <v>22638.2</v>
      </c>
      <c r="H57" s="7" t="n">
        <v>26567.1</v>
      </c>
      <c r="J57" s="7" t="n">
        <v>29843</v>
      </c>
      <c r="L57" s="7" t="n">
        <v>9339.5</v>
      </c>
      <c r="N57" s="7" t="n">
        <v>0</v>
      </c>
      <c r="P57" s="7" t="n">
        <v>14866.9</v>
      </c>
      <c r="R57" s="7" t="n">
        <v>15522.5</v>
      </c>
      <c r="T57" s="7" t="n">
        <v>5879.7</v>
      </c>
      <c r="V57" s="7" t="n">
        <v>16262.2</v>
      </c>
      <c r="X57" s="7" t="n">
        <v>8691.200000000001</v>
      </c>
      <c r="Z57" s="7" t="n">
        <v>5692.6</v>
      </c>
      <c r="AB57" s="7" t="n">
        <v>168189.2</v>
      </c>
    </row>
    <row r="58">
      <c r="A58" s="4" t="inlineStr">
        <is>
          <t>通讯费</t>
        </is>
      </c>
      <c r="D58" s="7" t="n">
        <v>764.4</v>
      </c>
      <c r="F58" s="7" t="n">
        <v>1256.4</v>
      </c>
      <c r="H58" s="7" t="n">
        <v>1326.3</v>
      </c>
      <c r="J58" s="7" t="n">
        <v>1369.7</v>
      </c>
      <c r="L58" s="7" t="n">
        <v>647.8</v>
      </c>
      <c r="N58" s="7" t="n">
        <v>0</v>
      </c>
      <c r="P58" s="7" t="n">
        <v>952.1</v>
      </c>
      <c r="R58" s="7" t="n">
        <v>934.6</v>
      </c>
      <c r="T58" s="7" t="n">
        <v>373.8</v>
      </c>
      <c r="V58" s="7" t="n">
        <v>666.9</v>
      </c>
      <c r="X58" s="7" t="n">
        <v>312.2</v>
      </c>
      <c r="Z58" s="7" t="n">
        <v>422.9</v>
      </c>
      <c r="AB58" s="7" t="n">
        <v>9027.1</v>
      </c>
    </row>
    <row r="59">
      <c r="A59" s="4" t="inlineStr">
        <is>
          <t>网络费</t>
        </is>
      </c>
      <c r="D59" s="7" t="n">
        <v>481.5</v>
      </c>
      <c r="F59" s="7" t="n">
        <v>587.9</v>
      </c>
      <c r="H59" s="7" t="n">
        <v>1082.4</v>
      </c>
      <c r="J59" s="7" t="n">
        <v>1349.8</v>
      </c>
      <c r="L59" s="7" t="n">
        <v>500.5</v>
      </c>
      <c r="N59" s="7" t="n">
        <v>0</v>
      </c>
      <c r="P59" s="7" t="n">
        <v>1005.9</v>
      </c>
      <c r="R59" s="7" t="n">
        <v>708.8</v>
      </c>
      <c r="T59" s="7" t="n">
        <v>220.4</v>
      </c>
      <c r="V59" s="7" t="n">
        <v>642.3</v>
      </c>
      <c r="X59" s="7" t="n">
        <v>382.6</v>
      </c>
      <c r="Z59" s="7" t="n">
        <v>310.6</v>
      </c>
      <c r="AB59" s="7" t="n">
        <v>7272.7</v>
      </c>
    </row>
    <row r="60">
      <c r="A60" s="4" t="inlineStr">
        <is>
          <t>修理费</t>
        </is>
      </c>
      <c r="D60" s="7" t="n">
        <v>1317.5</v>
      </c>
      <c r="F60" s="7" t="n">
        <v>1220.3</v>
      </c>
      <c r="H60" s="7" t="n">
        <v>1853.1</v>
      </c>
      <c r="J60" s="7" t="n">
        <v>2074.5</v>
      </c>
      <c r="L60" s="7" t="n">
        <v>1414</v>
      </c>
      <c r="N60" s="7" t="n">
        <v>0</v>
      </c>
      <c r="P60" s="7" t="n">
        <v>2029.3</v>
      </c>
      <c r="R60" s="7" t="n">
        <v>1245.6</v>
      </c>
      <c r="T60" s="7" t="n">
        <v>706.4</v>
      </c>
      <c r="V60" s="7" t="n">
        <v>845.6</v>
      </c>
      <c r="X60" s="7" t="n">
        <v>843</v>
      </c>
      <c r="Z60" s="7" t="n">
        <v>659.7</v>
      </c>
      <c r="AB60" s="7" t="n">
        <v>14209</v>
      </c>
    </row>
    <row r="61">
      <c r="A61" s="4" t="inlineStr">
        <is>
          <t>车辆费</t>
        </is>
      </c>
      <c r="D61" s="7" t="n">
        <v>778</v>
      </c>
      <c r="F61" s="7" t="n">
        <v>1677</v>
      </c>
      <c r="H61" s="7" t="n">
        <v>1382.9</v>
      </c>
      <c r="J61" s="7" t="n">
        <v>2319.4</v>
      </c>
      <c r="L61" s="7" t="n">
        <v>1091.1</v>
      </c>
      <c r="N61" s="7" t="n">
        <v>0</v>
      </c>
      <c r="P61" s="7" t="n">
        <v>1279.1</v>
      </c>
      <c r="R61" s="7" t="n">
        <v>832.9</v>
      </c>
      <c r="T61" s="7" t="n">
        <v>360.7</v>
      </c>
      <c r="V61" s="7" t="n">
        <v>782.2</v>
      </c>
      <c r="X61" s="7" t="n">
        <v>477.5</v>
      </c>
      <c r="Z61" s="7" t="n">
        <v>467</v>
      </c>
      <c r="AB61" s="7" t="n">
        <v>11447.8</v>
      </c>
    </row>
    <row r="62">
      <c r="A62" s="4" t="inlineStr">
        <is>
          <t>租赁费</t>
        </is>
      </c>
      <c r="D62" s="7" t="n">
        <v>23860.7</v>
      </c>
      <c r="F62" s="7" t="n">
        <v>20162.5</v>
      </c>
      <c r="H62" s="7" t="n">
        <v>34459.2</v>
      </c>
      <c r="J62" s="7" t="n">
        <v>35446.1</v>
      </c>
      <c r="L62" s="7" t="n">
        <v>15751.4</v>
      </c>
      <c r="N62" s="7" t="n">
        <v>0</v>
      </c>
      <c r="P62" s="7" t="n">
        <v>23133.5</v>
      </c>
      <c r="R62" s="7" t="n">
        <v>22416.8</v>
      </c>
      <c r="T62" s="7" t="n">
        <v>9320</v>
      </c>
      <c r="V62" s="7" t="n">
        <v>14273.3</v>
      </c>
      <c r="X62" s="7" t="n">
        <v>10776.4</v>
      </c>
      <c r="Z62" s="7" t="n">
        <v>8882.5</v>
      </c>
      <c r="AB62" s="7" t="n">
        <v>218482.4</v>
      </c>
    </row>
    <row r="63">
      <c r="A63" s="4" t="inlineStr">
        <is>
          <t>能源费</t>
        </is>
      </c>
      <c r="D63" s="7" t="n">
        <v>1718.2</v>
      </c>
      <c r="F63" s="7" t="n">
        <v>2567.7</v>
      </c>
      <c r="H63" s="7" t="n">
        <v>2889.3</v>
      </c>
      <c r="J63" s="7" t="n">
        <v>3159.9</v>
      </c>
      <c r="L63" s="7" t="n">
        <v>1565.3</v>
      </c>
      <c r="N63" s="7" t="n">
        <v>0</v>
      </c>
      <c r="P63" s="7" t="n">
        <v>1853.8</v>
      </c>
      <c r="R63" s="7" t="n">
        <v>1702.4</v>
      </c>
      <c r="T63" s="7" t="n">
        <v>765.1</v>
      </c>
      <c r="V63" s="7" t="n">
        <v>1729.6</v>
      </c>
      <c r="X63" s="7" t="n">
        <v>958.5</v>
      </c>
      <c r="Z63" s="7" t="n">
        <v>929.3</v>
      </c>
      <c r="AB63" s="7" t="n">
        <v>19839.1</v>
      </c>
    </row>
    <row r="64">
      <c r="A64" s="4" t="inlineStr">
        <is>
          <t>水费</t>
        </is>
      </c>
      <c r="D64" s="7" t="n">
        <v>41.7</v>
      </c>
      <c r="F64" s="7" t="n">
        <v>41.7</v>
      </c>
      <c r="H64" s="7" t="n">
        <v>60.4</v>
      </c>
      <c r="J64" s="7" t="n">
        <v>102.4</v>
      </c>
      <c r="L64" s="7" t="n">
        <v>45.4</v>
      </c>
      <c r="N64" s="7" t="n">
        <v>0</v>
      </c>
      <c r="P64" s="7" t="n">
        <v>61.6</v>
      </c>
      <c r="R64" s="7" t="n">
        <v>41.5</v>
      </c>
      <c r="T64" s="7" t="n">
        <v>17.7</v>
      </c>
      <c r="V64" s="7" t="n">
        <v>49.1</v>
      </c>
      <c r="X64" s="7" t="n">
        <v>16.4</v>
      </c>
      <c r="Z64" s="7" t="n">
        <v>17.9</v>
      </c>
      <c r="AB64" s="7" t="n">
        <v>495.8</v>
      </c>
    </row>
    <row r="65">
      <c r="A65" s="4" t="inlineStr">
        <is>
          <t>电费</t>
        </is>
      </c>
      <c r="D65" s="7" t="n">
        <v>864.1</v>
      </c>
      <c r="F65" s="7" t="n">
        <v>1057.6</v>
      </c>
      <c r="H65" s="7" t="n">
        <v>1520.4</v>
      </c>
      <c r="J65" s="7" t="n">
        <v>1439.2</v>
      </c>
      <c r="L65" s="7" t="n">
        <v>813.6</v>
      </c>
      <c r="N65" s="7" t="n">
        <v>0</v>
      </c>
      <c r="P65" s="7" t="n">
        <v>932.1</v>
      </c>
      <c r="R65" s="7" t="n">
        <v>638</v>
      </c>
      <c r="T65" s="7" t="n">
        <v>439.5</v>
      </c>
      <c r="V65" s="7" t="n">
        <v>958.7</v>
      </c>
      <c r="X65" s="7" t="n">
        <v>478.9</v>
      </c>
      <c r="Z65" s="7" t="n">
        <v>393.6</v>
      </c>
      <c r="AB65" s="7" t="n">
        <v>9535.700000000001</v>
      </c>
    </row>
    <row r="66">
      <c r="A66" s="4" t="inlineStr">
        <is>
          <t>燃气费</t>
        </is>
      </c>
      <c r="D66" s="7" t="n">
        <v>734.8</v>
      </c>
      <c r="F66" s="7" t="n">
        <v>1392.8</v>
      </c>
      <c r="H66" s="7" t="n">
        <v>1219.3</v>
      </c>
      <c r="J66" s="7" t="n">
        <v>1519.3</v>
      </c>
      <c r="L66" s="7" t="n">
        <v>644.7</v>
      </c>
      <c r="N66" s="7" t="n">
        <v>0</v>
      </c>
      <c r="P66" s="7" t="n">
        <v>781.5</v>
      </c>
      <c r="R66" s="7" t="n">
        <v>950.4</v>
      </c>
      <c r="T66" s="7" t="n">
        <v>289.3</v>
      </c>
      <c r="V66" s="7" t="n">
        <v>679.8</v>
      </c>
      <c r="X66" s="7" t="n">
        <v>424.3</v>
      </c>
      <c r="Z66" s="7" t="n">
        <v>491.1</v>
      </c>
      <c r="AB66" s="7" t="n">
        <v>9127.299999999999</v>
      </c>
    </row>
    <row r="67">
      <c r="A67" s="4" t="inlineStr">
        <is>
          <t>蒸汽费</t>
        </is>
      </c>
      <c r="D67" s="7" t="n">
        <v>77.59999999999999</v>
      </c>
      <c r="F67" s="7" t="n">
        <v>75.59999999999999</v>
      </c>
      <c r="H67" s="7" t="n">
        <v>89.2</v>
      </c>
      <c r="J67" s="7" t="n">
        <v>99</v>
      </c>
      <c r="L67" s="7" t="n">
        <v>61.6</v>
      </c>
      <c r="N67" s="7" t="n">
        <v>0</v>
      </c>
      <c r="P67" s="7" t="n">
        <v>78.59999999999999</v>
      </c>
      <c r="R67" s="7" t="n">
        <v>72.5</v>
      </c>
      <c r="T67" s="7" t="n">
        <v>18.6</v>
      </c>
      <c r="V67" s="7" t="n">
        <v>42</v>
      </c>
      <c r="X67" s="7" t="n">
        <v>38.9</v>
      </c>
      <c r="Z67" s="7" t="n">
        <v>26.7</v>
      </c>
      <c r="AB67" s="7" t="n">
        <v>680.3</v>
      </c>
    </row>
    <row r="68">
      <c r="A68" s="4" t="inlineStr">
        <is>
          <t>物业费</t>
        </is>
      </c>
      <c r="D68" s="7" t="n">
        <v>366.7</v>
      </c>
      <c r="F68" s="7" t="n">
        <v>651.1</v>
      </c>
      <c r="H68" s="7" t="n">
        <v>780.8</v>
      </c>
      <c r="J68" s="7" t="n">
        <v>844.8</v>
      </c>
      <c r="L68" s="7" t="n">
        <v>354.5</v>
      </c>
      <c r="N68" s="7" t="n">
        <v>0</v>
      </c>
      <c r="P68" s="7" t="n">
        <v>535.6</v>
      </c>
      <c r="R68" s="7" t="n">
        <v>484.6</v>
      </c>
      <c r="T68" s="7" t="n">
        <v>166.8</v>
      </c>
      <c r="V68" s="7" t="n">
        <v>354.4</v>
      </c>
      <c r="X68" s="7" t="n">
        <v>174.7</v>
      </c>
      <c r="Z68" s="7" t="n">
        <v>241</v>
      </c>
      <c r="AB68" s="7" t="n">
        <v>4955</v>
      </c>
    </row>
    <row r="69">
      <c r="A69" s="4" t="inlineStr">
        <is>
          <t>劳动保护费</t>
        </is>
      </c>
      <c r="D69" s="7" t="n">
        <v>2867.3</v>
      </c>
      <c r="F69" s="7" t="n">
        <v>2672.4</v>
      </c>
      <c r="H69" s="7" t="n">
        <v>3758.2</v>
      </c>
      <c r="J69" s="7" t="n">
        <v>4515.8</v>
      </c>
      <c r="L69" s="7" t="n">
        <v>2450.8</v>
      </c>
      <c r="N69" s="7" t="n">
        <v>0</v>
      </c>
      <c r="P69" s="7" t="n">
        <v>2962.3</v>
      </c>
      <c r="R69" s="7" t="n">
        <v>2940</v>
      </c>
      <c r="T69" s="7" t="n">
        <v>975.3</v>
      </c>
      <c r="V69" s="7" t="n">
        <v>2603.2</v>
      </c>
      <c r="X69" s="7" t="n">
        <v>992.5</v>
      </c>
      <c r="Z69" s="7" t="n">
        <v>918.9</v>
      </c>
      <c r="AB69" s="7" t="n">
        <v>27656.7</v>
      </c>
    </row>
    <row r="70">
      <c r="A70" s="4" t="inlineStr">
        <is>
          <t>顾问费</t>
        </is>
      </c>
      <c r="D70" s="7" t="n">
        <v>1237.8</v>
      </c>
      <c r="F70" s="7" t="n">
        <v>1628.5</v>
      </c>
      <c r="H70" s="7" t="n">
        <v>1639.8</v>
      </c>
      <c r="J70" s="7" t="n">
        <v>3332.8</v>
      </c>
      <c r="L70" s="7" t="n">
        <v>1040.2</v>
      </c>
      <c r="N70" s="7" t="n">
        <v>0</v>
      </c>
      <c r="P70" s="7" t="n">
        <v>2157.5</v>
      </c>
      <c r="R70" s="7" t="n">
        <v>1290.5</v>
      </c>
      <c r="T70" s="7" t="n">
        <v>603.6</v>
      </c>
      <c r="V70" s="7" t="n">
        <v>1233.3</v>
      </c>
      <c r="X70" s="7" t="n">
        <v>534.6</v>
      </c>
      <c r="Z70" s="7" t="n">
        <v>625.9</v>
      </c>
      <c r="AB70" s="7" t="n">
        <v>15324.5</v>
      </c>
    </row>
    <row r="71">
      <c r="A71" s="4" t="inlineStr">
        <is>
          <t>快递费</t>
        </is>
      </c>
      <c r="D71" s="7" t="n">
        <v>2731.9</v>
      </c>
      <c r="F71" s="7" t="n">
        <v>3556</v>
      </c>
      <c r="H71" s="7" t="n">
        <v>4850.9</v>
      </c>
      <c r="J71" s="7" t="n">
        <v>4495.3</v>
      </c>
      <c r="L71" s="7" t="n">
        <v>1782.9</v>
      </c>
      <c r="N71" s="7" t="n">
        <v>0</v>
      </c>
      <c r="P71" s="7" t="n">
        <v>3096.7</v>
      </c>
      <c r="R71" s="7" t="n">
        <v>1930.1</v>
      </c>
      <c r="T71" s="7" t="n">
        <v>964.8</v>
      </c>
      <c r="V71" s="7" t="n">
        <v>2473.6</v>
      </c>
      <c r="X71" s="7" t="n">
        <v>1574.6</v>
      </c>
      <c r="Z71" s="7" t="n">
        <v>1196.2</v>
      </c>
      <c r="AB71" s="7" t="n">
        <v>28653</v>
      </c>
    </row>
    <row r="72">
      <c r="A72" s="4" t="inlineStr">
        <is>
          <t>诉讼费</t>
        </is>
      </c>
      <c r="D72" s="7" t="n">
        <v>1735.4</v>
      </c>
      <c r="F72" s="7" t="n">
        <v>2087.6</v>
      </c>
      <c r="H72" s="7" t="n">
        <v>1685.6</v>
      </c>
      <c r="J72" s="7" t="n">
        <v>2557.7</v>
      </c>
      <c r="L72" s="7" t="n">
        <v>1419.8</v>
      </c>
      <c r="N72" s="7" t="n">
        <v>0</v>
      </c>
      <c r="P72" s="7" t="n">
        <v>2197.3</v>
      </c>
      <c r="R72" s="7" t="n">
        <v>1771</v>
      </c>
      <c r="T72" s="7" t="n">
        <v>516.7</v>
      </c>
      <c r="V72" s="7" t="n">
        <v>1044.9</v>
      </c>
      <c r="X72" s="7" t="n">
        <v>874.9</v>
      </c>
      <c r="Z72" s="7" t="n">
        <v>498.7</v>
      </c>
      <c r="AB72" s="7" t="n">
        <v>16389.6</v>
      </c>
    </row>
    <row r="73">
      <c r="A73" s="4" t="inlineStr">
        <is>
          <t>会员费</t>
        </is>
      </c>
      <c r="D73" s="7" t="n">
        <v>1008.1</v>
      </c>
      <c r="F73" s="7" t="n">
        <v>1530.3</v>
      </c>
      <c r="H73" s="7" t="n">
        <v>2286.4</v>
      </c>
      <c r="J73" s="7" t="n">
        <v>2731.7</v>
      </c>
      <c r="L73" s="7" t="n">
        <v>1243.1</v>
      </c>
      <c r="N73" s="7" t="n">
        <v>0</v>
      </c>
      <c r="P73" s="7" t="n">
        <v>1114.9</v>
      </c>
      <c r="R73" s="7" t="n">
        <v>1254.6</v>
      </c>
      <c r="T73" s="7" t="n">
        <v>434.1</v>
      </c>
      <c r="V73" s="7" t="n">
        <v>1248</v>
      </c>
      <c r="X73" s="7" t="n">
        <v>470.2</v>
      </c>
      <c r="Z73" s="7" t="n">
        <v>494</v>
      </c>
      <c r="AB73" s="7" t="n">
        <v>13815.4</v>
      </c>
    </row>
    <row r="74">
      <c r="A74" s="4" t="inlineStr">
        <is>
          <t>广告宣传费</t>
        </is>
      </c>
      <c r="D74" s="7" t="n">
        <v>15083.1</v>
      </c>
      <c r="F74" s="7" t="n">
        <v>10065.8</v>
      </c>
      <c r="H74" s="7" t="n">
        <v>12611.7</v>
      </c>
      <c r="J74" s="7" t="n">
        <v>25444.7</v>
      </c>
      <c r="L74" s="7" t="n">
        <v>11722.7</v>
      </c>
      <c r="N74" s="7" t="n">
        <v>0</v>
      </c>
      <c r="P74" s="7" t="n">
        <v>17560.6</v>
      </c>
      <c r="R74" s="7" t="n">
        <v>8695</v>
      </c>
      <c r="T74" s="7" t="n">
        <v>4553.5</v>
      </c>
      <c r="V74" s="7" t="n">
        <v>8464.1</v>
      </c>
      <c r="X74" s="7" t="n">
        <v>6622.5</v>
      </c>
      <c r="Z74" s="7" t="n">
        <v>3874.3</v>
      </c>
      <c r="AB74" s="7" t="n">
        <v>124698</v>
      </c>
    </row>
    <row r="75">
      <c r="A75" s="4" t="inlineStr">
        <is>
          <t>会务费</t>
        </is>
      </c>
      <c r="D75" s="7" t="n">
        <v>2181.1</v>
      </c>
      <c r="F75" s="7" t="n">
        <v>2476.4</v>
      </c>
      <c r="H75" s="7" t="n">
        <v>2125.4</v>
      </c>
      <c r="J75" s="7" t="n">
        <v>3859.8</v>
      </c>
      <c r="L75" s="7" t="n">
        <v>1851.9</v>
      </c>
      <c r="N75" s="7" t="n">
        <v>0</v>
      </c>
      <c r="P75" s="7" t="n">
        <v>2299.5</v>
      </c>
      <c r="R75" s="7" t="n">
        <v>2373.1</v>
      </c>
      <c r="T75" s="7" t="n">
        <v>944.6</v>
      </c>
      <c r="V75" s="7" t="n">
        <v>1540.8</v>
      </c>
      <c r="X75" s="7" t="n">
        <v>1124.5</v>
      </c>
      <c r="Z75" s="7" t="n">
        <v>857.1</v>
      </c>
      <c r="AB75" s="7" t="n">
        <v>21634.2</v>
      </c>
    </row>
    <row r="76">
      <c r="A76" s="4" t="inlineStr">
        <is>
          <t>装修费</t>
        </is>
      </c>
      <c r="D76" s="7" t="n">
        <v>1604.7</v>
      </c>
      <c r="F76" s="7" t="n">
        <v>1572</v>
      </c>
      <c r="H76" s="7" t="n">
        <v>1960.6</v>
      </c>
      <c r="J76" s="7" t="n">
        <v>2800.9</v>
      </c>
      <c r="L76" s="7" t="n">
        <v>1630.3</v>
      </c>
      <c r="N76" s="7" t="n">
        <v>0</v>
      </c>
      <c r="P76" s="7" t="n">
        <v>1571.3</v>
      </c>
      <c r="R76" s="7" t="n">
        <v>1333</v>
      </c>
      <c r="T76" s="7" t="n">
        <v>644.9</v>
      </c>
      <c r="V76" s="7" t="n">
        <v>1269.1</v>
      </c>
      <c r="X76" s="7" t="n">
        <v>1038.8</v>
      </c>
      <c r="Z76" s="7" t="n">
        <v>838.3</v>
      </c>
      <c r="AB76" s="7" t="n">
        <v>16263.9</v>
      </c>
    </row>
    <row r="77">
      <c r="A77" s="4" t="inlineStr">
        <is>
          <t>推广费</t>
        </is>
      </c>
      <c r="D77" s="7" t="n">
        <v>411.1</v>
      </c>
      <c r="F77" s="7" t="n">
        <v>712.4</v>
      </c>
      <c r="H77" s="7" t="n">
        <v>599.3</v>
      </c>
      <c r="J77" s="7" t="n">
        <v>1309.3</v>
      </c>
      <c r="L77" s="7" t="n">
        <v>438.9</v>
      </c>
      <c r="N77" s="7" t="n">
        <v>0</v>
      </c>
      <c r="P77" s="7" t="n">
        <v>567</v>
      </c>
      <c r="R77" s="7" t="n">
        <v>471.9</v>
      </c>
      <c r="T77" s="7" t="n">
        <v>212.7</v>
      </c>
      <c r="V77" s="7" t="n">
        <v>532.3</v>
      </c>
      <c r="X77" s="7" t="n">
        <v>301.5</v>
      </c>
      <c r="Z77" s="7" t="n">
        <v>239.7</v>
      </c>
      <c r="AB77" s="7" t="n">
        <v>5796.1</v>
      </c>
    </row>
    <row r="78">
      <c r="A78" s="4" t="inlineStr">
        <is>
          <t>展会费</t>
        </is>
      </c>
      <c r="D78" s="7" t="n">
        <v>1774.6</v>
      </c>
      <c r="F78" s="7" t="n">
        <v>1465.1</v>
      </c>
      <c r="H78" s="7" t="n">
        <v>1988.6</v>
      </c>
      <c r="J78" s="7" t="n">
        <v>2488.5</v>
      </c>
      <c r="L78" s="7" t="n">
        <v>1151.5</v>
      </c>
      <c r="N78" s="7" t="n">
        <v>0</v>
      </c>
      <c r="P78" s="7" t="n">
        <v>1639.5</v>
      </c>
      <c r="R78" s="7" t="n">
        <v>1928.3</v>
      </c>
      <c r="T78" s="7" t="n">
        <v>495</v>
      </c>
      <c r="V78" s="7" t="n">
        <v>1387.9</v>
      </c>
      <c r="X78" s="7" t="n">
        <v>750.5</v>
      </c>
      <c r="Z78" s="7" t="n">
        <v>628</v>
      </c>
      <c r="AB78" s="7" t="n">
        <v>15697.5</v>
      </c>
    </row>
    <row r="79">
      <c r="A79" s="4" t="inlineStr">
        <is>
          <t>设计费</t>
        </is>
      </c>
      <c r="D79" s="7" t="n">
        <v>872.3</v>
      </c>
      <c r="F79" s="7" t="n">
        <v>1029.3</v>
      </c>
      <c r="H79" s="7" t="n">
        <v>890.3</v>
      </c>
      <c r="J79" s="7" t="n">
        <v>1297.9</v>
      </c>
      <c r="L79" s="7" t="n">
        <v>576.2</v>
      </c>
      <c r="N79" s="7" t="n">
        <v>0</v>
      </c>
      <c r="P79" s="7" t="n">
        <v>666.5</v>
      </c>
      <c r="R79" s="7" t="n">
        <v>624.4</v>
      </c>
      <c r="T79" s="7" t="n">
        <v>272.3</v>
      </c>
      <c r="V79" s="7" t="n">
        <v>669.5</v>
      </c>
      <c r="X79" s="7" t="n">
        <v>323.3</v>
      </c>
      <c r="Z79" s="7" t="n">
        <v>366.1</v>
      </c>
      <c r="AB79" s="7" t="n">
        <v>7588.1</v>
      </c>
    </row>
    <row r="80">
      <c r="A80" s="4" t="inlineStr">
        <is>
          <t>折旧费</t>
        </is>
      </c>
      <c r="D80" s="7" t="n">
        <v>18061</v>
      </c>
      <c r="F80" s="7" t="n">
        <v>24734.3</v>
      </c>
      <c r="H80" s="7" t="n">
        <v>22054.1</v>
      </c>
      <c r="J80" s="7" t="n">
        <v>32851.3</v>
      </c>
      <c r="L80" s="7" t="n">
        <v>10276.1</v>
      </c>
      <c r="N80" s="7" t="n">
        <v>0</v>
      </c>
      <c r="P80" s="7" t="n">
        <v>15263</v>
      </c>
      <c r="R80" s="7" t="n">
        <v>18924.4</v>
      </c>
      <c r="T80" s="7" t="n">
        <v>5677.2</v>
      </c>
      <c r="V80" s="7" t="n">
        <v>12189.9</v>
      </c>
      <c r="X80" s="7" t="n">
        <v>9530.9</v>
      </c>
      <c r="Z80" s="7" t="n">
        <v>6627.1</v>
      </c>
      <c r="AB80" s="7" t="n">
        <v>176189.3</v>
      </c>
    </row>
    <row r="81">
      <c r="A81" s="4" t="inlineStr">
        <is>
          <t>认证费</t>
        </is>
      </c>
      <c r="D81" s="7" t="n">
        <v>443.1</v>
      </c>
      <c r="F81" s="7" t="n">
        <v>425.5</v>
      </c>
      <c r="H81" s="7" t="n">
        <v>802.5</v>
      </c>
      <c r="J81" s="7" t="n">
        <v>602.5</v>
      </c>
      <c r="L81" s="7" t="n">
        <v>450.4</v>
      </c>
      <c r="N81" s="7" t="n">
        <v>0</v>
      </c>
      <c r="P81" s="7" t="n">
        <v>472.3</v>
      </c>
      <c r="R81" s="7" t="n">
        <v>361.4</v>
      </c>
      <c r="T81" s="7" t="n">
        <v>153.6</v>
      </c>
      <c r="V81" s="7" t="n">
        <v>426.5</v>
      </c>
      <c r="X81" s="7" t="n">
        <v>254.3</v>
      </c>
      <c r="Z81" s="7" t="n">
        <v>202.1</v>
      </c>
      <c r="AB81" s="7" t="n">
        <v>4594.2</v>
      </c>
    </row>
    <row r="82">
      <c r="A82" s="4" t="inlineStr">
        <is>
          <t>样品费</t>
        </is>
      </c>
      <c r="D82" s="7" t="n">
        <v>7193.6</v>
      </c>
      <c r="F82" s="7" t="n">
        <v>9297.700000000001</v>
      </c>
      <c r="H82" s="7" t="n">
        <v>14581.3</v>
      </c>
      <c r="J82" s="7" t="n">
        <v>19074.2</v>
      </c>
      <c r="L82" s="7" t="n">
        <v>7711.1</v>
      </c>
      <c r="N82" s="7" t="n">
        <v>0</v>
      </c>
      <c r="P82" s="7" t="n">
        <v>11250.7</v>
      </c>
      <c r="R82" s="7" t="n">
        <v>7922.9</v>
      </c>
      <c r="T82" s="7" t="n">
        <v>2673.9</v>
      </c>
      <c r="V82" s="7" t="n">
        <v>5415.3</v>
      </c>
      <c r="X82" s="7" t="n">
        <v>4293.7</v>
      </c>
      <c r="Z82" s="7" t="n">
        <v>3139.5</v>
      </c>
      <c r="AB82" s="7" t="n">
        <v>92553.89999999999</v>
      </c>
    </row>
    <row r="83">
      <c r="A83" s="4" t="inlineStr">
        <is>
          <t>劳务费</t>
        </is>
      </c>
      <c r="D83" s="7" t="n">
        <v>229</v>
      </c>
      <c r="F83" s="7" t="n">
        <v>228.6</v>
      </c>
      <c r="H83" s="7" t="n">
        <v>390.9</v>
      </c>
      <c r="J83" s="7" t="n">
        <v>507.3</v>
      </c>
      <c r="L83" s="7" t="n">
        <v>237.6</v>
      </c>
      <c r="N83" s="7" t="n">
        <v>0</v>
      </c>
      <c r="P83" s="7" t="n">
        <v>399.6</v>
      </c>
      <c r="R83" s="7" t="n">
        <v>185.7</v>
      </c>
      <c r="T83" s="7" t="n">
        <v>107.7</v>
      </c>
      <c r="V83" s="7" t="n">
        <v>181.3</v>
      </c>
      <c r="X83" s="7" t="n">
        <v>108.1</v>
      </c>
      <c r="Z83" s="7" t="n">
        <v>123.9</v>
      </c>
      <c r="AB83" s="7" t="n">
        <v>2699.7</v>
      </c>
    </row>
    <row r="84">
      <c r="A84" s="4" t="inlineStr">
        <is>
          <t>销售佣金</t>
        </is>
      </c>
      <c r="D84" s="7" t="n">
        <v>1941</v>
      </c>
      <c r="F84" s="7" t="n">
        <v>1825.5</v>
      </c>
      <c r="H84" s="7" t="n">
        <v>2943.6</v>
      </c>
      <c r="J84" s="7" t="n">
        <v>3376.4</v>
      </c>
      <c r="L84" s="7" t="n">
        <v>1048.8</v>
      </c>
      <c r="N84" s="7" t="n">
        <v>0</v>
      </c>
      <c r="P84" s="7" t="n">
        <v>2242.6</v>
      </c>
      <c r="R84" s="7" t="n">
        <v>1333</v>
      </c>
      <c r="T84" s="7" t="n">
        <v>588</v>
      </c>
      <c r="V84" s="7" t="n">
        <v>1786.4</v>
      </c>
      <c r="X84" s="7" t="n">
        <v>652.4</v>
      </c>
      <c r="Z84" s="7" t="n">
        <v>938.8</v>
      </c>
      <c r="AB84" s="7" t="n">
        <v>18676.5</v>
      </c>
    </row>
    <row r="85">
      <c r="A85" s="4" t="inlineStr">
        <is>
          <t>检测费</t>
        </is>
      </c>
      <c r="D85" s="7" t="n">
        <v>993.3</v>
      </c>
      <c r="F85" s="7" t="n">
        <v>1365.9</v>
      </c>
      <c r="H85" s="7" t="n">
        <v>2105.3</v>
      </c>
      <c r="J85" s="7" t="n">
        <v>2755.6</v>
      </c>
      <c r="L85" s="7" t="n">
        <v>1073.8</v>
      </c>
      <c r="N85" s="7" t="n">
        <v>0</v>
      </c>
      <c r="P85" s="7" t="n">
        <v>1925.9</v>
      </c>
      <c r="R85" s="7" t="n">
        <v>1192.6</v>
      </c>
      <c r="T85" s="7" t="n">
        <v>591.3</v>
      </c>
      <c r="V85" s="7" t="n">
        <v>923.7</v>
      </c>
      <c r="X85" s="7" t="n">
        <v>515.5</v>
      </c>
      <c r="Z85" s="7" t="n">
        <v>429.6</v>
      </c>
      <c r="AB85" s="7" t="n">
        <v>13872.5</v>
      </c>
    </row>
    <row r="86">
      <c r="A86" s="4" t="inlineStr">
        <is>
          <t>质量赔偿</t>
        </is>
      </c>
      <c r="D86" s="7" t="n">
        <v>522.4</v>
      </c>
      <c r="F86" s="7" t="n">
        <v>511.3</v>
      </c>
      <c r="H86" s="7" t="n">
        <v>750.6</v>
      </c>
      <c r="J86" s="7" t="n">
        <v>1033.8</v>
      </c>
      <c r="L86" s="7" t="n">
        <v>434.8</v>
      </c>
      <c r="N86" s="7" t="n">
        <v>0</v>
      </c>
      <c r="P86" s="7" t="n">
        <v>477.3</v>
      </c>
      <c r="R86" s="7" t="n">
        <v>622.7</v>
      </c>
      <c r="T86" s="7" t="n">
        <v>241.2</v>
      </c>
      <c r="V86" s="7" t="n">
        <v>348.5</v>
      </c>
      <c r="X86" s="7" t="n">
        <v>299.4</v>
      </c>
      <c r="Z86" s="7" t="n">
        <v>231.2</v>
      </c>
      <c r="AB86" s="7" t="n">
        <v>5473.2</v>
      </c>
    </row>
    <row r="87">
      <c r="A87" s="4" t="inlineStr">
        <is>
          <t>保险费</t>
        </is>
      </c>
      <c r="D87" s="7" t="n">
        <v>824.6</v>
      </c>
      <c r="F87" s="7" t="n">
        <v>1643.4</v>
      </c>
      <c r="H87" s="7" t="n">
        <v>1854.6</v>
      </c>
      <c r="J87" s="7" t="n">
        <v>2283.9</v>
      </c>
      <c r="L87" s="7" t="n">
        <v>772.1</v>
      </c>
      <c r="N87" s="7" t="n">
        <v>0</v>
      </c>
      <c r="P87" s="7" t="n">
        <v>1450.9</v>
      </c>
      <c r="R87" s="7" t="n">
        <v>1484.7</v>
      </c>
      <c r="T87" s="7" t="n">
        <v>420.4</v>
      </c>
      <c r="V87" s="7" t="n">
        <v>1203.4</v>
      </c>
      <c r="X87" s="7" t="n">
        <v>496.6</v>
      </c>
      <c r="Z87" s="7" t="n">
        <v>432.7</v>
      </c>
      <c r="AB87" s="7" t="n">
        <v>12867.3</v>
      </c>
    </row>
    <row r="88">
      <c r="A88" s="4" t="inlineStr">
        <is>
          <t>清洁费</t>
        </is>
      </c>
      <c r="D88" s="7" t="n">
        <v>1282.3</v>
      </c>
      <c r="F88" s="7" t="n">
        <v>1690.7</v>
      </c>
      <c r="H88" s="7" t="n">
        <v>2766.5</v>
      </c>
      <c r="J88" s="7" t="n">
        <v>3576.8</v>
      </c>
      <c r="L88" s="7" t="n">
        <v>1169.8</v>
      </c>
      <c r="N88" s="7" t="n">
        <v>0</v>
      </c>
      <c r="P88" s="7" t="n">
        <v>2273.5</v>
      </c>
      <c r="R88" s="7" t="n">
        <v>1411.8</v>
      </c>
      <c r="T88" s="7" t="n">
        <v>469</v>
      </c>
      <c r="V88" s="7" t="n">
        <v>896.8</v>
      </c>
      <c r="X88" s="7" t="n">
        <v>689.9</v>
      </c>
      <c r="Z88" s="7" t="n">
        <v>543.1</v>
      </c>
      <c r="AB88" s="7" t="n">
        <v>16770.2</v>
      </c>
    </row>
    <row r="89">
      <c r="A89" s="4" t="inlineStr">
        <is>
          <t>低值易耗品</t>
        </is>
      </c>
      <c r="D89" s="7" t="n">
        <v>2306.6</v>
      </c>
      <c r="F89" s="7" t="n">
        <v>3130.4</v>
      </c>
      <c r="H89" s="7" t="n">
        <v>3627.7</v>
      </c>
      <c r="J89" s="7" t="n">
        <v>3766.6</v>
      </c>
      <c r="L89" s="7" t="n">
        <v>2268</v>
      </c>
      <c r="N89" s="7" t="n">
        <v>0</v>
      </c>
      <c r="P89" s="7" t="n">
        <v>2415.6</v>
      </c>
      <c r="R89" s="7" t="n">
        <v>2371.9</v>
      </c>
      <c r="T89" s="7" t="n">
        <v>864.5</v>
      </c>
      <c r="V89" s="7" t="n">
        <v>2036.3</v>
      </c>
      <c r="X89" s="7" t="n">
        <v>903.2</v>
      </c>
      <c r="Z89" s="7" t="n">
        <v>892.6</v>
      </c>
      <c r="AB89" s="7" t="n">
        <v>24583.4</v>
      </c>
    </row>
    <row r="90">
      <c r="A90" s="4" t="inlineStr">
        <is>
          <t>物料消耗</t>
        </is>
      </c>
      <c r="D90" s="7" t="n">
        <v>1640.1</v>
      </c>
      <c r="F90" s="7" t="n">
        <v>1509.9</v>
      </c>
      <c r="H90" s="7" t="n">
        <v>1854.1</v>
      </c>
      <c r="J90" s="7" t="n">
        <v>3554.6</v>
      </c>
      <c r="L90" s="7" t="n">
        <v>1499.4</v>
      </c>
      <c r="N90" s="7" t="n">
        <v>0</v>
      </c>
      <c r="P90" s="7" t="n">
        <v>2048.9</v>
      </c>
      <c r="R90" s="7" t="n">
        <v>1239.7</v>
      </c>
      <c r="T90" s="7" t="n">
        <v>813.4</v>
      </c>
      <c r="V90" s="7" t="n">
        <v>1697.7</v>
      </c>
      <c r="X90" s="7" t="n">
        <v>853</v>
      </c>
      <c r="Z90" s="7" t="n">
        <v>783.9</v>
      </c>
      <c r="AB90" s="7" t="n">
        <v>17494.7</v>
      </c>
    </row>
    <row r="91">
      <c r="A91" s="4" t="inlineStr">
        <is>
          <t>盘盈盘亏</t>
        </is>
      </c>
      <c r="D91" s="7" t="n">
        <v>1733.9</v>
      </c>
      <c r="F91" s="7" t="n">
        <v>3069.3</v>
      </c>
      <c r="H91" s="7" t="n">
        <v>2937.7</v>
      </c>
      <c r="J91" s="7" t="n">
        <v>4758.7</v>
      </c>
      <c r="L91" s="7" t="n">
        <v>1444.5</v>
      </c>
      <c r="N91" s="7" t="n">
        <v>0</v>
      </c>
      <c r="P91" s="7" t="n">
        <v>2213.4</v>
      </c>
      <c r="R91" s="7" t="n">
        <v>1821.7</v>
      </c>
      <c r="T91" s="7" t="n">
        <v>936.9</v>
      </c>
      <c r="V91" s="7" t="n">
        <v>1634.4</v>
      </c>
      <c r="X91" s="7" t="n">
        <v>954.5</v>
      </c>
      <c r="Z91" s="7" t="n">
        <v>800.1</v>
      </c>
      <c r="AB91" s="7" t="n">
        <v>22305.1</v>
      </c>
    </row>
    <row r="92">
      <c r="A92" s="4" t="inlineStr">
        <is>
          <t>平台服务费</t>
        </is>
      </c>
      <c r="D92" s="7" t="n">
        <v>1245.9</v>
      </c>
      <c r="F92" s="7" t="n">
        <v>1228.4</v>
      </c>
      <c r="H92" s="7" t="n">
        <v>2047.9</v>
      </c>
      <c r="J92" s="7" t="n">
        <v>1913.1</v>
      </c>
      <c r="L92" s="7" t="n">
        <v>1036.4</v>
      </c>
      <c r="N92" s="7" t="n">
        <v>0</v>
      </c>
      <c r="P92" s="7" t="n">
        <v>1526</v>
      </c>
      <c r="R92" s="7" t="n">
        <v>760.1</v>
      </c>
      <c r="T92" s="7" t="n">
        <v>490.5</v>
      </c>
      <c r="V92" s="7" t="n">
        <v>743.9</v>
      </c>
      <c r="X92" s="7" t="n">
        <v>604</v>
      </c>
      <c r="Z92" s="7" t="n">
        <v>400.9</v>
      </c>
      <c r="AB92" s="7" t="n">
        <v>11997.1</v>
      </c>
    </row>
    <row r="93">
      <c r="A93" s="4" t="inlineStr">
        <is>
          <t>无形资产摊销</t>
        </is>
      </c>
      <c r="D93" s="7" t="n">
        <v>860.8</v>
      </c>
      <c r="F93" s="7" t="n">
        <v>1370.7</v>
      </c>
      <c r="H93" s="7" t="n">
        <v>1281.4</v>
      </c>
      <c r="J93" s="7" t="n">
        <v>1945.4</v>
      </c>
      <c r="L93" s="7" t="n">
        <v>642.8</v>
      </c>
      <c r="N93" s="7" t="n">
        <v>0</v>
      </c>
      <c r="P93" s="7" t="n">
        <v>1179.7</v>
      </c>
      <c r="R93" s="7" t="n">
        <v>1160.8</v>
      </c>
      <c r="T93" s="7" t="n">
        <v>298.9</v>
      </c>
      <c r="V93" s="7" t="n">
        <v>682.8</v>
      </c>
      <c r="X93" s="7" t="n">
        <v>428.5</v>
      </c>
      <c r="Z93" s="7" t="n">
        <v>404.4</v>
      </c>
      <c r="AB93" s="7" t="n">
        <v>10256.2</v>
      </c>
    </row>
    <row r="94">
      <c r="A94" s="4" t="inlineStr">
        <is>
          <t>研发材料</t>
        </is>
      </c>
      <c r="D94" s="7" t="n">
        <v>1827.7</v>
      </c>
      <c r="F94" s="7" t="n">
        <v>2890.8</v>
      </c>
      <c r="H94" s="7" t="n">
        <v>2011</v>
      </c>
      <c r="J94" s="7" t="n">
        <v>3973.5</v>
      </c>
      <c r="L94" s="7" t="n">
        <v>1685.2</v>
      </c>
      <c r="N94" s="7" t="n">
        <v>0</v>
      </c>
      <c r="P94" s="7" t="n">
        <v>2256.6</v>
      </c>
      <c r="R94" s="7" t="n">
        <v>1603.3</v>
      </c>
      <c r="T94" s="7" t="n">
        <v>803.8</v>
      </c>
      <c r="V94" s="7" t="n">
        <v>1442</v>
      </c>
      <c r="X94" s="7" t="n">
        <v>703.3</v>
      </c>
      <c r="Z94" s="7" t="n">
        <v>856.8</v>
      </c>
      <c r="AB94" s="7" t="n">
        <v>20054</v>
      </c>
    </row>
    <row r="95">
      <c r="A95" s="4" t="inlineStr">
        <is>
          <t>项目名称</t>
        </is>
      </c>
      <c r="D95" s="7" t="n">
        <v>656.6</v>
      </c>
      <c r="F95" s="7" t="n">
        <v>1081.8</v>
      </c>
      <c r="H95" s="7" t="n">
        <v>810.9</v>
      </c>
      <c r="J95" s="7" t="n">
        <v>1083.4</v>
      </c>
      <c r="L95" s="7" t="n">
        <v>666.6</v>
      </c>
      <c r="N95" s="7" t="n">
        <v>0</v>
      </c>
      <c r="P95" s="7" t="n">
        <v>1014.2</v>
      </c>
      <c r="R95" s="7" t="n">
        <v>670.3</v>
      </c>
      <c r="T95" s="7" t="n">
        <v>228.7</v>
      </c>
      <c r="V95" s="7" t="n">
        <v>471.5</v>
      </c>
      <c r="X95" s="7" t="n">
        <v>311.1</v>
      </c>
      <c r="Z95" s="7" t="n">
        <v>248.1</v>
      </c>
      <c r="AB95" s="7" t="n">
        <v>7243.2</v>
      </c>
    </row>
    <row r="96">
      <c r="A96" s="4" t="inlineStr">
        <is>
          <t>研发费</t>
        </is>
      </c>
      <c r="D96" s="7" t="n">
        <v>192.4</v>
      </c>
      <c r="F96" s="7" t="n">
        <v>287</v>
      </c>
      <c r="H96" s="7" t="n">
        <v>390.4</v>
      </c>
      <c r="J96" s="7" t="n">
        <v>379</v>
      </c>
      <c r="L96" s="7" t="n">
        <v>188.2</v>
      </c>
      <c r="N96" s="7" t="n">
        <v>0</v>
      </c>
      <c r="P96" s="7" t="n">
        <v>197.9</v>
      </c>
      <c r="R96" s="7" t="n">
        <v>262.1</v>
      </c>
      <c r="T96" s="7" t="n">
        <v>68.3</v>
      </c>
      <c r="V96" s="7" t="n">
        <v>222.8</v>
      </c>
      <c r="X96" s="7" t="n">
        <v>127.1</v>
      </c>
      <c r="Z96" s="7" t="n">
        <v>85.7</v>
      </c>
      <c r="AB96" s="7" t="n">
        <v>2400.9</v>
      </c>
    </row>
    <row r="97">
      <c r="A97" s="4" t="inlineStr">
        <is>
          <t>残保金</t>
        </is>
      </c>
      <c r="D97" s="7" t="n">
        <v>2737.8</v>
      </c>
      <c r="F97" s="7" t="n">
        <v>2580</v>
      </c>
      <c r="H97" s="7" t="n">
        <v>4024.9</v>
      </c>
      <c r="J97" s="7" t="n">
        <v>3477.9</v>
      </c>
      <c r="L97" s="7" t="n">
        <v>1758</v>
      </c>
      <c r="N97" s="7" t="n">
        <v>0</v>
      </c>
      <c r="P97" s="7" t="n">
        <v>2421.4</v>
      </c>
      <c r="R97" s="7" t="n">
        <v>2418.3</v>
      </c>
      <c r="T97" s="7" t="n">
        <v>1003.3</v>
      </c>
      <c r="V97" s="7" t="n">
        <v>1573.8</v>
      </c>
      <c r="X97" s="7" t="n">
        <v>1256.2</v>
      </c>
      <c r="Z97" s="7" t="n">
        <v>667.8</v>
      </c>
      <c r="AB97" s="7" t="n">
        <v>23919.4</v>
      </c>
    </row>
    <row r="98">
      <c r="A98" s="4" t="inlineStr">
        <is>
          <t>环保费</t>
        </is>
      </c>
      <c r="D98" s="7" t="n">
        <v>291.1</v>
      </c>
      <c r="F98" s="7" t="n">
        <v>349.3</v>
      </c>
      <c r="H98" s="7" t="n">
        <v>453</v>
      </c>
      <c r="J98" s="7" t="n">
        <v>436.8</v>
      </c>
      <c r="L98" s="7" t="n">
        <v>254.5</v>
      </c>
      <c r="N98" s="7" t="n">
        <v>0</v>
      </c>
      <c r="P98" s="7" t="n">
        <v>378.6</v>
      </c>
      <c r="R98" s="7" t="n">
        <v>216.6</v>
      </c>
      <c r="T98" s="7" t="n">
        <v>120.1</v>
      </c>
      <c r="V98" s="7" t="n">
        <v>185.3</v>
      </c>
      <c r="X98" s="7" t="n">
        <v>153.1</v>
      </c>
      <c r="Z98" s="7" t="n">
        <v>154</v>
      </c>
      <c r="AB98" s="7" t="n">
        <v>2992.4</v>
      </c>
    </row>
    <row r="99">
      <c r="A99" s="4" t="inlineStr">
        <is>
          <t>报废损失</t>
        </is>
      </c>
      <c r="D99" s="7" t="n">
        <v>2029.4</v>
      </c>
      <c r="F99" s="7" t="n">
        <v>2579.8</v>
      </c>
      <c r="H99" s="7" t="n">
        <v>3271.8</v>
      </c>
      <c r="J99" s="7" t="n">
        <v>4531.7</v>
      </c>
      <c r="L99" s="7" t="n">
        <v>1724.2</v>
      </c>
      <c r="N99" s="7" t="n">
        <v>0</v>
      </c>
      <c r="P99" s="7" t="n">
        <v>2910.9</v>
      </c>
      <c r="R99" s="7" t="n">
        <v>2061.8</v>
      </c>
      <c r="T99" s="7" t="n">
        <v>975.9</v>
      </c>
      <c r="V99" s="7" t="n">
        <v>2062.5</v>
      </c>
      <c r="X99" s="7" t="n">
        <v>762.1</v>
      </c>
      <c r="Z99" s="7" t="n">
        <v>1085.6</v>
      </c>
      <c r="AB99" s="7" t="n">
        <v>23995.7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163559.7</v>
      </c>
      <c r="D100" s="7" t="n">
        <v>137145.3</v>
      </c>
      <c r="E100" s="7" t="n">
        <v>173245.2</v>
      </c>
      <c r="F100" s="7" t="n">
        <v>219753</v>
      </c>
      <c r="G100" s="7" t="n">
        <v>181743.6</v>
      </c>
      <c r="H100" s="7" t="n">
        <v>259848.7</v>
      </c>
      <c r="I100" s="7" t="n">
        <v>188321.9</v>
      </c>
      <c r="J100" s="7" t="n">
        <v>317199.8</v>
      </c>
      <c r="K100" s="7" t="n">
        <v>168332.1</v>
      </c>
      <c r="L100" s="7" t="n">
        <v>176481.8</v>
      </c>
      <c r="M100" s="7" t="n">
        <v>147151.6</v>
      </c>
      <c r="N100" s="7" t="n">
        <v>0</v>
      </c>
      <c r="O100" s="7" t="n">
        <v>175669.1</v>
      </c>
      <c r="P100" s="7" t="n">
        <v>155125.1</v>
      </c>
      <c r="Q100" s="7" t="n">
        <v>146371.7</v>
      </c>
      <c r="R100" s="7" t="n">
        <v>356957</v>
      </c>
      <c r="S100" s="7" t="n">
        <v>188734.9</v>
      </c>
      <c r="T100" s="7" t="n">
        <v>87916.39999999999</v>
      </c>
      <c r="U100" s="7" t="n">
        <v>147016.9</v>
      </c>
      <c r="V100" s="7" t="n">
        <v>216835.3</v>
      </c>
      <c r="W100" s="7" t="n">
        <v>157653.7</v>
      </c>
      <c r="X100" s="7" t="n">
        <v>75847.3</v>
      </c>
      <c r="Y100" s="7" t="n">
        <v>168061.6</v>
      </c>
      <c r="Z100" s="7" t="n">
        <v>58690.8</v>
      </c>
      <c r="AA100" s="8" t="n">
        <v>2005862</v>
      </c>
      <c r="AB100" s="8" t="n">
        <v>2061800.5</v>
      </c>
    </row>
    <row r="101">
      <c r="A101" s="4" t="inlineStr">
        <is>
          <t>职工薪酬</t>
        </is>
      </c>
      <c r="D101" s="7" t="n">
        <v>73117</v>
      </c>
      <c r="F101" s="7" t="n">
        <v>100280.5</v>
      </c>
      <c r="H101" s="7" t="n">
        <v>119193.1</v>
      </c>
      <c r="J101" s="7" t="n">
        <v>128443.7</v>
      </c>
      <c r="L101" s="7" t="n">
        <v>97279.10000000001</v>
      </c>
      <c r="N101" s="7" t="n">
        <v>0</v>
      </c>
      <c r="P101" s="7" t="n">
        <v>83098.5</v>
      </c>
      <c r="R101" s="7" t="n">
        <v>173540.6</v>
      </c>
      <c r="T101" s="7" t="n">
        <v>55086.9</v>
      </c>
      <c r="V101" s="7" t="n">
        <v>98641.8</v>
      </c>
      <c r="X101" s="7" t="n">
        <v>36073.5</v>
      </c>
      <c r="Z101" s="7" t="n">
        <v>27631.8</v>
      </c>
      <c r="AB101" s="7" t="n">
        <v>992386.5</v>
      </c>
    </row>
    <row r="102">
      <c r="A102" s="4" t="inlineStr">
        <is>
          <t>工资</t>
        </is>
      </c>
      <c r="D102" s="7" t="n">
        <v>47882.7</v>
      </c>
      <c r="F102" s="7" t="n">
        <v>54302.3</v>
      </c>
      <c r="H102" s="7" t="n">
        <v>63061.5</v>
      </c>
      <c r="J102" s="7" t="n">
        <v>68109.3</v>
      </c>
      <c r="L102" s="7" t="n">
        <v>56182.3</v>
      </c>
      <c r="N102" s="7" t="n">
        <v>0</v>
      </c>
      <c r="P102" s="7" t="n">
        <v>54340.8</v>
      </c>
      <c r="R102" s="7" t="n">
        <v>109662.1</v>
      </c>
      <c r="T102" s="7" t="n">
        <v>33569.9</v>
      </c>
      <c r="V102" s="7" t="n">
        <v>58316.3</v>
      </c>
      <c r="X102" s="7" t="n">
        <v>20233.1</v>
      </c>
      <c r="Z102" s="7" t="n">
        <v>14756</v>
      </c>
      <c r="AB102" s="7" t="n">
        <v>580416.3</v>
      </c>
    </row>
    <row r="103">
      <c r="A103" s="4" t="inlineStr">
        <is>
          <t>奖金及提成</t>
        </is>
      </c>
      <c r="D103" s="7" t="n">
        <v>11318.4</v>
      </c>
      <c r="F103" s="7" t="n">
        <v>19376.9</v>
      </c>
      <c r="H103" s="7" t="n">
        <v>24804.4</v>
      </c>
      <c r="J103" s="7" t="n">
        <v>27363.1</v>
      </c>
      <c r="L103" s="7" t="n">
        <v>22268.1</v>
      </c>
      <c r="N103" s="7" t="n">
        <v>0</v>
      </c>
      <c r="P103" s="7" t="n">
        <v>14166.1</v>
      </c>
      <c r="R103" s="7" t="n">
        <v>27927.9</v>
      </c>
      <c r="T103" s="7" t="n">
        <v>10895.7</v>
      </c>
      <c r="V103" s="7" t="n">
        <v>20898.3</v>
      </c>
      <c r="X103" s="7" t="n">
        <v>9105.4</v>
      </c>
      <c r="Z103" s="7" t="n">
        <v>5429.3</v>
      </c>
      <c r="AB103" s="7" t="n">
        <v>193553.6</v>
      </c>
    </row>
    <row r="104">
      <c r="A104" s="4" t="inlineStr">
        <is>
          <t>社保</t>
        </is>
      </c>
      <c r="D104" s="7" t="n">
        <v>10602.7</v>
      </c>
      <c r="F104" s="7" t="n">
        <v>20153.4</v>
      </c>
      <c r="H104" s="7" t="n">
        <v>23780.3</v>
      </c>
      <c r="J104" s="7" t="n">
        <v>23555.3</v>
      </c>
      <c r="L104" s="7" t="n">
        <v>13668</v>
      </c>
      <c r="N104" s="7" t="n">
        <v>0</v>
      </c>
      <c r="P104" s="7" t="n">
        <v>10218.1</v>
      </c>
      <c r="R104" s="7" t="n">
        <v>26509.1</v>
      </c>
      <c r="T104" s="7" t="n">
        <v>8360.5</v>
      </c>
      <c r="V104" s="7" t="n">
        <v>13109.2</v>
      </c>
      <c r="X104" s="7" t="n">
        <v>4884.9</v>
      </c>
      <c r="Z104" s="7" t="n">
        <v>5859.5</v>
      </c>
      <c r="AB104" s="7" t="n">
        <v>160701</v>
      </c>
    </row>
    <row r="105">
      <c r="A105" s="4" t="inlineStr">
        <is>
          <t>养老</t>
        </is>
      </c>
      <c r="D105" s="7" t="n">
        <v>503.7</v>
      </c>
      <c r="F105" s="7" t="n">
        <v>1204.8</v>
      </c>
      <c r="H105" s="7" t="n">
        <v>953.3</v>
      </c>
      <c r="J105" s="7" t="n">
        <v>1497.1</v>
      </c>
      <c r="L105" s="7" t="n">
        <v>891.2</v>
      </c>
      <c r="N105" s="7" t="n">
        <v>0</v>
      </c>
      <c r="P105" s="7" t="n">
        <v>656</v>
      </c>
      <c r="R105" s="7" t="n">
        <v>1381.4</v>
      </c>
      <c r="T105" s="7" t="n">
        <v>539.3</v>
      </c>
      <c r="V105" s="7" t="n">
        <v>1215.5</v>
      </c>
      <c r="X105" s="7" t="n">
        <v>330</v>
      </c>
      <c r="Z105" s="7" t="n">
        <v>237.9</v>
      </c>
      <c r="AB105" s="7" t="n">
        <v>9410.200000000001</v>
      </c>
    </row>
    <row r="106">
      <c r="A106" s="4" t="inlineStr">
        <is>
          <t>医疗</t>
        </is>
      </c>
      <c r="D106" s="7" t="n">
        <v>98.09999999999999</v>
      </c>
      <c r="F106" s="7" t="n">
        <v>113.7</v>
      </c>
      <c r="H106" s="7" t="n">
        <v>225.6</v>
      </c>
      <c r="J106" s="7" t="n">
        <v>219</v>
      </c>
      <c r="L106" s="7" t="n">
        <v>157.4</v>
      </c>
      <c r="N106" s="7" t="n">
        <v>0</v>
      </c>
      <c r="P106" s="7" t="n">
        <v>144.4</v>
      </c>
      <c r="R106" s="7" t="n">
        <v>315.1</v>
      </c>
      <c r="T106" s="7" t="n">
        <v>62</v>
      </c>
      <c r="V106" s="7" t="n">
        <v>192.5</v>
      </c>
      <c r="X106" s="7" t="n">
        <v>49</v>
      </c>
      <c r="Z106" s="7" t="n">
        <v>56</v>
      </c>
      <c r="AB106" s="7" t="n">
        <v>1632.8</v>
      </c>
    </row>
    <row r="107">
      <c r="A107" s="4" t="inlineStr">
        <is>
          <t>工伤</t>
        </is>
      </c>
      <c r="D107" s="7" t="n">
        <v>82.5</v>
      </c>
      <c r="F107" s="7" t="n">
        <v>113.6</v>
      </c>
      <c r="H107" s="7" t="n">
        <v>141.4</v>
      </c>
      <c r="J107" s="7" t="n">
        <v>223.2</v>
      </c>
      <c r="L107" s="7" t="n">
        <v>84.5</v>
      </c>
      <c r="N107" s="7" t="n">
        <v>0</v>
      </c>
      <c r="P107" s="7" t="n">
        <v>76.8</v>
      </c>
      <c r="R107" s="7" t="n">
        <v>155.1</v>
      </c>
      <c r="T107" s="7" t="n">
        <v>41.4</v>
      </c>
      <c r="V107" s="7" t="n">
        <v>124.7</v>
      </c>
      <c r="X107" s="7" t="n">
        <v>32.6</v>
      </c>
      <c r="Z107" s="7" t="n">
        <v>25.8</v>
      </c>
      <c r="AB107" s="7" t="n">
        <v>1101.6</v>
      </c>
    </row>
    <row r="108">
      <c r="A108" s="4" t="inlineStr">
        <is>
          <t>失业</t>
        </is>
      </c>
      <c r="D108" s="7" t="n">
        <v>723.5</v>
      </c>
      <c r="F108" s="7" t="n">
        <v>737.9</v>
      </c>
      <c r="H108" s="7" t="n">
        <v>1399.2</v>
      </c>
      <c r="J108" s="7" t="n">
        <v>1763.5</v>
      </c>
      <c r="L108" s="7" t="n">
        <v>882.1</v>
      </c>
      <c r="N108" s="7" t="n">
        <v>0</v>
      </c>
      <c r="P108" s="7" t="n">
        <v>670.9</v>
      </c>
      <c r="R108" s="7" t="n">
        <v>1292.6</v>
      </c>
      <c r="T108" s="7" t="n">
        <v>322</v>
      </c>
      <c r="V108" s="7" t="n">
        <v>1247</v>
      </c>
      <c r="X108" s="7" t="n">
        <v>442.2</v>
      </c>
      <c r="Z108" s="7" t="n">
        <v>306.3</v>
      </c>
      <c r="AB108" s="7" t="n">
        <v>9787.200000000001</v>
      </c>
    </row>
    <row r="109">
      <c r="A109" s="4" t="inlineStr">
        <is>
          <t>生育</t>
        </is>
      </c>
      <c r="D109" s="7" t="n">
        <v>589.5</v>
      </c>
      <c r="F109" s="7" t="n">
        <v>1433.3</v>
      </c>
      <c r="H109" s="7" t="n">
        <v>1057.1</v>
      </c>
      <c r="J109" s="7" t="n">
        <v>1344</v>
      </c>
      <c r="L109" s="7" t="n">
        <v>936.4</v>
      </c>
      <c r="N109" s="7" t="n">
        <v>0</v>
      </c>
      <c r="P109" s="7" t="n">
        <v>886.2</v>
      </c>
      <c r="R109" s="7" t="n">
        <v>2362.1</v>
      </c>
      <c r="T109" s="7" t="n">
        <v>401.3</v>
      </c>
      <c r="V109" s="7" t="n">
        <v>1028.5</v>
      </c>
      <c r="X109" s="7" t="n">
        <v>471.5</v>
      </c>
      <c r="Z109" s="7" t="n">
        <v>280.3</v>
      </c>
      <c r="AB109" s="7" t="n">
        <v>10790.2</v>
      </c>
    </row>
    <row r="110">
      <c r="A110" s="4" t="inlineStr">
        <is>
          <t>公积金</t>
        </is>
      </c>
      <c r="D110" s="7" t="n">
        <v>575.9</v>
      </c>
      <c r="F110" s="7" t="n">
        <v>1566.7</v>
      </c>
      <c r="H110" s="7" t="n">
        <v>1890.3</v>
      </c>
      <c r="J110" s="7" t="n">
        <v>1345.7</v>
      </c>
      <c r="L110" s="7" t="n">
        <v>952.7</v>
      </c>
      <c r="N110" s="7" t="n">
        <v>0</v>
      </c>
      <c r="P110" s="7" t="n">
        <v>917.8</v>
      </c>
      <c r="R110" s="7" t="n">
        <v>1653.8</v>
      </c>
      <c r="T110" s="7" t="n">
        <v>363.3</v>
      </c>
      <c r="V110" s="7" t="n">
        <v>1565</v>
      </c>
      <c r="X110" s="7" t="n">
        <v>333.9</v>
      </c>
      <c r="Z110" s="7" t="n">
        <v>442.3</v>
      </c>
      <c r="AB110" s="7" t="n">
        <v>11607.4</v>
      </c>
    </row>
    <row r="111">
      <c r="A111" s="4" t="inlineStr">
        <is>
          <t>工会经费</t>
        </is>
      </c>
      <c r="D111" s="7" t="n">
        <v>99.59999999999999</v>
      </c>
      <c r="F111" s="7" t="n">
        <v>209</v>
      </c>
      <c r="H111" s="7" t="n">
        <v>232.5</v>
      </c>
      <c r="J111" s="7" t="n">
        <v>239</v>
      </c>
      <c r="L111" s="7" t="n">
        <v>101.6</v>
      </c>
      <c r="N111" s="7" t="n">
        <v>0</v>
      </c>
      <c r="P111" s="7" t="n">
        <v>123.7</v>
      </c>
      <c r="R111" s="7" t="n">
        <v>233.3</v>
      </c>
      <c r="T111" s="7" t="n">
        <v>63.6</v>
      </c>
      <c r="V111" s="7" t="n">
        <v>198.5</v>
      </c>
      <c r="X111" s="7" t="n">
        <v>43.4</v>
      </c>
      <c r="Z111" s="7" t="n">
        <v>47.3</v>
      </c>
      <c r="AB111" s="7" t="n">
        <v>1591.5</v>
      </c>
    </row>
    <row r="112">
      <c r="A112" s="4" t="inlineStr">
        <is>
          <t>职工教育经费</t>
        </is>
      </c>
      <c r="D112" s="7" t="n">
        <v>351.2</v>
      </c>
      <c r="F112" s="7" t="n">
        <v>595.2</v>
      </c>
      <c r="H112" s="7" t="n">
        <v>614.6</v>
      </c>
      <c r="J112" s="7" t="n">
        <v>873.9</v>
      </c>
      <c r="L112" s="7" t="n">
        <v>512.4</v>
      </c>
      <c r="N112" s="7" t="n">
        <v>0</v>
      </c>
      <c r="P112" s="7" t="n">
        <v>309.2</v>
      </c>
      <c r="R112" s="7" t="n">
        <v>665.7</v>
      </c>
      <c r="T112" s="7" t="n">
        <v>266.7</v>
      </c>
      <c r="V112" s="7" t="n">
        <v>434.2</v>
      </c>
      <c r="X112" s="7" t="n">
        <v>136.2</v>
      </c>
      <c r="Z112" s="7" t="n">
        <v>106.5</v>
      </c>
      <c r="AB112" s="7" t="n">
        <v>4865.8</v>
      </c>
    </row>
    <row r="113">
      <c r="A113" s="4" t="inlineStr">
        <is>
          <t>福利费</t>
        </is>
      </c>
      <c r="D113" s="7" t="n">
        <v>2286.5</v>
      </c>
      <c r="F113" s="7" t="n">
        <v>4077</v>
      </c>
      <c r="H113" s="7" t="n">
        <v>4809.5</v>
      </c>
      <c r="J113" s="7" t="n">
        <v>6957.4</v>
      </c>
      <c r="L113" s="7" t="n">
        <v>3594</v>
      </c>
      <c r="N113" s="7" t="n">
        <v>0</v>
      </c>
      <c r="P113" s="7" t="n">
        <v>3022.8</v>
      </c>
      <c r="R113" s="7" t="n">
        <v>6888.7</v>
      </c>
      <c r="T113" s="7" t="n">
        <v>1567.2</v>
      </c>
      <c r="V113" s="7" t="n">
        <v>4120.3</v>
      </c>
      <c r="X113" s="7" t="n">
        <v>1336.6</v>
      </c>
      <c r="Z113" s="7" t="n">
        <v>990.9</v>
      </c>
      <c r="AB113" s="7" t="n">
        <v>39650.9</v>
      </c>
    </row>
    <row r="114">
      <c r="A114" s="4" t="inlineStr">
        <is>
          <t>职工房租</t>
        </is>
      </c>
      <c r="D114" s="7" t="n">
        <v>532.4</v>
      </c>
      <c r="F114" s="7" t="n">
        <v>1043.8</v>
      </c>
      <c r="H114" s="7" t="n">
        <v>1420</v>
      </c>
      <c r="J114" s="7" t="n">
        <v>1655.8</v>
      </c>
      <c r="L114" s="7" t="n">
        <v>1108.7</v>
      </c>
      <c r="N114" s="7" t="n">
        <v>0</v>
      </c>
      <c r="P114" s="7" t="n">
        <v>961.3</v>
      </c>
      <c r="R114" s="7" t="n">
        <v>1656</v>
      </c>
      <c r="T114" s="7" t="n">
        <v>319.3</v>
      </c>
      <c r="V114" s="7" t="n">
        <v>884.6</v>
      </c>
      <c r="X114" s="7" t="n">
        <v>305.9</v>
      </c>
      <c r="Z114" s="7" t="n">
        <v>229.8</v>
      </c>
      <c r="AB114" s="7" t="n">
        <v>10117.6</v>
      </c>
    </row>
    <row r="115">
      <c r="A115" s="4" t="inlineStr">
        <is>
          <t>水电物业费</t>
        </is>
      </c>
      <c r="D115" s="7" t="n">
        <v>36.1</v>
      </c>
      <c r="F115" s="7" t="n">
        <v>39.2</v>
      </c>
      <c r="H115" s="7" t="n">
        <v>51.9</v>
      </c>
      <c r="J115" s="7" t="n">
        <v>74</v>
      </c>
      <c r="L115" s="7" t="n">
        <v>39.1</v>
      </c>
      <c r="N115" s="7" t="n">
        <v>0</v>
      </c>
      <c r="P115" s="7" t="n">
        <v>37.4</v>
      </c>
      <c r="R115" s="7" t="n">
        <v>95</v>
      </c>
      <c r="T115" s="7" t="n">
        <v>20.6</v>
      </c>
      <c r="V115" s="7" t="n">
        <v>47.1</v>
      </c>
      <c r="X115" s="7" t="n">
        <v>14.1</v>
      </c>
      <c r="Z115" s="7" t="n">
        <v>14.1</v>
      </c>
      <c r="AB115" s="7" t="n">
        <v>468.6</v>
      </c>
    </row>
    <row r="116">
      <c r="A116" s="4" t="inlineStr">
        <is>
          <t>员工餐</t>
        </is>
      </c>
      <c r="D116" s="7" t="n">
        <v>378.3</v>
      </c>
      <c r="F116" s="7" t="n">
        <v>682.5</v>
      </c>
      <c r="H116" s="7" t="n">
        <v>1080</v>
      </c>
      <c r="J116" s="7" t="n">
        <v>1424.2</v>
      </c>
      <c r="L116" s="7" t="n">
        <v>570</v>
      </c>
      <c r="N116" s="7" t="n">
        <v>0</v>
      </c>
      <c r="P116" s="7" t="n">
        <v>473.7</v>
      </c>
      <c r="R116" s="7" t="n">
        <v>1513.1</v>
      </c>
      <c r="T116" s="7" t="n">
        <v>312.3</v>
      </c>
      <c r="V116" s="7" t="n">
        <v>798.9</v>
      </c>
      <c r="X116" s="7" t="n">
        <v>298.1</v>
      </c>
      <c r="Z116" s="7" t="n">
        <v>231.3</v>
      </c>
      <c r="AB116" s="7" t="n">
        <v>7762.4</v>
      </c>
    </row>
    <row r="117">
      <c r="A117" s="4" t="inlineStr">
        <is>
          <t>节日礼品</t>
        </is>
      </c>
      <c r="D117" s="7" t="n">
        <v>311.4</v>
      </c>
      <c r="F117" s="7" t="n">
        <v>364</v>
      </c>
      <c r="H117" s="7" t="n">
        <v>536.3</v>
      </c>
      <c r="J117" s="7" t="n">
        <v>772.9</v>
      </c>
      <c r="L117" s="7" t="n">
        <v>506.7</v>
      </c>
      <c r="N117" s="7" t="n">
        <v>0</v>
      </c>
      <c r="P117" s="7" t="n">
        <v>291.2</v>
      </c>
      <c r="R117" s="7" t="n">
        <v>780.9</v>
      </c>
      <c r="T117" s="7" t="n">
        <v>151.3</v>
      </c>
      <c r="V117" s="7" t="n">
        <v>501.6</v>
      </c>
      <c r="X117" s="7" t="n">
        <v>149.4</v>
      </c>
      <c r="Z117" s="7" t="n">
        <v>161.3</v>
      </c>
      <c r="AB117" s="7" t="n">
        <v>4527</v>
      </c>
    </row>
    <row r="118">
      <c r="A118" s="4" t="inlineStr">
        <is>
          <t>生日礼品</t>
        </is>
      </c>
      <c r="D118" s="7" t="n">
        <v>265.5</v>
      </c>
      <c r="F118" s="7" t="n">
        <v>571</v>
      </c>
      <c r="H118" s="7" t="n">
        <v>392.3</v>
      </c>
      <c r="J118" s="7" t="n">
        <v>779.2</v>
      </c>
      <c r="L118" s="7" t="n">
        <v>356.3</v>
      </c>
      <c r="N118" s="7" t="n">
        <v>0</v>
      </c>
      <c r="P118" s="7" t="n">
        <v>395</v>
      </c>
      <c r="R118" s="7" t="n">
        <v>933.6</v>
      </c>
      <c r="T118" s="7" t="n">
        <v>144.6</v>
      </c>
      <c r="V118" s="7" t="n">
        <v>525.6</v>
      </c>
      <c r="X118" s="7" t="n">
        <v>127.2</v>
      </c>
      <c r="Z118" s="7" t="n">
        <v>83.90000000000001</v>
      </c>
      <c r="AB118" s="7" t="n">
        <v>4574.2</v>
      </c>
    </row>
    <row r="119">
      <c r="A119" s="4" t="inlineStr">
        <is>
          <t>体检</t>
        </is>
      </c>
      <c r="D119" s="7" t="n">
        <v>601.8</v>
      </c>
      <c r="F119" s="7" t="n">
        <v>1120.9</v>
      </c>
      <c r="H119" s="7" t="n">
        <v>988.6</v>
      </c>
      <c r="J119" s="7" t="n">
        <v>1854.9</v>
      </c>
      <c r="L119" s="7" t="n">
        <v>861.5</v>
      </c>
      <c r="N119" s="7" t="n">
        <v>0</v>
      </c>
      <c r="P119" s="7" t="n">
        <v>684.6</v>
      </c>
      <c r="R119" s="7" t="n">
        <v>1439</v>
      </c>
      <c r="T119" s="7" t="n">
        <v>536.3</v>
      </c>
      <c r="V119" s="7" t="n">
        <v>1062.1</v>
      </c>
      <c r="X119" s="7" t="n">
        <v>337.3</v>
      </c>
      <c r="Z119" s="7" t="n">
        <v>214.5</v>
      </c>
      <c r="AB119" s="7" t="n">
        <v>9701.5</v>
      </c>
    </row>
    <row r="120">
      <c r="A120" s="4" t="inlineStr">
        <is>
          <t>其他福利支出</t>
        </is>
      </c>
      <c r="D120" s="7" t="n">
        <v>161</v>
      </c>
      <c r="F120" s="7" t="n">
        <v>255.6</v>
      </c>
      <c r="H120" s="7" t="n">
        <v>340.4</v>
      </c>
      <c r="J120" s="7" t="n">
        <v>396.4</v>
      </c>
      <c r="L120" s="7" t="n">
        <v>151.7</v>
      </c>
      <c r="N120" s="7" t="n">
        <v>0</v>
      </c>
      <c r="P120" s="7" t="n">
        <v>179.6</v>
      </c>
      <c r="R120" s="7" t="n">
        <v>471.1</v>
      </c>
      <c r="T120" s="7" t="n">
        <v>82.8</v>
      </c>
      <c r="V120" s="7" t="n">
        <v>300.4</v>
      </c>
      <c r="X120" s="7" t="n">
        <v>104.6</v>
      </c>
      <c r="Z120" s="7" t="n">
        <v>56</v>
      </c>
      <c r="AB120" s="7" t="n">
        <v>2499.6</v>
      </c>
    </row>
    <row r="121">
      <c r="A121" s="4" t="inlineStr">
        <is>
          <t>招聘费</t>
        </is>
      </c>
      <c r="D121" s="7" t="n">
        <v>1039.7</v>
      </c>
      <c r="F121" s="7" t="n">
        <v>1605</v>
      </c>
      <c r="H121" s="7" t="n">
        <v>1505.7</v>
      </c>
      <c r="J121" s="7" t="n">
        <v>1464.8</v>
      </c>
      <c r="L121" s="7" t="n">
        <v>1316.7</v>
      </c>
      <c r="N121" s="7" t="n">
        <v>0</v>
      </c>
      <c r="P121" s="7" t="n">
        <v>779.7</v>
      </c>
      <c r="R121" s="7" t="n">
        <v>2179.4</v>
      </c>
      <c r="T121" s="7" t="n">
        <v>460.7</v>
      </c>
      <c r="V121" s="7" t="n">
        <v>1606.2</v>
      </c>
      <c r="X121" s="7" t="n">
        <v>478.5</v>
      </c>
      <c r="Z121" s="7" t="n">
        <v>442.3</v>
      </c>
      <c r="AB121" s="7" t="n">
        <v>12878.7</v>
      </c>
    </row>
    <row r="122">
      <c r="A122" s="4" t="inlineStr">
        <is>
          <t>办公费</t>
        </is>
      </c>
      <c r="D122" s="7" t="n">
        <v>3026.2</v>
      </c>
      <c r="F122" s="7" t="n">
        <v>6238.1</v>
      </c>
      <c r="H122" s="7" t="n">
        <v>6129.4</v>
      </c>
      <c r="J122" s="7" t="n">
        <v>11357</v>
      </c>
      <c r="L122" s="7" t="n">
        <v>6135</v>
      </c>
      <c r="N122" s="7" t="n">
        <v>0</v>
      </c>
      <c r="P122" s="7" t="n">
        <v>5912.8</v>
      </c>
      <c r="R122" s="7" t="n">
        <v>9054</v>
      </c>
      <c r="T122" s="7" t="n">
        <v>3090.6</v>
      </c>
      <c r="V122" s="7" t="n">
        <v>7075.2</v>
      </c>
      <c r="X122" s="7" t="n">
        <v>2126.6</v>
      </c>
      <c r="Z122" s="7" t="n">
        <v>1436.8</v>
      </c>
      <c r="AB122" s="7" t="n">
        <v>61581.7</v>
      </c>
    </row>
    <row r="123">
      <c r="A123" s="4" t="inlineStr">
        <is>
          <t>市内交通费</t>
        </is>
      </c>
      <c r="D123" s="7" t="n">
        <v>557</v>
      </c>
      <c r="F123" s="7" t="n">
        <v>1536.5</v>
      </c>
      <c r="H123" s="7" t="n">
        <v>1230.8</v>
      </c>
      <c r="J123" s="7" t="n">
        <v>2144.2</v>
      </c>
      <c r="L123" s="7" t="n">
        <v>747.4</v>
      </c>
      <c r="N123" s="7" t="n">
        <v>0</v>
      </c>
      <c r="P123" s="7" t="n">
        <v>1075</v>
      </c>
      <c r="R123" s="7" t="n">
        <v>1545</v>
      </c>
      <c r="T123" s="7" t="n">
        <v>464.7</v>
      </c>
      <c r="V123" s="7" t="n">
        <v>1308.9</v>
      </c>
      <c r="X123" s="7" t="n">
        <v>479.8</v>
      </c>
      <c r="Z123" s="7" t="n">
        <v>226.8</v>
      </c>
      <c r="AB123" s="7" t="n">
        <v>11316.1</v>
      </c>
    </row>
    <row r="124">
      <c r="A124" s="4" t="inlineStr">
        <is>
          <t>差旅费</t>
        </is>
      </c>
      <c r="D124" s="7" t="n">
        <v>6339.2</v>
      </c>
      <c r="F124" s="7" t="n">
        <v>11691.3</v>
      </c>
      <c r="H124" s="7" t="n">
        <v>11873.5</v>
      </c>
      <c r="J124" s="7" t="n">
        <v>20499.9</v>
      </c>
      <c r="L124" s="7" t="n">
        <v>10405.4</v>
      </c>
      <c r="N124" s="7" t="n">
        <v>0</v>
      </c>
      <c r="P124" s="7" t="n">
        <v>8184</v>
      </c>
      <c r="R124" s="7" t="n">
        <v>16596.8</v>
      </c>
      <c r="T124" s="7" t="n">
        <v>6043.8</v>
      </c>
      <c r="V124" s="7" t="n">
        <v>12653.9</v>
      </c>
      <c r="X124" s="7" t="n">
        <v>3377.8</v>
      </c>
      <c r="Z124" s="7" t="n">
        <v>4533.5</v>
      </c>
      <c r="AB124" s="7" t="n">
        <v>112199.1</v>
      </c>
    </row>
    <row r="125">
      <c r="A125" s="4" t="inlineStr">
        <is>
          <t>交通费</t>
        </is>
      </c>
      <c r="D125" s="7" t="n">
        <v>740.9</v>
      </c>
      <c r="F125" s="7" t="n">
        <v>1132.6</v>
      </c>
      <c r="H125" s="7" t="n">
        <v>2005.7</v>
      </c>
      <c r="J125" s="7" t="n">
        <v>1759.2</v>
      </c>
      <c r="L125" s="7" t="n">
        <v>1301</v>
      </c>
      <c r="N125" s="7" t="n">
        <v>0</v>
      </c>
      <c r="P125" s="7" t="n">
        <v>907.6</v>
      </c>
      <c r="R125" s="7" t="n">
        <v>2239.9</v>
      </c>
      <c r="T125" s="7" t="n">
        <v>643.4</v>
      </c>
      <c r="V125" s="7" t="n">
        <v>1443.3</v>
      </c>
      <c r="X125" s="7" t="n">
        <v>532.9</v>
      </c>
      <c r="Z125" s="7" t="n">
        <v>404.8</v>
      </c>
      <c r="AB125" s="7" t="n">
        <v>13111.3</v>
      </c>
    </row>
    <row r="126">
      <c r="A126" s="4" t="inlineStr">
        <is>
          <t>住宿费</t>
        </is>
      </c>
      <c r="D126" s="7" t="n">
        <v>153.9</v>
      </c>
      <c r="F126" s="7" t="n">
        <v>420.3</v>
      </c>
      <c r="H126" s="7" t="n">
        <v>406.5</v>
      </c>
      <c r="J126" s="7" t="n">
        <v>495</v>
      </c>
      <c r="L126" s="7" t="n">
        <v>238.5</v>
      </c>
      <c r="N126" s="7" t="n">
        <v>0</v>
      </c>
      <c r="P126" s="7" t="n">
        <v>251.1</v>
      </c>
      <c r="R126" s="7" t="n">
        <v>632</v>
      </c>
      <c r="T126" s="7" t="n">
        <v>165.5</v>
      </c>
      <c r="V126" s="7" t="n">
        <v>304.4</v>
      </c>
      <c r="X126" s="7" t="n">
        <v>121</v>
      </c>
      <c r="Z126" s="7" t="n">
        <v>105.4</v>
      </c>
      <c r="AB126" s="7" t="n">
        <v>3293.6</v>
      </c>
    </row>
    <row r="127">
      <c r="A127" s="4" t="inlineStr">
        <is>
          <t>餐补</t>
        </is>
      </c>
      <c r="D127" s="7" t="n">
        <v>285.9</v>
      </c>
      <c r="F127" s="7" t="n">
        <v>349.5</v>
      </c>
      <c r="H127" s="7" t="n">
        <v>406.3</v>
      </c>
      <c r="J127" s="7" t="n">
        <v>585.6</v>
      </c>
      <c r="L127" s="7" t="n">
        <v>308.6</v>
      </c>
      <c r="N127" s="7" t="n">
        <v>0</v>
      </c>
      <c r="P127" s="7" t="n">
        <v>367.6</v>
      </c>
      <c r="R127" s="7" t="n">
        <v>491.8</v>
      </c>
      <c r="T127" s="7" t="n">
        <v>122.9</v>
      </c>
      <c r="V127" s="7" t="n">
        <v>471.6</v>
      </c>
      <c r="X127" s="7" t="n">
        <v>117.9</v>
      </c>
      <c r="Z127" s="7" t="n">
        <v>107.5</v>
      </c>
      <c r="AB127" s="7" t="n">
        <v>3615.2</v>
      </c>
    </row>
    <row r="128">
      <c r="A128" s="4" t="inlineStr">
        <is>
          <t>交通补助</t>
        </is>
      </c>
      <c r="D128" s="7" t="n">
        <v>584.4</v>
      </c>
      <c r="F128" s="7" t="n">
        <v>649.4</v>
      </c>
      <c r="H128" s="7" t="n">
        <v>1176.9</v>
      </c>
      <c r="J128" s="7" t="n">
        <v>1383.3</v>
      </c>
      <c r="L128" s="7" t="n">
        <v>708.9</v>
      </c>
      <c r="N128" s="7" t="n">
        <v>0</v>
      </c>
      <c r="P128" s="7" t="n">
        <v>556.5</v>
      </c>
      <c r="R128" s="7" t="n">
        <v>1399.3</v>
      </c>
      <c r="T128" s="7" t="n">
        <v>427.7</v>
      </c>
      <c r="V128" s="7" t="n">
        <v>781.2</v>
      </c>
      <c r="X128" s="7" t="n">
        <v>311.9</v>
      </c>
      <c r="Z128" s="7" t="n">
        <v>239.8</v>
      </c>
      <c r="AB128" s="7" t="n">
        <v>8219.299999999999</v>
      </c>
    </row>
    <row r="129">
      <c r="A129" s="4" t="inlineStr">
        <is>
          <t>通讯补助</t>
        </is>
      </c>
      <c r="D129" s="7" t="n">
        <v>908.1</v>
      </c>
      <c r="F129" s="7" t="n">
        <v>1195.5</v>
      </c>
      <c r="H129" s="7" t="n">
        <v>1041.9</v>
      </c>
      <c r="J129" s="7" t="n">
        <v>1912.2</v>
      </c>
      <c r="L129" s="7" t="n">
        <v>841.6</v>
      </c>
      <c r="N129" s="7" t="n">
        <v>0</v>
      </c>
      <c r="P129" s="7" t="n">
        <v>1002.8</v>
      </c>
      <c r="R129" s="7" t="n">
        <v>1770.5</v>
      </c>
      <c r="T129" s="7" t="n">
        <v>428.3</v>
      </c>
      <c r="V129" s="7" t="n">
        <v>1293.8</v>
      </c>
      <c r="X129" s="7" t="n">
        <v>358.5</v>
      </c>
      <c r="Z129" s="7" t="n">
        <v>358.2</v>
      </c>
      <c r="AB129" s="7" t="n">
        <v>11111.4</v>
      </c>
    </row>
    <row r="130">
      <c r="A130" s="4" t="inlineStr">
        <is>
          <t>招待费</t>
        </is>
      </c>
      <c r="D130" s="7" t="n">
        <v>6645.2</v>
      </c>
      <c r="F130" s="7" t="n">
        <v>9176.9</v>
      </c>
      <c r="H130" s="7" t="n">
        <v>10535.9</v>
      </c>
      <c r="J130" s="7" t="n">
        <v>16039.1</v>
      </c>
      <c r="L130" s="7" t="n">
        <v>8385.700000000001</v>
      </c>
      <c r="N130" s="7" t="n">
        <v>0</v>
      </c>
      <c r="P130" s="7" t="n">
        <v>7238.6</v>
      </c>
      <c r="R130" s="7" t="n">
        <v>15726.7</v>
      </c>
      <c r="T130" s="7" t="n">
        <v>2515.8</v>
      </c>
      <c r="V130" s="7" t="n">
        <v>9021.700000000001</v>
      </c>
      <c r="X130" s="7" t="n">
        <v>2167.7</v>
      </c>
      <c r="Z130" s="7" t="n">
        <v>2975.8</v>
      </c>
      <c r="AB130" s="7" t="n">
        <v>90429.10000000001</v>
      </c>
    </row>
    <row r="131">
      <c r="A131" s="4" t="inlineStr">
        <is>
          <t>通讯费</t>
        </is>
      </c>
      <c r="D131" s="7" t="n">
        <v>111.3</v>
      </c>
      <c r="F131" s="7" t="n">
        <v>168.2</v>
      </c>
      <c r="H131" s="7" t="n">
        <v>191.5</v>
      </c>
      <c r="J131" s="7" t="n">
        <v>248.6</v>
      </c>
      <c r="L131" s="7" t="n">
        <v>97.40000000000001</v>
      </c>
      <c r="N131" s="7" t="n">
        <v>0</v>
      </c>
      <c r="P131" s="7" t="n">
        <v>91.09999999999999</v>
      </c>
      <c r="R131" s="7" t="n">
        <v>297</v>
      </c>
      <c r="T131" s="7" t="n">
        <v>48.4</v>
      </c>
      <c r="V131" s="7" t="n">
        <v>135.9</v>
      </c>
      <c r="X131" s="7" t="n">
        <v>35.8</v>
      </c>
      <c r="Z131" s="7" t="n">
        <v>37.1</v>
      </c>
      <c r="AB131" s="7" t="n">
        <v>1462.3</v>
      </c>
    </row>
    <row r="132">
      <c r="A132" s="4" t="inlineStr">
        <is>
          <t>网络费</t>
        </is>
      </c>
      <c r="D132" s="7" t="n">
        <v>764.6</v>
      </c>
      <c r="F132" s="7" t="n">
        <v>1679.6</v>
      </c>
      <c r="H132" s="7" t="n">
        <v>1394.1</v>
      </c>
      <c r="J132" s="7" t="n">
        <v>2396.1</v>
      </c>
      <c r="L132" s="7" t="n">
        <v>1179.3</v>
      </c>
      <c r="N132" s="7" t="n">
        <v>0</v>
      </c>
      <c r="P132" s="7" t="n">
        <v>948.4</v>
      </c>
      <c r="R132" s="7" t="n">
        <v>2108.8</v>
      </c>
      <c r="T132" s="7" t="n">
        <v>679.4</v>
      </c>
      <c r="V132" s="7" t="n">
        <v>1700.5</v>
      </c>
      <c r="X132" s="7" t="n">
        <v>598.3</v>
      </c>
      <c r="Z132" s="7" t="n">
        <v>343.3</v>
      </c>
      <c r="AB132" s="7" t="n">
        <v>13792.4</v>
      </c>
    </row>
    <row r="133">
      <c r="A133" s="4" t="inlineStr">
        <is>
          <t>修理费</t>
        </is>
      </c>
      <c r="D133" s="7" t="n">
        <v>634.1</v>
      </c>
      <c r="F133" s="7" t="n">
        <v>1067.4</v>
      </c>
      <c r="H133" s="7" t="n">
        <v>878.6</v>
      </c>
      <c r="J133" s="7" t="n">
        <v>1535</v>
      </c>
      <c r="L133" s="7" t="n">
        <v>542.7</v>
      </c>
      <c r="N133" s="7" t="n">
        <v>0</v>
      </c>
      <c r="P133" s="7" t="n">
        <v>679.5</v>
      </c>
      <c r="R133" s="7" t="n">
        <v>1280.9</v>
      </c>
      <c r="T133" s="7" t="n">
        <v>354.8</v>
      </c>
      <c r="V133" s="7" t="n">
        <v>711.4</v>
      </c>
      <c r="X133" s="7" t="n">
        <v>285</v>
      </c>
      <c r="Z133" s="7" t="n">
        <v>203.7</v>
      </c>
      <c r="AB133" s="7" t="n">
        <v>8173.1</v>
      </c>
    </row>
    <row r="134">
      <c r="A134" s="4" t="inlineStr">
        <is>
          <t>车辆费</t>
        </is>
      </c>
      <c r="D134" s="7" t="n">
        <v>579.1</v>
      </c>
      <c r="F134" s="7" t="n">
        <v>1206.5</v>
      </c>
      <c r="H134" s="7" t="n">
        <v>1491.6</v>
      </c>
      <c r="J134" s="7" t="n">
        <v>1696.3</v>
      </c>
      <c r="L134" s="7" t="n">
        <v>1044.2</v>
      </c>
      <c r="N134" s="7" t="n">
        <v>0</v>
      </c>
      <c r="P134" s="7" t="n">
        <v>551.8</v>
      </c>
      <c r="R134" s="7" t="n">
        <v>1737.1</v>
      </c>
      <c r="T134" s="7" t="n">
        <v>507.9</v>
      </c>
      <c r="V134" s="7" t="n">
        <v>1126.7</v>
      </c>
      <c r="X134" s="7" t="n">
        <v>364.6</v>
      </c>
      <c r="Z134" s="7" t="n">
        <v>314.2</v>
      </c>
      <c r="AB134" s="7" t="n">
        <v>10620</v>
      </c>
    </row>
    <row r="135">
      <c r="A135" s="4" t="inlineStr">
        <is>
          <t>租赁费</t>
        </is>
      </c>
      <c r="D135" s="7" t="n">
        <v>7014.7</v>
      </c>
      <c r="F135" s="7" t="n">
        <v>10315</v>
      </c>
      <c r="H135" s="7" t="n">
        <v>14517.5</v>
      </c>
      <c r="J135" s="7" t="n">
        <v>12992.1</v>
      </c>
      <c r="L135" s="7" t="n">
        <v>6656.2</v>
      </c>
      <c r="N135" s="7" t="n">
        <v>0</v>
      </c>
      <c r="P135" s="7" t="n">
        <v>9510.4</v>
      </c>
      <c r="R135" s="7" t="n">
        <v>16826.6</v>
      </c>
      <c r="T135" s="7" t="n">
        <v>3771.7</v>
      </c>
      <c r="V135" s="7" t="n">
        <v>12246.1</v>
      </c>
      <c r="X135" s="7" t="n">
        <v>3867.1</v>
      </c>
      <c r="Z135" s="7" t="n">
        <v>2752.8</v>
      </c>
      <c r="AB135" s="7" t="n">
        <v>100470.2</v>
      </c>
    </row>
    <row r="136">
      <c r="A136" s="4" t="inlineStr">
        <is>
          <t>能源费</t>
        </is>
      </c>
      <c r="D136" s="7" t="n">
        <v>2002.9</v>
      </c>
      <c r="F136" s="7" t="n">
        <v>3488.1</v>
      </c>
      <c r="H136" s="7" t="n">
        <v>4768.9</v>
      </c>
      <c r="J136" s="7" t="n">
        <v>5815.3</v>
      </c>
      <c r="L136" s="7" t="n">
        <v>2788.3</v>
      </c>
      <c r="N136" s="7" t="n">
        <v>0</v>
      </c>
      <c r="P136" s="7" t="n">
        <v>2837.8</v>
      </c>
      <c r="R136" s="7" t="n">
        <v>5524.3</v>
      </c>
      <c r="T136" s="7" t="n">
        <v>1541.2</v>
      </c>
      <c r="V136" s="7" t="n">
        <v>3845.8</v>
      </c>
      <c r="X136" s="7" t="n">
        <v>1109.9</v>
      </c>
      <c r="Z136" s="7" t="n">
        <v>1070.2</v>
      </c>
      <c r="AB136" s="7" t="n">
        <v>34792.7</v>
      </c>
    </row>
    <row r="137">
      <c r="A137" s="4" t="inlineStr">
        <is>
          <t>水费</t>
        </is>
      </c>
      <c r="D137" s="7" t="n">
        <v>518.8</v>
      </c>
      <c r="F137" s="7" t="n">
        <v>958.7</v>
      </c>
      <c r="H137" s="7" t="n">
        <v>1364.8</v>
      </c>
      <c r="J137" s="7" t="n">
        <v>1791</v>
      </c>
      <c r="L137" s="7" t="n">
        <v>654.5</v>
      </c>
      <c r="N137" s="7" t="n">
        <v>0</v>
      </c>
      <c r="P137" s="7" t="n">
        <v>739.3</v>
      </c>
      <c r="R137" s="7" t="n">
        <v>1296.2</v>
      </c>
      <c r="T137" s="7" t="n">
        <v>272.2</v>
      </c>
      <c r="V137" s="7" t="n">
        <v>803.2</v>
      </c>
      <c r="X137" s="7" t="n">
        <v>236.5</v>
      </c>
      <c r="Z137" s="7" t="n">
        <v>274.2</v>
      </c>
      <c r="AB137" s="7" t="n">
        <v>8909.4</v>
      </c>
    </row>
    <row r="138">
      <c r="A138" s="4" t="inlineStr">
        <is>
          <t>电费</t>
        </is>
      </c>
      <c r="D138" s="7" t="n">
        <v>714.9</v>
      </c>
      <c r="F138" s="7" t="n">
        <v>1244.6</v>
      </c>
      <c r="H138" s="7" t="n">
        <v>1486.1</v>
      </c>
      <c r="J138" s="7" t="n">
        <v>1651.2</v>
      </c>
      <c r="L138" s="7" t="n">
        <v>1172.1</v>
      </c>
      <c r="N138" s="7" t="n">
        <v>0</v>
      </c>
      <c r="P138" s="7" t="n">
        <v>917.4</v>
      </c>
      <c r="R138" s="7" t="n">
        <v>2418.7</v>
      </c>
      <c r="T138" s="7" t="n">
        <v>621.9</v>
      </c>
      <c r="V138" s="7" t="n">
        <v>1367.9</v>
      </c>
      <c r="X138" s="7" t="n">
        <v>468.4</v>
      </c>
      <c r="Z138" s="7" t="n">
        <v>415.7</v>
      </c>
      <c r="AB138" s="7" t="n">
        <v>12478.9</v>
      </c>
    </row>
    <row r="139">
      <c r="A139" s="4" t="inlineStr">
        <is>
          <t>燃气费</t>
        </is>
      </c>
      <c r="D139" s="7" t="n">
        <v>620</v>
      </c>
      <c r="F139" s="7" t="n">
        <v>1067.6</v>
      </c>
      <c r="H139" s="7" t="n">
        <v>1697.6</v>
      </c>
      <c r="J139" s="7" t="n">
        <v>2109.2</v>
      </c>
      <c r="L139" s="7" t="n">
        <v>829.4</v>
      </c>
      <c r="N139" s="7" t="n">
        <v>0</v>
      </c>
      <c r="P139" s="7" t="n">
        <v>1041.9</v>
      </c>
      <c r="R139" s="7" t="n">
        <v>1468.2</v>
      </c>
      <c r="T139" s="7" t="n">
        <v>563.2</v>
      </c>
      <c r="V139" s="7" t="n">
        <v>1475.7</v>
      </c>
      <c r="X139" s="7" t="n">
        <v>338.9</v>
      </c>
      <c r="Z139" s="7" t="n">
        <v>316.3</v>
      </c>
      <c r="AB139" s="7" t="n">
        <v>11528</v>
      </c>
    </row>
    <row r="140">
      <c r="A140" s="4" t="inlineStr">
        <is>
          <t>蒸汽费</t>
        </is>
      </c>
      <c r="D140" s="7" t="n">
        <v>149.2</v>
      </c>
      <c r="F140" s="7" t="n">
        <v>217.2</v>
      </c>
      <c r="H140" s="7" t="n">
        <v>220.4</v>
      </c>
      <c r="J140" s="7" t="n">
        <v>263.9</v>
      </c>
      <c r="L140" s="7" t="n">
        <v>132.3</v>
      </c>
      <c r="N140" s="7" t="n">
        <v>0</v>
      </c>
      <c r="P140" s="7" t="n">
        <v>139.2</v>
      </c>
      <c r="R140" s="7" t="n">
        <v>341.2</v>
      </c>
      <c r="T140" s="7" t="n">
        <v>83.90000000000001</v>
      </c>
      <c r="V140" s="7" t="n">
        <v>199</v>
      </c>
      <c r="X140" s="7" t="n">
        <v>66.09999999999999</v>
      </c>
      <c r="Z140" s="7" t="n">
        <v>64</v>
      </c>
      <c r="AB140" s="7" t="n">
        <v>1876.4</v>
      </c>
    </row>
    <row r="141">
      <c r="A141" s="4" t="inlineStr">
        <is>
          <t>物业费</t>
        </is>
      </c>
      <c r="D141" s="7" t="n">
        <v>437.1</v>
      </c>
      <c r="F141" s="7" t="n">
        <v>490.7</v>
      </c>
      <c r="H141" s="7" t="n">
        <v>849.3</v>
      </c>
      <c r="J141" s="7" t="n">
        <v>966.1</v>
      </c>
      <c r="L141" s="7" t="n">
        <v>517.8</v>
      </c>
      <c r="N141" s="7" t="n">
        <v>0</v>
      </c>
      <c r="P141" s="7" t="n">
        <v>380</v>
      </c>
      <c r="R141" s="7" t="n">
        <v>1128.3</v>
      </c>
      <c r="T141" s="7" t="n">
        <v>277.7</v>
      </c>
      <c r="V141" s="7" t="n">
        <v>485.9</v>
      </c>
      <c r="X141" s="7" t="n">
        <v>210.3</v>
      </c>
      <c r="Z141" s="7" t="n">
        <v>218.6</v>
      </c>
      <c r="AB141" s="7" t="n">
        <v>5961.8</v>
      </c>
    </row>
    <row r="142">
      <c r="A142" s="4" t="inlineStr">
        <is>
          <t>劳动保护费</t>
        </is>
      </c>
      <c r="D142" s="7" t="n">
        <v>147.5</v>
      </c>
      <c r="F142" s="7" t="n">
        <v>157.5</v>
      </c>
      <c r="H142" s="7" t="n">
        <v>285.1</v>
      </c>
      <c r="J142" s="7" t="n">
        <v>320.5</v>
      </c>
      <c r="L142" s="7" t="n">
        <v>217.1</v>
      </c>
      <c r="N142" s="7" t="n">
        <v>0</v>
      </c>
      <c r="P142" s="7" t="n">
        <v>169.7</v>
      </c>
      <c r="R142" s="7" t="n">
        <v>344.2</v>
      </c>
      <c r="T142" s="7" t="n">
        <v>95.7</v>
      </c>
      <c r="V142" s="7" t="n">
        <v>266.1</v>
      </c>
      <c r="X142" s="7" t="n">
        <v>95</v>
      </c>
      <c r="Z142" s="7" t="n">
        <v>47.2</v>
      </c>
      <c r="AB142" s="7" t="n">
        <v>2145.6</v>
      </c>
    </row>
    <row r="143">
      <c r="A143" s="4" t="inlineStr">
        <is>
          <t>顾问费</t>
        </is>
      </c>
      <c r="D143" s="7" t="n">
        <v>416</v>
      </c>
      <c r="F143" s="7" t="n">
        <v>719.8</v>
      </c>
      <c r="H143" s="7" t="n">
        <v>692</v>
      </c>
      <c r="J143" s="7" t="n">
        <v>979.8</v>
      </c>
      <c r="L143" s="7" t="n">
        <v>641.2</v>
      </c>
      <c r="N143" s="7" t="n">
        <v>0</v>
      </c>
      <c r="P143" s="7" t="n">
        <v>361.7</v>
      </c>
      <c r="R143" s="7" t="n">
        <v>1083.4</v>
      </c>
      <c r="T143" s="7" t="n">
        <v>289</v>
      </c>
      <c r="V143" s="7" t="n">
        <v>571.3</v>
      </c>
      <c r="X143" s="7" t="n">
        <v>158.3</v>
      </c>
      <c r="Z143" s="7" t="n">
        <v>185.4</v>
      </c>
      <c r="AB143" s="7" t="n">
        <v>6097.9</v>
      </c>
    </row>
    <row r="144">
      <c r="A144" s="4" t="inlineStr">
        <is>
          <t>快递费</t>
        </is>
      </c>
      <c r="D144" s="7" t="n">
        <v>586</v>
      </c>
      <c r="F144" s="7" t="n">
        <v>792</v>
      </c>
      <c r="H144" s="7" t="n">
        <v>1560.9</v>
      </c>
      <c r="J144" s="7" t="n">
        <v>1582.4</v>
      </c>
      <c r="L144" s="7" t="n">
        <v>838.8</v>
      </c>
      <c r="N144" s="7" t="n">
        <v>0</v>
      </c>
      <c r="P144" s="7" t="n">
        <v>825.4</v>
      </c>
      <c r="R144" s="7" t="n">
        <v>1415.6</v>
      </c>
      <c r="T144" s="7" t="n">
        <v>435.5</v>
      </c>
      <c r="V144" s="7" t="n">
        <v>1169.8</v>
      </c>
      <c r="X144" s="7" t="n">
        <v>286</v>
      </c>
      <c r="Z144" s="7" t="n">
        <v>221.6</v>
      </c>
      <c r="AB144" s="7" t="n">
        <v>9714</v>
      </c>
    </row>
    <row r="145">
      <c r="A145" s="4" t="inlineStr">
        <is>
          <t>诉讼费</t>
        </is>
      </c>
      <c r="D145" s="7" t="n">
        <v>582.3</v>
      </c>
      <c r="F145" s="7" t="n">
        <v>722.2</v>
      </c>
      <c r="H145" s="7" t="n">
        <v>833.7</v>
      </c>
      <c r="J145" s="7" t="n">
        <v>1712.3</v>
      </c>
      <c r="L145" s="7" t="n">
        <v>784.9</v>
      </c>
      <c r="N145" s="7" t="n">
        <v>0</v>
      </c>
      <c r="P145" s="7" t="n">
        <v>616</v>
      </c>
      <c r="R145" s="7" t="n">
        <v>1435.8</v>
      </c>
      <c r="T145" s="7" t="n">
        <v>418.5</v>
      </c>
      <c r="V145" s="7" t="n">
        <v>723.1</v>
      </c>
      <c r="X145" s="7" t="n">
        <v>292.6</v>
      </c>
      <c r="Z145" s="7" t="n">
        <v>189.3</v>
      </c>
      <c r="AB145" s="7" t="n">
        <v>8310.700000000001</v>
      </c>
    </row>
    <row r="146">
      <c r="A146" s="4" t="inlineStr">
        <is>
          <t>会员费</t>
        </is>
      </c>
      <c r="D146" s="7" t="n">
        <v>359.1</v>
      </c>
      <c r="F146" s="7" t="n">
        <v>628.2</v>
      </c>
      <c r="H146" s="7" t="n">
        <v>605</v>
      </c>
      <c r="J146" s="7" t="n">
        <v>598.9</v>
      </c>
      <c r="L146" s="7" t="n">
        <v>386.7</v>
      </c>
      <c r="N146" s="7" t="n">
        <v>0</v>
      </c>
      <c r="P146" s="7" t="n">
        <v>466.5</v>
      </c>
      <c r="R146" s="7" t="n">
        <v>897.7</v>
      </c>
      <c r="T146" s="7" t="n">
        <v>185.1</v>
      </c>
      <c r="V146" s="7" t="n">
        <v>581.3</v>
      </c>
      <c r="X146" s="7" t="n">
        <v>179.2</v>
      </c>
      <c r="Z146" s="7" t="n">
        <v>97.40000000000001</v>
      </c>
      <c r="AB146" s="7" t="n">
        <v>4985.1</v>
      </c>
    </row>
    <row r="147">
      <c r="A147" s="4" t="inlineStr">
        <is>
          <t>广告宣传费</t>
        </is>
      </c>
      <c r="D147" s="7" t="n">
        <v>4376.4</v>
      </c>
      <c r="F147" s="7" t="n">
        <v>8499.200000000001</v>
      </c>
      <c r="H147" s="7" t="n">
        <v>5733.5</v>
      </c>
      <c r="J147" s="7" t="n">
        <v>8791.700000000001</v>
      </c>
      <c r="L147" s="7" t="n">
        <v>4241.4</v>
      </c>
      <c r="N147" s="7" t="n">
        <v>0</v>
      </c>
      <c r="P147" s="7" t="n">
        <v>4735.1</v>
      </c>
      <c r="R147" s="7" t="n">
        <v>7526</v>
      </c>
      <c r="T147" s="7" t="n">
        <v>2455.1</v>
      </c>
      <c r="V147" s="7" t="n">
        <v>4661.5</v>
      </c>
      <c r="X147" s="7" t="n">
        <v>2828.5</v>
      </c>
      <c r="Z147" s="7" t="n">
        <v>1827.7</v>
      </c>
      <c r="AB147" s="7" t="n">
        <v>55676.1</v>
      </c>
    </row>
    <row r="148">
      <c r="A148" s="4" t="inlineStr">
        <is>
          <t>会务费</t>
        </is>
      </c>
      <c r="D148" s="7" t="n">
        <v>984.1</v>
      </c>
      <c r="F148" s="7" t="n">
        <v>1006.9</v>
      </c>
      <c r="H148" s="7" t="n">
        <v>1570.5</v>
      </c>
      <c r="J148" s="7" t="n">
        <v>1446.2</v>
      </c>
      <c r="L148" s="7" t="n">
        <v>826.5</v>
      </c>
      <c r="N148" s="7" t="n">
        <v>0</v>
      </c>
      <c r="P148" s="7" t="n">
        <v>1069.3</v>
      </c>
      <c r="R148" s="7" t="n">
        <v>2509.5</v>
      </c>
      <c r="T148" s="7" t="n">
        <v>525.1</v>
      </c>
      <c r="V148" s="7" t="n">
        <v>1276.1</v>
      </c>
      <c r="X148" s="7" t="n">
        <v>527.8</v>
      </c>
      <c r="Z148" s="7" t="n">
        <v>371.7</v>
      </c>
      <c r="AB148" s="7" t="n">
        <v>12113.7</v>
      </c>
    </row>
    <row r="149">
      <c r="A149" s="4" t="inlineStr">
        <is>
          <t>装修费</t>
        </is>
      </c>
      <c r="D149" s="7" t="n">
        <v>638</v>
      </c>
      <c r="F149" s="7" t="n">
        <v>1000.5</v>
      </c>
      <c r="H149" s="7" t="n">
        <v>1785.8</v>
      </c>
      <c r="J149" s="7" t="n">
        <v>1314.1</v>
      </c>
      <c r="L149" s="7" t="n">
        <v>736.3</v>
      </c>
      <c r="N149" s="7" t="n">
        <v>0</v>
      </c>
      <c r="P149" s="7" t="n">
        <v>1140.7</v>
      </c>
      <c r="R149" s="7" t="n">
        <v>2603.5</v>
      </c>
      <c r="T149" s="7" t="n">
        <v>600.6</v>
      </c>
      <c r="V149" s="7" t="n">
        <v>1109.4</v>
      </c>
      <c r="X149" s="7" t="n">
        <v>382.8</v>
      </c>
      <c r="Z149" s="7" t="n">
        <v>307.9</v>
      </c>
      <c r="AB149" s="7" t="n">
        <v>11619.6</v>
      </c>
    </row>
    <row r="150">
      <c r="A150" s="4" t="inlineStr">
        <is>
          <t>推广费</t>
        </is>
      </c>
      <c r="D150" s="7" t="n">
        <v>164.1</v>
      </c>
      <c r="F150" s="7" t="n">
        <v>322.4</v>
      </c>
      <c r="H150" s="7" t="n">
        <v>307</v>
      </c>
      <c r="J150" s="7" t="n">
        <v>398.6</v>
      </c>
      <c r="L150" s="7" t="n">
        <v>271.1</v>
      </c>
      <c r="N150" s="7" t="n">
        <v>0</v>
      </c>
      <c r="P150" s="7" t="n">
        <v>231.7</v>
      </c>
      <c r="R150" s="7" t="n">
        <v>530.9</v>
      </c>
      <c r="T150" s="7" t="n">
        <v>107</v>
      </c>
      <c r="V150" s="7" t="n">
        <v>239.4</v>
      </c>
      <c r="X150" s="7" t="n">
        <v>86.90000000000001</v>
      </c>
      <c r="Z150" s="7" t="n">
        <v>53.5</v>
      </c>
      <c r="AB150" s="7" t="n">
        <v>2712.6</v>
      </c>
    </row>
    <row r="151">
      <c r="A151" s="4" t="inlineStr">
        <is>
          <t>展会费</t>
        </is>
      </c>
      <c r="D151" s="7" t="n">
        <v>450.3</v>
      </c>
      <c r="F151" s="7" t="n">
        <v>734.6</v>
      </c>
      <c r="H151" s="7" t="n">
        <v>797.1</v>
      </c>
      <c r="J151" s="7" t="n">
        <v>1373</v>
      </c>
      <c r="L151" s="7" t="n">
        <v>521.7</v>
      </c>
      <c r="N151" s="7" t="n">
        <v>0</v>
      </c>
      <c r="P151" s="7" t="n">
        <v>516.1</v>
      </c>
      <c r="R151" s="7" t="n">
        <v>1622.2</v>
      </c>
      <c r="T151" s="7" t="n">
        <v>400.4</v>
      </c>
      <c r="V151" s="7" t="n">
        <v>935.4</v>
      </c>
      <c r="X151" s="7" t="n">
        <v>343.6</v>
      </c>
      <c r="Z151" s="7" t="n">
        <v>240</v>
      </c>
      <c r="AB151" s="7" t="n">
        <v>7934.4</v>
      </c>
    </row>
    <row r="152">
      <c r="A152" s="4" t="inlineStr">
        <is>
          <t>设计费</t>
        </is>
      </c>
      <c r="D152" s="7" t="n">
        <v>572.9</v>
      </c>
      <c r="F152" s="7" t="n">
        <v>1223.5</v>
      </c>
      <c r="H152" s="7" t="n">
        <v>1570</v>
      </c>
      <c r="J152" s="7" t="n">
        <v>1557.3</v>
      </c>
      <c r="L152" s="7" t="n">
        <v>986.9</v>
      </c>
      <c r="N152" s="7" t="n">
        <v>0</v>
      </c>
      <c r="P152" s="7" t="n">
        <v>869.9</v>
      </c>
      <c r="R152" s="7" t="n">
        <v>1839.3</v>
      </c>
      <c r="T152" s="7" t="n">
        <v>497.2</v>
      </c>
      <c r="V152" s="7" t="n">
        <v>979</v>
      </c>
      <c r="X152" s="7" t="n">
        <v>372.3</v>
      </c>
      <c r="Z152" s="7" t="n">
        <v>312.8</v>
      </c>
      <c r="AB152" s="7" t="n">
        <v>10781.1</v>
      </c>
    </row>
    <row r="153">
      <c r="A153" s="4" t="inlineStr">
        <is>
          <t>折旧费</t>
        </is>
      </c>
      <c r="D153" s="7" t="n">
        <v>4491.9</v>
      </c>
      <c r="F153" s="7" t="n">
        <v>11133.1</v>
      </c>
      <c r="H153" s="7" t="n">
        <v>9934.4</v>
      </c>
      <c r="J153" s="7" t="n">
        <v>12194.2</v>
      </c>
      <c r="L153" s="7" t="n">
        <v>5290.5</v>
      </c>
      <c r="N153" s="7" t="n">
        <v>0</v>
      </c>
      <c r="P153" s="7" t="n">
        <v>4731.9</v>
      </c>
      <c r="R153" s="7" t="n">
        <v>14803</v>
      </c>
      <c r="T153" s="7" t="n">
        <v>3748</v>
      </c>
      <c r="V153" s="7" t="n">
        <v>7663.3</v>
      </c>
      <c r="X153" s="7" t="n">
        <v>3930</v>
      </c>
      <c r="Z153" s="7" t="n">
        <v>2729</v>
      </c>
      <c r="AB153" s="7" t="n">
        <v>80649.3</v>
      </c>
    </row>
    <row r="154">
      <c r="A154" s="4" t="inlineStr">
        <is>
          <t>认证费</t>
        </is>
      </c>
      <c r="D154" s="7" t="n">
        <v>776</v>
      </c>
      <c r="F154" s="7" t="n">
        <v>1129.1</v>
      </c>
      <c r="H154" s="7" t="n">
        <v>952.2</v>
      </c>
      <c r="J154" s="7" t="n">
        <v>2033.2</v>
      </c>
      <c r="L154" s="7" t="n">
        <v>788.8</v>
      </c>
      <c r="N154" s="7" t="n">
        <v>0</v>
      </c>
      <c r="P154" s="7" t="n">
        <v>972.4</v>
      </c>
      <c r="R154" s="7" t="n">
        <v>1850.6</v>
      </c>
      <c r="T154" s="7" t="n">
        <v>482</v>
      </c>
      <c r="V154" s="7" t="n">
        <v>1253.4</v>
      </c>
      <c r="X154" s="7" t="n">
        <v>391.3</v>
      </c>
      <c r="Z154" s="7" t="n">
        <v>216.1</v>
      </c>
      <c r="AB154" s="7" t="n">
        <v>10845.1</v>
      </c>
    </row>
    <row r="155">
      <c r="A155" s="4" t="inlineStr">
        <is>
          <t>样品费</t>
        </is>
      </c>
      <c r="D155" s="7" t="n">
        <v>2418.6</v>
      </c>
      <c r="F155" s="7" t="n">
        <v>3572.9</v>
      </c>
      <c r="H155" s="7" t="n">
        <v>6644.4</v>
      </c>
      <c r="J155" s="7" t="n">
        <v>4640.4</v>
      </c>
      <c r="L155" s="7" t="n">
        <v>4218.7</v>
      </c>
      <c r="N155" s="7" t="n">
        <v>0</v>
      </c>
      <c r="P155" s="7" t="n">
        <v>3546.5</v>
      </c>
      <c r="R155" s="7" t="n">
        <v>7241.9</v>
      </c>
      <c r="T155" s="7" t="n">
        <v>1418.9</v>
      </c>
      <c r="V155" s="7" t="n">
        <v>4000.6</v>
      </c>
      <c r="X155" s="7" t="n">
        <v>1698.2</v>
      </c>
      <c r="Z155" s="7" t="n">
        <v>1463</v>
      </c>
      <c r="AB155" s="7" t="n">
        <v>40864.1</v>
      </c>
    </row>
    <row r="156">
      <c r="A156" s="4" t="inlineStr">
        <is>
          <t>劳务费</t>
        </is>
      </c>
      <c r="D156" s="7" t="n">
        <v>112.7</v>
      </c>
      <c r="F156" s="7" t="n">
        <v>175.6</v>
      </c>
      <c r="H156" s="7" t="n">
        <v>189.5</v>
      </c>
      <c r="J156" s="7" t="n">
        <v>152.6</v>
      </c>
      <c r="L156" s="7" t="n">
        <v>93.90000000000001</v>
      </c>
      <c r="N156" s="7" t="n">
        <v>0</v>
      </c>
      <c r="P156" s="7" t="n">
        <v>108.8</v>
      </c>
      <c r="R156" s="7" t="n">
        <v>163.8</v>
      </c>
      <c r="T156" s="7" t="n">
        <v>71.3</v>
      </c>
      <c r="V156" s="7" t="n">
        <v>115.5</v>
      </c>
      <c r="X156" s="7" t="n">
        <v>54.6</v>
      </c>
      <c r="Z156" s="7" t="n">
        <v>47.6</v>
      </c>
      <c r="AB156" s="7" t="n">
        <v>1285.9</v>
      </c>
    </row>
    <row r="157">
      <c r="A157" s="4" t="inlineStr">
        <is>
          <t>销售佣金</t>
        </is>
      </c>
      <c r="D157" s="7" t="n">
        <v>3.6</v>
      </c>
      <c r="F157" s="7" t="n">
        <v>8.1</v>
      </c>
      <c r="H157" s="7" t="n">
        <v>9.699999999999999</v>
      </c>
      <c r="J157" s="7" t="n">
        <v>12.7</v>
      </c>
      <c r="L157" s="7" t="n">
        <v>7.1</v>
      </c>
      <c r="N157" s="7" t="n">
        <v>0</v>
      </c>
      <c r="P157" s="7" t="n">
        <v>4.4</v>
      </c>
      <c r="R157" s="7" t="n">
        <v>13.3</v>
      </c>
      <c r="T157" s="7" t="n">
        <v>2</v>
      </c>
      <c r="V157" s="7" t="n">
        <v>5.3</v>
      </c>
      <c r="X157" s="7" t="n">
        <v>2</v>
      </c>
      <c r="Z157" s="7" t="n">
        <v>2</v>
      </c>
      <c r="AB157" s="7" t="n">
        <v>70.2</v>
      </c>
    </row>
    <row r="158">
      <c r="A158" s="4" t="inlineStr">
        <is>
          <t>检测费</t>
        </is>
      </c>
      <c r="D158" s="7" t="n">
        <v>756.4</v>
      </c>
      <c r="F158" s="7" t="n">
        <v>1324.7</v>
      </c>
      <c r="H158" s="7" t="n">
        <v>1830.7</v>
      </c>
      <c r="J158" s="7" t="n">
        <v>1973.3</v>
      </c>
      <c r="L158" s="7" t="n">
        <v>839.9</v>
      </c>
      <c r="N158" s="7" t="n">
        <v>0</v>
      </c>
      <c r="P158" s="7" t="n">
        <v>1024.5</v>
      </c>
      <c r="R158" s="7" t="n">
        <v>1782.7</v>
      </c>
      <c r="T158" s="7" t="n">
        <v>566.5</v>
      </c>
      <c r="V158" s="7" t="n">
        <v>1190.7</v>
      </c>
      <c r="X158" s="7" t="n">
        <v>415.9</v>
      </c>
      <c r="Z158" s="7" t="n">
        <v>294.2</v>
      </c>
      <c r="AB158" s="7" t="n">
        <v>11999.5</v>
      </c>
    </row>
    <row r="159">
      <c r="A159" s="4" t="inlineStr">
        <is>
          <t>质量赔偿</t>
        </is>
      </c>
      <c r="D159" s="7" t="n">
        <v>964.3</v>
      </c>
      <c r="F159" s="7" t="n">
        <v>1289.3</v>
      </c>
      <c r="H159" s="7" t="n">
        <v>1627.6</v>
      </c>
      <c r="J159" s="7" t="n">
        <v>2016.5</v>
      </c>
      <c r="L159" s="7" t="n">
        <v>977.4</v>
      </c>
      <c r="N159" s="7" t="n">
        <v>0</v>
      </c>
      <c r="P159" s="7" t="n">
        <v>888.6</v>
      </c>
      <c r="R159" s="7" t="n">
        <v>2315.4</v>
      </c>
      <c r="T159" s="7" t="n">
        <v>433.1</v>
      </c>
      <c r="V159" s="7" t="n">
        <v>1387</v>
      </c>
      <c r="X159" s="7" t="n">
        <v>344.7</v>
      </c>
      <c r="Z159" s="7" t="n">
        <v>430.5</v>
      </c>
      <c r="AB159" s="7" t="n">
        <v>12674.4</v>
      </c>
    </row>
    <row r="160">
      <c r="A160" s="4" t="inlineStr">
        <is>
          <t>保险费</t>
        </is>
      </c>
      <c r="D160" s="7" t="n">
        <v>355.9</v>
      </c>
      <c r="F160" s="7" t="n">
        <v>631.1</v>
      </c>
      <c r="H160" s="7" t="n">
        <v>1053.9</v>
      </c>
      <c r="J160" s="7" t="n">
        <v>867.7</v>
      </c>
      <c r="L160" s="7" t="n">
        <v>626.7</v>
      </c>
      <c r="N160" s="7" t="n">
        <v>0</v>
      </c>
      <c r="P160" s="7" t="n">
        <v>466.6</v>
      </c>
      <c r="R160" s="7" t="n">
        <v>1168.4</v>
      </c>
      <c r="T160" s="7" t="n">
        <v>245.3</v>
      </c>
      <c r="V160" s="7" t="n">
        <v>723.9</v>
      </c>
      <c r="X160" s="7" t="n">
        <v>185.9</v>
      </c>
      <c r="Z160" s="7" t="n">
        <v>145.1</v>
      </c>
      <c r="AB160" s="7" t="n">
        <v>6470.5</v>
      </c>
    </row>
    <row r="161">
      <c r="A161" s="4" t="inlineStr">
        <is>
          <t>清洁费</t>
        </is>
      </c>
      <c r="D161" s="7" t="n">
        <v>910.5</v>
      </c>
      <c r="F161" s="7" t="n">
        <v>1506.1</v>
      </c>
      <c r="H161" s="7" t="n">
        <v>1448.2</v>
      </c>
      <c r="J161" s="7" t="n">
        <v>1709.5</v>
      </c>
      <c r="L161" s="7" t="n">
        <v>739.2</v>
      </c>
      <c r="N161" s="7" t="n">
        <v>0</v>
      </c>
      <c r="P161" s="7" t="n">
        <v>821.5</v>
      </c>
      <c r="R161" s="7" t="n">
        <v>1474.6</v>
      </c>
      <c r="T161" s="7" t="n">
        <v>397.2</v>
      </c>
      <c r="V161" s="7" t="n">
        <v>1403.9</v>
      </c>
      <c r="X161" s="7" t="n">
        <v>331.8</v>
      </c>
      <c r="Z161" s="7" t="n">
        <v>366.6</v>
      </c>
      <c r="AB161" s="7" t="n">
        <v>11109.1</v>
      </c>
    </row>
    <row r="162">
      <c r="A162" s="4" t="inlineStr">
        <is>
          <t>低值易耗品</t>
        </is>
      </c>
      <c r="D162" s="7" t="n">
        <v>612.8</v>
      </c>
      <c r="F162" s="7" t="n">
        <v>1242.4</v>
      </c>
      <c r="H162" s="7" t="n">
        <v>1323</v>
      </c>
      <c r="J162" s="7" t="n">
        <v>1317.8</v>
      </c>
      <c r="L162" s="7" t="n">
        <v>987.5</v>
      </c>
      <c r="N162" s="7" t="n">
        <v>0</v>
      </c>
      <c r="P162" s="7" t="n">
        <v>1033.7</v>
      </c>
      <c r="R162" s="7" t="n">
        <v>2189.7</v>
      </c>
      <c r="T162" s="7" t="n">
        <v>378.1</v>
      </c>
      <c r="V162" s="7" t="n">
        <v>947.4</v>
      </c>
      <c r="X162" s="7" t="n">
        <v>357.3</v>
      </c>
      <c r="Z162" s="7" t="n">
        <v>323.2</v>
      </c>
      <c r="AB162" s="7" t="n">
        <v>10712.9</v>
      </c>
    </row>
    <row r="163">
      <c r="A163" s="4" t="inlineStr">
        <is>
          <t>物料消耗</t>
        </is>
      </c>
      <c r="D163" s="7" t="n">
        <v>771.9</v>
      </c>
      <c r="F163" s="7" t="n">
        <v>1736.3</v>
      </c>
      <c r="H163" s="7" t="n">
        <v>2025.4</v>
      </c>
      <c r="J163" s="7" t="n">
        <v>1795.6</v>
      </c>
      <c r="L163" s="7" t="n">
        <v>900.6</v>
      </c>
      <c r="N163" s="7" t="n">
        <v>0</v>
      </c>
      <c r="P163" s="7" t="n">
        <v>902</v>
      </c>
      <c r="R163" s="7" t="n">
        <v>1758.2</v>
      </c>
      <c r="T163" s="7" t="n">
        <v>478.6</v>
      </c>
      <c r="V163" s="7" t="n">
        <v>995.6</v>
      </c>
      <c r="X163" s="7" t="n">
        <v>382.3</v>
      </c>
      <c r="Z163" s="7" t="n">
        <v>298.1</v>
      </c>
      <c r="AB163" s="7" t="n">
        <v>12044.6</v>
      </c>
    </row>
    <row r="164">
      <c r="A164" s="4" t="inlineStr">
        <is>
          <t>盘盈盘亏</t>
        </is>
      </c>
      <c r="D164" s="7" t="n">
        <v>570.1</v>
      </c>
      <c r="F164" s="7" t="n">
        <v>1159.5</v>
      </c>
      <c r="H164" s="7" t="n">
        <v>831.5</v>
      </c>
      <c r="J164" s="7" t="n">
        <v>1159.9</v>
      </c>
      <c r="L164" s="7" t="n">
        <v>774.5</v>
      </c>
      <c r="N164" s="7" t="n">
        <v>0</v>
      </c>
      <c r="P164" s="7" t="n">
        <v>526.1</v>
      </c>
      <c r="R164" s="7" t="n">
        <v>1969.2</v>
      </c>
      <c r="T164" s="7" t="n">
        <v>278.4</v>
      </c>
      <c r="V164" s="7" t="n">
        <v>1039.3</v>
      </c>
      <c r="X164" s="7" t="n">
        <v>309.6</v>
      </c>
      <c r="Z164" s="7" t="n">
        <v>258.4</v>
      </c>
      <c r="AB164" s="7" t="n">
        <v>8876.5</v>
      </c>
    </row>
    <row r="165">
      <c r="A165" s="4" t="inlineStr">
        <is>
          <t>平台服务费</t>
        </is>
      </c>
      <c r="D165" s="7" t="n">
        <v>446.1</v>
      </c>
      <c r="F165" s="7" t="n">
        <v>1122.9</v>
      </c>
      <c r="H165" s="7" t="n">
        <v>972</v>
      </c>
      <c r="J165" s="7" t="n">
        <v>1011.4</v>
      </c>
      <c r="L165" s="7" t="n">
        <v>545.7</v>
      </c>
      <c r="N165" s="7" t="n">
        <v>0</v>
      </c>
      <c r="P165" s="7" t="n">
        <v>584.4</v>
      </c>
      <c r="R165" s="7" t="n">
        <v>1502.4</v>
      </c>
      <c r="T165" s="7" t="n">
        <v>423.7</v>
      </c>
      <c r="V165" s="7" t="n">
        <v>1021.3</v>
      </c>
      <c r="X165" s="7" t="n">
        <v>237.4</v>
      </c>
      <c r="Z165" s="7" t="n">
        <v>198.7</v>
      </c>
      <c r="AB165" s="7" t="n">
        <v>8066</v>
      </c>
    </row>
    <row r="166">
      <c r="A166" s="4" t="inlineStr">
        <is>
          <t>无形资产摊销</t>
        </is>
      </c>
      <c r="D166" s="7" t="n">
        <v>586.6</v>
      </c>
      <c r="F166" s="7" t="n">
        <v>673.9</v>
      </c>
      <c r="H166" s="7" t="n">
        <v>1166.2</v>
      </c>
      <c r="J166" s="7" t="n">
        <v>1629</v>
      </c>
      <c r="L166" s="7" t="n">
        <v>917.8</v>
      </c>
      <c r="N166" s="7" t="n">
        <v>0</v>
      </c>
      <c r="P166" s="7" t="n">
        <v>555.7</v>
      </c>
      <c r="R166" s="7" t="n">
        <v>1573</v>
      </c>
      <c r="T166" s="7" t="n">
        <v>351.3</v>
      </c>
      <c r="V166" s="7" t="n">
        <v>1026.3</v>
      </c>
      <c r="X166" s="7" t="n">
        <v>346.8</v>
      </c>
      <c r="Z166" s="7" t="n">
        <v>258.1</v>
      </c>
      <c r="AB166" s="7" t="n">
        <v>9084.700000000001</v>
      </c>
    </row>
    <row r="167">
      <c r="A167" s="4" t="inlineStr">
        <is>
          <t>研发材料</t>
        </is>
      </c>
      <c r="D167" s="7" t="n">
        <v>401.3</v>
      </c>
      <c r="F167" s="7" t="n">
        <v>483.9</v>
      </c>
      <c r="H167" s="7" t="n">
        <v>736.1</v>
      </c>
      <c r="J167" s="7" t="n">
        <v>568.5</v>
      </c>
      <c r="L167" s="7" t="n">
        <v>408.2</v>
      </c>
      <c r="N167" s="7" t="n">
        <v>0</v>
      </c>
      <c r="P167" s="7" t="n">
        <v>276.2</v>
      </c>
      <c r="R167" s="7" t="n">
        <v>874.3</v>
      </c>
      <c r="T167" s="7" t="n">
        <v>160.1</v>
      </c>
      <c r="V167" s="7" t="n">
        <v>628.4</v>
      </c>
      <c r="X167" s="7" t="n">
        <v>223.1</v>
      </c>
      <c r="Z167" s="7" t="n">
        <v>163.3</v>
      </c>
      <c r="AB167" s="7" t="n">
        <v>4923.4</v>
      </c>
    </row>
    <row r="168">
      <c r="A168" s="4" t="inlineStr">
        <is>
          <t>项目名称</t>
        </is>
      </c>
      <c r="D168" s="7" t="n">
        <v>235.9</v>
      </c>
      <c r="F168" s="7" t="n">
        <v>627.6</v>
      </c>
      <c r="H168" s="7" t="n">
        <v>493.2</v>
      </c>
      <c r="J168" s="7" t="n">
        <v>747.2</v>
      </c>
      <c r="L168" s="7" t="n">
        <v>479.8</v>
      </c>
      <c r="N168" s="7" t="n">
        <v>0</v>
      </c>
      <c r="P168" s="7" t="n">
        <v>313.1</v>
      </c>
      <c r="R168" s="7" t="n">
        <v>811</v>
      </c>
      <c r="T168" s="7" t="n">
        <v>255.5</v>
      </c>
      <c r="V168" s="7" t="n">
        <v>477.2</v>
      </c>
      <c r="X168" s="7" t="n">
        <v>231.6</v>
      </c>
      <c r="Z168" s="7" t="n">
        <v>135</v>
      </c>
      <c r="AB168" s="7" t="n">
        <v>4807.1</v>
      </c>
    </row>
    <row r="169">
      <c r="A169" s="4" t="inlineStr">
        <is>
          <t>研发费</t>
        </is>
      </c>
      <c r="D169" s="7" t="n">
        <v>428.3</v>
      </c>
      <c r="F169" s="7" t="n">
        <v>581.7</v>
      </c>
      <c r="H169" s="7" t="n">
        <v>664.1</v>
      </c>
      <c r="J169" s="7" t="n">
        <v>797.7</v>
      </c>
      <c r="L169" s="7" t="n">
        <v>433</v>
      </c>
      <c r="N169" s="7" t="n">
        <v>0</v>
      </c>
      <c r="P169" s="7" t="n">
        <v>481.8</v>
      </c>
      <c r="R169" s="7" t="n">
        <v>805.2</v>
      </c>
      <c r="T169" s="7" t="n">
        <v>199.9</v>
      </c>
      <c r="V169" s="7" t="n">
        <v>483.8</v>
      </c>
      <c r="X169" s="7" t="n">
        <v>169.7</v>
      </c>
      <c r="Z169" s="7" t="n">
        <v>196.8</v>
      </c>
      <c r="AB169" s="7" t="n">
        <v>5242</v>
      </c>
    </row>
    <row r="170">
      <c r="A170" s="4" t="inlineStr">
        <is>
          <t>残保金</t>
        </is>
      </c>
      <c r="D170" s="7" t="n">
        <v>635.2</v>
      </c>
      <c r="F170" s="7" t="n">
        <v>1178.3</v>
      </c>
      <c r="H170" s="7" t="n">
        <v>1155.9</v>
      </c>
      <c r="J170" s="7" t="n">
        <v>1588.6</v>
      </c>
      <c r="L170" s="7" t="n">
        <v>721</v>
      </c>
      <c r="N170" s="7" t="n">
        <v>0</v>
      </c>
      <c r="P170" s="7" t="n">
        <v>555.4</v>
      </c>
      <c r="R170" s="7" t="n">
        <v>1211.2</v>
      </c>
      <c r="T170" s="7" t="n">
        <v>290.9</v>
      </c>
      <c r="V170" s="7" t="n">
        <v>1023.1</v>
      </c>
      <c r="X170" s="7" t="n">
        <v>288.6</v>
      </c>
      <c r="Z170" s="7" t="n">
        <v>304.4</v>
      </c>
      <c r="AB170" s="7" t="n">
        <v>8952.6</v>
      </c>
    </row>
    <row r="171">
      <c r="A171" s="4" t="inlineStr">
        <is>
          <t>环保费</t>
        </is>
      </c>
      <c r="D171" s="7" t="n">
        <v>748.2</v>
      </c>
      <c r="F171" s="7" t="n">
        <v>815.4</v>
      </c>
      <c r="H171" s="7" t="n">
        <v>1095.9</v>
      </c>
      <c r="J171" s="7" t="n">
        <v>1661.1</v>
      </c>
      <c r="L171" s="7" t="n">
        <v>711.8</v>
      </c>
      <c r="N171" s="7" t="n">
        <v>0</v>
      </c>
      <c r="P171" s="7" t="n">
        <v>796.2</v>
      </c>
      <c r="R171" s="7" t="n">
        <v>1465.3</v>
      </c>
      <c r="T171" s="7" t="n">
        <v>431.3</v>
      </c>
      <c r="V171" s="7" t="n">
        <v>1229.5</v>
      </c>
      <c r="X171" s="7" t="n">
        <v>358.9</v>
      </c>
      <c r="Z171" s="7" t="n">
        <v>328</v>
      </c>
      <c r="AB171" s="7" t="n">
        <v>9641.6</v>
      </c>
    </row>
    <row r="172">
      <c r="A172" s="4" t="inlineStr">
        <is>
          <t>报废损失</t>
        </is>
      </c>
      <c r="D172" s="7" t="n">
        <v>282.1</v>
      </c>
      <c r="F172" s="7" t="n">
        <v>408.8</v>
      </c>
      <c r="H172" s="7" t="n">
        <v>369.6</v>
      </c>
      <c r="J172" s="7" t="n">
        <v>535</v>
      </c>
      <c r="L172" s="7" t="n">
        <v>369.8</v>
      </c>
      <c r="N172" s="7" t="n">
        <v>0</v>
      </c>
      <c r="P172" s="7" t="n">
        <v>263.2</v>
      </c>
      <c r="R172" s="7" t="n">
        <v>627.7</v>
      </c>
      <c r="T172" s="7" t="n">
        <v>192.4</v>
      </c>
      <c r="V172" s="7" t="n">
        <v>302.5</v>
      </c>
      <c r="X172" s="7" t="n">
        <v>171.1</v>
      </c>
      <c r="Z172" s="7" t="n">
        <v>93.59999999999999</v>
      </c>
      <c r="AB172" s="7" t="n">
        <v>3615.8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77686.39999999999</v>
      </c>
      <c r="D173" s="7" t="n">
        <v>86117.3</v>
      </c>
      <c r="E173" s="7" t="n">
        <v>63152.3</v>
      </c>
      <c r="F173" s="7" t="n">
        <v>78274.10000000001</v>
      </c>
      <c r="G173" s="7" t="n">
        <v>62062.3</v>
      </c>
      <c r="H173" s="7" t="n">
        <v>123242.6</v>
      </c>
      <c r="I173" s="7" t="n">
        <v>63360.4</v>
      </c>
      <c r="J173" s="7" t="n">
        <v>168343</v>
      </c>
      <c r="K173" s="7" t="n">
        <v>76415.10000000001</v>
      </c>
      <c r="L173" s="7" t="n">
        <v>103688.6</v>
      </c>
      <c r="M173" s="7" t="n">
        <v>66478.7</v>
      </c>
      <c r="N173" s="7" t="n">
        <v>0</v>
      </c>
      <c r="O173" s="7" t="n">
        <v>77841.2</v>
      </c>
      <c r="P173" s="7" t="n">
        <v>37103.2</v>
      </c>
      <c r="Q173" s="7" t="n">
        <v>71065</v>
      </c>
      <c r="R173" s="7" t="n">
        <v>49473.8</v>
      </c>
      <c r="S173" s="7" t="n">
        <v>76156.7</v>
      </c>
      <c r="T173" s="7" t="n">
        <v>47102.1</v>
      </c>
      <c r="U173" s="7" t="n">
        <v>68811.2</v>
      </c>
      <c r="V173" s="7" t="n">
        <v>40169.9</v>
      </c>
      <c r="W173" s="7" t="n">
        <v>73564.10000000001</v>
      </c>
      <c r="X173" s="7" t="n">
        <v>80190</v>
      </c>
      <c r="Y173" s="7" t="n">
        <v>64956.2</v>
      </c>
      <c r="Z173" s="7" t="n">
        <v>18248</v>
      </c>
      <c r="AA173" s="8" t="n">
        <v>841549.6</v>
      </c>
      <c r="AB173" s="8" t="n">
        <v>831952.6</v>
      </c>
    </row>
    <row r="174">
      <c r="A174" s="4" t="inlineStr">
        <is>
          <t>职工薪酬</t>
        </is>
      </c>
      <c r="D174" s="7" t="n">
        <v>50043.7</v>
      </c>
      <c r="F174" s="7" t="n">
        <v>47757.5</v>
      </c>
      <c r="H174" s="7" t="n">
        <v>66452.10000000001</v>
      </c>
      <c r="J174" s="7" t="n">
        <v>69030.8</v>
      </c>
      <c r="L174" s="7" t="n">
        <v>56595.1</v>
      </c>
      <c r="N174" s="7" t="n">
        <v>0</v>
      </c>
      <c r="P174" s="7" t="n">
        <v>17694.9</v>
      </c>
      <c r="R174" s="7" t="n">
        <v>25297</v>
      </c>
      <c r="T174" s="7" t="n">
        <v>23413.9</v>
      </c>
      <c r="V174" s="7" t="n">
        <v>19602.7</v>
      </c>
      <c r="X174" s="7" t="n">
        <v>37216.5</v>
      </c>
      <c r="Z174" s="7" t="n">
        <v>9051.5</v>
      </c>
      <c r="AB174" s="7" t="n">
        <v>422155.7</v>
      </c>
    </row>
    <row r="175">
      <c r="A175" s="4" t="inlineStr">
        <is>
          <t>工资</t>
        </is>
      </c>
      <c r="D175" s="7" t="n">
        <v>32092.2</v>
      </c>
      <c r="F175" s="7" t="n">
        <v>30190.5</v>
      </c>
      <c r="H175" s="7" t="n">
        <v>40608</v>
      </c>
      <c r="J175" s="7" t="n">
        <v>39795.7</v>
      </c>
      <c r="L175" s="7" t="n">
        <v>30078.3</v>
      </c>
      <c r="N175" s="7" t="n">
        <v>0</v>
      </c>
      <c r="P175" s="7" t="n">
        <v>8697.299999999999</v>
      </c>
      <c r="R175" s="7" t="n">
        <v>13782</v>
      </c>
      <c r="T175" s="7" t="n">
        <v>13107.9</v>
      </c>
      <c r="V175" s="7" t="n">
        <v>9668.200000000001</v>
      </c>
      <c r="X175" s="7" t="n">
        <v>17127.9</v>
      </c>
      <c r="Z175" s="7" t="n">
        <v>6092.3</v>
      </c>
      <c r="AB175" s="7" t="n">
        <v>241240.3</v>
      </c>
    </row>
    <row r="176">
      <c r="A176" s="4" t="inlineStr">
        <is>
          <t>奖金及提成</t>
        </is>
      </c>
      <c r="D176" s="7" t="n">
        <v>10254.6</v>
      </c>
      <c r="F176" s="7" t="n">
        <v>9851.299999999999</v>
      </c>
      <c r="H176" s="7" t="n">
        <v>12952</v>
      </c>
      <c r="J176" s="7" t="n">
        <v>13620.6</v>
      </c>
      <c r="L176" s="7" t="n">
        <v>12820</v>
      </c>
      <c r="N176" s="7" t="n">
        <v>0</v>
      </c>
      <c r="P176" s="7" t="n">
        <v>4704.5</v>
      </c>
      <c r="R176" s="7" t="n">
        <v>5145.6</v>
      </c>
      <c r="T176" s="7" t="n">
        <v>5800</v>
      </c>
      <c r="V176" s="7" t="n">
        <v>5192.7</v>
      </c>
      <c r="X176" s="7" t="n">
        <v>9878.6</v>
      </c>
      <c r="Z176" s="7" t="n">
        <v>1352.8</v>
      </c>
      <c r="AB176" s="7" t="n">
        <v>91572.7</v>
      </c>
    </row>
    <row r="177">
      <c r="A177" s="4" t="inlineStr">
        <is>
          <t>社保</t>
        </is>
      </c>
      <c r="D177" s="7" t="n">
        <v>5380.4</v>
      </c>
      <c r="F177" s="7" t="n">
        <v>5510.9</v>
      </c>
      <c r="H177" s="7" t="n">
        <v>9230.1</v>
      </c>
      <c r="J177" s="7" t="n">
        <v>10635.1</v>
      </c>
      <c r="L177" s="7" t="n">
        <v>10748.3</v>
      </c>
      <c r="N177" s="7" t="n">
        <v>0</v>
      </c>
      <c r="P177" s="7" t="n">
        <v>3269.1</v>
      </c>
      <c r="R177" s="7" t="n">
        <v>5054</v>
      </c>
      <c r="T177" s="7" t="n">
        <v>3362.8</v>
      </c>
      <c r="V177" s="7" t="n">
        <v>3621.2</v>
      </c>
      <c r="X177" s="7" t="n">
        <v>8142.5</v>
      </c>
      <c r="Z177" s="7" t="n">
        <v>1094.7</v>
      </c>
      <c r="AB177" s="7" t="n">
        <v>66049.10000000001</v>
      </c>
    </row>
    <row r="178">
      <c r="A178" s="4" t="inlineStr">
        <is>
          <t>养老</t>
        </is>
      </c>
      <c r="D178" s="7" t="n">
        <v>401.5</v>
      </c>
      <c r="F178" s="7" t="n">
        <v>219.5</v>
      </c>
      <c r="H178" s="7" t="n">
        <v>601.5</v>
      </c>
      <c r="J178" s="7" t="n">
        <v>632.6</v>
      </c>
      <c r="L178" s="7" t="n">
        <v>328.5</v>
      </c>
      <c r="N178" s="7" t="n">
        <v>0</v>
      </c>
      <c r="P178" s="7" t="n">
        <v>119.6</v>
      </c>
      <c r="R178" s="7" t="n">
        <v>169.8</v>
      </c>
      <c r="T178" s="7" t="n">
        <v>188.5</v>
      </c>
      <c r="V178" s="7" t="n">
        <v>198.4</v>
      </c>
      <c r="X178" s="7" t="n">
        <v>315</v>
      </c>
      <c r="Z178" s="7" t="n">
        <v>89.7</v>
      </c>
      <c r="AB178" s="7" t="n">
        <v>3264.6</v>
      </c>
    </row>
    <row r="179">
      <c r="A179" s="4" t="inlineStr">
        <is>
          <t>医疗</t>
        </is>
      </c>
      <c r="D179" s="7" t="n">
        <v>24.8</v>
      </c>
      <c r="F179" s="7" t="n">
        <v>23.6</v>
      </c>
      <c r="H179" s="7" t="n">
        <v>40.7</v>
      </c>
      <c r="J179" s="7" t="n">
        <v>55.1</v>
      </c>
      <c r="L179" s="7" t="n">
        <v>25.6</v>
      </c>
      <c r="N179" s="7" t="n">
        <v>0</v>
      </c>
      <c r="P179" s="7" t="n">
        <v>14.6</v>
      </c>
      <c r="R179" s="7" t="n">
        <v>16.4</v>
      </c>
      <c r="T179" s="7" t="n">
        <v>12</v>
      </c>
      <c r="V179" s="7" t="n">
        <v>14.1</v>
      </c>
      <c r="X179" s="7" t="n">
        <v>21.3</v>
      </c>
      <c r="Z179" s="7" t="n">
        <v>8</v>
      </c>
      <c r="AB179" s="7" t="n">
        <v>256.2</v>
      </c>
    </row>
    <row r="180">
      <c r="A180" s="4" t="inlineStr">
        <is>
          <t>工伤</t>
        </is>
      </c>
      <c r="D180" s="7" t="n">
        <v>402.1</v>
      </c>
      <c r="F180" s="7" t="n">
        <v>228</v>
      </c>
      <c r="H180" s="7" t="n">
        <v>468.3</v>
      </c>
      <c r="J180" s="7" t="n">
        <v>856.3</v>
      </c>
      <c r="L180" s="7" t="n">
        <v>393.8</v>
      </c>
      <c r="N180" s="7" t="n">
        <v>0</v>
      </c>
      <c r="P180" s="7" t="n">
        <v>167.5</v>
      </c>
      <c r="R180" s="7" t="n">
        <v>226.4</v>
      </c>
      <c r="T180" s="7" t="n">
        <v>173.8</v>
      </c>
      <c r="V180" s="7" t="n">
        <v>194.3</v>
      </c>
      <c r="X180" s="7" t="n">
        <v>397.8</v>
      </c>
      <c r="Z180" s="7" t="n">
        <v>87.40000000000001</v>
      </c>
      <c r="AB180" s="7" t="n">
        <v>3595.7</v>
      </c>
    </row>
    <row r="181">
      <c r="A181" s="4" t="inlineStr">
        <is>
          <t>失业</t>
        </is>
      </c>
      <c r="D181" s="7" t="n">
        <v>208.2</v>
      </c>
      <c r="F181" s="7" t="n">
        <v>264.5</v>
      </c>
      <c r="H181" s="7" t="n">
        <v>372.3</v>
      </c>
      <c r="J181" s="7" t="n">
        <v>463.6</v>
      </c>
      <c r="L181" s="7" t="n">
        <v>275</v>
      </c>
      <c r="N181" s="7" t="n">
        <v>0</v>
      </c>
      <c r="P181" s="7" t="n">
        <v>123.6</v>
      </c>
      <c r="R181" s="7" t="n">
        <v>165.3</v>
      </c>
      <c r="T181" s="7" t="n">
        <v>94.40000000000001</v>
      </c>
      <c r="V181" s="7" t="n">
        <v>118</v>
      </c>
      <c r="X181" s="7" t="n">
        <v>190.8</v>
      </c>
      <c r="Z181" s="7" t="n">
        <v>49</v>
      </c>
      <c r="AB181" s="7" t="n">
        <v>2324.7</v>
      </c>
    </row>
    <row r="182">
      <c r="A182" s="4" t="inlineStr">
        <is>
          <t>生育</t>
        </is>
      </c>
      <c r="D182" s="7" t="n">
        <v>76.09999999999999</v>
      </c>
      <c r="F182" s="7" t="n">
        <v>69</v>
      </c>
      <c r="H182" s="7" t="n">
        <v>70.09999999999999</v>
      </c>
      <c r="J182" s="7" t="n">
        <v>93.3</v>
      </c>
      <c r="L182" s="7" t="n">
        <v>71.3</v>
      </c>
      <c r="N182" s="7" t="n">
        <v>0</v>
      </c>
      <c r="P182" s="7" t="n">
        <v>32.6</v>
      </c>
      <c r="R182" s="7" t="n">
        <v>43</v>
      </c>
      <c r="T182" s="7" t="n">
        <v>42.7</v>
      </c>
      <c r="V182" s="7" t="n">
        <v>21.1</v>
      </c>
      <c r="X182" s="7" t="n">
        <v>42.3</v>
      </c>
      <c r="Z182" s="7" t="n">
        <v>16.1</v>
      </c>
      <c r="AB182" s="7" t="n">
        <v>577.6</v>
      </c>
    </row>
    <row r="183">
      <c r="A183" s="4" t="inlineStr">
        <is>
          <t>公积金</t>
        </is>
      </c>
      <c r="D183" s="7" t="n">
        <v>526</v>
      </c>
      <c r="F183" s="7" t="n">
        <v>354.5</v>
      </c>
      <c r="H183" s="7" t="n">
        <v>756.4</v>
      </c>
      <c r="J183" s="7" t="n">
        <v>1174.6</v>
      </c>
      <c r="L183" s="7" t="n">
        <v>577.7</v>
      </c>
      <c r="N183" s="7" t="n">
        <v>0</v>
      </c>
      <c r="P183" s="7" t="n">
        <v>248.1</v>
      </c>
      <c r="R183" s="7" t="n">
        <v>215.5</v>
      </c>
      <c r="T183" s="7" t="n">
        <v>207.8</v>
      </c>
      <c r="V183" s="7" t="n">
        <v>257.3</v>
      </c>
      <c r="X183" s="7" t="n">
        <v>375.1</v>
      </c>
      <c r="Z183" s="7" t="n">
        <v>119.5</v>
      </c>
      <c r="AB183" s="7" t="n">
        <v>4812.5</v>
      </c>
    </row>
    <row r="184">
      <c r="A184" s="4" t="inlineStr">
        <is>
          <t>工会经费</t>
        </is>
      </c>
      <c r="D184" s="7" t="n">
        <v>34.6</v>
      </c>
      <c r="F184" s="7" t="n">
        <v>52.9</v>
      </c>
      <c r="H184" s="7" t="n">
        <v>46.1</v>
      </c>
      <c r="J184" s="7" t="n">
        <v>105.3</v>
      </c>
      <c r="L184" s="7" t="n">
        <v>46.3</v>
      </c>
      <c r="N184" s="7" t="n">
        <v>0</v>
      </c>
      <c r="P184" s="7" t="n">
        <v>14.8</v>
      </c>
      <c r="R184" s="7" t="n">
        <v>23.5</v>
      </c>
      <c r="T184" s="7" t="n">
        <v>25.5</v>
      </c>
      <c r="V184" s="7" t="n">
        <v>21.1</v>
      </c>
      <c r="X184" s="7" t="n">
        <v>34.9</v>
      </c>
      <c r="Z184" s="7" t="n">
        <v>12.6</v>
      </c>
      <c r="AB184" s="7" t="n">
        <v>417.6</v>
      </c>
    </row>
    <row r="185">
      <c r="A185" s="4" t="inlineStr">
        <is>
          <t>职工教育经费</t>
        </is>
      </c>
      <c r="D185" s="7" t="n">
        <v>277.5</v>
      </c>
      <c r="F185" s="7" t="n">
        <v>271.2</v>
      </c>
      <c r="H185" s="7" t="n">
        <v>541</v>
      </c>
      <c r="J185" s="7" t="n">
        <v>814.7</v>
      </c>
      <c r="L185" s="7" t="n">
        <v>303.3</v>
      </c>
      <c r="N185" s="7" t="n">
        <v>0</v>
      </c>
      <c r="P185" s="7" t="n">
        <v>103.7</v>
      </c>
      <c r="R185" s="7" t="n">
        <v>158.2</v>
      </c>
      <c r="T185" s="7" t="n">
        <v>153.1</v>
      </c>
      <c r="V185" s="7" t="n">
        <v>125.4</v>
      </c>
      <c r="X185" s="7" t="n">
        <v>326.4</v>
      </c>
      <c r="Z185" s="7" t="n">
        <v>93</v>
      </c>
      <c r="AB185" s="7" t="n">
        <v>3167.5</v>
      </c>
    </row>
    <row r="186">
      <c r="A186" s="4" t="inlineStr">
        <is>
          <t>福利费</t>
        </is>
      </c>
      <c r="D186" s="7" t="n">
        <v>1478.4</v>
      </c>
      <c r="F186" s="7" t="n">
        <v>1526.2</v>
      </c>
      <c r="H186" s="7" t="n">
        <v>2318.5</v>
      </c>
      <c r="J186" s="7" t="n">
        <v>2884.8</v>
      </c>
      <c r="L186" s="7" t="n">
        <v>2021.2</v>
      </c>
      <c r="N186" s="7" t="n">
        <v>0</v>
      </c>
      <c r="P186" s="7" t="n">
        <v>657.4</v>
      </c>
      <c r="R186" s="7" t="n">
        <v>918.2</v>
      </c>
      <c r="T186" s="7" t="n">
        <v>756.8</v>
      </c>
      <c r="V186" s="7" t="n">
        <v>716.8</v>
      </c>
      <c r="X186" s="7" t="n">
        <v>1331.1</v>
      </c>
      <c r="Z186" s="7" t="n">
        <v>286.6</v>
      </c>
      <c r="AB186" s="7" t="n">
        <v>14896</v>
      </c>
    </row>
    <row r="187">
      <c r="A187" s="4" t="inlineStr">
        <is>
          <t>职工房租</t>
        </is>
      </c>
      <c r="D187" s="7" t="n">
        <v>287.8</v>
      </c>
      <c r="F187" s="7" t="n">
        <v>249.8</v>
      </c>
      <c r="H187" s="7" t="n">
        <v>351</v>
      </c>
      <c r="J187" s="7" t="n">
        <v>514.6</v>
      </c>
      <c r="L187" s="7" t="n">
        <v>371.5</v>
      </c>
      <c r="N187" s="7" t="n">
        <v>0</v>
      </c>
      <c r="P187" s="7" t="n">
        <v>119.6</v>
      </c>
      <c r="R187" s="7" t="n">
        <v>102.2</v>
      </c>
      <c r="T187" s="7" t="n">
        <v>97.2</v>
      </c>
      <c r="V187" s="7" t="n">
        <v>101.8</v>
      </c>
      <c r="X187" s="7" t="n">
        <v>255.6</v>
      </c>
      <c r="Z187" s="7" t="n">
        <v>54.7</v>
      </c>
      <c r="AB187" s="7" t="n">
        <v>2505.8</v>
      </c>
    </row>
    <row r="188">
      <c r="A188" s="4" t="inlineStr">
        <is>
          <t>水电物业费</t>
        </is>
      </c>
      <c r="D188" s="7" t="n">
        <v>345.4</v>
      </c>
      <c r="F188" s="7" t="n">
        <v>486.3</v>
      </c>
      <c r="H188" s="7" t="n">
        <v>746.5</v>
      </c>
      <c r="J188" s="7" t="n">
        <v>638.4</v>
      </c>
      <c r="L188" s="7" t="n">
        <v>637.5</v>
      </c>
      <c r="N188" s="7" t="n">
        <v>0</v>
      </c>
      <c r="P188" s="7" t="n">
        <v>209.5</v>
      </c>
      <c r="R188" s="7" t="n">
        <v>331.5</v>
      </c>
      <c r="T188" s="7" t="n">
        <v>231.6</v>
      </c>
      <c r="V188" s="7" t="n">
        <v>238.8</v>
      </c>
      <c r="X188" s="7" t="n">
        <v>476</v>
      </c>
      <c r="Z188" s="7" t="n">
        <v>72.40000000000001</v>
      </c>
      <c r="AB188" s="7" t="n">
        <v>4413.9</v>
      </c>
    </row>
    <row r="189">
      <c r="A189" s="4" t="inlineStr">
        <is>
          <t>员工餐</t>
        </is>
      </c>
      <c r="D189" s="7" t="n">
        <v>178.4</v>
      </c>
      <c r="F189" s="7" t="n">
        <v>130.7</v>
      </c>
      <c r="H189" s="7" t="n">
        <v>242.9</v>
      </c>
      <c r="J189" s="7" t="n">
        <v>286.3</v>
      </c>
      <c r="L189" s="7" t="n">
        <v>178.4</v>
      </c>
      <c r="N189" s="7" t="n">
        <v>0</v>
      </c>
      <c r="P189" s="7" t="n">
        <v>56.7</v>
      </c>
      <c r="R189" s="7" t="n">
        <v>110.6</v>
      </c>
      <c r="T189" s="7" t="n">
        <v>66</v>
      </c>
      <c r="V189" s="7" t="n">
        <v>72.7</v>
      </c>
      <c r="X189" s="7" t="n">
        <v>100.1</v>
      </c>
      <c r="Z189" s="7" t="n">
        <v>28.6</v>
      </c>
      <c r="AB189" s="7" t="n">
        <v>1451.4</v>
      </c>
    </row>
    <row r="190">
      <c r="A190" s="4" t="inlineStr">
        <is>
          <t>节日礼品</t>
        </is>
      </c>
      <c r="D190" s="7" t="n">
        <v>256.5</v>
      </c>
      <c r="F190" s="7" t="n">
        <v>299.3</v>
      </c>
      <c r="H190" s="7" t="n">
        <v>453.9</v>
      </c>
      <c r="J190" s="7" t="n">
        <v>658.7</v>
      </c>
      <c r="L190" s="7" t="n">
        <v>309.2</v>
      </c>
      <c r="N190" s="7" t="n">
        <v>0</v>
      </c>
      <c r="P190" s="7" t="n">
        <v>109.9</v>
      </c>
      <c r="R190" s="7" t="n">
        <v>118.4</v>
      </c>
      <c r="T190" s="7" t="n">
        <v>165.2</v>
      </c>
      <c r="V190" s="7" t="n">
        <v>116.6</v>
      </c>
      <c r="X190" s="7" t="n">
        <v>174.7</v>
      </c>
      <c r="Z190" s="7" t="n">
        <v>43.6</v>
      </c>
      <c r="AB190" s="7" t="n">
        <v>2706</v>
      </c>
    </row>
    <row r="191">
      <c r="A191" s="4" t="inlineStr">
        <is>
          <t>生日礼品</t>
        </is>
      </c>
      <c r="D191" s="7" t="n">
        <v>231.4</v>
      </c>
      <c r="F191" s="7" t="n">
        <v>175.5</v>
      </c>
      <c r="H191" s="7" t="n">
        <v>240.5</v>
      </c>
      <c r="J191" s="7" t="n">
        <v>247.7</v>
      </c>
      <c r="L191" s="7" t="n">
        <v>253</v>
      </c>
      <c r="N191" s="7" t="n">
        <v>0</v>
      </c>
      <c r="P191" s="7" t="n">
        <v>61.9</v>
      </c>
      <c r="R191" s="7" t="n">
        <v>108.5</v>
      </c>
      <c r="T191" s="7" t="n">
        <v>79.3</v>
      </c>
      <c r="V191" s="7" t="n">
        <v>63.1</v>
      </c>
      <c r="X191" s="7" t="n">
        <v>155.7</v>
      </c>
      <c r="Z191" s="7" t="n">
        <v>29.9</v>
      </c>
      <c r="AB191" s="7" t="n">
        <v>1646.5</v>
      </c>
    </row>
    <row r="192">
      <c r="A192" s="4" t="inlineStr">
        <is>
          <t>体检</t>
        </is>
      </c>
      <c r="D192" s="7" t="n">
        <v>135.8</v>
      </c>
      <c r="F192" s="7" t="n">
        <v>161.9</v>
      </c>
      <c r="H192" s="7" t="n">
        <v>240.5</v>
      </c>
      <c r="J192" s="7" t="n">
        <v>474.1</v>
      </c>
      <c r="L192" s="7" t="n">
        <v>236.1</v>
      </c>
      <c r="N192" s="7" t="n">
        <v>0</v>
      </c>
      <c r="P192" s="7" t="n">
        <v>81.40000000000001</v>
      </c>
      <c r="R192" s="7" t="n">
        <v>124.1</v>
      </c>
      <c r="T192" s="7" t="n">
        <v>100</v>
      </c>
      <c r="V192" s="7" t="n">
        <v>112.7</v>
      </c>
      <c r="X192" s="7" t="n">
        <v>141.2</v>
      </c>
      <c r="Z192" s="7" t="n">
        <v>51.7</v>
      </c>
      <c r="AB192" s="7" t="n">
        <v>1859.5</v>
      </c>
    </row>
    <row r="193">
      <c r="A193" s="4" t="inlineStr">
        <is>
          <t>其他福利支出</t>
        </is>
      </c>
      <c r="D193" s="7" t="n">
        <v>43.1</v>
      </c>
      <c r="F193" s="7" t="n">
        <v>22.7</v>
      </c>
      <c r="H193" s="7" t="n">
        <v>43.2</v>
      </c>
      <c r="J193" s="7" t="n">
        <v>65</v>
      </c>
      <c r="L193" s="7" t="n">
        <v>35.5</v>
      </c>
      <c r="N193" s="7" t="n">
        <v>0</v>
      </c>
      <c r="P193" s="7" t="n">
        <v>18.4</v>
      </c>
      <c r="R193" s="7" t="n">
        <v>22.9</v>
      </c>
      <c r="T193" s="7" t="n">
        <v>17.5</v>
      </c>
      <c r="V193" s="7" t="n">
        <v>11.1</v>
      </c>
      <c r="X193" s="7" t="n">
        <v>27.8</v>
      </c>
      <c r="Z193" s="7" t="n">
        <v>5.7</v>
      </c>
      <c r="AB193" s="7" t="n">
        <v>312.9</v>
      </c>
    </row>
    <row r="194">
      <c r="A194" s="4" t="inlineStr">
        <is>
          <t>招聘费</t>
        </is>
      </c>
      <c r="D194" s="7" t="n">
        <v>395.3</v>
      </c>
      <c r="F194" s="7" t="n">
        <v>309.8</v>
      </c>
      <c r="H194" s="7" t="n">
        <v>393.9</v>
      </c>
      <c r="J194" s="7" t="n">
        <v>541.2</v>
      </c>
      <c r="L194" s="7" t="n">
        <v>372.6</v>
      </c>
      <c r="N194" s="7" t="n">
        <v>0</v>
      </c>
      <c r="P194" s="7" t="n">
        <v>181.7</v>
      </c>
      <c r="R194" s="7" t="n">
        <v>249.2</v>
      </c>
      <c r="T194" s="7" t="n">
        <v>179.5</v>
      </c>
      <c r="V194" s="7" t="n">
        <v>212.9</v>
      </c>
      <c r="X194" s="7" t="n">
        <v>244.6</v>
      </c>
      <c r="Z194" s="7" t="n">
        <v>73</v>
      </c>
      <c r="AB194" s="7" t="n">
        <v>3153.7</v>
      </c>
    </row>
    <row r="195">
      <c r="A195" s="4" t="inlineStr">
        <is>
          <t>办公费</t>
        </is>
      </c>
      <c r="D195" s="7" t="n">
        <v>2454.9</v>
      </c>
      <c r="F195" s="7" t="n">
        <v>1938.9</v>
      </c>
      <c r="H195" s="7" t="n">
        <v>3311.7</v>
      </c>
      <c r="J195" s="7" t="n">
        <v>4242.6</v>
      </c>
      <c r="L195" s="7" t="n">
        <v>3804.7</v>
      </c>
      <c r="N195" s="7" t="n">
        <v>0</v>
      </c>
      <c r="P195" s="7" t="n">
        <v>1390.7</v>
      </c>
      <c r="R195" s="7" t="n">
        <v>1905</v>
      </c>
      <c r="T195" s="7" t="n">
        <v>1656.2</v>
      </c>
      <c r="V195" s="7" t="n">
        <v>1244.9</v>
      </c>
      <c r="X195" s="7" t="n">
        <v>2517.2</v>
      </c>
      <c r="Z195" s="7" t="n">
        <v>491.9</v>
      </c>
      <c r="AB195" s="7" t="n">
        <v>24958.7</v>
      </c>
    </row>
    <row r="196">
      <c r="A196" s="4" t="inlineStr">
        <is>
          <t>市内交通费</t>
        </is>
      </c>
      <c r="D196" s="7" t="n">
        <v>85.2</v>
      </c>
      <c r="F196" s="7" t="n">
        <v>89.09999999999999</v>
      </c>
      <c r="H196" s="7" t="n">
        <v>169.6</v>
      </c>
      <c r="J196" s="7" t="n">
        <v>275.2</v>
      </c>
      <c r="L196" s="7" t="n">
        <v>110.7</v>
      </c>
      <c r="N196" s="7" t="n">
        <v>0</v>
      </c>
      <c r="P196" s="7" t="n">
        <v>39.8</v>
      </c>
      <c r="R196" s="7" t="n">
        <v>75.2</v>
      </c>
      <c r="T196" s="7" t="n">
        <v>59.6</v>
      </c>
      <c r="V196" s="7" t="n">
        <v>50.3</v>
      </c>
      <c r="X196" s="7" t="n">
        <v>72.7</v>
      </c>
      <c r="Z196" s="7" t="n">
        <v>23.4</v>
      </c>
      <c r="AB196" s="7" t="n">
        <v>1050.8</v>
      </c>
    </row>
    <row r="197">
      <c r="A197" s="4" t="inlineStr">
        <is>
          <t>差旅费</t>
        </is>
      </c>
      <c r="D197" s="7" t="n">
        <v>3913.3</v>
      </c>
      <c r="F197" s="7" t="n">
        <v>5401.5</v>
      </c>
      <c r="H197" s="7" t="n">
        <v>7943</v>
      </c>
      <c r="J197" s="7" t="n">
        <v>7563.2</v>
      </c>
      <c r="L197" s="7" t="n">
        <v>6187.5</v>
      </c>
      <c r="N197" s="7" t="n">
        <v>0</v>
      </c>
      <c r="P197" s="7" t="n">
        <v>2748.3</v>
      </c>
      <c r="R197" s="7" t="n">
        <v>3784.6</v>
      </c>
      <c r="T197" s="7" t="n">
        <v>2429.4</v>
      </c>
      <c r="V197" s="7" t="n">
        <v>2337.1</v>
      </c>
      <c r="X197" s="7" t="n">
        <v>5612.3</v>
      </c>
      <c r="Z197" s="7" t="n">
        <v>1286.2</v>
      </c>
      <c r="AB197" s="7" t="n">
        <v>49206.4</v>
      </c>
    </row>
    <row r="198">
      <c r="A198" s="4" t="inlineStr">
        <is>
          <t>交通费</t>
        </is>
      </c>
      <c r="D198" s="7" t="n">
        <v>122.6</v>
      </c>
      <c r="F198" s="7" t="n">
        <v>171.4</v>
      </c>
      <c r="H198" s="7" t="n">
        <v>164.2</v>
      </c>
      <c r="J198" s="7" t="n">
        <v>258.5</v>
      </c>
      <c r="L198" s="7" t="n">
        <v>202.8</v>
      </c>
      <c r="N198" s="7" t="n">
        <v>0</v>
      </c>
      <c r="P198" s="7" t="n">
        <v>80.3</v>
      </c>
      <c r="R198" s="7" t="n">
        <v>88.7</v>
      </c>
      <c r="T198" s="7" t="n">
        <v>67.2</v>
      </c>
      <c r="V198" s="7" t="n">
        <v>62.8</v>
      </c>
      <c r="X198" s="7" t="n">
        <v>129.6</v>
      </c>
      <c r="Z198" s="7" t="n">
        <v>42.7</v>
      </c>
      <c r="AB198" s="7" t="n">
        <v>1390.8</v>
      </c>
    </row>
    <row r="199">
      <c r="A199" s="4" t="inlineStr">
        <is>
          <t>住宿费</t>
        </is>
      </c>
      <c r="D199" s="7" t="n">
        <v>349</v>
      </c>
      <c r="F199" s="7" t="n">
        <v>370.8</v>
      </c>
      <c r="H199" s="7" t="n">
        <v>531.5</v>
      </c>
      <c r="J199" s="7" t="n">
        <v>850.9</v>
      </c>
      <c r="L199" s="7" t="n">
        <v>435.3</v>
      </c>
      <c r="N199" s="7" t="n">
        <v>0</v>
      </c>
      <c r="P199" s="7" t="n">
        <v>167.7</v>
      </c>
      <c r="R199" s="7" t="n">
        <v>223.9</v>
      </c>
      <c r="T199" s="7" t="n">
        <v>152.6</v>
      </c>
      <c r="V199" s="7" t="n">
        <v>187.9</v>
      </c>
      <c r="X199" s="7" t="n">
        <v>276.5</v>
      </c>
      <c r="Z199" s="7" t="n">
        <v>85</v>
      </c>
      <c r="AB199" s="7" t="n">
        <v>3631.1</v>
      </c>
    </row>
    <row r="200">
      <c r="A200" s="4" t="inlineStr">
        <is>
          <t>餐补</t>
        </is>
      </c>
      <c r="D200" s="7" t="n">
        <v>284.5</v>
      </c>
      <c r="F200" s="7" t="n">
        <v>153.4</v>
      </c>
      <c r="H200" s="7" t="n">
        <v>292.8</v>
      </c>
      <c r="J200" s="7" t="n">
        <v>367.2</v>
      </c>
      <c r="L200" s="7" t="n">
        <v>205.7</v>
      </c>
      <c r="N200" s="7" t="n">
        <v>0</v>
      </c>
      <c r="P200" s="7" t="n">
        <v>119.1</v>
      </c>
      <c r="R200" s="7" t="n">
        <v>102.5</v>
      </c>
      <c r="T200" s="7" t="n">
        <v>127.9</v>
      </c>
      <c r="V200" s="7" t="n">
        <v>138.8</v>
      </c>
      <c r="X200" s="7" t="n">
        <v>175.4</v>
      </c>
      <c r="Z200" s="7" t="n">
        <v>54.4</v>
      </c>
      <c r="AB200" s="7" t="n">
        <v>2021.7</v>
      </c>
    </row>
    <row r="201">
      <c r="A201" s="4" t="inlineStr">
        <is>
          <t>交通补助</t>
        </is>
      </c>
      <c r="D201" s="7" t="n">
        <v>331.2</v>
      </c>
      <c r="F201" s="7" t="n">
        <v>329.2</v>
      </c>
      <c r="H201" s="7" t="n">
        <v>343.1</v>
      </c>
      <c r="J201" s="7" t="n">
        <v>529.7</v>
      </c>
      <c r="L201" s="7" t="n">
        <v>326.8</v>
      </c>
      <c r="N201" s="7" t="n">
        <v>0</v>
      </c>
      <c r="P201" s="7" t="n">
        <v>131.3</v>
      </c>
      <c r="R201" s="7" t="n">
        <v>143.7</v>
      </c>
      <c r="T201" s="7" t="n">
        <v>133.3</v>
      </c>
      <c r="V201" s="7" t="n">
        <v>186.3</v>
      </c>
      <c r="X201" s="7" t="n">
        <v>226.1</v>
      </c>
      <c r="Z201" s="7" t="n">
        <v>81.09999999999999</v>
      </c>
      <c r="AB201" s="7" t="n">
        <v>2761.8</v>
      </c>
    </row>
    <row r="202">
      <c r="A202" s="4" t="inlineStr">
        <is>
          <t>通讯补助</t>
        </is>
      </c>
      <c r="D202" s="7" t="n">
        <v>287.5</v>
      </c>
      <c r="F202" s="7" t="n">
        <v>252.2</v>
      </c>
      <c r="H202" s="7" t="n">
        <v>505.6</v>
      </c>
      <c r="J202" s="7" t="n">
        <v>628.3</v>
      </c>
      <c r="L202" s="7" t="n">
        <v>404.8</v>
      </c>
      <c r="N202" s="7" t="n">
        <v>0</v>
      </c>
      <c r="P202" s="7" t="n">
        <v>126</v>
      </c>
      <c r="R202" s="7" t="n">
        <v>160.6</v>
      </c>
      <c r="T202" s="7" t="n">
        <v>205.1</v>
      </c>
      <c r="V202" s="7" t="n">
        <v>104.9</v>
      </c>
      <c r="X202" s="7" t="n">
        <v>252.7</v>
      </c>
      <c r="Z202" s="7" t="n">
        <v>68.7</v>
      </c>
      <c r="AB202" s="7" t="n">
        <v>2996.4</v>
      </c>
    </row>
    <row r="203">
      <c r="A203" s="4" t="inlineStr">
        <is>
          <t>招待费</t>
        </is>
      </c>
      <c r="D203" s="7" t="n">
        <v>3586.3</v>
      </c>
      <c r="F203" s="7" t="n">
        <v>3850.9</v>
      </c>
      <c r="H203" s="7" t="n">
        <v>3616</v>
      </c>
      <c r="J203" s="7" t="n">
        <v>7611.5</v>
      </c>
      <c r="L203" s="7" t="n">
        <v>3231.4</v>
      </c>
      <c r="N203" s="7" t="n">
        <v>0</v>
      </c>
      <c r="P203" s="7" t="n">
        <v>1099.3</v>
      </c>
      <c r="R203" s="7" t="n">
        <v>1565.2</v>
      </c>
      <c r="T203" s="7" t="n">
        <v>1909.8</v>
      </c>
      <c r="V203" s="7" t="n">
        <v>2031.1</v>
      </c>
      <c r="X203" s="7" t="n">
        <v>2697.6</v>
      </c>
      <c r="Z203" s="7" t="n">
        <v>841.4</v>
      </c>
      <c r="AB203" s="7" t="n">
        <v>32040.5</v>
      </c>
    </row>
    <row r="204">
      <c r="A204" s="4" t="inlineStr">
        <is>
          <t>通讯费</t>
        </is>
      </c>
      <c r="D204" s="7" t="n">
        <v>495.8</v>
      </c>
      <c r="F204" s="7" t="n">
        <v>472.9</v>
      </c>
      <c r="H204" s="7" t="n">
        <v>904</v>
      </c>
      <c r="J204" s="7" t="n">
        <v>1068.5</v>
      </c>
      <c r="L204" s="7" t="n">
        <v>679</v>
      </c>
      <c r="N204" s="7" t="n">
        <v>0</v>
      </c>
      <c r="P204" s="7" t="n">
        <v>256.7</v>
      </c>
      <c r="R204" s="7" t="n">
        <v>295.8</v>
      </c>
      <c r="T204" s="7" t="n">
        <v>238.1</v>
      </c>
      <c r="V204" s="7" t="n">
        <v>305.7</v>
      </c>
      <c r="X204" s="7" t="n">
        <v>607.7</v>
      </c>
      <c r="Z204" s="7" t="n">
        <v>112.8</v>
      </c>
      <c r="AB204" s="7" t="n">
        <v>5437</v>
      </c>
    </row>
    <row r="205">
      <c r="A205" s="4" t="inlineStr">
        <is>
          <t>网络费</t>
        </is>
      </c>
      <c r="D205" s="7" t="n">
        <v>81.09999999999999</v>
      </c>
      <c r="F205" s="7" t="n">
        <v>50.7</v>
      </c>
      <c r="H205" s="7" t="n">
        <v>78.59999999999999</v>
      </c>
      <c r="J205" s="7" t="n">
        <v>138.3</v>
      </c>
      <c r="L205" s="7" t="n">
        <v>81.09999999999999</v>
      </c>
      <c r="N205" s="7" t="n">
        <v>0</v>
      </c>
      <c r="P205" s="7" t="n">
        <v>33.8</v>
      </c>
      <c r="R205" s="7" t="n">
        <v>31.2</v>
      </c>
      <c r="T205" s="7" t="n">
        <v>25.8</v>
      </c>
      <c r="V205" s="7" t="n">
        <v>25.2</v>
      </c>
      <c r="X205" s="7" t="n">
        <v>50.9</v>
      </c>
      <c r="Z205" s="7" t="n">
        <v>10.9</v>
      </c>
      <c r="AB205" s="7" t="n">
        <v>607.6</v>
      </c>
    </row>
    <row r="206">
      <c r="A206" s="4" t="inlineStr">
        <is>
          <t>修理费</t>
        </is>
      </c>
      <c r="D206" s="7" t="n">
        <v>491.7</v>
      </c>
      <c r="F206" s="7" t="n">
        <v>399.3</v>
      </c>
      <c r="H206" s="7" t="n">
        <v>811.5</v>
      </c>
      <c r="J206" s="7" t="n">
        <v>1059.1</v>
      </c>
      <c r="L206" s="7" t="n">
        <v>421.1</v>
      </c>
      <c r="N206" s="7" t="n">
        <v>0</v>
      </c>
      <c r="P206" s="7" t="n">
        <v>210.8</v>
      </c>
      <c r="R206" s="7" t="n">
        <v>311.1</v>
      </c>
      <c r="T206" s="7" t="n">
        <v>300.7</v>
      </c>
      <c r="V206" s="7" t="n">
        <v>236.2</v>
      </c>
      <c r="X206" s="7" t="n">
        <v>331.4</v>
      </c>
      <c r="Z206" s="7" t="n">
        <v>109.8</v>
      </c>
      <c r="AB206" s="7" t="n">
        <v>4682.7</v>
      </c>
    </row>
    <row r="207">
      <c r="A207" s="4" t="inlineStr">
        <is>
          <t>车辆费</t>
        </is>
      </c>
      <c r="D207" s="7" t="n">
        <v>123.8</v>
      </c>
      <c r="F207" s="7" t="n">
        <v>75.5</v>
      </c>
      <c r="H207" s="7" t="n">
        <v>189.2</v>
      </c>
      <c r="J207" s="7" t="n">
        <v>241.8</v>
      </c>
      <c r="L207" s="7" t="n">
        <v>130.8</v>
      </c>
      <c r="N207" s="7" t="n">
        <v>0</v>
      </c>
      <c r="P207" s="7" t="n">
        <v>40.6</v>
      </c>
      <c r="R207" s="7" t="n">
        <v>56.1</v>
      </c>
      <c r="T207" s="7" t="n">
        <v>65.90000000000001</v>
      </c>
      <c r="V207" s="7" t="n">
        <v>68.7</v>
      </c>
      <c r="X207" s="7" t="n">
        <v>125.9</v>
      </c>
      <c r="Z207" s="7" t="n">
        <v>21.7</v>
      </c>
      <c r="AB207" s="7" t="n">
        <v>1140</v>
      </c>
    </row>
    <row r="208">
      <c r="A208" s="4" t="inlineStr">
        <is>
          <t>租赁费</t>
        </is>
      </c>
      <c r="D208" s="7" t="n">
        <v>4451.2</v>
      </c>
      <c r="F208" s="7" t="n">
        <v>3939.3</v>
      </c>
      <c r="H208" s="7" t="n">
        <v>4904.6</v>
      </c>
      <c r="J208" s="7" t="n">
        <v>6910.1</v>
      </c>
      <c r="L208" s="7" t="n">
        <v>5519.2</v>
      </c>
      <c r="N208" s="7" t="n">
        <v>0</v>
      </c>
      <c r="P208" s="7" t="n">
        <v>1662.7</v>
      </c>
      <c r="R208" s="7" t="n">
        <v>2118</v>
      </c>
      <c r="T208" s="7" t="n">
        <v>1817</v>
      </c>
      <c r="V208" s="7" t="n">
        <v>1749.9</v>
      </c>
      <c r="X208" s="7" t="n">
        <v>2876</v>
      </c>
      <c r="Z208" s="7" t="n">
        <v>969</v>
      </c>
      <c r="AB208" s="7" t="n">
        <v>36917</v>
      </c>
    </row>
    <row r="209">
      <c r="A209" s="4" t="inlineStr">
        <is>
          <t>能源费</t>
        </is>
      </c>
      <c r="D209" s="7" t="n">
        <v>1158.8</v>
      </c>
      <c r="F209" s="7" t="n">
        <v>1013.5</v>
      </c>
      <c r="H209" s="7" t="n">
        <v>1332.1</v>
      </c>
      <c r="J209" s="7" t="n">
        <v>1586</v>
      </c>
      <c r="L209" s="7" t="n">
        <v>1222.1</v>
      </c>
      <c r="N209" s="7" t="n">
        <v>0</v>
      </c>
      <c r="P209" s="7" t="n">
        <v>430.2</v>
      </c>
      <c r="R209" s="7" t="n">
        <v>479.3</v>
      </c>
      <c r="T209" s="7" t="n">
        <v>502.6</v>
      </c>
      <c r="V209" s="7" t="n">
        <v>452.6</v>
      </c>
      <c r="X209" s="7" t="n">
        <v>946</v>
      </c>
      <c r="Z209" s="7" t="n">
        <v>224</v>
      </c>
      <c r="AB209" s="7" t="n">
        <v>9347.200000000001</v>
      </c>
    </row>
    <row r="210">
      <c r="A210" s="4" t="inlineStr">
        <is>
          <t>水费</t>
        </is>
      </c>
      <c r="D210" s="7" t="n">
        <v>469.1</v>
      </c>
      <c r="F210" s="7" t="n">
        <v>412</v>
      </c>
      <c r="H210" s="7" t="n">
        <v>499.4</v>
      </c>
      <c r="J210" s="7" t="n">
        <v>545.3</v>
      </c>
      <c r="L210" s="7" t="n">
        <v>493.1</v>
      </c>
      <c r="N210" s="7" t="n">
        <v>0</v>
      </c>
      <c r="P210" s="7" t="n">
        <v>201.9</v>
      </c>
      <c r="R210" s="7" t="n">
        <v>186.2</v>
      </c>
      <c r="T210" s="7" t="n">
        <v>209.6</v>
      </c>
      <c r="V210" s="7" t="n">
        <v>157.3</v>
      </c>
      <c r="X210" s="7" t="n">
        <v>294.2</v>
      </c>
      <c r="Z210" s="7" t="n">
        <v>65.2</v>
      </c>
      <c r="AB210" s="7" t="n">
        <v>3533.3</v>
      </c>
    </row>
    <row r="211">
      <c r="A211" s="4" t="inlineStr">
        <is>
          <t>电费</t>
        </is>
      </c>
      <c r="D211" s="7" t="n">
        <v>188.5</v>
      </c>
      <c r="F211" s="7" t="n">
        <v>194</v>
      </c>
      <c r="H211" s="7" t="n">
        <v>305.5</v>
      </c>
      <c r="J211" s="7" t="n">
        <v>359.3</v>
      </c>
      <c r="L211" s="7" t="n">
        <v>212.2</v>
      </c>
      <c r="N211" s="7" t="n">
        <v>0</v>
      </c>
      <c r="P211" s="7" t="n">
        <v>101.8</v>
      </c>
      <c r="R211" s="7" t="n">
        <v>107</v>
      </c>
      <c r="T211" s="7" t="n">
        <v>109.1</v>
      </c>
      <c r="V211" s="7" t="n">
        <v>103.5</v>
      </c>
      <c r="X211" s="7" t="n">
        <v>193.2</v>
      </c>
      <c r="Z211" s="7" t="n">
        <v>50.5</v>
      </c>
      <c r="AB211" s="7" t="n">
        <v>1924.6</v>
      </c>
    </row>
    <row r="212">
      <c r="A212" s="4" t="inlineStr">
        <is>
          <t>燃气费</t>
        </is>
      </c>
      <c r="D212" s="7" t="n">
        <v>33.5</v>
      </c>
      <c r="F212" s="7" t="n">
        <v>27.9</v>
      </c>
      <c r="H212" s="7" t="n">
        <v>45.1</v>
      </c>
      <c r="J212" s="7" t="n">
        <v>62.6</v>
      </c>
      <c r="L212" s="7" t="n">
        <v>37.3</v>
      </c>
      <c r="N212" s="7" t="n">
        <v>0</v>
      </c>
      <c r="P212" s="7" t="n">
        <v>13.2</v>
      </c>
      <c r="R212" s="7" t="n">
        <v>24.4</v>
      </c>
      <c r="T212" s="7" t="n">
        <v>27.3</v>
      </c>
      <c r="V212" s="7" t="n">
        <v>26.1</v>
      </c>
      <c r="X212" s="7" t="n">
        <v>31</v>
      </c>
      <c r="Z212" s="7" t="n">
        <v>8.6</v>
      </c>
      <c r="AB212" s="7" t="n">
        <v>337</v>
      </c>
    </row>
    <row r="213">
      <c r="A213" s="4" t="inlineStr">
        <is>
          <t>蒸汽费</t>
        </is>
      </c>
      <c r="D213" s="7" t="n">
        <v>467.7</v>
      </c>
      <c r="F213" s="7" t="n">
        <v>379.6</v>
      </c>
      <c r="H213" s="7" t="n">
        <v>482.1</v>
      </c>
      <c r="J213" s="7" t="n">
        <v>618.8</v>
      </c>
      <c r="L213" s="7" t="n">
        <v>479.5</v>
      </c>
      <c r="N213" s="7" t="n">
        <v>0</v>
      </c>
      <c r="P213" s="7" t="n">
        <v>113.3</v>
      </c>
      <c r="R213" s="7" t="n">
        <v>161.7</v>
      </c>
      <c r="T213" s="7" t="n">
        <v>156.6</v>
      </c>
      <c r="V213" s="7" t="n">
        <v>165.7</v>
      </c>
      <c r="X213" s="7" t="n">
        <v>427.6</v>
      </c>
      <c r="Z213" s="7" t="n">
        <v>99.7</v>
      </c>
      <c r="AB213" s="7" t="n">
        <v>3552.3</v>
      </c>
    </row>
    <row r="214">
      <c r="A214" s="4" t="inlineStr">
        <is>
          <t>物业费</t>
        </is>
      </c>
      <c r="D214" s="7" t="n">
        <v>398.8</v>
      </c>
      <c r="F214" s="7" t="n">
        <v>507.9</v>
      </c>
      <c r="H214" s="7" t="n">
        <v>939.7</v>
      </c>
      <c r="J214" s="7" t="n">
        <v>1186.9</v>
      </c>
      <c r="L214" s="7" t="n">
        <v>763.7</v>
      </c>
      <c r="N214" s="7" t="n">
        <v>0</v>
      </c>
      <c r="P214" s="7" t="n">
        <v>179.1</v>
      </c>
      <c r="R214" s="7" t="n">
        <v>227.7</v>
      </c>
      <c r="T214" s="7" t="n">
        <v>320.6</v>
      </c>
      <c r="V214" s="7" t="n">
        <v>234.4</v>
      </c>
      <c r="X214" s="7" t="n">
        <v>592.4</v>
      </c>
      <c r="Z214" s="7" t="n">
        <v>122.2</v>
      </c>
      <c r="AB214" s="7" t="n">
        <v>5473.4</v>
      </c>
    </row>
    <row r="215">
      <c r="A215" s="4" t="inlineStr">
        <is>
          <t>劳动保护费</t>
        </is>
      </c>
      <c r="D215" s="7" t="n">
        <v>110.1</v>
      </c>
      <c r="F215" s="7" t="n">
        <v>145.5</v>
      </c>
      <c r="H215" s="7" t="n">
        <v>162.9</v>
      </c>
      <c r="J215" s="7" t="n">
        <v>336.2</v>
      </c>
      <c r="L215" s="7" t="n">
        <v>154</v>
      </c>
      <c r="N215" s="7" t="n">
        <v>0</v>
      </c>
      <c r="P215" s="7" t="n">
        <v>61.6</v>
      </c>
      <c r="R215" s="7" t="n">
        <v>64</v>
      </c>
      <c r="T215" s="7" t="n">
        <v>80.90000000000001</v>
      </c>
      <c r="V215" s="7" t="n">
        <v>70.5</v>
      </c>
      <c r="X215" s="7" t="n">
        <v>115.6</v>
      </c>
      <c r="Z215" s="7" t="n">
        <v>23.1</v>
      </c>
      <c r="AB215" s="7" t="n">
        <v>1324.4</v>
      </c>
    </row>
    <row r="216">
      <c r="A216" s="4" t="inlineStr">
        <is>
          <t>顾问费</t>
        </is>
      </c>
      <c r="D216" s="7" t="n">
        <v>554.4</v>
      </c>
      <c r="F216" s="7" t="n">
        <v>587.6</v>
      </c>
      <c r="H216" s="7" t="n">
        <v>889</v>
      </c>
      <c r="J216" s="7" t="n">
        <v>1115.4</v>
      </c>
      <c r="L216" s="7" t="n">
        <v>690.3</v>
      </c>
      <c r="N216" s="7" t="n">
        <v>0</v>
      </c>
      <c r="P216" s="7" t="n">
        <v>187.9</v>
      </c>
      <c r="R216" s="7" t="n">
        <v>321</v>
      </c>
      <c r="T216" s="7" t="n">
        <v>354.2</v>
      </c>
      <c r="V216" s="7" t="n">
        <v>192.1</v>
      </c>
      <c r="X216" s="7" t="n">
        <v>525.6</v>
      </c>
      <c r="Z216" s="7" t="n">
        <v>127.4</v>
      </c>
      <c r="AB216" s="7" t="n">
        <v>5544.9</v>
      </c>
    </row>
    <row r="217">
      <c r="A217" s="4" t="inlineStr">
        <is>
          <t>快递费</t>
        </is>
      </c>
      <c r="D217" s="7" t="n">
        <v>408.5</v>
      </c>
      <c r="F217" s="7" t="n">
        <v>530.5</v>
      </c>
      <c r="H217" s="7" t="n">
        <v>977.2</v>
      </c>
      <c r="J217" s="7" t="n">
        <v>1138.2</v>
      </c>
      <c r="L217" s="7" t="n">
        <v>759.5</v>
      </c>
      <c r="N217" s="7" t="n">
        <v>0</v>
      </c>
      <c r="P217" s="7" t="n">
        <v>273.6</v>
      </c>
      <c r="R217" s="7" t="n">
        <v>370.1</v>
      </c>
      <c r="T217" s="7" t="n">
        <v>268.2</v>
      </c>
      <c r="V217" s="7" t="n">
        <v>197.5</v>
      </c>
      <c r="X217" s="7" t="n">
        <v>482</v>
      </c>
      <c r="Z217" s="7" t="n">
        <v>142.1</v>
      </c>
      <c r="AB217" s="7" t="n">
        <v>5547.4</v>
      </c>
    </row>
    <row r="218">
      <c r="A218" s="4" t="inlineStr">
        <is>
          <t>诉讼费</t>
        </is>
      </c>
      <c r="D218" s="7" t="n">
        <v>284.1</v>
      </c>
      <c r="F218" s="7" t="n">
        <v>346.9</v>
      </c>
      <c r="H218" s="7" t="n">
        <v>499.8</v>
      </c>
      <c r="J218" s="7" t="n">
        <v>615.9</v>
      </c>
      <c r="L218" s="7" t="n">
        <v>330.4</v>
      </c>
      <c r="N218" s="7" t="n">
        <v>0</v>
      </c>
      <c r="P218" s="7" t="n">
        <v>125.1</v>
      </c>
      <c r="R218" s="7" t="n">
        <v>185.2</v>
      </c>
      <c r="T218" s="7" t="n">
        <v>155.3</v>
      </c>
      <c r="V218" s="7" t="n">
        <v>185.1</v>
      </c>
      <c r="X218" s="7" t="n">
        <v>332.3</v>
      </c>
      <c r="Z218" s="7" t="n">
        <v>51.4</v>
      </c>
      <c r="AB218" s="7" t="n">
        <v>3111.5</v>
      </c>
    </row>
    <row r="219">
      <c r="A219" s="4" t="inlineStr">
        <is>
          <t>会员费</t>
        </is>
      </c>
      <c r="D219" s="7" t="n">
        <v>468.6</v>
      </c>
      <c r="F219" s="7" t="n">
        <v>381.7</v>
      </c>
      <c r="H219" s="7" t="n">
        <v>513.5</v>
      </c>
      <c r="J219" s="7" t="n">
        <v>948.1</v>
      </c>
      <c r="L219" s="7" t="n">
        <v>343.9</v>
      </c>
      <c r="N219" s="7" t="n">
        <v>0</v>
      </c>
      <c r="P219" s="7" t="n">
        <v>128.1</v>
      </c>
      <c r="R219" s="7" t="n">
        <v>273.8</v>
      </c>
      <c r="T219" s="7" t="n">
        <v>225.9</v>
      </c>
      <c r="V219" s="7" t="n">
        <v>172</v>
      </c>
      <c r="X219" s="7" t="n">
        <v>362</v>
      </c>
      <c r="Z219" s="7" t="n">
        <v>89.2</v>
      </c>
      <c r="AB219" s="7" t="n">
        <v>3906.8</v>
      </c>
    </row>
    <row r="220">
      <c r="A220" s="4" t="inlineStr">
        <is>
          <t>广告宣传费</t>
        </is>
      </c>
      <c r="D220" s="7" t="n">
        <v>3187.7</v>
      </c>
      <c r="F220" s="7" t="n">
        <v>2127.7</v>
      </c>
      <c r="H220" s="7" t="n">
        <v>4625.2</v>
      </c>
      <c r="J220" s="7" t="n">
        <v>6513</v>
      </c>
      <c r="L220" s="7" t="n">
        <v>2448.2</v>
      </c>
      <c r="N220" s="7" t="n">
        <v>0</v>
      </c>
      <c r="P220" s="7" t="n">
        <v>1201.7</v>
      </c>
      <c r="R220" s="7" t="n">
        <v>1702.2</v>
      </c>
      <c r="T220" s="7" t="n">
        <v>1710.7</v>
      </c>
      <c r="V220" s="7" t="n">
        <v>1258.4</v>
      </c>
      <c r="X220" s="7" t="n">
        <v>3094.5</v>
      </c>
      <c r="Z220" s="7" t="n">
        <v>643.4</v>
      </c>
      <c r="AB220" s="7" t="n">
        <v>28512.7</v>
      </c>
    </row>
    <row r="221">
      <c r="A221" s="4" t="inlineStr">
        <is>
          <t>会务费</t>
        </is>
      </c>
      <c r="D221" s="7" t="n">
        <v>436.7</v>
      </c>
      <c r="F221" s="7" t="n">
        <v>505.4</v>
      </c>
      <c r="H221" s="7" t="n">
        <v>818.7</v>
      </c>
      <c r="J221" s="7" t="n">
        <v>1178.3</v>
      </c>
      <c r="L221" s="7" t="n">
        <v>575.5</v>
      </c>
      <c r="N221" s="7" t="n">
        <v>0</v>
      </c>
      <c r="P221" s="7" t="n">
        <v>209.7</v>
      </c>
      <c r="R221" s="7" t="n">
        <v>228.2</v>
      </c>
      <c r="T221" s="7" t="n">
        <v>262.4</v>
      </c>
      <c r="V221" s="7" t="n">
        <v>274.9</v>
      </c>
      <c r="X221" s="7" t="n">
        <v>496</v>
      </c>
      <c r="Z221" s="7" t="n">
        <v>109.6</v>
      </c>
      <c r="AB221" s="7" t="n">
        <v>5095.4</v>
      </c>
    </row>
    <row r="222">
      <c r="A222" s="4" t="inlineStr">
        <is>
          <t>装修费</t>
        </is>
      </c>
      <c r="D222" s="7" t="n">
        <v>441.9</v>
      </c>
      <c r="F222" s="7" t="n">
        <v>362</v>
      </c>
      <c r="H222" s="7" t="n">
        <v>765.1</v>
      </c>
      <c r="J222" s="7" t="n">
        <v>803.5</v>
      </c>
      <c r="L222" s="7" t="n">
        <v>676</v>
      </c>
      <c r="N222" s="7" t="n">
        <v>0</v>
      </c>
      <c r="P222" s="7" t="n">
        <v>228.4</v>
      </c>
      <c r="R222" s="7" t="n">
        <v>212.5</v>
      </c>
      <c r="T222" s="7" t="n">
        <v>221.6</v>
      </c>
      <c r="V222" s="7" t="n">
        <v>196</v>
      </c>
      <c r="X222" s="7" t="n">
        <v>476.7</v>
      </c>
      <c r="Z222" s="7" t="n">
        <v>72</v>
      </c>
      <c r="AB222" s="7" t="n">
        <v>4455.7</v>
      </c>
    </row>
    <row r="223">
      <c r="A223" s="4" t="inlineStr">
        <is>
          <t>推广费</t>
        </is>
      </c>
      <c r="D223" s="7" t="n">
        <v>351.6</v>
      </c>
      <c r="F223" s="7" t="n">
        <v>394.7</v>
      </c>
      <c r="H223" s="7" t="n">
        <v>640.3</v>
      </c>
      <c r="J223" s="7" t="n">
        <v>574.8</v>
      </c>
      <c r="L223" s="7" t="n">
        <v>305</v>
      </c>
      <c r="N223" s="7" t="n">
        <v>0</v>
      </c>
      <c r="P223" s="7" t="n">
        <v>156.2</v>
      </c>
      <c r="R223" s="7" t="n">
        <v>158.9</v>
      </c>
      <c r="T223" s="7" t="n">
        <v>155.6</v>
      </c>
      <c r="V223" s="7" t="n">
        <v>125.4</v>
      </c>
      <c r="X223" s="7" t="n">
        <v>427.7</v>
      </c>
      <c r="Z223" s="7" t="n">
        <v>64.8</v>
      </c>
      <c r="AB223" s="7" t="n">
        <v>3355</v>
      </c>
    </row>
    <row r="224">
      <c r="A224" s="4" t="inlineStr">
        <is>
          <t>展会费</t>
        </is>
      </c>
      <c r="D224" s="7" t="n">
        <v>274.1</v>
      </c>
      <c r="F224" s="7" t="n">
        <v>213.7</v>
      </c>
      <c r="H224" s="7" t="n">
        <v>248.8</v>
      </c>
      <c r="J224" s="7" t="n">
        <v>532.9</v>
      </c>
      <c r="L224" s="7" t="n">
        <v>197.2</v>
      </c>
      <c r="N224" s="7" t="n">
        <v>0</v>
      </c>
      <c r="P224" s="7" t="n">
        <v>76.3</v>
      </c>
      <c r="R224" s="7" t="n">
        <v>106.9</v>
      </c>
      <c r="T224" s="7" t="n">
        <v>146.2</v>
      </c>
      <c r="V224" s="7" t="n">
        <v>79.5</v>
      </c>
      <c r="X224" s="7" t="n">
        <v>182</v>
      </c>
      <c r="Z224" s="7" t="n">
        <v>61.7</v>
      </c>
      <c r="AB224" s="7" t="n">
        <v>2119.3</v>
      </c>
    </row>
    <row r="225">
      <c r="A225" s="4" t="inlineStr">
        <is>
          <t>设计费</t>
        </is>
      </c>
      <c r="D225" s="7" t="n">
        <v>217.9</v>
      </c>
      <c r="F225" s="7" t="n">
        <v>204</v>
      </c>
      <c r="H225" s="7" t="n">
        <v>381.4</v>
      </c>
      <c r="J225" s="7" t="n">
        <v>409.9</v>
      </c>
      <c r="L225" s="7" t="n">
        <v>267.6</v>
      </c>
      <c r="N225" s="7" t="n">
        <v>0</v>
      </c>
      <c r="P225" s="7" t="n">
        <v>98.3</v>
      </c>
      <c r="R225" s="7" t="n">
        <v>144.2</v>
      </c>
      <c r="T225" s="7" t="n">
        <v>128.6</v>
      </c>
      <c r="V225" s="7" t="n">
        <v>118.8</v>
      </c>
      <c r="X225" s="7" t="n">
        <v>160.9</v>
      </c>
      <c r="Z225" s="7" t="n">
        <v>50.2</v>
      </c>
      <c r="AB225" s="7" t="n">
        <v>2181.8</v>
      </c>
    </row>
    <row r="226">
      <c r="A226" s="4" t="inlineStr">
        <is>
          <t>折旧费</t>
        </is>
      </c>
      <c r="D226" s="7" t="n">
        <v>2476.4</v>
      </c>
      <c r="F226" s="7" t="n">
        <v>2792.1</v>
      </c>
      <c r="H226" s="7" t="n">
        <v>3542.6</v>
      </c>
      <c r="J226" s="7" t="n">
        <v>7544.3</v>
      </c>
      <c r="L226" s="7" t="n">
        <v>5046.3</v>
      </c>
      <c r="N226" s="7" t="n">
        <v>0</v>
      </c>
      <c r="P226" s="7" t="n">
        <v>1518.9</v>
      </c>
      <c r="R226" s="7" t="n">
        <v>1501.6</v>
      </c>
      <c r="T226" s="7" t="n">
        <v>2097.3</v>
      </c>
      <c r="V226" s="7" t="n">
        <v>1722.7</v>
      </c>
      <c r="X226" s="7" t="n">
        <v>2920.9</v>
      </c>
      <c r="Z226" s="7" t="n">
        <v>936.4</v>
      </c>
      <c r="AB226" s="7" t="n">
        <v>32099.5</v>
      </c>
    </row>
    <row r="227">
      <c r="A227" s="4" t="inlineStr">
        <is>
          <t>认证费</t>
        </is>
      </c>
      <c r="D227" s="7" t="n">
        <v>198.4</v>
      </c>
      <c r="F227" s="7" t="n">
        <v>182</v>
      </c>
      <c r="H227" s="7" t="n">
        <v>393.3</v>
      </c>
      <c r="J227" s="7" t="n">
        <v>673.1</v>
      </c>
      <c r="L227" s="7" t="n">
        <v>328.3</v>
      </c>
      <c r="N227" s="7" t="n">
        <v>0</v>
      </c>
      <c r="P227" s="7" t="n">
        <v>89.40000000000001</v>
      </c>
      <c r="R227" s="7" t="n">
        <v>180.5</v>
      </c>
      <c r="T227" s="7" t="n">
        <v>171</v>
      </c>
      <c r="V227" s="7" t="n">
        <v>161.9</v>
      </c>
      <c r="X227" s="7" t="n">
        <v>250.8</v>
      </c>
      <c r="Z227" s="7" t="n">
        <v>67.40000000000001</v>
      </c>
      <c r="AB227" s="7" t="n">
        <v>2696.1</v>
      </c>
    </row>
    <row r="228">
      <c r="A228" s="4" t="inlineStr">
        <is>
          <t>样品费</t>
        </is>
      </c>
      <c r="D228" s="7" t="n">
        <v>1455.1</v>
      </c>
      <c r="F228" s="7" t="n">
        <v>2020.1</v>
      </c>
      <c r="H228" s="7" t="n">
        <v>1776.2</v>
      </c>
      <c r="J228" s="7" t="n">
        <v>2982.7</v>
      </c>
      <c r="L228" s="7" t="n">
        <v>2418.6</v>
      </c>
      <c r="N228" s="7" t="n">
        <v>0</v>
      </c>
      <c r="P228" s="7" t="n">
        <v>615.9</v>
      </c>
      <c r="R228" s="7" t="n">
        <v>936.4</v>
      </c>
      <c r="T228" s="7" t="n">
        <v>665.2</v>
      </c>
      <c r="V228" s="7" t="n">
        <v>624.3</v>
      </c>
      <c r="X228" s="7" t="n">
        <v>1952.8</v>
      </c>
      <c r="Z228" s="7" t="n">
        <v>426.5</v>
      </c>
      <c r="AB228" s="7" t="n">
        <v>15873.8</v>
      </c>
    </row>
    <row r="229">
      <c r="A229" s="4" t="inlineStr">
        <is>
          <t>劳务费</t>
        </is>
      </c>
      <c r="D229" s="7" t="n">
        <v>510.7</v>
      </c>
      <c r="F229" s="7" t="n">
        <v>480.8</v>
      </c>
      <c r="H229" s="7" t="n">
        <v>739.4</v>
      </c>
      <c r="J229" s="7" t="n">
        <v>1154.9</v>
      </c>
      <c r="L229" s="7" t="n">
        <v>593.4</v>
      </c>
      <c r="N229" s="7" t="n">
        <v>0</v>
      </c>
      <c r="P229" s="7" t="n">
        <v>248.6</v>
      </c>
      <c r="R229" s="7" t="n">
        <v>221.3</v>
      </c>
      <c r="T229" s="7" t="n">
        <v>303.8</v>
      </c>
      <c r="V229" s="7" t="n">
        <v>275.7</v>
      </c>
      <c r="X229" s="7" t="n">
        <v>489.3</v>
      </c>
      <c r="Z229" s="7" t="n">
        <v>139</v>
      </c>
      <c r="AB229" s="7" t="n">
        <v>5156.9</v>
      </c>
    </row>
    <row r="230">
      <c r="A230" s="4" t="inlineStr">
        <is>
          <t>销售佣金</t>
        </is>
      </c>
      <c r="D230" s="7" t="n">
        <v>132.2</v>
      </c>
      <c r="F230" s="7" t="n">
        <v>131.6</v>
      </c>
      <c r="H230" s="7" t="n">
        <v>213.1</v>
      </c>
      <c r="J230" s="7" t="n">
        <v>248</v>
      </c>
      <c r="L230" s="7" t="n">
        <v>158.2</v>
      </c>
      <c r="N230" s="7" t="n">
        <v>0</v>
      </c>
      <c r="P230" s="7" t="n">
        <v>58.5</v>
      </c>
      <c r="R230" s="7" t="n">
        <v>94.40000000000001</v>
      </c>
      <c r="T230" s="7" t="n">
        <v>63.7</v>
      </c>
      <c r="V230" s="7" t="n">
        <v>90.09999999999999</v>
      </c>
      <c r="X230" s="7" t="n">
        <v>182.7</v>
      </c>
      <c r="Z230" s="7" t="n">
        <v>43.6</v>
      </c>
      <c r="AB230" s="7" t="n">
        <v>1416.1</v>
      </c>
    </row>
    <row r="231">
      <c r="A231" s="4" t="inlineStr">
        <is>
          <t>检测费</t>
        </is>
      </c>
      <c r="D231" s="7" t="n">
        <v>316.8</v>
      </c>
      <c r="F231" s="7" t="n">
        <v>321</v>
      </c>
      <c r="H231" s="7" t="n">
        <v>564.4</v>
      </c>
      <c r="J231" s="7" t="n">
        <v>946.4</v>
      </c>
      <c r="L231" s="7" t="n">
        <v>634.1</v>
      </c>
      <c r="N231" s="7" t="n">
        <v>0</v>
      </c>
      <c r="P231" s="7" t="n">
        <v>181.7</v>
      </c>
      <c r="R231" s="7" t="n">
        <v>280.8</v>
      </c>
      <c r="T231" s="7" t="n">
        <v>297.5</v>
      </c>
      <c r="V231" s="7" t="n">
        <v>154.8</v>
      </c>
      <c r="X231" s="7" t="n">
        <v>318.3</v>
      </c>
      <c r="Z231" s="7" t="n">
        <v>105.8</v>
      </c>
      <c r="AB231" s="7" t="n">
        <v>4121.6</v>
      </c>
    </row>
    <row r="232">
      <c r="A232" s="4" t="inlineStr">
        <is>
          <t>质量赔偿</t>
        </is>
      </c>
      <c r="D232" s="7" t="n">
        <v>554.7</v>
      </c>
      <c r="F232" s="7" t="n">
        <v>467.9</v>
      </c>
      <c r="H232" s="7" t="n">
        <v>703.9</v>
      </c>
      <c r="J232" s="7" t="n">
        <v>1169.7</v>
      </c>
      <c r="L232" s="7" t="n">
        <v>458.5</v>
      </c>
      <c r="N232" s="7" t="n">
        <v>0</v>
      </c>
      <c r="P232" s="7" t="n">
        <v>257.1</v>
      </c>
      <c r="R232" s="7" t="n">
        <v>332</v>
      </c>
      <c r="T232" s="7" t="n">
        <v>223.3</v>
      </c>
      <c r="V232" s="7" t="n">
        <v>245.4</v>
      </c>
      <c r="X232" s="7" t="n">
        <v>431.8</v>
      </c>
      <c r="Z232" s="7" t="n">
        <v>117.2</v>
      </c>
      <c r="AB232" s="7" t="n">
        <v>4961.5</v>
      </c>
    </row>
    <row r="233">
      <c r="A233" s="4" t="inlineStr">
        <is>
          <t>保险费</t>
        </is>
      </c>
      <c r="D233" s="7" t="n">
        <v>176.2</v>
      </c>
      <c r="F233" s="7" t="n">
        <v>185.9</v>
      </c>
      <c r="H233" s="7" t="n">
        <v>433.1</v>
      </c>
      <c r="J233" s="7" t="n">
        <v>426.3</v>
      </c>
      <c r="L233" s="7" t="n">
        <v>270.1</v>
      </c>
      <c r="N233" s="7" t="n">
        <v>0</v>
      </c>
      <c r="P233" s="7" t="n">
        <v>127.8</v>
      </c>
      <c r="R233" s="7" t="n">
        <v>167.9</v>
      </c>
      <c r="T233" s="7" t="n">
        <v>100.8</v>
      </c>
      <c r="V233" s="7" t="n">
        <v>88.7</v>
      </c>
      <c r="X233" s="7" t="n">
        <v>231.4</v>
      </c>
      <c r="Z233" s="7" t="n">
        <v>55.5</v>
      </c>
      <c r="AB233" s="7" t="n">
        <v>2263.7</v>
      </c>
    </row>
    <row r="234">
      <c r="A234" s="4" t="inlineStr">
        <is>
          <t>清洁费</t>
        </is>
      </c>
      <c r="D234" s="7" t="n">
        <v>327</v>
      </c>
      <c r="F234" s="7" t="n">
        <v>211.6</v>
      </c>
      <c r="H234" s="7" t="n">
        <v>309.3</v>
      </c>
      <c r="J234" s="7" t="n">
        <v>364.5</v>
      </c>
      <c r="L234" s="7" t="n">
        <v>356.1</v>
      </c>
      <c r="N234" s="7" t="n">
        <v>0</v>
      </c>
      <c r="P234" s="7" t="n">
        <v>102.9</v>
      </c>
      <c r="R234" s="7" t="n">
        <v>149.9</v>
      </c>
      <c r="T234" s="7" t="n">
        <v>115.7</v>
      </c>
      <c r="V234" s="7" t="n">
        <v>92.59999999999999</v>
      </c>
      <c r="X234" s="7" t="n">
        <v>183</v>
      </c>
      <c r="Z234" s="7" t="n">
        <v>59.8</v>
      </c>
      <c r="AB234" s="7" t="n">
        <v>2272.4</v>
      </c>
    </row>
    <row r="235">
      <c r="A235" s="4" t="inlineStr">
        <is>
          <t>低值易耗品</t>
        </is>
      </c>
      <c r="D235" s="7" t="n">
        <v>4.7</v>
      </c>
      <c r="F235" s="7" t="n">
        <v>6.7</v>
      </c>
      <c r="H235" s="7" t="n">
        <v>6.9</v>
      </c>
      <c r="J235" s="7" t="n">
        <v>13.6</v>
      </c>
      <c r="L235" s="7" t="n">
        <v>8</v>
      </c>
      <c r="N235" s="7" t="n">
        <v>0</v>
      </c>
      <c r="P235" s="7" t="n">
        <v>3.3</v>
      </c>
      <c r="R235" s="7" t="n">
        <v>2.8</v>
      </c>
      <c r="T235" s="7" t="n">
        <v>4.3</v>
      </c>
      <c r="V235" s="7" t="n">
        <v>3.6</v>
      </c>
      <c r="X235" s="7" t="n">
        <v>6.9</v>
      </c>
      <c r="Z235" s="7" t="n">
        <v>1.1</v>
      </c>
      <c r="AB235" s="7" t="n">
        <v>61.9</v>
      </c>
    </row>
    <row r="236">
      <c r="A236" s="4" t="inlineStr">
        <is>
          <t>物料消耗</t>
        </is>
      </c>
      <c r="D236" s="7" t="n">
        <v>264.7</v>
      </c>
      <c r="F236" s="7" t="n">
        <v>185.1</v>
      </c>
      <c r="H236" s="7" t="n">
        <v>357.9</v>
      </c>
      <c r="J236" s="7" t="n">
        <v>566</v>
      </c>
      <c r="L236" s="7" t="n">
        <v>330.8</v>
      </c>
      <c r="N236" s="7" t="n">
        <v>0</v>
      </c>
      <c r="P236" s="7" t="n">
        <v>91</v>
      </c>
      <c r="R236" s="7" t="n">
        <v>119.5</v>
      </c>
      <c r="T236" s="7" t="n">
        <v>147.5</v>
      </c>
      <c r="V236" s="7" t="n">
        <v>152.2</v>
      </c>
      <c r="X236" s="7" t="n">
        <v>184.9</v>
      </c>
      <c r="Z236" s="7" t="n">
        <v>57.3</v>
      </c>
      <c r="AB236" s="7" t="n">
        <v>2456.9</v>
      </c>
    </row>
    <row r="237">
      <c r="A237" s="4" t="inlineStr">
        <is>
          <t>盘盈盘亏</t>
        </is>
      </c>
      <c r="D237" s="7" t="n">
        <v>579.7</v>
      </c>
      <c r="F237" s="7" t="n">
        <v>429.9</v>
      </c>
      <c r="H237" s="7" t="n">
        <v>919.3</v>
      </c>
      <c r="J237" s="7" t="n">
        <v>1312.1</v>
      </c>
      <c r="L237" s="7" t="n">
        <v>615.6</v>
      </c>
      <c r="N237" s="7" t="n">
        <v>0</v>
      </c>
      <c r="P237" s="7" t="n">
        <v>206</v>
      </c>
      <c r="R237" s="7" t="n">
        <v>235.7</v>
      </c>
      <c r="T237" s="7" t="n">
        <v>292.5</v>
      </c>
      <c r="V237" s="7" t="n">
        <v>317.9</v>
      </c>
      <c r="X237" s="7" t="n">
        <v>606.6</v>
      </c>
      <c r="Z237" s="7" t="n">
        <v>84.7</v>
      </c>
      <c r="AB237" s="7" t="n">
        <v>5600</v>
      </c>
    </row>
    <row r="238">
      <c r="A238" s="4" t="inlineStr">
        <is>
          <t>平台服务费</t>
        </is>
      </c>
      <c r="D238" s="7" t="n">
        <v>477.3</v>
      </c>
      <c r="F238" s="7" t="n">
        <v>322.2</v>
      </c>
      <c r="H238" s="7" t="n">
        <v>577.5</v>
      </c>
      <c r="J238" s="7" t="n">
        <v>904.7</v>
      </c>
      <c r="L238" s="7" t="n">
        <v>524.8</v>
      </c>
      <c r="N238" s="7" t="n">
        <v>0</v>
      </c>
      <c r="P238" s="7" t="n">
        <v>174.7</v>
      </c>
      <c r="R238" s="7" t="n">
        <v>255.9</v>
      </c>
      <c r="T238" s="7" t="n">
        <v>255.8</v>
      </c>
      <c r="V238" s="7" t="n">
        <v>192.4</v>
      </c>
      <c r="X238" s="7" t="n">
        <v>407.3</v>
      </c>
      <c r="Z238" s="7" t="n">
        <v>63.8</v>
      </c>
      <c r="AB238" s="7" t="n">
        <v>4156.4</v>
      </c>
    </row>
    <row r="239">
      <c r="A239" s="4" t="inlineStr">
        <is>
          <t>无形资产摊销</t>
        </is>
      </c>
      <c r="D239" s="7" t="n">
        <v>295.1</v>
      </c>
      <c r="F239" s="7" t="n">
        <v>357.8</v>
      </c>
      <c r="H239" s="7" t="n">
        <v>464.5</v>
      </c>
      <c r="J239" s="7" t="n">
        <v>475.1</v>
      </c>
      <c r="L239" s="7" t="n">
        <v>301.3</v>
      </c>
      <c r="N239" s="7" t="n">
        <v>0</v>
      </c>
      <c r="P239" s="7" t="n">
        <v>180</v>
      </c>
      <c r="R239" s="7" t="n">
        <v>153</v>
      </c>
      <c r="T239" s="7" t="n">
        <v>200.7</v>
      </c>
      <c r="V239" s="7" t="n">
        <v>145.4</v>
      </c>
      <c r="X239" s="7" t="n">
        <v>294.8</v>
      </c>
      <c r="Z239" s="7" t="n">
        <v>70.09999999999999</v>
      </c>
      <c r="AB239" s="7" t="n">
        <v>2937.8</v>
      </c>
    </row>
    <row r="240">
      <c r="A240" s="4" t="inlineStr">
        <is>
          <t>研发材料</t>
        </is>
      </c>
      <c r="D240" s="7" t="n">
        <v>569.6</v>
      </c>
      <c r="F240" s="7" t="n">
        <v>365.3</v>
      </c>
      <c r="H240" s="7" t="n">
        <v>665.8</v>
      </c>
      <c r="J240" s="7" t="n">
        <v>798.2</v>
      </c>
      <c r="L240" s="7" t="n">
        <v>485.4</v>
      </c>
      <c r="N240" s="7" t="n">
        <v>0</v>
      </c>
      <c r="P240" s="7" t="n">
        <v>197.6</v>
      </c>
      <c r="R240" s="7" t="n">
        <v>243.9</v>
      </c>
      <c r="T240" s="7" t="n">
        <v>304.7</v>
      </c>
      <c r="V240" s="7" t="n">
        <v>236.6</v>
      </c>
      <c r="X240" s="7" t="n">
        <v>474</v>
      </c>
      <c r="Z240" s="7" t="n">
        <v>121.1</v>
      </c>
      <c r="AB240" s="7" t="n">
        <v>4462.2</v>
      </c>
    </row>
    <row r="241">
      <c r="A241" s="4" t="inlineStr">
        <is>
          <t>项目名称</t>
        </is>
      </c>
      <c r="D241" s="7" t="n">
        <v>374.8</v>
      </c>
      <c r="F241" s="7" t="n">
        <v>324.4</v>
      </c>
      <c r="H241" s="7" t="n">
        <v>480.1</v>
      </c>
      <c r="J241" s="7" t="n">
        <v>504.1</v>
      </c>
      <c r="L241" s="7" t="n">
        <v>408.9</v>
      </c>
      <c r="N241" s="7" t="n">
        <v>0</v>
      </c>
      <c r="P241" s="7" t="n">
        <v>148.7</v>
      </c>
      <c r="R241" s="7" t="n">
        <v>211.8</v>
      </c>
      <c r="T241" s="7" t="n">
        <v>159.1</v>
      </c>
      <c r="V241" s="7" t="n">
        <v>137.2</v>
      </c>
      <c r="X241" s="7" t="n">
        <v>274.6</v>
      </c>
      <c r="Z241" s="7" t="n">
        <v>63.2</v>
      </c>
      <c r="AB241" s="7" t="n">
        <v>3086.9</v>
      </c>
    </row>
    <row r="242">
      <c r="A242" s="4" t="inlineStr">
        <is>
          <t>研发费</t>
        </is>
      </c>
      <c r="D242" s="7" t="n">
        <v>257.5</v>
      </c>
      <c r="F242" s="7" t="n">
        <v>327.8</v>
      </c>
      <c r="H242" s="7" t="n">
        <v>516.4</v>
      </c>
      <c r="J242" s="7" t="n">
        <v>589.3</v>
      </c>
      <c r="L242" s="7" t="n">
        <v>317.4</v>
      </c>
      <c r="N242" s="7" t="n">
        <v>0</v>
      </c>
      <c r="P242" s="7" t="n">
        <v>149.4</v>
      </c>
      <c r="R242" s="7" t="n">
        <v>168.4</v>
      </c>
      <c r="T242" s="7" t="n">
        <v>150.2</v>
      </c>
      <c r="V242" s="7" t="n">
        <v>116.1</v>
      </c>
      <c r="X242" s="7" t="n">
        <v>257.7</v>
      </c>
      <c r="Z242" s="7" t="n">
        <v>67.3</v>
      </c>
      <c r="AB242" s="7" t="n">
        <v>2917.5</v>
      </c>
    </row>
    <row r="243">
      <c r="A243" s="4" t="inlineStr">
        <is>
          <t>残保金</t>
        </is>
      </c>
      <c r="D243" s="7" t="n">
        <v>535.5</v>
      </c>
      <c r="F243" s="7" t="n">
        <v>309</v>
      </c>
      <c r="H243" s="7" t="n">
        <v>721.5</v>
      </c>
      <c r="J243" s="7" t="n">
        <v>743.8</v>
      </c>
      <c r="L243" s="7" t="n">
        <v>581</v>
      </c>
      <c r="N243" s="7" t="n">
        <v>0</v>
      </c>
      <c r="P243" s="7" t="n">
        <v>191.7</v>
      </c>
      <c r="R243" s="7" t="n">
        <v>222.5</v>
      </c>
      <c r="T243" s="7" t="n">
        <v>279.7</v>
      </c>
      <c r="V243" s="7" t="n">
        <v>212.3</v>
      </c>
      <c r="X243" s="7" t="n">
        <v>324.8</v>
      </c>
      <c r="Z243" s="7" t="n">
        <v>104.3</v>
      </c>
      <c r="AB243" s="7" t="n">
        <v>4226.1</v>
      </c>
    </row>
    <row r="244">
      <c r="A244" s="4" t="inlineStr">
        <is>
          <t>环保费</t>
        </is>
      </c>
      <c r="D244" s="7" t="n">
        <v>535.9</v>
      </c>
      <c r="F244" s="7" t="n">
        <v>370.3</v>
      </c>
      <c r="H244" s="7" t="n">
        <v>831.2</v>
      </c>
      <c r="J244" s="7" t="n">
        <v>1158.9</v>
      </c>
      <c r="L244" s="7" t="n">
        <v>482.4</v>
      </c>
      <c r="N244" s="7" t="n">
        <v>0</v>
      </c>
      <c r="P244" s="7" t="n">
        <v>212.8</v>
      </c>
      <c r="R244" s="7" t="n">
        <v>240.9</v>
      </c>
      <c r="T244" s="7" t="n">
        <v>268.1</v>
      </c>
      <c r="V244" s="7" t="n">
        <v>199</v>
      </c>
      <c r="X244" s="7" t="n">
        <v>479.6</v>
      </c>
      <c r="Z244" s="7" t="n">
        <v>107.2</v>
      </c>
      <c r="AB244" s="7" t="n">
        <v>4886.3</v>
      </c>
    </row>
    <row r="245">
      <c r="A245" s="4" t="inlineStr">
        <is>
          <t>报废损失</t>
        </is>
      </c>
      <c r="D245" s="7" t="n">
        <v>87.90000000000001</v>
      </c>
      <c r="F245" s="7" t="n">
        <v>64</v>
      </c>
      <c r="H245" s="7" t="n">
        <v>151.4</v>
      </c>
      <c r="J245" s="7" t="n">
        <v>191.9</v>
      </c>
      <c r="L245" s="7" t="n">
        <v>128.4</v>
      </c>
      <c r="N245" s="7" t="n">
        <v>0</v>
      </c>
      <c r="P245" s="7" t="n">
        <v>29</v>
      </c>
      <c r="R245" s="7" t="n">
        <v>59.8</v>
      </c>
      <c r="T245" s="7" t="n">
        <v>56.8</v>
      </c>
      <c r="V245" s="7" t="n">
        <v>37.5</v>
      </c>
      <c r="X245" s="7" t="n">
        <v>99.59999999999999</v>
      </c>
      <c r="Z245" s="7" t="n">
        <v>18.4</v>
      </c>
      <c r="AB245" s="7" t="n">
        <v>924.7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5053.4</v>
      </c>
      <c r="D246" s="7" t="n">
        <v>1927.3</v>
      </c>
      <c r="E246" s="7" t="n">
        <v>4015.1</v>
      </c>
      <c r="F246" s="7" t="n">
        <v>9186.299999999999</v>
      </c>
      <c r="G246" s="7" t="n">
        <v>5117.1</v>
      </c>
      <c r="H246" s="7" t="n">
        <v>-20.2</v>
      </c>
      <c r="I246" s="7" t="n">
        <v>4324.9</v>
      </c>
      <c r="J246" s="7" t="n">
        <v>-3725.2</v>
      </c>
      <c r="K246" s="7" t="n">
        <v>4701.9</v>
      </c>
      <c r="L246" s="7" t="n">
        <v>5692.7</v>
      </c>
      <c r="M246" s="7" t="n">
        <v>4312.5</v>
      </c>
      <c r="N246" s="7" t="n">
        <v>19542.4</v>
      </c>
      <c r="O246" s="7" t="n">
        <v>5029.1</v>
      </c>
      <c r="P246" s="7" t="n">
        <v>9881.799999999999</v>
      </c>
      <c r="Q246" s="7" t="n">
        <v>5226.4</v>
      </c>
      <c r="R246" s="7" t="n">
        <v>6909.2</v>
      </c>
      <c r="S246" s="7" t="n">
        <v>4894.1</v>
      </c>
      <c r="T246" s="7" t="n">
        <v>4672.1</v>
      </c>
      <c r="U246" s="7" t="n">
        <v>4224.2</v>
      </c>
      <c r="V246" s="7" t="n">
        <v>-2013.9</v>
      </c>
      <c r="W246" s="7" t="n">
        <v>5178.5</v>
      </c>
      <c r="X246" s="7" t="n">
        <v>-472.4</v>
      </c>
      <c r="Y246" s="7" t="n">
        <v>4727</v>
      </c>
      <c r="Z246" s="7" t="n">
        <v>4033.4</v>
      </c>
      <c r="AA246" s="8" t="n">
        <v>56804.2</v>
      </c>
      <c r="AB246" s="8" t="n">
        <v>55613.5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-4901.4</v>
      </c>
      <c r="E248" s="7" t="n">
        <v>0</v>
      </c>
      <c r="F248" s="7" t="n">
        <v>-1623.9</v>
      </c>
      <c r="G248" s="7" t="n">
        <v>0</v>
      </c>
      <c r="H248" s="7" t="n">
        <v>1243.6</v>
      </c>
      <c r="I248" s="7" t="n">
        <v>0</v>
      </c>
      <c r="J248" s="7" t="n">
        <v>-2228.3</v>
      </c>
      <c r="K248" s="7" t="n">
        <v>0</v>
      </c>
      <c r="L248" s="7" t="n">
        <v>-702</v>
      </c>
      <c r="M248" s="7" t="n">
        <v>0</v>
      </c>
      <c r="N248" s="7" t="n">
        <v>-2695.1</v>
      </c>
      <c r="O248" s="7" t="n">
        <v>0</v>
      </c>
      <c r="P248" s="7" t="n">
        <v>1183.1</v>
      </c>
      <c r="Q248" s="7" t="n">
        <v>0</v>
      </c>
      <c r="R248" s="7" t="n">
        <v>706.2</v>
      </c>
      <c r="S248" s="7" t="n">
        <v>0</v>
      </c>
      <c r="T248" s="7" t="n">
        <v>-2332.6</v>
      </c>
      <c r="U248" s="7" t="n">
        <v>0</v>
      </c>
      <c r="V248" s="7" t="n">
        <v>526.2</v>
      </c>
      <c r="W248" s="7" t="n">
        <v>0</v>
      </c>
      <c r="X248" s="7" t="n">
        <v>3407.7</v>
      </c>
      <c r="Y248" s="7" t="n">
        <v>0</v>
      </c>
      <c r="Z248" s="7" t="n">
        <v>-3483</v>
      </c>
      <c r="AA248" s="7" t="n">
        <v>0</v>
      </c>
      <c r="AB248" s="7" t="n">
        <v>-10899.5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16369.9</v>
      </c>
      <c r="D253" s="7" t="n">
        <v>16611.3</v>
      </c>
      <c r="E253" s="7" t="n">
        <v>14443.9</v>
      </c>
      <c r="F253" s="7" t="n">
        <v>9501.5</v>
      </c>
      <c r="G253" s="7" t="n">
        <v>18140.9</v>
      </c>
      <c r="H253" s="7" t="n">
        <v>6596.2</v>
      </c>
      <c r="I253" s="7" t="n">
        <v>15061.7</v>
      </c>
      <c r="J253" s="7" t="n">
        <v>24171.3</v>
      </c>
      <c r="K253" s="7" t="n">
        <v>16238</v>
      </c>
      <c r="L253" s="7" t="n">
        <v>24753.6</v>
      </c>
      <c r="M253" s="7" t="n">
        <v>14788.9</v>
      </c>
      <c r="N253" s="7" t="n">
        <v>6094.2</v>
      </c>
      <c r="O253" s="7" t="n">
        <v>14827.8</v>
      </c>
      <c r="P253" s="7" t="n">
        <v>18488.9</v>
      </c>
      <c r="Q253" s="7" t="n">
        <v>15058.6</v>
      </c>
      <c r="R253" s="7" t="n">
        <v>28634.2</v>
      </c>
      <c r="S253" s="7" t="n">
        <v>14501.6</v>
      </c>
      <c r="T253" s="7" t="n">
        <v>2735.3</v>
      </c>
      <c r="U253" s="7" t="n">
        <v>15149.5</v>
      </c>
      <c r="V253" s="7" t="n">
        <v>22213.7</v>
      </c>
      <c r="W253" s="7" t="n">
        <v>15493.3</v>
      </c>
      <c r="X253" s="7" t="n">
        <v>29360.2</v>
      </c>
      <c r="Y253" s="7" t="n">
        <v>16830.4</v>
      </c>
      <c r="Z253" s="7" t="n">
        <v>8091.9</v>
      </c>
      <c r="AA253" s="7" t="n">
        <v>186904.5</v>
      </c>
      <c r="AB253" s="7" t="n">
        <v>197252.3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197604.3</v>
      </c>
      <c r="D254" s="7" t="n">
        <v>219607.2</v>
      </c>
      <c r="E254" s="7" t="n">
        <v>236429.7</v>
      </c>
      <c r="F254" s="7" t="n">
        <v>223953.4</v>
      </c>
      <c r="G254" s="7" t="n">
        <v>211592</v>
      </c>
      <c r="H254" s="7" t="n">
        <v>258775.6</v>
      </c>
      <c r="I254" s="7" t="n">
        <v>230560.9</v>
      </c>
      <c r="J254" s="7" t="n">
        <v>267517.2</v>
      </c>
      <c r="K254" s="7" t="n">
        <v>213654.9</v>
      </c>
      <c r="L254" s="7" t="n">
        <v>199111.7</v>
      </c>
      <c r="M254" s="7" t="n">
        <v>200809</v>
      </c>
      <c r="N254" s="7" t="n">
        <v>0</v>
      </c>
      <c r="O254" s="7" t="n">
        <v>212070.1</v>
      </c>
      <c r="P254" s="7" t="n">
        <v>211825.5</v>
      </c>
      <c r="Q254" s="7" t="n">
        <v>219490.8</v>
      </c>
      <c r="R254" s="7" t="n">
        <v>510482.4</v>
      </c>
      <c r="S254" s="7" t="n">
        <v>233655.8</v>
      </c>
      <c r="T254" s="7" t="n">
        <v>120889.6</v>
      </c>
      <c r="U254" s="7" t="n">
        <v>218912.7</v>
      </c>
      <c r="V254" s="7" t="n">
        <v>306428.3</v>
      </c>
      <c r="W254" s="7" t="n">
        <v>204047</v>
      </c>
      <c r="X254" s="7" t="n">
        <v>169037.9</v>
      </c>
      <c r="Y254" s="7" t="n">
        <v>225079.6</v>
      </c>
      <c r="Z254" s="7" t="n">
        <v>57951.7</v>
      </c>
      <c r="AA254" s="8" t="n">
        <v>2603906.8</v>
      </c>
      <c r="AB254" s="8" t="n">
        <v>2545580.5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3004.8</v>
      </c>
      <c r="E255" s="7" t="n">
        <v>0</v>
      </c>
      <c r="F255" s="7" t="n">
        <v>3494.6</v>
      </c>
      <c r="G255" s="7" t="n">
        <v>0</v>
      </c>
      <c r="H255" s="7" t="n">
        <v>1888.3</v>
      </c>
      <c r="I255" s="7" t="n">
        <v>0</v>
      </c>
      <c r="J255" s="7" t="n">
        <v>3940.3</v>
      </c>
      <c r="K255" s="7" t="n">
        <v>0</v>
      </c>
      <c r="L255" s="7" t="n">
        <v>1035.7</v>
      </c>
      <c r="M255" s="7" t="n">
        <v>0</v>
      </c>
      <c r="N255" s="7" t="n">
        <v>1571.1</v>
      </c>
      <c r="O255" s="7" t="n">
        <v>0</v>
      </c>
      <c r="P255" s="7" t="n">
        <v>2025.5</v>
      </c>
      <c r="Q255" s="7" t="n">
        <v>0</v>
      </c>
      <c r="R255" s="7" t="n">
        <v>1243.8</v>
      </c>
      <c r="S255" s="7" t="n">
        <v>0</v>
      </c>
      <c r="T255" s="7" t="n">
        <v>1453.4</v>
      </c>
      <c r="U255" s="7" t="n">
        <v>0</v>
      </c>
      <c r="V255" s="7" t="n">
        <v>1154.5</v>
      </c>
      <c r="W255" s="7" t="n">
        <v>0</v>
      </c>
      <c r="X255" s="7" t="n">
        <v>3002.2</v>
      </c>
      <c r="Y255" s="7" t="n">
        <v>0</v>
      </c>
      <c r="Z255" s="7" t="n">
        <v>2348.6</v>
      </c>
      <c r="AA255" s="7" t="n">
        <v>0</v>
      </c>
      <c r="AB255" s="7" t="n">
        <v>26162.8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72.8</v>
      </c>
      <c r="E256" s="7" t="n">
        <v>0</v>
      </c>
      <c r="F256" s="7" t="n">
        <v>2805.8</v>
      </c>
      <c r="G256" s="7" t="n">
        <v>0</v>
      </c>
      <c r="H256" s="7" t="n">
        <v>732.2</v>
      </c>
      <c r="I256" s="7" t="n">
        <v>0</v>
      </c>
      <c r="J256" s="7" t="n">
        <v>2092.7</v>
      </c>
      <c r="K256" s="7" t="n">
        <v>0</v>
      </c>
      <c r="L256" s="7" t="n">
        <v>1356.7</v>
      </c>
      <c r="M256" s="7" t="n">
        <v>0</v>
      </c>
      <c r="N256" s="7" t="n">
        <v>2400.3</v>
      </c>
      <c r="O256" s="7" t="n">
        <v>0</v>
      </c>
      <c r="P256" s="7" t="n">
        <v>1166.6</v>
      </c>
      <c r="Q256" s="7" t="n">
        <v>0</v>
      </c>
      <c r="R256" s="7" t="n">
        <v>1035.6</v>
      </c>
      <c r="S256" s="7" t="n">
        <v>0</v>
      </c>
      <c r="T256" s="7" t="n">
        <v>1142.9</v>
      </c>
      <c r="U256" s="7" t="n">
        <v>0</v>
      </c>
      <c r="V256" s="7" t="n">
        <v>1472.9</v>
      </c>
      <c r="W256" s="7" t="n">
        <v>0</v>
      </c>
      <c r="X256" s="7" t="n">
        <v>2172.5</v>
      </c>
      <c r="Y256" s="7" t="n">
        <v>0</v>
      </c>
      <c r="Z256" s="7" t="n">
        <v>2727.6</v>
      </c>
      <c r="AA256" s="7" t="n">
        <v>0</v>
      </c>
      <c r="AB256" s="7" t="n">
        <v>19178.6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244125.4</v>
      </c>
      <c r="D257" s="7" t="n">
        <v>201575.7</v>
      </c>
      <c r="E257" s="7" t="n">
        <v>204771.4</v>
      </c>
      <c r="F257" s="7" t="n">
        <v>212976.4</v>
      </c>
      <c r="G257" s="7" t="n">
        <v>230137.3</v>
      </c>
      <c r="H257" s="7" t="n">
        <v>244727</v>
      </c>
      <c r="I257" s="7" t="n">
        <v>187188</v>
      </c>
      <c r="J257" s="7" t="n">
        <v>260379.6</v>
      </c>
      <c r="K257" s="7" t="n">
        <v>240071.4</v>
      </c>
      <c r="L257" s="7" t="n">
        <v>218907.3</v>
      </c>
      <c r="M257" s="7" t="n">
        <v>187341.9</v>
      </c>
      <c r="N257" s="7" t="n">
        <v>0</v>
      </c>
      <c r="O257" s="7" t="n">
        <v>225949.7</v>
      </c>
      <c r="P257" s="7" t="n">
        <v>197783.2</v>
      </c>
      <c r="Q257" s="7" t="n">
        <v>184632.6</v>
      </c>
      <c r="R257" s="7" t="n">
        <v>546588.5</v>
      </c>
      <c r="S257" s="7" t="n">
        <v>186501.7</v>
      </c>
      <c r="T257" s="7" t="n">
        <v>124395.6</v>
      </c>
      <c r="U257" s="7" t="n">
        <v>241106.2</v>
      </c>
      <c r="V257" s="7" t="n">
        <v>312502</v>
      </c>
      <c r="W257" s="7" t="n">
        <v>210440.2</v>
      </c>
      <c r="X257" s="7" t="n">
        <v>179523.1</v>
      </c>
      <c r="Y257" s="7" t="n">
        <v>200198.2</v>
      </c>
      <c r="Z257" s="7" t="n">
        <v>61960.8</v>
      </c>
      <c r="AA257" s="8" t="n">
        <v>2542464</v>
      </c>
      <c r="AB257" s="8" t="n">
        <v>2561319.2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59099.8</v>
      </c>
      <c r="D258" s="7" t="n">
        <v>50393.9</v>
      </c>
      <c r="E258" s="7" t="n">
        <v>49815.2</v>
      </c>
      <c r="F258" s="7" t="n">
        <v>53244.1</v>
      </c>
      <c r="G258" s="7" t="n">
        <v>60019.7</v>
      </c>
      <c r="H258" s="7" t="n">
        <v>61181.8</v>
      </c>
      <c r="I258" s="7" t="n">
        <v>49024</v>
      </c>
      <c r="J258" s="7" t="n">
        <v>65094.9</v>
      </c>
      <c r="K258" s="7" t="n">
        <v>50344.8</v>
      </c>
      <c r="L258" s="7" t="n">
        <v>54726.8</v>
      </c>
      <c r="M258" s="7" t="n">
        <v>53689.1</v>
      </c>
      <c r="N258" s="7" t="n">
        <v>0</v>
      </c>
      <c r="O258" s="7" t="n">
        <v>49067.7</v>
      </c>
      <c r="P258" s="7" t="n">
        <v>49445.8</v>
      </c>
      <c r="Q258" s="7" t="n">
        <v>46833.8</v>
      </c>
      <c r="R258" s="7" t="n">
        <v>136647.1</v>
      </c>
      <c r="S258" s="7" t="n">
        <v>46191.5</v>
      </c>
      <c r="T258" s="7" t="n">
        <v>31098.9</v>
      </c>
      <c r="U258" s="7" t="n">
        <v>55836</v>
      </c>
      <c r="V258" s="7" t="n">
        <v>78125.5</v>
      </c>
      <c r="W258" s="7" t="n">
        <v>57911.4</v>
      </c>
      <c r="X258" s="7" t="n">
        <v>44880.8</v>
      </c>
      <c r="Y258" s="7" t="n">
        <v>60626</v>
      </c>
      <c r="Z258" s="7" t="n">
        <v>15490.2</v>
      </c>
      <c r="AA258" s="7" t="n">
        <v>638459</v>
      </c>
      <c r="AB258" s="7" t="n">
        <v>640329.8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187990.4</v>
      </c>
      <c r="D259" s="7" t="n">
        <v>151181.8</v>
      </c>
      <c r="E259" s="7" t="n">
        <v>151857.3</v>
      </c>
      <c r="F259" s="7" t="n">
        <v>159732.3</v>
      </c>
      <c r="G259" s="7" t="n">
        <v>224831.9</v>
      </c>
      <c r="H259" s="7" t="n">
        <v>183545.2</v>
      </c>
      <c r="I259" s="7" t="n">
        <v>183812.6</v>
      </c>
      <c r="J259" s="7" t="n">
        <v>195284.7</v>
      </c>
      <c r="K259" s="7" t="n">
        <v>181812.9</v>
      </c>
      <c r="L259" s="7" t="n">
        <v>164180.5</v>
      </c>
      <c r="M259" s="7" t="n">
        <v>247399.4</v>
      </c>
      <c r="N259" s="7" t="n">
        <v>0</v>
      </c>
      <c r="O259" s="7" t="n">
        <v>231649.2</v>
      </c>
      <c r="P259" s="7" t="n">
        <v>148337.4</v>
      </c>
      <c r="Q259" s="7" t="n">
        <v>180143.7</v>
      </c>
      <c r="R259" s="7" t="n">
        <v>409941.4</v>
      </c>
      <c r="S259" s="7" t="n">
        <v>181244.2</v>
      </c>
      <c r="T259" s="7" t="n">
        <v>93296.7</v>
      </c>
      <c r="U259" s="7" t="n">
        <v>193414.6</v>
      </c>
      <c r="V259" s="7" t="n">
        <v>234376.5</v>
      </c>
      <c r="W259" s="7" t="n">
        <v>192678.7</v>
      </c>
      <c r="X259" s="7" t="n">
        <v>134642.3</v>
      </c>
      <c r="Y259" s="7" t="n">
        <v>179570.6</v>
      </c>
      <c r="Z259" s="7" t="n">
        <v>46470.6</v>
      </c>
      <c r="AA259" s="8" t="n">
        <v>2336405.5</v>
      </c>
      <c r="AB259" s="8" t="n">
        <v>1920989.4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42701.7</v>
      </c>
      <c r="E260" s="7" t="n">
        <v>0</v>
      </c>
      <c r="F260" s="7" t="n">
        <v>8431.200000000001</v>
      </c>
      <c r="G260" s="7" t="n">
        <v>0</v>
      </c>
      <c r="H260" s="7" t="n">
        <v>30171.4</v>
      </c>
      <c r="I260" s="7" t="n">
        <v>0</v>
      </c>
      <c r="J260" s="7" t="n">
        <v>55188.4</v>
      </c>
      <c r="K260" s="7" t="n">
        <v>0</v>
      </c>
      <c r="L260" s="7" t="n">
        <v>44078.6</v>
      </c>
      <c r="M260" s="7" t="n">
        <v>0</v>
      </c>
      <c r="N260" s="7" t="n">
        <v>0</v>
      </c>
      <c r="O260" s="7" t="n">
        <v>0</v>
      </c>
      <c r="P260" s="7" t="n">
        <v>35944.9</v>
      </c>
      <c r="Q260" s="7" t="n">
        <v>0</v>
      </c>
      <c r="R260" s="7" t="n">
        <v>24028.9</v>
      </c>
      <c r="S260" s="7" t="n">
        <v>0</v>
      </c>
      <c r="T260" s="7" t="n">
        <v>19943</v>
      </c>
      <c r="U260" s="7" t="n">
        <v>0</v>
      </c>
      <c r="V260" s="7" t="n">
        <v>4737.8</v>
      </c>
      <c r="W260" s="7" t="n">
        <v>0</v>
      </c>
      <c r="X260" s="7" t="n">
        <v>4100.3</v>
      </c>
      <c r="Y260" s="7" t="n">
        <v>0</v>
      </c>
      <c r="Z260" s="7" t="n">
        <v>11394</v>
      </c>
      <c r="AA260" s="7" t="n">
        <v>0</v>
      </c>
      <c r="AB260" s="7" t="n">
        <v>280720.2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187990.4</v>
      </c>
      <c r="D261" s="7" t="n">
        <v>108480.1</v>
      </c>
      <c r="E261" s="7" t="n">
        <v>151857.3</v>
      </c>
      <c r="F261" s="7" t="n">
        <v>151301.1</v>
      </c>
      <c r="G261" s="7" t="n">
        <v>224831.9</v>
      </c>
      <c r="H261" s="7" t="n">
        <v>153373.8</v>
      </c>
      <c r="I261" s="7" t="n">
        <v>183812.6</v>
      </c>
      <c r="J261" s="7" t="n">
        <v>140096.3</v>
      </c>
      <c r="K261" s="7" t="n">
        <v>181812.9</v>
      </c>
      <c r="L261" s="7" t="n">
        <v>120101.9</v>
      </c>
      <c r="M261" s="7" t="n">
        <v>247399.4</v>
      </c>
      <c r="N261" s="7" t="n">
        <v>0</v>
      </c>
      <c r="O261" s="7" t="n">
        <v>231649.2</v>
      </c>
      <c r="P261" s="7" t="n">
        <v>112392.5</v>
      </c>
      <c r="Q261" s="7" t="n">
        <v>180143.7</v>
      </c>
      <c r="R261" s="7" t="n">
        <v>385912.5</v>
      </c>
      <c r="S261" s="7" t="n">
        <v>181244.2</v>
      </c>
      <c r="T261" s="7" t="n">
        <v>73353.7</v>
      </c>
      <c r="U261" s="7" t="n">
        <v>193414.6</v>
      </c>
      <c r="V261" s="7" t="n">
        <v>229638.7</v>
      </c>
      <c r="W261" s="7" t="n">
        <v>192678.7</v>
      </c>
      <c r="X261" s="7" t="n">
        <v>130542</v>
      </c>
      <c r="Y261" s="7" t="n">
        <v>179570.6</v>
      </c>
      <c r="Z261" s="7" t="n">
        <v>35076.6</v>
      </c>
      <c r="AA261" s="8" t="n">
        <v>2336405.5</v>
      </c>
      <c r="AB261" s="8" t="n">
        <v>1640269.2</v>
      </c>
    </row>
    <row r="262">
      <c r="A262" s="4" t="inlineStr">
        <is>
          <t>净利率</t>
        </is>
      </c>
      <c r="D262" s="13" t="n">
        <v>6.7</v>
      </c>
      <c r="F262" s="13" t="n">
        <v>5.8</v>
      </c>
      <c r="H262" s="13" t="n">
        <v>4.8</v>
      </c>
      <c r="J262" s="13" t="n">
        <v>4.2</v>
      </c>
      <c r="L262" s="13" t="n">
        <v>4.8</v>
      </c>
      <c r="N262" s="13" t="n">
        <v>0</v>
      </c>
      <c r="P262" s="13" t="n">
        <v>5</v>
      </c>
      <c r="R262" s="13" t="n">
        <v>8.5</v>
      </c>
      <c r="T262" s="13" t="n">
        <v>7.1</v>
      </c>
      <c r="V262" s="13" t="n">
        <v>6.8</v>
      </c>
      <c r="X262" s="13" t="n">
        <v>6</v>
      </c>
      <c r="Z262" s="13" t="n">
        <v>4.9</v>
      </c>
    </row>
    <row r="263">
      <c r="A263" s="4" t="inlineStr">
        <is>
          <t>销售达成率</t>
        </is>
      </c>
      <c r="D263" s="13" t="n">
        <v>72.09999999999999</v>
      </c>
      <c r="F263" s="13" t="n">
        <v>99.3</v>
      </c>
      <c r="H263" s="13" t="n">
        <v>123.6</v>
      </c>
      <c r="J263" s="13" t="n">
        <v>190.8</v>
      </c>
      <c r="L263" s="13" t="n">
        <v>109.1</v>
      </c>
      <c r="N263" s="13" t="n">
        <v>0</v>
      </c>
      <c r="P263" s="13" t="n">
        <v>94.3</v>
      </c>
      <c r="R263" s="13" t="n">
        <v>188.7</v>
      </c>
      <c r="T263" s="13" t="n">
        <v>54.1</v>
      </c>
      <c r="V263" s="13" t="n">
        <v>128.7</v>
      </c>
      <c r="X263" s="13" t="n">
        <v>76.7</v>
      </c>
      <c r="Z263" s="13" t="n">
        <v>36.2</v>
      </c>
    </row>
    <row r="264">
      <c r="A264" s="4" t="inlineStr">
        <is>
          <t>净利达成率</t>
        </is>
      </c>
      <c r="D264" s="13" t="n">
        <v>80.40000000000001</v>
      </c>
      <c r="F264" s="13" t="n">
        <v>105.2</v>
      </c>
      <c r="H264" s="13" t="n">
        <v>81.59999999999999</v>
      </c>
      <c r="J264" s="13" t="n">
        <v>106.2</v>
      </c>
      <c r="L264" s="13" t="n">
        <v>90.3</v>
      </c>
      <c r="N264" s="13" t="n">
        <v>0</v>
      </c>
      <c r="P264" s="13" t="n">
        <v>64</v>
      </c>
      <c r="R264" s="13" t="n">
        <v>227.6</v>
      </c>
      <c r="T264" s="13" t="n">
        <v>51.5</v>
      </c>
      <c r="V264" s="13" t="n">
        <v>121.2</v>
      </c>
      <c r="X264" s="13" t="n">
        <v>69.90000000000001</v>
      </c>
      <c r="Z264" s="13" t="n">
        <v>25.9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广东区域利润表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767284.8</v>
      </c>
      <c r="D6" s="7" t="n">
        <v>843095.4</v>
      </c>
      <c r="E6" s="7" t="n">
        <v>844114.6</v>
      </c>
      <c r="F6" s="7" t="n">
        <v>468059.6</v>
      </c>
      <c r="G6" s="7" t="n">
        <v>942175.8</v>
      </c>
      <c r="H6" s="7" t="n">
        <v>932534</v>
      </c>
      <c r="I6" s="7" t="n">
        <v>1017542.1</v>
      </c>
      <c r="J6" s="7" t="n">
        <v>1074464.8</v>
      </c>
      <c r="K6" s="7" t="n">
        <v>866845.1</v>
      </c>
      <c r="L6" s="7" t="n">
        <v>996569.3</v>
      </c>
      <c r="M6" s="7" t="n">
        <v>952284.8</v>
      </c>
      <c r="N6" s="7" t="n">
        <v>992470.2</v>
      </c>
      <c r="O6" s="7" t="n">
        <v>780788.8</v>
      </c>
      <c r="P6" s="7" t="n">
        <v>1646612.2</v>
      </c>
      <c r="Q6" s="7" t="n">
        <v>945736.4</v>
      </c>
      <c r="R6" s="7" t="n">
        <v>1006355.3</v>
      </c>
      <c r="S6" s="7" t="n">
        <v>928728.9</v>
      </c>
      <c r="T6" s="7" t="n">
        <v>553955.7</v>
      </c>
      <c r="U6" s="7" t="n">
        <v>787741</v>
      </c>
      <c r="V6" s="7" t="n">
        <v>1132231</v>
      </c>
      <c r="W6" s="7" t="n">
        <v>967707.2</v>
      </c>
      <c r="X6" s="7" t="n">
        <v>751481.3</v>
      </c>
      <c r="Y6" s="7" t="n">
        <v>988590</v>
      </c>
      <c r="Z6" s="7" t="n">
        <v>174996.6</v>
      </c>
      <c r="AA6" s="8" t="n">
        <v>10789539.5</v>
      </c>
      <c r="AB6" s="8" t="n">
        <v>10572825.4</v>
      </c>
    </row>
    <row r="7">
      <c r="A7" s="4" t="inlineStr">
        <is>
          <t>数控机床</t>
        </is>
      </c>
      <c r="D7" s="7" t="n">
        <v>161693</v>
      </c>
      <c r="F7" s="7" t="n">
        <v>185279.2</v>
      </c>
      <c r="H7" s="7" t="n">
        <v>168936.8</v>
      </c>
      <c r="J7" s="7" t="n">
        <v>0</v>
      </c>
      <c r="L7" s="7" t="n">
        <v>224618.5</v>
      </c>
      <c r="N7" s="7" t="n">
        <v>0</v>
      </c>
      <c r="P7" s="7" t="n">
        <v>0</v>
      </c>
      <c r="R7" s="7" t="n">
        <v>230710.1</v>
      </c>
      <c r="T7" s="7" t="n">
        <v>0</v>
      </c>
      <c r="V7" s="7" t="n">
        <v>192073.8</v>
      </c>
      <c r="X7" s="7" t="n">
        <v>0</v>
      </c>
      <c r="Z7" s="7" t="n">
        <v>177724.5</v>
      </c>
      <c r="AB7" s="7" t="n">
        <v>1341035.9</v>
      </c>
    </row>
    <row r="8">
      <c r="A8" s="4" t="inlineStr">
        <is>
          <t>精密轴承</t>
        </is>
      </c>
      <c r="D8" s="7" t="n">
        <v>0</v>
      </c>
      <c r="F8" s="7" t="n">
        <v>0</v>
      </c>
      <c r="H8" s="7" t="n">
        <v>270216.7</v>
      </c>
      <c r="J8" s="7" t="n">
        <v>0</v>
      </c>
      <c r="L8" s="7" t="n">
        <v>0</v>
      </c>
      <c r="N8" s="7" t="n">
        <v>0</v>
      </c>
      <c r="P8" s="7" t="n">
        <v>335360.2</v>
      </c>
      <c r="R8" s="7" t="n">
        <v>235801.9</v>
      </c>
      <c r="T8" s="7" t="n">
        <v>0</v>
      </c>
      <c r="V8" s="7" t="n">
        <v>0</v>
      </c>
      <c r="X8" s="7" t="n">
        <v>349683.3</v>
      </c>
      <c r="Z8" s="7" t="n">
        <v>0</v>
      </c>
      <c r="AB8" s="7" t="n">
        <v>1191062.1</v>
      </c>
    </row>
    <row r="9">
      <c r="A9" s="4" t="inlineStr">
        <is>
          <t>液压件</t>
        </is>
      </c>
      <c r="D9" s="7" t="n">
        <v>215337.1</v>
      </c>
      <c r="F9" s="7" t="n">
        <v>283903</v>
      </c>
      <c r="H9" s="7" t="n">
        <v>350665</v>
      </c>
      <c r="J9" s="7" t="n">
        <v>455071.5</v>
      </c>
      <c r="L9" s="7" t="n">
        <v>458707</v>
      </c>
      <c r="N9" s="7" t="n">
        <v>529938.3</v>
      </c>
      <c r="P9" s="7" t="n">
        <v>593255</v>
      </c>
      <c r="R9" s="7" t="n">
        <v>0</v>
      </c>
      <c r="T9" s="7" t="n">
        <v>312633.4</v>
      </c>
      <c r="V9" s="7" t="n">
        <v>512756.3</v>
      </c>
      <c r="X9" s="7" t="n">
        <v>0</v>
      </c>
      <c r="Z9" s="7" t="n">
        <v>0</v>
      </c>
      <c r="AB9" s="7" t="n">
        <v>3712266.6</v>
      </c>
    </row>
    <row r="10">
      <c r="A10" s="4" t="inlineStr">
        <is>
          <t>气动元件</t>
        </is>
      </c>
      <c r="D10" s="7" t="n">
        <v>85168.7</v>
      </c>
      <c r="F10" s="7" t="n">
        <v>0</v>
      </c>
      <c r="H10" s="7" t="n">
        <v>159918.7</v>
      </c>
      <c r="J10" s="7" t="n">
        <v>0</v>
      </c>
      <c r="L10" s="7" t="n">
        <v>0</v>
      </c>
      <c r="N10" s="7" t="n">
        <v>0</v>
      </c>
      <c r="P10" s="7" t="n">
        <v>257175.3</v>
      </c>
      <c r="R10" s="7" t="n">
        <v>195621.4</v>
      </c>
      <c r="T10" s="7" t="n">
        <v>0</v>
      </c>
      <c r="V10" s="7" t="n">
        <v>0</v>
      </c>
      <c r="X10" s="7" t="n">
        <v>165034.8</v>
      </c>
      <c r="Z10" s="7" t="n">
        <v>0</v>
      </c>
      <c r="AB10" s="7" t="n">
        <v>862918.9</v>
      </c>
    </row>
    <row r="11">
      <c r="A11" s="4" t="inlineStr">
        <is>
          <t>模具</t>
        </is>
      </c>
      <c r="D11" s="7" t="n">
        <v>204662.3</v>
      </c>
      <c r="F11" s="7" t="n">
        <v>0</v>
      </c>
      <c r="H11" s="7" t="n">
        <v>0</v>
      </c>
      <c r="J11" s="7" t="n">
        <v>299281.8</v>
      </c>
      <c r="L11" s="7" t="n">
        <v>0</v>
      </c>
      <c r="N11" s="7" t="n">
        <v>0</v>
      </c>
      <c r="P11" s="7" t="n">
        <v>0</v>
      </c>
      <c r="R11" s="7" t="n">
        <v>341891.8</v>
      </c>
      <c r="T11" s="7" t="n">
        <v>237739</v>
      </c>
      <c r="V11" s="7" t="n">
        <v>0</v>
      </c>
      <c r="X11" s="7" t="n">
        <v>0</v>
      </c>
      <c r="Z11" s="7" t="n">
        <v>0</v>
      </c>
      <c r="AB11" s="7" t="n">
        <v>1083574.9</v>
      </c>
    </row>
    <row r="12">
      <c r="A12" s="4" t="inlineStr">
        <is>
          <t>工装夹具</t>
        </is>
      </c>
      <c r="D12" s="7" t="n">
        <v>187477.6</v>
      </c>
      <c r="F12" s="7" t="n">
        <v>0</v>
      </c>
      <c r="H12" s="7" t="n">
        <v>0</v>
      </c>
      <c r="J12" s="7" t="n">
        <v>344863.9</v>
      </c>
      <c r="L12" s="7" t="n">
        <v>337223.9</v>
      </c>
      <c r="N12" s="7" t="n">
        <v>472492.2</v>
      </c>
      <c r="P12" s="7" t="n">
        <v>504771.6</v>
      </c>
      <c r="R12" s="7" t="n">
        <v>0</v>
      </c>
      <c r="T12" s="7" t="n">
        <v>0</v>
      </c>
      <c r="V12" s="7" t="n">
        <v>445379.7</v>
      </c>
      <c r="X12" s="7" t="n">
        <v>251897.3</v>
      </c>
      <c r="Z12" s="7" t="n">
        <v>0</v>
      </c>
      <c r="AB12" s="7" t="n">
        <v>2544106.2</v>
      </c>
    </row>
    <row r="13">
      <c r="A13" s="4" t="inlineStr">
        <is>
          <t>返利</t>
        </is>
      </c>
      <c r="D13" s="7" t="n">
        <v>-11597.3</v>
      </c>
      <c r="F13" s="7" t="n">
        <v>-5856.7</v>
      </c>
      <c r="H13" s="7" t="n">
        <v>-18283.1</v>
      </c>
      <c r="J13" s="7" t="n">
        <v>-27719.2</v>
      </c>
      <c r="L13" s="7" t="n">
        <v>-24966.9</v>
      </c>
      <c r="N13" s="7" t="n">
        <v>-13086.1</v>
      </c>
      <c r="P13" s="7" t="n">
        <v>-48422.8</v>
      </c>
      <c r="R13" s="7" t="n">
        <v>-14973</v>
      </c>
      <c r="T13" s="7" t="n">
        <v>-5600</v>
      </c>
      <c r="V13" s="7" t="n">
        <v>-31180.1</v>
      </c>
      <c r="X13" s="7" t="n">
        <v>-19416.1</v>
      </c>
      <c r="Z13" s="7" t="n">
        <v>-3601.6</v>
      </c>
      <c r="AB13" s="7" t="n">
        <v>-224702.9</v>
      </c>
    </row>
    <row r="14">
      <c r="A14" s="4" t="inlineStr">
        <is>
          <t>其他</t>
        </is>
      </c>
      <c r="D14" s="7" t="n">
        <v>354</v>
      </c>
      <c r="F14" s="7" t="n">
        <v>4734.1</v>
      </c>
      <c r="H14" s="7" t="n">
        <v>1079.9</v>
      </c>
      <c r="J14" s="7" t="n">
        <v>2966.8</v>
      </c>
      <c r="L14" s="7" t="n">
        <v>986.8</v>
      </c>
      <c r="N14" s="7" t="n">
        <v>3125.8</v>
      </c>
      <c r="P14" s="7" t="n">
        <v>4472.9</v>
      </c>
      <c r="R14" s="7" t="n">
        <v>17303.1</v>
      </c>
      <c r="T14" s="7" t="n">
        <v>9183.299999999999</v>
      </c>
      <c r="V14" s="7" t="n">
        <v>13201.3</v>
      </c>
      <c r="X14" s="7" t="n">
        <v>4282</v>
      </c>
      <c r="Z14" s="7" t="n">
        <v>873.7</v>
      </c>
      <c r="AB14" s="7" t="n">
        <v>62563.7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642779.4</v>
      </c>
      <c r="D15" s="7" t="n">
        <v>616246.6</v>
      </c>
      <c r="E15" s="7" t="n">
        <v>616577.1</v>
      </c>
      <c r="F15" s="7" t="n">
        <v>321444.8</v>
      </c>
      <c r="G15" s="7" t="n">
        <v>639652.3</v>
      </c>
      <c r="H15" s="7" t="n">
        <v>691083.7</v>
      </c>
      <c r="I15" s="7" t="n">
        <v>722895.5</v>
      </c>
      <c r="J15" s="7" t="n">
        <v>778248.8</v>
      </c>
      <c r="K15" s="7" t="n">
        <v>719311</v>
      </c>
      <c r="L15" s="7" t="n">
        <v>700919</v>
      </c>
      <c r="M15" s="7" t="n">
        <v>607060.9</v>
      </c>
      <c r="N15" s="7" t="n">
        <v>645878.3</v>
      </c>
      <c r="O15" s="7" t="n">
        <v>654978.3</v>
      </c>
      <c r="P15" s="7" t="n">
        <v>1184098.5</v>
      </c>
      <c r="Q15" s="7" t="n">
        <v>676470</v>
      </c>
      <c r="R15" s="7" t="n">
        <v>783825.6</v>
      </c>
      <c r="S15" s="7" t="n">
        <v>682372</v>
      </c>
      <c r="T15" s="7" t="n">
        <v>401870.5</v>
      </c>
      <c r="U15" s="7" t="n">
        <v>682807.8</v>
      </c>
      <c r="V15" s="7" t="n">
        <v>785396.7</v>
      </c>
      <c r="W15" s="7" t="n">
        <v>639351.3</v>
      </c>
      <c r="X15" s="7" t="n">
        <v>575679.6</v>
      </c>
      <c r="Y15" s="7" t="n">
        <v>617297</v>
      </c>
      <c r="Z15" s="7" t="n">
        <v>133879.9</v>
      </c>
      <c r="AA15" s="8" t="n">
        <v>7901552.6</v>
      </c>
      <c r="AB15" s="8" t="n">
        <v>7618572</v>
      </c>
    </row>
    <row r="16">
      <c r="A16" s="4" t="inlineStr">
        <is>
          <t>数控机床</t>
        </is>
      </c>
      <c r="D16" s="7" t="n">
        <v>116653.3</v>
      </c>
      <c r="F16" s="7" t="n">
        <v>133669.6</v>
      </c>
      <c r="H16" s="7" t="n">
        <v>121879.4</v>
      </c>
      <c r="J16" s="7" t="n">
        <v>0</v>
      </c>
      <c r="L16" s="7" t="n">
        <v>162050.9</v>
      </c>
      <c r="N16" s="7" t="n">
        <v>0</v>
      </c>
      <c r="P16" s="7" t="n">
        <v>0</v>
      </c>
      <c r="R16" s="7" t="n">
        <v>166445.7</v>
      </c>
      <c r="T16" s="7" t="n">
        <v>0</v>
      </c>
      <c r="V16" s="7" t="n">
        <v>138571.5</v>
      </c>
      <c r="X16" s="7" t="n">
        <v>0</v>
      </c>
      <c r="Z16" s="7" t="n">
        <v>128219.3</v>
      </c>
      <c r="AB16" s="7" t="n">
        <v>967489.7</v>
      </c>
    </row>
    <row r="17">
      <c r="A17" s="4" t="inlineStr">
        <is>
          <t>精密轴承</t>
        </is>
      </c>
      <c r="D17" s="7" t="n">
        <v>0</v>
      </c>
      <c r="F17" s="7" t="n">
        <v>0</v>
      </c>
      <c r="H17" s="7" t="n">
        <v>202550.4</v>
      </c>
      <c r="J17" s="7" t="n">
        <v>0</v>
      </c>
      <c r="L17" s="7" t="n">
        <v>0</v>
      </c>
      <c r="N17" s="7" t="n">
        <v>0</v>
      </c>
      <c r="P17" s="7" t="n">
        <v>251381</v>
      </c>
      <c r="R17" s="7" t="n">
        <v>176753.6</v>
      </c>
      <c r="T17" s="7" t="n">
        <v>0</v>
      </c>
      <c r="V17" s="7" t="n">
        <v>0</v>
      </c>
      <c r="X17" s="7" t="n">
        <v>262117.4</v>
      </c>
      <c r="Z17" s="7" t="n">
        <v>0</v>
      </c>
      <c r="AB17" s="7" t="n">
        <v>892802.4</v>
      </c>
    </row>
    <row r="18">
      <c r="A18" s="4" t="inlineStr">
        <is>
          <t>液压件</t>
        </is>
      </c>
      <c r="D18" s="7" t="n">
        <v>134134.9</v>
      </c>
      <c r="F18" s="7" t="n">
        <v>176845</v>
      </c>
      <c r="H18" s="7" t="n">
        <v>218431.5</v>
      </c>
      <c r="J18" s="7" t="n">
        <v>283467</v>
      </c>
      <c r="L18" s="7" t="n">
        <v>285731.6</v>
      </c>
      <c r="N18" s="7" t="n">
        <v>330102.1</v>
      </c>
      <c r="P18" s="7" t="n">
        <v>369542.4</v>
      </c>
      <c r="R18" s="7" t="n">
        <v>0</v>
      </c>
      <c r="T18" s="7" t="n">
        <v>194741.4</v>
      </c>
      <c r="V18" s="7" t="n">
        <v>319399.3</v>
      </c>
      <c r="X18" s="7" t="n">
        <v>0</v>
      </c>
      <c r="Z18" s="7" t="n">
        <v>0</v>
      </c>
      <c r="AB18" s="7" t="n">
        <v>2312395.2</v>
      </c>
    </row>
    <row r="19">
      <c r="A19" s="4" t="inlineStr">
        <is>
          <t>气动元件</t>
        </is>
      </c>
      <c r="D19" s="7" t="n">
        <v>65057</v>
      </c>
      <c r="F19" s="7" t="n">
        <v>0</v>
      </c>
      <c r="H19" s="7" t="n">
        <v>122155.5</v>
      </c>
      <c r="J19" s="7" t="n">
        <v>0</v>
      </c>
      <c r="L19" s="7" t="n">
        <v>0</v>
      </c>
      <c r="N19" s="7" t="n">
        <v>0</v>
      </c>
      <c r="P19" s="7" t="n">
        <v>196446</v>
      </c>
      <c r="R19" s="7" t="n">
        <v>149427.4</v>
      </c>
      <c r="T19" s="7" t="n">
        <v>0</v>
      </c>
      <c r="V19" s="7" t="n">
        <v>0</v>
      </c>
      <c r="X19" s="7" t="n">
        <v>126063.5</v>
      </c>
      <c r="Z19" s="7" t="n">
        <v>0</v>
      </c>
      <c r="AB19" s="7" t="n">
        <v>659149.4</v>
      </c>
    </row>
    <row r="20">
      <c r="A20" s="4" t="inlineStr">
        <is>
          <t>模具</t>
        </is>
      </c>
      <c r="D20" s="7" t="n">
        <v>162285.8</v>
      </c>
      <c r="F20" s="7" t="n">
        <v>0</v>
      </c>
      <c r="H20" s="7" t="n">
        <v>0</v>
      </c>
      <c r="J20" s="7" t="n">
        <v>237313.8</v>
      </c>
      <c r="L20" s="7" t="n">
        <v>0</v>
      </c>
      <c r="N20" s="7" t="n">
        <v>0</v>
      </c>
      <c r="P20" s="7" t="n">
        <v>0</v>
      </c>
      <c r="R20" s="7" t="n">
        <v>271101.1</v>
      </c>
      <c r="T20" s="7" t="n">
        <v>188513.8</v>
      </c>
      <c r="V20" s="7" t="n">
        <v>0</v>
      </c>
      <c r="X20" s="7" t="n">
        <v>0</v>
      </c>
      <c r="Z20" s="7" t="n">
        <v>0</v>
      </c>
      <c r="AB20" s="7" t="n">
        <v>859214.5</v>
      </c>
    </row>
    <row r="21">
      <c r="A21" s="4" t="inlineStr">
        <is>
          <t>工装夹具</t>
        </is>
      </c>
      <c r="D21" s="7" t="n">
        <v>116539.8</v>
      </c>
      <c r="F21" s="7" t="n">
        <v>0</v>
      </c>
      <c r="H21" s="7" t="n">
        <v>0</v>
      </c>
      <c r="J21" s="7" t="n">
        <v>214374.2</v>
      </c>
      <c r="L21" s="7" t="n">
        <v>209625</v>
      </c>
      <c r="N21" s="7" t="n">
        <v>293710.5</v>
      </c>
      <c r="P21" s="7" t="n">
        <v>313776</v>
      </c>
      <c r="R21" s="7" t="n">
        <v>0</v>
      </c>
      <c r="T21" s="7" t="n">
        <v>0</v>
      </c>
      <c r="V21" s="7" t="n">
        <v>276856.8</v>
      </c>
      <c r="X21" s="7" t="n">
        <v>156584.3</v>
      </c>
      <c r="Z21" s="7" t="n">
        <v>0</v>
      </c>
      <c r="AB21" s="7" t="n">
        <v>1581466.6</v>
      </c>
    </row>
    <row r="22">
      <c r="A22" s="4" t="inlineStr">
        <is>
          <t>其他</t>
        </is>
      </c>
      <c r="D22" s="7" t="n">
        <v>5984.2</v>
      </c>
      <c r="F22" s="7" t="n">
        <v>3103.4</v>
      </c>
      <c r="H22" s="7" t="n">
        <v>10704.6</v>
      </c>
      <c r="J22" s="7" t="n">
        <v>3042</v>
      </c>
      <c r="L22" s="7" t="n">
        <v>7886.2</v>
      </c>
      <c r="N22" s="7" t="n">
        <v>4585</v>
      </c>
      <c r="P22" s="7" t="n">
        <v>6751.6</v>
      </c>
      <c r="R22" s="7" t="n">
        <v>9231.9</v>
      </c>
      <c r="T22" s="7" t="n">
        <v>3161.2</v>
      </c>
      <c r="V22" s="7" t="n">
        <v>5525.1</v>
      </c>
      <c r="X22" s="7" t="n">
        <v>4070.7</v>
      </c>
      <c r="Z22" s="7" t="n">
        <v>806.6</v>
      </c>
      <c r="AB22" s="7" t="n">
        <v>64852.5</v>
      </c>
    </row>
    <row r="23">
      <c r="A23" s="4" t="inlineStr">
        <is>
          <t>运费</t>
        </is>
      </c>
      <c r="D23" s="7" t="n">
        <v>21575.8</v>
      </c>
      <c r="F23" s="7" t="n">
        <v>10930.2</v>
      </c>
      <c r="H23" s="7" t="n">
        <v>26066.9</v>
      </c>
      <c r="J23" s="7" t="n">
        <v>43093.8</v>
      </c>
      <c r="L23" s="7" t="n">
        <v>43511.5</v>
      </c>
      <c r="N23" s="7" t="n">
        <v>22065.7</v>
      </c>
      <c r="P23" s="7" t="n">
        <v>52953.1</v>
      </c>
      <c r="R23" s="7" t="n">
        <v>20097.8</v>
      </c>
      <c r="T23" s="7" t="n">
        <v>18615.3</v>
      </c>
      <c r="V23" s="7" t="n">
        <v>50569.1</v>
      </c>
      <c r="X23" s="7" t="n">
        <v>30914.4</v>
      </c>
      <c r="Z23" s="7" t="n">
        <v>5660.6</v>
      </c>
      <c r="AB23" s="7" t="n">
        <v>346054.2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124505.4</v>
      </c>
      <c r="D24" s="7" t="n">
        <v>226848.8</v>
      </c>
      <c r="E24" s="7" t="n">
        <v>227537.5</v>
      </c>
      <c r="F24" s="7" t="n">
        <v>146614.8</v>
      </c>
      <c r="G24" s="7" t="n">
        <v>302523.5</v>
      </c>
      <c r="H24" s="7" t="n">
        <v>241450.3</v>
      </c>
      <c r="I24" s="7" t="n">
        <v>294646.6</v>
      </c>
      <c r="J24" s="7" t="n">
        <v>296216</v>
      </c>
      <c r="K24" s="7" t="n">
        <v>147534.1</v>
      </c>
      <c r="L24" s="7" t="n">
        <v>295650.3</v>
      </c>
      <c r="M24" s="7" t="n">
        <v>345223.9</v>
      </c>
      <c r="N24" s="7" t="n">
        <v>346591.9</v>
      </c>
      <c r="O24" s="7" t="n">
        <v>125810.5</v>
      </c>
      <c r="P24" s="7" t="n">
        <v>462513.7</v>
      </c>
      <c r="Q24" s="7" t="n">
        <v>269266.4</v>
      </c>
      <c r="R24" s="7" t="n">
        <v>222529.7</v>
      </c>
      <c r="S24" s="7" t="n">
        <v>246356.9</v>
      </c>
      <c r="T24" s="7" t="n">
        <v>152085.2</v>
      </c>
      <c r="U24" s="7" t="n">
        <v>104933.2</v>
      </c>
      <c r="V24" s="7" t="n">
        <v>346834.3</v>
      </c>
      <c r="W24" s="7" t="n">
        <v>328355.9</v>
      </c>
      <c r="X24" s="7" t="n">
        <v>175801.7</v>
      </c>
      <c r="Y24" s="7" t="n">
        <v>371293</v>
      </c>
      <c r="Z24" s="7" t="n">
        <v>41116.7</v>
      </c>
      <c r="AA24" s="8" t="n">
        <v>2887986.9</v>
      </c>
      <c r="AB24" s="8" t="n">
        <v>2954253.4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16.2</v>
      </c>
      <c r="D25" s="13" t="n">
        <v>26.9</v>
      </c>
      <c r="E25" s="13" t="n">
        <v>27</v>
      </c>
      <c r="F25" s="13" t="n">
        <v>31.3</v>
      </c>
      <c r="G25" s="13" t="n">
        <v>32.1</v>
      </c>
      <c r="H25" s="13" t="n">
        <v>25.9</v>
      </c>
      <c r="I25" s="13" t="n">
        <v>29</v>
      </c>
      <c r="J25" s="13" t="n">
        <v>27.6</v>
      </c>
      <c r="K25" s="13" t="n">
        <v>17</v>
      </c>
      <c r="L25" s="13" t="n">
        <v>29.7</v>
      </c>
      <c r="M25" s="13" t="n">
        <v>36.3</v>
      </c>
      <c r="N25" s="13" t="n">
        <v>34.9</v>
      </c>
      <c r="O25" s="13" t="n">
        <v>16.1</v>
      </c>
      <c r="P25" s="13" t="n">
        <v>28.1</v>
      </c>
      <c r="Q25" s="13" t="n">
        <v>28.5</v>
      </c>
      <c r="R25" s="13" t="n">
        <v>22.1</v>
      </c>
      <c r="S25" s="13" t="n">
        <v>26.5</v>
      </c>
      <c r="T25" s="13" t="n">
        <v>27.5</v>
      </c>
      <c r="U25" s="13" t="n">
        <v>13.3</v>
      </c>
      <c r="V25" s="13" t="n">
        <v>30.6</v>
      </c>
      <c r="W25" s="13" t="n">
        <v>33.9</v>
      </c>
      <c r="X25" s="13" t="n">
        <v>23.4</v>
      </c>
      <c r="Y25" s="13" t="n">
        <v>37.6</v>
      </c>
      <c r="Z25" s="13" t="n">
        <v>23.5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8035.6</v>
      </c>
      <c r="D26" s="7" t="n">
        <v>5890.7</v>
      </c>
      <c r="E26" s="7" t="n">
        <v>8592.1</v>
      </c>
      <c r="F26" s="7" t="n">
        <v>2415.4</v>
      </c>
      <c r="G26" s="7" t="n">
        <v>8717.5</v>
      </c>
      <c r="H26" s="7" t="n">
        <v>8724.200000000001</v>
      </c>
      <c r="I26" s="7" t="n">
        <v>8663.9</v>
      </c>
      <c r="J26" s="7" t="n">
        <v>12232.3</v>
      </c>
      <c r="K26" s="7" t="n">
        <v>8660.9</v>
      </c>
      <c r="L26" s="7" t="n">
        <v>6449.5</v>
      </c>
      <c r="M26" s="7" t="n">
        <v>9756.200000000001</v>
      </c>
      <c r="N26" s="7" t="n">
        <v>13549.2</v>
      </c>
      <c r="O26" s="7" t="n">
        <v>8655.9</v>
      </c>
      <c r="P26" s="7" t="n">
        <v>21249.9</v>
      </c>
      <c r="Q26" s="7" t="n">
        <v>8531.1</v>
      </c>
      <c r="R26" s="7" t="n">
        <v>12571.6</v>
      </c>
      <c r="S26" s="7" t="n">
        <v>7574.2</v>
      </c>
      <c r="T26" s="7" t="n">
        <v>6365.3</v>
      </c>
      <c r="U26" s="7" t="n">
        <v>9927.799999999999</v>
      </c>
      <c r="V26" s="7" t="n">
        <v>9080.200000000001</v>
      </c>
      <c r="W26" s="7" t="n">
        <v>9794.700000000001</v>
      </c>
      <c r="X26" s="7" t="n">
        <v>5594.7</v>
      </c>
      <c r="Y26" s="7" t="n">
        <v>9862.200000000001</v>
      </c>
      <c r="Z26" s="7" t="n">
        <v>903.6</v>
      </c>
      <c r="AA26" s="8" t="n">
        <v>106772.1</v>
      </c>
      <c r="AB26" s="8" t="n">
        <v>105026.6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113319.4</v>
      </c>
      <c r="D27" s="7" t="n">
        <v>92354.2</v>
      </c>
      <c r="E27" s="7" t="n">
        <v>108976</v>
      </c>
      <c r="F27" s="7" t="n">
        <v>39931.1</v>
      </c>
      <c r="G27" s="7" t="n">
        <v>103537</v>
      </c>
      <c r="H27" s="7" t="n">
        <v>117973.9</v>
      </c>
      <c r="I27" s="7" t="n">
        <v>128456.8</v>
      </c>
      <c r="J27" s="7" t="n">
        <v>127491.4</v>
      </c>
      <c r="K27" s="7" t="n">
        <v>102595.2</v>
      </c>
      <c r="L27" s="7" t="n">
        <v>144844.6</v>
      </c>
      <c r="M27" s="7" t="n">
        <v>130855.1</v>
      </c>
      <c r="N27" s="7" t="n">
        <v>122409.5</v>
      </c>
      <c r="O27" s="7" t="n">
        <v>101910.9</v>
      </c>
      <c r="P27" s="7" t="n">
        <v>230235.3</v>
      </c>
      <c r="Q27" s="7" t="n">
        <v>121243.3</v>
      </c>
      <c r="R27" s="7" t="n">
        <v>116211.3</v>
      </c>
      <c r="S27" s="7" t="n">
        <v>106141.2</v>
      </c>
      <c r="T27" s="7" t="n">
        <v>72710.10000000001</v>
      </c>
      <c r="U27" s="7" t="n">
        <v>97763.10000000001</v>
      </c>
      <c r="V27" s="7" t="n">
        <v>144598.1</v>
      </c>
      <c r="W27" s="7" t="n">
        <v>104399.5</v>
      </c>
      <c r="X27" s="7" t="n">
        <v>130305.1</v>
      </c>
      <c r="Y27" s="7" t="n">
        <v>114743.5</v>
      </c>
      <c r="Z27" s="7" t="n">
        <v>29200.4</v>
      </c>
      <c r="AA27" s="8" t="n">
        <v>1333941</v>
      </c>
      <c r="AB27" s="8" t="n">
        <v>1368265</v>
      </c>
    </row>
    <row r="28">
      <c r="A28" s="4" t="inlineStr">
        <is>
          <t>职工薪酬</t>
        </is>
      </c>
      <c r="D28" s="7" t="n">
        <v>36755</v>
      </c>
      <c r="F28" s="7" t="n">
        <v>23926.6</v>
      </c>
      <c r="H28" s="7" t="n">
        <v>62188.2</v>
      </c>
      <c r="J28" s="7" t="n">
        <v>69345.89999999999</v>
      </c>
      <c r="L28" s="7" t="n">
        <v>60075.2</v>
      </c>
      <c r="N28" s="7" t="n">
        <v>67985.10000000001</v>
      </c>
      <c r="P28" s="7" t="n">
        <v>138722</v>
      </c>
      <c r="R28" s="7" t="n">
        <v>60352.6</v>
      </c>
      <c r="T28" s="7" t="n">
        <v>38537.8</v>
      </c>
      <c r="V28" s="7" t="n">
        <v>71876.10000000001</v>
      </c>
      <c r="X28" s="7" t="n">
        <v>72130.89999999999</v>
      </c>
      <c r="Z28" s="7" t="n">
        <v>15278.1</v>
      </c>
      <c r="AB28" s="7" t="n">
        <v>717173.5</v>
      </c>
    </row>
    <row r="29">
      <c r="A29" s="4" t="inlineStr">
        <is>
          <t>工资</t>
        </is>
      </c>
      <c r="D29" s="7" t="n">
        <v>19995.4</v>
      </c>
      <c r="F29" s="7" t="n">
        <v>13986.9</v>
      </c>
      <c r="H29" s="7" t="n">
        <v>40247.9</v>
      </c>
      <c r="J29" s="7" t="n">
        <v>39770.1</v>
      </c>
      <c r="L29" s="7" t="n">
        <v>32171.7</v>
      </c>
      <c r="N29" s="7" t="n">
        <v>47037.5</v>
      </c>
      <c r="P29" s="7" t="n">
        <v>87013</v>
      </c>
      <c r="R29" s="7" t="n">
        <v>32309.8</v>
      </c>
      <c r="T29" s="7" t="n">
        <v>23915.1</v>
      </c>
      <c r="V29" s="7" t="n">
        <v>41814.2</v>
      </c>
      <c r="X29" s="7" t="n">
        <v>44311.3</v>
      </c>
      <c r="Z29" s="7" t="n">
        <v>7536</v>
      </c>
      <c r="AB29" s="7" t="n">
        <v>430108.9</v>
      </c>
    </row>
    <row r="30">
      <c r="A30" s="4" t="inlineStr">
        <is>
          <t>奖金及提成</t>
        </is>
      </c>
      <c r="D30" s="7" t="n">
        <v>7252.8</v>
      </c>
      <c r="F30" s="7" t="n">
        <v>4987.4</v>
      </c>
      <c r="H30" s="7" t="n">
        <v>8917.799999999999</v>
      </c>
      <c r="J30" s="7" t="n">
        <v>11861</v>
      </c>
      <c r="L30" s="7" t="n">
        <v>13566.7</v>
      </c>
      <c r="N30" s="7" t="n">
        <v>8876.299999999999</v>
      </c>
      <c r="P30" s="7" t="n">
        <v>20300.9</v>
      </c>
      <c r="R30" s="7" t="n">
        <v>14783.7</v>
      </c>
      <c r="T30" s="7" t="n">
        <v>5938.2</v>
      </c>
      <c r="V30" s="7" t="n">
        <v>15061</v>
      </c>
      <c r="X30" s="7" t="n">
        <v>12386.2</v>
      </c>
      <c r="Z30" s="7" t="n">
        <v>3491.1</v>
      </c>
      <c r="AB30" s="7" t="n">
        <v>127423.1</v>
      </c>
    </row>
    <row r="31">
      <c r="A31" s="4" t="inlineStr">
        <is>
          <t>社保</t>
        </is>
      </c>
      <c r="D31" s="7" t="n">
        <v>5844.1</v>
      </c>
      <c r="F31" s="7" t="n">
        <v>3284.7</v>
      </c>
      <c r="H31" s="7" t="n">
        <v>8051.4</v>
      </c>
      <c r="J31" s="7" t="n">
        <v>12745.5</v>
      </c>
      <c r="L31" s="7" t="n">
        <v>8115.2</v>
      </c>
      <c r="N31" s="7" t="n">
        <v>7244.1</v>
      </c>
      <c r="P31" s="7" t="n">
        <v>22384.5</v>
      </c>
      <c r="R31" s="7" t="n">
        <v>7988.9</v>
      </c>
      <c r="T31" s="7" t="n">
        <v>5756.3</v>
      </c>
      <c r="V31" s="7" t="n">
        <v>8556.200000000001</v>
      </c>
      <c r="X31" s="7" t="n">
        <v>10226.2</v>
      </c>
      <c r="Z31" s="7" t="n">
        <v>3010.5</v>
      </c>
      <c r="AB31" s="7" t="n">
        <v>103207.6</v>
      </c>
    </row>
    <row r="32">
      <c r="A32" s="4" t="inlineStr">
        <is>
          <t>养老</t>
        </is>
      </c>
      <c r="D32" s="7" t="n">
        <v>557.9</v>
      </c>
      <c r="F32" s="7" t="n">
        <v>181.1</v>
      </c>
      <c r="H32" s="7" t="n">
        <v>698.1</v>
      </c>
      <c r="J32" s="7" t="n">
        <v>958.4</v>
      </c>
      <c r="L32" s="7" t="n">
        <v>940</v>
      </c>
      <c r="N32" s="7" t="n">
        <v>955.9</v>
      </c>
      <c r="P32" s="7" t="n">
        <v>1689.9</v>
      </c>
      <c r="R32" s="7" t="n">
        <v>897.4</v>
      </c>
      <c r="T32" s="7" t="n">
        <v>376.9</v>
      </c>
      <c r="V32" s="7" t="n">
        <v>907.7</v>
      </c>
      <c r="X32" s="7" t="n">
        <v>974.7</v>
      </c>
      <c r="Z32" s="7" t="n">
        <v>210.5</v>
      </c>
      <c r="AB32" s="7" t="n">
        <v>9348.5</v>
      </c>
    </row>
    <row r="33">
      <c r="A33" s="4" t="inlineStr">
        <is>
          <t>医疗</t>
        </is>
      </c>
      <c r="D33" s="7" t="n">
        <v>220</v>
      </c>
      <c r="F33" s="7" t="n">
        <v>88</v>
      </c>
      <c r="H33" s="7" t="n">
        <v>281.5</v>
      </c>
      <c r="J33" s="7" t="n">
        <v>332</v>
      </c>
      <c r="L33" s="7" t="n">
        <v>330.9</v>
      </c>
      <c r="N33" s="7" t="n">
        <v>294.4</v>
      </c>
      <c r="P33" s="7" t="n">
        <v>590.8</v>
      </c>
      <c r="R33" s="7" t="n">
        <v>294</v>
      </c>
      <c r="T33" s="7" t="n">
        <v>133.5</v>
      </c>
      <c r="V33" s="7" t="n">
        <v>372.7</v>
      </c>
      <c r="X33" s="7" t="n">
        <v>271.3</v>
      </c>
      <c r="Z33" s="7" t="n">
        <v>54.6</v>
      </c>
      <c r="AB33" s="7" t="n">
        <v>3263.7</v>
      </c>
    </row>
    <row r="34">
      <c r="A34" s="4" t="inlineStr">
        <is>
          <t>工伤</t>
        </is>
      </c>
      <c r="D34" s="7" t="n">
        <v>501.1</v>
      </c>
      <c r="F34" s="7" t="n">
        <v>315.9</v>
      </c>
      <c r="H34" s="7" t="n">
        <v>941.5</v>
      </c>
      <c r="J34" s="7" t="n">
        <v>574.2</v>
      </c>
      <c r="L34" s="7" t="n">
        <v>941.9</v>
      </c>
      <c r="N34" s="7" t="n">
        <v>891</v>
      </c>
      <c r="P34" s="7" t="n">
        <v>1212.7</v>
      </c>
      <c r="R34" s="7" t="n">
        <v>855.5</v>
      </c>
      <c r="T34" s="7" t="n">
        <v>462.9</v>
      </c>
      <c r="V34" s="7" t="n">
        <v>1075.4</v>
      </c>
      <c r="X34" s="7" t="n">
        <v>667.7</v>
      </c>
      <c r="Z34" s="7" t="n">
        <v>229.2</v>
      </c>
      <c r="AB34" s="7" t="n">
        <v>8669</v>
      </c>
    </row>
    <row r="35">
      <c r="A35" s="4" t="inlineStr">
        <is>
          <t>失业</t>
        </is>
      </c>
      <c r="D35" s="7" t="n">
        <v>222.7</v>
      </c>
      <c r="F35" s="7" t="n">
        <v>92.3</v>
      </c>
      <c r="H35" s="7" t="n">
        <v>368.3</v>
      </c>
      <c r="J35" s="7" t="n">
        <v>356.3</v>
      </c>
      <c r="L35" s="7" t="n">
        <v>505.2</v>
      </c>
      <c r="N35" s="7" t="n">
        <v>354.7</v>
      </c>
      <c r="P35" s="7" t="n">
        <v>630</v>
      </c>
      <c r="R35" s="7" t="n">
        <v>264.9</v>
      </c>
      <c r="T35" s="7" t="n">
        <v>176.6</v>
      </c>
      <c r="V35" s="7" t="n">
        <v>435.3</v>
      </c>
      <c r="X35" s="7" t="n">
        <v>498.8</v>
      </c>
      <c r="Z35" s="7" t="n">
        <v>65.8</v>
      </c>
      <c r="AB35" s="7" t="n">
        <v>3970.9</v>
      </c>
    </row>
    <row r="36">
      <c r="A36" s="4" t="inlineStr">
        <is>
          <t>生育</t>
        </is>
      </c>
      <c r="D36" s="7" t="n">
        <v>234.5</v>
      </c>
      <c r="F36" s="7" t="n">
        <v>79</v>
      </c>
      <c r="H36" s="7" t="n">
        <v>288.8</v>
      </c>
      <c r="J36" s="7" t="n">
        <v>208</v>
      </c>
      <c r="L36" s="7" t="n">
        <v>293.4</v>
      </c>
      <c r="N36" s="7" t="n">
        <v>181</v>
      </c>
      <c r="P36" s="7" t="n">
        <v>598.4</v>
      </c>
      <c r="R36" s="7" t="n">
        <v>184.4</v>
      </c>
      <c r="T36" s="7" t="n">
        <v>126</v>
      </c>
      <c r="V36" s="7" t="n">
        <v>365.4</v>
      </c>
      <c r="X36" s="7" t="n">
        <v>267</v>
      </c>
      <c r="Z36" s="7" t="n">
        <v>76.59999999999999</v>
      </c>
      <c r="AB36" s="7" t="n">
        <v>2902.5</v>
      </c>
    </row>
    <row r="37">
      <c r="A37" s="4" t="inlineStr">
        <is>
          <t>公积金</t>
        </is>
      </c>
      <c r="D37" s="7" t="n">
        <v>336.1</v>
      </c>
      <c r="F37" s="7" t="n">
        <v>186.4</v>
      </c>
      <c r="H37" s="7" t="n">
        <v>396.9</v>
      </c>
      <c r="J37" s="7" t="n">
        <v>524.6</v>
      </c>
      <c r="L37" s="7" t="n">
        <v>446.5</v>
      </c>
      <c r="N37" s="7" t="n">
        <v>375.7</v>
      </c>
      <c r="P37" s="7" t="n">
        <v>796.2</v>
      </c>
      <c r="R37" s="7" t="n">
        <v>415.3</v>
      </c>
      <c r="T37" s="7" t="n">
        <v>210.3</v>
      </c>
      <c r="V37" s="7" t="n">
        <v>418</v>
      </c>
      <c r="X37" s="7" t="n">
        <v>592.1</v>
      </c>
      <c r="Z37" s="7" t="n">
        <v>79.40000000000001</v>
      </c>
      <c r="AB37" s="7" t="n">
        <v>4777.5</v>
      </c>
    </row>
    <row r="38">
      <c r="A38" s="4" t="inlineStr">
        <is>
          <t>工会经费</t>
        </is>
      </c>
      <c r="D38" s="7" t="n">
        <v>325.8</v>
      </c>
      <c r="F38" s="7" t="n">
        <v>106.9</v>
      </c>
      <c r="H38" s="7" t="n">
        <v>535.9</v>
      </c>
      <c r="J38" s="7" t="n">
        <v>535.3</v>
      </c>
      <c r="L38" s="7" t="n">
        <v>558.8</v>
      </c>
      <c r="N38" s="7" t="n">
        <v>561.7</v>
      </c>
      <c r="P38" s="7" t="n">
        <v>572.1</v>
      </c>
      <c r="R38" s="7" t="n">
        <v>332.1</v>
      </c>
      <c r="T38" s="7" t="n">
        <v>201</v>
      </c>
      <c r="V38" s="7" t="n">
        <v>661.1</v>
      </c>
      <c r="X38" s="7" t="n">
        <v>424.8</v>
      </c>
      <c r="Z38" s="7" t="n">
        <v>115</v>
      </c>
      <c r="AB38" s="7" t="n">
        <v>4930.5</v>
      </c>
    </row>
    <row r="39">
      <c r="A39" s="4" t="inlineStr">
        <is>
          <t>职工教育经费</t>
        </is>
      </c>
      <c r="D39" s="7" t="n">
        <v>457.8</v>
      </c>
      <c r="F39" s="7" t="n">
        <v>225.8</v>
      </c>
      <c r="H39" s="7" t="n">
        <v>463.2</v>
      </c>
      <c r="J39" s="7" t="n">
        <v>854.1</v>
      </c>
      <c r="L39" s="7" t="n">
        <v>705.2</v>
      </c>
      <c r="N39" s="7" t="n">
        <v>480</v>
      </c>
      <c r="P39" s="7" t="n">
        <v>1310.2</v>
      </c>
      <c r="R39" s="7" t="n">
        <v>814.6</v>
      </c>
      <c r="T39" s="7" t="n">
        <v>421.2</v>
      </c>
      <c r="V39" s="7" t="n">
        <v>935.1</v>
      </c>
      <c r="X39" s="7" t="n">
        <v>576</v>
      </c>
      <c r="Z39" s="7" t="n">
        <v>127</v>
      </c>
      <c r="AB39" s="7" t="n">
        <v>7370.2</v>
      </c>
    </row>
    <row r="40">
      <c r="A40" s="4" t="inlineStr">
        <is>
          <t>福利费</t>
        </is>
      </c>
      <c r="D40" s="7" t="n">
        <v>2543</v>
      </c>
      <c r="F40" s="7" t="n">
        <v>1148.5</v>
      </c>
      <c r="H40" s="7" t="n">
        <v>3575.1</v>
      </c>
      <c r="J40" s="7" t="n">
        <v>3055.3</v>
      </c>
      <c r="L40" s="7" t="n">
        <v>4511.1</v>
      </c>
      <c r="N40" s="7" t="n">
        <v>3409.8</v>
      </c>
      <c r="P40" s="7" t="n">
        <v>6345.1</v>
      </c>
      <c r="R40" s="7" t="n">
        <v>3708.2</v>
      </c>
      <c r="T40" s="7" t="n">
        <v>2095.7</v>
      </c>
      <c r="V40" s="7" t="n">
        <v>4430.5</v>
      </c>
      <c r="X40" s="7" t="n">
        <v>3614.3</v>
      </c>
      <c r="Z40" s="7" t="n">
        <v>919.1</v>
      </c>
      <c r="AB40" s="7" t="n">
        <v>39355.7</v>
      </c>
    </row>
    <row r="41">
      <c r="A41" s="4" t="inlineStr">
        <is>
          <t>职工房租</t>
        </is>
      </c>
      <c r="D41" s="7" t="n">
        <v>321.2</v>
      </c>
      <c r="F41" s="7" t="n">
        <v>195</v>
      </c>
      <c r="H41" s="7" t="n">
        <v>602.9</v>
      </c>
      <c r="J41" s="7" t="n">
        <v>420.9</v>
      </c>
      <c r="L41" s="7" t="n">
        <v>805.3</v>
      </c>
      <c r="N41" s="7" t="n">
        <v>617.5</v>
      </c>
      <c r="P41" s="7" t="n">
        <v>1180.3</v>
      </c>
      <c r="R41" s="7" t="n">
        <v>632.7</v>
      </c>
      <c r="T41" s="7" t="n">
        <v>305.4</v>
      </c>
      <c r="V41" s="7" t="n">
        <v>667.2</v>
      </c>
      <c r="X41" s="7" t="n">
        <v>524</v>
      </c>
      <c r="Z41" s="7" t="n">
        <v>150.6</v>
      </c>
      <c r="AB41" s="7" t="n">
        <v>6423</v>
      </c>
    </row>
    <row r="42">
      <c r="A42" s="4" t="inlineStr">
        <is>
          <t>水电物业费</t>
        </is>
      </c>
      <c r="D42" s="7" t="n">
        <v>287.6</v>
      </c>
      <c r="F42" s="7" t="n">
        <v>88.3</v>
      </c>
      <c r="H42" s="7" t="n">
        <v>400.5</v>
      </c>
      <c r="J42" s="7" t="n">
        <v>297</v>
      </c>
      <c r="L42" s="7" t="n">
        <v>341.3</v>
      </c>
      <c r="N42" s="7" t="n">
        <v>271.9</v>
      </c>
      <c r="P42" s="7" t="n">
        <v>477.9</v>
      </c>
      <c r="R42" s="7" t="n">
        <v>242.4</v>
      </c>
      <c r="T42" s="7" t="n">
        <v>143</v>
      </c>
      <c r="V42" s="7" t="n">
        <v>400.3</v>
      </c>
      <c r="X42" s="7" t="n">
        <v>264.1</v>
      </c>
      <c r="Z42" s="7" t="n">
        <v>58.7</v>
      </c>
      <c r="AB42" s="7" t="n">
        <v>3273</v>
      </c>
    </row>
    <row r="43">
      <c r="A43" s="4" t="inlineStr">
        <is>
          <t>员工餐</t>
        </is>
      </c>
      <c r="D43" s="7" t="n">
        <v>214.7</v>
      </c>
      <c r="F43" s="7" t="n">
        <v>87.5</v>
      </c>
      <c r="H43" s="7" t="n">
        <v>403.6</v>
      </c>
      <c r="J43" s="7" t="n">
        <v>417.6</v>
      </c>
      <c r="L43" s="7" t="n">
        <v>446.7</v>
      </c>
      <c r="N43" s="7" t="n">
        <v>407.6</v>
      </c>
      <c r="P43" s="7" t="n">
        <v>651.5</v>
      </c>
      <c r="R43" s="7" t="n">
        <v>264.6</v>
      </c>
      <c r="T43" s="7" t="n">
        <v>232.6</v>
      </c>
      <c r="V43" s="7" t="n">
        <v>538.7</v>
      </c>
      <c r="X43" s="7" t="n">
        <v>395.6</v>
      </c>
      <c r="Z43" s="7" t="n">
        <v>90.5</v>
      </c>
      <c r="AB43" s="7" t="n">
        <v>4151.2</v>
      </c>
    </row>
    <row r="44">
      <c r="A44" s="4" t="inlineStr">
        <is>
          <t>节日礼品</t>
        </is>
      </c>
      <c r="D44" s="7" t="n">
        <v>468.9</v>
      </c>
      <c r="F44" s="7" t="n">
        <v>241.5</v>
      </c>
      <c r="H44" s="7" t="n">
        <v>522.4</v>
      </c>
      <c r="J44" s="7" t="n">
        <v>622.2</v>
      </c>
      <c r="L44" s="7" t="n">
        <v>725.6</v>
      </c>
      <c r="N44" s="7" t="n">
        <v>556.5</v>
      </c>
      <c r="P44" s="7" t="n">
        <v>1017.3</v>
      </c>
      <c r="R44" s="7" t="n">
        <v>865.7</v>
      </c>
      <c r="T44" s="7" t="n">
        <v>380.5</v>
      </c>
      <c r="V44" s="7" t="n">
        <v>721.7</v>
      </c>
      <c r="X44" s="7" t="n">
        <v>799.9</v>
      </c>
      <c r="Z44" s="7" t="n">
        <v>196.6</v>
      </c>
      <c r="AB44" s="7" t="n">
        <v>7118.8</v>
      </c>
    </row>
    <row r="45">
      <c r="A45" s="4" t="inlineStr">
        <is>
          <t>生日礼品</t>
        </is>
      </c>
      <c r="D45" s="7" t="n">
        <v>270.9</v>
      </c>
      <c r="F45" s="7" t="n">
        <v>93.09999999999999</v>
      </c>
      <c r="H45" s="7" t="n">
        <v>239.8</v>
      </c>
      <c r="J45" s="7" t="n">
        <v>297.8</v>
      </c>
      <c r="L45" s="7" t="n">
        <v>483.3</v>
      </c>
      <c r="N45" s="7" t="n">
        <v>304.2</v>
      </c>
      <c r="P45" s="7" t="n">
        <v>533.4</v>
      </c>
      <c r="R45" s="7" t="n">
        <v>378.4</v>
      </c>
      <c r="T45" s="7" t="n">
        <v>197.1</v>
      </c>
      <c r="V45" s="7" t="n">
        <v>422.1</v>
      </c>
      <c r="X45" s="7" t="n">
        <v>239.3</v>
      </c>
      <c r="Z45" s="7" t="n">
        <v>89</v>
      </c>
      <c r="AB45" s="7" t="n">
        <v>3548.4</v>
      </c>
    </row>
    <row r="46">
      <c r="A46" s="4" t="inlineStr">
        <is>
          <t>体检</t>
        </is>
      </c>
      <c r="D46" s="7" t="n">
        <v>548.7</v>
      </c>
      <c r="F46" s="7" t="n">
        <v>247.9</v>
      </c>
      <c r="H46" s="7" t="n">
        <v>954.6</v>
      </c>
      <c r="J46" s="7" t="n">
        <v>629.4</v>
      </c>
      <c r="L46" s="7" t="n">
        <v>1115.3</v>
      </c>
      <c r="N46" s="7" t="n">
        <v>646.5</v>
      </c>
      <c r="P46" s="7" t="n">
        <v>1530.6</v>
      </c>
      <c r="R46" s="7" t="n">
        <v>926.6</v>
      </c>
      <c r="T46" s="7" t="n">
        <v>566.2</v>
      </c>
      <c r="V46" s="7" t="n">
        <v>1024.7</v>
      </c>
      <c r="X46" s="7" t="n">
        <v>775.2</v>
      </c>
      <c r="Z46" s="7" t="n">
        <v>212.4</v>
      </c>
      <c r="AB46" s="7" t="n">
        <v>9178.1</v>
      </c>
    </row>
    <row r="47">
      <c r="A47" s="4" t="inlineStr">
        <is>
          <t>其他福利支出</t>
        </is>
      </c>
      <c r="D47" s="7" t="n">
        <v>431</v>
      </c>
      <c r="F47" s="7" t="n">
        <v>195.2</v>
      </c>
      <c r="H47" s="7" t="n">
        <v>451.3</v>
      </c>
      <c r="J47" s="7" t="n">
        <v>370.4</v>
      </c>
      <c r="L47" s="7" t="n">
        <v>593.6</v>
      </c>
      <c r="N47" s="7" t="n">
        <v>605.6</v>
      </c>
      <c r="P47" s="7" t="n">
        <v>954.1</v>
      </c>
      <c r="R47" s="7" t="n">
        <v>397.8</v>
      </c>
      <c r="T47" s="7" t="n">
        <v>270.9</v>
      </c>
      <c r="V47" s="7" t="n">
        <v>655.8</v>
      </c>
      <c r="X47" s="7" t="n">
        <v>616.2</v>
      </c>
      <c r="Z47" s="7" t="n">
        <v>121.3</v>
      </c>
      <c r="AB47" s="7" t="n">
        <v>5663.2</v>
      </c>
    </row>
    <row r="48">
      <c r="A48" s="4" t="inlineStr">
        <is>
          <t>招聘费</t>
        </is>
      </c>
      <c r="D48" s="7" t="n">
        <v>396.6</v>
      </c>
      <c r="F48" s="7" t="n">
        <v>180.2</v>
      </c>
      <c r="H48" s="7" t="n">
        <v>438.4</v>
      </c>
      <c r="J48" s="7" t="n">
        <v>473.7</v>
      </c>
      <c r="L48" s="7" t="n">
        <v>484.5</v>
      </c>
      <c r="N48" s="7" t="n">
        <v>541.1</v>
      </c>
      <c r="P48" s="7" t="n">
        <v>945.9</v>
      </c>
      <c r="R48" s="7" t="n">
        <v>393.6</v>
      </c>
      <c r="T48" s="7" t="n">
        <v>286.4</v>
      </c>
      <c r="V48" s="7" t="n">
        <v>517.6</v>
      </c>
      <c r="X48" s="7" t="n">
        <v>464.2</v>
      </c>
      <c r="Z48" s="7" t="n">
        <v>117.2</v>
      </c>
      <c r="AB48" s="7" t="n">
        <v>5239.4</v>
      </c>
    </row>
    <row r="49">
      <c r="A49" s="4" t="inlineStr">
        <is>
          <t>办公费</t>
        </is>
      </c>
      <c r="D49" s="7" t="n">
        <v>2013.4</v>
      </c>
      <c r="F49" s="7" t="n">
        <v>1077.6</v>
      </c>
      <c r="H49" s="7" t="n">
        <v>3342.4</v>
      </c>
      <c r="J49" s="7" t="n">
        <v>4116.3</v>
      </c>
      <c r="L49" s="7" t="n">
        <v>5106.2</v>
      </c>
      <c r="N49" s="7" t="n">
        <v>3616.1</v>
      </c>
      <c r="P49" s="7" t="n">
        <v>8474.6</v>
      </c>
      <c r="R49" s="7" t="n">
        <v>4383.8</v>
      </c>
      <c r="T49" s="7" t="n">
        <v>2723.3</v>
      </c>
      <c r="V49" s="7" t="n">
        <v>4621</v>
      </c>
      <c r="X49" s="7" t="n">
        <v>3278.1</v>
      </c>
      <c r="Z49" s="7" t="n">
        <v>778.9</v>
      </c>
      <c r="AB49" s="7" t="n">
        <v>43531.7</v>
      </c>
    </row>
    <row r="50">
      <c r="A50" s="4" t="inlineStr">
        <is>
          <t>市内交通费</t>
        </is>
      </c>
      <c r="D50" s="7" t="n">
        <v>347</v>
      </c>
      <c r="F50" s="7" t="n">
        <v>136.2</v>
      </c>
      <c r="H50" s="7" t="n">
        <v>498.8</v>
      </c>
      <c r="J50" s="7" t="n">
        <v>357.3</v>
      </c>
      <c r="L50" s="7" t="n">
        <v>470.1</v>
      </c>
      <c r="N50" s="7" t="n">
        <v>589.4</v>
      </c>
      <c r="P50" s="7" t="n">
        <v>760.5</v>
      </c>
      <c r="R50" s="7" t="n">
        <v>386.9</v>
      </c>
      <c r="T50" s="7" t="n">
        <v>286.9</v>
      </c>
      <c r="V50" s="7" t="n">
        <v>405.8</v>
      </c>
      <c r="X50" s="7" t="n">
        <v>641.8</v>
      </c>
      <c r="Z50" s="7" t="n">
        <v>109.7</v>
      </c>
      <c r="AB50" s="7" t="n">
        <v>4990.4</v>
      </c>
    </row>
    <row r="51">
      <c r="A51" s="4" t="inlineStr">
        <is>
          <t>差旅费</t>
        </is>
      </c>
      <c r="D51" s="7" t="n">
        <v>5198.7</v>
      </c>
      <c r="F51" s="7" t="n">
        <v>2295.3</v>
      </c>
      <c r="H51" s="7" t="n">
        <v>9026.299999999999</v>
      </c>
      <c r="J51" s="7" t="n">
        <v>9037.4</v>
      </c>
      <c r="L51" s="7" t="n">
        <v>7510.3</v>
      </c>
      <c r="N51" s="7" t="n">
        <v>8730.200000000001</v>
      </c>
      <c r="P51" s="7" t="n">
        <v>14199.9</v>
      </c>
      <c r="R51" s="7" t="n">
        <v>6624.4</v>
      </c>
      <c r="T51" s="7" t="n">
        <v>4367.2</v>
      </c>
      <c r="V51" s="7" t="n">
        <v>11031.9</v>
      </c>
      <c r="X51" s="7" t="n">
        <v>9200.4</v>
      </c>
      <c r="Z51" s="7" t="n">
        <v>1899.2</v>
      </c>
      <c r="AB51" s="7" t="n">
        <v>89121.2</v>
      </c>
    </row>
    <row r="52">
      <c r="A52" s="4" t="inlineStr">
        <is>
          <t>交通费</t>
        </is>
      </c>
      <c r="D52" s="7" t="n">
        <v>196.6</v>
      </c>
      <c r="F52" s="7" t="n">
        <v>58.6</v>
      </c>
      <c r="H52" s="7" t="n">
        <v>306.4</v>
      </c>
      <c r="J52" s="7" t="n">
        <v>212</v>
      </c>
      <c r="L52" s="7" t="n">
        <v>319</v>
      </c>
      <c r="N52" s="7" t="n">
        <v>214.5</v>
      </c>
      <c r="P52" s="7" t="n">
        <v>355.7</v>
      </c>
      <c r="R52" s="7" t="n">
        <v>196.2</v>
      </c>
      <c r="T52" s="7" t="n">
        <v>188.9</v>
      </c>
      <c r="V52" s="7" t="n">
        <v>300.9</v>
      </c>
      <c r="X52" s="7" t="n">
        <v>234.7</v>
      </c>
      <c r="Z52" s="7" t="n">
        <v>60.2</v>
      </c>
      <c r="AB52" s="7" t="n">
        <v>2643.7</v>
      </c>
    </row>
    <row r="53">
      <c r="A53" s="4" t="inlineStr">
        <is>
          <t>住宿费</t>
        </is>
      </c>
      <c r="D53" s="7" t="n">
        <v>134.7</v>
      </c>
      <c r="F53" s="7" t="n">
        <v>39.2</v>
      </c>
      <c r="H53" s="7" t="n">
        <v>168.6</v>
      </c>
      <c r="J53" s="7" t="n">
        <v>212.3</v>
      </c>
      <c r="L53" s="7" t="n">
        <v>135.5</v>
      </c>
      <c r="N53" s="7" t="n">
        <v>125</v>
      </c>
      <c r="P53" s="7" t="n">
        <v>347.6</v>
      </c>
      <c r="R53" s="7" t="n">
        <v>130.5</v>
      </c>
      <c r="T53" s="7" t="n">
        <v>104.5</v>
      </c>
      <c r="V53" s="7" t="n">
        <v>209.5</v>
      </c>
      <c r="X53" s="7" t="n">
        <v>162.4</v>
      </c>
      <c r="Z53" s="7" t="n">
        <v>47.7</v>
      </c>
      <c r="AB53" s="7" t="n">
        <v>1817.5</v>
      </c>
    </row>
    <row r="54">
      <c r="A54" s="4" t="inlineStr">
        <is>
          <t>餐补</t>
        </is>
      </c>
      <c r="D54" s="7" t="n">
        <v>98.7</v>
      </c>
      <c r="F54" s="7" t="n">
        <v>40.5</v>
      </c>
      <c r="H54" s="7" t="n">
        <v>198.8</v>
      </c>
      <c r="J54" s="7" t="n">
        <v>151.1</v>
      </c>
      <c r="L54" s="7" t="n">
        <v>198.8</v>
      </c>
      <c r="N54" s="7" t="n">
        <v>168.6</v>
      </c>
      <c r="P54" s="7" t="n">
        <v>228.4</v>
      </c>
      <c r="R54" s="7" t="n">
        <v>200.6</v>
      </c>
      <c r="T54" s="7" t="n">
        <v>119.1</v>
      </c>
      <c r="V54" s="7" t="n">
        <v>234.5</v>
      </c>
      <c r="X54" s="7" t="n">
        <v>122.4</v>
      </c>
      <c r="Z54" s="7" t="n">
        <v>33</v>
      </c>
      <c r="AB54" s="7" t="n">
        <v>1794.5</v>
      </c>
    </row>
    <row r="55">
      <c r="A55" s="4" t="inlineStr">
        <is>
          <t>交通补助</t>
        </is>
      </c>
      <c r="D55" s="7" t="n">
        <v>554.9</v>
      </c>
      <c r="F55" s="7" t="n">
        <v>258.2</v>
      </c>
      <c r="H55" s="7" t="n">
        <v>770.5</v>
      </c>
      <c r="J55" s="7" t="n">
        <v>500</v>
      </c>
      <c r="L55" s="7" t="n">
        <v>718</v>
      </c>
      <c r="N55" s="7" t="n">
        <v>483.1</v>
      </c>
      <c r="P55" s="7" t="n">
        <v>1363.2</v>
      </c>
      <c r="R55" s="7" t="n">
        <v>692.9</v>
      </c>
      <c r="T55" s="7" t="n">
        <v>363.5</v>
      </c>
      <c r="V55" s="7" t="n">
        <v>570.9</v>
      </c>
      <c r="X55" s="7" t="n">
        <v>732.4</v>
      </c>
      <c r="Z55" s="7" t="n">
        <v>129.3</v>
      </c>
      <c r="AB55" s="7" t="n">
        <v>7136.9</v>
      </c>
    </row>
    <row r="56">
      <c r="A56" s="4" t="inlineStr">
        <is>
          <t>通讯补助</t>
        </is>
      </c>
      <c r="D56" s="7" t="n">
        <v>59.2</v>
      </c>
      <c r="F56" s="7" t="n">
        <v>19.9</v>
      </c>
      <c r="H56" s="7" t="n">
        <v>60.1</v>
      </c>
      <c r="J56" s="7" t="n">
        <v>56.6</v>
      </c>
      <c r="L56" s="7" t="n">
        <v>100.2</v>
      </c>
      <c r="N56" s="7" t="n">
        <v>75.90000000000001</v>
      </c>
      <c r="P56" s="7" t="n">
        <v>156.7</v>
      </c>
      <c r="R56" s="7" t="n">
        <v>68</v>
      </c>
      <c r="T56" s="7" t="n">
        <v>50.9</v>
      </c>
      <c r="V56" s="7" t="n">
        <v>91.59999999999999</v>
      </c>
      <c r="X56" s="7" t="n">
        <v>92.2</v>
      </c>
      <c r="Z56" s="7" t="n">
        <v>12.7</v>
      </c>
      <c r="AB56" s="7" t="n">
        <v>844</v>
      </c>
    </row>
    <row r="57">
      <c r="A57" s="4" t="inlineStr">
        <is>
          <t>招待费</t>
        </is>
      </c>
      <c r="D57" s="7" t="n">
        <v>3344.2</v>
      </c>
      <c r="F57" s="7" t="n">
        <v>1618.4</v>
      </c>
      <c r="H57" s="7" t="n">
        <v>5255.6</v>
      </c>
      <c r="J57" s="7" t="n">
        <v>4163.9</v>
      </c>
      <c r="L57" s="7" t="n">
        <v>7501</v>
      </c>
      <c r="N57" s="7" t="n">
        <v>5652.3</v>
      </c>
      <c r="P57" s="7" t="n">
        <v>8388.200000000001</v>
      </c>
      <c r="R57" s="7" t="n">
        <v>4202.7</v>
      </c>
      <c r="T57" s="7" t="n">
        <v>2715.2</v>
      </c>
      <c r="V57" s="7" t="n">
        <v>6675</v>
      </c>
      <c r="X57" s="7" t="n">
        <v>3972.4</v>
      </c>
      <c r="Z57" s="7" t="n">
        <v>1176.7</v>
      </c>
      <c r="AB57" s="7" t="n">
        <v>54665.6</v>
      </c>
    </row>
    <row r="58">
      <c r="A58" s="4" t="inlineStr">
        <is>
          <t>通讯费</t>
        </is>
      </c>
      <c r="D58" s="7" t="n">
        <v>406.8</v>
      </c>
      <c r="F58" s="7" t="n">
        <v>173</v>
      </c>
      <c r="H58" s="7" t="n">
        <v>679.8</v>
      </c>
      <c r="J58" s="7" t="n">
        <v>790</v>
      </c>
      <c r="L58" s="7" t="n">
        <v>885.7</v>
      </c>
      <c r="N58" s="7" t="n">
        <v>482.3</v>
      </c>
      <c r="P58" s="7" t="n">
        <v>1588.2</v>
      </c>
      <c r="R58" s="7" t="n">
        <v>517.2</v>
      </c>
      <c r="T58" s="7" t="n">
        <v>423.5</v>
      </c>
      <c r="V58" s="7" t="n">
        <v>960.4</v>
      </c>
      <c r="X58" s="7" t="n">
        <v>691.3</v>
      </c>
      <c r="Z58" s="7" t="n">
        <v>180.7</v>
      </c>
      <c r="AB58" s="7" t="n">
        <v>7778.9</v>
      </c>
    </row>
    <row r="59">
      <c r="A59" s="4" t="inlineStr">
        <is>
          <t>网络费</t>
        </is>
      </c>
      <c r="D59" s="7" t="n">
        <v>254.6</v>
      </c>
      <c r="F59" s="7" t="n">
        <v>83.09999999999999</v>
      </c>
      <c r="H59" s="7" t="n">
        <v>217.3</v>
      </c>
      <c r="J59" s="7" t="n">
        <v>314.6</v>
      </c>
      <c r="L59" s="7" t="n">
        <v>258.3</v>
      </c>
      <c r="N59" s="7" t="n">
        <v>283.9</v>
      </c>
      <c r="P59" s="7" t="n">
        <v>755.8</v>
      </c>
      <c r="R59" s="7" t="n">
        <v>372</v>
      </c>
      <c r="T59" s="7" t="n">
        <v>201.1</v>
      </c>
      <c r="V59" s="7" t="n">
        <v>348.6</v>
      </c>
      <c r="X59" s="7" t="n">
        <v>397.9</v>
      </c>
      <c r="Z59" s="7" t="n">
        <v>95</v>
      </c>
      <c r="AB59" s="7" t="n">
        <v>3582.2</v>
      </c>
    </row>
    <row r="60">
      <c r="A60" s="4" t="inlineStr">
        <is>
          <t>修理费</t>
        </is>
      </c>
      <c r="D60" s="7" t="n">
        <v>392.1</v>
      </c>
      <c r="F60" s="7" t="n">
        <v>272.2</v>
      </c>
      <c r="H60" s="7" t="n">
        <v>704.7</v>
      </c>
      <c r="J60" s="7" t="n">
        <v>747.2</v>
      </c>
      <c r="L60" s="7" t="n">
        <v>630.3</v>
      </c>
      <c r="N60" s="7" t="n">
        <v>540.7</v>
      </c>
      <c r="P60" s="7" t="n">
        <v>1297</v>
      </c>
      <c r="R60" s="7" t="n">
        <v>852.4</v>
      </c>
      <c r="T60" s="7" t="n">
        <v>466.7</v>
      </c>
      <c r="V60" s="7" t="n">
        <v>739.2</v>
      </c>
      <c r="X60" s="7" t="n">
        <v>791.8</v>
      </c>
      <c r="Z60" s="7" t="n">
        <v>118.8</v>
      </c>
      <c r="AB60" s="7" t="n">
        <v>7553.1</v>
      </c>
    </row>
    <row r="61">
      <c r="A61" s="4" t="inlineStr">
        <is>
          <t>车辆费</t>
        </is>
      </c>
      <c r="D61" s="7" t="n">
        <v>450.3</v>
      </c>
      <c r="F61" s="7" t="n">
        <v>194</v>
      </c>
      <c r="H61" s="7" t="n">
        <v>771</v>
      </c>
      <c r="J61" s="7" t="n">
        <v>611.7</v>
      </c>
      <c r="L61" s="7" t="n">
        <v>964</v>
      </c>
      <c r="N61" s="7" t="n">
        <v>491.4</v>
      </c>
      <c r="P61" s="7" t="n">
        <v>1109.8</v>
      </c>
      <c r="R61" s="7" t="n">
        <v>813.7</v>
      </c>
      <c r="T61" s="7" t="n">
        <v>311.5</v>
      </c>
      <c r="V61" s="7" t="n">
        <v>677.1</v>
      </c>
      <c r="X61" s="7" t="n">
        <v>662.1</v>
      </c>
      <c r="Z61" s="7" t="n">
        <v>126.6</v>
      </c>
      <c r="AB61" s="7" t="n">
        <v>7183.2</v>
      </c>
    </row>
    <row r="62">
      <c r="A62" s="4" t="inlineStr">
        <is>
          <t>租赁费</t>
        </is>
      </c>
      <c r="D62" s="7" t="n">
        <v>4174.2</v>
      </c>
      <c r="F62" s="7" t="n">
        <v>1891.2</v>
      </c>
      <c r="H62" s="7" t="n">
        <v>4392.4</v>
      </c>
      <c r="J62" s="7" t="n">
        <v>6493</v>
      </c>
      <c r="L62" s="7" t="n">
        <v>5395.9</v>
      </c>
      <c r="N62" s="7" t="n">
        <v>5416.8</v>
      </c>
      <c r="P62" s="7" t="n">
        <v>10129.1</v>
      </c>
      <c r="R62" s="7" t="n">
        <v>4146.6</v>
      </c>
      <c r="T62" s="7" t="n">
        <v>4685.3</v>
      </c>
      <c r="V62" s="7" t="n">
        <v>6482.7</v>
      </c>
      <c r="X62" s="7" t="n">
        <v>7343.2</v>
      </c>
      <c r="Z62" s="7" t="n">
        <v>1783.7</v>
      </c>
      <c r="AB62" s="7" t="n">
        <v>62334.1</v>
      </c>
    </row>
    <row r="63">
      <c r="A63" s="4" t="inlineStr">
        <is>
          <t>能源费</t>
        </is>
      </c>
      <c r="D63" s="7" t="n">
        <v>904.9</v>
      </c>
      <c r="F63" s="7" t="n">
        <v>448.1</v>
      </c>
      <c r="H63" s="7" t="n">
        <v>1283.2</v>
      </c>
      <c r="J63" s="7" t="n">
        <v>1505</v>
      </c>
      <c r="L63" s="7" t="n">
        <v>1539.4</v>
      </c>
      <c r="N63" s="7" t="n">
        <v>1114.1</v>
      </c>
      <c r="P63" s="7" t="n">
        <v>1947.3</v>
      </c>
      <c r="R63" s="7" t="n">
        <v>1430.9</v>
      </c>
      <c r="T63" s="7" t="n">
        <v>762.8</v>
      </c>
      <c r="V63" s="7" t="n">
        <v>1476.9</v>
      </c>
      <c r="X63" s="7" t="n">
        <v>1391.9</v>
      </c>
      <c r="Z63" s="7" t="n">
        <v>290</v>
      </c>
      <c r="AB63" s="7" t="n">
        <v>14094.5</v>
      </c>
    </row>
    <row r="64">
      <c r="A64" s="4" t="inlineStr">
        <is>
          <t>水费</t>
        </is>
      </c>
      <c r="D64" s="7" t="n">
        <v>201.8</v>
      </c>
      <c r="F64" s="7" t="n">
        <v>74.59999999999999</v>
      </c>
      <c r="H64" s="7" t="n">
        <v>219.2</v>
      </c>
      <c r="J64" s="7" t="n">
        <v>281</v>
      </c>
      <c r="L64" s="7" t="n">
        <v>311.7</v>
      </c>
      <c r="N64" s="7" t="n">
        <v>228.5</v>
      </c>
      <c r="P64" s="7" t="n">
        <v>436.8</v>
      </c>
      <c r="R64" s="7" t="n">
        <v>234.8</v>
      </c>
      <c r="T64" s="7" t="n">
        <v>115.8</v>
      </c>
      <c r="V64" s="7" t="n">
        <v>270.4</v>
      </c>
      <c r="X64" s="7" t="n">
        <v>207.6</v>
      </c>
      <c r="Z64" s="7" t="n">
        <v>65.5</v>
      </c>
      <c r="AB64" s="7" t="n">
        <v>2647.7</v>
      </c>
    </row>
    <row r="65">
      <c r="A65" s="4" t="inlineStr">
        <is>
          <t>电费</t>
        </is>
      </c>
      <c r="D65" s="7" t="n">
        <v>330.1</v>
      </c>
      <c r="F65" s="7" t="n">
        <v>246.5</v>
      </c>
      <c r="H65" s="7" t="n">
        <v>554.1</v>
      </c>
      <c r="J65" s="7" t="n">
        <v>688.5</v>
      </c>
      <c r="L65" s="7" t="n">
        <v>615.5</v>
      </c>
      <c r="N65" s="7" t="n">
        <v>441.6</v>
      </c>
      <c r="P65" s="7" t="n">
        <v>841.9</v>
      </c>
      <c r="R65" s="7" t="n">
        <v>727.7</v>
      </c>
      <c r="T65" s="7" t="n">
        <v>377.7</v>
      </c>
      <c r="V65" s="7" t="n">
        <v>545</v>
      </c>
      <c r="X65" s="7" t="n">
        <v>633.9</v>
      </c>
      <c r="Z65" s="7" t="n">
        <v>141.4</v>
      </c>
      <c r="AB65" s="7" t="n">
        <v>6143.9</v>
      </c>
    </row>
    <row r="66">
      <c r="A66" s="4" t="inlineStr">
        <is>
          <t>燃气费</t>
        </is>
      </c>
      <c r="D66" s="7" t="n">
        <v>224.2</v>
      </c>
      <c r="F66" s="7" t="n">
        <v>81.2</v>
      </c>
      <c r="H66" s="7" t="n">
        <v>294.6</v>
      </c>
      <c r="J66" s="7" t="n">
        <v>313</v>
      </c>
      <c r="L66" s="7" t="n">
        <v>403.5</v>
      </c>
      <c r="N66" s="7" t="n">
        <v>217.2</v>
      </c>
      <c r="P66" s="7" t="n">
        <v>436.7</v>
      </c>
      <c r="R66" s="7" t="n">
        <v>299.7</v>
      </c>
      <c r="T66" s="7" t="n">
        <v>179.3</v>
      </c>
      <c r="V66" s="7" t="n">
        <v>417.8</v>
      </c>
      <c r="X66" s="7" t="n">
        <v>332.8</v>
      </c>
      <c r="Z66" s="7" t="n">
        <v>49.1</v>
      </c>
      <c r="AB66" s="7" t="n">
        <v>3249.1</v>
      </c>
    </row>
    <row r="67">
      <c r="A67" s="4" t="inlineStr">
        <is>
          <t>蒸汽费</t>
        </is>
      </c>
      <c r="D67" s="7" t="n">
        <v>148.8</v>
      </c>
      <c r="F67" s="7" t="n">
        <v>45.8</v>
      </c>
      <c r="H67" s="7" t="n">
        <v>215.3</v>
      </c>
      <c r="J67" s="7" t="n">
        <v>222.5</v>
      </c>
      <c r="L67" s="7" t="n">
        <v>208.7</v>
      </c>
      <c r="N67" s="7" t="n">
        <v>226.8</v>
      </c>
      <c r="P67" s="7" t="n">
        <v>231.9</v>
      </c>
      <c r="R67" s="7" t="n">
        <v>168.7</v>
      </c>
      <c r="T67" s="7" t="n">
        <v>90</v>
      </c>
      <c r="V67" s="7" t="n">
        <v>243.7</v>
      </c>
      <c r="X67" s="7" t="n">
        <v>217.6</v>
      </c>
      <c r="Z67" s="7" t="n">
        <v>34</v>
      </c>
      <c r="AB67" s="7" t="n">
        <v>2053.8</v>
      </c>
    </row>
    <row r="68">
      <c r="A68" s="4" t="inlineStr">
        <is>
          <t>物业费</t>
        </is>
      </c>
      <c r="D68" s="7" t="n">
        <v>243.9</v>
      </c>
      <c r="F68" s="7" t="n">
        <v>118.5</v>
      </c>
      <c r="H68" s="7" t="n">
        <v>466</v>
      </c>
      <c r="J68" s="7" t="n">
        <v>373.3</v>
      </c>
      <c r="L68" s="7" t="n">
        <v>528.7</v>
      </c>
      <c r="N68" s="7" t="n">
        <v>398.5</v>
      </c>
      <c r="P68" s="7" t="n">
        <v>779.3</v>
      </c>
      <c r="R68" s="7" t="n">
        <v>440</v>
      </c>
      <c r="T68" s="7" t="n">
        <v>325.4</v>
      </c>
      <c r="V68" s="7" t="n">
        <v>453</v>
      </c>
      <c r="X68" s="7" t="n">
        <v>397.4</v>
      </c>
      <c r="Z68" s="7" t="n">
        <v>127.3</v>
      </c>
      <c r="AB68" s="7" t="n">
        <v>4651.3</v>
      </c>
    </row>
    <row r="69">
      <c r="A69" s="4" t="inlineStr">
        <is>
          <t>劳动保护费</t>
        </is>
      </c>
      <c r="D69" s="7" t="n">
        <v>71.90000000000001</v>
      </c>
      <c r="F69" s="7" t="n">
        <v>35.5</v>
      </c>
      <c r="H69" s="7" t="n">
        <v>96.3</v>
      </c>
      <c r="J69" s="7" t="n">
        <v>134.1</v>
      </c>
      <c r="L69" s="7" t="n">
        <v>111.7</v>
      </c>
      <c r="N69" s="7" t="n">
        <v>81.5</v>
      </c>
      <c r="P69" s="7" t="n">
        <v>160.3</v>
      </c>
      <c r="R69" s="7" t="n">
        <v>73.8</v>
      </c>
      <c r="T69" s="7" t="n">
        <v>48.2</v>
      </c>
      <c r="V69" s="7" t="n">
        <v>128.2</v>
      </c>
      <c r="X69" s="7" t="n">
        <v>82.2</v>
      </c>
      <c r="Z69" s="7" t="n">
        <v>26.3</v>
      </c>
      <c r="AB69" s="7" t="n">
        <v>1050</v>
      </c>
    </row>
    <row r="70">
      <c r="A70" s="4" t="inlineStr">
        <is>
          <t>顾问费</t>
        </is>
      </c>
      <c r="D70" s="7" t="n">
        <v>58.1</v>
      </c>
      <c r="F70" s="7" t="n">
        <v>45</v>
      </c>
      <c r="H70" s="7" t="n">
        <v>117.5</v>
      </c>
      <c r="J70" s="7" t="n">
        <v>126.1</v>
      </c>
      <c r="L70" s="7" t="n">
        <v>139.7</v>
      </c>
      <c r="N70" s="7" t="n">
        <v>82.90000000000001</v>
      </c>
      <c r="P70" s="7" t="n">
        <v>166.1</v>
      </c>
      <c r="R70" s="7" t="n">
        <v>128.8</v>
      </c>
      <c r="T70" s="7" t="n">
        <v>66</v>
      </c>
      <c r="V70" s="7" t="n">
        <v>137</v>
      </c>
      <c r="X70" s="7" t="n">
        <v>127.9</v>
      </c>
      <c r="Z70" s="7" t="n">
        <v>30.4</v>
      </c>
      <c r="AB70" s="7" t="n">
        <v>1225.5</v>
      </c>
    </row>
    <row r="71">
      <c r="A71" s="4" t="inlineStr">
        <is>
          <t>快递费</t>
        </is>
      </c>
      <c r="D71" s="7" t="n">
        <v>6.4</v>
      </c>
      <c r="F71" s="7" t="n">
        <v>3</v>
      </c>
      <c r="H71" s="7" t="n">
        <v>8.4</v>
      </c>
      <c r="J71" s="7" t="n">
        <v>13.1</v>
      </c>
      <c r="L71" s="7" t="n">
        <v>15.3</v>
      </c>
      <c r="N71" s="7" t="n">
        <v>13.5</v>
      </c>
      <c r="P71" s="7" t="n">
        <v>18.6</v>
      </c>
      <c r="R71" s="7" t="n">
        <v>9.9</v>
      </c>
      <c r="T71" s="7" t="n">
        <v>7.2</v>
      </c>
      <c r="V71" s="7" t="n">
        <v>14.5</v>
      </c>
      <c r="X71" s="7" t="n">
        <v>11.4</v>
      </c>
      <c r="Z71" s="7" t="n">
        <v>2.2</v>
      </c>
      <c r="AB71" s="7" t="n">
        <v>123.5</v>
      </c>
    </row>
    <row r="72">
      <c r="A72" s="4" t="inlineStr">
        <is>
          <t>诉讼费</t>
        </is>
      </c>
      <c r="D72" s="7" t="n">
        <v>316.9</v>
      </c>
      <c r="F72" s="7" t="n">
        <v>151.6</v>
      </c>
      <c r="H72" s="7" t="n">
        <v>600.3</v>
      </c>
      <c r="J72" s="7" t="n">
        <v>645</v>
      </c>
      <c r="L72" s="7" t="n">
        <v>661.9</v>
      </c>
      <c r="N72" s="7" t="n">
        <v>506.7</v>
      </c>
      <c r="P72" s="7" t="n">
        <v>1217.1</v>
      </c>
      <c r="R72" s="7" t="n">
        <v>465.8</v>
      </c>
      <c r="T72" s="7" t="n">
        <v>257.8</v>
      </c>
      <c r="V72" s="7" t="n">
        <v>578</v>
      </c>
      <c r="X72" s="7" t="n">
        <v>431.5</v>
      </c>
      <c r="Z72" s="7" t="n">
        <v>142.1</v>
      </c>
      <c r="AB72" s="7" t="n">
        <v>5974.7</v>
      </c>
    </row>
    <row r="73">
      <c r="A73" s="4" t="inlineStr">
        <is>
          <t>会员费</t>
        </is>
      </c>
      <c r="D73" s="7" t="n">
        <v>580.1</v>
      </c>
      <c r="F73" s="7" t="n">
        <v>221.5</v>
      </c>
      <c r="H73" s="7" t="n">
        <v>530.3</v>
      </c>
      <c r="J73" s="7" t="n">
        <v>534.1</v>
      </c>
      <c r="L73" s="7" t="n">
        <v>690.7</v>
      </c>
      <c r="N73" s="7" t="n">
        <v>582.2</v>
      </c>
      <c r="P73" s="7" t="n">
        <v>1014.8</v>
      </c>
      <c r="R73" s="7" t="n">
        <v>737.9</v>
      </c>
      <c r="T73" s="7" t="n">
        <v>391.1</v>
      </c>
      <c r="V73" s="7" t="n">
        <v>915.1</v>
      </c>
      <c r="X73" s="7" t="n">
        <v>526.6</v>
      </c>
      <c r="Z73" s="7" t="n">
        <v>155.3</v>
      </c>
      <c r="AB73" s="7" t="n">
        <v>6879.7</v>
      </c>
    </row>
    <row r="74">
      <c r="A74" s="4" t="inlineStr">
        <is>
          <t>广告宣传费</t>
        </is>
      </c>
      <c r="D74" s="7" t="n">
        <v>2443.5</v>
      </c>
      <c r="F74" s="7" t="n">
        <v>999.8</v>
      </c>
      <c r="H74" s="7" t="n">
        <v>2904.1</v>
      </c>
      <c r="J74" s="7" t="n">
        <v>4659.7</v>
      </c>
      <c r="L74" s="7" t="n">
        <v>5230.4</v>
      </c>
      <c r="N74" s="7" t="n">
        <v>4693.6</v>
      </c>
      <c r="P74" s="7" t="n">
        <v>5952.4</v>
      </c>
      <c r="R74" s="7" t="n">
        <v>3445.2</v>
      </c>
      <c r="T74" s="7" t="n">
        <v>2100.3</v>
      </c>
      <c r="V74" s="7" t="n">
        <v>3384</v>
      </c>
      <c r="X74" s="7" t="n">
        <v>4568.3</v>
      </c>
      <c r="Z74" s="7" t="n">
        <v>952.3</v>
      </c>
      <c r="AB74" s="7" t="n">
        <v>41333.6</v>
      </c>
    </row>
    <row r="75">
      <c r="A75" s="4" t="inlineStr">
        <is>
          <t>会务费</t>
        </is>
      </c>
      <c r="D75" s="7" t="n">
        <v>300.9</v>
      </c>
      <c r="F75" s="7" t="n">
        <v>103.8</v>
      </c>
      <c r="H75" s="7" t="n">
        <v>322.8</v>
      </c>
      <c r="J75" s="7" t="n">
        <v>253</v>
      </c>
      <c r="L75" s="7" t="n">
        <v>314.4</v>
      </c>
      <c r="N75" s="7" t="n">
        <v>284.8</v>
      </c>
      <c r="P75" s="7" t="n">
        <v>495.2</v>
      </c>
      <c r="R75" s="7" t="n">
        <v>222.5</v>
      </c>
      <c r="T75" s="7" t="n">
        <v>223.2</v>
      </c>
      <c r="V75" s="7" t="n">
        <v>368.3</v>
      </c>
      <c r="X75" s="7" t="n">
        <v>291.2</v>
      </c>
      <c r="Z75" s="7" t="n">
        <v>69.40000000000001</v>
      </c>
      <c r="AB75" s="7" t="n">
        <v>3249.5</v>
      </c>
    </row>
    <row r="76">
      <c r="A76" s="4" t="inlineStr">
        <is>
          <t>装修费</t>
        </is>
      </c>
      <c r="D76" s="7" t="n">
        <v>48.6</v>
      </c>
      <c r="F76" s="7" t="n">
        <v>12.6</v>
      </c>
      <c r="H76" s="7" t="n">
        <v>60.4</v>
      </c>
      <c r="J76" s="7" t="n">
        <v>44.8</v>
      </c>
      <c r="L76" s="7" t="n">
        <v>50.6</v>
      </c>
      <c r="N76" s="7" t="n">
        <v>64.40000000000001</v>
      </c>
      <c r="P76" s="7" t="n">
        <v>119.7</v>
      </c>
      <c r="R76" s="7" t="n">
        <v>58.2</v>
      </c>
      <c r="T76" s="7" t="n">
        <v>31.4</v>
      </c>
      <c r="V76" s="7" t="n">
        <v>74.90000000000001</v>
      </c>
      <c r="X76" s="7" t="n">
        <v>67.40000000000001</v>
      </c>
      <c r="Z76" s="7" t="n">
        <v>13</v>
      </c>
      <c r="AB76" s="7" t="n">
        <v>646</v>
      </c>
    </row>
    <row r="77">
      <c r="A77" s="4" t="inlineStr">
        <is>
          <t>推广费</t>
        </is>
      </c>
      <c r="D77" s="7" t="n">
        <v>415.6</v>
      </c>
      <c r="F77" s="7" t="n">
        <v>326.4</v>
      </c>
      <c r="H77" s="7" t="n">
        <v>677.8</v>
      </c>
      <c r="J77" s="7" t="n">
        <v>910.1</v>
      </c>
      <c r="L77" s="7" t="n">
        <v>958.4</v>
      </c>
      <c r="N77" s="7" t="n">
        <v>816.6</v>
      </c>
      <c r="P77" s="7" t="n">
        <v>1034.3</v>
      </c>
      <c r="R77" s="7" t="n">
        <v>607.8</v>
      </c>
      <c r="T77" s="7" t="n">
        <v>356.6</v>
      </c>
      <c r="V77" s="7" t="n">
        <v>819.1</v>
      </c>
      <c r="X77" s="7" t="n">
        <v>967.6</v>
      </c>
      <c r="Z77" s="7" t="n">
        <v>159.2</v>
      </c>
      <c r="AB77" s="7" t="n">
        <v>8049.5</v>
      </c>
    </row>
    <row r="78">
      <c r="A78" s="4" t="inlineStr">
        <is>
          <t>展会费</t>
        </is>
      </c>
      <c r="D78" s="7" t="n">
        <v>512.5</v>
      </c>
      <c r="F78" s="7" t="n">
        <v>227</v>
      </c>
      <c r="H78" s="7" t="n">
        <v>685.9</v>
      </c>
      <c r="J78" s="7" t="n">
        <v>858.6</v>
      </c>
      <c r="L78" s="7" t="n">
        <v>794.1</v>
      </c>
      <c r="N78" s="7" t="n">
        <v>590.4</v>
      </c>
      <c r="P78" s="7" t="n">
        <v>1127.2</v>
      </c>
      <c r="R78" s="7" t="n">
        <v>659</v>
      </c>
      <c r="T78" s="7" t="n">
        <v>473.4</v>
      </c>
      <c r="V78" s="7" t="n">
        <v>682.7</v>
      </c>
      <c r="X78" s="7" t="n">
        <v>835.1</v>
      </c>
      <c r="Z78" s="7" t="n">
        <v>140.8</v>
      </c>
      <c r="AB78" s="7" t="n">
        <v>7586.7</v>
      </c>
    </row>
    <row r="79">
      <c r="A79" s="4" t="inlineStr">
        <is>
          <t>设计费</t>
        </is>
      </c>
      <c r="D79" s="7" t="n">
        <v>468.6</v>
      </c>
      <c r="F79" s="7" t="n">
        <v>197.9</v>
      </c>
      <c r="H79" s="7" t="n">
        <v>562.7</v>
      </c>
      <c r="J79" s="7" t="n">
        <v>658.2</v>
      </c>
      <c r="L79" s="7" t="n">
        <v>802.9</v>
      </c>
      <c r="N79" s="7" t="n">
        <v>464.1</v>
      </c>
      <c r="P79" s="7" t="n">
        <v>1418</v>
      </c>
      <c r="R79" s="7" t="n">
        <v>485.1</v>
      </c>
      <c r="T79" s="7" t="n">
        <v>441.4</v>
      </c>
      <c r="V79" s="7" t="n">
        <v>592.2</v>
      </c>
      <c r="X79" s="7" t="n">
        <v>614.4</v>
      </c>
      <c r="Z79" s="7" t="n">
        <v>188.6</v>
      </c>
      <c r="AB79" s="7" t="n">
        <v>6894.1</v>
      </c>
    </row>
    <row r="80">
      <c r="A80" s="4" t="inlineStr">
        <is>
          <t>折旧费</t>
        </is>
      </c>
      <c r="D80" s="7" t="n">
        <v>2746.8</v>
      </c>
      <c r="F80" s="7" t="n">
        <v>1770.7</v>
      </c>
      <c r="H80" s="7" t="n">
        <v>6066.5</v>
      </c>
      <c r="J80" s="7" t="n">
        <v>4920</v>
      </c>
      <c r="L80" s="7" t="n">
        <v>4527.5</v>
      </c>
      <c r="N80" s="7" t="n">
        <v>5595.7</v>
      </c>
      <c r="P80" s="7" t="n">
        <v>7653.8</v>
      </c>
      <c r="R80" s="7" t="n">
        <v>3524.1</v>
      </c>
      <c r="T80" s="7" t="n">
        <v>2483.4</v>
      </c>
      <c r="V80" s="7" t="n">
        <v>7235.2</v>
      </c>
      <c r="X80" s="7" t="n">
        <v>4928</v>
      </c>
      <c r="Z80" s="7" t="n">
        <v>1512.3</v>
      </c>
      <c r="AB80" s="7" t="n">
        <v>52964</v>
      </c>
    </row>
    <row r="81">
      <c r="A81" s="4" t="inlineStr">
        <is>
          <t>认证费</t>
        </is>
      </c>
      <c r="D81" s="7" t="n">
        <v>480.5</v>
      </c>
      <c r="F81" s="7" t="n">
        <v>208.1</v>
      </c>
      <c r="H81" s="7" t="n">
        <v>376.1</v>
      </c>
      <c r="J81" s="7" t="n">
        <v>674.2</v>
      </c>
      <c r="L81" s="7" t="n">
        <v>651.7</v>
      </c>
      <c r="N81" s="7" t="n">
        <v>390.3</v>
      </c>
      <c r="P81" s="7" t="n">
        <v>825.4</v>
      </c>
      <c r="R81" s="7" t="n">
        <v>518.9</v>
      </c>
      <c r="T81" s="7" t="n">
        <v>351.9</v>
      </c>
      <c r="V81" s="7" t="n">
        <v>770</v>
      </c>
      <c r="X81" s="7" t="n">
        <v>464.1</v>
      </c>
      <c r="Z81" s="7" t="n">
        <v>121.4</v>
      </c>
      <c r="AB81" s="7" t="n">
        <v>5832.6</v>
      </c>
    </row>
    <row r="82">
      <c r="A82" s="4" t="inlineStr">
        <is>
          <t>样品费</t>
        </is>
      </c>
      <c r="D82" s="7" t="n">
        <v>1600</v>
      </c>
      <c r="F82" s="7" t="n">
        <v>639.1</v>
      </c>
      <c r="H82" s="7" t="n">
        <v>2723.8</v>
      </c>
      <c r="J82" s="7" t="n">
        <v>2899.7</v>
      </c>
      <c r="L82" s="7" t="n">
        <v>3637.7</v>
      </c>
      <c r="N82" s="7" t="n">
        <v>2432.8</v>
      </c>
      <c r="P82" s="7" t="n">
        <v>5964.7</v>
      </c>
      <c r="R82" s="7" t="n">
        <v>2736.6</v>
      </c>
      <c r="T82" s="7" t="n">
        <v>1792.3</v>
      </c>
      <c r="V82" s="7" t="n">
        <v>2198.1</v>
      </c>
      <c r="X82" s="7" t="n">
        <v>2611.9</v>
      </c>
      <c r="Z82" s="7" t="n">
        <v>489.2</v>
      </c>
      <c r="AB82" s="7" t="n">
        <v>29725.9</v>
      </c>
    </row>
    <row r="83">
      <c r="A83" s="4" t="inlineStr">
        <is>
          <t>劳务费</t>
        </is>
      </c>
      <c r="D83" s="7" t="n">
        <v>244.1</v>
      </c>
      <c r="F83" s="7" t="n">
        <v>168.5</v>
      </c>
      <c r="H83" s="7" t="n">
        <v>561.5</v>
      </c>
      <c r="J83" s="7" t="n">
        <v>554.4</v>
      </c>
      <c r="L83" s="7" t="n">
        <v>565.2</v>
      </c>
      <c r="N83" s="7" t="n">
        <v>369</v>
      </c>
      <c r="P83" s="7" t="n">
        <v>993.7</v>
      </c>
      <c r="R83" s="7" t="n">
        <v>565.2</v>
      </c>
      <c r="T83" s="7" t="n">
        <v>286.3</v>
      </c>
      <c r="V83" s="7" t="n">
        <v>600.6</v>
      </c>
      <c r="X83" s="7" t="n">
        <v>401.2</v>
      </c>
      <c r="Z83" s="7" t="n">
        <v>131.5</v>
      </c>
      <c r="AB83" s="7" t="n">
        <v>5441.2</v>
      </c>
    </row>
    <row r="84">
      <c r="A84" s="4" t="inlineStr">
        <is>
          <t>销售佣金</t>
        </is>
      </c>
      <c r="D84" s="7" t="n">
        <v>103.1</v>
      </c>
      <c r="F84" s="7" t="n">
        <v>49.5</v>
      </c>
      <c r="H84" s="7" t="n">
        <v>216.8</v>
      </c>
      <c r="J84" s="7" t="n">
        <v>160.3</v>
      </c>
      <c r="L84" s="7" t="n">
        <v>195.1</v>
      </c>
      <c r="N84" s="7" t="n">
        <v>138.5</v>
      </c>
      <c r="P84" s="7" t="n">
        <v>342.9</v>
      </c>
      <c r="R84" s="7" t="n">
        <v>191.2</v>
      </c>
      <c r="T84" s="7" t="n">
        <v>80.3</v>
      </c>
      <c r="V84" s="7" t="n">
        <v>252.2</v>
      </c>
      <c r="X84" s="7" t="n">
        <v>227</v>
      </c>
      <c r="Z84" s="7" t="n">
        <v>41.3</v>
      </c>
      <c r="AB84" s="7" t="n">
        <v>1998.2</v>
      </c>
    </row>
    <row r="85">
      <c r="A85" s="4" t="inlineStr">
        <is>
          <t>检测费</t>
        </is>
      </c>
      <c r="D85" s="7" t="n">
        <v>530</v>
      </c>
      <c r="F85" s="7" t="n">
        <v>237.9</v>
      </c>
      <c r="H85" s="7" t="n">
        <v>561.4</v>
      </c>
      <c r="J85" s="7" t="n">
        <v>703.8</v>
      </c>
      <c r="L85" s="7" t="n">
        <v>862.5</v>
      </c>
      <c r="N85" s="7" t="n">
        <v>483.1</v>
      </c>
      <c r="P85" s="7" t="n">
        <v>1058.7</v>
      </c>
      <c r="R85" s="7" t="n">
        <v>462.9</v>
      </c>
      <c r="T85" s="7" t="n">
        <v>260.1</v>
      </c>
      <c r="V85" s="7" t="n">
        <v>577.5</v>
      </c>
      <c r="X85" s="7" t="n">
        <v>779.5</v>
      </c>
      <c r="Z85" s="7" t="n">
        <v>137.9</v>
      </c>
      <c r="AB85" s="7" t="n">
        <v>6655.3</v>
      </c>
    </row>
    <row r="86">
      <c r="A86" s="4" t="inlineStr">
        <is>
          <t>质量赔偿</t>
        </is>
      </c>
      <c r="D86" s="7" t="n">
        <v>40.8</v>
      </c>
      <c r="F86" s="7" t="n">
        <v>16.5</v>
      </c>
      <c r="H86" s="7" t="n">
        <v>62.3</v>
      </c>
      <c r="J86" s="7" t="n">
        <v>68.09999999999999</v>
      </c>
      <c r="L86" s="7" t="n">
        <v>90.2</v>
      </c>
      <c r="N86" s="7" t="n">
        <v>54.5</v>
      </c>
      <c r="P86" s="7" t="n">
        <v>144.5</v>
      </c>
      <c r="R86" s="7" t="n">
        <v>72.90000000000001</v>
      </c>
      <c r="T86" s="7" t="n">
        <v>49.8</v>
      </c>
      <c r="V86" s="7" t="n">
        <v>81.90000000000001</v>
      </c>
      <c r="X86" s="7" t="n">
        <v>89.90000000000001</v>
      </c>
      <c r="Z86" s="7" t="n">
        <v>17.1</v>
      </c>
      <c r="AB86" s="7" t="n">
        <v>788.5</v>
      </c>
    </row>
    <row r="87">
      <c r="A87" s="4" t="inlineStr">
        <is>
          <t>保险费</t>
        </is>
      </c>
      <c r="D87" s="7" t="n">
        <v>612.4</v>
      </c>
      <c r="F87" s="7" t="n">
        <v>226.2</v>
      </c>
      <c r="H87" s="7" t="n">
        <v>723.2</v>
      </c>
      <c r="J87" s="7" t="n">
        <v>962.8</v>
      </c>
      <c r="L87" s="7" t="n">
        <v>965.3</v>
      </c>
      <c r="N87" s="7" t="n">
        <v>846.5</v>
      </c>
      <c r="P87" s="7" t="n">
        <v>1204.4</v>
      </c>
      <c r="R87" s="7" t="n">
        <v>710.6</v>
      </c>
      <c r="T87" s="7" t="n">
        <v>368.4</v>
      </c>
      <c r="V87" s="7" t="n">
        <v>1096.3</v>
      </c>
      <c r="X87" s="7" t="n">
        <v>794.8</v>
      </c>
      <c r="Z87" s="7" t="n">
        <v>163.8</v>
      </c>
      <c r="AB87" s="7" t="n">
        <v>8674.700000000001</v>
      </c>
    </row>
    <row r="88">
      <c r="A88" s="4" t="inlineStr">
        <is>
          <t>清洁费</t>
        </is>
      </c>
      <c r="D88" s="7" t="n">
        <v>461.1</v>
      </c>
      <c r="F88" s="7" t="n">
        <v>187.2</v>
      </c>
      <c r="H88" s="7" t="n">
        <v>563.5</v>
      </c>
      <c r="J88" s="7" t="n">
        <v>414.5</v>
      </c>
      <c r="L88" s="7" t="n">
        <v>505.2</v>
      </c>
      <c r="N88" s="7" t="n">
        <v>566.2</v>
      </c>
      <c r="P88" s="7" t="n">
        <v>896</v>
      </c>
      <c r="R88" s="7" t="n">
        <v>348.6</v>
      </c>
      <c r="T88" s="7" t="n">
        <v>303.2</v>
      </c>
      <c r="V88" s="7" t="n">
        <v>677.2</v>
      </c>
      <c r="X88" s="7" t="n">
        <v>402</v>
      </c>
      <c r="Z88" s="7" t="n">
        <v>85</v>
      </c>
      <c r="AB88" s="7" t="n">
        <v>5409.7</v>
      </c>
    </row>
    <row r="89">
      <c r="A89" s="4" t="inlineStr">
        <is>
          <t>低值易耗品</t>
        </is>
      </c>
      <c r="D89" s="7" t="n">
        <v>455.3</v>
      </c>
      <c r="F89" s="7" t="n">
        <v>234.3</v>
      </c>
      <c r="H89" s="7" t="n">
        <v>590.7</v>
      </c>
      <c r="J89" s="7" t="n">
        <v>577.2</v>
      </c>
      <c r="L89" s="7" t="n">
        <v>762.9</v>
      </c>
      <c r="N89" s="7" t="n">
        <v>667</v>
      </c>
      <c r="P89" s="7" t="n">
        <v>1324.1</v>
      </c>
      <c r="R89" s="7" t="n">
        <v>410.9</v>
      </c>
      <c r="T89" s="7" t="n">
        <v>283.9</v>
      </c>
      <c r="V89" s="7" t="n">
        <v>856.4</v>
      </c>
      <c r="X89" s="7" t="n">
        <v>742.7</v>
      </c>
      <c r="Z89" s="7" t="n">
        <v>119.1</v>
      </c>
      <c r="AB89" s="7" t="n">
        <v>7024.5</v>
      </c>
    </row>
    <row r="90">
      <c r="A90" s="4" t="inlineStr">
        <is>
          <t>物料消耗</t>
        </is>
      </c>
      <c r="D90" s="7" t="n">
        <v>37.3</v>
      </c>
      <c r="F90" s="7" t="n">
        <v>13.6</v>
      </c>
      <c r="H90" s="7" t="n">
        <v>29.2</v>
      </c>
      <c r="J90" s="7" t="n">
        <v>43.4</v>
      </c>
      <c r="L90" s="7" t="n">
        <v>36.2</v>
      </c>
      <c r="N90" s="7" t="n">
        <v>41.4</v>
      </c>
      <c r="P90" s="7" t="n">
        <v>57.9</v>
      </c>
      <c r="R90" s="7" t="n">
        <v>33.1</v>
      </c>
      <c r="T90" s="7" t="n">
        <v>24.9</v>
      </c>
      <c r="V90" s="7" t="n">
        <v>57.6</v>
      </c>
      <c r="X90" s="7" t="n">
        <v>31.5</v>
      </c>
      <c r="Z90" s="7" t="n">
        <v>9.699999999999999</v>
      </c>
      <c r="AB90" s="7" t="n">
        <v>415.8</v>
      </c>
    </row>
    <row r="91">
      <c r="A91" s="4" t="inlineStr">
        <is>
          <t>盘盈盘亏</t>
        </is>
      </c>
      <c r="D91" s="7" t="n">
        <v>397.7</v>
      </c>
      <c r="F91" s="7" t="n">
        <v>257.6</v>
      </c>
      <c r="H91" s="7" t="n">
        <v>725.5</v>
      </c>
      <c r="J91" s="7" t="n">
        <v>527.9</v>
      </c>
      <c r="L91" s="7" t="n">
        <v>627.7</v>
      </c>
      <c r="N91" s="7" t="n">
        <v>649.3</v>
      </c>
      <c r="P91" s="7" t="n">
        <v>1205.9</v>
      </c>
      <c r="R91" s="7" t="n">
        <v>689.8</v>
      </c>
      <c r="T91" s="7" t="n">
        <v>298.9</v>
      </c>
      <c r="V91" s="7" t="n">
        <v>918.5</v>
      </c>
      <c r="X91" s="7" t="n">
        <v>699.2</v>
      </c>
      <c r="Z91" s="7" t="n">
        <v>177.9</v>
      </c>
      <c r="AB91" s="7" t="n">
        <v>7175.9</v>
      </c>
    </row>
    <row r="92">
      <c r="A92" s="4" t="inlineStr">
        <is>
          <t>平台服务费</t>
        </is>
      </c>
      <c r="D92" s="7" t="n">
        <v>542.7</v>
      </c>
      <c r="F92" s="7" t="n">
        <v>187.1</v>
      </c>
      <c r="H92" s="7" t="n">
        <v>542.9</v>
      </c>
      <c r="J92" s="7" t="n">
        <v>594.6</v>
      </c>
      <c r="L92" s="7" t="n">
        <v>1036.2</v>
      </c>
      <c r="N92" s="7" t="n">
        <v>569.4</v>
      </c>
      <c r="P92" s="7" t="n">
        <v>1777.2</v>
      </c>
      <c r="R92" s="7" t="n">
        <v>543.3</v>
      </c>
      <c r="T92" s="7" t="n">
        <v>422.9</v>
      </c>
      <c r="V92" s="7" t="n">
        <v>1086.8</v>
      </c>
      <c r="X92" s="7" t="n">
        <v>1005</v>
      </c>
      <c r="Z92" s="7" t="n">
        <v>199.9</v>
      </c>
      <c r="AB92" s="7" t="n">
        <v>8508</v>
      </c>
    </row>
    <row r="93">
      <c r="A93" s="4" t="inlineStr">
        <is>
          <t>无形资产摊销</t>
        </is>
      </c>
      <c r="D93" s="7" t="n">
        <v>40.7</v>
      </c>
      <c r="F93" s="7" t="n">
        <v>27.5</v>
      </c>
      <c r="H93" s="7" t="n">
        <v>48.5</v>
      </c>
      <c r="J93" s="7" t="n">
        <v>80.8</v>
      </c>
      <c r="L93" s="7" t="n">
        <v>80.3</v>
      </c>
      <c r="N93" s="7" t="n">
        <v>61.2</v>
      </c>
      <c r="P93" s="7" t="n">
        <v>146.3</v>
      </c>
      <c r="R93" s="7" t="n">
        <v>72.40000000000001</v>
      </c>
      <c r="T93" s="7" t="n">
        <v>41.9</v>
      </c>
      <c r="V93" s="7" t="n">
        <v>88.7</v>
      </c>
      <c r="X93" s="7" t="n">
        <v>91.3</v>
      </c>
      <c r="Z93" s="7" t="n">
        <v>14</v>
      </c>
      <c r="AB93" s="7" t="n">
        <v>793.6</v>
      </c>
    </row>
    <row r="94">
      <c r="A94" s="4" t="inlineStr">
        <is>
          <t>研发材料</t>
        </is>
      </c>
      <c r="D94" s="7" t="n">
        <v>479</v>
      </c>
      <c r="F94" s="7" t="n">
        <v>176.4</v>
      </c>
      <c r="H94" s="7" t="n">
        <v>454.4</v>
      </c>
      <c r="J94" s="7" t="n">
        <v>491.9</v>
      </c>
      <c r="L94" s="7" t="n">
        <v>507.9</v>
      </c>
      <c r="N94" s="7" t="n">
        <v>554.4</v>
      </c>
      <c r="P94" s="7" t="n">
        <v>800.5</v>
      </c>
      <c r="R94" s="7" t="n">
        <v>563.9</v>
      </c>
      <c r="T94" s="7" t="n">
        <v>328.2</v>
      </c>
      <c r="V94" s="7" t="n">
        <v>556</v>
      </c>
      <c r="X94" s="7" t="n">
        <v>582</v>
      </c>
      <c r="Z94" s="7" t="n">
        <v>149.4</v>
      </c>
      <c r="AB94" s="7" t="n">
        <v>5644</v>
      </c>
    </row>
    <row r="95">
      <c r="A95" s="4" t="inlineStr">
        <is>
          <t>项目名称</t>
        </is>
      </c>
      <c r="D95" s="7" t="n">
        <v>108.9</v>
      </c>
      <c r="F95" s="7" t="n">
        <v>34.4</v>
      </c>
      <c r="H95" s="7" t="n">
        <v>125</v>
      </c>
      <c r="J95" s="7" t="n">
        <v>91.3</v>
      </c>
      <c r="L95" s="7" t="n">
        <v>132.7</v>
      </c>
      <c r="N95" s="7" t="n">
        <v>87.5</v>
      </c>
      <c r="P95" s="7" t="n">
        <v>218.4</v>
      </c>
      <c r="R95" s="7" t="n">
        <v>82.09999999999999</v>
      </c>
      <c r="T95" s="7" t="n">
        <v>76.09999999999999</v>
      </c>
      <c r="V95" s="7" t="n">
        <v>100.2</v>
      </c>
      <c r="X95" s="7" t="n">
        <v>110.2</v>
      </c>
      <c r="Z95" s="7" t="n">
        <v>24.4</v>
      </c>
      <c r="AB95" s="7" t="n">
        <v>1191.2</v>
      </c>
    </row>
    <row r="96">
      <c r="A96" s="4" t="inlineStr">
        <is>
          <t>研发费</t>
        </is>
      </c>
      <c r="D96" s="7" t="n">
        <v>189.3</v>
      </c>
      <c r="F96" s="7" t="n">
        <v>82.90000000000001</v>
      </c>
      <c r="H96" s="7" t="n">
        <v>269.7</v>
      </c>
      <c r="J96" s="7" t="n">
        <v>293.9</v>
      </c>
      <c r="L96" s="7" t="n">
        <v>309.4</v>
      </c>
      <c r="N96" s="7" t="n">
        <v>287.7</v>
      </c>
      <c r="P96" s="7" t="n">
        <v>438.7</v>
      </c>
      <c r="R96" s="7" t="n">
        <v>207.8</v>
      </c>
      <c r="T96" s="7" t="n">
        <v>141.9</v>
      </c>
      <c r="V96" s="7" t="n">
        <v>274</v>
      </c>
      <c r="X96" s="7" t="n">
        <v>263.5</v>
      </c>
      <c r="Z96" s="7" t="n">
        <v>72.5</v>
      </c>
      <c r="AB96" s="7" t="n">
        <v>2831.3</v>
      </c>
    </row>
    <row r="97">
      <c r="A97" s="4" t="inlineStr">
        <is>
          <t>残保金</t>
        </is>
      </c>
      <c r="D97" s="7" t="n">
        <v>264.6</v>
      </c>
      <c r="F97" s="7" t="n">
        <v>112.3</v>
      </c>
      <c r="H97" s="7" t="n">
        <v>262.1</v>
      </c>
      <c r="J97" s="7" t="n">
        <v>222</v>
      </c>
      <c r="L97" s="7" t="n">
        <v>392.5</v>
      </c>
      <c r="N97" s="7" t="n">
        <v>316</v>
      </c>
      <c r="P97" s="7" t="n">
        <v>404.6</v>
      </c>
      <c r="R97" s="7" t="n">
        <v>230.2</v>
      </c>
      <c r="T97" s="7" t="n">
        <v>165.2</v>
      </c>
      <c r="V97" s="7" t="n">
        <v>421.4</v>
      </c>
      <c r="X97" s="7" t="n">
        <v>323.9</v>
      </c>
      <c r="Z97" s="7" t="n">
        <v>75.09999999999999</v>
      </c>
      <c r="AB97" s="7" t="n">
        <v>3189.9</v>
      </c>
    </row>
    <row r="98">
      <c r="A98" s="4" t="inlineStr">
        <is>
          <t>环保费</t>
        </is>
      </c>
      <c r="D98" s="7" t="n">
        <v>338.3</v>
      </c>
      <c r="F98" s="7" t="n">
        <v>221.3</v>
      </c>
      <c r="H98" s="7" t="n">
        <v>658.2</v>
      </c>
      <c r="J98" s="7" t="n">
        <v>830.6</v>
      </c>
      <c r="L98" s="7" t="n">
        <v>937.4</v>
      </c>
      <c r="N98" s="7" t="n">
        <v>511.9</v>
      </c>
      <c r="P98" s="7" t="n">
        <v>877.2</v>
      </c>
      <c r="R98" s="7" t="n">
        <v>515.9</v>
      </c>
      <c r="T98" s="7" t="n">
        <v>273.1</v>
      </c>
      <c r="V98" s="7" t="n">
        <v>576.8</v>
      </c>
      <c r="X98" s="7" t="n">
        <v>628.4</v>
      </c>
      <c r="Z98" s="7" t="n">
        <v>180.9</v>
      </c>
      <c r="AB98" s="7" t="n">
        <v>6550</v>
      </c>
    </row>
    <row r="99">
      <c r="A99" s="4" t="inlineStr">
        <is>
          <t>报废损失</t>
        </is>
      </c>
      <c r="D99" s="7" t="n">
        <v>77.8</v>
      </c>
      <c r="F99" s="7" t="n">
        <v>33.1</v>
      </c>
      <c r="H99" s="7" t="n">
        <v>67.59999999999999</v>
      </c>
      <c r="J99" s="7" t="n">
        <v>111.7</v>
      </c>
      <c r="L99" s="7" t="n">
        <v>100.9</v>
      </c>
      <c r="N99" s="7" t="n">
        <v>121.1</v>
      </c>
      <c r="P99" s="7" t="n">
        <v>151.3</v>
      </c>
      <c r="R99" s="7" t="n">
        <v>120.2</v>
      </c>
      <c r="T99" s="7" t="n">
        <v>59.2</v>
      </c>
      <c r="V99" s="7" t="n">
        <v>148.3</v>
      </c>
      <c r="X99" s="7" t="n">
        <v>107.2</v>
      </c>
      <c r="Z99" s="7" t="n">
        <v>22.1</v>
      </c>
      <c r="AB99" s="7" t="n">
        <v>1120.5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46667.2</v>
      </c>
      <c r="D100" s="7" t="n">
        <v>57492.9</v>
      </c>
      <c r="E100" s="7" t="n">
        <v>42438.9</v>
      </c>
      <c r="F100" s="7" t="n">
        <v>26406.1</v>
      </c>
      <c r="G100" s="7" t="n">
        <v>39177.7</v>
      </c>
      <c r="H100" s="7" t="n">
        <v>30967.9</v>
      </c>
      <c r="I100" s="7" t="n">
        <v>40279.2</v>
      </c>
      <c r="J100" s="7" t="n">
        <v>46621</v>
      </c>
      <c r="K100" s="7" t="n">
        <v>42598.1</v>
      </c>
      <c r="L100" s="7" t="n">
        <v>37613.6</v>
      </c>
      <c r="M100" s="7" t="n">
        <v>46489.6</v>
      </c>
      <c r="N100" s="7" t="n">
        <v>33026</v>
      </c>
      <c r="O100" s="7" t="n">
        <v>41923.1</v>
      </c>
      <c r="P100" s="7" t="n">
        <v>106753.5</v>
      </c>
      <c r="Q100" s="7" t="n">
        <v>46597.5</v>
      </c>
      <c r="R100" s="7" t="n">
        <v>61341.1</v>
      </c>
      <c r="S100" s="7" t="n">
        <v>44019.1</v>
      </c>
      <c r="T100" s="7" t="n">
        <v>24793.7</v>
      </c>
      <c r="U100" s="7" t="n">
        <v>39901.6</v>
      </c>
      <c r="V100" s="7" t="n">
        <v>43640.2</v>
      </c>
      <c r="W100" s="7" t="n">
        <v>41154.9</v>
      </c>
      <c r="X100" s="7" t="n">
        <v>44015</v>
      </c>
      <c r="Y100" s="7" t="n">
        <v>47292.4</v>
      </c>
      <c r="Z100" s="7" t="n">
        <v>11107.9</v>
      </c>
      <c r="AA100" s="8" t="n">
        <v>518539.3</v>
      </c>
      <c r="AB100" s="8" t="n">
        <v>523778.9</v>
      </c>
    </row>
    <row r="101">
      <c r="A101" s="4" t="inlineStr">
        <is>
          <t>职工薪酬</t>
        </is>
      </c>
      <c r="D101" s="7" t="n">
        <v>25009.7</v>
      </c>
      <c r="F101" s="7" t="n">
        <v>14918</v>
      </c>
      <c r="H101" s="7" t="n">
        <v>15254.5</v>
      </c>
      <c r="J101" s="7" t="n">
        <v>25705.3</v>
      </c>
      <c r="L101" s="7" t="n">
        <v>17719</v>
      </c>
      <c r="N101" s="7" t="n">
        <v>20111.2</v>
      </c>
      <c r="P101" s="7" t="n">
        <v>60737.7</v>
      </c>
      <c r="R101" s="7" t="n">
        <v>25717.4</v>
      </c>
      <c r="T101" s="7" t="n">
        <v>10215.4</v>
      </c>
      <c r="V101" s="7" t="n">
        <v>21763.3</v>
      </c>
      <c r="X101" s="7" t="n">
        <v>20061.5</v>
      </c>
      <c r="Z101" s="7" t="n">
        <v>5685.5</v>
      </c>
      <c r="AB101" s="7" t="n">
        <v>262898.5</v>
      </c>
    </row>
    <row r="102">
      <c r="A102" s="4" t="inlineStr">
        <is>
          <t>工资</t>
        </is>
      </c>
      <c r="D102" s="7" t="n">
        <v>14444.2</v>
      </c>
      <c r="F102" s="7" t="n">
        <v>8757.200000000001</v>
      </c>
      <c r="H102" s="7" t="n">
        <v>8398.1</v>
      </c>
      <c r="J102" s="7" t="n">
        <v>15523.5</v>
      </c>
      <c r="L102" s="7" t="n">
        <v>9888.200000000001</v>
      </c>
      <c r="N102" s="7" t="n">
        <v>12637.7</v>
      </c>
      <c r="P102" s="7" t="n">
        <v>39932</v>
      </c>
      <c r="R102" s="7" t="n">
        <v>13138.5</v>
      </c>
      <c r="T102" s="7" t="n">
        <v>5584.3</v>
      </c>
      <c r="V102" s="7" t="n">
        <v>12128</v>
      </c>
      <c r="X102" s="7" t="n">
        <v>12500.9</v>
      </c>
      <c r="Z102" s="7" t="n">
        <v>2892.1</v>
      </c>
      <c r="AB102" s="7" t="n">
        <v>155824.7</v>
      </c>
    </row>
    <row r="103">
      <c r="A103" s="4" t="inlineStr">
        <is>
          <t>奖金及提成</t>
        </is>
      </c>
      <c r="D103" s="7" t="n">
        <v>5027</v>
      </c>
      <c r="F103" s="7" t="n">
        <v>2760.6</v>
      </c>
      <c r="H103" s="7" t="n">
        <v>3681.6</v>
      </c>
      <c r="J103" s="7" t="n">
        <v>4676.7</v>
      </c>
      <c r="L103" s="7" t="n">
        <v>4704.8</v>
      </c>
      <c r="N103" s="7" t="n">
        <v>3841.7</v>
      </c>
      <c r="P103" s="7" t="n">
        <v>12153.5</v>
      </c>
      <c r="R103" s="7" t="n">
        <v>5649.7</v>
      </c>
      <c r="T103" s="7" t="n">
        <v>2562.8</v>
      </c>
      <c r="V103" s="7" t="n">
        <v>4366.6</v>
      </c>
      <c r="X103" s="7" t="n">
        <v>3552.3</v>
      </c>
      <c r="Z103" s="7" t="n">
        <v>1432.2</v>
      </c>
      <c r="AB103" s="7" t="n">
        <v>54409.5</v>
      </c>
    </row>
    <row r="104">
      <c r="A104" s="4" t="inlineStr">
        <is>
          <t>社保</t>
        </is>
      </c>
      <c r="D104" s="7" t="n">
        <v>4134.6</v>
      </c>
      <c r="F104" s="7" t="n">
        <v>2711.3</v>
      </c>
      <c r="H104" s="7" t="n">
        <v>2426.4</v>
      </c>
      <c r="J104" s="7" t="n">
        <v>4472.1</v>
      </c>
      <c r="L104" s="7" t="n">
        <v>2217.5</v>
      </c>
      <c r="N104" s="7" t="n">
        <v>2940.5</v>
      </c>
      <c r="P104" s="7" t="n">
        <v>6170.6</v>
      </c>
      <c r="R104" s="7" t="n">
        <v>5457.4</v>
      </c>
      <c r="T104" s="7" t="n">
        <v>1456.9</v>
      </c>
      <c r="V104" s="7" t="n">
        <v>4230.6</v>
      </c>
      <c r="X104" s="7" t="n">
        <v>2969.4</v>
      </c>
      <c r="Z104" s="7" t="n">
        <v>1110.7</v>
      </c>
      <c r="AB104" s="7" t="n">
        <v>40298</v>
      </c>
    </row>
    <row r="105">
      <c r="A105" s="4" t="inlineStr">
        <is>
          <t>养老</t>
        </is>
      </c>
      <c r="D105" s="7" t="n">
        <v>91.3</v>
      </c>
      <c r="F105" s="7" t="n">
        <v>33</v>
      </c>
      <c r="H105" s="7" t="n">
        <v>50.8</v>
      </c>
      <c r="J105" s="7" t="n">
        <v>54.6</v>
      </c>
      <c r="L105" s="7" t="n">
        <v>45.8</v>
      </c>
      <c r="N105" s="7" t="n">
        <v>50.9</v>
      </c>
      <c r="P105" s="7" t="n">
        <v>137</v>
      </c>
      <c r="R105" s="7" t="n">
        <v>70</v>
      </c>
      <c r="T105" s="7" t="n">
        <v>26.7</v>
      </c>
      <c r="V105" s="7" t="n">
        <v>45.5</v>
      </c>
      <c r="X105" s="7" t="n">
        <v>45.6</v>
      </c>
      <c r="Z105" s="7" t="n">
        <v>16.1</v>
      </c>
      <c r="AB105" s="7" t="n">
        <v>667.3</v>
      </c>
    </row>
    <row r="106">
      <c r="A106" s="4" t="inlineStr">
        <is>
          <t>医疗</t>
        </is>
      </c>
      <c r="D106" s="7" t="n">
        <v>224.7</v>
      </c>
      <c r="F106" s="7" t="n">
        <v>106.8</v>
      </c>
      <c r="H106" s="7" t="n">
        <v>109.7</v>
      </c>
      <c r="J106" s="7" t="n">
        <v>171.1</v>
      </c>
      <c r="L106" s="7" t="n">
        <v>106.3</v>
      </c>
      <c r="N106" s="7" t="n">
        <v>120.3</v>
      </c>
      <c r="P106" s="7" t="n">
        <v>397.3</v>
      </c>
      <c r="R106" s="7" t="n">
        <v>173.3</v>
      </c>
      <c r="T106" s="7" t="n">
        <v>71</v>
      </c>
      <c r="V106" s="7" t="n">
        <v>142</v>
      </c>
      <c r="X106" s="7" t="n">
        <v>135.7</v>
      </c>
      <c r="Z106" s="7" t="n">
        <v>32</v>
      </c>
      <c r="AB106" s="7" t="n">
        <v>1790.2</v>
      </c>
    </row>
    <row r="107">
      <c r="A107" s="4" t="inlineStr">
        <is>
          <t>工伤</t>
        </is>
      </c>
      <c r="D107" s="7" t="n">
        <v>403.5</v>
      </c>
      <c r="F107" s="7" t="n">
        <v>173.3</v>
      </c>
      <c r="H107" s="7" t="n">
        <v>228.2</v>
      </c>
      <c r="J107" s="7" t="n">
        <v>337.4</v>
      </c>
      <c r="L107" s="7" t="n">
        <v>232.2</v>
      </c>
      <c r="N107" s="7" t="n">
        <v>191.7</v>
      </c>
      <c r="P107" s="7" t="n">
        <v>713.5</v>
      </c>
      <c r="R107" s="7" t="n">
        <v>318.2</v>
      </c>
      <c r="T107" s="7" t="n">
        <v>133.9</v>
      </c>
      <c r="V107" s="7" t="n">
        <v>246.7</v>
      </c>
      <c r="X107" s="7" t="n">
        <v>254.8</v>
      </c>
      <c r="Z107" s="7" t="n">
        <v>60.7</v>
      </c>
      <c r="AB107" s="7" t="n">
        <v>3294.1</v>
      </c>
    </row>
    <row r="108">
      <c r="A108" s="4" t="inlineStr">
        <is>
          <t>失业</t>
        </is>
      </c>
      <c r="D108" s="7" t="n">
        <v>253.8</v>
      </c>
      <c r="F108" s="7" t="n">
        <v>118.2</v>
      </c>
      <c r="H108" s="7" t="n">
        <v>79.3</v>
      </c>
      <c r="J108" s="7" t="n">
        <v>137</v>
      </c>
      <c r="L108" s="7" t="n">
        <v>162.5</v>
      </c>
      <c r="N108" s="7" t="n">
        <v>155.4</v>
      </c>
      <c r="P108" s="7" t="n">
        <v>277.6</v>
      </c>
      <c r="R108" s="7" t="n">
        <v>169.8</v>
      </c>
      <c r="T108" s="7" t="n">
        <v>104.9</v>
      </c>
      <c r="V108" s="7" t="n">
        <v>121.3</v>
      </c>
      <c r="X108" s="7" t="n">
        <v>123.9</v>
      </c>
      <c r="Z108" s="7" t="n">
        <v>42.6</v>
      </c>
      <c r="AB108" s="7" t="n">
        <v>1746.3</v>
      </c>
    </row>
    <row r="109">
      <c r="A109" s="4" t="inlineStr">
        <is>
          <t>生育</t>
        </is>
      </c>
      <c r="D109" s="7" t="n">
        <v>295</v>
      </c>
      <c r="F109" s="7" t="n">
        <v>148.3</v>
      </c>
      <c r="H109" s="7" t="n">
        <v>184.6</v>
      </c>
      <c r="J109" s="7" t="n">
        <v>317</v>
      </c>
      <c r="L109" s="7" t="n">
        <v>195.7</v>
      </c>
      <c r="N109" s="7" t="n">
        <v>174.2</v>
      </c>
      <c r="P109" s="7" t="n">
        <v>833</v>
      </c>
      <c r="R109" s="7" t="n">
        <v>287</v>
      </c>
      <c r="T109" s="7" t="n">
        <v>170.5</v>
      </c>
      <c r="V109" s="7" t="n">
        <v>251.1</v>
      </c>
      <c r="X109" s="7" t="n">
        <v>187.2</v>
      </c>
      <c r="Z109" s="7" t="n">
        <v>72.2</v>
      </c>
      <c r="AB109" s="7" t="n">
        <v>3115.8</v>
      </c>
    </row>
    <row r="110">
      <c r="A110" s="4" t="inlineStr">
        <is>
          <t>公积金</t>
        </is>
      </c>
      <c r="D110" s="7" t="n">
        <v>74.2</v>
      </c>
      <c r="F110" s="7" t="n">
        <v>43.5</v>
      </c>
      <c r="H110" s="7" t="n">
        <v>33.9</v>
      </c>
      <c r="J110" s="7" t="n">
        <v>48</v>
      </c>
      <c r="L110" s="7" t="n">
        <v>46.7</v>
      </c>
      <c r="N110" s="7" t="n">
        <v>34.4</v>
      </c>
      <c r="P110" s="7" t="n">
        <v>115.8</v>
      </c>
      <c r="R110" s="7" t="n">
        <v>87.3</v>
      </c>
      <c r="T110" s="7" t="n">
        <v>40.4</v>
      </c>
      <c r="V110" s="7" t="n">
        <v>53.3</v>
      </c>
      <c r="X110" s="7" t="n">
        <v>63.1</v>
      </c>
      <c r="Z110" s="7" t="n">
        <v>13</v>
      </c>
      <c r="AB110" s="7" t="n">
        <v>653.6</v>
      </c>
    </row>
    <row r="111">
      <c r="A111" s="4" t="inlineStr">
        <is>
          <t>工会经费</t>
        </is>
      </c>
      <c r="D111" s="7" t="n">
        <v>147.6</v>
      </c>
      <c r="F111" s="7" t="n">
        <v>82.7</v>
      </c>
      <c r="H111" s="7" t="n">
        <v>84.8</v>
      </c>
      <c r="J111" s="7" t="n">
        <v>140</v>
      </c>
      <c r="L111" s="7" t="n">
        <v>92.5</v>
      </c>
      <c r="N111" s="7" t="n">
        <v>69</v>
      </c>
      <c r="P111" s="7" t="n">
        <v>315.1</v>
      </c>
      <c r="R111" s="7" t="n">
        <v>202</v>
      </c>
      <c r="T111" s="7" t="n">
        <v>68.7</v>
      </c>
      <c r="V111" s="7" t="n">
        <v>114</v>
      </c>
      <c r="X111" s="7" t="n">
        <v>85.3</v>
      </c>
      <c r="Z111" s="7" t="n">
        <v>28.1</v>
      </c>
      <c r="AB111" s="7" t="n">
        <v>1429.8</v>
      </c>
    </row>
    <row r="112">
      <c r="A112" s="4" t="inlineStr">
        <is>
          <t>职工教育经费</t>
        </is>
      </c>
      <c r="D112" s="7" t="n">
        <v>120.2</v>
      </c>
      <c r="F112" s="7" t="n">
        <v>43.8</v>
      </c>
      <c r="H112" s="7" t="n">
        <v>85.8</v>
      </c>
      <c r="J112" s="7" t="n">
        <v>114.5</v>
      </c>
      <c r="L112" s="7" t="n">
        <v>100.4</v>
      </c>
      <c r="N112" s="7" t="n">
        <v>63.6</v>
      </c>
      <c r="P112" s="7" t="n">
        <v>237.4</v>
      </c>
      <c r="R112" s="7" t="n">
        <v>127.3</v>
      </c>
      <c r="T112" s="7" t="n">
        <v>62.6</v>
      </c>
      <c r="V112" s="7" t="n">
        <v>114.9</v>
      </c>
      <c r="X112" s="7" t="n">
        <v>104.3</v>
      </c>
      <c r="Z112" s="7" t="n">
        <v>28.5</v>
      </c>
      <c r="AB112" s="7" t="n">
        <v>1203.3</v>
      </c>
    </row>
    <row r="113">
      <c r="A113" s="4" t="inlineStr">
        <is>
          <t>福利费</t>
        </is>
      </c>
      <c r="D113" s="7" t="n">
        <v>1061.9</v>
      </c>
      <c r="F113" s="7" t="n">
        <v>518.9</v>
      </c>
      <c r="H113" s="7" t="n">
        <v>543.9</v>
      </c>
      <c r="J113" s="7" t="n">
        <v>730.5</v>
      </c>
      <c r="L113" s="7" t="n">
        <v>668.9</v>
      </c>
      <c r="N113" s="7" t="n">
        <v>524.3</v>
      </c>
      <c r="P113" s="7" t="n">
        <v>1813.3</v>
      </c>
      <c r="R113" s="7" t="n">
        <v>1055.2</v>
      </c>
      <c r="T113" s="7" t="n">
        <v>439.7</v>
      </c>
      <c r="V113" s="7" t="n">
        <v>755.9</v>
      </c>
      <c r="X113" s="7" t="n">
        <v>786.2</v>
      </c>
      <c r="Z113" s="7" t="n">
        <v>180.9</v>
      </c>
      <c r="AB113" s="7" t="n">
        <v>9079.6</v>
      </c>
    </row>
    <row r="114">
      <c r="A114" s="4" t="inlineStr">
        <is>
          <t>职工房租</t>
        </is>
      </c>
      <c r="D114" s="7" t="n">
        <v>94.09999999999999</v>
      </c>
      <c r="F114" s="7" t="n">
        <v>33.8</v>
      </c>
      <c r="H114" s="7" t="n">
        <v>32.2</v>
      </c>
      <c r="J114" s="7" t="n">
        <v>55.1</v>
      </c>
      <c r="L114" s="7" t="n">
        <v>58.6</v>
      </c>
      <c r="N114" s="7" t="n">
        <v>31.5</v>
      </c>
      <c r="P114" s="7" t="n">
        <v>165.1</v>
      </c>
      <c r="R114" s="7" t="n">
        <v>55.6</v>
      </c>
      <c r="T114" s="7" t="n">
        <v>24.9</v>
      </c>
      <c r="V114" s="7" t="n">
        <v>53.7</v>
      </c>
      <c r="X114" s="7" t="n">
        <v>49.7</v>
      </c>
      <c r="Z114" s="7" t="n">
        <v>16.1</v>
      </c>
      <c r="AB114" s="7" t="n">
        <v>670.4</v>
      </c>
    </row>
    <row r="115">
      <c r="A115" s="4" t="inlineStr">
        <is>
          <t>水电物业费</t>
        </is>
      </c>
      <c r="D115" s="7" t="n">
        <v>30.3</v>
      </c>
      <c r="F115" s="7" t="n">
        <v>14.4</v>
      </c>
      <c r="H115" s="7" t="n">
        <v>25.1</v>
      </c>
      <c r="J115" s="7" t="n">
        <v>27.9</v>
      </c>
      <c r="L115" s="7" t="n">
        <v>29.3</v>
      </c>
      <c r="N115" s="7" t="n">
        <v>21.8</v>
      </c>
      <c r="P115" s="7" t="n">
        <v>56.7</v>
      </c>
      <c r="R115" s="7" t="n">
        <v>41.9</v>
      </c>
      <c r="T115" s="7" t="n">
        <v>16.1</v>
      </c>
      <c r="V115" s="7" t="n">
        <v>34.6</v>
      </c>
      <c r="X115" s="7" t="n">
        <v>27.5</v>
      </c>
      <c r="Z115" s="7" t="n">
        <v>7.5</v>
      </c>
      <c r="AB115" s="7" t="n">
        <v>333.1</v>
      </c>
    </row>
    <row r="116">
      <c r="A116" s="4" t="inlineStr">
        <is>
          <t>员工餐</t>
        </is>
      </c>
      <c r="D116" s="7" t="n">
        <v>364.9</v>
      </c>
      <c r="F116" s="7" t="n">
        <v>201.6</v>
      </c>
      <c r="H116" s="7" t="n">
        <v>219.7</v>
      </c>
      <c r="J116" s="7" t="n">
        <v>241.2</v>
      </c>
      <c r="L116" s="7" t="n">
        <v>284.4</v>
      </c>
      <c r="N116" s="7" t="n">
        <v>150.4</v>
      </c>
      <c r="P116" s="7" t="n">
        <v>557.4</v>
      </c>
      <c r="R116" s="7" t="n">
        <v>374.9</v>
      </c>
      <c r="T116" s="7" t="n">
        <v>172.6</v>
      </c>
      <c r="V116" s="7" t="n">
        <v>333.4</v>
      </c>
      <c r="X116" s="7" t="n">
        <v>304.3</v>
      </c>
      <c r="Z116" s="7" t="n">
        <v>59.5</v>
      </c>
      <c r="AB116" s="7" t="n">
        <v>3264.3</v>
      </c>
    </row>
    <row r="117">
      <c r="A117" s="4" t="inlineStr">
        <is>
          <t>节日礼品</t>
        </is>
      </c>
      <c r="D117" s="7" t="n">
        <v>109</v>
      </c>
      <c r="F117" s="7" t="n">
        <v>51.3</v>
      </c>
      <c r="H117" s="7" t="n">
        <v>55.1</v>
      </c>
      <c r="J117" s="7" t="n">
        <v>73.8</v>
      </c>
      <c r="L117" s="7" t="n">
        <v>55.3</v>
      </c>
      <c r="N117" s="7" t="n">
        <v>42.5</v>
      </c>
      <c r="P117" s="7" t="n">
        <v>180.7</v>
      </c>
      <c r="R117" s="7" t="n">
        <v>102.1</v>
      </c>
      <c r="T117" s="7" t="n">
        <v>29.9</v>
      </c>
      <c r="V117" s="7" t="n">
        <v>51.7</v>
      </c>
      <c r="X117" s="7" t="n">
        <v>63.2</v>
      </c>
      <c r="Z117" s="7" t="n">
        <v>19.3</v>
      </c>
      <c r="AB117" s="7" t="n">
        <v>833.9</v>
      </c>
    </row>
    <row r="118">
      <c r="A118" s="4" t="inlineStr">
        <is>
          <t>生日礼品</t>
        </is>
      </c>
      <c r="D118" s="7" t="n">
        <v>8.1</v>
      </c>
      <c r="F118" s="7" t="n">
        <v>3.1</v>
      </c>
      <c r="H118" s="7" t="n">
        <v>4.8</v>
      </c>
      <c r="J118" s="7" t="n">
        <v>5.8</v>
      </c>
      <c r="L118" s="7" t="n">
        <v>3.3</v>
      </c>
      <c r="N118" s="7" t="n">
        <v>3.4</v>
      </c>
      <c r="P118" s="7" t="n">
        <v>13.2</v>
      </c>
      <c r="R118" s="7" t="n">
        <v>9.199999999999999</v>
      </c>
      <c r="T118" s="7" t="n">
        <v>3.3</v>
      </c>
      <c r="V118" s="7" t="n">
        <v>5</v>
      </c>
      <c r="X118" s="7" t="n">
        <v>4.4</v>
      </c>
      <c r="Z118" s="7" t="n">
        <v>1.6</v>
      </c>
      <c r="AB118" s="7" t="n">
        <v>65.2</v>
      </c>
    </row>
    <row r="119">
      <c r="A119" s="4" t="inlineStr">
        <is>
          <t>体检</t>
        </is>
      </c>
      <c r="D119" s="7" t="n">
        <v>160.8</v>
      </c>
      <c r="F119" s="7" t="n">
        <v>72.8</v>
      </c>
      <c r="H119" s="7" t="n">
        <v>103.5</v>
      </c>
      <c r="J119" s="7" t="n">
        <v>117.3</v>
      </c>
      <c r="L119" s="7" t="n">
        <v>106.8</v>
      </c>
      <c r="N119" s="7" t="n">
        <v>103.4</v>
      </c>
      <c r="P119" s="7" t="n">
        <v>344.5</v>
      </c>
      <c r="R119" s="7" t="n">
        <v>177.3</v>
      </c>
      <c r="T119" s="7" t="n">
        <v>78.5</v>
      </c>
      <c r="V119" s="7" t="n">
        <v>125.1</v>
      </c>
      <c r="X119" s="7" t="n">
        <v>134.4</v>
      </c>
      <c r="Z119" s="7" t="n">
        <v>33.7</v>
      </c>
      <c r="AB119" s="7" t="n">
        <v>1558.1</v>
      </c>
    </row>
    <row r="120">
      <c r="A120" s="4" t="inlineStr">
        <is>
          <t>其他福利支出</t>
        </is>
      </c>
      <c r="D120" s="7" t="n">
        <v>294.7</v>
      </c>
      <c r="F120" s="7" t="n">
        <v>141.9</v>
      </c>
      <c r="H120" s="7" t="n">
        <v>103.5</v>
      </c>
      <c r="J120" s="7" t="n">
        <v>209.4</v>
      </c>
      <c r="L120" s="7" t="n">
        <v>131.2</v>
      </c>
      <c r="N120" s="7" t="n">
        <v>171.3</v>
      </c>
      <c r="P120" s="7" t="n">
        <v>495.7</v>
      </c>
      <c r="R120" s="7" t="n">
        <v>294.2</v>
      </c>
      <c r="T120" s="7" t="n">
        <v>114.4</v>
      </c>
      <c r="V120" s="7" t="n">
        <v>152.4</v>
      </c>
      <c r="X120" s="7" t="n">
        <v>202.7</v>
      </c>
      <c r="Z120" s="7" t="n">
        <v>43.2</v>
      </c>
      <c r="AB120" s="7" t="n">
        <v>2354.6</v>
      </c>
    </row>
    <row r="121">
      <c r="A121" s="4" t="inlineStr">
        <is>
          <t>招聘费</t>
        </is>
      </c>
      <c r="D121" s="7" t="n">
        <v>358.8</v>
      </c>
      <c r="F121" s="7" t="n">
        <v>139.3</v>
      </c>
      <c r="H121" s="7" t="n">
        <v>184.3</v>
      </c>
      <c r="J121" s="7" t="n">
        <v>286.7</v>
      </c>
      <c r="L121" s="7" t="n">
        <v>242.3</v>
      </c>
      <c r="N121" s="7" t="n">
        <v>206.4</v>
      </c>
      <c r="P121" s="7" t="n">
        <v>413.6</v>
      </c>
      <c r="R121" s="7" t="n">
        <v>373.9</v>
      </c>
      <c r="T121" s="7" t="n">
        <v>148.7</v>
      </c>
      <c r="V121" s="7" t="n">
        <v>184.3</v>
      </c>
      <c r="X121" s="7" t="n">
        <v>260.4</v>
      </c>
      <c r="Z121" s="7" t="n">
        <v>65.59999999999999</v>
      </c>
      <c r="AB121" s="7" t="n">
        <v>2864.3</v>
      </c>
    </row>
    <row r="122">
      <c r="A122" s="4" t="inlineStr">
        <is>
          <t>办公费</t>
        </is>
      </c>
      <c r="D122" s="7" t="n">
        <v>1652.2</v>
      </c>
      <c r="F122" s="7" t="n">
        <v>822.6</v>
      </c>
      <c r="H122" s="7" t="n">
        <v>1185.8</v>
      </c>
      <c r="J122" s="7" t="n">
        <v>1025</v>
      </c>
      <c r="L122" s="7" t="n">
        <v>1211.2</v>
      </c>
      <c r="N122" s="7" t="n">
        <v>707.2</v>
      </c>
      <c r="P122" s="7" t="n">
        <v>3313.9</v>
      </c>
      <c r="R122" s="7" t="n">
        <v>1459.3</v>
      </c>
      <c r="T122" s="7" t="n">
        <v>806.4</v>
      </c>
      <c r="V122" s="7" t="n">
        <v>1275.6</v>
      </c>
      <c r="X122" s="7" t="n">
        <v>1255.2</v>
      </c>
      <c r="Z122" s="7" t="n">
        <v>411.5</v>
      </c>
      <c r="AB122" s="7" t="n">
        <v>15125.9</v>
      </c>
    </row>
    <row r="123">
      <c r="A123" s="4" t="inlineStr">
        <is>
          <t>市内交通费</t>
        </is>
      </c>
      <c r="D123" s="7" t="n">
        <v>194.7</v>
      </c>
      <c r="F123" s="7" t="n">
        <v>92.2</v>
      </c>
      <c r="H123" s="7" t="n">
        <v>135.2</v>
      </c>
      <c r="J123" s="7" t="n">
        <v>254.5</v>
      </c>
      <c r="L123" s="7" t="n">
        <v>132.5</v>
      </c>
      <c r="N123" s="7" t="n">
        <v>147.9</v>
      </c>
      <c r="P123" s="7" t="n">
        <v>402.4</v>
      </c>
      <c r="R123" s="7" t="n">
        <v>283.4</v>
      </c>
      <c r="T123" s="7" t="n">
        <v>129.9</v>
      </c>
      <c r="V123" s="7" t="n">
        <v>200.3</v>
      </c>
      <c r="X123" s="7" t="n">
        <v>229.6</v>
      </c>
      <c r="Z123" s="7" t="n">
        <v>47.3</v>
      </c>
      <c r="AB123" s="7" t="n">
        <v>2249.9</v>
      </c>
    </row>
    <row r="124">
      <c r="A124" s="4" t="inlineStr">
        <is>
          <t>差旅费</t>
        </is>
      </c>
      <c r="D124" s="7" t="n">
        <v>3775.1</v>
      </c>
      <c r="F124" s="7" t="n">
        <v>1642.5</v>
      </c>
      <c r="H124" s="7" t="n">
        <v>1320.2</v>
      </c>
      <c r="J124" s="7" t="n">
        <v>3332.3</v>
      </c>
      <c r="L124" s="7" t="n">
        <v>1965.3</v>
      </c>
      <c r="N124" s="7" t="n">
        <v>1390.7</v>
      </c>
      <c r="P124" s="7" t="n">
        <v>5808.3</v>
      </c>
      <c r="R124" s="7" t="n">
        <v>3476.1</v>
      </c>
      <c r="T124" s="7" t="n">
        <v>1633.6</v>
      </c>
      <c r="V124" s="7" t="n">
        <v>3375</v>
      </c>
      <c r="X124" s="7" t="n">
        <v>3278.3</v>
      </c>
      <c r="Z124" s="7" t="n">
        <v>693</v>
      </c>
      <c r="AB124" s="7" t="n">
        <v>31690.4</v>
      </c>
    </row>
    <row r="125">
      <c r="A125" s="4" t="inlineStr">
        <is>
          <t>交通费</t>
        </is>
      </c>
      <c r="D125" s="7" t="n">
        <v>117.5</v>
      </c>
      <c r="F125" s="7" t="n">
        <v>88.90000000000001</v>
      </c>
      <c r="H125" s="7" t="n">
        <v>103.2</v>
      </c>
      <c r="J125" s="7" t="n">
        <v>125.3</v>
      </c>
      <c r="L125" s="7" t="n">
        <v>124</v>
      </c>
      <c r="N125" s="7" t="n">
        <v>96.5</v>
      </c>
      <c r="P125" s="7" t="n">
        <v>239.5</v>
      </c>
      <c r="R125" s="7" t="n">
        <v>191.5</v>
      </c>
      <c r="T125" s="7" t="n">
        <v>53.4</v>
      </c>
      <c r="V125" s="7" t="n">
        <v>128</v>
      </c>
      <c r="X125" s="7" t="n">
        <v>130.8</v>
      </c>
      <c r="Z125" s="7" t="n">
        <v>28.7</v>
      </c>
      <c r="AB125" s="7" t="n">
        <v>1427.3</v>
      </c>
    </row>
    <row r="126">
      <c r="A126" s="4" t="inlineStr">
        <is>
          <t>住宿费</t>
        </is>
      </c>
      <c r="D126" s="7" t="n">
        <v>298</v>
      </c>
      <c r="F126" s="7" t="n">
        <v>90.59999999999999</v>
      </c>
      <c r="H126" s="7" t="n">
        <v>132.8</v>
      </c>
      <c r="J126" s="7" t="n">
        <v>228.4</v>
      </c>
      <c r="L126" s="7" t="n">
        <v>118</v>
      </c>
      <c r="N126" s="7" t="n">
        <v>163.6</v>
      </c>
      <c r="P126" s="7" t="n">
        <v>542.5</v>
      </c>
      <c r="R126" s="7" t="n">
        <v>294.1</v>
      </c>
      <c r="T126" s="7" t="n">
        <v>121.4</v>
      </c>
      <c r="V126" s="7" t="n">
        <v>160.2</v>
      </c>
      <c r="X126" s="7" t="n">
        <v>164.1</v>
      </c>
      <c r="Z126" s="7" t="n">
        <v>57.6</v>
      </c>
      <c r="AB126" s="7" t="n">
        <v>2371.3</v>
      </c>
    </row>
    <row r="127">
      <c r="A127" s="4" t="inlineStr">
        <is>
          <t>餐补</t>
        </is>
      </c>
      <c r="D127" s="7" t="n">
        <v>54.6</v>
      </c>
      <c r="F127" s="7" t="n">
        <v>24.3</v>
      </c>
      <c r="H127" s="7" t="n">
        <v>22.9</v>
      </c>
      <c r="J127" s="7" t="n">
        <v>29</v>
      </c>
      <c r="L127" s="7" t="n">
        <v>31.2</v>
      </c>
      <c r="N127" s="7" t="n">
        <v>30.3</v>
      </c>
      <c r="P127" s="7" t="n">
        <v>101.8</v>
      </c>
      <c r="R127" s="7" t="n">
        <v>41.7</v>
      </c>
      <c r="T127" s="7" t="n">
        <v>24.2</v>
      </c>
      <c r="V127" s="7" t="n">
        <v>41.7</v>
      </c>
      <c r="X127" s="7" t="n">
        <v>41.6</v>
      </c>
      <c r="Z127" s="7" t="n">
        <v>7</v>
      </c>
      <c r="AB127" s="7" t="n">
        <v>450.3</v>
      </c>
    </row>
    <row r="128">
      <c r="A128" s="4" t="inlineStr">
        <is>
          <t>交通补助</t>
        </is>
      </c>
      <c r="D128" s="7" t="n">
        <v>198.7</v>
      </c>
      <c r="F128" s="7" t="n">
        <v>143.4</v>
      </c>
      <c r="H128" s="7" t="n">
        <v>154</v>
      </c>
      <c r="J128" s="7" t="n">
        <v>243.9</v>
      </c>
      <c r="L128" s="7" t="n">
        <v>230.9</v>
      </c>
      <c r="N128" s="7" t="n">
        <v>152.1</v>
      </c>
      <c r="P128" s="7" t="n">
        <v>684.2</v>
      </c>
      <c r="R128" s="7" t="n">
        <v>233</v>
      </c>
      <c r="T128" s="7" t="n">
        <v>157.5</v>
      </c>
      <c r="V128" s="7" t="n">
        <v>200.7</v>
      </c>
      <c r="X128" s="7" t="n">
        <v>178.3</v>
      </c>
      <c r="Z128" s="7" t="n">
        <v>41</v>
      </c>
      <c r="AB128" s="7" t="n">
        <v>2617.7</v>
      </c>
    </row>
    <row r="129">
      <c r="A129" s="4" t="inlineStr">
        <is>
          <t>通讯补助</t>
        </is>
      </c>
      <c r="D129" s="7" t="n">
        <v>77.8</v>
      </c>
      <c r="F129" s="7" t="n">
        <v>40</v>
      </c>
      <c r="H129" s="7" t="n">
        <v>46.9</v>
      </c>
      <c r="J129" s="7" t="n">
        <v>42.3</v>
      </c>
      <c r="L129" s="7" t="n">
        <v>60.4</v>
      </c>
      <c r="N129" s="7" t="n">
        <v>38.7</v>
      </c>
      <c r="P129" s="7" t="n">
        <v>99.3</v>
      </c>
      <c r="R129" s="7" t="n">
        <v>84.7</v>
      </c>
      <c r="T129" s="7" t="n">
        <v>23.5</v>
      </c>
      <c r="V129" s="7" t="n">
        <v>59.6</v>
      </c>
      <c r="X129" s="7" t="n">
        <v>41.5</v>
      </c>
      <c r="Z129" s="7" t="n">
        <v>16.1</v>
      </c>
      <c r="AB129" s="7" t="n">
        <v>630.8</v>
      </c>
    </row>
    <row r="130">
      <c r="A130" s="4" t="inlineStr">
        <is>
          <t>招待费</t>
        </is>
      </c>
      <c r="D130" s="7" t="n">
        <v>1684.8</v>
      </c>
      <c r="F130" s="7" t="n">
        <v>997.8</v>
      </c>
      <c r="H130" s="7" t="n">
        <v>998.8</v>
      </c>
      <c r="J130" s="7" t="n">
        <v>2009.8</v>
      </c>
      <c r="L130" s="7" t="n">
        <v>1230</v>
      </c>
      <c r="N130" s="7" t="n">
        <v>1386.4</v>
      </c>
      <c r="P130" s="7" t="n">
        <v>4124.9</v>
      </c>
      <c r="R130" s="7" t="n">
        <v>2322.8</v>
      </c>
      <c r="T130" s="7" t="n">
        <v>779.7</v>
      </c>
      <c r="V130" s="7" t="n">
        <v>1986.5</v>
      </c>
      <c r="X130" s="7" t="n">
        <v>1465.4</v>
      </c>
      <c r="Z130" s="7" t="n">
        <v>385.6</v>
      </c>
      <c r="AB130" s="7" t="n">
        <v>19372.5</v>
      </c>
    </row>
    <row r="131">
      <c r="A131" s="4" t="inlineStr">
        <is>
          <t>通讯费</t>
        </is>
      </c>
      <c r="D131" s="7" t="n">
        <v>6.3</v>
      </c>
      <c r="F131" s="7" t="n">
        <v>2.8</v>
      </c>
      <c r="H131" s="7" t="n">
        <v>3</v>
      </c>
      <c r="J131" s="7" t="n">
        <v>4.1</v>
      </c>
      <c r="L131" s="7" t="n">
        <v>4.7</v>
      </c>
      <c r="N131" s="7" t="n">
        <v>3.5</v>
      </c>
      <c r="P131" s="7" t="n">
        <v>9.199999999999999</v>
      </c>
      <c r="R131" s="7" t="n">
        <v>6.4</v>
      </c>
      <c r="T131" s="7" t="n">
        <v>3.3</v>
      </c>
      <c r="V131" s="7" t="n">
        <v>5.3</v>
      </c>
      <c r="X131" s="7" t="n">
        <v>5.1</v>
      </c>
      <c r="Z131" s="7" t="n">
        <v>1.1</v>
      </c>
      <c r="AB131" s="7" t="n">
        <v>54.8</v>
      </c>
    </row>
    <row r="132">
      <c r="A132" s="4" t="inlineStr">
        <is>
          <t>网络费</t>
        </is>
      </c>
      <c r="D132" s="7" t="n">
        <v>158.2</v>
      </c>
      <c r="F132" s="7" t="n">
        <v>117.7</v>
      </c>
      <c r="H132" s="7" t="n">
        <v>128</v>
      </c>
      <c r="J132" s="7" t="n">
        <v>203</v>
      </c>
      <c r="L132" s="7" t="n">
        <v>171.8</v>
      </c>
      <c r="N132" s="7" t="n">
        <v>150.8</v>
      </c>
      <c r="P132" s="7" t="n">
        <v>501.3</v>
      </c>
      <c r="R132" s="7" t="n">
        <v>232.2</v>
      </c>
      <c r="T132" s="7" t="n">
        <v>113.7</v>
      </c>
      <c r="V132" s="7" t="n">
        <v>117.6</v>
      </c>
      <c r="X132" s="7" t="n">
        <v>187</v>
      </c>
      <c r="Z132" s="7" t="n">
        <v>28.9</v>
      </c>
      <c r="AB132" s="7" t="n">
        <v>2110.2</v>
      </c>
    </row>
    <row r="133">
      <c r="A133" s="4" t="inlineStr">
        <is>
          <t>修理费</t>
        </is>
      </c>
      <c r="D133" s="7" t="n">
        <v>390.1</v>
      </c>
      <c r="F133" s="7" t="n">
        <v>139.1</v>
      </c>
      <c r="H133" s="7" t="n">
        <v>243.9</v>
      </c>
      <c r="J133" s="7" t="n">
        <v>234.5</v>
      </c>
      <c r="L133" s="7" t="n">
        <v>224.6</v>
      </c>
      <c r="N133" s="7" t="n">
        <v>152.8</v>
      </c>
      <c r="P133" s="7" t="n">
        <v>511.1</v>
      </c>
      <c r="R133" s="7" t="n">
        <v>474.2</v>
      </c>
      <c r="T133" s="7" t="n">
        <v>139.3</v>
      </c>
      <c r="V133" s="7" t="n">
        <v>337.3</v>
      </c>
      <c r="X133" s="7" t="n">
        <v>222.1</v>
      </c>
      <c r="Z133" s="7" t="n">
        <v>85.2</v>
      </c>
      <c r="AB133" s="7" t="n">
        <v>3154.2</v>
      </c>
    </row>
    <row r="134">
      <c r="A134" s="4" t="inlineStr">
        <is>
          <t>车辆费</t>
        </is>
      </c>
      <c r="D134" s="7" t="n">
        <v>148.3</v>
      </c>
      <c r="F134" s="7" t="n">
        <v>87.3</v>
      </c>
      <c r="H134" s="7" t="n">
        <v>79.7</v>
      </c>
      <c r="J134" s="7" t="n">
        <v>101</v>
      </c>
      <c r="L134" s="7" t="n">
        <v>128.4</v>
      </c>
      <c r="N134" s="7" t="n">
        <v>108.2</v>
      </c>
      <c r="P134" s="7" t="n">
        <v>310.9</v>
      </c>
      <c r="R134" s="7" t="n">
        <v>120.6</v>
      </c>
      <c r="T134" s="7" t="n">
        <v>52.1</v>
      </c>
      <c r="V134" s="7" t="n">
        <v>106.6</v>
      </c>
      <c r="X134" s="7" t="n">
        <v>96.3</v>
      </c>
      <c r="Z134" s="7" t="n">
        <v>27.9</v>
      </c>
      <c r="AB134" s="7" t="n">
        <v>1367.3</v>
      </c>
    </row>
    <row r="135">
      <c r="A135" s="4" t="inlineStr">
        <is>
          <t>租赁费</t>
        </is>
      </c>
      <c r="D135" s="7" t="n">
        <v>3435.5</v>
      </c>
      <c r="F135" s="7" t="n">
        <v>1700.2</v>
      </c>
      <c r="H135" s="7" t="n">
        <v>1379.1</v>
      </c>
      <c r="J135" s="7" t="n">
        <v>2285.9</v>
      </c>
      <c r="L135" s="7" t="n">
        <v>1932.7</v>
      </c>
      <c r="N135" s="7" t="n">
        <v>2123.3</v>
      </c>
      <c r="P135" s="7" t="n">
        <v>4940.5</v>
      </c>
      <c r="R135" s="7" t="n">
        <v>2497.3</v>
      </c>
      <c r="T135" s="7" t="n">
        <v>1200.6</v>
      </c>
      <c r="V135" s="7" t="n">
        <v>2694.4</v>
      </c>
      <c r="X135" s="7" t="n">
        <v>2260.4</v>
      </c>
      <c r="Z135" s="7" t="n">
        <v>491.1</v>
      </c>
      <c r="AB135" s="7" t="n">
        <v>26941</v>
      </c>
    </row>
    <row r="136">
      <c r="A136" s="4" t="inlineStr">
        <is>
          <t>能源费</t>
        </is>
      </c>
      <c r="D136" s="7" t="n">
        <v>877.1</v>
      </c>
      <c r="F136" s="7" t="n">
        <v>387.6</v>
      </c>
      <c r="H136" s="7" t="n">
        <v>397.9</v>
      </c>
      <c r="J136" s="7" t="n">
        <v>723.9</v>
      </c>
      <c r="L136" s="7" t="n">
        <v>540.4</v>
      </c>
      <c r="N136" s="7" t="n">
        <v>452.7</v>
      </c>
      <c r="P136" s="7" t="n">
        <v>1595.5</v>
      </c>
      <c r="R136" s="7" t="n">
        <v>969.5</v>
      </c>
      <c r="T136" s="7" t="n">
        <v>301.6</v>
      </c>
      <c r="V136" s="7" t="n">
        <v>645.1</v>
      </c>
      <c r="X136" s="7" t="n">
        <v>569.6</v>
      </c>
      <c r="Z136" s="7" t="n">
        <v>139.7</v>
      </c>
      <c r="AB136" s="7" t="n">
        <v>7600.6</v>
      </c>
    </row>
    <row r="137">
      <c r="A137" s="4" t="inlineStr">
        <is>
          <t>水费</t>
        </is>
      </c>
      <c r="D137" s="7" t="n">
        <v>188.9</v>
      </c>
      <c r="F137" s="7" t="n">
        <v>93.8</v>
      </c>
      <c r="H137" s="7" t="n">
        <v>86.09999999999999</v>
      </c>
      <c r="J137" s="7" t="n">
        <v>140.9</v>
      </c>
      <c r="L137" s="7" t="n">
        <v>140</v>
      </c>
      <c r="N137" s="7" t="n">
        <v>121.6</v>
      </c>
      <c r="P137" s="7" t="n">
        <v>361.9</v>
      </c>
      <c r="R137" s="7" t="n">
        <v>181.7</v>
      </c>
      <c r="T137" s="7" t="n">
        <v>74</v>
      </c>
      <c r="V137" s="7" t="n">
        <v>161.5</v>
      </c>
      <c r="X137" s="7" t="n">
        <v>97.09999999999999</v>
      </c>
      <c r="Z137" s="7" t="n">
        <v>39.5</v>
      </c>
      <c r="AB137" s="7" t="n">
        <v>1687</v>
      </c>
    </row>
    <row r="138">
      <c r="A138" s="4" t="inlineStr">
        <is>
          <t>电费</t>
        </is>
      </c>
      <c r="D138" s="7" t="n">
        <v>295.6</v>
      </c>
      <c r="F138" s="7" t="n">
        <v>136.8</v>
      </c>
      <c r="H138" s="7" t="n">
        <v>136.7</v>
      </c>
      <c r="J138" s="7" t="n">
        <v>233.7</v>
      </c>
      <c r="L138" s="7" t="n">
        <v>120</v>
      </c>
      <c r="N138" s="7" t="n">
        <v>112.9</v>
      </c>
      <c r="P138" s="7" t="n">
        <v>452.6</v>
      </c>
      <c r="R138" s="7" t="n">
        <v>330.1</v>
      </c>
      <c r="T138" s="7" t="n">
        <v>83.40000000000001</v>
      </c>
      <c r="V138" s="7" t="n">
        <v>187.9</v>
      </c>
      <c r="X138" s="7" t="n">
        <v>210.4</v>
      </c>
      <c r="Z138" s="7" t="n">
        <v>46.3</v>
      </c>
      <c r="AB138" s="7" t="n">
        <v>2346.4</v>
      </c>
    </row>
    <row r="139">
      <c r="A139" s="4" t="inlineStr">
        <is>
          <t>燃气费</t>
        </is>
      </c>
      <c r="D139" s="7" t="n">
        <v>293.3</v>
      </c>
      <c r="F139" s="7" t="n">
        <v>106.4</v>
      </c>
      <c r="H139" s="7" t="n">
        <v>141.9</v>
      </c>
      <c r="J139" s="7" t="n">
        <v>267.3</v>
      </c>
      <c r="L139" s="7" t="n">
        <v>220.9</v>
      </c>
      <c r="N139" s="7" t="n">
        <v>162.1</v>
      </c>
      <c r="P139" s="7" t="n">
        <v>627.6</v>
      </c>
      <c r="R139" s="7" t="n">
        <v>355.6</v>
      </c>
      <c r="T139" s="7" t="n">
        <v>95.90000000000001</v>
      </c>
      <c r="V139" s="7" t="n">
        <v>232</v>
      </c>
      <c r="X139" s="7" t="n">
        <v>188.1</v>
      </c>
      <c r="Z139" s="7" t="n">
        <v>38.2</v>
      </c>
      <c r="AB139" s="7" t="n">
        <v>2729.3</v>
      </c>
    </row>
    <row r="140">
      <c r="A140" s="4" t="inlineStr">
        <is>
          <t>蒸汽费</t>
        </is>
      </c>
      <c r="D140" s="7" t="n">
        <v>99.3</v>
      </c>
      <c r="F140" s="7" t="n">
        <v>50.6</v>
      </c>
      <c r="H140" s="7" t="n">
        <v>33.2</v>
      </c>
      <c r="J140" s="7" t="n">
        <v>82</v>
      </c>
      <c r="L140" s="7" t="n">
        <v>59.5</v>
      </c>
      <c r="N140" s="7" t="n">
        <v>56.1</v>
      </c>
      <c r="P140" s="7" t="n">
        <v>153.4</v>
      </c>
      <c r="R140" s="7" t="n">
        <v>102.1</v>
      </c>
      <c r="T140" s="7" t="n">
        <v>48.3</v>
      </c>
      <c r="V140" s="7" t="n">
        <v>63.7</v>
      </c>
      <c r="X140" s="7" t="n">
        <v>74</v>
      </c>
      <c r="Z140" s="7" t="n">
        <v>15.7</v>
      </c>
      <c r="AB140" s="7" t="n">
        <v>837.9</v>
      </c>
    </row>
    <row r="141">
      <c r="A141" s="4" t="inlineStr">
        <is>
          <t>物业费</t>
        </is>
      </c>
      <c r="D141" s="7" t="n">
        <v>297.7</v>
      </c>
      <c r="F141" s="7" t="n">
        <v>153.2</v>
      </c>
      <c r="H141" s="7" t="n">
        <v>222.5</v>
      </c>
      <c r="J141" s="7" t="n">
        <v>226</v>
      </c>
      <c r="L141" s="7" t="n">
        <v>272</v>
      </c>
      <c r="N141" s="7" t="n">
        <v>186.7</v>
      </c>
      <c r="P141" s="7" t="n">
        <v>460.6</v>
      </c>
      <c r="R141" s="7" t="n">
        <v>386.6</v>
      </c>
      <c r="T141" s="7" t="n">
        <v>114.5</v>
      </c>
      <c r="V141" s="7" t="n">
        <v>323.4</v>
      </c>
      <c r="X141" s="7" t="n">
        <v>218.9</v>
      </c>
      <c r="Z141" s="7" t="n">
        <v>73.59999999999999</v>
      </c>
      <c r="AB141" s="7" t="n">
        <v>2935.7</v>
      </c>
    </row>
    <row r="142">
      <c r="A142" s="4" t="inlineStr">
        <is>
          <t>劳动保护费</t>
        </is>
      </c>
      <c r="D142" s="7" t="n">
        <v>98.3</v>
      </c>
      <c r="F142" s="7" t="n">
        <v>73.5</v>
      </c>
      <c r="H142" s="7" t="n">
        <v>73.7</v>
      </c>
      <c r="J142" s="7" t="n">
        <v>109.8</v>
      </c>
      <c r="L142" s="7" t="n">
        <v>57.3</v>
      </c>
      <c r="N142" s="7" t="n">
        <v>64</v>
      </c>
      <c r="P142" s="7" t="n">
        <v>296.9</v>
      </c>
      <c r="R142" s="7" t="n">
        <v>166.5</v>
      </c>
      <c r="T142" s="7" t="n">
        <v>59.3</v>
      </c>
      <c r="V142" s="7" t="n">
        <v>88.5</v>
      </c>
      <c r="X142" s="7" t="n">
        <v>74.8</v>
      </c>
      <c r="Z142" s="7" t="n">
        <v>17.8</v>
      </c>
      <c r="AB142" s="7" t="n">
        <v>1180.4</v>
      </c>
    </row>
    <row r="143">
      <c r="A143" s="4" t="inlineStr">
        <is>
          <t>顾问费</t>
        </is>
      </c>
      <c r="D143" s="7" t="n">
        <v>309.9</v>
      </c>
      <c r="F143" s="7" t="n">
        <v>83.90000000000001</v>
      </c>
      <c r="H143" s="7" t="n">
        <v>137.9</v>
      </c>
      <c r="J143" s="7" t="n">
        <v>178.5</v>
      </c>
      <c r="L143" s="7" t="n">
        <v>150.8</v>
      </c>
      <c r="N143" s="7" t="n">
        <v>137.4</v>
      </c>
      <c r="P143" s="7" t="n">
        <v>481.7</v>
      </c>
      <c r="R143" s="7" t="n">
        <v>189.6</v>
      </c>
      <c r="T143" s="7" t="n">
        <v>111.6</v>
      </c>
      <c r="V143" s="7" t="n">
        <v>216.9</v>
      </c>
      <c r="X143" s="7" t="n">
        <v>161.9</v>
      </c>
      <c r="Z143" s="7" t="n">
        <v>45.4</v>
      </c>
      <c r="AB143" s="7" t="n">
        <v>2205.5</v>
      </c>
    </row>
    <row r="144">
      <c r="A144" s="4" t="inlineStr">
        <is>
          <t>快递费</t>
        </is>
      </c>
      <c r="D144" s="7" t="n">
        <v>200.5</v>
      </c>
      <c r="F144" s="7" t="n">
        <v>108.4</v>
      </c>
      <c r="H144" s="7" t="n">
        <v>87.8</v>
      </c>
      <c r="J144" s="7" t="n">
        <v>148</v>
      </c>
      <c r="L144" s="7" t="n">
        <v>185.5</v>
      </c>
      <c r="N144" s="7" t="n">
        <v>95.3</v>
      </c>
      <c r="P144" s="7" t="n">
        <v>383</v>
      </c>
      <c r="R144" s="7" t="n">
        <v>176.4</v>
      </c>
      <c r="T144" s="7" t="n">
        <v>105.3</v>
      </c>
      <c r="V144" s="7" t="n">
        <v>198.3</v>
      </c>
      <c r="X144" s="7" t="n">
        <v>192.9</v>
      </c>
      <c r="Z144" s="7" t="n">
        <v>45.5</v>
      </c>
      <c r="AB144" s="7" t="n">
        <v>1926.9</v>
      </c>
    </row>
    <row r="145">
      <c r="A145" s="4" t="inlineStr">
        <is>
          <t>诉讼费</t>
        </is>
      </c>
      <c r="D145" s="7" t="n">
        <v>389.2</v>
      </c>
      <c r="F145" s="7" t="n">
        <v>188.2</v>
      </c>
      <c r="H145" s="7" t="n">
        <v>198.9</v>
      </c>
      <c r="J145" s="7" t="n">
        <v>260.8</v>
      </c>
      <c r="L145" s="7" t="n">
        <v>187.1</v>
      </c>
      <c r="N145" s="7" t="n">
        <v>259.6</v>
      </c>
      <c r="P145" s="7" t="n">
        <v>616.1</v>
      </c>
      <c r="R145" s="7" t="n">
        <v>447.6</v>
      </c>
      <c r="T145" s="7" t="n">
        <v>159.7</v>
      </c>
      <c r="V145" s="7" t="n">
        <v>300.7</v>
      </c>
      <c r="X145" s="7" t="n">
        <v>306.3</v>
      </c>
      <c r="Z145" s="7" t="n">
        <v>61.8</v>
      </c>
      <c r="AB145" s="7" t="n">
        <v>3376</v>
      </c>
    </row>
    <row r="146">
      <c r="A146" s="4" t="inlineStr">
        <is>
          <t>会员费</t>
        </is>
      </c>
      <c r="D146" s="7" t="n">
        <v>175</v>
      </c>
      <c r="F146" s="7" t="n">
        <v>76.3</v>
      </c>
      <c r="H146" s="7" t="n">
        <v>108.8</v>
      </c>
      <c r="J146" s="7" t="n">
        <v>172.4</v>
      </c>
      <c r="L146" s="7" t="n">
        <v>124.5</v>
      </c>
      <c r="N146" s="7" t="n">
        <v>94.40000000000001</v>
      </c>
      <c r="P146" s="7" t="n">
        <v>289.2</v>
      </c>
      <c r="R146" s="7" t="n">
        <v>146.8</v>
      </c>
      <c r="T146" s="7" t="n">
        <v>90.90000000000001</v>
      </c>
      <c r="V146" s="7" t="n">
        <v>121.7</v>
      </c>
      <c r="X146" s="7" t="n">
        <v>121.8</v>
      </c>
      <c r="Z146" s="7" t="n">
        <v>26.9</v>
      </c>
      <c r="AB146" s="7" t="n">
        <v>1548.7</v>
      </c>
    </row>
    <row r="147">
      <c r="A147" s="4" t="inlineStr">
        <is>
          <t>广告宣传费</t>
        </is>
      </c>
      <c r="D147" s="7" t="n">
        <v>2003.3</v>
      </c>
      <c r="F147" s="7" t="n">
        <v>866.7</v>
      </c>
      <c r="H147" s="7" t="n">
        <v>664.9</v>
      </c>
      <c r="J147" s="7" t="n">
        <v>1495.6</v>
      </c>
      <c r="L147" s="7" t="n">
        <v>976</v>
      </c>
      <c r="N147" s="7" t="n">
        <v>1157.4</v>
      </c>
      <c r="P147" s="7" t="n">
        <v>4093.3</v>
      </c>
      <c r="R147" s="7" t="n">
        <v>1358.3</v>
      </c>
      <c r="T147" s="7" t="n">
        <v>800.9</v>
      </c>
      <c r="V147" s="7" t="n">
        <v>1681</v>
      </c>
      <c r="X147" s="7" t="n">
        <v>1316.4</v>
      </c>
      <c r="Z147" s="7" t="n">
        <v>339.7</v>
      </c>
      <c r="AB147" s="7" t="n">
        <v>16753.5</v>
      </c>
    </row>
    <row r="148">
      <c r="A148" s="4" t="inlineStr">
        <is>
          <t>会务费</t>
        </is>
      </c>
      <c r="D148" s="7" t="n">
        <v>114.5</v>
      </c>
      <c r="F148" s="7" t="n">
        <v>71.5</v>
      </c>
      <c r="H148" s="7" t="n">
        <v>97.5</v>
      </c>
      <c r="J148" s="7" t="n">
        <v>117.9</v>
      </c>
      <c r="L148" s="7" t="n">
        <v>107.3</v>
      </c>
      <c r="N148" s="7" t="n">
        <v>66</v>
      </c>
      <c r="P148" s="7" t="n">
        <v>323.1</v>
      </c>
      <c r="R148" s="7" t="n">
        <v>138</v>
      </c>
      <c r="T148" s="7" t="n">
        <v>65.40000000000001</v>
      </c>
      <c r="V148" s="7" t="n">
        <v>109.6</v>
      </c>
      <c r="X148" s="7" t="n">
        <v>127.6</v>
      </c>
      <c r="Z148" s="7" t="n">
        <v>32.9</v>
      </c>
      <c r="AB148" s="7" t="n">
        <v>1371.3</v>
      </c>
    </row>
    <row r="149">
      <c r="A149" s="4" t="inlineStr">
        <is>
          <t>装修费</t>
        </is>
      </c>
      <c r="D149" s="7" t="n">
        <v>222.5</v>
      </c>
      <c r="F149" s="7" t="n">
        <v>64.5</v>
      </c>
      <c r="H149" s="7" t="n">
        <v>117.4</v>
      </c>
      <c r="J149" s="7" t="n">
        <v>180.5</v>
      </c>
      <c r="L149" s="7" t="n">
        <v>154.3</v>
      </c>
      <c r="N149" s="7" t="n">
        <v>106.2</v>
      </c>
      <c r="P149" s="7" t="n">
        <v>416.2</v>
      </c>
      <c r="R149" s="7" t="n">
        <v>263.2</v>
      </c>
      <c r="T149" s="7" t="n">
        <v>95</v>
      </c>
      <c r="V149" s="7" t="n">
        <v>185.9</v>
      </c>
      <c r="X149" s="7" t="n">
        <v>177.1</v>
      </c>
      <c r="Z149" s="7" t="n">
        <v>36.2</v>
      </c>
      <c r="AB149" s="7" t="n">
        <v>2019</v>
      </c>
    </row>
    <row r="150">
      <c r="A150" s="4" t="inlineStr">
        <is>
          <t>推广费</t>
        </is>
      </c>
      <c r="D150" s="7" t="n">
        <v>246.7</v>
      </c>
      <c r="F150" s="7" t="n">
        <v>122.7</v>
      </c>
      <c r="H150" s="7" t="n">
        <v>106.8</v>
      </c>
      <c r="J150" s="7" t="n">
        <v>245.6</v>
      </c>
      <c r="L150" s="7" t="n">
        <v>143.7</v>
      </c>
      <c r="N150" s="7" t="n">
        <v>195.4</v>
      </c>
      <c r="P150" s="7" t="n">
        <v>410.3</v>
      </c>
      <c r="R150" s="7" t="n">
        <v>336</v>
      </c>
      <c r="T150" s="7" t="n">
        <v>143.3</v>
      </c>
      <c r="V150" s="7" t="n">
        <v>179.3</v>
      </c>
      <c r="X150" s="7" t="n">
        <v>170</v>
      </c>
      <c r="Z150" s="7" t="n">
        <v>53.8</v>
      </c>
      <c r="AB150" s="7" t="n">
        <v>2353.6</v>
      </c>
    </row>
    <row r="151">
      <c r="A151" s="4" t="inlineStr">
        <is>
          <t>展会费</t>
        </is>
      </c>
      <c r="D151" s="7" t="n">
        <v>162.6</v>
      </c>
      <c r="F151" s="7" t="n">
        <v>62.6</v>
      </c>
      <c r="H151" s="7" t="n">
        <v>111.9</v>
      </c>
      <c r="J151" s="7" t="n">
        <v>150.2</v>
      </c>
      <c r="L151" s="7" t="n">
        <v>92.2</v>
      </c>
      <c r="N151" s="7" t="n">
        <v>84.59999999999999</v>
      </c>
      <c r="P151" s="7" t="n">
        <v>409.9</v>
      </c>
      <c r="R151" s="7" t="n">
        <v>205.7</v>
      </c>
      <c r="T151" s="7" t="n">
        <v>85.7</v>
      </c>
      <c r="V151" s="7" t="n">
        <v>159.3</v>
      </c>
      <c r="X151" s="7" t="n">
        <v>156.1</v>
      </c>
      <c r="Z151" s="7" t="n">
        <v>40.2</v>
      </c>
      <c r="AB151" s="7" t="n">
        <v>1721</v>
      </c>
    </row>
    <row r="152">
      <c r="A152" s="4" t="inlineStr">
        <is>
          <t>设计费</t>
        </is>
      </c>
      <c r="D152" s="7" t="n">
        <v>105.9</v>
      </c>
      <c r="F152" s="7" t="n">
        <v>39.5</v>
      </c>
      <c r="H152" s="7" t="n">
        <v>56</v>
      </c>
      <c r="J152" s="7" t="n">
        <v>70.90000000000001</v>
      </c>
      <c r="L152" s="7" t="n">
        <v>41.8</v>
      </c>
      <c r="N152" s="7" t="n">
        <v>45.4</v>
      </c>
      <c r="P152" s="7" t="n">
        <v>133.2</v>
      </c>
      <c r="R152" s="7" t="n">
        <v>99.3</v>
      </c>
      <c r="T152" s="7" t="n">
        <v>45.1</v>
      </c>
      <c r="V152" s="7" t="n">
        <v>51.6</v>
      </c>
      <c r="X152" s="7" t="n">
        <v>74.2</v>
      </c>
      <c r="Z152" s="7" t="n">
        <v>18.3</v>
      </c>
      <c r="AB152" s="7" t="n">
        <v>781.2</v>
      </c>
    </row>
    <row r="153">
      <c r="A153" s="4" t="inlineStr">
        <is>
          <t>折旧费</t>
        </is>
      </c>
      <c r="D153" s="7" t="n">
        <v>2896</v>
      </c>
      <c r="F153" s="7" t="n">
        <v>852.1</v>
      </c>
      <c r="H153" s="7" t="n">
        <v>1569.5</v>
      </c>
      <c r="J153" s="7" t="n">
        <v>1740.7</v>
      </c>
      <c r="L153" s="7" t="n">
        <v>1927.6</v>
      </c>
      <c r="N153" s="7" t="n">
        <v>1060.9</v>
      </c>
      <c r="P153" s="7" t="n">
        <v>5413</v>
      </c>
      <c r="R153" s="7" t="n">
        <v>2043.9</v>
      </c>
      <c r="T153" s="7" t="n">
        <v>1107.5</v>
      </c>
      <c r="V153" s="7" t="n">
        <v>1581.5</v>
      </c>
      <c r="X153" s="7" t="n">
        <v>1874.6</v>
      </c>
      <c r="Z153" s="7" t="n">
        <v>494</v>
      </c>
      <c r="AB153" s="7" t="n">
        <v>22561.3</v>
      </c>
    </row>
    <row r="154">
      <c r="A154" s="4" t="inlineStr">
        <is>
          <t>认证费</t>
        </is>
      </c>
      <c r="D154" s="7" t="n">
        <v>46.9</v>
      </c>
      <c r="F154" s="7" t="n">
        <v>22.4</v>
      </c>
      <c r="H154" s="7" t="n">
        <v>15.9</v>
      </c>
      <c r="J154" s="7" t="n">
        <v>35.2</v>
      </c>
      <c r="L154" s="7" t="n">
        <v>23.2</v>
      </c>
      <c r="N154" s="7" t="n">
        <v>15.8</v>
      </c>
      <c r="P154" s="7" t="n">
        <v>77.8</v>
      </c>
      <c r="R154" s="7" t="n">
        <v>41.6</v>
      </c>
      <c r="T154" s="7" t="n">
        <v>21.2</v>
      </c>
      <c r="V154" s="7" t="n">
        <v>37.1</v>
      </c>
      <c r="X154" s="7" t="n">
        <v>30.5</v>
      </c>
      <c r="Z154" s="7" t="n">
        <v>5.3</v>
      </c>
      <c r="AB154" s="7" t="n">
        <v>372.9</v>
      </c>
    </row>
    <row r="155">
      <c r="A155" s="4" t="inlineStr">
        <is>
          <t>样品费</t>
        </is>
      </c>
      <c r="D155" s="7" t="n">
        <v>1026</v>
      </c>
      <c r="F155" s="7" t="n">
        <v>524.2</v>
      </c>
      <c r="H155" s="7" t="n">
        <v>686.3</v>
      </c>
      <c r="J155" s="7" t="n">
        <v>1114.2</v>
      </c>
      <c r="L155" s="7" t="n">
        <v>627.8</v>
      </c>
      <c r="N155" s="7" t="n">
        <v>539.3</v>
      </c>
      <c r="P155" s="7" t="n">
        <v>2299.2</v>
      </c>
      <c r="R155" s="7" t="n">
        <v>947.1</v>
      </c>
      <c r="T155" s="7" t="n">
        <v>548.1</v>
      </c>
      <c r="V155" s="7" t="n">
        <v>879.3</v>
      </c>
      <c r="X155" s="7" t="n">
        <v>921</v>
      </c>
      <c r="Z155" s="7" t="n">
        <v>279</v>
      </c>
      <c r="AB155" s="7" t="n">
        <v>10391.5</v>
      </c>
    </row>
    <row r="156">
      <c r="A156" s="4" t="inlineStr">
        <is>
          <t>劳务费</t>
        </is>
      </c>
      <c r="D156" s="7" t="n">
        <v>42.2</v>
      </c>
      <c r="F156" s="7" t="n">
        <v>19.4</v>
      </c>
      <c r="H156" s="7" t="n">
        <v>16.7</v>
      </c>
      <c r="J156" s="7" t="n">
        <v>35.1</v>
      </c>
      <c r="L156" s="7" t="n">
        <v>31.3</v>
      </c>
      <c r="N156" s="7" t="n">
        <v>25.7</v>
      </c>
      <c r="P156" s="7" t="n">
        <v>68.3</v>
      </c>
      <c r="R156" s="7" t="n">
        <v>32.9</v>
      </c>
      <c r="T156" s="7" t="n">
        <v>22.1</v>
      </c>
      <c r="V156" s="7" t="n">
        <v>26.8</v>
      </c>
      <c r="X156" s="7" t="n">
        <v>28.9</v>
      </c>
      <c r="Z156" s="7" t="n">
        <v>7.4</v>
      </c>
      <c r="AB156" s="7" t="n">
        <v>356.8</v>
      </c>
    </row>
    <row r="157">
      <c r="A157" s="4" t="inlineStr">
        <is>
          <t>销售佣金</t>
        </is>
      </c>
      <c r="D157" s="7" t="n">
        <v>153.3</v>
      </c>
      <c r="F157" s="7" t="n">
        <v>70.40000000000001</v>
      </c>
      <c r="H157" s="7" t="n">
        <v>70.40000000000001</v>
      </c>
      <c r="J157" s="7" t="n">
        <v>157.7</v>
      </c>
      <c r="L157" s="7" t="n">
        <v>102.9</v>
      </c>
      <c r="N157" s="7" t="n">
        <v>121</v>
      </c>
      <c r="P157" s="7" t="n">
        <v>378.1</v>
      </c>
      <c r="R157" s="7" t="n">
        <v>179.8</v>
      </c>
      <c r="T157" s="7" t="n">
        <v>89.09999999999999</v>
      </c>
      <c r="V157" s="7" t="n">
        <v>131.7</v>
      </c>
      <c r="X157" s="7" t="n">
        <v>110.4</v>
      </c>
      <c r="Z157" s="7" t="n">
        <v>31.6</v>
      </c>
      <c r="AB157" s="7" t="n">
        <v>1596.4</v>
      </c>
    </row>
    <row r="158">
      <c r="A158" s="4" t="inlineStr">
        <is>
          <t>检测费</t>
        </is>
      </c>
      <c r="D158" s="7" t="n">
        <v>233.5</v>
      </c>
      <c r="F158" s="7" t="n">
        <v>188.1</v>
      </c>
      <c r="H158" s="7" t="n">
        <v>148.6</v>
      </c>
      <c r="J158" s="7" t="n">
        <v>314.5</v>
      </c>
      <c r="L158" s="7" t="n">
        <v>234.9</v>
      </c>
      <c r="N158" s="7" t="n">
        <v>200.3</v>
      </c>
      <c r="P158" s="7" t="n">
        <v>456.3</v>
      </c>
      <c r="R158" s="7" t="n">
        <v>435.1</v>
      </c>
      <c r="T158" s="7" t="n">
        <v>162.7</v>
      </c>
      <c r="V158" s="7" t="n">
        <v>175.7</v>
      </c>
      <c r="X158" s="7" t="n">
        <v>224.2</v>
      </c>
      <c r="Z158" s="7" t="n">
        <v>60.4</v>
      </c>
      <c r="AB158" s="7" t="n">
        <v>2834.3</v>
      </c>
    </row>
    <row r="159">
      <c r="A159" s="4" t="inlineStr">
        <is>
          <t>质量赔偿</t>
        </is>
      </c>
      <c r="D159" s="7" t="n">
        <v>294.5</v>
      </c>
      <c r="F159" s="7" t="n">
        <v>82.40000000000001</v>
      </c>
      <c r="H159" s="7" t="n">
        <v>131.9</v>
      </c>
      <c r="J159" s="7" t="n">
        <v>185.2</v>
      </c>
      <c r="L159" s="7" t="n">
        <v>111.8</v>
      </c>
      <c r="N159" s="7" t="n">
        <v>151.9</v>
      </c>
      <c r="P159" s="7" t="n">
        <v>335.8</v>
      </c>
      <c r="R159" s="7" t="n">
        <v>244.4</v>
      </c>
      <c r="T159" s="7" t="n">
        <v>86.40000000000001</v>
      </c>
      <c r="V159" s="7" t="n">
        <v>137.1</v>
      </c>
      <c r="X159" s="7" t="n">
        <v>214.5</v>
      </c>
      <c r="Z159" s="7" t="n">
        <v>45.6</v>
      </c>
      <c r="AB159" s="7" t="n">
        <v>2021.5</v>
      </c>
    </row>
    <row r="160">
      <c r="A160" s="4" t="inlineStr">
        <is>
          <t>保险费</t>
        </is>
      </c>
      <c r="D160" s="7" t="n">
        <v>293.5</v>
      </c>
      <c r="F160" s="7" t="n">
        <v>118.3</v>
      </c>
      <c r="H160" s="7" t="n">
        <v>136</v>
      </c>
      <c r="J160" s="7" t="n">
        <v>235.3</v>
      </c>
      <c r="L160" s="7" t="n">
        <v>250.4</v>
      </c>
      <c r="N160" s="7" t="n">
        <v>219.9</v>
      </c>
      <c r="P160" s="7" t="n">
        <v>573.7</v>
      </c>
      <c r="R160" s="7" t="n">
        <v>253.2</v>
      </c>
      <c r="T160" s="7" t="n">
        <v>124.6</v>
      </c>
      <c r="V160" s="7" t="n">
        <v>285.2</v>
      </c>
      <c r="X160" s="7" t="n">
        <v>248.1</v>
      </c>
      <c r="Z160" s="7" t="n">
        <v>73.3</v>
      </c>
      <c r="AB160" s="7" t="n">
        <v>2811.5</v>
      </c>
    </row>
    <row r="161">
      <c r="A161" s="4" t="inlineStr">
        <is>
          <t>清洁费</t>
        </is>
      </c>
      <c r="D161" s="7" t="n">
        <v>163.7</v>
      </c>
      <c r="F161" s="7" t="n">
        <v>68.5</v>
      </c>
      <c r="H161" s="7" t="n">
        <v>73.09999999999999</v>
      </c>
      <c r="J161" s="7" t="n">
        <v>136.9</v>
      </c>
      <c r="L161" s="7" t="n">
        <v>100.1</v>
      </c>
      <c r="N161" s="7" t="n">
        <v>87.90000000000001</v>
      </c>
      <c r="P161" s="7" t="n">
        <v>360.3</v>
      </c>
      <c r="R161" s="7" t="n">
        <v>199.3</v>
      </c>
      <c r="T161" s="7" t="n">
        <v>74.90000000000001</v>
      </c>
      <c r="V161" s="7" t="n">
        <v>116.3</v>
      </c>
      <c r="X161" s="7" t="n">
        <v>136.7</v>
      </c>
      <c r="Z161" s="7" t="n">
        <v>41.9</v>
      </c>
      <c r="AB161" s="7" t="n">
        <v>1559.6</v>
      </c>
    </row>
    <row r="162">
      <c r="A162" s="4" t="inlineStr">
        <is>
          <t>低值易耗品</t>
        </is>
      </c>
      <c r="D162" s="7" t="n">
        <v>267.4</v>
      </c>
      <c r="F162" s="7" t="n">
        <v>155.5</v>
      </c>
      <c r="H162" s="7" t="n">
        <v>172.8</v>
      </c>
      <c r="J162" s="7" t="n">
        <v>196.4</v>
      </c>
      <c r="L162" s="7" t="n">
        <v>152.7</v>
      </c>
      <c r="N162" s="7" t="n">
        <v>219.9</v>
      </c>
      <c r="P162" s="7" t="n">
        <v>695</v>
      </c>
      <c r="R162" s="7" t="n">
        <v>410.3</v>
      </c>
      <c r="T162" s="7" t="n">
        <v>153.8</v>
      </c>
      <c r="V162" s="7" t="n">
        <v>218.1</v>
      </c>
      <c r="X162" s="7" t="n">
        <v>206.8</v>
      </c>
      <c r="Z162" s="7" t="n">
        <v>45.4</v>
      </c>
      <c r="AB162" s="7" t="n">
        <v>2894.1</v>
      </c>
    </row>
    <row r="163">
      <c r="A163" s="4" t="inlineStr">
        <is>
          <t>物料消耗</t>
        </is>
      </c>
      <c r="D163" s="7" t="n">
        <v>394.5</v>
      </c>
      <c r="F163" s="7" t="n">
        <v>106.9</v>
      </c>
      <c r="H163" s="7" t="n">
        <v>204.1</v>
      </c>
      <c r="J163" s="7" t="n">
        <v>240.3</v>
      </c>
      <c r="L163" s="7" t="n">
        <v>175.8</v>
      </c>
      <c r="N163" s="7" t="n">
        <v>200.6</v>
      </c>
      <c r="P163" s="7" t="n">
        <v>500</v>
      </c>
      <c r="R163" s="7" t="n">
        <v>436.5</v>
      </c>
      <c r="T163" s="7" t="n">
        <v>107.7</v>
      </c>
      <c r="V163" s="7" t="n">
        <v>298.7</v>
      </c>
      <c r="X163" s="7" t="n">
        <v>302.1</v>
      </c>
      <c r="Z163" s="7" t="n">
        <v>74.2</v>
      </c>
      <c r="AB163" s="7" t="n">
        <v>3041.4</v>
      </c>
    </row>
    <row r="164">
      <c r="A164" s="4" t="inlineStr">
        <is>
          <t>盘盈盘亏</t>
        </is>
      </c>
      <c r="D164" s="7" t="n">
        <v>368</v>
      </c>
      <c r="F164" s="7" t="n">
        <v>102.6</v>
      </c>
      <c r="H164" s="7" t="n">
        <v>114.2</v>
      </c>
      <c r="J164" s="7" t="n">
        <v>220.9</v>
      </c>
      <c r="L164" s="7" t="n">
        <v>142</v>
      </c>
      <c r="N164" s="7" t="n">
        <v>142.4</v>
      </c>
      <c r="P164" s="7" t="n">
        <v>604.2</v>
      </c>
      <c r="R164" s="7" t="n">
        <v>332.2</v>
      </c>
      <c r="T164" s="7" t="n">
        <v>105.2</v>
      </c>
      <c r="V164" s="7" t="n">
        <v>173.9</v>
      </c>
      <c r="X164" s="7" t="n">
        <v>203.5</v>
      </c>
      <c r="Z164" s="7" t="n">
        <v>70.5</v>
      </c>
      <c r="AB164" s="7" t="n">
        <v>2579.6</v>
      </c>
    </row>
    <row r="165">
      <c r="A165" s="4" t="inlineStr">
        <is>
          <t>平台服务费</t>
        </is>
      </c>
      <c r="D165" s="7" t="n">
        <v>184</v>
      </c>
      <c r="F165" s="7" t="n">
        <v>95.59999999999999</v>
      </c>
      <c r="H165" s="7" t="n">
        <v>138.2</v>
      </c>
      <c r="J165" s="7" t="n">
        <v>159.5</v>
      </c>
      <c r="L165" s="7" t="n">
        <v>129.4</v>
      </c>
      <c r="N165" s="7" t="n">
        <v>137.5</v>
      </c>
      <c r="P165" s="7" t="n">
        <v>475.5</v>
      </c>
      <c r="R165" s="7" t="n">
        <v>175.9</v>
      </c>
      <c r="T165" s="7" t="n">
        <v>82.7</v>
      </c>
      <c r="V165" s="7" t="n">
        <v>162.6</v>
      </c>
      <c r="X165" s="7" t="n">
        <v>146.1</v>
      </c>
      <c r="Z165" s="7" t="n">
        <v>48.5</v>
      </c>
      <c r="AB165" s="7" t="n">
        <v>1935.5</v>
      </c>
    </row>
    <row r="166">
      <c r="A166" s="4" t="inlineStr">
        <is>
          <t>无形资产摊销</t>
        </is>
      </c>
      <c r="D166" s="7" t="n">
        <v>191.5</v>
      </c>
      <c r="F166" s="7" t="n">
        <v>78.40000000000001</v>
      </c>
      <c r="H166" s="7" t="n">
        <v>120.1</v>
      </c>
      <c r="J166" s="7" t="n">
        <v>198.4</v>
      </c>
      <c r="L166" s="7" t="n">
        <v>181.4</v>
      </c>
      <c r="N166" s="7" t="n">
        <v>111.5</v>
      </c>
      <c r="P166" s="7" t="n">
        <v>414.8</v>
      </c>
      <c r="R166" s="7" t="n">
        <v>213.6</v>
      </c>
      <c r="T166" s="7" t="n">
        <v>133.3</v>
      </c>
      <c r="V166" s="7" t="n">
        <v>186.9</v>
      </c>
      <c r="X166" s="7" t="n">
        <v>219.6</v>
      </c>
      <c r="Z166" s="7" t="n">
        <v>37.7</v>
      </c>
      <c r="AB166" s="7" t="n">
        <v>2087.2</v>
      </c>
    </row>
    <row r="167">
      <c r="A167" s="4" t="inlineStr">
        <is>
          <t>研发材料</t>
        </is>
      </c>
      <c r="D167" s="7" t="n">
        <v>243.7</v>
      </c>
      <c r="F167" s="7" t="n">
        <v>107.5</v>
      </c>
      <c r="H167" s="7" t="n">
        <v>89.8</v>
      </c>
      <c r="J167" s="7" t="n">
        <v>122.5</v>
      </c>
      <c r="L167" s="7" t="n">
        <v>109.9</v>
      </c>
      <c r="N167" s="7" t="n">
        <v>92.5</v>
      </c>
      <c r="P167" s="7" t="n">
        <v>458.2</v>
      </c>
      <c r="R167" s="7" t="n">
        <v>153.9</v>
      </c>
      <c r="T167" s="7" t="n">
        <v>78</v>
      </c>
      <c r="V167" s="7" t="n">
        <v>117.5</v>
      </c>
      <c r="X167" s="7" t="n">
        <v>145.3</v>
      </c>
      <c r="Z167" s="7" t="n">
        <v>27.9</v>
      </c>
      <c r="AB167" s="7" t="n">
        <v>1746.7</v>
      </c>
    </row>
    <row r="168">
      <c r="A168" s="4" t="inlineStr">
        <is>
          <t>项目名称</t>
        </is>
      </c>
      <c r="D168" s="7" t="n">
        <v>28.7</v>
      </c>
      <c r="F168" s="7" t="n">
        <v>13.3</v>
      </c>
      <c r="H168" s="7" t="n">
        <v>14.5</v>
      </c>
      <c r="J168" s="7" t="n">
        <v>31.1</v>
      </c>
      <c r="L168" s="7" t="n">
        <v>21.7</v>
      </c>
      <c r="N168" s="7" t="n">
        <v>13.9</v>
      </c>
      <c r="P168" s="7" t="n">
        <v>50.3</v>
      </c>
      <c r="R168" s="7" t="n">
        <v>35.5</v>
      </c>
      <c r="T168" s="7" t="n">
        <v>14.8</v>
      </c>
      <c r="V168" s="7" t="n">
        <v>19.3</v>
      </c>
      <c r="X168" s="7" t="n">
        <v>25.2</v>
      </c>
      <c r="Z168" s="7" t="n">
        <v>7.7</v>
      </c>
      <c r="AB168" s="7" t="n">
        <v>276</v>
      </c>
    </row>
    <row r="169">
      <c r="A169" s="4" t="inlineStr">
        <is>
          <t>研发费</t>
        </is>
      </c>
      <c r="D169" s="7" t="n">
        <v>335.2</v>
      </c>
      <c r="F169" s="7" t="n">
        <v>139.1</v>
      </c>
      <c r="H169" s="7" t="n">
        <v>209.8</v>
      </c>
      <c r="J169" s="7" t="n">
        <v>252.5</v>
      </c>
      <c r="L169" s="7" t="n">
        <v>239</v>
      </c>
      <c r="N169" s="7" t="n">
        <v>193</v>
      </c>
      <c r="P169" s="7" t="n">
        <v>584.2</v>
      </c>
      <c r="R169" s="7" t="n">
        <v>440.7</v>
      </c>
      <c r="T169" s="7" t="n">
        <v>185.1</v>
      </c>
      <c r="V169" s="7" t="n">
        <v>230.5</v>
      </c>
      <c r="X169" s="7" t="n">
        <v>278.2</v>
      </c>
      <c r="Z169" s="7" t="n">
        <v>66</v>
      </c>
      <c r="AB169" s="7" t="n">
        <v>3153.3</v>
      </c>
    </row>
    <row r="170">
      <c r="A170" s="4" t="inlineStr">
        <is>
          <t>残保金</t>
        </is>
      </c>
      <c r="D170" s="7" t="n">
        <v>322.2</v>
      </c>
      <c r="F170" s="7" t="n">
        <v>130.5</v>
      </c>
      <c r="H170" s="7" t="n">
        <v>195.2</v>
      </c>
      <c r="J170" s="7" t="n">
        <v>244.7</v>
      </c>
      <c r="L170" s="7" t="n">
        <v>217.6</v>
      </c>
      <c r="N170" s="7" t="n">
        <v>157.1</v>
      </c>
      <c r="P170" s="7" t="n">
        <v>559</v>
      </c>
      <c r="R170" s="7" t="n">
        <v>252.4</v>
      </c>
      <c r="T170" s="7" t="n">
        <v>121.5</v>
      </c>
      <c r="V170" s="7" t="n">
        <v>171.5</v>
      </c>
      <c r="X170" s="7" t="n">
        <v>219.6</v>
      </c>
      <c r="Z170" s="7" t="n">
        <v>41.7</v>
      </c>
      <c r="AB170" s="7" t="n">
        <v>2633</v>
      </c>
    </row>
    <row r="171">
      <c r="A171" s="4" t="inlineStr">
        <is>
          <t>环保费</t>
        </is>
      </c>
      <c r="D171" s="7" t="n">
        <v>212.3</v>
      </c>
      <c r="F171" s="7" t="n">
        <v>139.6</v>
      </c>
      <c r="H171" s="7" t="n">
        <v>158.7</v>
      </c>
      <c r="J171" s="7" t="n">
        <v>263.9</v>
      </c>
      <c r="L171" s="7" t="n">
        <v>185.4</v>
      </c>
      <c r="N171" s="7" t="n">
        <v>190.6</v>
      </c>
      <c r="P171" s="7" t="n">
        <v>613.1</v>
      </c>
      <c r="R171" s="7" t="n">
        <v>347.2</v>
      </c>
      <c r="T171" s="7" t="n">
        <v>100.1</v>
      </c>
      <c r="V171" s="7" t="n">
        <v>158.1</v>
      </c>
      <c r="X171" s="7" t="n">
        <v>207.5</v>
      </c>
      <c r="Z171" s="7" t="n">
        <v>52.1</v>
      </c>
      <c r="AB171" s="7" t="n">
        <v>2628.6</v>
      </c>
    </row>
    <row r="172">
      <c r="A172" s="4" t="inlineStr">
        <is>
          <t>报废损失</t>
        </is>
      </c>
      <c r="D172" s="7" t="n">
        <v>265.3</v>
      </c>
      <c r="F172" s="7" t="n">
        <v>130.8</v>
      </c>
      <c r="H172" s="7" t="n">
        <v>159</v>
      </c>
      <c r="J172" s="7" t="n">
        <v>214.2</v>
      </c>
      <c r="L172" s="7" t="n">
        <v>178.9</v>
      </c>
      <c r="N172" s="7" t="n">
        <v>145.7</v>
      </c>
      <c r="P172" s="7" t="n">
        <v>452.4</v>
      </c>
      <c r="R172" s="7" t="n">
        <v>268.1</v>
      </c>
      <c r="T172" s="7" t="n">
        <v>84.09999999999999</v>
      </c>
      <c r="V172" s="7" t="n">
        <v>181.3</v>
      </c>
      <c r="X172" s="7" t="n">
        <v>149.4</v>
      </c>
      <c r="Z172" s="7" t="n">
        <v>35.8</v>
      </c>
      <c r="AB172" s="7" t="n">
        <v>2265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24997.6</v>
      </c>
      <c r="D173" s="7" t="n">
        <v>24955.3</v>
      </c>
      <c r="E173" s="7" t="n">
        <v>20533.1</v>
      </c>
      <c r="F173" s="7" t="n">
        <v>14544.5</v>
      </c>
      <c r="G173" s="7" t="n">
        <v>24498</v>
      </c>
      <c r="H173" s="7" t="n">
        <v>16166.1</v>
      </c>
      <c r="I173" s="7" t="n">
        <v>21010.6</v>
      </c>
      <c r="J173" s="7" t="n">
        <v>29363.1</v>
      </c>
      <c r="K173" s="7" t="n">
        <v>25397.1</v>
      </c>
      <c r="L173" s="7" t="n">
        <v>36709.3</v>
      </c>
      <c r="M173" s="7" t="n">
        <v>22902.3</v>
      </c>
      <c r="N173" s="7" t="n">
        <v>15974.4</v>
      </c>
      <c r="O173" s="7" t="n">
        <v>20816.8</v>
      </c>
      <c r="P173" s="7" t="n">
        <v>43928.9</v>
      </c>
      <c r="Q173" s="7" t="n">
        <v>20768.7</v>
      </c>
      <c r="R173" s="7" t="n">
        <v>19364.1</v>
      </c>
      <c r="S173" s="7" t="n">
        <v>24515</v>
      </c>
      <c r="T173" s="7" t="n">
        <v>12484.1</v>
      </c>
      <c r="U173" s="7" t="n">
        <v>24273.9</v>
      </c>
      <c r="V173" s="7" t="n">
        <v>27935.6</v>
      </c>
      <c r="W173" s="7" t="n">
        <v>23172.5</v>
      </c>
      <c r="X173" s="7" t="n">
        <v>22047.1</v>
      </c>
      <c r="Y173" s="7" t="n">
        <v>23938.2</v>
      </c>
      <c r="Z173" s="7" t="n">
        <v>5619.7</v>
      </c>
      <c r="AA173" s="8" t="n">
        <v>276823.8</v>
      </c>
      <c r="AB173" s="8" t="n">
        <v>269092.2</v>
      </c>
    </row>
    <row r="174">
      <c r="A174" s="4" t="inlineStr">
        <is>
          <t>职工薪酬</t>
        </is>
      </c>
      <c r="D174" s="7" t="n">
        <v>13588.2</v>
      </c>
      <c r="F174" s="7" t="n">
        <v>7242.1</v>
      </c>
      <c r="H174" s="7" t="n">
        <v>7312.6</v>
      </c>
      <c r="J174" s="7" t="n">
        <v>14639.8</v>
      </c>
      <c r="L174" s="7" t="n">
        <v>21903.1</v>
      </c>
      <c r="N174" s="7" t="n">
        <v>7818.3</v>
      </c>
      <c r="P174" s="7" t="n">
        <v>22152.6</v>
      </c>
      <c r="R174" s="7" t="n">
        <v>9790.799999999999</v>
      </c>
      <c r="T174" s="7" t="n">
        <v>7619.2</v>
      </c>
      <c r="V174" s="7" t="n">
        <v>12190.3</v>
      </c>
      <c r="X174" s="7" t="n">
        <v>9792.9</v>
      </c>
      <c r="Z174" s="7" t="n">
        <v>3111</v>
      </c>
      <c r="AB174" s="7" t="n">
        <v>137160.9</v>
      </c>
    </row>
    <row r="175">
      <c r="A175" s="4" t="inlineStr">
        <is>
          <t>工资</t>
        </is>
      </c>
      <c r="D175" s="7" t="n">
        <v>7607.9</v>
      </c>
      <c r="F175" s="7" t="n">
        <v>4357.3</v>
      </c>
      <c r="H175" s="7" t="n">
        <v>3722.3</v>
      </c>
      <c r="J175" s="7" t="n">
        <v>8757.799999999999</v>
      </c>
      <c r="L175" s="7" t="n">
        <v>13625.4</v>
      </c>
      <c r="N175" s="7" t="n">
        <v>4294.5</v>
      </c>
      <c r="P175" s="7" t="n">
        <v>13807.9</v>
      </c>
      <c r="R175" s="7" t="n">
        <v>6012.5</v>
      </c>
      <c r="T175" s="7" t="n">
        <v>4677.7</v>
      </c>
      <c r="V175" s="7" t="n">
        <v>7088.5</v>
      </c>
      <c r="X175" s="7" t="n">
        <v>5222.1</v>
      </c>
      <c r="Z175" s="7" t="n">
        <v>2001.8</v>
      </c>
      <c r="AB175" s="7" t="n">
        <v>81175.7</v>
      </c>
    </row>
    <row r="176">
      <c r="A176" s="4" t="inlineStr">
        <is>
          <t>奖金及提成</t>
        </is>
      </c>
      <c r="D176" s="7" t="n">
        <v>2874</v>
      </c>
      <c r="F176" s="7" t="n">
        <v>1104.1</v>
      </c>
      <c r="H176" s="7" t="n">
        <v>1901</v>
      </c>
      <c r="J176" s="7" t="n">
        <v>2755.1</v>
      </c>
      <c r="L176" s="7" t="n">
        <v>4311</v>
      </c>
      <c r="N176" s="7" t="n">
        <v>1945.3</v>
      </c>
      <c r="P176" s="7" t="n">
        <v>4519.4</v>
      </c>
      <c r="R176" s="7" t="n">
        <v>1556.8</v>
      </c>
      <c r="T176" s="7" t="n">
        <v>1535.6</v>
      </c>
      <c r="V176" s="7" t="n">
        <v>2400.2</v>
      </c>
      <c r="X176" s="7" t="n">
        <v>2276.4</v>
      </c>
      <c r="Z176" s="7" t="n">
        <v>597.9</v>
      </c>
      <c r="AB176" s="7" t="n">
        <v>27776.8</v>
      </c>
    </row>
    <row r="177">
      <c r="A177" s="4" t="inlineStr">
        <is>
          <t>社保</t>
        </is>
      </c>
      <c r="D177" s="7" t="n">
        <v>2523.2</v>
      </c>
      <c r="F177" s="7" t="n">
        <v>1432.2</v>
      </c>
      <c r="H177" s="7" t="n">
        <v>1307.7</v>
      </c>
      <c r="J177" s="7" t="n">
        <v>2357.4</v>
      </c>
      <c r="L177" s="7" t="n">
        <v>3058.2</v>
      </c>
      <c r="N177" s="7" t="n">
        <v>1162.4</v>
      </c>
      <c r="P177" s="7" t="n">
        <v>2904.1</v>
      </c>
      <c r="R177" s="7" t="n">
        <v>1772.2</v>
      </c>
      <c r="T177" s="7" t="n">
        <v>1121.5</v>
      </c>
      <c r="V177" s="7" t="n">
        <v>2063.5</v>
      </c>
      <c r="X177" s="7" t="n">
        <v>1778.9</v>
      </c>
      <c r="Z177" s="7" t="n">
        <v>364.5</v>
      </c>
      <c r="AB177" s="7" t="n">
        <v>21845.8</v>
      </c>
    </row>
    <row r="178">
      <c r="A178" s="4" t="inlineStr">
        <is>
          <t>养老</t>
        </is>
      </c>
      <c r="D178" s="7" t="n">
        <v>97.7</v>
      </c>
      <c r="F178" s="7" t="n">
        <v>44.8</v>
      </c>
      <c r="H178" s="7" t="n">
        <v>81.3</v>
      </c>
      <c r="J178" s="7" t="n">
        <v>141.2</v>
      </c>
      <c r="L178" s="7" t="n">
        <v>199.2</v>
      </c>
      <c r="N178" s="7" t="n">
        <v>77.5</v>
      </c>
      <c r="P178" s="7" t="n">
        <v>150.8</v>
      </c>
      <c r="R178" s="7" t="n">
        <v>70.2</v>
      </c>
      <c r="T178" s="7" t="n">
        <v>46</v>
      </c>
      <c r="V178" s="7" t="n">
        <v>146.4</v>
      </c>
      <c r="X178" s="7" t="n">
        <v>100.2</v>
      </c>
      <c r="Z178" s="7" t="n">
        <v>27.9</v>
      </c>
      <c r="AB178" s="7" t="n">
        <v>1183.2</v>
      </c>
    </row>
    <row r="179">
      <c r="A179" s="4" t="inlineStr">
        <is>
          <t>医疗</t>
        </is>
      </c>
      <c r="D179" s="7" t="n">
        <v>146.1</v>
      </c>
      <c r="F179" s="7" t="n">
        <v>62.5</v>
      </c>
      <c r="H179" s="7" t="n">
        <v>67.09999999999999</v>
      </c>
      <c r="J179" s="7" t="n">
        <v>197.8</v>
      </c>
      <c r="L179" s="7" t="n">
        <v>164.2</v>
      </c>
      <c r="N179" s="7" t="n">
        <v>74</v>
      </c>
      <c r="P179" s="7" t="n">
        <v>280</v>
      </c>
      <c r="R179" s="7" t="n">
        <v>134.6</v>
      </c>
      <c r="T179" s="7" t="n">
        <v>85.40000000000001</v>
      </c>
      <c r="V179" s="7" t="n">
        <v>111.8</v>
      </c>
      <c r="X179" s="7" t="n">
        <v>97.59999999999999</v>
      </c>
      <c r="Z179" s="7" t="n">
        <v>33</v>
      </c>
      <c r="AB179" s="7" t="n">
        <v>1454.1</v>
      </c>
    </row>
    <row r="180">
      <c r="A180" s="4" t="inlineStr">
        <is>
          <t>工伤</t>
        </is>
      </c>
      <c r="D180" s="7" t="n">
        <v>145.1</v>
      </c>
      <c r="F180" s="7" t="n">
        <v>78.2</v>
      </c>
      <c r="H180" s="7" t="n">
        <v>75.09999999999999</v>
      </c>
      <c r="J180" s="7" t="n">
        <v>107.2</v>
      </c>
      <c r="L180" s="7" t="n">
        <v>165.4</v>
      </c>
      <c r="N180" s="7" t="n">
        <v>80.5</v>
      </c>
      <c r="P180" s="7" t="n">
        <v>245.2</v>
      </c>
      <c r="R180" s="7" t="n">
        <v>112.9</v>
      </c>
      <c r="T180" s="7" t="n">
        <v>52</v>
      </c>
      <c r="V180" s="7" t="n">
        <v>152.3</v>
      </c>
      <c r="X180" s="7" t="n">
        <v>92.09999999999999</v>
      </c>
      <c r="Z180" s="7" t="n">
        <v>20.2</v>
      </c>
      <c r="AB180" s="7" t="n">
        <v>1326.2</v>
      </c>
    </row>
    <row r="181">
      <c r="A181" s="4" t="inlineStr">
        <is>
          <t>失业</t>
        </is>
      </c>
      <c r="D181" s="7" t="n">
        <v>66.8</v>
      </c>
      <c r="F181" s="7" t="n">
        <v>32.7</v>
      </c>
      <c r="H181" s="7" t="n">
        <v>46.5</v>
      </c>
      <c r="J181" s="7" t="n">
        <v>60.5</v>
      </c>
      <c r="L181" s="7" t="n">
        <v>128.1</v>
      </c>
      <c r="N181" s="7" t="n">
        <v>34.3</v>
      </c>
      <c r="P181" s="7" t="n">
        <v>87.3</v>
      </c>
      <c r="R181" s="7" t="n">
        <v>41.7</v>
      </c>
      <c r="T181" s="7" t="n">
        <v>26.9</v>
      </c>
      <c r="V181" s="7" t="n">
        <v>62.8</v>
      </c>
      <c r="X181" s="7" t="n">
        <v>46.3</v>
      </c>
      <c r="Z181" s="7" t="n">
        <v>17</v>
      </c>
      <c r="AB181" s="7" t="n">
        <v>650.9</v>
      </c>
    </row>
    <row r="182">
      <c r="A182" s="4" t="inlineStr">
        <is>
          <t>生育</t>
        </is>
      </c>
      <c r="D182" s="7" t="n">
        <v>111.9</v>
      </c>
      <c r="F182" s="7" t="n">
        <v>65.5</v>
      </c>
      <c r="H182" s="7" t="n">
        <v>81.40000000000001</v>
      </c>
      <c r="J182" s="7" t="n">
        <v>98.7</v>
      </c>
      <c r="L182" s="7" t="n">
        <v>179.3</v>
      </c>
      <c r="N182" s="7" t="n">
        <v>84.2</v>
      </c>
      <c r="P182" s="7" t="n">
        <v>152</v>
      </c>
      <c r="R182" s="7" t="n">
        <v>68.3</v>
      </c>
      <c r="T182" s="7" t="n">
        <v>54</v>
      </c>
      <c r="V182" s="7" t="n">
        <v>99.8</v>
      </c>
      <c r="X182" s="7" t="n">
        <v>81.90000000000001</v>
      </c>
      <c r="Z182" s="7" t="n">
        <v>19.9</v>
      </c>
      <c r="AB182" s="7" t="n">
        <v>1096.9</v>
      </c>
    </row>
    <row r="183">
      <c r="A183" s="4" t="inlineStr">
        <is>
          <t>公积金</t>
        </is>
      </c>
      <c r="D183" s="7" t="n">
        <v>114.3</v>
      </c>
      <c r="F183" s="7" t="n">
        <v>78</v>
      </c>
      <c r="H183" s="7" t="n">
        <v>83.90000000000001</v>
      </c>
      <c r="J183" s="7" t="n">
        <v>174.4</v>
      </c>
      <c r="L183" s="7" t="n">
        <v>200.8</v>
      </c>
      <c r="N183" s="7" t="n">
        <v>95.2</v>
      </c>
      <c r="P183" s="7" t="n">
        <v>170.2</v>
      </c>
      <c r="R183" s="7" t="n">
        <v>98.40000000000001</v>
      </c>
      <c r="T183" s="7" t="n">
        <v>67.2</v>
      </c>
      <c r="V183" s="7" t="n">
        <v>95.5</v>
      </c>
      <c r="X183" s="7" t="n">
        <v>108.8</v>
      </c>
      <c r="Z183" s="7" t="n">
        <v>25.5</v>
      </c>
      <c r="AB183" s="7" t="n">
        <v>1312.2</v>
      </c>
    </row>
    <row r="184">
      <c r="A184" s="4" t="inlineStr">
        <is>
          <t>工会经费</t>
        </is>
      </c>
      <c r="D184" s="7" t="n">
        <v>56.4</v>
      </c>
      <c r="F184" s="7" t="n">
        <v>35.3</v>
      </c>
      <c r="H184" s="7" t="n">
        <v>34.8</v>
      </c>
      <c r="J184" s="7" t="n">
        <v>79.59999999999999</v>
      </c>
      <c r="L184" s="7" t="n">
        <v>96.40000000000001</v>
      </c>
      <c r="N184" s="7" t="n">
        <v>41.2</v>
      </c>
      <c r="P184" s="7" t="n">
        <v>74.09999999999999</v>
      </c>
      <c r="R184" s="7" t="n">
        <v>49.6</v>
      </c>
      <c r="T184" s="7" t="n">
        <v>24</v>
      </c>
      <c r="V184" s="7" t="n">
        <v>47</v>
      </c>
      <c r="X184" s="7" t="n">
        <v>42.5</v>
      </c>
      <c r="Z184" s="7" t="n">
        <v>14.6</v>
      </c>
      <c r="AB184" s="7" t="n">
        <v>595.5</v>
      </c>
    </row>
    <row r="185">
      <c r="A185" s="4" t="inlineStr">
        <is>
          <t>职工教育经费</t>
        </is>
      </c>
      <c r="D185" s="7" t="n">
        <v>120.2</v>
      </c>
      <c r="F185" s="7" t="n">
        <v>51.1</v>
      </c>
      <c r="H185" s="7" t="n">
        <v>65.3</v>
      </c>
      <c r="J185" s="7" t="n">
        <v>92.8</v>
      </c>
      <c r="L185" s="7" t="n">
        <v>180.7</v>
      </c>
      <c r="N185" s="7" t="n">
        <v>92.2</v>
      </c>
      <c r="P185" s="7" t="n">
        <v>155.5</v>
      </c>
      <c r="R185" s="7" t="n">
        <v>75.59999999999999</v>
      </c>
      <c r="T185" s="7" t="n">
        <v>43.5</v>
      </c>
      <c r="V185" s="7" t="n">
        <v>150.6</v>
      </c>
      <c r="X185" s="7" t="n">
        <v>104.2</v>
      </c>
      <c r="Z185" s="7" t="n">
        <v>28.2</v>
      </c>
      <c r="AB185" s="7" t="n">
        <v>1159.9</v>
      </c>
    </row>
    <row r="186">
      <c r="A186" s="4" t="inlineStr">
        <is>
          <t>福利费</t>
        </is>
      </c>
      <c r="D186" s="7" t="n">
        <v>292.2</v>
      </c>
      <c r="F186" s="7" t="n">
        <v>184.1</v>
      </c>
      <c r="H186" s="7" t="n">
        <v>197.6</v>
      </c>
      <c r="J186" s="7" t="n">
        <v>422.7</v>
      </c>
      <c r="L186" s="7" t="n">
        <v>430.6</v>
      </c>
      <c r="N186" s="7" t="n">
        <v>187.5</v>
      </c>
      <c r="P186" s="7" t="n">
        <v>521.4</v>
      </c>
      <c r="R186" s="7" t="n">
        <v>225.7</v>
      </c>
      <c r="T186" s="7" t="n">
        <v>149.7</v>
      </c>
      <c r="V186" s="7" t="n">
        <v>345</v>
      </c>
      <c r="X186" s="7" t="n">
        <v>260</v>
      </c>
      <c r="Z186" s="7" t="n">
        <v>78.5</v>
      </c>
      <c r="AB186" s="7" t="n">
        <v>3295</v>
      </c>
    </row>
    <row r="187">
      <c r="A187" s="4" t="inlineStr">
        <is>
          <t>职工房租</t>
        </is>
      </c>
      <c r="D187" s="7" t="n">
        <v>113.4</v>
      </c>
      <c r="F187" s="7" t="n">
        <v>47</v>
      </c>
      <c r="H187" s="7" t="n">
        <v>55.8</v>
      </c>
      <c r="J187" s="7" t="n">
        <v>171.4</v>
      </c>
      <c r="L187" s="7" t="n">
        <v>128.9</v>
      </c>
      <c r="N187" s="7" t="n">
        <v>63</v>
      </c>
      <c r="P187" s="7" t="n">
        <v>190.9</v>
      </c>
      <c r="R187" s="7" t="n">
        <v>80.7</v>
      </c>
      <c r="T187" s="7" t="n">
        <v>50.9</v>
      </c>
      <c r="V187" s="7" t="n">
        <v>117.1</v>
      </c>
      <c r="X187" s="7" t="n">
        <v>88.8</v>
      </c>
      <c r="Z187" s="7" t="n">
        <v>32.1</v>
      </c>
      <c r="AB187" s="7" t="n">
        <v>1140</v>
      </c>
    </row>
    <row r="188">
      <c r="A188" s="4" t="inlineStr">
        <is>
          <t>水电物业费</t>
        </is>
      </c>
      <c r="D188" s="7" t="n">
        <v>24.8</v>
      </c>
      <c r="F188" s="7" t="n">
        <v>25.6</v>
      </c>
      <c r="H188" s="7" t="n">
        <v>27.7</v>
      </c>
      <c r="J188" s="7" t="n">
        <v>47.6</v>
      </c>
      <c r="L188" s="7" t="n">
        <v>36.5</v>
      </c>
      <c r="N188" s="7" t="n">
        <v>28.7</v>
      </c>
      <c r="P188" s="7" t="n">
        <v>76.8</v>
      </c>
      <c r="R188" s="7" t="n">
        <v>25.7</v>
      </c>
      <c r="T188" s="7" t="n">
        <v>15.9</v>
      </c>
      <c r="V188" s="7" t="n">
        <v>31</v>
      </c>
      <c r="X188" s="7" t="n">
        <v>25.7</v>
      </c>
      <c r="Z188" s="7" t="n">
        <v>7.8</v>
      </c>
      <c r="AB188" s="7" t="n">
        <v>373.8</v>
      </c>
    </row>
    <row r="189">
      <c r="A189" s="4" t="inlineStr">
        <is>
          <t>员工餐</t>
        </is>
      </c>
      <c r="D189" s="7" t="n">
        <v>10.5</v>
      </c>
      <c r="F189" s="7" t="n">
        <v>4.2</v>
      </c>
      <c r="H189" s="7" t="n">
        <v>7.2</v>
      </c>
      <c r="J189" s="7" t="n">
        <v>14.8</v>
      </c>
      <c r="L189" s="7" t="n">
        <v>13.9</v>
      </c>
      <c r="N189" s="7" t="n">
        <v>7.7</v>
      </c>
      <c r="P189" s="7" t="n">
        <v>12.4</v>
      </c>
      <c r="R189" s="7" t="n">
        <v>6.4</v>
      </c>
      <c r="T189" s="7" t="n">
        <v>3.8</v>
      </c>
      <c r="V189" s="7" t="n">
        <v>9.6</v>
      </c>
      <c r="X189" s="7" t="n">
        <v>9.5</v>
      </c>
      <c r="Z189" s="7" t="n">
        <v>2.8</v>
      </c>
      <c r="AB189" s="7" t="n">
        <v>102.8</v>
      </c>
    </row>
    <row r="190">
      <c r="A190" s="4" t="inlineStr">
        <is>
          <t>节日礼品</t>
        </is>
      </c>
      <c r="D190" s="7" t="n">
        <v>48</v>
      </c>
      <c r="F190" s="7" t="n">
        <v>39.8</v>
      </c>
      <c r="H190" s="7" t="n">
        <v>43.4</v>
      </c>
      <c r="J190" s="7" t="n">
        <v>73.2</v>
      </c>
      <c r="L190" s="7" t="n">
        <v>89.40000000000001</v>
      </c>
      <c r="N190" s="7" t="n">
        <v>29.9</v>
      </c>
      <c r="P190" s="7" t="n">
        <v>111.1</v>
      </c>
      <c r="R190" s="7" t="n">
        <v>37.9</v>
      </c>
      <c r="T190" s="7" t="n">
        <v>23.8</v>
      </c>
      <c r="V190" s="7" t="n">
        <v>48.6</v>
      </c>
      <c r="X190" s="7" t="n">
        <v>52.9</v>
      </c>
      <c r="Z190" s="7" t="n">
        <v>15.7</v>
      </c>
      <c r="AB190" s="7" t="n">
        <v>613.7</v>
      </c>
    </row>
    <row r="191">
      <c r="A191" s="4" t="inlineStr">
        <is>
          <t>生日礼品</t>
        </is>
      </c>
      <c r="D191" s="7" t="n">
        <v>66.2</v>
      </c>
      <c r="F191" s="7" t="n">
        <v>48.3</v>
      </c>
      <c r="H191" s="7" t="n">
        <v>46.6</v>
      </c>
      <c r="J191" s="7" t="n">
        <v>71.90000000000001</v>
      </c>
      <c r="L191" s="7" t="n">
        <v>120.6</v>
      </c>
      <c r="N191" s="7" t="n">
        <v>37.6</v>
      </c>
      <c r="P191" s="7" t="n">
        <v>86.3</v>
      </c>
      <c r="R191" s="7" t="n">
        <v>49.7</v>
      </c>
      <c r="T191" s="7" t="n">
        <v>36.7</v>
      </c>
      <c r="V191" s="7" t="n">
        <v>96.5</v>
      </c>
      <c r="X191" s="7" t="n">
        <v>54.1</v>
      </c>
      <c r="Z191" s="7" t="n">
        <v>14.3</v>
      </c>
      <c r="AB191" s="7" t="n">
        <v>728.8</v>
      </c>
    </row>
    <row r="192">
      <c r="A192" s="4" t="inlineStr">
        <is>
          <t>体检</t>
        </is>
      </c>
      <c r="D192" s="7" t="n">
        <v>23.9</v>
      </c>
      <c r="F192" s="7" t="n">
        <v>16.2</v>
      </c>
      <c r="H192" s="7" t="n">
        <v>14</v>
      </c>
      <c r="J192" s="7" t="n">
        <v>39.9</v>
      </c>
      <c r="L192" s="7" t="n">
        <v>35.3</v>
      </c>
      <c r="N192" s="7" t="n">
        <v>17.4</v>
      </c>
      <c r="P192" s="7" t="n">
        <v>38.1</v>
      </c>
      <c r="R192" s="7" t="n">
        <v>22.6</v>
      </c>
      <c r="T192" s="7" t="n">
        <v>16.4</v>
      </c>
      <c r="V192" s="7" t="n">
        <v>37.2</v>
      </c>
      <c r="X192" s="7" t="n">
        <v>25.1</v>
      </c>
      <c r="Z192" s="7" t="n">
        <v>4.6</v>
      </c>
      <c r="AB192" s="7" t="n">
        <v>290.7</v>
      </c>
    </row>
    <row r="193">
      <c r="A193" s="4" t="inlineStr">
        <is>
          <t>其他福利支出</t>
        </is>
      </c>
      <c r="D193" s="7" t="n">
        <v>5.4</v>
      </c>
      <c r="F193" s="7" t="n">
        <v>3</v>
      </c>
      <c r="H193" s="7" t="n">
        <v>2.9</v>
      </c>
      <c r="J193" s="7" t="n">
        <v>3.9</v>
      </c>
      <c r="L193" s="7" t="n">
        <v>6</v>
      </c>
      <c r="N193" s="7" t="n">
        <v>3.2</v>
      </c>
      <c r="P193" s="7" t="n">
        <v>5.8</v>
      </c>
      <c r="R193" s="7" t="n">
        <v>2.7</v>
      </c>
      <c r="T193" s="7" t="n">
        <v>2.2</v>
      </c>
      <c r="V193" s="7" t="n">
        <v>5</v>
      </c>
      <c r="X193" s="7" t="n">
        <v>3.9</v>
      </c>
      <c r="Z193" s="7" t="n">
        <v>1.2</v>
      </c>
      <c r="AB193" s="7" t="n">
        <v>45.2</v>
      </c>
    </row>
    <row r="194">
      <c r="A194" s="4" t="inlineStr">
        <is>
          <t>招聘费</t>
        </is>
      </c>
      <c r="D194" s="7" t="n">
        <v>106.2</v>
      </c>
      <c r="F194" s="7" t="n">
        <v>50.4</v>
      </c>
      <c r="H194" s="7" t="n">
        <v>51</v>
      </c>
      <c r="J194" s="7" t="n">
        <v>146.1</v>
      </c>
      <c r="L194" s="7" t="n">
        <v>207.2</v>
      </c>
      <c r="N194" s="7" t="n">
        <v>78.8</v>
      </c>
      <c r="P194" s="7" t="n">
        <v>188.8</v>
      </c>
      <c r="R194" s="7" t="n">
        <v>69.59999999999999</v>
      </c>
      <c r="T194" s="7" t="n">
        <v>39.8</v>
      </c>
      <c r="V194" s="7" t="n">
        <v>119.3</v>
      </c>
      <c r="X194" s="7" t="n">
        <v>82.2</v>
      </c>
      <c r="Z194" s="7" t="n">
        <v>24.1</v>
      </c>
      <c r="AB194" s="7" t="n">
        <v>1163.5</v>
      </c>
    </row>
    <row r="195">
      <c r="A195" s="4" t="inlineStr">
        <is>
          <t>办公费</t>
        </is>
      </c>
      <c r="D195" s="7" t="n">
        <v>627</v>
      </c>
      <c r="F195" s="7" t="n">
        <v>326.3</v>
      </c>
      <c r="H195" s="7" t="n">
        <v>353.4</v>
      </c>
      <c r="J195" s="7" t="n">
        <v>1076.6</v>
      </c>
      <c r="L195" s="7" t="n">
        <v>1009.5</v>
      </c>
      <c r="N195" s="7" t="n">
        <v>488.1</v>
      </c>
      <c r="P195" s="7" t="n">
        <v>1140.4</v>
      </c>
      <c r="R195" s="7" t="n">
        <v>511.3</v>
      </c>
      <c r="T195" s="7" t="n">
        <v>442.2</v>
      </c>
      <c r="V195" s="7" t="n">
        <v>674.6</v>
      </c>
      <c r="X195" s="7" t="n">
        <v>742.4</v>
      </c>
      <c r="Z195" s="7" t="n">
        <v>120.5</v>
      </c>
      <c r="AB195" s="7" t="n">
        <v>7512.3</v>
      </c>
    </row>
    <row r="196">
      <c r="A196" s="4" t="inlineStr">
        <is>
          <t>市内交通费</t>
        </is>
      </c>
      <c r="D196" s="7" t="n">
        <v>74.8</v>
      </c>
      <c r="F196" s="7" t="n">
        <v>54.9</v>
      </c>
      <c r="H196" s="7" t="n">
        <v>60.9</v>
      </c>
      <c r="J196" s="7" t="n">
        <v>99.40000000000001</v>
      </c>
      <c r="L196" s="7" t="n">
        <v>130</v>
      </c>
      <c r="N196" s="7" t="n">
        <v>56.7</v>
      </c>
      <c r="P196" s="7" t="n">
        <v>138.7</v>
      </c>
      <c r="R196" s="7" t="n">
        <v>51.5</v>
      </c>
      <c r="T196" s="7" t="n">
        <v>35.7</v>
      </c>
      <c r="V196" s="7" t="n">
        <v>72.8</v>
      </c>
      <c r="X196" s="7" t="n">
        <v>66.90000000000001</v>
      </c>
      <c r="Z196" s="7" t="n">
        <v>23</v>
      </c>
      <c r="AB196" s="7" t="n">
        <v>865.3</v>
      </c>
    </row>
    <row r="197">
      <c r="A197" s="4" t="inlineStr">
        <is>
          <t>差旅费</t>
        </is>
      </c>
      <c r="D197" s="7" t="n">
        <v>1831.7</v>
      </c>
      <c r="F197" s="7" t="n">
        <v>715.8</v>
      </c>
      <c r="H197" s="7" t="n">
        <v>913.3</v>
      </c>
      <c r="J197" s="7" t="n">
        <v>2102.8</v>
      </c>
      <c r="L197" s="7" t="n">
        <v>2756.9</v>
      </c>
      <c r="N197" s="7" t="n">
        <v>923.7</v>
      </c>
      <c r="P197" s="7" t="n">
        <v>2247</v>
      </c>
      <c r="R197" s="7" t="n">
        <v>1118.3</v>
      </c>
      <c r="T197" s="7" t="n">
        <v>701.2</v>
      </c>
      <c r="V197" s="7" t="n">
        <v>2001.2</v>
      </c>
      <c r="X197" s="7" t="n">
        <v>988.6</v>
      </c>
      <c r="Z197" s="7" t="n">
        <v>354.4</v>
      </c>
      <c r="AB197" s="7" t="n">
        <v>16654.9</v>
      </c>
    </row>
    <row r="198">
      <c r="A198" s="4" t="inlineStr">
        <is>
          <t>交通费</t>
        </is>
      </c>
      <c r="D198" s="7" t="n">
        <v>102.9</v>
      </c>
      <c r="F198" s="7" t="n">
        <v>56</v>
      </c>
      <c r="H198" s="7" t="n">
        <v>54.8</v>
      </c>
      <c r="J198" s="7" t="n">
        <v>72.7</v>
      </c>
      <c r="L198" s="7" t="n">
        <v>162.6</v>
      </c>
      <c r="N198" s="7" t="n">
        <v>51.8</v>
      </c>
      <c r="P198" s="7" t="n">
        <v>144.4</v>
      </c>
      <c r="R198" s="7" t="n">
        <v>59</v>
      </c>
      <c r="T198" s="7" t="n">
        <v>38.6</v>
      </c>
      <c r="V198" s="7" t="n">
        <v>101.3</v>
      </c>
      <c r="X198" s="7" t="n">
        <v>87.5</v>
      </c>
      <c r="Z198" s="7" t="n">
        <v>22.8</v>
      </c>
      <c r="AB198" s="7" t="n">
        <v>954.4</v>
      </c>
    </row>
    <row r="199">
      <c r="A199" s="4" t="inlineStr">
        <is>
          <t>住宿费</t>
        </is>
      </c>
      <c r="D199" s="7" t="n">
        <v>8.699999999999999</v>
      </c>
      <c r="F199" s="7" t="n">
        <v>5.3</v>
      </c>
      <c r="H199" s="7" t="n">
        <v>4.2</v>
      </c>
      <c r="J199" s="7" t="n">
        <v>8.300000000000001</v>
      </c>
      <c r="L199" s="7" t="n">
        <v>8.699999999999999</v>
      </c>
      <c r="N199" s="7" t="n">
        <v>5.8</v>
      </c>
      <c r="P199" s="7" t="n">
        <v>15.3</v>
      </c>
      <c r="R199" s="7" t="n">
        <v>6.6</v>
      </c>
      <c r="T199" s="7" t="n">
        <v>5.2</v>
      </c>
      <c r="V199" s="7" t="n">
        <v>6.9</v>
      </c>
      <c r="X199" s="7" t="n">
        <v>8.300000000000001</v>
      </c>
      <c r="Z199" s="7" t="n">
        <v>2.2</v>
      </c>
      <c r="AB199" s="7" t="n">
        <v>85.5</v>
      </c>
    </row>
    <row r="200">
      <c r="A200" s="4" t="inlineStr">
        <is>
          <t>餐补</t>
        </is>
      </c>
      <c r="D200" s="7" t="n">
        <v>151.4</v>
      </c>
      <c r="F200" s="7" t="n">
        <v>70.5</v>
      </c>
      <c r="H200" s="7" t="n">
        <v>63.8</v>
      </c>
      <c r="J200" s="7" t="n">
        <v>140.3</v>
      </c>
      <c r="L200" s="7" t="n">
        <v>268.2</v>
      </c>
      <c r="N200" s="7" t="n">
        <v>66.5</v>
      </c>
      <c r="P200" s="7" t="n">
        <v>289.3</v>
      </c>
      <c r="R200" s="7" t="n">
        <v>79</v>
      </c>
      <c r="T200" s="7" t="n">
        <v>74.90000000000001</v>
      </c>
      <c r="V200" s="7" t="n">
        <v>157.3</v>
      </c>
      <c r="X200" s="7" t="n">
        <v>146.9</v>
      </c>
      <c r="Z200" s="7" t="n">
        <v>27.8</v>
      </c>
      <c r="AB200" s="7" t="n">
        <v>1535.9</v>
      </c>
    </row>
    <row r="201">
      <c r="A201" s="4" t="inlineStr">
        <is>
          <t>交通补助</t>
        </is>
      </c>
      <c r="D201" s="7" t="n">
        <v>162.1</v>
      </c>
      <c r="F201" s="7" t="n">
        <v>99.59999999999999</v>
      </c>
      <c r="H201" s="7" t="n">
        <v>82.5</v>
      </c>
      <c r="J201" s="7" t="n">
        <v>170</v>
      </c>
      <c r="L201" s="7" t="n">
        <v>258.5</v>
      </c>
      <c r="N201" s="7" t="n">
        <v>94.2</v>
      </c>
      <c r="P201" s="7" t="n">
        <v>260.4</v>
      </c>
      <c r="R201" s="7" t="n">
        <v>86.40000000000001</v>
      </c>
      <c r="T201" s="7" t="n">
        <v>71.59999999999999</v>
      </c>
      <c r="V201" s="7" t="n">
        <v>169</v>
      </c>
      <c r="X201" s="7" t="n">
        <v>142.6</v>
      </c>
      <c r="Z201" s="7" t="n">
        <v>28.4</v>
      </c>
      <c r="AB201" s="7" t="n">
        <v>1625.3</v>
      </c>
    </row>
    <row r="202">
      <c r="A202" s="4" t="inlineStr">
        <is>
          <t>通讯补助</t>
        </is>
      </c>
      <c r="D202" s="7" t="n">
        <v>79.7</v>
      </c>
      <c r="F202" s="7" t="n">
        <v>50.2</v>
      </c>
      <c r="H202" s="7" t="n">
        <v>54.8</v>
      </c>
      <c r="J202" s="7" t="n">
        <v>81.40000000000001</v>
      </c>
      <c r="L202" s="7" t="n">
        <v>111.2</v>
      </c>
      <c r="N202" s="7" t="n">
        <v>50.8</v>
      </c>
      <c r="P202" s="7" t="n">
        <v>116.9</v>
      </c>
      <c r="R202" s="7" t="n">
        <v>69.8</v>
      </c>
      <c r="T202" s="7" t="n">
        <v>39.2</v>
      </c>
      <c r="V202" s="7" t="n">
        <v>85.59999999999999</v>
      </c>
      <c r="X202" s="7" t="n">
        <v>64.7</v>
      </c>
      <c r="Z202" s="7" t="n">
        <v>18.3</v>
      </c>
      <c r="AB202" s="7" t="n">
        <v>822.6</v>
      </c>
    </row>
    <row r="203">
      <c r="A203" s="4" t="inlineStr">
        <is>
          <t>招待费</t>
        </is>
      </c>
      <c r="D203" s="7" t="n">
        <v>808.4</v>
      </c>
      <c r="F203" s="7" t="n">
        <v>664.5</v>
      </c>
      <c r="H203" s="7" t="n">
        <v>827.8</v>
      </c>
      <c r="J203" s="7" t="n">
        <v>1294.1</v>
      </c>
      <c r="L203" s="7" t="n">
        <v>1552.2</v>
      </c>
      <c r="N203" s="7" t="n">
        <v>670.7</v>
      </c>
      <c r="P203" s="7" t="n">
        <v>2191.5</v>
      </c>
      <c r="R203" s="7" t="n">
        <v>1004.9</v>
      </c>
      <c r="T203" s="7" t="n">
        <v>483.2</v>
      </c>
      <c r="V203" s="7" t="n">
        <v>792</v>
      </c>
      <c r="X203" s="7" t="n">
        <v>993.8</v>
      </c>
      <c r="Z203" s="7" t="n">
        <v>280.2</v>
      </c>
      <c r="AB203" s="7" t="n">
        <v>11563.3</v>
      </c>
    </row>
    <row r="204">
      <c r="A204" s="4" t="inlineStr">
        <is>
          <t>通讯费</t>
        </is>
      </c>
      <c r="D204" s="7" t="n">
        <v>25.9</v>
      </c>
      <c r="F204" s="7" t="n">
        <v>20.4</v>
      </c>
      <c r="H204" s="7" t="n">
        <v>19.2</v>
      </c>
      <c r="J204" s="7" t="n">
        <v>22.8</v>
      </c>
      <c r="L204" s="7" t="n">
        <v>39</v>
      </c>
      <c r="N204" s="7" t="n">
        <v>17.5</v>
      </c>
      <c r="P204" s="7" t="n">
        <v>56.7</v>
      </c>
      <c r="R204" s="7" t="n">
        <v>21.5</v>
      </c>
      <c r="T204" s="7" t="n">
        <v>10.9</v>
      </c>
      <c r="V204" s="7" t="n">
        <v>22.8</v>
      </c>
      <c r="X204" s="7" t="n">
        <v>17.5</v>
      </c>
      <c r="Z204" s="7" t="n">
        <v>4.8</v>
      </c>
      <c r="AB204" s="7" t="n">
        <v>279</v>
      </c>
    </row>
    <row r="205">
      <c r="A205" s="4" t="inlineStr">
        <is>
          <t>网络费</t>
        </is>
      </c>
      <c r="D205" s="7" t="n">
        <v>78</v>
      </c>
      <c r="F205" s="7" t="n">
        <v>75</v>
      </c>
      <c r="H205" s="7" t="n">
        <v>75.90000000000001</v>
      </c>
      <c r="J205" s="7" t="n">
        <v>97</v>
      </c>
      <c r="L205" s="7" t="n">
        <v>201.6</v>
      </c>
      <c r="N205" s="7" t="n">
        <v>88</v>
      </c>
      <c r="P205" s="7" t="n">
        <v>242.7</v>
      </c>
      <c r="R205" s="7" t="n">
        <v>99.7</v>
      </c>
      <c r="T205" s="7" t="n">
        <v>45.8</v>
      </c>
      <c r="V205" s="7" t="n">
        <v>135.4</v>
      </c>
      <c r="X205" s="7" t="n">
        <v>110.7</v>
      </c>
      <c r="Z205" s="7" t="n">
        <v>25.6</v>
      </c>
      <c r="AB205" s="7" t="n">
        <v>1275.4</v>
      </c>
    </row>
    <row r="206">
      <c r="A206" s="4" t="inlineStr">
        <is>
          <t>修理费</t>
        </is>
      </c>
      <c r="D206" s="7" t="n">
        <v>120</v>
      </c>
      <c r="F206" s="7" t="n">
        <v>66.3</v>
      </c>
      <c r="H206" s="7" t="n">
        <v>61.2</v>
      </c>
      <c r="J206" s="7" t="n">
        <v>90.3</v>
      </c>
      <c r="L206" s="7" t="n">
        <v>110</v>
      </c>
      <c r="N206" s="7" t="n">
        <v>80.2</v>
      </c>
      <c r="P206" s="7" t="n">
        <v>219.1</v>
      </c>
      <c r="R206" s="7" t="n">
        <v>86.09999999999999</v>
      </c>
      <c r="T206" s="7" t="n">
        <v>49.8</v>
      </c>
      <c r="V206" s="7" t="n">
        <v>117.3</v>
      </c>
      <c r="X206" s="7" t="n">
        <v>110.1</v>
      </c>
      <c r="Z206" s="7" t="n">
        <v>27.6</v>
      </c>
      <c r="AB206" s="7" t="n">
        <v>1138</v>
      </c>
    </row>
    <row r="207">
      <c r="A207" s="4" t="inlineStr">
        <is>
          <t>车辆费</t>
        </is>
      </c>
      <c r="D207" s="7" t="n">
        <v>98.90000000000001</v>
      </c>
      <c r="F207" s="7" t="n">
        <v>58.7</v>
      </c>
      <c r="H207" s="7" t="n">
        <v>69.09999999999999</v>
      </c>
      <c r="J207" s="7" t="n">
        <v>123</v>
      </c>
      <c r="L207" s="7" t="n">
        <v>151.3</v>
      </c>
      <c r="N207" s="7" t="n">
        <v>47</v>
      </c>
      <c r="P207" s="7" t="n">
        <v>114.6</v>
      </c>
      <c r="R207" s="7" t="n">
        <v>74.5</v>
      </c>
      <c r="T207" s="7" t="n">
        <v>40.4</v>
      </c>
      <c r="V207" s="7" t="n">
        <v>114.3</v>
      </c>
      <c r="X207" s="7" t="n">
        <v>67.09999999999999</v>
      </c>
      <c r="Z207" s="7" t="n">
        <v>18.9</v>
      </c>
      <c r="AB207" s="7" t="n">
        <v>977.8</v>
      </c>
    </row>
    <row r="208">
      <c r="A208" s="4" t="inlineStr">
        <is>
          <t>租赁费</t>
        </is>
      </c>
      <c r="D208" s="7" t="n">
        <v>1567.5</v>
      </c>
      <c r="F208" s="7" t="n">
        <v>758.2</v>
      </c>
      <c r="H208" s="7" t="n">
        <v>779.4</v>
      </c>
      <c r="J208" s="7" t="n">
        <v>1474.2</v>
      </c>
      <c r="L208" s="7" t="n">
        <v>1766.8</v>
      </c>
      <c r="N208" s="7" t="n">
        <v>564.6</v>
      </c>
      <c r="P208" s="7" t="n">
        <v>1764.9</v>
      </c>
      <c r="R208" s="7" t="n">
        <v>1149.4</v>
      </c>
      <c r="T208" s="7" t="n">
        <v>534.1</v>
      </c>
      <c r="V208" s="7" t="n">
        <v>1017</v>
      </c>
      <c r="X208" s="7" t="n">
        <v>1085.4</v>
      </c>
      <c r="Z208" s="7" t="n">
        <v>276.5</v>
      </c>
      <c r="AB208" s="7" t="n">
        <v>12738</v>
      </c>
    </row>
    <row r="209">
      <c r="A209" s="4" t="inlineStr">
        <is>
          <t>能源费</t>
        </is>
      </c>
      <c r="D209" s="7" t="n">
        <v>464.7</v>
      </c>
      <c r="F209" s="7" t="n">
        <v>247.1</v>
      </c>
      <c r="H209" s="7" t="n">
        <v>230.5</v>
      </c>
      <c r="J209" s="7" t="n">
        <v>492</v>
      </c>
      <c r="L209" s="7" t="n">
        <v>487</v>
      </c>
      <c r="N209" s="7" t="n">
        <v>271</v>
      </c>
      <c r="P209" s="7" t="n">
        <v>659.3</v>
      </c>
      <c r="R209" s="7" t="n">
        <v>356.7</v>
      </c>
      <c r="T209" s="7" t="n">
        <v>189.6</v>
      </c>
      <c r="V209" s="7" t="n">
        <v>474.4</v>
      </c>
      <c r="X209" s="7" t="n">
        <v>316.8</v>
      </c>
      <c r="Z209" s="7" t="n">
        <v>77.09999999999999</v>
      </c>
      <c r="AB209" s="7" t="n">
        <v>4266.2</v>
      </c>
    </row>
    <row r="210">
      <c r="A210" s="4" t="inlineStr">
        <is>
          <t>水费</t>
        </is>
      </c>
      <c r="D210" s="7" t="n">
        <v>113.5</v>
      </c>
      <c r="F210" s="7" t="n">
        <v>59.7</v>
      </c>
      <c r="H210" s="7" t="n">
        <v>59.7</v>
      </c>
      <c r="J210" s="7" t="n">
        <v>141.2</v>
      </c>
      <c r="L210" s="7" t="n">
        <v>112.3</v>
      </c>
      <c r="N210" s="7" t="n">
        <v>70.2</v>
      </c>
      <c r="P210" s="7" t="n">
        <v>159.1</v>
      </c>
      <c r="R210" s="7" t="n">
        <v>94.90000000000001</v>
      </c>
      <c r="T210" s="7" t="n">
        <v>53.3</v>
      </c>
      <c r="V210" s="7" t="n">
        <v>130.7</v>
      </c>
      <c r="X210" s="7" t="n">
        <v>93.8</v>
      </c>
      <c r="Z210" s="7" t="n">
        <v>15.9</v>
      </c>
      <c r="AB210" s="7" t="n">
        <v>1104.3</v>
      </c>
    </row>
    <row r="211">
      <c r="A211" s="4" t="inlineStr">
        <is>
          <t>电费</t>
        </is>
      </c>
      <c r="D211" s="7" t="n">
        <v>6.4</v>
      </c>
      <c r="F211" s="7" t="n">
        <v>4.6</v>
      </c>
      <c r="H211" s="7" t="n">
        <v>3.9</v>
      </c>
      <c r="J211" s="7" t="n">
        <v>9.800000000000001</v>
      </c>
      <c r="L211" s="7" t="n">
        <v>12.2</v>
      </c>
      <c r="N211" s="7" t="n">
        <v>4.3</v>
      </c>
      <c r="P211" s="7" t="n">
        <v>11.3</v>
      </c>
      <c r="R211" s="7" t="n">
        <v>4</v>
      </c>
      <c r="T211" s="7" t="n">
        <v>4.4</v>
      </c>
      <c r="V211" s="7" t="n">
        <v>8.6</v>
      </c>
      <c r="X211" s="7" t="n">
        <v>5</v>
      </c>
      <c r="Z211" s="7" t="n">
        <v>1.4</v>
      </c>
      <c r="AB211" s="7" t="n">
        <v>75.90000000000001</v>
      </c>
    </row>
    <row r="212">
      <c r="A212" s="4" t="inlineStr">
        <is>
          <t>燃气费</t>
        </is>
      </c>
      <c r="D212" s="7" t="n">
        <v>163</v>
      </c>
      <c r="F212" s="7" t="n">
        <v>88.2</v>
      </c>
      <c r="H212" s="7" t="n">
        <v>85.3</v>
      </c>
      <c r="J212" s="7" t="n">
        <v>159.4</v>
      </c>
      <c r="L212" s="7" t="n">
        <v>164.4</v>
      </c>
      <c r="N212" s="7" t="n">
        <v>117.8</v>
      </c>
      <c r="P212" s="7" t="n">
        <v>270</v>
      </c>
      <c r="R212" s="7" t="n">
        <v>137.9</v>
      </c>
      <c r="T212" s="7" t="n">
        <v>80.09999999999999</v>
      </c>
      <c r="V212" s="7" t="n">
        <v>177.6</v>
      </c>
      <c r="X212" s="7" t="n">
        <v>104.5</v>
      </c>
      <c r="Z212" s="7" t="n">
        <v>35.7</v>
      </c>
      <c r="AB212" s="7" t="n">
        <v>1583.9</v>
      </c>
    </row>
    <row r="213">
      <c r="A213" s="4" t="inlineStr">
        <is>
          <t>蒸汽费</t>
        </is>
      </c>
      <c r="D213" s="7" t="n">
        <v>181.8</v>
      </c>
      <c r="F213" s="7" t="n">
        <v>94.59999999999999</v>
      </c>
      <c r="H213" s="7" t="n">
        <v>81.59999999999999</v>
      </c>
      <c r="J213" s="7" t="n">
        <v>181.6</v>
      </c>
      <c r="L213" s="7" t="n">
        <v>198.1</v>
      </c>
      <c r="N213" s="7" t="n">
        <v>78.7</v>
      </c>
      <c r="P213" s="7" t="n">
        <v>218.9</v>
      </c>
      <c r="R213" s="7" t="n">
        <v>119.9</v>
      </c>
      <c r="T213" s="7" t="n">
        <v>51.8</v>
      </c>
      <c r="V213" s="7" t="n">
        <v>157.5</v>
      </c>
      <c r="X213" s="7" t="n">
        <v>113.5</v>
      </c>
      <c r="Z213" s="7" t="n">
        <v>24.1</v>
      </c>
      <c r="AB213" s="7" t="n">
        <v>1502.1</v>
      </c>
    </row>
    <row r="214">
      <c r="A214" s="4" t="inlineStr">
        <is>
          <t>物业费</t>
        </is>
      </c>
      <c r="D214" s="7" t="n">
        <v>2</v>
      </c>
      <c r="F214" s="7" t="n">
        <v>0.8</v>
      </c>
      <c r="H214" s="7" t="n">
        <v>1</v>
      </c>
      <c r="J214" s="7" t="n">
        <v>2.9</v>
      </c>
      <c r="L214" s="7" t="n">
        <v>2.6</v>
      </c>
      <c r="N214" s="7" t="n">
        <v>1.4</v>
      </c>
      <c r="P214" s="7" t="n">
        <v>4</v>
      </c>
      <c r="R214" s="7" t="n">
        <v>1.4</v>
      </c>
      <c r="T214" s="7" t="n">
        <v>1</v>
      </c>
      <c r="V214" s="7" t="n">
        <v>1.6</v>
      </c>
      <c r="X214" s="7" t="n">
        <v>1.7</v>
      </c>
      <c r="Z214" s="7" t="n">
        <v>0.4</v>
      </c>
      <c r="AB214" s="7" t="n">
        <v>20.8</v>
      </c>
    </row>
    <row r="215">
      <c r="A215" s="4" t="inlineStr">
        <is>
          <t>劳动保护费</t>
        </is>
      </c>
      <c r="D215" s="7" t="n">
        <v>107.6</v>
      </c>
      <c r="F215" s="7" t="n">
        <v>76.8</v>
      </c>
      <c r="H215" s="7" t="n">
        <v>85.3</v>
      </c>
      <c r="J215" s="7" t="n">
        <v>152.1</v>
      </c>
      <c r="L215" s="7" t="n">
        <v>203</v>
      </c>
      <c r="N215" s="7" t="n">
        <v>101.6</v>
      </c>
      <c r="P215" s="7" t="n">
        <v>177.9</v>
      </c>
      <c r="R215" s="7" t="n">
        <v>85.7</v>
      </c>
      <c r="T215" s="7" t="n">
        <v>63.8</v>
      </c>
      <c r="V215" s="7" t="n">
        <v>187.2</v>
      </c>
      <c r="X215" s="7" t="n">
        <v>131.4</v>
      </c>
      <c r="Z215" s="7" t="n">
        <v>28.1</v>
      </c>
      <c r="AB215" s="7" t="n">
        <v>1400.5</v>
      </c>
    </row>
    <row r="216">
      <c r="A216" s="4" t="inlineStr">
        <is>
          <t>顾问费</t>
        </is>
      </c>
      <c r="D216" s="7" t="n">
        <v>90</v>
      </c>
      <c r="F216" s="7" t="n">
        <v>59</v>
      </c>
      <c r="H216" s="7" t="n">
        <v>45</v>
      </c>
      <c r="J216" s="7" t="n">
        <v>97.5</v>
      </c>
      <c r="L216" s="7" t="n">
        <v>114.8</v>
      </c>
      <c r="N216" s="7" t="n">
        <v>72.2</v>
      </c>
      <c r="P216" s="7" t="n">
        <v>174.5</v>
      </c>
      <c r="R216" s="7" t="n">
        <v>84.40000000000001</v>
      </c>
      <c r="T216" s="7" t="n">
        <v>53.5</v>
      </c>
      <c r="V216" s="7" t="n">
        <v>96.5</v>
      </c>
      <c r="X216" s="7" t="n">
        <v>96</v>
      </c>
      <c r="Z216" s="7" t="n">
        <v>22.5</v>
      </c>
      <c r="AB216" s="7" t="n">
        <v>1005.9</v>
      </c>
    </row>
    <row r="217">
      <c r="A217" s="4" t="inlineStr">
        <is>
          <t>快递费</t>
        </is>
      </c>
      <c r="D217" s="7" t="n">
        <v>173.2</v>
      </c>
      <c r="F217" s="7" t="n">
        <v>95.09999999999999</v>
      </c>
      <c r="H217" s="7" t="n">
        <v>97.5</v>
      </c>
      <c r="J217" s="7" t="n">
        <v>120</v>
      </c>
      <c r="L217" s="7" t="n">
        <v>162.4</v>
      </c>
      <c r="N217" s="7" t="n">
        <v>96.59999999999999</v>
      </c>
      <c r="P217" s="7" t="n">
        <v>290.3</v>
      </c>
      <c r="R217" s="7" t="n">
        <v>93.59999999999999</v>
      </c>
      <c r="T217" s="7" t="n">
        <v>86</v>
      </c>
      <c r="V217" s="7" t="n">
        <v>108.4</v>
      </c>
      <c r="X217" s="7" t="n">
        <v>100.5</v>
      </c>
      <c r="Z217" s="7" t="n">
        <v>31</v>
      </c>
      <c r="AB217" s="7" t="n">
        <v>1454.6</v>
      </c>
    </row>
    <row r="218">
      <c r="A218" s="4" t="inlineStr">
        <is>
          <t>诉讼费</t>
        </is>
      </c>
      <c r="D218" s="7" t="n">
        <v>13.9</v>
      </c>
      <c r="F218" s="7" t="n">
        <v>10.8</v>
      </c>
      <c r="H218" s="7" t="n">
        <v>7.1</v>
      </c>
      <c r="J218" s="7" t="n">
        <v>14.5</v>
      </c>
      <c r="L218" s="7" t="n">
        <v>28.3</v>
      </c>
      <c r="N218" s="7" t="n">
        <v>8.6</v>
      </c>
      <c r="P218" s="7" t="n">
        <v>24</v>
      </c>
      <c r="R218" s="7" t="n">
        <v>9.4</v>
      </c>
      <c r="T218" s="7" t="n">
        <v>6</v>
      </c>
      <c r="V218" s="7" t="n">
        <v>13.1</v>
      </c>
      <c r="X218" s="7" t="n">
        <v>12.2</v>
      </c>
      <c r="Z218" s="7" t="n">
        <v>2.5</v>
      </c>
      <c r="AB218" s="7" t="n">
        <v>150.4</v>
      </c>
    </row>
    <row r="219">
      <c r="A219" s="4" t="inlineStr">
        <is>
          <t>会员费</t>
        </is>
      </c>
      <c r="D219" s="7" t="n">
        <v>27.6</v>
      </c>
      <c r="F219" s="7" t="n">
        <v>13.2</v>
      </c>
      <c r="H219" s="7" t="n">
        <v>21.3</v>
      </c>
      <c r="J219" s="7" t="n">
        <v>35</v>
      </c>
      <c r="L219" s="7" t="n">
        <v>34.3</v>
      </c>
      <c r="N219" s="7" t="n">
        <v>23.3</v>
      </c>
      <c r="P219" s="7" t="n">
        <v>55.1</v>
      </c>
      <c r="R219" s="7" t="n">
        <v>30.6</v>
      </c>
      <c r="T219" s="7" t="n">
        <v>18.2</v>
      </c>
      <c r="V219" s="7" t="n">
        <v>41.2</v>
      </c>
      <c r="X219" s="7" t="n">
        <v>21.7</v>
      </c>
      <c r="Z219" s="7" t="n">
        <v>6.1</v>
      </c>
      <c r="AB219" s="7" t="n">
        <v>327.6</v>
      </c>
    </row>
    <row r="220">
      <c r="A220" s="4" t="inlineStr">
        <is>
          <t>广告宣传费</t>
        </is>
      </c>
      <c r="D220" s="7" t="n">
        <v>765.8</v>
      </c>
      <c r="F220" s="7" t="n">
        <v>502.6</v>
      </c>
      <c r="H220" s="7" t="n">
        <v>523</v>
      </c>
      <c r="J220" s="7" t="n">
        <v>905.6</v>
      </c>
      <c r="L220" s="7" t="n">
        <v>1402.9</v>
      </c>
      <c r="N220" s="7" t="n">
        <v>545.2</v>
      </c>
      <c r="P220" s="7" t="n">
        <v>1607.5</v>
      </c>
      <c r="R220" s="7" t="n">
        <v>567.6</v>
      </c>
      <c r="T220" s="7" t="n">
        <v>386</v>
      </c>
      <c r="V220" s="7" t="n">
        <v>635.4</v>
      </c>
      <c r="X220" s="7" t="n">
        <v>494.6</v>
      </c>
      <c r="Z220" s="7" t="n">
        <v>145.4</v>
      </c>
      <c r="AB220" s="7" t="n">
        <v>8481.6</v>
      </c>
    </row>
    <row r="221">
      <c r="A221" s="4" t="inlineStr">
        <is>
          <t>会务费</t>
        </is>
      </c>
      <c r="D221" s="7" t="n">
        <v>109.7</v>
      </c>
      <c r="F221" s="7" t="n">
        <v>57.8</v>
      </c>
      <c r="H221" s="7" t="n">
        <v>66</v>
      </c>
      <c r="J221" s="7" t="n">
        <v>106.9</v>
      </c>
      <c r="L221" s="7" t="n">
        <v>155.7</v>
      </c>
      <c r="N221" s="7" t="n">
        <v>58.3</v>
      </c>
      <c r="P221" s="7" t="n">
        <v>188.9</v>
      </c>
      <c r="R221" s="7" t="n">
        <v>67.5</v>
      </c>
      <c r="T221" s="7" t="n">
        <v>45.3</v>
      </c>
      <c r="V221" s="7" t="n">
        <v>96.90000000000001</v>
      </c>
      <c r="X221" s="7" t="n">
        <v>88.40000000000001</v>
      </c>
      <c r="Z221" s="7" t="n">
        <v>16.2</v>
      </c>
      <c r="AB221" s="7" t="n">
        <v>1057.6</v>
      </c>
    </row>
    <row r="222">
      <c r="A222" s="4" t="inlineStr">
        <is>
          <t>装修费</t>
        </is>
      </c>
      <c r="D222" s="7" t="n">
        <v>149.6</v>
      </c>
      <c r="F222" s="7" t="n">
        <v>99.59999999999999</v>
      </c>
      <c r="H222" s="7" t="n">
        <v>99.7</v>
      </c>
      <c r="J222" s="7" t="n">
        <v>236.3</v>
      </c>
      <c r="L222" s="7" t="n">
        <v>218</v>
      </c>
      <c r="N222" s="7" t="n">
        <v>90.7</v>
      </c>
      <c r="P222" s="7" t="n">
        <v>347.1</v>
      </c>
      <c r="R222" s="7" t="n">
        <v>93.40000000000001</v>
      </c>
      <c r="T222" s="7" t="n">
        <v>72.2</v>
      </c>
      <c r="V222" s="7" t="n">
        <v>153.1</v>
      </c>
      <c r="X222" s="7" t="n">
        <v>125.2</v>
      </c>
      <c r="Z222" s="7" t="n">
        <v>39.4</v>
      </c>
      <c r="AB222" s="7" t="n">
        <v>1724.3</v>
      </c>
    </row>
    <row r="223">
      <c r="A223" s="4" t="inlineStr">
        <is>
          <t>推广费</t>
        </is>
      </c>
      <c r="D223" s="7" t="n">
        <v>19.3</v>
      </c>
      <c r="F223" s="7" t="n">
        <v>12</v>
      </c>
      <c r="H223" s="7" t="n">
        <v>13</v>
      </c>
      <c r="J223" s="7" t="n">
        <v>15.7</v>
      </c>
      <c r="L223" s="7" t="n">
        <v>29.6</v>
      </c>
      <c r="N223" s="7" t="n">
        <v>11.4</v>
      </c>
      <c r="P223" s="7" t="n">
        <v>29.2</v>
      </c>
      <c r="R223" s="7" t="n">
        <v>15.7</v>
      </c>
      <c r="T223" s="7" t="n">
        <v>8.4</v>
      </c>
      <c r="V223" s="7" t="n">
        <v>22.6</v>
      </c>
      <c r="X223" s="7" t="n">
        <v>14.6</v>
      </c>
      <c r="Z223" s="7" t="n">
        <v>3</v>
      </c>
      <c r="AB223" s="7" t="n">
        <v>194.5</v>
      </c>
    </row>
    <row r="224">
      <c r="A224" s="4" t="inlineStr">
        <is>
          <t>展会费</t>
        </is>
      </c>
      <c r="D224" s="7" t="n">
        <v>14.3</v>
      </c>
      <c r="F224" s="7" t="n">
        <v>5.5</v>
      </c>
      <c r="H224" s="7" t="n">
        <v>10</v>
      </c>
      <c r="J224" s="7" t="n">
        <v>15.5</v>
      </c>
      <c r="L224" s="7" t="n">
        <v>22</v>
      </c>
      <c r="N224" s="7" t="n">
        <v>9.800000000000001</v>
      </c>
      <c r="P224" s="7" t="n">
        <v>18.7</v>
      </c>
      <c r="R224" s="7" t="n">
        <v>8.9</v>
      </c>
      <c r="T224" s="7" t="n">
        <v>6.1</v>
      </c>
      <c r="V224" s="7" t="n">
        <v>16.2</v>
      </c>
      <c r="X224" s="7" t="n">
        <v>8.800000000000001</v>
      </c>
      <c r="Z224" s="7" t="n">
        <v>2.9</v>
      </c>
      <c r="AB224" s="7" t="n">
        <v>138.7</v>
      </c>
    </row>
    <row r="225">
      <c r="A225" s="4" t="inlineStr">
        <is>
          <t>设计费</t>
        </is>
      </c>
      <c r="D225" s="7" t="n">
        <v>39.3</v>
      </c>
      <c r="F225" s="7" t="n">
        <v>18.2</v>
      </c>
      <c r="H225" s="7" t="n">
        <v>27.3</v>
      </c>
      <c r="J225" s="7" t="n">
        <v>36.5</v>
      </c>
      <c r="L225" s="7" t="n">
        <v>66.09999999999999</v>
      </c>
      <c r="N225" s="7" t="n">
        <v>29.7</v>
      </c>
      <c r="P225" s="7" t="n">
        <v>65.90000000000001</v>
      </c>
      <c r="R225" s="7" t="n">
        <v>25.8</v>
      </c>
      <c r="T225" s="7" t="n">
        <v>21.7</v>
      </c>
      <c r="V225" s="7" t="n">
        <v>49.9</v>
      </c>
      <c r="X225" s="7" t="n">
        <v>30.3</v>
      </c>
      <c r="Z225" s="7" t="n">
        <v>8.4</v>
      </c>
      <c r="AB225" s="7" t="n">
        <v>419.1</v>
      </c>
    </row>
    <row r="226">
      <c r="A226" s="4" t="inlineStr">
        <is>
          <t>折旧费</t>
        </is>
      </c>
      <c r="D226" s="7" t="n">
        <v>924.1</v>
      </c>
      <c r="F226" s="7" t="n">
        <v>538.2</v>
      </c>
      <c r="H226" s="7" t="n">
        <v>788.3</v>
      </c>
      <c r="J226" s="7" t="n">
        <v>1375.7</v>
      </c>
      <c r="L226" s="7" t="n">
        <v>1680.3</v>
      </c>
      <c r="N226" s="7" t="n">
        <v>660.7</v>
      </c>
      <c r="P226" s="7" t="n">
        <v>1688.5</v>
      </c>
      <c r="R226" s="7" t="n">
        <v>773.4</v>
      </c>
      <c r="T226" s="7" t="n">
        <v>364.5</v>
      </c>
      <c r="V226" s="7" t="n">
        <v>1311.3</v>
      </c>
      <c r="X226" s="7" t="n">
        <v>756</v>
      </c>
      <c r="Z226" s="7" t="n">
        <v>159.3</v>
      </c>
      <c r="AB226" s="7" t="n">
        <v>11020.3</v>
      </c>
    </row>
    <row r="227">
      <c r="A227" s="4" t="inlineStr">
        <is>
          <t>认证费</t>
        </is>
      </c>
      <c r="D227" s="7" t="n">
        <v>114.7</v>
      </c>
      <c r="F227" s="7" t="n">
        <v>71.90000000000001</v>
      </c>
      <c r="H227" s="7" t="n">
        <v>77</v>
      </c>
      <c r="J227" s="7" t="n">
        <v>175.6</v>
      </c>
      <c r="L227" s="7" t="n">
        <v>172</v>
      </c>
      <c r="N227" s="7" t="n">
        <v>102.3</v>
      </c>
      <c r="P227" s="7" t="n">
        <v>237.4</v>
      </c>
      <c r="R227" s="7" t="n">
        <v>117.4</v>
      </c>
      <c r="T227" s="7" t="n">
        <v>57.3</v>
      </c>
      <c r="V227" s="7" t="n">
        <v>129.1</v>
      </c>
      <c r="X227" s="7" t="n">
        <v>95.09999999999999</v>
      </c>
      <c r="Z227" s="7" t="n">
        <v>34</v>
      </c>
      <c r="AB227" s="7" t="n">
        <v>1383.8</v>
      </c>
    </row>
    <row r="228">
      <c r="A228" s="4" t="inlineStr">
        <is>
          <t>样品费</t>
        </is>
      </c>
      <c r="D228" s="7" t="n">
        <v>590.5</v>
      </c>
      <c r="F228" s="7" t="n">
        <v>208.7</v>
      </c>
      <c r="H228" s="7" t="n">
        <v>251.7</v>
      </c>
      <c r="J228" s="7" t="n">
        <v>713.1</v>
      </c>
      <c r="L228" s="7" t="n">
        <v>676.7</v>
      </c>
      <c r="N228" s="7" t="n">
        <v>376.8</v>
      </c>
      <c r="P228" s="7" t="n">
        <v>1076.7</v>
      </c>
      <c r="R228" s="7" t="n">
        <v>453.1</v>
      </c>
      <c r="T228" s="7" t="n">
        <v>302.8</v>
      </c>
      <c r="V228" s="7" t="n">
        <v>452.9</v>
      </c>
      <c r="X228" s="7" t="n">
        <v>419.4</v>
      </c>
      <c r="Z228" s="7" t="n">
        <v>125.9</v>
      </c>
      <c r="AB228" s="7" t="n">
        <v>5648.3</v>
      </c>
    </row>
    <row r="229">
      <c r="A229" s="4" t="inlineStr">
        <is>
          <t>劳务费</t>
        </is>
      </c>
      <c r="D229" s="7" t="n">
        <v>8.300000000000001</v>
      </c>
      <c r="F229" s="7" t="n">
        <v>4.7</v>
      </c>
      <c r="H229" s="7" t="n">
        <v>6.1</v>
      </c>
      <c r="J229" s="7" t="n">
        <v>8.699999999999999</v>
      </c>
      <c r="L229" s="7" t="n">
        <v>9.6</v>
      </c>
      <c r="N229" s="7" t="n">
        <v>6.3</v>
      </c>
      <c r="P229" s="7" t="n">
        <v>17.3</v>
      </c>
      <c r="R229" s="7" t="n">
        <v>5.5</v>
      </c>
      <c r="T229" s="7" t="n">
        <v>3.6</v>
      </c>
      <c r="V229" s="7" t="n">
        <v>8</v>
      </c>
      <c r="X229" s="7" t="n">
        <v>6.9</v>
      </c>
      <c r="Z229" s="7" t="n">
        <v>2.6</v>
      </c>
      <c r="AB229" s="7" t="n">
        <v>87.59999999999999</v>
      </c>
    </row>
    <row r="230">
      <c r="A230" s="4" t="inlineStr">
        <is>
          <t>销售佣金</t>
        </is>
      </c>
      <c r="D230" s="7" t="n">
        <v>125</v>
      </c>
      <c r="F230" s="7" t="n">
        <v>93.5</v>
      </c>
      <c r="H230" s="7" t="n">
        <v>94.5</v>
      </c>
      <c r="J230" s="7" t="n">
        <v>151.3</v>
      </c>
      <c r="L230" s="7" t="n">
        <v>180.8</v>
      </c>
      <c r="N230" s="7" t="n">
        <v>96.8</v>
      </c>
      <c r="P230" s="7" t="n">
        <v>245.6</v>
      </c>
      <c r="R230" s="7" t="n">
        <v>94.7</v>
      </c>
      <c r="T230" s="7" t="n">
        <v>49.8</v>
      </c>
      <c r="V230" s="7" t="n">
        <v>117.9</v>
      </c>
      <c r="X230" s="7" t="n">
        <v>129.9</v>
      </c>
      <c r="Z230" s="7" t="n">
        <v>22.4</v>
      </c>
      <c r="AB230" s="7" t="n">
        <v>1402.2</v>
      </c>
    </row>
    <row r="231">
      <c r="A231" s="4" t="inlineStr">
        <is>
          <t>检测费</t>
        </is>
      </c>
      <c r="D231" s="7" t="n">
        <v>78.2</v>
      </c>
      <c r="F231" s="7" t="n">
        <v>35.6</v>
      </c>
      <c r="H231" s="7" t="n">
        <v>50.3</v>
      </c>
      <c r="J231" s="7" t="n">
        <v>73.2</v>
      </c>
      <c r="L231" s="7" t="n">
        <v>90.59999999999999</v>
      </c>
      <c r="N231" s="7" t="n">
        <v>36.4</v>
      </c>
      <c r="P231" s="7" t="n">
        <v>79</v>
      </c>
      <c r="R231" s="7" t="n">
        <v>54.7</v>
      </c>
      <c r="T231" s="7" t="n">
        <v>39.3</v>
      </c>
      <c r="V231" s="7" t="n">
        <v>48.4</v>
      </c>
      <c r="X231" s="7" t="n">
        <v>53</v>
      </c>
      <c r="Z231" s="7" t="n">
        <v>13.9</v>
      </c>
      <c r="AB231" s="7" t="n">
        <v>652.6</v>
      </c>
    </row>
    <row r="232">
      <c r="A232" s="4" t="inlineStr">
        <is>
          <t>质量赔偿</t>
        </is>
      </c>
      <c r="D232" s="7" t="n">
        <v>73</v>
      </c>
      <c r="F232" s="7" t="n">
        <v>48.9</v>
      </c>
      <c r="H232" s="7" t="n">
        <v>32.6</v>
      </c>
      <c r="J232" s="7" t="n">
        <v>93.40000000000001</v>
      </c>
      <c r="L232" s="7" t="n">
        <v>76.59999999999999</v>
      </c>
      <c r="N232" s="7" t="n">
        <v>43.9</v>
      </c>
      <c r="P232" s="7" t="n">
        <v>144.3</v>
      </c>
      <c r="R232" s="7" t="n">
        <v>48.6</v>
      </c>
      <c r="T232" s="7" t="n">
        <v>38</v>
      </c>
      <c r="V232" s="7" t="n">
        <v>51.4</v>
      </c>
      <c r="X232" s="7" t="n">
        <v>67.59999999999999</v>
      </c>
      <c r="Z232" s="7" t="n">
        <v>14.1</v>
      </c>
      <c r="AB232" s="7" t="n">
        <v>732.4</v>
      </c>
    </row>
    <row r="233">
      <c r="A233" s="4" t="inlineStr">
        <is>
          <t>保险费</t>
        </is>
      </c>
      <c r="D233" s="7" t="n">
        <v>153.8</v>
      </c>
      <c r="F233" s="7" t="n">
        <v>81.3</v>
      </c>
      <c r="H233" s="7" t="n">
        <v>84.2</v>
      </c>
      <c r="J233" s="7" t="n">
        <v>227.3</v>
      </c>
      <c r="L233" s="7" t="n">
        <v>178.5</v>
      </c>
      <c r="N233" s="7" t="n">
        <v>118.5</v>
      </c>
      <c r="P233" s="7" t="n">
        <v>358.5</v>
      </c>
      <c r="R233" s="7" t="n">
        <v>92.40000000000001</v>
      </c>
      <c r="T233" s="7" t="n">
        <v>82.8</v>
      </c>
      <c r="V233" s="7" t="n">
        <v>152.5</v>
      </c>
      <c r="X233" s="7" t="n">
        <v>166.1</v>
      </c>
      <c r="Z233" s="7" t="n">
        <v>36.2</v>
      </c>
      <c r="AB233" s="7" t="n">
        <v>1732.1</v>
      </c>
    </row>
    <row r="234">
      <c r="A234" s="4" t="inlineStr">
        <is>
          <t>清洁费</t>
        </is>
      </c>
      <c r="D234" s="7" t="n">
        <v>33.9</v>
      </c>
      <c r="F234" s="7" t="n">
        <v>22.9</v>
      </c>
      <c r="H234" s="7" t="n">
        <v>22.5</v>
      </c>
      <c r="J234" s="7" t="n">
        <v>50.5</v>
      </c>
      <c r="L234" s="7" t="n">
        <v>40</v>
      </c>
      <c r="N234" s="7" t="n">
        <v>24.7</v>
      </c>
      <c r="P234" s="7" t="n">
        <v>84.3</v>
      </c>
      <c r="R234" s="7" t="n">
        <v>31.3</v>
      </c>
      <c r="T234" s="7" t="n">
        <v>17.2</v>
      </c>
      <c r="V234" s="7" t="n">
        <v>35.9</v>
      </c>
      <c r="X234" s="7" t="n">
        <v>33.2</v>
      </c>
      <c r="Z234" s="7" t="n">
        <v>7.4</v>
      </c>
      <c r="AB234" s="7" t="n">
        <v>403.8</v>
      </c>
    </row>
    <row r="235">
      <c r="A235" s="4" t="inlineStr">
        <is>
          <t>低值易耗品</t>
        </is>
      </c>
      <c r="D235" s="7" t="n">
        <v>20.9</v>
      </c>
      <c r="F235" s="7" t="n">
        <v>13.5</v>
      </c>
      <c r="H235" s="7" t="n">
        <v>13.1</v>
      </c>
      <c r="J235" s="7" t="n">
        <v>29.2</v>
      </c>
      <c r="L235" s="7" t="n">
        <v>27.2</v>
      </c>
      <c r="N235" s="7" t="n">
        <v>14.9</v>
      </c>
      <c r="P235" s="7" t="n">
        <v>45.1</v>
      </c>
      <c r="R235" s="7" t="n">
        <v>11.4</v>
      </c>
      <c r="T235" s="7" t="n">
        <v>11.2</v>
      </c>
      <c r="V235" s="7" t="n">
        <v>21.6</v>
      </c>
      <c r="X235" s="7" t="n">
        <v>15.8</v>
      </c>
      <c r="Z235" s="7" t="n">
        <v>4.2</v>
      </c>
      <c r="AB235" s="7" t="n">
        <v>228.1</v>
      </c>
    </row>
    <row r="236">
      <c r="A236" s="4" t="inlineStr">
        <is>
          <t>物料消耗</t>
        </is>
      </c>
      <c r="D236" s="7" t="n">
        <v>96.40000000000001</v>
      </c>
      <c r="F236" s="7" t="n">
        <v>49</v>
      </c>
      <c r="H236" s="7" t="n">
        <v>56.6</v>
      </c>
      <c r="J236" s="7" t="n">
        <v>154.2</v>
      </c>
      <c r="L236" s="7" t="n">
        <v>120.4</v>
      </c>
      <c r="N236" s="7" t="n">
        <v>86.5</v>
      </c>
      <c r="P236" s="7" t="n">
        <v>148.9</v>
      </c>
      <c r="R236" s="7" t="n">
        <v>93.40000000000001</v>
      </c>
      <c r="T236" s="7" t="n">
        <v>51.7</v>
      </c>
      <c r="V236" s="7" t="n">
        <v>138.8</v>
      </c>
      <c r="X236" s="7" t="n">
        <v>100.8</v>
      </c>
      <c r="Z236" s="7" t="n">
        <v>27.4</v>
      </c>
      <c r="AB236" s="7" t="n">
        <v>1124.1</v>
      </c>
    </row>
    <row r="237">
      <c r="A237" s="4" t="inlineStr">
        <is>
          <t>盘盈盘亏</t>
        </is>
      </c>
      <c r="D237" s="7" t="n">
        <v>177.4</v>
      </c>
      <c r="F237" s="7" t="n">
        <v>99.90000000000001</v>
      </c>
      <c r="H237" s="7" t="n">
        <v>123.2</v>
      </c>
      <c r="J237" s="7" t="n">
        <v>141.3</v>
      </c>
      <c r="L237" s="7" t="n">
        <v>226.5</v>
      </c>
      <c r="N237" s="7" t="n">
        <v>119.2</v>
      </c>
      <c r="P237" s="7" t="n">
        <v>326.1</v>
      </c>
      <c r="R237" s="7" t="n">
        <v>104.9</v>
      </c>
      <c r="T237" s="7" t="n">
        <v>70.09999999999999</v>
      </c>
      <c r="V237" s="7" t="n">
        <v>194.2</v>
      </c>
      <c r="X237" s="7" t="n">
        <v>161.8</v>
      </c>
      <c r="Z237" s="7" t="n">
        <v>35.8</v>
      </c>
      <c r="AB237" s="7" t="n">
        <v>1780.4</v>
      </c>
    </row>
    <row r="238">
      <c r="A238" s="4" t="inlineStr">
        <is>
          <t>平台服务费</t>
        </is>
      </c>
      <c r="D238" s="7" t="n">
        <v>6.1</v>
      </c>
      <c r="F238" s="7" t="n">
        <v>3</v>
      </c>
      <c r="H238" s="7" t="n">
        <v>3</v>
      </c>
      <c r="J238" s="7" t="n">
        <v>4.7</v>
      </c>
      <c r="L238" s="7" t="n">
        <v>5.5</v>
      </c>
      <c r="N238" s="7" t="n">
        <v>3.2</v>
      </c>
      <c r="P238" s="7" t="n">
        <v>10</v>
      </c>
      <c r="R238" s="7" t="n">
        <v>4.3</v>
      </c>
      <c r="T238" s="7" t="n">
        <v>1.9</v>
      </c>
      <c r="V238" s="7" t="n">
        <v>6.8</v>
      </c>
      <c r="X238" s="7" t="n">
        <v>4.7</v>
      </c>
      <c r="Z238" s="7" t="n">
        <v>1.1</v>
      </c>
      <c r="AB238" s="7" t="n">
        <v>54.3</v>
      </c>
    </row>
    <row r="239">
      <c r="A239" s="4" t="inlineStr">
        <is>
          <t>无形资产摊销</t>
        </is>
      </c>
      <c r="D239" s="7" t="n">
        <v>29.3</v>
      </c>
      <c r="F239" s="7" t="n">
        <v>21.1</v>
      </c>
      <c r="H239" s="7" t="n">
        <v>28.3</v>
      </c>
      <c r="J239" s="7" t="n">
        <v>34.2</v>
      </c>
      <c r="L239" s="7" t="n">
        <v>63.3</v>
      </c>
      <c r="N239" s="7" t="n">
        <v>30.4</v>
      </c>
      <c r="P239" s="7" t="n">
        <v>59.6</v>
      </c>
      <c r="R239" s="7" t="n">
        <v>35.5</v>
      </c>
      <c r="T239" s="7" t="n">
        <v>20.3</v>
      </c>
      <c r="V239" s="7" t="n">
        <v>35.6</v>
      </c>
      <c r="X239" s="7" t="n">
        <v>38.4</v>
      </c>
      <c r="Z239" s="7" t="n">
        <v>7.6</v>
      </c>
      <c r="AB239" s="7" t="n">
        <v>403.6</v>
      </c>
    </row>
    <row r="240">
      <c r="A240" s="4" t="inlineStr">
        <is>
          <t>研发材料</t>
        </is>
      </c>
      <c r="D240" s="7" t="n">
        <v>170.5</v>
      </c>
      <c r="F240" s="7" t="n">
        <v>57.2</v>
      </c>
      <c r="H240" s="7" t="n">
        <v>109.2</v>
      </c>
      <c r="J240" s="7" t="n">
        <v>198.8</v>
      </c>
      <c r="L240" s="7" t="n">
        <v>239.3</v>
      </c>
      <c r="N240" s="7" t="n">
        <v>101.6</v>
      </c>
      <c r="P240" s="7" t="n">
        <v>246.4</v>
      </c>
      <c r="R240" s="7" t="n">
        <v>121.5</v>
      </c>
      <c r="T240" s="7" t="n">
        <v>65.09999999999999</v>
      </c>
      <c r="V240" s="7" t="n">
        <v>152.9</v>
      </c>
      <c r="X240" s="7" t="n">
        <v>106.9</v>
      </c>
      <c r="Z240" s="7" t="n">
        <v>38.8</v>
      </c>
      <c r="AB240" s="7" t="n">
        <v>1608.2</v>
      </c>
    </row>
    <row r="241">
      <c r="A241" s="4" t="inlineStr">
        <is>
          <t>项目名称</t>
        </is>
      </c>
      <c r="D241" s="7" t="n">
        <v>125.1</v>
      </c>
      <c r="F241" s="7" t="n">
        <v>64.59999999999999</v>
      </c>
      <c r="H241" s="7" t="n">
        <v>76.09999999999999</v>
      </c>
      <c r="J241" s="7" t="n">
        <v>202.8</v>
      </c>
      <c r="L241" s="7" t="n">
        <v>258.2</v>
      </c>
      <c r="N241" s="7" t="n">
        <v>75.59999999999999</v>
      </c>
      <c r="P241" s="7" t="n">
        <v>232.1</v>
      </c>
      <c r="R241" s="7" t="n">
        <v>127.9</v>
      </c>
      <c r="T241" s="7" t="n">
        <v>57</v>
      </c>
      <c r="V241" s="7" t="n">
        <v>157.6</v>
      </c>
      <c r="X241" s="7" t="n">
        <v>111.7</v>
      </c>
      <c r="Z241" s="7" t="n">
        <v>23</v>
      </c>
      <c r="AB241" s="7" t="n">
        <v>1511.7</v>
      </c>
    </row>
    <row r="242">
      <c r="A242" s="4" t="inlineStr">
        <is>
          <t>研发费</t>
        </is>
      </c>
      <c r="D242" s="7" t="n">
        <v>81.90000000000001</v>
      </c>
      <c r="F242" s="7" t="n">
        <v>64.5</v>
      </c>
      <c r="H242" s="7" t="n">
        <v>65.90000000000001</v>
      </c>
      <c r="J242" s="7" t="n">
        <v>82.3</v>
      </c>
      <c r="L242" s="7" t="n">
        <v>161.3</v>
      </c>
      <c r="N242" s="7" t="n">
        <v>72.8</v>
      </c>
      <c r="P242" s="7" t="n">
        <v>204.9</v>
      </c>
      <c r="R242" s="7" t="n">
        <v>84.3</v>
      </c>
      <c r="T242" s="7" t="n">
        <v>41.7</v>
      </c>
      <c r="V242" s="7" t="n">
        <v>116.8</v>
      </c>
      <c r="X242" s="7" t="n">
        <v>68.7</v>
      </c>
      <c r="Z242" s="7" t="n">
        <v>21.6</v>
      </c>
      <c r="AB242" s="7" t="n">
        <v>1066.7</v>
      </c>
    </row>
    <row r="243">
      <c r="A243" s="4" t="inlineStr">
        <is>
          <t>残保金</t>
        </is>
      </c>
      <c r="D243" s="7" t="n">
        <v>90.09999999999999</v>
      </c>
      <c r="F243" s="7" t="n">
        <v>58.7</v>
      </c>
      <c r="H243" s="7" t="n">
        <v>60.8</v>
      </c>
      <c r="J243" s="7" t="n">
        <v>114.4</v>
      </c>
      <c r="L243" s="7" t="n">
        <v>125.8</v>
      </c>
      <c r="N243" s="7" t="n">
        <v>50.3</v>
      </c>
      <c r="P243" s="7" t="n">
        <v>152.2</v>
      </c>
      <c r="R243" s="7" t="n">
        <v>64.3</v>
      </c>
      <c r="T243" s="7" t="n">
        <v>32.6</v>
      </c>
      <c r="V243" s="7" t="n">
        <v>113.4</v>
      </c>
      <c r="X243" s="7" t="n">
        <v>80.90000000000001</v>
      </c>
      <c r="Z243" s="7" t="n">
        <v>13.6</v>
      </c>
      <c r="AB243" s="7" t="n">
        <v>957.1</v>
      </c>
    </row>
    <row r="244">
      <c r="A244" s="4" t="inlineStr">
        <is>
          <t>环保费</t>
        </is>
      </c>
      <c r="D244" s="7" t="n">
        <v>144.4</v>
      </c>
      <c r="F244" s="7" t="n">
        <v>99.2</v>
      </c>
      <c r="H244" s="7" t="n">
        <v>82.09999999999999</v>
      </c>
      <c r="J244" s="7" t="n">
        <v>188.9</v>
      </c>
      <c r="L244" s="7" t="n">
        <v>206.7</v>
      </c>
      <c r="N244" s="7" t="n">
        <v>100.9</v>
      </c>
      <c r="P244" s="7" t="n">
        <v>223.9</v>
      </c>
      <c r="R244" s="7" t="n">
        <v>116.8</v>
      </c>
      <c r="T244" s="7" t="n">
        <v>58.7</v>
      </c>
      <c r="V244" s="7" t="n">
        <v>137.1</v>
      </c>
      <c r="X244" s="7" t="n">
        <v>163.3</v>
      </c>
      <c r="Z244" s="7" t="n">
        <v>38.8</v>
      </c>
      <c r="AB244" s="7" t="n">
        <v>1560.8</v>
      </c>
    </row>
    <row r="245">
      <c r="A245" s="4" t="inlineStr">
        <is>
          <t>报废损失</t>
        </is>
      </c>
      <c r="D245" s="7" t="n">
        <v>113.6</v>
      </c>
      <c r="F245" s="7" t="n">
        <v>60.7</v>
      </c>
      <c r="H245" s="7" t="n">
        <v>68.2</v>
      </c>
      <c r="J245" s="7" t="n">
        <v>178.9</v>
      </c>
      <c r="L245" s="7" t="n">
        <v>215.8</v>
      </c>
      <c r="N245" s="7" t="n">
        <v>85.3</v>
      </c>
      <c r="P245" s="7" t="n">
        <v>227.3</v>
      </c>
      <c r="R245" s="7" t="n">
        <v>75.7</v>
      </c>
      <c r="T245" s="7" t="n">
        <v>51.5</v>
      </c>
      <c r="V245" s="7" t="n">
        <v>142.6</v>
      </c>
      <c r="X245" s="7" t="n">
        <v>82.40000000000001</v>
      </c>
      <c r="Z245" s="7" t="n">
        <v>35.4</v>
      </c>
      <c r="AB245" s="7" t="n">
        <v>1337.4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11992.3</v>
      </c>
      <c r="D246" s="7" t="n">
        <v>19633.3</v>
      </c>
      <c r="E246" s="7" t="n">
        <v>9578.299999999999</v>
      </c>
      <c r="F246" s="7" t="n">
        <v>11488.3</v>
      </c>
      <c r="G246" s="7" t="n">
        <v>9429.4</v>
      </c>
      <c r="H246" s="7" t="n">
        <v>7499.2</v>
      </c>
      <c r="I246" s="7" t="n">
        <v>11647.9</v>
      </c>
      <c r="J246" s="7" t="n">
        <v>4797.4</v>
      </c>
      <c r="K246" s="7" t="n">
        <v>9090.4</v>
      </c>
      <c r="L246" s="7" t="n">
        <v>15422.8</v>
      </c>
      <c r="M246" s="7" t="n">
        <v>9777</v>
      </c>
      <c r="N246" s="7" t="n">
        <v>18592.5</v>
      </c>
      <c r="O246" s="7" t="n">
        <v>11880</v>
      </c>
      <c r="P246" s="7" t="n">
        <v>9164.5</v>
      </c>
      <c r="Q246" s="7" t="n">
        <v>9094.799999999999</v>
      </c>
      <c r="R246" s="7" t="n">
        <v>19585.1</v>
      </c>
      <c r="S246" s="7" t="n">
        <v>11250.3</v>
      </c>
      <c r="T246" s="7" t="n">
        <v>7927</v>
      </c>
      <c r="U246" s="7" t="n">
        <v>10274.6</v>
      </c>
      <c r="V246" s="7" t="n">
        <v>7867.1</v>
      </c>
      <c r="W246" s="7" t="n">
        <v>10427.9</v>
      </c>
      <c r="X246" s="7" t="n">
        <v>-3765.6</v>
      </c>
      <c r="Y246" s="7" t="n">
        <v>9408.6</v>
      </c>
      <c r="Z246" s="7" t="n">
        <v>9451.9</v>
      </c>
      <c r="AA246" s="8" t="n">
        <v>123851.5</v>
      </c>
      <c r="AB246" s="8" t="n">
        <v>127663.5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4100.4</v>
      </c>
      <c r="E248" s="7" t="n">
        <v>0</v>
      </c>
      <c r="F248" s="7" t="n">
        <v>79.2</v>
      </c>
      <c r="G248" s="7" t="n">
        <v>0</v>
      </c>
      <c r="H248" s="7" t="n">
        <v>1313.8</v>
      </c>
      <c r="I248" s="7" t="n">
        <v>0</v>
      </c>
      <c r="J248" s="7" t="n">
        <v>1714.7</v>
      </c>
      <c r="K248" s="7" t="n">
        <v>0</v>
      </c>
      <c r="L248" s="7" t="n">
        <v>581.1</v>
      </c>
      <c r="M248" s="7" t="n">
        <v>0</v>
      </c>
      <c r="N248" s="7" t="n">
        <v>3020.4</v>
      </c>
      <c r="O248" s="7" t="n">
        <v>0</v>
      </c>
      <c r="P248" s="7" t="n">
        <v>-191.5</v>
      </c>
      <c r="Q248" s="7" t="n">
        <v>0</v>
      </c>
      <c r="R248" s="7" t="n">
        <v>-1137.7</v>
      </c>
      <c r="S248" s="7" t="n">
        <v>0</v>
      </c>
      <c r="T248" s="7" t="n">
        <v>-4888</v>
      </c>
      <c r="U248" s="7" t="n">
        <v>0</v>
      </c>
      <c r="V248" s="7" t="n">
        <v>-4163.9</v>
      </c>
      <c r="W248" s="7" t="n">
        <v>0</v>
      </c>
      <c r="X248" s="7" t="n">
        <v>-2045.3</v>
      </c>
      <c r="Y248" s="7" t="n">
        <v>0</v>
      </c>
      <c r="Z248" s="7" t="n">
        <v>-1273.3</v>
      </c>
      <c r="AA248" s="7" t="n">
        <v>0</v>
      </c>
      <c r="AB248" s="7" t="n">
        <v>-2890.1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14977.3</v>
      </c>
      <c r="D253" s="7" t="n">
        <v>23905.8</v>
      </c>
      <c r="E253" s="7" t="n">
        <v>16495.7</v>
      </c>
      <c r="F253" s="7" t="n">
        <v>8662.9</v>
      </c>
      <c r="G253" s="7" t="n">
        <v>16979.5</v>
      </c>
      <c r="H253" s="7" t="n">
        <v>27518.1</v>
      </c>
      <c r="I253" s="7" t="n">
        <v>15991.5</v>
      </c>
      <c r="J253" s="7" t="n">
        <v>7057</v>
      </c>
      <c r="K253" s="7" t="n">
        <v>13936.5</v>
      </c>
      <c r="L253" s="7" t="n">
        <v>16591</v>
      </c>
      <c r="M253" s="7" t="n">
        <v>14462.7</v>
      </c>
      <c r="N253" s="7" t="n">
        <v>27856.7</v>
      </c>
      <c r="O253" s="7" t="n">
        <v>17026.2</v>
      </c>
      <c r="P253" s="7" t="n">
        <v>19496.3</v>
      </c>
      <c r="Q253" s="7" t="n">
        <v>15748.4</v>
      </c>
      <c r="R253" s="7" t="n">
        <v>19234.6</v>
      </c>
      <c r="S253" s="7" t="n">
        <v>16868.4</v>
      </c>
      <c r="T253" s="7" t="n">
        <v>2551.6</v>
      </c>
      <c r="U253" s="7" t="n">
        <v>16675.3</v>
      </c>
      <c r="V253" s="7" t="n">
        <v>15310</v>
      </c>
      <c r="W253" s="7" t="n">
        <v>13199.6</v>
      </c>
      <c r="X253" s="7" t="n">
        <v>1420.9</v>
      </c>
      <c r="Y253" s="7" t="n">
        <v>13952.9</v>
      </c>
      <c r="Z253" s="7" t="n">
        <v>14477.6</v>
      </c>
      <c r="AA253" s="7" t="n">
        <v>186314</v>
      </c>
      <c r="AB253" s="7" t="n">
        <v>184082.5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78462</v>
      </c>
      <c r="D254" s="7" t="n">
        <v>97982.39999999999</v>
      </c>
      <c r="E254" s="7" t="n">
        <v>96874.7</v>
      </c>
      <c r="F254" s="7" t="n">
        <v>30066.4</v>
      </c>
      <c r="G254" s="7" t="n">
        <v>89913.2</v>
      </c>
      <c r="H254" s="7" t="n">
        <v>108795.2</v>
      </c>
      <c r="I254" s="7" t="n">
        <v>104669.4</v>
      </c>
      <c r="J254" s="7" t="n">
        <v>95169.3</v>
      </c>
      <c r="K254" s="7" t="n">
        <v>96308.5</v>
      </c>
      <c r="L254" s="7" t="n">
        <v>75306.2</v>
      </c>
      <c r="M254" s="7" t="n">
        <v>89532.89999999999</v>
      </c>
      <c r="N254" s="7" t="n">
        <v>107796.1</v>
      </c>
      <c r="O254" s="7" t="n">
        <v>80455.5</v>
      </c>
      <c r="P254" s="7" t="n">
        <v>205667.9</v>
      </c>
      <c r="Q254" s="7" t="n">
        <v>78283.2</v>
      </c>
      <c r="R254" s="7" t="n">
        <v>107490.2</v>
      </c>
      <c r="S254" s="7" t="n">
        <v>95727.10000000001</v>
      </c>
      <c r="T254" s="7" t="n">
        <v>73875.2</v>
      </c>
      <c r="U254" s="7" t="n">
        <v>103120.8</v>
      </c>
      <c r="V254" s="7" t="n">
        <v>130582.4</v>
      </c>
      <c r="W254" s="7" t="n">
        <v>86150.3</v>
      </c>
      <c r="X254" s="7" t="n">
        <v>58236.2</v>
      </c>
      <c r="Y254" s="7" t="n">
        <v>80304.60000000001</v>
      </c>
      <c r="Z254" s="7" t="n">
        <v>9142.700000000001</v>
      </c>
      <c r="AA254" s="8" t="n">
        <v>1079802.2</v>
      </c>
      <c r="AB254" s="8" t="n">
        <v>1100110.2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451.5</v>
      </c>
      <c r="E255" s="7" t="n">
        <v>0</v>
      </c>
      <c r="F255" s="7" t="n">
        <v>4203.6</v>
      </c>
      <c r="G255" s="7" t="n">
        <v>0</v>
      </c>
      <c r="H255" s="7" t="n">
        <v>4965.6</v>
      </c>
      <c r="I255" s="7" t="n">
        <v>0</v>
      </c>
      <c r="J255" s="7" t="n">
        <v>1124</v>
      </c>
      <c r="K255" s="7" t="n">
        <v>0</v>
      </c>
      <c r="L255" s="7" t="n">
        <v>1411</v>
      </c>
      <c r="M255" s="7" t="n">
        <v>0</v>
      </c>
      <c r="N255" s="7" t="n">
        <v>4038.8</v>
      </c>
      <c r="O255" s="7" t="n">
        <v>0</v>
      </c>
      <c r="P255" s="7" t="n">
        <v>2708.3</v>
      </c>
      <c r="Q255" s="7" t="n">
        <v>0</v>
      </c>
      <c r="R255" s="7" t="n">
        <v>502.9</v>
      </c>
      <c r="S255" s="7" t="n">
        <v>0</v>
      </c>
      <c r="T255" s="7" t="n">
        <v>3070.6</v>
      </c>
      <c r="U255" s="7" t="n">
        <v>0</v>
      </c>
      <c r="V255" s="7" t="n">
        <v>4612</v>
      </c>
      <c r="W255" s="7" t="n">
        <v>0</v>
      </c>
      <c r="X255" s="7" t="n">
        <v>2957.4</v>
      </c>
      <c r="Y255" s="7" t="n">
        <v>0</v>
      </c>
      <c r="Z255" s="7" t="n">
        <v>3862.1</v>
      </c>
      <c r="AA255" s="7" t="n">
        <v>0</v>
      </c>
      <c r="AB255" s="7" t="n">
        <v>33907.8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1408.3</v>
      </c>
      <c r="E256" s="7" t="n">
        <v>0</v>
      </c>
      <c r="F256" s="7" t="n">
        <v>1568.4</v>
      </c>
      <c r="G256" s="7" t="n">
        <v>0</v>
      </c>
      <c r="H256" s="7" t="n">
        <v>45.1</v>
      </c>
      <c r="I256" s="7" t="n">
        <v>0</v>
      </c>
      <c r="J256" s="7" t="n">
        <v>2319</v>
      </c>
      <c r="K256" s="7" t="n">
        <v>0</v>
      </c>
      <c r="L256" s="7" t="n">
        <v>2280.6</v>
      </c>
      <c r="M256" s="7" t="n">
        <v>0</v>
      </c>
      <c r="N256" s="7" t="n">
        <v>1289.7</v>
      </c>
      <c r="O256" s="7" t="n">
        <v>0</v>
      </c>
      <c r="P256" s="7" t="n">
        <v>1644.7</v>
      </c>
      <c r="Q256" s="7" t="n">
        <v>0</v>
      </c>
      <c r="R256" s="7" t="n">
        <v>882.6</v>
      </c>
      <c r="S256" s="7" t="n">
        <v>0</v>
      </c>
      <c r="T256" s="7" t="n">
        <v>422.5</v>
      </c>
      <c r="U256" s="7" t="n">
        <v>0</v>
      </c>
      <c r="V256" s="7" t="n">
        <v>1602.9</v>
      </c>
      <c r="W256" s="7" t="n">
        <v>0</v>
      </c>
      <c r="X256" s="7" t="n">
        <v>1702.4</v>
      </c>
      <c r="Y256" s="7" t="n">
        <v>0</v>
      </c>
      <c r="Z256" s="7" t="n">
        <v>1865.5</v>
      </c>
      <c r="AA256" s="7" t="n">
        <v>0</v>
      </c>
      <c r="AB256" s="7" t="n">
        <v>17031.7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99762.3</v>
      </c>
      <c r="D257" s="7" t="n">
        <v>91306</v>
      </c>
      <c r="E257" s="7" t="n">
        <v>80197.39999999999</v>
      </c>
      <c r="F257" s="7" t="n">
        <v>30709.4</v>
      </c>
      <c r="G257" s="7" t="n">
        <v>79037.89999999999</v>
      </c>
      <c r="H257" s="7" t="n">
        <v>114994.6</v>
      </c>
      <c r="I257" s="7" t="n">
        <v>100349</v>
      </c>
      <c r="J257" s="7" t="n">
        <v>95701.39999999999</v>
      </c>
      <c r="K257" s="7" t="n">
        <v>90025</v>
      </c>
      <c r="L257" s="7" t="n">
        <v>75907.7</v>
      </c>
      <c r="M257" s="7" t="n">
        <v>88210.89999999999</v>
      </c>
      <c r="N257" s="7" t="n">
        <v>109047.2</v>
      </c>
      <c r="O257" s="7" t="n">
        <v>101481.7</v>
      </c>
      <c r="P257" s="7" t="n">
        <v>206492.2</v>
      </c>
      <c r="Q257" s="7" t="n">
        <v>93905</v>
      </c>
      <c r="R257" s="7" t="n">
        <v>110398.4</v>
      </c>
      <c r="S257" s="7" t="n">
        <v>102941.6</v>
      </c>
      <c r="T257" s="7" t="n">
        <v>68235.8</v>
      </c>
      <c r="U257" s="7" t="n">
        <v>78837.5</v>
      </c>
      <c r="V257" s="7" t="n">
        <v>131343.4</v>
      </c>
      <c r="W257" s="7" t="n">
        <v>94604.7</v>
      </c>
      <c r="X257" s="7" t="n">
        <v>60357.5</v>
      </c>
      <c r="Y257" s="7" t="n">
        <v>81683.7</v>
      </c>
      <c r="Z257" s="7" t="n">
        <v>9400.200000000001</v>
      </c>
      <c r="AA257" s="8" t="n">
        <v>1091036.7</v>
      </c>
      <c r="AB257" s="8" t="n">
        <v>1103893.8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26056.1</v>
      </c>
      <c r="D258" s="7" t="n">
        <v>22826.5</v>
      </c>
      <c r="E258" s="7" t="n">
        <v>20463.7</v>
      </c>
      <c r="F258" s="7" t="n">
        <v>7677.4</v>
      </c>
      <c r="G258" s="7" t="n">
        <v>25627.7</v>
      </c>
      <c r="H258" s="7" t="n">
        <v>28748.7</v>
      </c>
      <c r="I258" s="7" t="n">
        <v>24819.2</v>
      </c>
      <c r="J258" s="7" t="n">
        <v>23925.3</v>
      </c>
      <c r="K258" s="7" t="n">
        <v>22021.6</v>
      </c>
      <c r="L258" s="7" t="n">
        <v>18976.9</v>
      </c>
      <c r="M258" s="7" t="n">
        <v>25407.5</v>
      </c>
      <c r="N258" s="7" t="n">
        <v>27261.8</v>
      </c>
      <c r="O258" s="7" t="n">
        <v>23902</v>
      </c>
      <c r="P258" s="7" t="n">
        <v>51623.1</v>
      </c>
      <c r="Q258" s="7" t="n">
        <v>23531.2</v>
      </c>
      <c r="R258" s="7" t="n">
        <v>27599.6</v>
      </c>
      <c r="S258" s="7" t="n">
        <v>25281.7</v>
      </c>
      <c r="T258" s="7" t="n">
        <v>17059</v>
      </c>
      <c r="U258" s="7" t="n">
        <v>20836.7</v>
      </c>
      <c r="V258" s="7" t="n">
        <v>32835.8</v>
      </c>
      <c r="W258" s="7" t="n">
        <v>19649.5</v>
      </c>
      <c r="X258" s="7" t="n">
        <v>15089.4</v>
      </c>
      <c r="Y258" s="7" t="n">
        <v>26294.2</v>
      </c>
      <c r="Z258" s="7" t="n">
        <v>2350.1</v>
      </c>
      <c r="AA258" s="7" t="n">
        <v>283891.1</v>
      </c>
      <c r="AB258" s="7" t="n">
        <v>275973.6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87691.7</v>
      </c>
      <c r="D259" s="7" t="n">
        <v>68479.5</v>
      </c>
      <c r="E259" s="7" t="n">
        <v>74287.2</v>
      </c>
      <c r="F259" s="7" t="n">
        <v>23032</v>
      </c>
      <c r="G259" s="7" t="n">
        <v>82247.5</v>
      </c>
      <c r="H259" s="7" t="n">
        <v>86245.89999999999</v>
      </c>
      <c r="I259" s="7" t="n">
        <v>77243.5</v>
      </c>
      <c r="J259" s="7" t="n">
        <v>71776.10000000001</v>
      </c>
      <c r="K259" s="7" t="n">
        <v>66039.3</v>
      </c>
      <c r="L259" s="7" t="n">
        <v>56930.8</v>
      </c>
      <c r="M259" s="7" t="n">
        <v>78335.3</v>
      </c>
      <c r="N259" s="7" t="n">
        <v>81785.39999999999</v>
      </c>
      <c r="O259" s="7" t="n">
        <v>87884.89999999999</v>
      </c>
      <c r="P259" s="7" t="n">
        <v>154869.1</v>
      </c>
      <c r="Q259" s="7" t="n">
        <v>59221.5</v>
      </c>
      <c r="R259" s="7" t="n">
        <v>82798.8</v>
      </c>
      <c r="S259" s="7" t="n">
        <v>81402.10000000001</v>
      </c>
      <c r="T259" s="7" t="n">
        <v>51176.8</v>
      </c>
      <c r="U259" s="7" t="n">
        <v>70271.89999999999</v>
      </c>
      <c r="V259" s="7" t="n">
        <v>98507.60000000001</v>
      </c>
      <c r="W259" s="7" t="n">
        <v>68018.2</v>
      </c>
      <c r="X259" s="7" t="n">
        <v>45268.1</v>
      </c>
      <c r="Y259" s="7" t="n">
        <v>66042.89999999999</v>
      </c>
      <c r="Z259" s="7" t="n">
        <v>7050.1</v>
      </c>
      <c r="AA259" s="8" t="n">
        <v>898686</v>
      </c>
      <c r="AB259" s="8" t="n">
        <v>827920.2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11366.8</v>
      </c>
      <c r="E260" s="7" t="n">
        <v>0</v>
      </c>
      <c r="F260" s="7" t="n">
        <v>40.4</v>
      </c>
      <c r="G260" s="7" t="n">
        <v>0</v>
      </c>
      <c r="H260" s="7" t="n">
        <v>24414.7</v>
      </c>
      <c r="I260" s="7" t="n">
        <v>0</v>
      </c>
      <c r="J260" s="7" t="n">
        <v>19321.9</v>
      </c>
      <c r="K260" s="7" t="n">
        <v>0</v>
      </c>
      <c r="L260" s="7" t="n">
        <v>6294.4</v>
      </c>
      <c r="M260" s="7" t="n">
        <v>0</v>
      </c>
      <c r="N260" s="7" t="n">
        <v>3415.4</v>
      </c>
      <c r="O260" s="7" t="n">
        <v>0</v>
      </c>
      <c r="P260" s="7" t="n">
        <v>3384.2</v>
      </c>
      <c r="Q260" s="7" t="n">
        <v>0</v>
      </c>
      <c r="R260" s="7" t="n">
        <v>11450.7</v>
      </c>
      <c r="S260" s="7" t="n">
        <v>0</v>
      </c>
      <c r="T260" s="7" t="n">
        <v>5152.7</v>
      </c>
      <c r="U260" s="7" t="n">
        <v>0</v>
      </c>
      <c r="V260" s="7" t="n">
        <v>9289.9</v>
      </c>
      <c r="W260" s="7" t="n">
        <v>0</v>
      </c>
      <c r="X260" s="7" t="n">
        <v>13001</v>
      </c>
      <c r="Y260" s="7" t="n">
        <v>0</v>
      </c>
      <c r="Z260" s="7" t="n">
        <v>974.1</v>
      </c>
      <c r="AA260" s="7" t="n">
        <v>0</v>
      </c>
      <c r="AB260" s="7" t="n">
        <v>108106.2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87691.7</v>
      </c>
      <c r="D261" s="7" t="n">
        <v>57112.7</v>
      </c>
      <c r="E261" s="7" t="n">
        <v>74287.2</v>
      </c>
      <c r="F261" s="7" t="n">
        <v>22991.6</v>
      </c>
      <c r="G261" s="7" t="n">
        <v>82247.5</v>
      </c>
      <c r="H261" s="7" t="n">
        <v>61831.2</v>
      </c>
      <c r="I261" s="7" t="n">
        <v>77243.5</v>
      </c>
      <c r="J261" s="7" t="n">
        <v>52454.2</v>
      </c>
      <c r="K261" s="7" t="n">
        <v>66039.3</v>
      </c>
      <c r="L261" s="7" t="n">
        <v>50636.4</v>
      </c>
      <c r="M261" s="7" t="n">
        <v>78335.3</v>
      </c>
      <c r="N261" s="7" t="n">
        <v>78370</v>
      </c>
      <c r="O261" s="7" t="n">
        <v>87884.89999999999</v>
      </c>
      <c r="P261" s="7" t="n">
        <v>151484.9</v>
      </c>
      <c r="Q261" s="7" t="n">
        <v>59221.5</v>
      </c>
      <c r="R261" s="7" t="n">
        <v>71348.10000000001</v>
      </c>
      <c r="S261" s="7" t="n">
        <v>81402.10000000001</v>
      </c>
      <c r="T261" s="7" t="n">
        <v>46024.1</v>
      </c>
      <c r="U261" s="7" t="n">
        <v>70271.89999999999</v>
      </c>
      <c r="V261" s="7" t="n">
        <v>89217.7</v>
      </c>
      <c r="W261" s="7" t="n">
        <v>68018.2</v>
      </c>
      <c r="X261" s="7" t="n">
        <v>32267.1</v>
      </c>
      <c r="Y261" s="7" t="n">
        <v>66042.89999999999</v>
      </c>
      <c r="Z261" s="7" t="n">
        <v>6076</v>
      </c>
      <c r="AA261" s="8" t="n">
        <v>898686</v>
      </c>
      <c r="AB261" s="8" t="n">
        <v>719814</v>
      </c>
    </row>
    <row r="262">
      <c r="A262" s="4" t="inlineStr">
        <is>
          <t>净利率</t>
        </is>
      </c>
      <c r="D262" s="13" t="n">
        <v>8.1</v>
      </c>
      <c r="F262" s="13" t="n">
        <v>4.9</v>
      </c>
      <c r="H262" s="13" t="n">
        <v>9.199999999999999</v>
      </c>
      <c r="J262" s="13" t="n">
        <v>6.7</v>
      </c>
      <c r="L262" s="13" t="n">
        <v>5.7</v>
      </c>
      <c r="N262" s="13" t="n">
        <v>8.199999999999999</v>
      </c>
      <c r="P262" s="13" t="n">
        <v>9.4</v>
      </c>
      <c r="R262" s="13" t="n">
        <v>8.199999999999999</v>
      </c>
      <c r="T262" s="13" t="n">
        <v>9.199999999999999</v>
      </c>
      <c r="V262" s="13" t="n">
        <v>8.699999999999999</v>
      </c>
      <c r="X262" s="13" t="n">
        <v>6</v>
      </c>
      <c r="Z262" s="13" t="n">
        <v>4</v>
      </c>
    </row>
    <row r="263">
      <c r="A263" s="4" t="inlineStr">
        <is>
          <t>销售达成率</t>
        </is>
      </c>
      <c r="D263" s="13" t="n">
        <v>109.9</v>
      </c>
      <c r="F263" s="13" t="n">
        <v>55.4</v>
      </c>
      <c r="H263" s="13" t="n">
        <v>99</v>
      </c>
      <c r="J263" s="13" t="n">
        <v>105.6</v>
      </c>
      <c r="L263" s="13" t="n">
        <v>115</v>
      </c>
      <c r="N263" s="13" t="n">
        <v>104.2</v>
      </c>
      <c r="P263" s="13" t="n">
        <v>210.9</v>
      </c>
      <c r="R263" s="13" t="n">
        <v>106.4</v>
      </c>
      <c r="T263" s="13" t="n">
        <v>59.6</v>
      </c>
      <c r="V263" s="13" t="n">
        <v>143.7</v>
      </c>
      <c r="X263" s="13" t="n">
        <v>77.7</v>
      </c>
      <c r="Z263" s="13" t="n">
        <v>17.7</v>
      </c>
    </row>
    <row r="264">
      <c r="A264" s="4" t="inlineStr">
        <is>
          <t>净利达成率</t>
        </is>
      </c>
      <c r="D264" s="13" t="n">
        <v>78.09999999999999</v>
      </c>
      <c r="F264" s="13" t="n">
        <v>31</v>
      </c>
      <c r="H264" s="13" t="n">
        <v>104.9</v>
      </c>
      <c r="J264" s="13" t="n">
        <v>92.90000000000001</v>
      </c>
      <c r="L264" s="13" t="n">
        <v>86.2</v>
      </c>
      <c r="N264" s="13" t="n">
        <v>104.4</v>
      </c>
      <c r="P264" s="13" t="n">
        <v>176.2</v>
      </c>
      <c r="R264" s="13" t="n">
        <v>139.8</v>
      </c>
      <c r="T264" s="13" t="n">
        <v>62.9</v>
      </c>
      <c r="V264" s="13" t="n">
        <v>140.2</v>
      </c>
      <c r="X264" s="13" t="n">
        <v>66.59999999999999</v>
      </c>
      <c r="Z264" s="13" t="n">
        <v>10.7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华中区域利润表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2376050.6</v>
      </c>
      <c r="D6" s="7" t="n">
        <v>1611246.1</v>
      </c>
      <c r="E6" s="7" t="n">
        <v>2089869.6</v>
      </c>
      <c r="F6" s="7" t="n">
        <v>265677</v>
      </c>
      <c r="G6" s="7" t="n">
        <v>2273317.9</v>
      </c>
      <c r="H6" s="7" t="n">
        <v>1399908.7</v>
      </c>
      <c r="I6" s="7" t="n">
        <v>2262847.3</v>
      </c>
      <c r="J6" s="7" t="n">
        <v>1649634.3</v>
      </c>
      <c r="K6" s="7" t="n">
        <v>2503538.8</v>
      </c>
      <c r="L6" s="7" t="n">
        <v>3684504.3</v>
      </c>
      <c r="M6" s="7" t="n">
        <v>2637595.4</v>
      </c>
      <c r="N6" s="7" t="n">
        <v>2742711.4</v>
      </c>
      <c r="O6" s="7" t="n">
        <v>2260342.9</v>
      </c>
      <c r="P6" s="7" t="n">
        <v>2918194.5</v>
      </c>
      <c r="Q6" s="7" t="n">
        <v>2520360.4</v>
      </c>
      <c r="R6" s="7" t="n">
        <v>4454881.1</v>
      </c>
      <c r="S6" s="7" t="n">
        <v>2230626.1</v>
      </c>
      <c r="T6" s="7" t="n">
        <v>661489.5</v>
      </c>
      <c r="U6" s="7" t="n">
        <v>2700093.7</v>
      </c>
      <c r="V6" s="7" t="n">
        <v>4001575.6</v>
      </c>
      <c r="W6" s="7" t="n">
        <v>2606034.1</v>
      </c>
      <c r="X6" s="7" t="n">
        <v>2645086.2</v>
      </c>
      <c r="Y6" s="7" t="n">
        <v>2417761.8</v>
      </c>
      <c r="Z6" s="7" t="n">
        <v>2289184</v>
      </c>
      <c r="AA6" s="8" t="n">
        <v>28878438.6</v>
      </c>
      <c r="AB6" s="8" t="n">
        <v>28324092.7</v>
      </c>
    </row>
    <row r="7">
      <c r="A7" s="4" t="inlineStr">
        <is>
          <t>数控机床</t>
        </is>
      </c>
      <c r="D7" s="7" t="n">
        <v>371286.8</v>
      </c>
      <c r="F7" s="7" t="n">
        <v>268979.2</v>
      </c>
      <c r="H7" s="7" t="n">
        <v>0</v>
      </c>
      <c r="J7" s="7" t="n">
        <v>0</v>
      </c>
      <c r="L7" s="7" t="n">
        <v>403133.8</v>
      </c>
      <c r="N7" s="7" t="n">
        <v>0</v>
      </c>
      <c r="P7" s="7" t="n">
        <v>0</v>
      </c>
      <c r="R7" s="7" t="n">
        <v>690340</v>
      </c>
      <c r="T7" s="7" t="n">
        <v>0</v>
      </c>
      <c r="V7" s="7" t="n">
        <v>0</v>
      </c>
      <c r="X7" s="7" t="n">
        <v>0</v>
      </c>
      <c r="Z7" s="7" t="n">
        <v>413091.3</v>
      </c>
      <c r="AB7" s="7" t="n">
        <v>2146831.1</v>
      </c>
    </row>
    <row r="8">
      <c r="A8" s="4" t="inlineStr">
        <is>
          <t>精密轴承</t>
        </is>
      </c>
      <c r="D8" s="7" t="n">
        <v>569463.9</v>
      </c>
      <c r="F8" s="7" t="n">
        <v>0</v>
      </c>
      <c r="H8" s="7" t="n">
        <v>0</v>
      </c>
      <c r="J8" s="7" t="n">
        <v>0</v>
      </c>
      <c r="L8" s="7" t="n">
        <v>0</v>
      </c>
      <c r="N8" s="7" t="n">
        <v>0</v>
      </c>
      <c r="P8" s="7" t="n">
        <v>0</v>
      </c>
      <c r="R8" s="7" t="n">
        <v>0</v>
      </c>
      <c r="T8" s="7" t="n">
        <v>0</v>
      </c>
      <c r="V8" s="7" t="n">
        <v>1169878.4</v>
      </c>
      <c r="X8" s="7" t="n">
        <v>0</v>
      </c>
      <c r="Z8" s="7" t="n">
        <v>661719.9</v>
      </c>
      <c r="AB8" s="7" t="n">
        <v>2401062.2</v>
      </c>
    </row>
    <row r="9">
      <c r="A9" s="4" t="inlineStr">
        <is>
          <t>液压件</t>
        </is>
      </c>
      <c r="D9" s="7" t="n">
        <v>0</v>
      </c>
      <c r="F9" s="7" t="n">
        <v>0</v>
      </c>
      <c r="H9" s="7" t="n">
        <v>0</v>
      </c>
      <c r="J9" s="7" t="n">
        <v>951340.7</v>
      </c>
      <c r="L9" s="7" t="n">
        <v>1277039.2</v>
      </c>
      <c r="N9" s="7" t="n">
        <v>1662916.2</v>
      </c>
      <c r="P9" s="7" t="n">
        <v>1354185</v>
      </c>
      <c r="R9" s="7" t="n">
        <v>1468967.9</v>
      </c>
      <c r="T9" s="7" t="n">
        <v>0</v>
      </c>
      <c r="V9" s="7" t="n">
        <v>0</v>
      </c>
      <c r="X9" s="7" t="n">
        <v>883200.8</v>
      </c>
      <c r="Z9" s="7" t="n">
        <v>927381.9</v>
      </c>
      <c r="AB9" s="7" t="n">
        <v>8525031.699999999</v>
      </c>
    </row>
    <row r="10">
      <c r="A10" s="4" t="inlineStr">
        <is>
          <t>气动元件</t>
        </is>
      </c>
      <c r="D10" s="7" t="n">
        <v>297651.9</v>
      </c>
      <c r="F10" s="7" t="n">
        <v>0</v>
      </c>
      <c r="H10" s="7" t="n">
        <v>0</v>
      </c>
      <c r="J10" s="7" t="n">
        <v>0</v>
      </c>
      <c r="L10" s="7" t="n">
        <v>849323.7</v>
      </c>
      <c r="N10" s="7" t="n">
        <v>0</v>
      </c>
      <c r="P10" s="7" t="n">
        <v>0</v>
      </c>
      <c r="R10" s="7" t="n">
        <v>707826.6</v>
      </c>
      <c r="T10" s="7" t="n">
        <v>0</v>
      </c>
      <c r="V10" s="7" t="n">
        <v>857724.7</v>
      </c>
      <c r="X10" s="7" t="n">
        <v>686137.5</v>
      </c>
      <c r="Z10" s="7" t="n">
        <v>0</v>
      </c>
      <c r="AB10" s="7" t="n">
        <v>3398664.4</v>
      </c>
    </row>
    <row r="11">
      <c r="A11" s="4" t="inlineStr">
        <is>
          <t>模具</t>
        </is>
      </c>
      <c r="D11" s="7" t="n">
        <v>0</v>
      </c>
      <c r="F11" s="7" t="n">
        <v>0</v>
      </c>
      <c r="H11" s="7" t="n">
        <v>848315.8</v>
      </c>
      <c r="J11" s="7" t="n">
        <v>0</v>
      </c>
      <c r="L11" s="7" t="n">
        <v>1201251.8</v>
      </c>
      <c r="N11" s="7" t="n">
        <v>1133555.1</v>
      </c>
      <c r="P11" s="7" t="n">
        <v>1584050.2</v>
      </c>
      <c r="R11" s="7" t="n">
        <v>1148744</v>
      </c>
      <c r="T11" s="7" t="n">
        <v>0</v>
      </c>
      <c r="V11" s="7" t="n">
        <v>1196874.7</v>
      </c>
      <c r="X11" s="7" t="n">
        <v>1088519.6</v>
      </c>
      <c r="Z11" s="7" t="n">
        <v>0</v>
      </c>
      <c r="AB11" s="7" t="n">
        <v>8201311.2</v>
      </c>
    </row>
    <row r="12">
      <c r="A12" s="4" t="inlineStr">
        <is>
          <t>工装夹具</t>
        </is>
      </c>
      <c r="D12" s="7" t="n">
        <v>384148.4</v>
      </c>
      <c r="F12" s="7" t="n">
        <v>0</v>
      </c>
      <c r="H12" s="7" t="n">
        <v>558090.4</v>
      </c>
      <c r="J12" s="7" t="n">
        <v>704992.7</v>
      </c>
      <c r="L12" s="7" t="n">
        <v>0</v>
      </c>
      <c r="N12" s="7" t="n">
        <v>0</v>
      </c>
      <c r="P12" s="7" t="n">
        <v>0</v>
      </c>
      <c r="R12" s="7" t="n">
        <v>462496.6</v>
      </c>
      <c r="T12" s="7" t="n">
        <v>669325.1</v>
      </c>
      <c r="V12" s="7" t="n">
        <v>849243.9</v>
      </c>
      <c r="X12" s="7" t="n">
        <v>0</v>
      </c>
      <c r="Z12" s="7" t="n">
        <v>282361.9</v>
      </c>
      <c r="AB12" s="7" t="n">
        <v>3910659</v>
      </c>
    </row>
    <row r="13">
      <c r="A13" s="4" t="inlineStr">
        <is>
          <t>返利</t>
        </is>
      </c>
      <c r="D13" s="7" t="n">
        <v>-31053</v>
      </c>
      <c r="F13" s="7" t="n">
        <v>-6488.1</v>
      </c>
      <c r="H13" s="7" t="n">
        <v>-32937</v>
      </c>
      <c r="J13" s="7" t="n">
        <v>-21133.8</v>
      </c>
      <c r="L13" s="7" t="n">
        <v>-59453</v>
      </c>
      <c r="N13" s="7" t="n">
        <v>-61641.1</v>
      </c>
      <c r="P13" s="7" t="n">
        <v>-75457.3</v>
      </c>
      <c r="R13" s="7" t="n">
        <v>-53433.5</v>
      </c>
      <c r="T13" s="7" t="n">
        <v>-15702</v>
      </c>
      <c r="V13" s="7" t="n">
        <v>-108750.9</v>
      </c>
      <c r="X13" s="7" t="n">
        <v>-55890.8</v>
      </c>
      <c r="Z13" s="7" t="n">
        <v>-35654.2</v>
      </c>
      <c r="AB13" s="7" t="n">
        <v>-557594.7</v>
      </c>
    </row>
    <row r="14">
      <c r="A14" s="4" t="inlineStr">
        <is>
          <t>其他</t>
        </is>
      </c>
      <c r="D14" s="7" t="n">
        <v>19748.1</v>
      </c>
      <c r="F14" s="7" t="n">
        <v>3185.9</v>
      </c>
      <c r="H14" s="7" t="n">
        <v>26439.5</v>
      </c>
      <c r="J14" s="7" t="n">
        <v>14434.7</v>
      </c>
      <c r="L14" s="7" t="n">
        <v>13208.8</v>
      </c>
      <c r="N14" s="7" t="n">
        <v>7881.2</v>
      </c>
      <c r="P14" s="7" t="n">
        <v>55416.6</v>
      </c>
      <c r="R14" s="7" t="n">
        <v>29939.5</v>
      </c>
      <c r="T14" s="7" t="n">
        <v>7866.4</v>
      </c>
      <c r="V14" s="7" t="n">
        <v>36604.8</v>
      </c>
      <c r="X14" s="7" t="n">
        <v>43119.1</v>
      </c>
      <c r="Z14" s="7" t="n">
        <v>40283.2</v>
      </c>
      <c r="AB14" s="7" t="n">
        <v>298127.8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1614081.4</v>
      </c>
      <c r="D15" s="7" t="n">
        <v>1219158.2</v>
      </c>
      <c r="E15" s="7" t="n">
        <v>2005912.1</v>
      </c>
      <c r="F15" s="7" t="n">
        <v>194211.1</v>
      </c>
      <c r="G15" s="7" t="n">
        <v>1622325.3</v>
      </c>
      <c r="H15" s="7" t="n">
        <v>1072994.1</v>
      </c>
      <c r="I15" s="7" t="n">
        <v>2005717</v>
      </c>
      <c r="J15" s="7" t="n">
        <v>1303967.3</v>
      </c>
      <c r="K15" s="7" t="n">
        <v>1745372.7</v>
      </c>
      <c r="L15" s="7" t="n">
        <v>2771186.9</v>
      </c>
      <c r="M15" s="7" t="n">
        <v>1998049.7</v>
      </c>
      <c r="N15" s="7" t="n">
        <v>2240254</v>
      </c>
      <c r="O15" s="7" t="n">
        <v>1932500.6</v>
      </c>
      <c r="P15" s="7" t="n">
        <v>2285803.3</v>
      </c>
      <c r="Q15" s="7" t="n">
        <v>1554989.5</v>
      </c>
      <c r="R15" s="7" t="n">
        <v>3369030.4</v>
      </c>
      <c r="S15" s="7" t="n">
        <v>1945594.7</v>
      </c>
      <c r="T15" s="7" t="n">
        <v>509717.9</v>
      </c>
      <c r="U15" s="7" t="n">
        <v>1579697.6</v>
      </c>
      <c r="V15" s="7" t="n">
        <v>3059256.9</v>
      </c>
      <c r="W15" s="7" t="n">
        <v>1762894.3</v>
      </c>
      <c r="X15" s="7" t="n">
        <v>1987453.5</v>
      </c>
      <c r="Y15" s="7" t="n">
        <v>2049768</v>
      </c>
      <c r="Z15" s="7" t="n">
        <v>1800701.5</v>
      </c>
      <c r="AA15" s="8" t="n">
        <v>21816902.9</v>
      </c>
      <c r="AB15" s="8" t="n">
        <v>21813735.1</v>
      </c>
    </row>
    <row r="16">
      <c r="A16" s="4" t="inlineStr">
        <is>
          <t>数控机床</t>
        </is>
      </c>
      <c r="D16" s="7" t="n">
        <v>257710.2</v>
      </c>
      <c r="F16" s="7" t="n">
        <v>186698.5</v>
      </c>
      <c r="H16" s="7" t="n">
        <v>0</v>
      </c>
      <c r="J16" s="7" t="n">
        <v>0</v>
      </c>
      <c r="L16" s="7" t="n">
        <v>279815.2</v>
      </c>
      <c r="N16" s="7" t="n">
        <v>0</v>
      </c>
      <c r="P16" s="7" t="n">
        <v>0</v>
      </c>
      <c r="R16" s="7" t="n">
        <v>479165.1</v>
      </c>
      <c r="T16" s="7" t="n">
        <v>0</v>
      </c>
      <c r="V16" s="7" t="n">
        <v>0</v>
      </c>
      <c r="X16" s="7" t="n">
        <v>0</v>
      </c>
      <c r="Z16" s="7" t="n">
        <v>286726.7</v>
      </c>
      <c r="AB16" s="7" t="n">
        <v>1490115.7</v>
      </c>
    </row>
    <row r="17">
      <c r="A17" s="4" t="inlineStr">
        <is>
          <t>精密轴承</t>
        </is>
      </c>
      <c r="D17" s="7" t="n">
        <v>415880.6</v>
      </c>
      <c r="F17" s="7" t="n">
        <v>0</v>
      </c>
      <c r="H17" s="7" t="n">
        <v>0</v>
      </c>
      <c r="J17" s="7" t="n">
        <v>0</v>
      </c>
      <c r="L17" s="7" t="n">
        <v>0</v>
      </c>
      <c r="N17" s="7" t="n">
        <v>0</v>
      </c>
      <c r="P17" s="7" t="n">
        <v>0</v>
      </c>
      <c r="R17" s="7" t="n">
        <v>0</v>
      </c>
      <c r="T17" s="7" t="n">
        <v>0</v>
      </c>
      <c r="V17" s="7" t="n">
        <v>854364.4</v>
      </c>
      <c r="X17" s="7" t="n">
        <v>0</v>
      </c>
      <c r="Z17" s="7" t="n">
        <v>483255.3</v>
      </c>
      <c r="AB17" s="7" t="n">
        <v>1753500.3</v>
      </c>
    </row>
    <row r="18">
      <c r="A18" s="4" t="inlineStr">
        <is>
          <t>液压件</t>
        </is>
      </c>
      <c r="D18" s="7" t="n">
        <v>0</v>
      </c>
      <c r="F18" s="7" t="n">
        <v>0</v>
      </c>
      <c r="H18" s="7" t="n">
        <v>0</v>
      </c>
      <c r="J18" s="7" t="n">
        <v>745103.9</v>
      </c>
      <c r="L18" s="7" t="n">
        <v>1000195.7</v>
      </c>
      <c r="N18" s="7" t="n">
        <v>1302420.2</v>
      </c>
      <c r="P18" s="7" t="n">
        <v>1060617.4</v>
      </c>
      <c r="R18" s="7" t="n">
        <v>1150517</v>
      </c>
      <c r="T18" s="7" t="n">
        <v>0</v>
      </c>
      <c r="V18" s="7" t="n">
        <v>0</v>
      </c>
      <c r="X18" s="7" t="n">
        <v>691735.7</v>
      </c>
      <c r="Z18" s="7" t="n">
        <v>726339</v>
      </c>
      <c r="AB18" s="7" t="n">
        <v>6676928.9</v>
      </c>
    </row>
    <row r="19">
      <c r="A19" s="4" t="inlineStr">
        <is>
          <t>气动元件</t>
        </is>
      </c>
      <c r="D19" s="7" t="n">
        <v>189395.3</v>
      </c>
      <c r="F19" s="7" t="n">
        <v>0</v>
      </c>
      <c r="H19" s="7" t="n">
        <v>0</v>
      </c>
      <c r="J19" s="7" t="n">
        <v>0</v>
      </c>
      <c r="L19" s="7" t="n">
        <v>540422.8</v>
      </c>
      <c r="N19" s="7" t="n">
        <v>0</v>
      </c>
      <c r="P19" s="7" t="n">
        <v>0</v>
      </c>
      <c r="R19" s="7" t="n">
        <v>450388.5</v>
      </c>
      <c r="T19" s="7" t="n">
        <v>0</v>
      </c>
      <c r="V19" s="7" t="n">
        <v>545768.4</v>
      </c>
      <c r="X19" s="7" t="n">
        <v>436587.8</v>
      </c>
      <c r="Z19" s="7" t="n">
        <v>0</v>
      </c>
      <c r="AB19" s="7" t="n">
        <v>2162562.8</v>
      </c>
    </row>
    <row r="20">
      <c r="A20" s="4" t="inlineStr">
        <is>
          <t>模具</t>
        </is>
      </c>
      <c r="D20" s="7" t="n">
        <v>0</v>
      </c>
      <c r="F20" s="7" t="n">
        <v>0</v>
      </c>
      <c r="H20" s="7" t="n">
        <v>608298.4</v>
      </c>
      <c r="J20" s="7" t="n">
        <v>0</v>
      </c>
      <c r="L20" s="7" t="n">
        <v>861376.7</v>
      </c>
      <c r="N20" s="7" t="n">
        <v>812833.7</v>
      </c>
      <c r="P20" s="7" t="n">
        <v>1135868.4</v>
      </c>
      <c r="R20" s="7" t="n">
        <v>823725.2</v>
      </c>
      <c r="T20" s="7" t="n">
        <v>0</v>
      </c>
      <c r="V20" s="7" t="n">
        <v>858238.1</v>
      </c>
      <c r="X20" s="7" t="n">
        <v>780540.3</v>
      </c>
      <c r="Z20" s="7" t="n">
        <v>0</v>
      </c>
      <c r="AB20" s="7" t="n">
        <v>5880880.8</v>
      </c>
    </row>
    <row r="21">
      <c r="A21" s="4" t="inlineStr">
        <is>
          <t>工装夹具</t>
        </is>
      </c>
      <c r="D21" s="7" t="n">
        <v>279259.3</v>
      </c>
      <c r="F21" s="7" t="n">
        <v>0</v>
      </c>
      <c r="H21" s="7" t="n">
        <v>405707.7</v>
      </c>
      <c r="J21" s="7" t="n">
        <v>512499.3</v>
      </c>
      <c r="L21" s="7" t="n">
        <v>0</v>
      </c>
      <c r="N21" s="7" t="n">
        <v>0</v>
      </c>
      <c r="P21" s="7" t="n">
        <v>0</v>
      </c>
      <c r="R21" s="7" t="n">
        <v>336215.1</v>
      </c>
      <c r="T21" s="7" t="n">
        <v>486570.5</v>
      </c>
      <c r="V21" s="7" t="n">
        <v>617363.8</v>
      </c>
      <c r="X21" s="7" t="n">
        <v>0</v>
      </c>
      <c r="Z21" s="7" t="n">
        <v>205264.9</v>
      </c>
      <c r="AB21" s="7" t="n">
        <v>2842880.6</v>
      </c>
    </row>
    <row r="22">
      <c r="A22" s="4" t="inlineStr">
        <is>
          <t>其他</t>
        </is>
      </c>
      <c r="D22" s="7" t="n">
        <v>20525.6</v>
      </c>
      <c r="F22" s="7" t="n">
        <v>1531</v>
      </c>
      <c r="H22" s="7" t="n">
        <v>19279.1</v>
      </c>
      <c r="J22" s="7" t="n">
        <v>11553.8</v>
      </c>
      <c r="L22" s="7" t="n">
        <v>11331.8</v>
      </c>
      <c r="N22" s="7" t="n">
        <v>5754</v>
      </c>
      <c r="P22" s="7" t="n">
        <v>37235.6</v>
      </c>
      <c r="R22" s="7" t="n">
        <v>30456.3</v>
      </c>
      <c r="T22" s="7" t="n">
        <v>1728.5</v>
      </c>
      <c r="V22" s="7" t="n">
        <v>9372.299999999999</v>
      </c>
      <c r="X22" s="7" t="n">
        <v>21378.9</v>
      </c>
      <c r="Z22" s="7" t="n">
        <v>11165.8</v>
      </c>
      <c r="AB22" s="7" t="n">
        <v>181312.7</v>
      </c>
    </row>
    <row r="23">
      <c r="A23" s="4" t="inlineStr">
        <is>
          <t>运费</t>
        </is>
      </c>
      <c r="D23" s="7" t="n">
        <v>76912.8</v>
      </c>
      <c r="F23" s="7" t="n">
        <v>7512.6</v>
      </c>
      <c r="H23" s="7" t="n">
        <v>58988</v>
      </c>
      <c r="J23" s="7" t="n">
        <v>46364.1</v>
      </c>
      <c r="L23" s="7" t="n">
        <v>89376.5</v>
      </c>
      <c r="N23" s="7" t="n">
        <v>125000.1</v>
      </c>
      <c r="P23" s="7" t="n">
        <v>89317.5</v>
      </c>
      <c r="R23" s="7" t="n">
        <v>129019.5</v>
      </c>
      <c r="T23" s="7" t="n">
        <v>23147.4</v>
      </c>
      <c r="V23" s="7" t="n">
        <v>183522.2</v>
      </c>
      <c r="X23" s="7" t="n">
        <v>78589.7</v>
      </c>
      <c r="Z23" s="7" t="n">
        <v>99115.60000000001</v>
      </c>
      <c r="AB23" s="7" t="n">
        <v>1006866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761969.2</v>
      </c>
      <c r="D24" s="7" t="n">
        <v>392087.9</v>
      </c>
      <c r="E24" s="7" t="n">
        <v>83957.5</v>
      </c>
      <c r="F24" s="7" t="n">
        <v>71465.89999999999</v>
      </c>
      <c r="G24" s="7" t="n">
        <v>650992.6</v>
      </c>
      <c r="H24" s="7" t="n">
        <v>326914.6</v>
      </c>
      <c r="I24" s="7" t="n">
        <v>257130.3</v>
      </c>
      <c r="J24" s="7" t="n">
        <v>345667</v>
      </c>
      <c r="K24" s="7" t="n">
        <v>758166.1</v>
      </c>
      <c r="L24" s="7" t="n">
        <v>913317.4</v>
      </c>
      <c r="M24" s="7" t="n">
        <v>639545.7</v>
      </c>
      <c r="N24" s="7" t="n">
        <v>502457.4</v>
      </c>
      <c r="O24" s="7" t="n">
        <v>327842.3</v>
      </c>
      <c r="P24" s="7" t="n">
        <v>632391.2</v>
      </c>
      <c r="Q24" s="7" t="n">
        <v>965370.9</v>
      </c>
      <c r="R24" s="7" t="n">
        <v>1085850.7</v>
      </c>
      <c r="S24" s="7" t="n">
        <v>285031.4</v>
      </c>
      <c r="T24" s="7" t="n">
        <v>151771.6</v>
      </c>
      <c r="U24" s="7" t="n">
        <v>1120396.1</v>
      </c>
      <c r="V24" s="7" t="n">
        <v>942318.7</v>
      </c>
      <c r="W24" s="7" t="n">
        <v>843139.8</v>
      </c>
      <c r="X24" s="7" t="n">
        <v>657632.7</v>
      </c>
      <c r="Y24" s="7" t="n">
        <v>367993.8</v>
      </c>
      <c r="Z24" s="7" t="n">
        <v>488482.5</v>
      </c>
      <c r="AA24" s="8" t="n">
        <v>7061535.7</v>
      </c>
      <c r="AB24" s="8" t="n">
        <v>6510357.6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32.1</v>
      </c>
      <c r="D25" s="13" t="n">
        <v>24.3</v>
      </c>
      <c r="E25" s="13" t="n">
        <v>4</v>
      </c>
      <c r="F25" s="13" t="n">
        <v>26.9</v>
      </c>
      <c r="G25" s="13" t="n">
        <v>28.6</v>
      </c>
      <c r="H25" s="13" t="n">
        <v>23.4</v>
      </c>
      <c r="I25" s="13" t="n">
        <v>11.4</v>
      </c>
      <c r="J25" s="13" t="n">
        <v>21</v>
      </c>
      <c r="K25" s="13" t="n">
        <v>30.3</v>
      </c>
      <c r="L25" s="13" t="n">
        <v>24.8</v>
      </c>
      <c r="M25" s="13" t="n">
        <v>24.2</v>
      </c>
      <c r="N25" s="13" t="n">
        <v>18.3</v>
      </c>
      <c r="O25" s="13" t="n">
        <v>14.5</v>
      </c>
      <c r="P25" s="13" t="n">
        <v>21.7</v>
      </c>
      <c r="Q25" s="13" t="n">
        <v>38.3</v>
      </c>
      <c r="R25" s="13" t="n">
        <v>24.4</v>
      </c>
      <c r="S25" s="13" t="n">
        <v>12.8</v>
      </c>
      <c r="T25" s="13" t="n">
        <v>22.9</v>
      </c>
      <c r="U25" s="13" t="n">
        <v>41.5</v>
      </c>
      <c r="V25" s="13" t="n">
        <v>23.5</v>
      </c>
      <c r="W25" s="13" t="n">
        <v>32.4</v>
      </c>
      <c r="X25" s="13" t="n">
        <v>24.9</v>
      </c>
      <c r="Y25" s="13" t="n">
        <v>15.2</v>
      </c>
      <c r="Z25" s="13" t="n">
        <v>21.3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22500.3</v>
      </c>
      <c r="D26" s="7" t="n">
        <v>19675.2</v>
      </c>
      <c r="E26" s="7" t="n">
        <v>22291.4</v>
      </c>
      <c r="F26" s="7" t="n">
        <v>3420.7</v>
      </c>
      <c r="G26" s="7" t="n">
        <v>26057.4</v>
      </c>
      <c r="H26" s="7" t="n">
        <v>7070.3</v>
      </c>
      <c r="I26" s="7" t="n">
        <v>25989.9</v>
      </c>
      <c r="J26" s="7" t="n">
        <v>9715.700000000001</v>
      </c>
      <c r="K26" s="7" t="n">
        <v>25095.2</v>
      </c>
      <c r="L26" s="7" t="n">
        <v>37588.2</v>
      </c>
      <c r="M26" s="7" t="n">
        <v>22178.4</v>
      </c>
      <c r="N26" s="7" t="n">
        <v>39641</v>
      </c>
      <c r="O26" s="7" t="n">
        <v>22927.7</v>
      </c>
      <c r="P26" s="7" t="n">
        <v>38427.6</v>
      </c>
      <c r="Q26" s="7" t="n">
        <v>20005</v>
      </c>
      <c r="R26" s="7" t="n">
        <v>30416.5</v>
      </c>
      <c r="S26" s="7" t="n">
        <v>22028.2</v>
      </c>
      <c r="T26" s="7" t="n">
        <v>7864.1</v>
      </c>
      <c r="U26" s="7" t="n">
        <v>23487.8</v>
      </c>
      <c r="V26" s="7" t="n">
        <v>48702.2</v>
      </c>
      <c r="W26" s="7" t="n">
        <v>24425.4</v>
      </c>
      <c r="X26" s="7" t="n">
        <v>19583.4</v>
      </c>
      <c r="Y26" s="7" t="n">
        <v>26160</v>
      </c>
      <c r="Z26" s="7" t="n">
        <v>14564.9</v>
      </c>
      <c r="AA26" s="8" t="n">
        <v>283146.7</v>
      </c>
      <c r="AB26" s="8" t="n">
        <v>276669.8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338532.5</v>
      </c>
      <c r="D27" s="7" t="n">
        <v>143637.2</v>
      </c>
      <c r="E27" s="7" t="n">
        <v>289657.2</v>
      </c>
      <c r="F27" s="7" t="n">
        <v>36513.6</v>
      </c>
      <c r="G27" s="7" t="n">
        <v>345447.8</v>
      </c>
      <c r="H27" s="7" t="n">
        <v>248445.2</v>
      </c>
      <c r="I27" s="7" t="n">
        <v>343271.6</v>
      </c>
      <c r="J27" s="7" t="n">
        <v>232667.5</v>
      </c>
      <c r="K27" s="7" t="n">
        <v>273174.1</v>
      </c>
      <c r="L27" s="7" t="n">
        <v>605673.7</v>
      </c>
      <c r="M27" s="7" t="n">
        <v>322032.1</v>
      </c>
      <c r="N27" s="7" t="n">
        <v>462396.1</v>
      </c>
      <c r="O27" s="7" t="n">
        <v>287026</v>
      </c>
      <c r="P27" s="7" t="n">
        <v>265324.4</v>
      </c>
      <c r="Q27" s="7" t="n">
        <v>271242.4</v>
      </c>
      <c r="R27" s="7" t="n">
        <v>720034.2</v>
      </c>
      <c r="S27" s="7" t="n">
        <v>274843.5</v>
      </c>
      <c r="T27" s="7" t="n">
        <v>58619.5</v>
      </c>
      <c r="U27" s="7" t="n">
        <v>308847</v>
      </c>
      <c r="V27" s="7" t="n">
        <v>394527.3</v>
      </c>
      <c r="W27" s="7" t="n">
        <v>297842.9</v>
      </c>
      <c r="X27" s="7" t="n">
        <v>232997.9</v>
      </c>
      <c r="Y27" s="7" t="n">
        <v>269527.4</v>
      </c>
      <c r="Z27" s="7" t="n">
        <v>384608.5</v>
      </c>
      <c r="AA27" s="8" t="n">
        <v>3621444.5</v>
      </c>
      <c r="AB27" s="8" t="n">
        <v>3785445.1</v>
      </c>
    </row>
    <row r="28">
      <c r="A28" s="4" t="inlineStr">
        <is>
          <t>职工薪酬</t>
        </is>
      </c>
      <c r="D28" s="7" t="n">
        <v>74668.2</v>
      </c>
      <c r="F28" s="7" t="n">
        <v>18511.8</v>
      </c>
      <c r="H28" s="7" t="n">
        <v>129543.3</v>
      </c>
      <c r="J28" s="7" t="n">
        <v>116121.2</v>
      </c>
      <c r="L28" s="7" t="n">
        <v>335190.1</v>
      </c>
      <c r="N28" s="7" t="n">
        <v>227223.1</v>
      </c>
      <c r="P28" s="7" t="n">
        <v>120255</v>
      </c>
      <c r="R28" s="7" t="n">
        <v>304209.2</v>
      </c>
      <c r="T28" s="7" t="n">
        <v>36928.2</v>
      </c>
      <c r="V28" s="7" t="n">
        <v>227879.9</v>
      </c>
      <c r="X28" s="7" t="n">
        <v>110088</v>
      </c>
      <c r="Z28" s="7" t="n">
        <v>201133.9</v>
      </c>
      <c r="AB28" s="7" t="n">
        <v>1901751.9</v>
      </c>
    </row>
    <row r="29">
      <c r="A29" s="4" t="inlineStr">
        <is>
          <t>工资</t>
        </is>
      </c>
      <c r="D29" s="7" t="n">
        <v>44836</v>
      </c>
      <c r="F29" s="7" t="n">
        <v>10745.9</v>
      </c>
      <c r="H29" s="7" t="n">
        <v>78696.89999999999</v>
      </c>
      <c r="J29" s="7" t="n">
        <v>72861</v>
      </c>
      <c r="L29" s="7" t="n">
        <v>221517.2</v>
      </c>
      <c r="N29" s="7" t="n">
        <v>131404.9</v>
      </c>
      <c r="P29" s="7" t="n">
        <v>61998.6</v>
      </c>
      <c r="R29" s="7" t="n">
        <v>184527.7</v>
      </c>
      <c r="T29" s="7" t="n">
        <v>22403.1</v>
      </c>
      <c r="V29" s="7" t="n">
        <v>137247.5</v>
      </c>
      <c r="X29" s="7" t="n">
        <v>66268.2</v>
      </c>
      <c r="Z29" s="7" t="n">
        <v>131492.4</v>
      </c>
      <c r="AB29" s="7" t="n">
        <v>1163999.4</v>
      </c>
    </row>
    <row r="30">
      <c r="A30" s="4" t="inlineStr">
        <is>
          <t>奖金及提成</t>
        </is>
      </c>
      <c r="D30" s="7" t="n">
        <v>18322.4</v>
      </c>
      <c r="F30" s="7" t="n">
        <v>4293.3</v>
      </c>
      <c r="H30" s="7" t="n">
        <v>25063.2</v>
      </c>
      <c r="J30" s="7" t="n">
        <v>18258.6</v>
      </c>
      <c r="L30" s="7" t="n">
        <v>59627.4</v>
      </c>
      <c r="N30" s="7" t="n">
        <v>54695.2</v>
      </c>
      <c r="P30" s="7" t="n">
        <v>31482.4</v>
      </c>
      <c r="R30" s="7" t="n">
        <v>53972.7</v>
      </c>
      <c r="T30" s="7" t="n">
        <v>7274.8</v>
      </c>
      <c r="V30" s="7" t="n">
        <v>44787.2</v>
      </c>
      <c r="X30" s="7" t="n">
        <v>17298.6</v>
      </c>
      <c r="Z30" s="7" t="n">
        <v>32872.1</v>
      </c>
      <c r="AB30" s="7" t="n">
        <v>367947.9</v>
      </c>
    </row>
    <row r="31">
      <c r="A31" s="4" t="inlineStr">
        <is>
          <t>社保</t>
        </is>
      </c>
      <c r="D31" s="7" t="n">
        <v>8356.700000000001</v>
      </c>
      <c r="F31" s="7" t="n">
        <v>2661.3</v>
      </c>
      <c r="H31" s="7" t="n">
        <v>20608.8</v>
      </c>
      <c r="J31" s="7" t="n">
        <v>19850.5</v>
      </c>
      <c r="L31" s="7" t="n">
        <v>40365.4</v>
      </c>
      <c r="N31" s="7" t="n">
        <v>29959.8</v>
      </c>
      <c r="P31" s="7" t="n">
        <v>20821.9</v>
      </c>
      <c r="R31" s="7" t="n">
        <v>50578.8</v>
      </c>
      <c r="T31" s="7" t="n">
        <v>6014.3</v>
      </c>
      <c r="V31" s="7" t="n">
        <v>36934.2</v>
      </c>
      <c r="X31" s="7" t="n">
        <v>21193.9</v>
      </c>
      <c r="Z31" s="7" t="n">
        <v>29621.3</v>
      </c>
      <c r="AB31" s="7" t="n">
        <v>286966.9</v>
      </c>
    </row>
    <row r="32">
      <c r="A32" s="4" t="inlineStr">
        <is>
          <t>养老</t>
        </is>
      </c>
      <c r="D32" s="7" t="n">
        <v>606.5</v>
      </c>
      <c r="F32" s="7" t="n">
        <v>106</v>
      </c>
      <c r="H32" s="7" t="n">
        <v>1043.9</v>
      </c>
      <c r="J32" s="7" t="n">
        <v>632.3</v>
      </c>
      <c r="L32" s="7" t="n">
        <v>2118.6</v>
      </c>
      <c r="N32" s="7" t="n">
        <v>1498.9</v>
      </c>
      <c r="P32" s="7" t="n">
        <v>787.5</v>
      </c>
      <c r="R32" s="7" t="n">
        <v>2542</v>
      </c>
      <c r="T32" s="7" t="n">
        <v>145.7</v>
      </c>
      <c r="V32" s="7" t="n">
        <v>1298.1</v>
      </c>
      <c r="X32" s="7" t="n">
        <v>653.5</v>
      </c>
      <c r="Z32" s="7" t="n">
        <v>1359.6</v>
      </c>
      <c r="AB32" s="7" t="n">
        <v>12792.6</v>
      </c>
    </row>
    <row r="33">
      <c r="A33" s="4" t="inlineStr">
        <is>
          <t>医疗</t>
        </is>
      </c>
      <c r="D33" s="7" t="n">
        <v>1209.9</v>
      </c>
      <c r="F33" s="7" t="n">
        <v>292.6</v>
      </c>
      <c r="H33" s="7" t="n">
        <v>2029.3</v>
      </c>
      <c r="J33" s="7" t="n">
        <v>1513.1</v>
      </c>
      <c r="L33" s="7" t="n">
        <v>4042.1</v>
      </c>
      <c r="N33" s="7" t="n">
        <v>3843</v>
      </c>
      <c r="P33" s="7" t="n">
        <v>1533.8</v>
      </c>
      <c r="R33" s="7" t="n">
        <v>3910</v>
      </c>
      <c r="T33" s="7" t="n">
        <v>476.6</v>
      </c>
      <c r="V33" s="7" t="n">
        <v>3018</v>
      </c>
      <c r="X33" s="7" t="n">
        <v>1630.7</v>
      </c>
      <c r="Z33" s="7" t="n">
        <v>3020</v>
      </c>
      <c r="AB33" s="7" t="n">
        <v>26519.1</v>
      </c>
    </row>
    <row r="34">
      <c r="A34" s="4" t="inlineStr">
        <is>
          <t>工伤</t>
        </is>
      </c>
      <c r="D34" s="7" t="n">
        <v>299.2</v>
      </c>
      <c r="F34" s="7" t="n">
        <v>70.8</v>
      </c>
      <c r="H34" s="7" t="n">
        <v>595.4</v>
      </c>
      <c r="J34" s="7" t="n">
        <v>599</v>
      </c>
      <c r="L34" s="7" t="n">
        <v>1558.2</v>
      </c>
      <c r="N34" s="7" t="n">
        <v>1065.8</v>
      </c>
      <c r="P34" s="7" t="n">
        <v>515.6</v>
      </c>
      <c r="R34" s="7" t="n">
        <v>1755.6</v>
      </c>
      <c r="T34" s="7" t="n">
        <v>167.2</v>
      </c>
      <c r="V34" s="7" t="n">
        <v>957.1</v>
      </c>
      <c r="X34" s="7" t="n">
        <v>569.6</v>
      </c>
      <c r="Z34" s="7" t="n">
        <v>960.4</v>
      </c>
      <c r="AB34" s="7" t="n">
        <v>9113.9</v>
      </c>
    </row>
    <row r="35">
      <c r="A35" s="4" t="inlineStr">
        <is>
          <t>失业</t>
        </is>
      </c>
      <c r="D35" s="7" t="n">
        <v>157.1</v>
      </c>
      <c r="F35" s="7" t="n">
        <v>58.9</v>
      </c>
      <c r="H35" s="7" t="n">
        <v>354.5</v>
      </c>
      <c r="J35" s="7" t="n">
        <v>322</v>
      </c>
      <c r="L35" s="7" t="n">
        <v>736.3</v>
      </c>
      <c r="N35" s="7" t="n">
        <v>724.1</v>
      </c>
      <c r="P35" s="7" t="n">
        <v>273.9</v>
      </c>
      <c r="R35" s="7" t="n">
        <v>968.7</v>
      </c>
      <c r="T35" s="7" t="n">
        <v>88.7</v>
      </c>
      <c r="V35" s="7" t="n">
        <v>606.6</v>
      </c>
      <c r="X35" s="7" t="n">
        <v>346.1</v>
      </c>
      <c r="Z35" s="7" t="n">
        <v>550.7</v>
      </c>
      <c r="AB35" s="7" t="n">
        <v>5187.6</v>
      </c>
    </row>
    <row r="36">
      <c r="A36" s="4" t="inlineStr">
        <is>
          <t>生育</t>
        </is>
      </c>
      <c r="D36" s="7" t="n">
        <v>636.6</v>
      </c>
      <c r="F36" s="7" t="n">
        <v>159.7</v>
      </c>
      <c r="H36" s="7" t="n">
        <v>1101.4</v>
      </c>
      <c r="J36" s="7" t="n">
        <v>1584.2</v>
      </c>
      <c r="L36" s="7" t="n">
        <v>4468.3</v>
      </c>
      <c r="N36" s="7" t="n">
        <v>2041.2</v>
      </c>
      <c r="P36" s="7" t="n">
        <v>1999.1</v>
      </c>
      <c r="R36" s="7" t="n">
        <v>2987.9</v>
      </c>
      <c r="T36" s="7" t="n">
        <v>306.7</v>
      </c>
      <c r="V36" s="7" t="n">
        <v>2018</v>
      </c>
      <c r="X36" s="7" t="n">
        <v>1719.8</v>
      </c>
      <c r="Z36" s="7" t="n">
        <v>2488.2</v>
      </c>
      <c r="AB36" s="7" t="n">
        <v>21511.1</v>
      </c>
    </row>
    <row r="37">
      <c r="A37" s="4" t="inlineStr">
        <is>
          <t>公积金</t>
        </is>
      </c>
      <c r="D37" s="7" t="n">
        <v>57</v>
      </c>
      <c r="F37" s="7" t="n">
        <v>10.4</v>
      </c>
      <c r="H37" s="7" t="n">
        <v>62.8</v>
      </c>
      <c r="J37" s="7" t="n">
        <v>93.09999999999999</v>
      </c>
      <c r="L37" s="7" t="n">
        <v>197.8</v>
      </c>
      <c r="N37" s="7" t="n">
        <v>137.5</v>
      </c>
      <c r="P37" s="7" t="n">
        <v>111.8</v>
      </c>
      <c r="R37" s="7" t="n">
        <v>321</v>
      </c>
      <c r="T37" s="7" t="n">
        <v>23.2</v>
      </c>
      <c r="V37" s="7" t="n">
        <v>104.7</v>
      </c>
      <c r="X37" s="7" t="n">
        <v>66.5</v>
      </c>
      <c r="Z37" s="7" t="n">
        <v>95.40000000000001</v>
      </c>
      <c r="AB37" s="7" t="n">
        <v>1281.2</v>
      </c>
    </row>
    <row r="38">
      <c r="A38" s="4" t="inlineStr">
        <is>
          <t>工会经费</t>
        </is>
      </c>
      <c r="D38" s="7" t="n">
        <v>60.8</v>
      </c>
      <c r="F38" s="7" t="n">
        <v>19.1</v>
      </c>
      <c r="H38" s="7" t="n">
        <v>119.7</v>
      </c>
      <c r="J38" s="7" t="n">
        <v>148.4</v>
      </c>
      <c r="L38" s="7" t="n">
        <v>341.4</v>
      </c>
      <c r="N38" s="7" t="n">
        <v>306.7</v>
      </c>
      <c r="P38" s="7" t="n">
        <v>105.8</v>
      </c>
      <c r="R38" s="7" t="n">
        <v>310.3</v>
      </c>
      <c r="T38" s="7" t="n">
        <v>30.2</v>
      </c>
      <c r="V38" s="7" t="n">
        <v>254</v>
      </c>
      <c r="X38" s="7" t="n">
        <v>158.1</v>
      </c>
      <c r="Z38" s="7" t="n">
        <v>155.9</v>
      </c>
      <c r="AB38" s="7" t="n">
        <v>2010.4</v>
      </c>
    </row>
    <row r="39">
      <c r="A39" s="4" t="inlineStr">
        <is>
          <t>职工教育经费</t>
        </is>
      </c>
      <c r="D39" s="7" t="n">
        <v>86.59999999999999</v>
      </c>
      <c r="F39" s="7" t="n">
        <v>30.1</v>
      </c>
      <c r="H39" s="7" t="n">
        <v>146.4</v>
      </c>
      <c r="J39" s="7" t="n">
        <v>207.8</v>
      </c>
      <c r="L39" s="7" t="n">
        <v>564.2</v>
      </c>
      <c r="N39" s="7" t="n">
        <v>367.8</v>
      </c>
      <c r="P39" s="7" t="n">
        <v>214.7</v>
      </c>
      <c r="R39" s="7" t="n">
        <v>448.5</v>
      </c>
      <c r="T39" s="7" t="n">
        <v>46.1</v>
      </c>
      <c r="V39" s="7" t="n">
        <v>307.4</v>
      </c>
      <c r="X39" s="7" t="n">
        <v>122</v>
      </c>
      <c r="Z39" s="7" t="n">
        <v>243.4</v>
      </c>
      <c r="AB39" s="7" t="n">
        <v>2785</v>
      </c>
    </row>
    <row r="40">
      <c r="A40" s="4" t="inlineStr">
        <is>
          <t>福利费</t>
        </is>
      </c>
      <c r="D40" s="7" t="n">
        <v>2948.7</v>
      </c>
      <c r="F40" s="7" t="n">
        <v>751.7</v>
      </c>
      <c r="H40" s="7" t="n">
        <v>4845.5</v>
      </c>
      <c r="J40" s="7" t="n">
        <v>4701.8</v>
      </c>
      <c r="L40" s="7" t="n">
        <v>12576.7</v>
      </c>
      <c r="N40" s="7" t="n">
        <v>10351.2</v>
      </c>
      <c r="P40" s="7" t="n">
        <v>5519.8</v>
      </c>
      <c r="R40" s="7" t="n">
        <v>14050.2</v>
      </c>
      <c r="T40" s="7" t="n">
        <v>1136.5</v>
      </c>
      <c r="V40" s="7" t="n">
        <v>8244.9</v>
      </c>
      <c r="X40" s="7" t="n">
        <v>4980.7</v>
      </c>
      <c r="Z40" s="7" t="n">
        <v>6653.4</v>
      </c>
      <c r="AB40" s="7" t="n">
        <v>76761.10000000001</v>
      </c>
    </row>
    <row r="41">
      <c r="A41" s="4" t="inlineStr">
        <is>
          <t>职工房租</t>
        </is>
      </c>
      <c r="D41" s="7" t="n">
        <v>249.9</v>
      </c>
      <c r="F41" s="7" t="n">
        <v>40.8</v>
      </c>
      <c r="H41" s="7" t="n">
        <v>265.2</v>
      </c>
      <c r="J41" s="7" t="n">
        <v>329.2</v>
      </c>
      <c r="L41" s="7" t="n">
        <v>1167.2</v>
      </c>
      <c r="N41" s="7" t="n">
        <v>750.4</v>
      </c>
      <c r="P41" s="7" t="n">
        <v>514.3</v>
      </c>
      <c r="R41" s="7" t="n">
        <v>1267</v>
      </c>
      <c r="T41" s="7" t="n">
        <v>62.7</v>
      </c>
      <c r="V41" s="7" t="n">
        <v>664.6</v>
      </c>
      <c r="X41" s="7" t="n">
        <v>369</v>
      </c>
      <c r="Z41" s="7" t="n">
        <v>408.2</v>
      </c>
      <c r="AB41" s="7" t="n">
        <v>6088.5</v>
      </c>
    </row>
    <row r="42">
      <c r="A42" s="4" t="inlineStr">
        <is>
          <t>水电物业费</t>
        </is>
      </c>
      <c r="D42" s="7" t="n">
        <v>414.1</v>
      </c>
      <c r="F42" s="7" t="n">
        <v>102.3</v>
      </c>
      <c r="H42" s="7" t="n">
        <v>542.9</v>
      </c>
      <c r="J42" s="7" t="n">
        <v>533.3</v>
      </c>
      <c r="L42" s="7" t="n">
        <v>1547.9</v>
      </c>
      <c r="N42" s="7" t="n">
        <v>1220.7</v>
      </c>
      <c r="P42" s="7" t="n">
        <v>447.5</v>
      </c>
      <c r="R42" s="7" t="n">
        <v>1686.3</v>
      </c>
      <c r="T42" s="7" t="n">
        <v>144</v>
      </c>
      <c r="V42" s="7" t="n">
        <v>1122.4</v>
      </c>
      <c r="X42" s="7" t="n">
        <v>677.4</v>
      </c>
      <c r="Z42" s="7" t="n">
        <v>1136.6</v>
      </c>
      <c r="AB42" s="7" t="n">
        <v>9575.4</v>
      </c>
    </row>
    <row r="43">
      <c r="A43" s="4" t="inlineStr">
        <is>
          <t>员工餐</t>
        </is>
      </c>
      <c r="D43" s="7" t="n">
        <v>339.2</v>
      </c>
      <c r="F43" s="7" t="n">
        <v>99.59999999999999</v>
      </c>
      <c r="H43" s="7" t="n">
        <v>700.1</v>
      </c>
      <c r="J43" s="7" t="n">
        <v>470.4</v>
      </c>
      <c r="L43" s="7" t="n">
        <v>1546.3</v>
      </c>
      <c r="N43" s="7" t="n">
        <v>864.2</v>
      </c>
      <c r="P43" s="7" t="n">
        <v>541.6</v>
      </c>
      <c r="R43" s="7" t="n">
        <v>1654.3</v>
      </c>
      <c r="T43" s="7" t="n">
        <v>102</v>
      </c>
      <c r="V43" s="7" t="n">
        <v>798.9</v>
      </c>
      <c r="X43" s="7" t="n">
        <v>382</v>
      </c>
      <c r="Z43" s="7" t="n">
        <v>624.8</v>
      </c>
      <c r="AB43" s="7" t="n">
        <v>8123.4</v>
      </c>
    </row>
    <row r="44">
      <c r="A44" s="4" t="inlineStr">
        <is>
          <t>节日礼品</t>
        </is>
      </c>
      <c r="D44" s="7" t="n">
        <v>945.5</v>
      </c>
      <c r="F44" s="7" t="n">
        <v>241.5</v>
      </c>
      <c r="H44" s="7" t="n">
        <v>1705.9</v>
      </c>
      <c r="J44" s="7" t="n">
        <v>1380.2</v>
      </c>
      <c r="L44" s="7" t="n">
        <v>3663.4</v>
      </c>
      <c r="N44" s="7" t="n">
        <v>3648.1</v>
      </c>
      <c r="P44" s="7" t="n">
        <v>2003</v>
      </c>
      <c r="R44" s="7" t="n">
        <v>3345.8</v>
      </c>
      <c r="T44" s="7" t="n">
        <v>380.8</v>
      </c>
      <c r="V44" s="7" t="n">
        <v>2818.1</v>
      </c>
      <c r="X44" s="7" t="n">
        <v>1452.6</v>
      </c>
      <c r="Z44" s="7" t="n">
        <v>1765.7</v>
      </c>
      <c r="AB44" s="7" t="n">
        <v>23350.6</v>
      </c>
    </row>
    <row r="45">
      <c r="A45" s="4" t="inlineStr">
        <is>
          <t>生日礼品</t>
        </is>
      </c>
      <c r="D45" s="7" t="n">
        <v>553.5</v>
      </c>
      <c r="F45" s="7" t="n">
        <v>164.4</v>
      </c>
      <c r="H45" s="7" t="n">
        <v>974.6</v>
      </c>
      <c r="J45" s="7" t="n">
        <v>1175.8</v>
      </c>
      <c r="L45" s="7" t="n">
        <v>3121.1</v>
      </c>
      <c r="N45" s="7" t="n">
        <v>2686.1</v>
      </c>
      <c r="P45" s="7" t="n">
        <v>1327.7</v>
      </c>
      <c r="R45" s="7" t="n">
        <v>3422.1</v>
      </c>
      <c r="T45" s="7" t="n">
        <v>233.5</v>
      </c>
      <c r="V45" s="7" t="n">
        <v>1886.7</v>
      </c>
      <c r="X45" s="7" t="n">
        <v>1357.8</v>
      </c>
      <c r="Z45" s="7" t="n">
        <v>1622.4</v>
      </c>
      <c r="AB45" s="7" t="n">
        <v>18525.7</v>
      </c>
    </row>
    <row r="46">
      <c r="A46" s="4" t="inlineStr">
        <is>
          <t>体检</t>
        </is>
      </c>
      <c r="D46" s="7" t="n">
        <v>148.7</v>
      </c>
      <c r="F46" s="7" t="n">
        <v>53.6</v>
      </c>
      <c r="H46" s="7" t="n">
        <v>339.5</v>
      </c>
      <c r="J46" s="7" t="n">
        <v>415</v>
      </c>
      <c r="L46" s="7" t="n">
        <v>709.9</v>
      </c>
      <c r="N46" s="7" t="n">
        <v>611.9</v>
      </c>
      <c r="P46" s="7" t="n">
        <v>325.3</v>
      </c>
      <c r="R46" s="7" t="n">
        <v>1147.2</v>
      </c>
      <c r="T46" s="7" t="n">
        <v>103.5</v>
      </c>
      <c r="V46" s="7" t="n">
        <v>433</v>
      </c>
      <c r="X46" s="7" t="n">
        <v>284.5</v>
      </c>
      <c r="Z46" s="7" t="n">
        <v>526.5</v>
      </c>
      <c r="AB46" s="7" t="n">
        <v>5098.6</v>
      </c>
    </row>
    <row r="47">
      <c r="A47" s="4" t="inlineStr">
        <is>
          <t>其他福利支出</t>
        </is>
      </c>
      <c r="D47" s="7" t="n">
        <v>297.8</v>
      </c>
      <c r="F47" s="7" t="n">
        <v>49.5</v>
      </c>
      <c r="H47" s="7" t="n">
        <v>317.3</v>
      </c>
      <c r="J47" s="7" t="n">
        <v>397.9</v>
      </c>
      <c r="L47" s="7" t="n">
        <v>820.9</v>
      </c>
      <c r="N47" s="7" t="n">
        <v>569.8</v>
      </c>
      <c r="P47" s="7" t="n">
        <v>360.4</v>
      </c>
      <c r="R47" s="7" t="n">
        <v>1527.5</v>
      </c>
      <c r="T47" s="7" t="n">
        <v>110</v>
      </c>
      <c r="V47" s="7" t="n">
        <v>521.2</v>
      </c>
      <c r="X47" s="7" t="n">
        <v>457.4</v>
      </c>
      <c r="Z47" s="7" t="n">
        <v>569.2</v>
      </c>
      <c r="AB47" s="7" t="n">
        <v>5998.9</v>
      </c>
    </row>
    <row r="48">
      <c r="A48" s="4" t="inlineStr">
        <is>
          <t>招聘费</t>
        </is>
      </c>
      <c r="D48" s="7" t="n">
        <v>598.1</v>
      </c>
      <c r="F48" s="7" t="n">
        <v>234.1</v>
      </c>
      <c r="H48" s="7" t="n">
        <v>1002.9</v>
      </c>
      <c r="J48" s="7" t="n">
        <v>945.4</v>
      </c>
      <c r="L48" s="7" t="n">
        <v>4205.6</v>
      </c>
      <c r="N48" s="7" t="n">
        <v>2473.7</v>
      </c>
      <c r="P48" s="7" t="n">
        <v>1647.3</v>
      </c>
      <c r="R48" s="7" t="n">
        <v>3692.9</v>
      </c>
      <c r="T48" s="7" t="n">
        <v>231.4</v>
      </c>
      <c r="V48" s="7" t="n">
        <v>2565.7</v>
      </c>
      <c r="X48" s="7" t="n">
        <v>1340</v>
      </c>
      <c r="Z48" s="7" t="n">
        <v>2694.5</v>
      </c>
      <c r="AB48" s="7" t="n">
        <v>21631.6</v>
      </c>
    </row>
    <row r="49">
      <c r="A49" s="4" t="inlineStr">
        <is>
          <t>办公费</t>
        </is>
      </c>
      <c r="D49" s="7" t="n">
        <v>4336.1</v>
      </c>
      <c r="F49" s="7" t="n">
        <v>926.5</v>
      </c>
      <c r="H49" s="7" t="n">
        <v>5894.7</v>
      </c>
      <c r="J49" s="7" t="n">
        <v>8667.200000000001</v>
      </c>
      <c r="L49" s="7" t="n">
        <v>13682.7</v>
      </c>
      <c r="N49" s="7" t="n">
        <v>12977.8</v>
      </c>
      <c r="P49" s="7" t="n">
        <v>6622.2</v>
      </c>
      <c r="R49" s="7" t="n">
        <v>16884.4</v>
      </c>
      <c r="T49" s="7" t="n">
        <v>2209.7</v>
      </c>
      <c r="V49" s="7" t="n">
        <v>10284.8</v>
      </c>
      <c r="X49" s="7" t="n">
        <v>7737.9</v>
      </c>
      <c r="Z49" s="7" t="n">
        <v>14706.8</v>
      </c>
      <c r="AB49" s="7" t="n">
        <v>104930.8</v>
      </c>
    </row>
    <row r="50">
      <c r="A50" s="4" t="inlineStr">
        <is>
          <t>市内交通费</t>
        </is>
      </c>
      <c r="D50" s="7" t="n">
        <v>847.2</v>
      </c>
      <c r="F50" s="7" t="n">
        <v>254.9</v>
      </c>
      <c r="H50" s="7" t="n">
        <v>1952.3</v>
      </c>
      <c r="J50" s="7" t="n">
        <v>1456.8</v>
      </c>
      <c r="L50" s="7" t="n">
        <v>4728.7</v>
      </c>
      <c r="N50" s="7" t="n">
        <v>2718.2</v>
      </c>
      <c r="P50" s="7" t="n">
        <v>1951.2</v>
      </c>
      <c r="R50" s="7" t="n">
        <v>5304.2</v>
      </c>
      <c r="T50" s="7" t="n">
        <v>267.2</v>
      </c>
      <c r="V50" s="7" t="n">
        <v>2523.2</v>
      </c>
      <c r="X50" s="7" t="n">
        <v>1490.3</v>
      </c>
      <c r="Z50" s="7" t="n">
        <v>2222.3</v>
      </c>
      <c r="AB50" s="7" t="n">
        <v>25716.5</v>
      </c>
    </row>
    <row r="51">
      <c r="A51" s="4" t="inlineStr">
        <is>
          <t>差旅费</t>
        </is>
      </c>
      <c r="D51" s="7" t="n">
        <v>6898.8</v>
      </c>
      <c r="F51" s="7" t="n">
        <v>1594.6</v>
      </c>
      <c r="H51" s="7" t="n">
        <v>18960.6</v>
      </c>
      <c r="J51" s="7" t="n">
        <v>11784.5</v>
      </c>
      <c r="L51" s="7" t="n">
        <v>40069.7</v>
      </c>
      <c r="N51" s="7" t="n">
        <v>34107.7</v>
      </c>
      <c r="P51" s="7" t="n">
        <v>18759.6</v>
      </c>
      <c r="R51" s="7" t="n">
        <v>53175.1</v>
      </c>
      <c r="T51" s="7" t="n">
        <v>2760.6</v>
      </c>
      <c r="V51" s="7" t="n">
        <v>21825.9</v>
      </c>
      <c r="X51" s="7" t="n">
        <v>14153.2</v>
      </c>
      <c r="Z51" s="7" t="n">
        <v>17229.9</v>
      </c>
      <c r="AB51" s="7" t="n">
        <v>241320.2</v>
      </c>
    </row>
    <row r="52">
      <c r="A52" s="4" t="inlineStr">
        <is>
          <t>交通费</t>
        </is>
      </c>
      <c r="D52" s="7" t="n">
        <v>425.5</v>
      </c>
      <c r="F52" s="7" t="n">
        <v>79.09999999999999</v>
      </c>
      <c r="H52" s="7" t="n">
        <v>795.9</v>
      </c>
      <c r="J52" s="7" t="n">
        <v>493.8</v>
      </c>
      <c r="L52" s="7" t="n">
        <v>1774</v>
      </c>
      <c r="N52" s="7" t="n">
        <v>1056.8</v>
      </c>
      <c r="P52" s="7" t="n">
        <v>728.6</v>
      </c>
      <c r="R52" s="7" t="n">
        <v>1738.9</v>
      </c>
      <c r="T52" s="7" t="n">
        <v>200.3</v>
      </c>
      <c r="V52" s="7" t="n">
        <v>1231.5</v>
      </c>
      <c r="X52" s="7" t="n">
        <v>570.7</v>
      </c>
      <c r="Z52" s="7" t="n">
        <v>1117.1</v>
      </c>
      <c r="AB52" s="7" t="n">
        <v>10212.2</v>
      </c>
    </row>
    <row r="53">
      <c r="A53" s="4" t="inlineStr">
        <is>
          <t>住宿费</t>
        </is>
      </c>
      <c r="D53" s="7" t="n">
        <v>684.8</v>
      </c>
      <c r="F53" s="7" t="n">
        <v>269.9</v>
      </c>
      <c r="H53" s="7" t="n">
        <v>1770.9</v>
      </c>
      <c r="J53" s="7" t="n">
        <v>1172.3</v>
      </c>
      <c r="L53" s="7" t="n">
        <v>3466.2</v>
      </c>
      <c r="N53" s="7" t="n">
        <v>3617.9</v>
      </c>
      <c r="P53" s="7" t="n">
        <v>1951.3</v>
      </c>
      <c r="R53" s="7" t="n">
        <v>4580.9</v>
      </c>
      <c r="T53" s="7" t="n">
        <v>458.5</v>
      </c>
      <c r="V53" s="7" t="n">
        <v>2808</v>
      </c>
      <c r="X53" s="7" t="n">
        <v>1626.4</v>
      </c>
      <c r="Z53" s="7" t="n">
        <v>2509.6</v>
      </c>
      <c r="AB53" s="7" t="n">
        <v>24916.7</v>
      </c>
    </row>
    <row r="54">
      <c r="A54" s="4" t="inlineStr">
        <is>
          <t>餐补</t>
        </is>
      </c>
      <c r="D54" s="7" t="n">
        <v>475.4</v>
      </c>
      <c r="F54" s="7" t="n">
        <v>104</v>
      </c>
      <c r="H54" s="7" t="n">
        <v>584.3</v>
      </c>
      <c r="J54" s="7" t="n">
        <v>610.7</v>
      </c>
      <c r="L54" s="7" t="n">
        <v>1774.6</v>
      </c>
      <c r="N54" s="7" t="n">
        <v>984.9</v>
      </c>
      <c r="P54" s="7" t="n">
        <v>794.7</v>
      </c>
      <c r="R54" s="7" t="n">
        <v>1818.1</v>
      </c>
      <c r="T54" s="7" t="n">
        <v>191.7</v>
      </c>
      <c r="V54" s="7" t="n">
        <v>1250.2</v>
      </c>
      <c r="X54" s="7" t="n">
        <v>650.9</v>
      </c>
      <c r="Z54" s="7" t="n">
        <v>1227.8</v>
      </c>
      <c r="AB54" s="7" t="n">
        <v>10467.3</v>
      </c>
    </row>
    <row r="55">
      <c r="A55" s="4" t="inlineStr">
        <is>
          <t>交通补助</t>
        </is>
      </c>
      <c r="D55" s="7" t="n">
        <v>91.7</v>
      </c>
      <c r="F55" s="7" t="n">
        <v>16.4</v>
      </c>
      <c r="H55" s="7" t="n">
        <v>112.1</v>
      </c>
      <c r="J55" s="7" t="n">
        <v>186.2</v>
      </c>
      <c r="L55" s="7" t="n">
        <v>338.1</v>
      </c>
      <c r="N55" s="7" t="n">
        <v>240.4</v>
      </c>
      <c r="P55" s="7" t="n">
        <v>167.3</v>
      </c>
      <c r="R55" s="7" t="n">
        <v>527</v>
      </c>
      <c r="T55" s="7" t="n">
        <v>38.5</v>
      </c>
      <c r="V55" s="7" t="n">
        <v>202.2</v>
      </c>
      <c r="X55" s="7" t="n">
        <v>148</v>
      </c>
      <c r="Z55" s="7" t="n">
        <v>219.8</v>
      </c>
      <c r="AB55" s="7" t="n">
        <v>2287.7</v>
      </c>
    </row>
    <row r="56">
      <c r="A56" s="4" t="inlineStr">
        <is>
          <t>通讯补助</t>
        </is>
      </c>
      <c r="D56" s="7" t="n">
        <v>892.4</v>
      </c>
      <c r="F56" s="7" t="n">
        <v>236.8</v>
      </c>
      <c r="H56" s="7" t="n">
        <v>1903.5</v>
      </c>
      <c r="J56" s="7" t="n">
        <v>1700.2</v>
      </c>
      <c r="L56" s="7" t="n">
        <v>3240.8</v>
      </c>
      <c r="N56" s="7" t="n">
        <v>3649.4</v>
      </c>
      <c r="P56" s="7" t="n">
        <v>1454</v>
      </c>
      <c r="R56" s="7" t="n">
        <v>3258</v>
      </c>
      <c r="T56" s="7" t="n">
        <v>274.5</v>
      </c>
      <c r="V56" s="7" t="n">
        <v>2458.9</v>
      </c>
      <c r="X56" s="7" t="n">
        <v>1153.4</v>
      </c>
      <c r="Z56" s="7" t="n">
        <v>2739.6</v>
      </c>
      <c r="AB56" s="7" t="n">
        <v>22961.5</v>
      </c>
    </row>
    <row r="57">
      <c r="A57" s="4" t="inlineStr">
        <is>
          <t>招待费</t>
        </is>
      </c>
      <c r="D57" s="7" t="n">
        <v>4582.1</v>
      </c>
      <c r="F57" s="7" t="n">
        <v>1069.7</v>
      </c>
      <c r="H57" s="7" t="n">
        <v>10243.1</v>
      </c>
      <c r="J57" s="7" t="n">
        <v>9949.1</v>
      </c>
      <c r="L57" s="7" t="n">
        <v>24759.8</v>
      </c>
      <c r="N57" s="7" t="n">
        <v>19886.1</v>
      </c>
      <c r="P57" s="7" t="n">
        <v>12769.6</v>
      </c>
      <c r="R57" s="7" t="n">
        <v>24112</v>
      </c>
      <c r="T57" s="7" t="n">
        <v>2573.4</v>
      </c>
      <c r="V57" s="7" t="n">
        <v>12519</v>
      </c>
      <c r="X57" s="7" t="n">
        <v>7932.9</v>
      </c>
      <c r="Z57" s="7" t="n">
        <v>13329.8</v>
      </c>
      <c r="AB57" s="7" t="n">
        <v>143726.6</v>
      </c>
    </row>
    <row r="58">
      <c r="A58" s="4" t="inlineStr">
        <is>
          <t>通讯费</t>
        </is>
      </c>
      <c r="D58" s="7" t="n">
        <v>398</v>
      </c>
      <c r="F58" s="7" t="n">
        <v>96.5</v>
      </c>
      <c r="H58" s="7" t="n">
        <v>618.4</v>
      </c>
      <c r="J58" s="7" t="n">
        <v>854.6</v>
      </c>
      <c r="L58" s="7" t="n">
        <v>1964.2</v>
      </c>
      <c r="N58" s="7" t="n">
        <v>1131.5</v>
      </c>
      <c r="P58" s="7" t="n">
        <v>807.8</v>
      </c>
      <c r="R58" s="7" t="n">
        <v>2926.7</v>
      </c>
      <c r="T58" s="7" t="n">
        <v>171.6</v>
      </c>
      <c r="V58" s="7" t="n">
        <v>1338.1</v>
      </c>
      <c r="X58" s="7" t="n">
        <v>608.8</v>
      </c>
      <c r="Z58" s="7" t="n">
        <v>867.8</v>
      </c>
      <c r="AB58" s="7" t="n">
        <v>11784</v>
      </c>
    </row>
    <row r="59">
      <c r="A59" s="4" t="inlineStr">
        <is>
          <t>网络费</t>
        </is>
      </c>
      <c r="D59" s="7" t="n">
        <v>128.3</v>
      </c>
      <c r="F59" s="7" t="n">
        <v>21.4</v>
      </c>
      <c r="H59" s="7" t="n">
        <v>148.8</v>
      </c>
      <c r="J59" s="7" t="n">
        <v>159.2</v>
      </c>
      <c r="L59" s="7" t="n">
        <v>367.1</v>
      </c>
      <c r="N59" s="7" t="n">
        <v>484.3</v>
      </c>
      <c r="P59" s="7" t="n">
        <v>246</v>
      </c>
      <c r="R59" s="7" t="n">
        <v>496.7</v>
      </c>
      <c r="T59" s="7" t="n">
        <v>37.9</v>
      </c>
      <c r="V59" s="7" t="n">
        <v>370</v>
      </c>
      <c r="X59" s="7" t="n">
        <v>193.1</v>
      </c>
      <c r="Z59" s="7" t="n">
        <v>386.2</v>
      </c>
      <c r="AB59" s="7" t="n">
        <v>3039</v>
      </c>
    </row>
    <row r="60">
      <c r="A60" s="4" t="inlineStr">
        <is>
          <t>修理费</t>
        </is>
      </c>
      <c r="D60" s="7" t="n">
        <v>146.8</v>
      </c>
      <c r="F60" s="7" t="n">
        <v>25.8</v>
      </c>
      <c r="H60" s="7" t="n">
        <v>234.3</v>
      </c>
      <c r="J60" s="7" t="n">
        <v>140.7</v>
      </c>
      <c r="L60" s="7" t="n">
        <v>589.1</v>
      </c>
      <c r="N60" s="7" t="n">
        <v>300.2</v>
      </c>
      <c r="P60" s="7" t="n">
        <v>167.3</v>
      </c>
      <c r="R60" s="7" t="n">
        <v>541.3</v>
      </c>
      <c r="T60" s="7" t="n">
        <v>35.6</v>
      </c>
      <c r="V60" s="7" t="n">
        <v>280.4</v>
      </c>
      <c r="X60" s="7" t="n">
        <v>159</v>
      </c>
      <c r="Z60" s="7" t="n">
        <v>355.8</v>
      </c>
      <c r="AB60" s="7" t="n">
        <v>2976.3</v>
      </c>
    </row>
    <row r="61">
      <c r="A61" s="4" t="inlineStr">
        <is>
          <t>车辆费</t>
        </is>
      </c>
      <c r="D61" s="7" t="n">
        <v>704.4</v>
      </c>
      <c r="F61" s="7" t="n">
        <v>232.2</v>
      </c>
      <c r="H61" s="7" t="n">
        <v>1126.8</v>
      </c>
      <c r="J61" s="7" t="n">
        <v>1506.3</v>
      </c>
      <c r="L61" s="7" t="n">
        <v>3191.4</v>
      </c>
      <c r="N61" s="7" t="n">
        <v>2284.8</v>
      </c>
      <c r="P61" s="7" t="n">
        <v>1782.2</v>
      </c>
      <c r="R61" s="7" t="n">
        <v>2950.5</v>
      </c>
      <c r="T61" s="7" t="n">
        <v>324.2</v>
      </c>
      <c r="V61" s="7" t="n">
        <v>1662.8</v>
      </c>
      <c r="X61" s="7" t="n">
        <v>935.9</v>
      </c>
      <c r="Z61" s="7" t="n">
        <v>1484.9</v>
      </c>
      <c r="AB61" s="7" t="n">
        <v>18186.4</v>
      </c>
    </row>
    <row r="62">
      <c r="A62" s="4" t="inlineStr">
        <is>
          <t>租赁费</t>
        </is>
      </c>
      <c r="D62" s="7" t="n">
        <v>5724.9</v>
      </c>
      <c r="F62" s="7" t="n">
        <v>1933.3</v>
      </c>
      <c r="H62" s="7" t="n">
        <v>11794</v>
      </c>
      <c r="J62" s="7" t="n">
        <v>14309.9</v>
      </c>
      <c r="L62" s="7" t="n">
        <v>33659.5</v>
      </c>
      <c r="N62" s="7" t="n">
        <v>26480.9</v>
      </c>
      <c r="P62" s="7" t="n">
        <v>13024.9</v>
      </c>
      <c r="R62" s="7" t="n">
        <v>33369</v>
      </c>
      <c r="T62" s="7" t="n">
        <v>3121.1</v>
      </c>
      <c r="V62" s="7" t="n">
        <v>23994.4</v>
      </c>
      <c r="X62" s="7" t="n">
        <v>9267.200000000001</v>
      </c>
      <c r="Z62" s="7" t="n">
        <v>22104.3</v>
      </c>
      <c r="AB62" s="7" t="n">
        <v>198783.4</v>
      </c>
    </row>
    <row r="63">
      <c r="A63" s="4" t="inlineStr">
        <is>
          <t>能源费</t>
        </is>
      </c>
      <c r="D63" s="7" t="n">
        <v>1231.1</v>
      </c>
      <c r="F63" s="7" t="n">
        <v>303.2</v>
      </c>
      <c r="H63" s="7" t="n">
        <v>1739.1</v>
      </c>
      <c r="J63" s="7" t="n">
        <v>1571.1</v>
      </c>
      <c r="L63" s="7" t="n">
        <v>4133.3</v>
      </c>
      <c r="N63" s="7" t="n">
        <v>3262</v>
      </c>
      <c r="P63" s="7" t="n">
        <v>1726.1</v>
      </c>
      <c r="R63" s="7" t="n">
        <v>5711.5</v>
      </c>
      <c r="T63" s="7" t="n">
        <v>468.1</v>
      </c>
      <c r="V63" s="7" t="n">
        <v>2824.2</v>
      </c>
      <c r="X63" s="7" t="n">
        <v>1740.1</v>
      </c>
      <c r="Z63" s="7" t="n">
        <v>2728.4</v>
      </c>
      <c r="AB63" s="7" t="n">
        <v>27438.2</v>
      </c>
    </row>
    <row r="64">
      <c r="A64" s="4" t="inlineStr">
        <is>
          <t>水费</t>
        </is>
      </c>
      <c r="D64" s="7" t="n">
        <v>147.5</v>
      </c>
      <c r="F64" s="7" t="n">
        <v>48.2</v>
      </c>
      <c r="H64" s="7" t="n">
        <v>331</v>
      </c>
      <c r="J64" s="7" t="n">
        <v>285</v>
      </c>
      <c r="L64" s="7" t="n">
        <v>834</v>
      </c>
      <c r="N64" s="7" t="n">
        <v>567</v>
      </c>
      <c r="P64" s="7" t="n">
        <v>425.5</v>
      </c>
      <c r="R64" s="7" t="n">
        <v>1155</v>
      </c>
      <c r="T64" s="7" t="n">
        <v>97.09999999999999</v>
      </c>
      <c r="V64" s="7" t="n">
        <v>512.8</v>
      </c>
      <c r="X64" s="7" t="n">
        <v>357.3</v>
      </c>
      <c r="Z64" s="7" t="n">
        <v>632.1</v>
      </c>
      <c r="AB64" s="7" t="n">
        <v>5392.5</v>
      </c>
    </row>
    <row r="65">
      <c r="A65" s="4" t="inlineStr">
        <is>
          <t>电费</t>
        </is>
      </c>
      <c r="D65" s="7" t="n">
        <v>404.3</v>
      </c>
      <c r="F65" s="7" t="n">
        <v>115.4</v>
      </c>
      <c r="H65" s="7" t="n">
        <v>468.5</v>
      </c>
      <c r="J65" s="7" t="n">
        <v>588.8</v>
      </c>
      <c r="L65" s="7" t="n">
        <v>1424.7</v>
      </c>
      <c r="N65" s="7" t="n">
        <v>1065.4</v>
      </c>
      <c r="P65" s="7" t="n">
        <v>587.9</v>
      </c>
      <c r="R65" s="7" t="n">
        <v>1577.9</v>
      </c>
      <c r="T65" s="7" t="n">
        <v>170.5</v>
      </c>
      <c r="V65" s="7" t="n">
        <v>845.4</v>
      </c>
      <c r="X65" s="7" t="n">
        <v>640.2</v>
      </c>
      <c r="Z65" s="7" t="n">
        <v>932.1</v>
      </c>
      <c r="AB65" s="7" t="n">
        <v>8821.1</v>
      </c>
    </row>
    <row r="66">
      <c r="A66" s="4" t="inlineStr">
        <is>
          <t>燃气费</t>
        </is>
      </c>
      <c r="D66" s="7" t="n">
        <v>523.4</v>
      </c>
      <c r="F66" s="7" t="n">
        <v>114.8</v>
      </c>
      <c r="H66" s="7" t="n">
        <v>747.1</v>
      </c>
      <c r="J66" s="7" t="n">
        <v>535.3</v>
      </c>
      <c r="L66" s="7" t="n">
        <v>1430.7</v>
      </c>
      <c r="N66" s="7" t="n">
        <v>1243</v>
      </c>
      <c r="P66" s="7" t="n">
        <v>529.3</v>
      </c>
      <c r="R66" s="7" t="n">
        <v>2217.2</v>
      </c>
      <c r="T66" s="7" t="n">
        <v>153.6</v>
      </c>
      <c r="V66" s="7" t="n">
        <v>1085.2</v>
      </c>
      <c r="X66" s="7" t="n">
        <v>512.7</v>
      </c>
      <c r="Z66" s="7" t="n">
        <v>872.1</v>
      </c>
      <c r="AB66" s="7" t="n">
        <v>9964.4</v>
      </c>
    </row>
    <row r="67">
      <c r="A67" s="4" t="inlineStr">
        <is>
          <t>蒸汽费</t>
        </is>
      </c>
      <c r="D67" s="7" t="n">
        <v>155.9</v>
      </c>
      <c r="F67" s="7" t="n">
        <v>24.8</v>
      </c>
      <c r="H67" s="7" t="n">
        <v>192.5</v>
      </c>
      <c r="J67" s="7" t="n">
        <v>162</v>
      </c>
      <c r="L67" s="7" t="n">
        <v>443.9</v>
      </c>
      <c r="N67" s="7" t="n">
        <v>386.6</v>
      </c>
      <c r="P67" s="7" t="n">
        <v>183.4</v>
      </c>
      <c r="R67" s="7" t="n">
        <v>761.4</v>
      </c>
      <c r="T67" s="7" t="n">
        <v>46.9</v>
      </c>
      <c r="V67" s="7" t="n">
        <v>380.8</v>
      </c>
      <c r="X67" s="7" t="n">
        <v>229.9</v>
      </c>
      <c r="Z67" s="7" t="n">
        <v>292.1</v>
      </c>
      <c r="AB67" s="7" t="n">
        <v>3260.2</v>
      </c>
    </row>
    <row r="68">
      <c r="A68" s="4" t="inlineStr">
        <is>
          <t>物业费</t>
        </is>
      </c>
      <c r="D68" s="7" t="n">
        <v>157.8</v>
      </c>
      <c r="F68" s="7" t="n">
        <v>43.8</v>
      </c>
      <c r="H68" s="7" t="n">
        <v>266.6</v>
      </c>
      <c r="J68" s="7" t="n">
        <v>293.9</v>
      </c>
      <c r="L68" s="7" t="n">
        <v>613.1</v>
      </c>
      <c r="N68" s="7" t="n">
        <v>456.8</v>
      </c>
      <c r="P68" s="7" t="n">
        <v>340.1</v>
      </c>
      <c r="R68" s="7" t="n">
        <v>907.4</v>
      </c>
      <c r="T68" s="7" t="n">
        <v>62.3</v>
      </c>
      <c r="V68" s="7" t="n">
        <v>447.8</v>
      </c>
      <c r="X68" s="7" t="n">
        <v>290.9</v>
      </c>
      <c r="Z68" s="7" t="n">
        <v>300.9</v>
      </c>
      <c r="AB68" s="7" t="n">
        <v>4181.4</v>
      </c>
    </row>
    <row r="69">
      <c r="A69" s="4" t="inlineStr">
        <is>
          <t>劳动保护费</t>
        </is>
      </c>
      <c r="D69" s="7" t="n">
        <v>200.5</v>
      </c>
      <c r="F69" s="7" t="n">
        <v>68.5</v>
      </c>
      <c r="H69" s="7" t="n">
        <v>293.7</v>
      </c>
      <c r="J69" s="7" t="n">
        <v>388.5</v>
      </c>
      <c r="L69" s="7" t="n">
        <v>1058.1</v>
      </c>
      <c r="N69" s="7" t="n">
        <v>624.8</v>
      </c>
      <c r="P69" s="7" t="n">
        <v>342.8</v>
      </c>
      <c r="R69" s="7" t="n">
        <v>1024</v>
      </c>
      <c r="T69" s="7" t="n">
        <v>77.90000000000001</v>
      </c>
      <c r="V69" s="7" t="n">
        <v>484.7</v>
      </c>
      <c r="X69" s="7" t="n">
        <v>469.3</v>
      </c>
      <c r="Z69" s="7" t="n">
        <v>783.3</v>
      </c>
      <c r="AB69" s="7" t="n">
        <v>5816.1</v>
      </c>
    </row>
    <row r="70">
      <c r="A70" s="4" t="inlineStr">
        <is>
          <t>顾问费</t>
        </is>
      </c>
      <c r="D70" s="7" t="n">
        <v>1146</v>
      </c>
      <c r="F70" s="7" t="n">
        <v>184.2</v>
      </c>
      <c r="H70" s="7" t="n">
        <v>1418.8</v>
      </c>
      <c r="J70" s="7" t="n">
        <v>1061.6</v>
      </c>
      <c r="L70" s="7" t="n">
        <v>3833.5</v>
      </c>
      <c r="N70" s="7" t="n">
        <v>2398.1</v>
      </c>
      <c r="P70" s="7" t="n">
        <v>1411.4</v>
      </c>
      <c r="R70" s="7" t="n">
        <v>3673.6</v>
      </c>
      <c r="T70" s="7" t="n">
        <v>433</v>
      </c>
      <c r="V70" s="7" t="n">
        <v>2904.8</v>
      </c>
      <c r="X70" s="7" t="n">
        <v>1222.2</v>
      </c>
      <c r="Z70" s="7" t="n">
        <v>1785</v>
      </c>
      <c r="AB70" s="7" t="n">
        <v>21472.2</v>
      </c>
    </row>
    <row r="71">
      <c r="A71" s="4" t="inlineStr">
        <is>
          <t>快递费</t>
        </is>
      </c>
      <c r="D71" s="7" t="n">
        <v>950.2</v>
      </c>
      <c r="F71" s="7" t="n">
        <v>203.3</v>
      </c>
      <c r="H71" s="7" t="n">
        <v>1282.5</v>
      </c>
      <c r="J71" s="7" t="n">
        <v>1176.8</v>
      </c>
      <c r="L71" s="7" t="n">
        <v>3749.2</v>
      </c>
      <c r="N71" s="7" t="n">
        <v>2332.5</v>
      </c>
      <c r="P71" s="7" t="n">
        <v>1423</v>
      </c>
      <c r="R71" s="7" t="n">
        <v>4478.3</v>
      </c>
      <c r="T71" s="7" t="n">
        <v>400.8</v>
      </c>
      <c r="V71" s="7" t="n">
        <v>2241.3</v>
      </c>
      <c r="X71" s="7" t="n">
        <v>1097.9</v>
      </c>
      <c r="Z71" s="7" t="n">
        <v>1890.9</v>
      </c>
      <c r="AB71" s="7" t="n">
        <v>21226.7</v>
      </c>
    </row>
    <row r="72">
      <c r="A72" s="4" t="inlineStr">
        <is>
          <t>诉讼费</t>
        </is>
      </c>
      <c r="D72" s="7" t="n">
        <v>449.4</v>
      </c>
      <c r="F72" s="7" t="n">
        <v>134.3</v>
      </c>
      <c r="H72" s="7" t="n">
        <v>870.8</v>
      </c>
      <c r="J72" s="7" t="n">
        <v>595.7</v>
      </c>
      <c r="L72" s="7" t="n">
        <v>2095.3</v>
      </c>
      <c r="N72" s="7" t="n">
        <v>1706.4</v>
      </c>
      <c r="P72" s="7" t="n">
        <v>853.3</v>
      </c>
      <c r="R72" s="7" t="n">
        <v>2715.7</v>
      </c>
      <c r="T72" s="7" t="n">
        <v>159.7</v>
      </c>
      <c r="V72" s="7" t="n">
        <v>990.2</v>
      </c>
      <c r="X72" s="7" t="n">
        <v>639.2</v>
      </c>
      <c r="Z72" s="7" t="n">
        <v>1124.7</v>
      </c>
      <c r="AB72" s="7" t="n">
        <v>12334.7</v>
      </c>
    </row>
    <row r="73">
      <c r="A73" s="4" t="inlineStr">
        <is>
          <t>会员费</t>
        </is>
      </c>
      <c r="D73" s="7" t="n">
        <v>755.6</v>
      </c>
      <c r="F73" s="7" t="n">
        <v>258.4</v>
      </c>
      <c r="H73" s="7" t="n">
        <v>1475.9</v>
      </c>
      <c r="J73" s="7" t="n">
        <v>1310.1</v>
      </c>
      <c r="L73" s="7" t="n">
        <v>4349</v>
      </c>
      <c r="N73" s="7" t="n">
        <v>1918.6</v>
      </c>
      <c r="P73" s="7" t="n">
        <v>1230.7</v>
      </c>
      <c r="R73" s="7" t="n">
        <v>3514.1</v>
      </c>
      <c r="T73" s="7" t="n">
        <v>246.3</v>
      </c>
      <c r="V73" s="7" t="n">
        <v>2009.2</v>
      </c>
      <c r="X73" s="7" t="n">
        <v>1207.5</v>
      </c>
      <c r="Z73" s="7" t="n">
        <v>2208</v>
      </c>
      <c r="AB73" s="7" t="n">
        <v>20483.4</v>
      </c>
    </row>
    <row r="74">
      <c r="A74" s="4" t="inlineStr">
        <is>
          <t>广告宣传费</t>
        </is>
      </c>
      <c r="D74" s="7" t="n">
        <v>5364.7</v>
      </c>
      <c r="F74" s="7" t="n">
        <v>1143.2</v>
      </c>
      <c r="H74" s="7" t="n">
        <v>9355.299999999999</v>
      </c>
      <c r="J74" s="7" t="n">
        <v>8809.5</v>
      </c>
      <c r="L74" s="7" t="n">
        <v>22717.1</v>
      </c>
      <c r="N74" s="7" t="n">
        <v>12260.1</v>
      </c>
      <c r="P74" s="7" t="n">
        <v>5989.9</v>
      </c>
      <c r="R74" s="7" t="n">
        <v>19549.2</v>
      </c>
      <c r="T74" s="7" t="n">
        <v>2033.4</v>
      </c>
      <c r="V74" s="7" t="n">
        <v>12517.2</v>
      </c>
      <c r="X74" s="7" t="n">
        <v>6248</v>
      </c>
      <c r="Z74" s="7" t="n">
        <v>14584</v>
      </c>
      <c r="AB74" s="7" t="n">
        <v>120571.6</v>
      </c>
    </row>
    <row r="75">
      <c r="A75" s="4" t="inlineStr">
        <is>
          <t>会务费</t>
        </is>
      </c>
      <c r="D75" s="7" t="n">
        <v>508.8</v>
      </c>
      <c r="F75" s="7" t="n">
        <v>166.3</v>
      </c>
      <c r="H75" s="7" t="n">
        <v>758.8</v>
      </c>
      <c r="J75" s="7" t="n">
        <v>1064.6</v>
      </c>
      <c r="L75" s="7" t="n">
        <v>1929.2</v>
      </c>
      <c r="N75" s="7" t="n">
        <v>1696.6</v>
      </c>
      <c r="P75" s="7" t="n">
        <v>1290.6</v>
      </c>
      <c r="R75" s="7" t="n">
        <v>2125.8</v>
      </c>
      <c r="T75" s="7" t="n">
        <v>203.8</v>
      </c>
      <c r="V75" s="7" t="n">
        <v>1683.7</v>
      </c>
      <c r="X75" s="7" t="n">
        <v>1136.8</v>
      </c>
      <c r="Z75" s="7" t="n">
        <v>1247.8</v>
      </c>
      <c r="AB75" s="7" t="n">
        <v>13812.8</v>
      </c>
    </row>
    <row r="76">
      <c r="A76" s="4" t="inlineStr">
        <is>
          <t>装修费</t>
        </is>
      </c>
      <c r="D76" s="7" t="n">
        <v>456.6</v>
      </c>
      <c r="F76" s="7" t="n">
        <v>80.3</v>
      </c>
      <c r="H76" s="7" t="n">
        <v>814.1</v>
      </c>
      <c r="J76" s="7" t="n">
        <v>746.9</v>
      </c>
      <c r="L76" s="7" t="n">
        <v>1666.5</v>
      </c>
      <c r="N76" s="7" t="n">
        <v>1225.2</v>
      </c>
      <c r="P76" s="7" t="n">
        <v>568.2</v>
      </c>
      <c r="R76" s="7" t="n">
        <v>2249.9</v>
      </c>
      <c r="T76" s="7" t="n">
        <v>187.1</v>
      </c>
      <c r="V76" s="7" t="n">
        <v>1184.6</v>
      </c>
      <c r="X76" s="7" t="n">
        <v>517.7</v>
      </c>
      <c r="Z76" s="7" t="n">
        <v>863.8</v>
      </c>
      <c r="AB76" s="7" t="n">
        <v>10560.9</v>
      </c>
    </row>
    <row r="77">
      <c r="A77" s="4" t="inlineStr">
        <is>
          <t>推广费</t>
        </is>
      </c>
      <c r="D77" s="7" t="n">
        <v>329.1</v>
      </c>
      <c r="F77" s="7" t="n">
        <v>54.3</v>
      </c>
      <c r="H77" s="7" t="n">
        <v>523.4</v>
      </c>
      <c r="J77" s="7" t="n">
        <v>392.2</v>
      </c>
      <c r="L77" s="7" t="n">
        <v>1426</v>
      </c>
      <c r="N77" s="7" t="n">
        <v>782.8</v>
      </c>
      <c r="P77" s="7" t="n">
        <v>686.2</v>
      </c>
      <c r="R77" s="7" t="n">
        <v>1616.8</v>
      </c>
      <c r="T77" s="7" t="n">
        <v>84.40000000000001</v>
      </c>
      <c r="V77" s="7" t="n">
        <v>815.6</v>
      </c>
      <c r="X77" s="7" t="n">
        <v>524.8</v>
      </c>
      <c r="Z77" s="7" t="n">
        <v>602.4</v>
      </c>
      <c r="AB77" s="7" t="n">
        <v>7838</v>
      </c>
    </row>
    <row r="78">
      <c r="A78" s="4" t="inlineStr">
        <is>
          <t>展会费</t>
        </is>
      </c>
      <c r="D78" s="7" t="n">
        <v>1056.6</v>
      </c>
      <c r="F78" s="7" t="n">
        <v>281.8</v>
      </c>
      <c r="H78" s="7" t="n">
        <v>1202.7</v>
      </c>
      <c r="J78" s="7" t="n">
        <v>1107.5</v>
      </c>
      <c r="L78" s="7" t="n">
        <v>3439</v>
      </c>
      <c r="N78" s="7" t="n">
        <v>2934.4</v>
      </c>
      <c r="P78" s="7" t="n">
        <v>1235.6</v>
      </c>
      <c r="R78" s="7" t="n">
        <v>5590.9</v>
      </c>
      <c r="T78" s="7" t="n">
        <v>313.9</v>
      </c>
      <c r="V78" s="7" t="n">
        <v>1930.8</v>
      </c>
      <c r="X78" s="7" t="n">
        <v>1318.1</v>
      </c>
      <c r="Z78" s="7" t="n">
        <v>3038.9</v>
      </c>
      <c r="AB78" s="7" t="n">
        <v>23450.2</v>
      </c>
    </row>
    <row r="79">
      <c r="A79" s="4" t="inlineStr">
        <is>
          <t>设计费</t>
        </is>
      </c>
      <c r="D79" s="7" t="n">
        <v>325.7</v>
      </c>
      <c r="F79" s="7" t="n">
        <v>64.2</v>
      </c>
      <c r="H79" s="7" t="n">
        <v>565.9</v>
      </c>
      <c r="J79" s="7" t="n">
        <v>502.3</v>
      </c>
      <c r="L79" s="7" t="n">
        <v>949.6</v>
      </c>
      <c r="N79" s="7" t="n">
        <v>1022</v>
      </c>
      <c r="P79" s="7" t="n">
        <v>529.9</v>
      </c>
      <c r="R79" s="7" t="n">
        <v>1460.4</v>
      </c>
      <c r="T79" s="7" t="n">
        <v>78.3</v>
      </c>
      <c r="V79" s="7" t="n">
        <v>721.5</v>
      </c>
      <c r="X79" s="7" t="n">
        <v>463.4</v>
      </c>
      <c r="Z79" s="7" t="n">
        <v>562.3</v>
      </c>
      <c r="AB79" s="7" t="n">
        <v>7245.5</v>
      </c>
    </row>
    <row r="80">
      <c r="A80" s="4" t="inlineStr">
        <is>
          <t>折旧费</t>
        </is>
      </c>
      <c r="D80" s="7" t="n">
        <v>6256</v>
      </c>
      <c r="F80" s="7" t="n">
        <v>1737.3</v>
      </c>
      <c r="H80" s="7" t="n">
        <v>7107.4</v>
      </c>
      <c r="J80" s="7" t="n">
        <v>9468.799999999999</v>
      </c>
      <c r="L80" s="7" t="n">
        <v>28538.9</v>
      </c>
      <c r="N80" s="7" t="n">
        <v>22660.9</v>
      </c>
      <c r="P80" s="7" t="n">
        <v>12652.9</v>
      </c>
      <c r="R80" s="7" t="n">
        <v>24007.1</v>
      </c>
      <c r="T80" s="7" t="n">
        <v>2267</v>
      </c>
      <c r="V80" s="7" t="n">
        <v>15335.7</v>
      </c>
      <c r="X80" s="7" t="n">
        <v>9752.200000000001</v>
      </c>
      <c r="Z80" s="7" t="n">
        <v>14464.1</v>
      </c>
      <c r="AB80" s="7" t="n">
        <v>154248.3</v>
      </c>
    </row>
    <row r="81">
      <c r="A81" s="4" t="inlineStr">
        <is>
          <t>认证费</t>
        </is>
      </c>
      <c r="D81" s="7" t="n">
        <v>248</v>
      </c>
      <c r="F81" s="7" t="n">
        <v>76.09999999999999</v>
      </c>
      <c r="H81" s="7" t="n">
        <v>404.7</v>
      </c>
      <c r="J81" s="7" t="n">
        <v>616.1</v>
      </c>
      <c r="L81" s="7" t="n">
        <v>1398.9</v>
      </c>
      <c r="N81" s="7" t="n">
        <v>715</v>
      </c>
      <c r="P81" s="7" t="n">
        <v>652.5</v>
      </c>
      <c r="R81" s="7" t="n">
        <v>1713.1</v>
      </c>
      <c r="T81" s="7" t="n">
        <v>148.1</v>
      </c>
      <c r="V81" s="7" t="n">
        <v>995.7</v>
      </c>
      <c r="X81" s="7" t="n">
        <v>623.3</v>
      </c>
      <c r="Z81" s="7" t="n">
        <v>602.7</v>
      </c>
      <c r="AB81" s="7" t="n">
        <v>8194.200000000001</v>
      </c>
    </row>
    <row r="82">
      <c r="A82" s="4" t="inlineStr">
        <is>
          <t>样品费</t>
        </is>
      </c>
      <c r="D82" s="7" t="n">
        <v>3609.7</v>
      </c>
      <c r="F82" s="7" t="n">
        <v>672.2</v>
      </c>
      <c r="H82" s="7" t="n">
        <v>5413.4</v>
      </c>
      <c r="J82" s="7" t="n">
        <v>5095.3</v>
      </c>
      <c r="L82" s="7" t="n">
        <v>8811.1</v>
      </c>
      <c r="N82" s="7" t="n">
        <v>6614</v>
      </c>
      <c r="P82" s="7" t="n">
        <v>4198.4</v>
      </c>
      <c r="R82" s="7" t="n">
        <v>17479.6</v>
      </c>
      <c r="T82" s="7" t="n">
        <v>946</v>
      </c>
      <c r="V82" s="7" t="n">
        <v>6129.5</v>
      </c>
      <c r="X82" s="7" t="n">
        <v>4126.5</v>
      </c>
      <c r="Z82" s="7" t="n">
        <v>6860.4</v>
      </c>
      <c r="AB82" s="7" t="n">
        <v>69956.10000000001</v>
      </c>
    </row>
    <row r="83">
      <c r="A83" s="4" t="inlineStr">
        <is>
          <t>劳务费</t>
        </is>
      </c>
      <c r="D83" s="7" t="n">
        <v>790.8</v>
      </c>
      <c r="F83" s="7" t="n">
        <v>122.5</v>
      </c>
      <c r="H83" s="7" t="n">
        <v>772.7</v>
      </c>
      <c r="J83" s="7" t="n">
        <v>890.2</v>
      </c>
      <c r="L83" s="7" t="n">
        <v>3369.9</v>
      </c>
      <c r="N83" s="7" t="n">
        <v>2240.8</v>
      </c>
      <c r="P83" s="7" t="n">
        <v>892.3</v>
      </c>
      <c r="R83" s="7" t="n">
        <v>3913.8</v>
      </c>
      <c r="T83" s="7" t="n">
        <v>294.9</v>
      </c>
      <c r="V83" s="7" t="n">
        <v>1744</v>
      </c>
      <c r="X83" s="7" t="n">
        <v>1089.8</v>
      </c>
      <c r="Z83" s="7" t="n">
        <v>1256.8</v>
      </c>
      <c r="AB83" s="7" t="n">
        <v>17378.5</v>
      </c>
    </row>
    <row r="84">
      <c r="A84" s="4" t="inlineStr">
        <is>
          <t>销售佣金</t>
        </is>
      </c>
      <c r="D84" s="7" t="n">
        <v>1165</v>
      </c>
      <c r="F84" s="7" t="n">
        <v>194.8</v>
      </c>
      <c r="H84" s="7" t="n">
        <v>1325.3</v>
      </c>
      <c r="J84" s="7" t="n">
        <v>1627</v>
      </c>
      <c r="L84" s="7" t="n">
        <v>3593</v>
      </c>
      <c r="N84" s="7" t="n">
        <v>2387.2</v>
      </c>
      <c r="P84" s="7" t="n">
        <v>2014.2</v>
      </c>
      <c r="R84" s="7" t="n">
        <v>3778.8</v>
      </c>
      <c r="T84" s="7" t="n">
        <v>432.5</v>
      </c>
      <c r="V84" s="7" t="n">
        <v>2725.8</v>
      </c>
      <c r="X84" s="7" t="n">
        <v>1232.3</v>
      </c>
      <c r="Z84" s="7" t="n">
        <v>2845.6</v>
      </c>
      <c r="AB84" s="7" t="n">
        <v>23321.5</v>
      </c>
    </row>
    <row r="85">
      <c r="A85" s="4" t="inlineStr">
        <is>
          <t>检测费</t>
        </is>
      </c>
      <c r="D85" s="7" t="n">
        <v>943.6</v>
      </c>
      <c r="F85" s="7" t="n">
        <v>185.8</v>
      </c>
      <c r="H85" s="7" t="n">
        <v>1577.8</v>
      </c>
      <c r="J85" s="7" t="n">
        <v>1671.3</v>
      </c>
      <c r="L85" s="7" t="n">
        <v>3098.1</v>
      </c>
      <c r="N85" s="7" t="n">
        <v>3207.7</v>
      </c>
      <c r="P85" s="7" t="n">
        <v>1631.5</v>
      </c>
      <c r="R85" s="7" t="n">
        <v>3346</v>
      </c>
      <c r="T85" s="7" t="n">
        <v>276.6</v>
      </c>
      <c r="V85" s="7" t="n">
        <v>1774.6</v>
      </c>
      <c r="X85" s="7" t="n">
        <v>1417.6</v>
      </c>
      <c r="Z85" s="7" t="n">
        <v>2509.5</v>
      </c>
      <c r="AB85" s="7" t="n">
        <v>21640.1</v>
      </c>
    </row>
    <row r="86">
      <c r="A86" s="4" t="inlineStr">
        <is>
          <t>质量赔偿</t>
        </is>
      </c>
      <c r="D86" s="7" t="n">
        <v>466.8</v>
      </c>
      <c r="F86" s="7" t="n">
        <v>86.3</v>
      </c>
      <c r="H86" s="7" t="n">
        <v>730.8</v>
      </c>
      <c r="J86" s="7" t="n">
        <v>719.1</v>
      </c>
      <c r="L86" s="7" t="n">
        <v>1232.3</v>
      </c>
      <c r="N86" s="7" t="n">
        <v>1232.4</v>
      </c>
      <c r="P86" s="7" t="n">
        <v>758.1</v>
      </c>
      <c r="R86" s="7" t="n">
        <v>2332.9</v>
      </c>
      <c r="T86" s="7" t="n">
        <v>210.4</v>
      </c>
      <c r="V86" s="7" t="n">
        <v>1373.1</v>
      </c>
      <c r="X86" s="7" t="n">
        <v>790.8</v>
      </c>
      <c r="Z86" s="7" t="n">
        <v>932.6</v>
      </c>
      <c r="AB86" s="7" t="n">
        <v>10865.6</v>
      </c>
    </row>
    <row r="87">
      <c r="A87" s="4" t="inlineStr">
        <is>
          <t>保险费</t>
        </is>
      </c>
      <c r="D87" s="7" t="n">
        <v>204.1</v>
      </c>
      <c r="F87" s="7" t="n">
        <v>54.5</v>
      </c>
      <c r="H87" s="7" t="n">
        <v>473.8</v>
      </c>
      <c r="J87" s="7" t="n">
        <v>339.5</v>
      </c>
      <c r="L87" s="7" t="n">
        <v>679.6</v>
      </c>
      <c r="N87" s="7" t="n">
        <v>501.2</v>
      </c>
      <c r="P87" s="7" t="n">
        <v>507</v>
      </c>
      <c r="R87" s="7" t="n">
        <v>778.3</v>
      </c>
      <c r="T87" s="7" t="n">
        <v>70.8</v>
      </c>
      <c r="V87" s="7" t="n">
        <v>624</v>
      </c>
      <c r="X87" s="7" t="n">
        <v>406.1</v>
      </c>
      <c r="Z87" s="7" t="n">
        <v>441.5</v>
      </c>
      <c r="AB87" s="7" t="n">
        <v>5080.4</v>
      </c>
    </row>
    <row r="88">
      <c r="A88" s="4" t="inlineStr">
        <is>
          <t>清洁费</t>
        </is>
      </c>
      <c r="D88" s="7" t="n">
        <v>378.7</v>
      </c>
      <c r="F88" s="7" t="n">
        <v>146.8</v>
      </c>
      <c r="H88" s="7" t="n">
        <v>765.1</v>
      </c>
      <c r="J88" s="7" t="n">
        <v>585.7</v>
      </c>
      <c r="L88" s="7" t="n">
        <v>1997.9</v>
      </c>
      <c r="N88" s="7" t="n">
        <v>1216.7</v>
      </c>
      <c r="P88" s="7" t="n">
        <v>668.5</v>
      </c>
      <c r="R88" s="7" t="n">
        <v>2595</v>
      </c>
      <c r="T88" s="7" t="n">
        <v>247.1</v>
      </c>
      <c r="V88" s="7" t="n">
        <v>1685.3</v>
      </c>
      <c r="X88" s="7" t="n">
        <v>643.8</v>
      </c>
      <c r="Z88" s="7" t="n">
        <v>1629.4</v>
      </c>
      <c r="AB88" s="7" t="n">
        <v>12560</v>
      </c>
    </row>
    <row r="89">
      <c r="A89" s="4" t="inlineStr">
        <is>
          <t>低值易耗品</t>
        </is>
      </c>
      <c r="D89" s="7" t="n">
        <v>689</v>
      </c>
      <c r="F89" s="7" t="n">
        <v>131.4</v>
      </c>
      <c r="H89" s="7" t="n">
        <v>832.3</v>
      </c>
      <c r="J89" s="7" t="n">
        <v>1256.8</v>
      </c>
      <c r="L89" s="7" t="n">
        <v>2960.3</v>
      </c>
      <c r="N89" s="7" t="n">
        <v>2476.5</v>
      </c>
      <c r="P89" s="7" t="n">
        <v>1133</v>
      </c>
      <c r="R89" s="7" t="n">
        <v>3598.4</v>
      </c>
      <c r="T89" s="7" t="n">
        <v>223.3</v>
      </c>
      <c r="V89" s="7" t="n">
        <v>2131.7</v>
      </c>
      <c r="X89" s="7" t="n">
        <v>1209.1</v>
      </c>
      <c r="Z89" s="7" t="n">
        <v>1687.3</v>
      </c>
      <c r="AB89" s="7" t="n">
        <v>18329.1</v>
      </c>
    </row>
    <row r="90">
      <c r="A90" s="4" t="inlineStr">
        <is>
          <t>物料消耗</t>
        </is>
      </c>
      <c r="D90" s="7" t="n">
        <v>352</v>
      </c>
      <c r="F90" s="7" t="n">
        <v>60.5</v>
      </c>
      <c r="H90" s="7" t="n">
        <v>436.4</v>
      </c>
      <c r="J90" s="7" t="n">
        <v>634.3</v>
      </c>
      <c r="L90" s="7" t="n">
        <v>1069.1</v>
      </c>
      <c r="N90" s="7" t="n">
        <v>1096</v>
      </c>
      <c r="P90" s="7" t="n">
        <v>446.7</v>
      </c>
      <c r="R90" s="7" t="n">
        <v>1946.8</v>
      </c>
      <c r="T90" s="7" t="n">
        <v>156.1</v>
      </c>
      <c r="V90" s="7" t="n">
        <v>843.2</v>
      </c>
      <c r="X90" s="7" t="n">
        <v>535.6</v>
      </c>
      <c r="Z90" s="7" t="n">
        <v>942.8</v>
      </c>
      <c r="AB90" s="7" t="n">
        <v>8519.5</v>
      </c>
    </row>
    <row r="91">
      <c r="A91" s="4" t="inlineStr">
        <is>
          <t>盘盈盘亏</t>
        </is>
      </c>
      <c r="D91" s="7" t="n">
        <v>357.1</v>
      </c>
      <c r="F91" s="7" t="n">
        <v>63.5</v>
      </c>
      <c r="H91" s="7" t="n">
        <v>615.8</v>
      </c>
      <c r="J91" s="7" t="n">
        <v>541.3</v>
      </c>
      <c r="L91" s="7" t="n">
        <v>1205.8</v>
      </c>
      <c r="N91" s="7" t="n">
        <v>1001</v>
      </c>
      <c r="P91" s="7" t="n">
        <v>558.4</v>
      </c>
      <c r="R91" s="7" t="n">
        <v>1532.2</v>
      </c>
      <c r="T91" s="7" t="n">
        <v>136.5</v>
      </c>
      <c r="V91" s="7" t="n">
        <v>609.8</v>
      </c>
      <c r="X91" s="7" t="n">
        <v>568.9</v>
      </c>
      <c r="Z91" s="7" t="n">
        <v>694.6</v>
      </c>
      <c r="AB91" s="7" t="n">
        <v>7884.9</v>
      </c>
    </row>
    <row r="92">
      <c r="A92" s="4" t="inlineStr">
        <is>
          <t>平台服务费</t>
        </is>
      </c>
      <c r="D92" s="7" t="n">
        <v>423.5</v>
      </c>
      <c r="F92" s="7" t="n">
        <v>96.7</v>
      </c>
      <c r="H92" s="7" t="n">
        <v>795.9</v>
      </c>
      <c r="J92" s="7" t="n">
        <v>475.5</v>
      </c>
      <c r="L92" s="7" t="n">
        <v>1637.7</v>
      </c>
      <c r="N92" s="7" t="n">
        <v>1417.7</v>
      </c>
      <c r="P92" s="7" t="n">
        <v>554.5</v>
      </c>
      <c r="R92" s="7" t="n">
        <v>2204.3</v>
      </c>
      <c r="T92" s="7" t="n">
        <v>170.2</v>
      </c>
      <c r="V92" s="7" t="n">
        <v>963</v>
      </c>
      <c r="X92" s="7" t="n">
        <v>679.3</v>
      </c>
      <c r="Z92" s="7" t="n">
        <v>703.6</v>
      </c>
      <c r="AB92" s="7" t="n">
        <v>10121.9</v>
      </c>
    </row>
    <row r="93">
      <c r="A93" s="4" t="inlineStr">
        <is>
          <t>无形资产摊销</t>
        </is>
      </c>
      <c r="D93" s="7" t="n">
        <v>621.7</v>
      </c>
      <c r="F93" s="7" t="n">
        <v>133.8</v>
      </c>
      <c r="H93" s="7" t="n">
        <v>1171.6</v>
      </c>
      <c r="J93" s="7" t="n">
        <v>983.4</v>
      </c>
      <c r="L93" s="7" t="n">
        <v>1962.2</v>
      </c>
      <c r="N93" s="7" t="n">
        <v>1653.3</v>
      </c>
      <c r="P93" s="7" t="n">
        <v>1117.2</v>
      </c>
      <c r="R93" s="7" t="n">
        <v>2719.4</v>
      </c>
      <c r="T93" s="7" t="n">
        <v>302.3</v>
      </c>
      <c r="V93" s="7" t="n">
        <v>2128</v>
      </c>
      <c r="X93" s="7" t="n">
        <v>1151.3</v>
      </c>
      <c r="Z93" s="7" t="n">
        <v>1783.8</v>
      </c>
      <c r="AB93" s="7" t="n">
        <v>15728</v>
      </c>
    </row>
    <row r="94">
      <c r="A94" s="4" t="inlineStr">
        <is>
          <t>研发材料</t>
        </is>
      </c>
      <c r="D94" s="7" t="n">
        <v>216.1</v>
      </c>
      <c r="F94" s="7" t="n">
        <v>85</v>
      </c>
      <c r="H94" s="7" t="n">
        <v>439</v>
      </c>
      <c r="J94" s="7" t="n">
        <v>460.3</v>
      </c>
      <c r="L94" s="7" t="n">
        <v>1210.4</v>
      </c>
      <c r="N94" s="7" t="n">
        <v>721.4</v>
      </c>
      <c r="P94" s="7" t="n">
        <v>659.9</v>
      </c>
      <c r="R94" s="7" t="n">
        <v>1680.1</v>
      </c>
      <c r="T94" s="7" t="n">
        <v>104.3</v>
      </c>
      <c r="V94" s="7" t="n">
        <v>1003.1</v>
      </c>
      <c r="X94" s="7" t="n">
        <v>487.1</v>
      </c>
      <c r="Z94" s="7" t="n">
        <v>751</v>
      </c>
      <c r="AB94" s="7" t="n">
        <v>7817.7</v>
      </c>
    </row>
    <row r="95">
      <c r="A95" s="4" t="inlineStr">
        <is>
          <t>项目名称</t>
        </is>
      </c>
      <c r="D95" s="7" t="n">
        <v>67.8</v>
      </c>
      <c r="F95" s="7" t="n">
        <v>17.8</v>
      </c>
      <c r="H95" s="7" t="n">
        <v>74.90000000000001</v>
      </c>
      <c r="J95" s="7" t="n">
        <v>86</v>
      </c>
      <c r="L95" s="7" t="n">
        <v>261.6</v>
      </c>
      <c r="N95" s="7" t="n">
        <v>226.2</v>
      </c>
      <c r="P95" s="7" t="n">
        <v>138.9</v>
      </c>
      <c r="R95" s="7" t="n">
        <v>327.3</v>
      </c>
      <c r="T95" s="7" t="n">
        <v>22.4</v>
      </c>
      <c r="V95" s="7" t="n">
        <v>156.6</v>
      </c>
      <c r="X95" s="7" t="n">
        <v>109.4</v>
      </c>
      <c r="Z95" s="7" t="n">
        <v>118.6</v>
      </c>
      <c r="AB95" s="7" t="n">
        <v>1607.5</v>
      </c>
    </row>
    <row r="96">
      <c r="A96" s="4" t="inlineStr">
        <is>
          <t>研发费</t>
        </is>
      </c>
      <c r="D96" s="7" t="n">
        <v>667.2</v>
      </c>
      <c r="F96" s="7" t="n">
        <v>122.7</v>
      </c>
      <c r="H96" s="7" t="n">
        <v>882.8</v>
      </c>
      <c r="J96" s="7" t="n">
        <v>613.5</v>
      </c>
      <c r="L96" s="7" t="n">
        <v>2833.6</v>
      </c>
      <c r="N96" s="7" t="n">
        <v>1295.9</v>
      </c>
      <c r="P96" s="7" t="n">
        <v>1115.7</v>
      </c>
      <c r="R96" s="7" t="n">
        <v>2821.7</v>
      </c>
      <c r="T96" s="7" t="n">
        <v>180</v>
      </c>
      <c r="V96" s="7" t="n">
        <v>1307.6</v>
      </c>
      <c r="X96" s="7" t="n">
        <v>889.6</v>
      </c>
      <c r="Z96" s="7" t="n">
        <v>1306.2</v>
      </c>
      <c r="AB96" s="7" t="n">
        <v>14036.5</v>
      </c>
    </row>
    <row r="97">
      <c r="A97" s="4" t="inlineStr">
        <is>
          <t>残保金</t>
        </is>
      </c>
      <c r="D97" s="7" t="n">
        <v>171.7</v>
      </c>
      <c r="F97" s="7" t="n">
        <v>31</v>
      </c>
      <c r="H97" s="7" t="n">
        <v>235.6</v>
      </c>
      <c r="J97" s="7" t="n">
        <v>240.3</v>
      </c>
      <c r="L97" s="7" t="n">
        <v>705.4</v>
      </c>
      <c r="N97" s="7" t="n">
        <v>445.6</v>
      </c>
      <c r="P97" s="7" t="n">
        <v>228</v>
      </c>
      <c r="R97" s="7" t="n">
        <v>937.1</v>
      </c>
      <c r="T97" s="7" t="n">
        <v>77.5</v>
      </c>
      <c r="V97" s="7" t="n">
        <v>362.4</v>
      </c>
      <c r="X97" s="7" t="n">
        <v>321.2</v>
      </c>
      <c r="Z97" s="7" t="n">
        <v>351.5</v>
      </c>
      <c r="AB97" s="7" t="n">
        <v>4107.3</v>
      </c>
    </row>
    <row r="98">
      <c r="A98" s="4" t="inlineStr">
        <is>
          <t>环保费</t>
        </is>
      </c>
      <c r="D98" s="7" t="n">
        <v>366.2</v>
      </c>
      <c r="F98" s="7" t="n">
        <v>76.8</v>
      </c>
      <c r="H98" s="7" t="n">
        <v>576.6</v>
      </c>
      <c r="J98" s="7" t="n">
        <v>449.4</v>
      </c>
      <c r="L98" s="7" t="n">
        <v>1548.5</v>
      </c>
      <c r="N98" s="7" t="n">
        <v>878.4</v>
      </c>
      <c r="P98" s="7" t="n">
        <v>545.2</v>
      </c>
      <c r="R98" s="7" t="n">
        <v>1580.1</v>
      </c>
      <c r="T98" s="7" t="n">
        <v>111.5</v>
      </c>
      <c r="V98" s="7" t="n">
        <v>827.2</v>
      </c>
      <c r="X98" s="7" t="n">
        <v>476.3</v>
      </c>
      <c r="Z98" s="7" t="n">
        <v>643.2</v>
      </c>
      <c r="AB98" s="7" t="n">
        <v>8079.4</v>
      </c>
    </row>
    <row r="99">
      <c r="A99" s="4" t="inlineStr">
        <is>
          <t>报废损失</t>
        </is>
      </c>
      <c r="D99" s="7" t="n">
        <v>154.5</v>
      </c>
      <c r="F99" s="7" t="n">
        <v>39.1</v>
      </c>
      <c r="H99" s="7" t="n">
        <v>201</v>
      </c>
      <c r="J99" s="7" t="n">
        <v>267.1</v>
      </c>
      <c r="L99" s="7" t="n">
        <v>761.6</v>
      </c>
      <c r="N99" s="7" t="n">
        <v>389.7</v>
      </c>
      <c r="P99" s="7" t="n">
        <v>313.2</v>
      </c>
      <c r="R99" s="7" t="n">
        <v>860.7</v>
      </c>
      <c r="T99" s="7" t="n">
        <v>45.5</v>
      </c>
      <c r="V99" s="7" t="n">
        <v>544.4</v>
      </c>
      <c r="X99" s="7" t="n">
        <v>281.6</v>
      </c>
      <c r="Z99" s="7" t="n">
        <v>531.9</v>
      </c>
      <c r="AB99" s="7" t="n">
        <v>4390.3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128911.4</v>
      </c>
      <c r="D100" s="7" t="n">
        <v>91419.3</v>
      </c>
      <c r="E100" s="7" t="n">
        <v>158804</v>
      </c>
      <c r="F100" s="7" t="n">
        <v>14282.2</v>
      </c>
      <c r="G100" s="7" t="n">
        <v>139361.8</v>
      </c>
      <c r="H100" s="7" t="n">
        <v>80123.5</v>
      </c>
      <c r="I100" s="7" t="n">
        <v>133172.3</v>
      </c>
      <c r="J100" s="7" t="n">
        <v>78557</v>
      </c>
      <c r="K100" s="7" t="n">
        <v>166906.5</v>
      </c>
      <c r="L100" s="7" t="n">
        <v>265405.9</v>
      </c>
      <c r="M100" s="7" t="n">
        <v>154491.5</v>
      </c>
      <c r="N100" s="7" t="n">
        <v>210636</v>
      </c>
      <c r="O100" s="7" t="n">
        <v>159494.7</v>
      </c>
      <c r="P100" s="7" t="n">
        <v>224803.8</v>
      </c>
      <c r="Q100" s="7" t="n">
        <v>152941.1</v>
      </c>
      <c r="R100" s="7" t="n">
        <v>286212.3</v>
      </c>
      <c r="S100" s="7" t="n">
        <v>132877.6</v>
      </c>
      <c r="T100" s="7" t="n">
        <v>49615.3</v>
      </c>
      <c r="U100" s="7" t="n">
        <v>130365.5</v>
      </c>
      <c r="V100" s="7" t="n">
        <v>259759</v>
      </c>
      <c r="W100" s="7" t="n">
        <v>126883.5</v>
      </c>
      <c r="X100" s="7" t="n">
        <v>120188.4</v>
      </c>
      <c r="Y100" s="7" t="n">
        <v>130205.2</v>
      </c>
      <c r="Z100" s="7" t="n">
        <v>81871.3</v>
      </c>
      <c r="AA100" s="8" t="n">
        <v>1714415.1</v>
      </c>
      <c r="AB100" s="8" t="n">
        <v>1762874</v>
      </c>
    </row>
    <row r="101">
      <c r="A101" s="4" t="inlineStr">
        <is>
          <t>职工薪酬</t>
        </is>
      </c>
      <c r="D101" s="7" t="n">
        <v>48015.8</v>
      </c>
      <c r="F101" s="7" t="n">
        <v>7640.2</v>
      </c>
      <c r="H101" s="7" t="n">
        <v>38757.1</v>
      </c>
      <c r="J101" s="7" t="n">
        <v>38654.2</v>
      </c>
      <c r="L101" s="7" t="n">
        <v>140842.7</v>
      </c>
      <c r="N101" s="7" t="n">
        <v>108426.9</v>
      </c>
      <c r="P101" s="7" t="n">
        <v>99480.5</v>
      </c>
      <c r="R101" s="7" t="n">
        <v>148559.6</v>
      </c>
      <c r="T101" s="7" t="n">
        <v>25805.4</v>
      </c>
      <c r="V101" s="7" t="n">
        <v>150582</v>
      </c>
      <c r="X101" s="7" t="n">
        <v>70426.7</v>
      </c>
      <c r="Z101" s="7" t="n">
        <v>32143.7</v>
      </c>
      <c r="AB101" s="7" t="n">
        <v>909334.8</v>
      </c>
    </row>
    <row r="102">
      <c r="A102" s="4" t="inlineStr">
        <is>
          <t>工资</t>
        </is>
      </c>
      <c r="D102" s="7" t="n">
        <v>26123.6</v>
      </c>
      <c r="F102" s="7" t="n">
        <v>4442.2</v>
      </c>
      <c r="H102" s="7" t="n">
        <v>22532</v>
      </c>
      <c r="J102" s="7" t="n">
        <v>20869</v>
      </c>
      <c r="L102" s="7" t="n">
        <v>87522.5</v>
      </c>
      <c r="N102" s="7" t="n">
        <v>60736.2</v>
      </c>
      <c r="P102" s="7" t="n">
        <v>63431.6</v>
      </c>
      <c r="R102" s="7" t="n">
        <v>89593.39999999999</v>
      </c>
      <c r="T102" s="7" t="n">
        <v>15715.9</v>
      </c>
      <c r="V102" s="7" t="n">
        <v>97722.5</v>
      </c>
      <c r="X102" s="7" t="n">
        <v>44381.5</v>
      </c>
      <c r="Z102" s="7" t="n">
        <v>18504.9</v>
      </c>
      <c r="AB102" s="7" t="n">
        <v>551575.3</v>
      </c>
    </row>
    <row r="103">
      <c r="A103" s="4" t="inlineStr">
        <is>
          <t>奖金及提成</t>
        </is>
      </c>
      <c r="D103" s="7" t="n">
        <v>10876.4</v>
      </c>
      <c r="F103" s="7" t="n">
        <v>1330.2</v>
      </c>
      <c r="H103" s="7" t="n">
        <v>7279.5</v>
      </c>
      <c r="J103" s="7" t="n">
        <v>8754.200000000001</v>
      </c>
      <c r="L103" s="7" t="n">
        <v>19116.3</v>
      </c>
      <c r="N103" s="7" t="n">
        <v>25586.8</v>
      </c>
      <c r="P103" s="7" t="n">
        <v>16181.7</v>
      </c>
      <c r="R103" s="7" t="n">
        <v>27019.1</v>
      </c>
      <c r="T103" s="7" t="n">
        <v>4523.9</v>
      </c>
      <c r="V103" s="7" t="n">
        <v>29077.9</v>
      </c>
      <c r="X103" s="7" t="n">
        <v>11804.4</v>
      </c>
      <c r="Z103" s="7" t="n">
        <v>5915.9</v>
      </c>
      <c r="AB103" s="7" t="n">
        <v>167466.3</v>
      </c>
    </row>
    <row r="104">
      <c r="A104" s="4" t="inlineStr">
        <is>
          <t>社保</t>
        </is>
      </c>
      <c r="D104" s="7" t="n">
        <v>8362.799999999999</v>
      </c>
      <c r="F104" s="7" t="n">
        <v>1468.2</v>
      </c>
      <c r="H104" s="7" t="n">
        <v>6660</v>
      </c>
      <c r="J104" s="7" t="n">
        <v>6723.7</v>
      </c>
      <c r="L104" s="7" t="n">
        <v>27129.4</v>
      </c>
      <c r="N104" s="7" t="n">
        <v>16258.2</v>
      </c>
      <c r="P104" s="7" t="n">
        <v>13775</v>
      </c>
      <c r="R104" s="7" t="n">
        <v>24751.5</v>
      </c>
      <c r="T104" s="7" t="n">
        <v>4326.6</v>
      </c>
      <c r="V104" s="7" t="n">
        <v>16259.1</v>
      </c>
      <c r="X104" s="7" t="n">
        <v>10745.5</v>
      </c>
      <c r="Z104" s="7" t="n">
        <v>5460.1</v>
      </c>
      <c r="AB104" s="7" t="n">
        <v>141920.1</v>
      </c>
    </row>
    <row r="105">
      <c r="A105" s="4" t="inlineStr">
        <is>
          <t>养老</t>
        </is>
      </c>
      <c r="D105" s="7" t="n">
        <v>137.8</v>
      </c>
      <c r="F105" s="7" t="n">
        <v>20.4</v>
      </c>
      <c r="H105" s="7" t="n">
        <v>122.4</v>
      </c>
      <c r="J105" s="7" t="n">
        <v>85.59999999999999</v>
      </c>
      <c r="L105" s="7" t="n">
        <v>326</v>
      </c>
      <c r="N105" s="7" t="n">
        <v>226.6</v>
      </c>
      <c r="P105" s="7" t="n">
        <v>241.8</v>
      </c>
      <c r="R105" s="7" t="n">
        <v>366.4</v>
      </c>
      <c r="T105" s="7" t="n">
        <v>55.2</v>
      </c>
      <c r="V105" s="7" t="n">
        <v>308.6</v>
      </c>
      <c r="X105" s="7" t="n">
        <v>209.7</v>
      </c>
      <c r="Z105" s="7" t="n">
        <v>134</v>
      </c>
      <c r="AB105" s="7" t="n">
        <v>2234.5</v>
      </c>
    </row>
    <row r="106">
      <c r="A106" s="4" t="inlineStr">
        <is>
          <t>医疗</t>
        </is>
      </c>
      <c r="D106" s="7" t="n">
        <v>460</v>
      </c>
      <c r="F106" s="7" t="n">
        <v>61.7</v>
      </c>
      <c r="H106" s="7" t="n">
        <v>334.2</v>
      </c>
      <c r="J106" s="7" t="n">
        <v>329.6</v>
      </c>
      <c r="L106" s="7" t="n">
        <v>963.2</v>
      </c>
      <c r="N106" s="7" t="n">
        <v>794</v>
      </c>
      <c r="P106" s="7" t="n">
        <v>1134.8</v>
      </c>
      <c r="R106" s="7" t="n">
        <v>1093</v>
      </c>
      <c r="T106" s="7" t="n">
        <v>192</v>
      </c>
      <c r="V106" s="7" t="n">
        <v>919.6</v>
      </c>
      <c r="X106" s="7" t="n">
        <v>434.7</v>
      </c>
      <c r="Z106" s="7" t="n">
        <v>282.5</v>
      </c>
      <c r="AB106" s="7" t="n">
        <v>6999.3</v>
      </c>
    </row>
    <row r="107">
      <c r="A107" s="4" t="inlineStr">
        <is>
          <t>工伤</t>
        </is>
      </c>
      <c r="D107" s="7" t="n">
        <v>677.4</v>
      </c>
      <c r="F107" s="7" t="n">
        <v>96.8</v>
      </c>
      <c r="H107" s="7" t="n">
        <v>418.7</v>
      </c>
      <c r="J107" s="7" t="n">
        <v>396.6</v>
      </c>
      <c r="L107" s="7" t="n">
        <v>1166.5</v>
      </c>
      <c r="N107" s="7" t="n">
        <v>1540.9</v>
      </c>
      <c r="P107" s="7" t="n">
        <v>1417.6</v>
      </c>
      <c r="R107" s="7" t="n">
        <v>1585.2</v>
      </c>
      <c r="T107" s="7" t="n">
        <v>368.5</v>
      </c>
      <c r="V107" s="7" t="n">
        <v>1617</v>
      </c>
      <c r="X107" s="7" t="n">
        <v>818</v>
      </c>
      <c r="Z107" s="7" t="n">
        <v>409</v>
      </c>
      <c r="AB107" s="7" t="n">
        <v>10512.2</v>
      </c>
    </row>
    <row r="108">
      <c r="A108" s="4" t="inlineStr">
        <is>
          <t>失业</t>
        </is>
      </c>
      <c r="D108" s="7" t="n">
        <v>513.8</v>
      </c>
      <c r="F108" s="7" t="n">
        <v>57.2</v>
      </c>
      <c r="H108" s="7" t="n">
        <v>359.8</v>
      </c>
      <c r="J108" s="7" t="n">
        <v>303.8</v>
      </c>
      <c r="L108" s="7" t="n">
        <v>1508.8</v>
      </c>
      <c r="N108" s="7" t="n">
        <v>1195.2</v>
      </c>
      <c r="P108" s="7" t="n">
        <v>892.8</v>
      </c>
      <c r="R108" s="7" t="n">
        <v>1345</v>
      </c>
      <c r="T108" s="7" t="n">
        <v>253.8</v>
      </c>
      <c r="V108" s="7" t="n">
        <v>1315.5</v>
      </c>
      <c r="X108" s="7" t="n">
        <v>576.6</v>
      </c>
      <c r="Z108" s="7" t="n">
        <v>298.4</v>
      </c>
      <c r="AB108" s="7" t="n">
        <v>8620.700000000001</v>
      </c>
    </row>
    <row r="109">
      <c r="A109" s="4" t="inlineStr">
        <is>
          <t>生育</t>
        </is>
      </c>
      <c r="D109" s="7" t="n">
        <v>25.7</v>
      </c>
      <c r="F109" s="7" t="n">
        <v>4.3</v>
      </c>
      <c r="H109" s="7" t="n">
        <v>26.7</v>
      </c>
      <c r="J109" s="7" t="n">
        <v>24.3</v>
      </c>
      <c r="L109" s="7" t="n">
        <v>104.8</v>
      </c>
      <c r="N109" s="7" t="n">
        <v>85.3</v>
      </c>
      <c r="P109" s="7" t="n">
        <v>77.5</v>
      </c>
      <c r="R109" s="7" t="n">
        <v>91.40000000000001</v>
      </c>
      <c r="T109" s="7" t="n">
        <v>18.1</v>
      </c>
      <c r="V109" s="7" t="n">
        <v>82.40000000000001</v>
      </c>
      <c r="X109" s="7" t="n">
        <v>45.7</v>
      </c>
      <c r="Z109" s="7" t="n">
        <v>22.1</v>
      </c>
      <c r="AB109" s="7" t="n">
        <v>608.3</v>
      </c>
    </row>
    <row r="110">
      <c r="A110" s="4" t="inlineStr">
        <is>
          <t>公积金</t>
        </is>
      </c>
      <c r="D110" s="7" t="n">
        <v>113.8</v>
      </c>
      <c r="F110" s="7" t="n">
        <v>16.4</v>
      </c>
      <c r="H110" s="7" t="n">
        <v>161.9</v>
      </c>
      <c r="J110" s="7" t="n">
        <v>133.8</v>
      </c>
      <c r="L110" s="7" t="n">
        <v>337.2</v>
      </c>
      <c r="N110" s="7" t="n">
        <v>383.7</v>
      </c>
      <c r="P110" s="7" t="n">
        <v>282.5</v>
      </c>
      <c r="R110" s="7" t="n">
        <v>461.7</v>
      </c>
      <c r="T110" s="7" t="n">
        <v>58.9</v>
      </c>
      <c r="V110" s="7" t="n">
        <v>380.3</v>
      </c>
      <c r="X110" s="7" t="n">
        <v>243.4</v>
      </c>
      <c r="Z110" s="7" t="n">
        <v>135.3</v>
      </c>
      <c r="AB110" s="7" t="n">
        <v>2708.9</v>
      </c>
    </row>
    <row r="111">
      <c r="A111" s="4" t="inlineStr">
        <is>
          <t>工会经费</t>
        </is>
      </c>
      <c r="D111" s="7" t="n">
        <v>124.6</v>
      </c>
      <c r="F111" s="7" t="n">
        <v>21.1</v>
      </c>
      <c r="H111" s="7" t="n">
        <v>93.40000000000001</v>
      </c>
      <c r="J111" s="7" t="n">
        <v>97.59999999999999</v>
      </c>
      <c r="L111" s="7" t="n">
        <v>352.6</v>
      </c>
      <c r="N111" s="7" t="n">
        <v>323.5</v>
      </c>
      <c r="P111" s="7" t="n">
        <v>220.3</v>
      </c>
      <c r="R111" s="7" t="n">
        <v>306.2</v>
      </c>
      <c r="T111" s="7" t="n">
        <v>45.5</v>
      </c>
      <c r="V111" s="7" t="n">
        <v>284.6</v>
      </c>
      <c r="X111" s="7" t="n">
        <v>145.8</v>
      </c>
      <c r="Z111" s="7" t="n">
        <v>91.3</v>
      </c>
      <c r="AB111" s="7" t="n">
        <v>2106.5</v>
      </c>
    </row>
    <row r="112">
      <c r="A112" s="4" t="inlineStr">
        <is>
          <t>职工教育经费</t>
        </is>
      </c>
      <c r="D112" s="7" t="n">
        <v>439.4</v>
      </c>
      <c r="F112" s="7" t="n">
        <v>92.8</v>
      </c>
      <c r="H112" s="7" t="n">
        <v>507.5</v>
      </c>
      <c r="J112" s="7" t="n">
        <v>571.2</v>
      </c>
      <c r="L112" s="7" t="n">
        <v>1268.8</v>
      </c>
      <c r="N112" s="7" t="n">
        <v>1465.7</v>
      </c>
      <c r="P112" s="7" t="n">
        <v>1250.8</v>
      </c>
      <c r="R112" s="7" t="n">
        <v>1363</v>
      </c>
      <c r="T112" s="7" t="n">
        <v>232.4</v>
      </c>
      <c r="V112" s="7" t="n">
        <v>1804.2</v>
      </c>
      <c r="X112" s="7" t="n">
        <v>715.2</v>
      </c>
      <c r="Z112" s="7" t="n">
        <v>606</v>
      </c>
      <c r="AB112" s="7" t="n">
        <v>10317</v>
      </c>
    </row>
    <row r="113">
      <c r="A113" s="4" t="inlineStr">
        <is>
          <t>福利费</t>
        </is>
      </c>
      <c r="D113" s="7" t="n">
        <v>1975.2</v>
      </c>
      <c r="F113" s="7" t="n">
        <v>269.3</v>
      </c>
      <c r="H113" s="7" t="n">
        <v>1522.8</v>
      </c>
      <c r="J113" s="7" t="n">
        <v>1504.7</v>
      </c>
      <c r="L113" s="7" t="n">
        <v>5115.9</v>
      </c>
      <c r="N113" s="7" t="n">
        <v>3672.8</v>
      </c>
      <c r="P113" s="7" t="n">
        <v>4338.6</v>
      </c>
      <c r="R113" s="7" t="n">
        <v>5064.7</v>
      </c>
      <c r="T113" s="7" t="n">
        <v>902.2</v>
      </c>
      <c r="V113" s="7" t="n">
        <v>5053.4</v>
      </c>
      <c r="X113" s="7" t="n">
        <v>2390.9</v>
      </c>
      <c r="Z113" s="7" t="n">
        <v>1430.2</v>
      </c>
      <c r="AB113" s="7" t="n">
        <v>33240.7</v>
      </c>
    </row>
    <row r="114">
      <c r="A114" s="4" t="inlineStr">
        <is>
          <t>职工房租</t>
        </is>
      </c>
      <c r="D114" s="7" t="n">
        <v>462.8</v>
      </c>
      <c r="F114" s="7" t="n">
        <v>48.9</v>
      </c>
      <c r="H114" s="7" t="n">
        <v>293.4</v>
      </c>
      <c r="J114" s="7" t="n">
        <v>276</v>
      </c>
      <c r="L114" s="7" t="n">
        <v>907.6</v>
      </c>
      <c r="N114" s="7" t="n">
        <v>754.6</v>
      </c>
      <c r="P114" s="7" t="n">
        <v>838</v>
      </c>
      <c r="R114" s="7" t="n">
        <v>858.8</v>
      </c>
      <c r="T114" s="7" t="n">
        <v>165.3</v>
      </c>
      <c r="V114" s="7" t="n">
        <v>1064.3</v>
      </c>
      <c r="X114" s="7" t="n">
        <v>443.2</v>
      </c>
      <c r="Z114" s="7" t="n">
        <v>402.8</v>
      </c>
      <c r="AB114" s="7" t="n">
        <v>6515.7</v>
      </c>
    </row>
    <row r="115">
      <c r="A115" s="4" t="inlineStr">
        <is>
          <t>水电物业费</t>
        </is>
      </c>
      <c r="D115" s="7" t="n">
        <v>144.1</v>
      </c>
      <c r="F115" s="7" t="n">
        <v>33.3</v>
      </c>
      <c r="H115" s="7" t="n">
        <v>123.8</v>
      </c>
      <c r="J115" s="7" t="n">
        <v>168.5</v>
      </c>
      <c r="L115" s="7" t="n">
        <v>403.4</v>
      </c>
      <c r="N115" s="7" t="n">
        <v>497.7</v>
      </c>
      <c r="P115" s="7" t="n">
        <v>357.2</v>
      </c>
      <c r="R115" s="7" t="n">
        <v>542.5</v>
      </c>
      <c r="T115" s="7" t="n">
        <v>78.2</v>
      </c>
      <c r="V115" s="7" t="n">
        <v>476.9</v>
      </c>
      <c r="X115" s="7" t="n">
        <v>255.7</v>
      </c>
      <c r="Z115" s="7" t="n">
        <v>113.3</v>
      </c>
      <c r="AB115" s="7" t="n">
        <v>3194.6</v>
      </c>
    </row>
    <row r="116">
      <c r="A116" s="4" t="inlineStr">
        <is>
          <t>员工餐</t>
        </is>
      </c>
      <c r="D116" s="7" t="n">
        <v>135</v>
      </c>
      <c r="F116" s="7" t="n">
        <v>22.8</v>
      </c>
      <c r="H116" s="7" t="n">
        <v>122.2</v>
      </c>
      <c r="J116" s="7" t="n">
        <v>133.4</v>
      </c>
      <c r="L116" s="7" t="n">
        <v>476.7</v>
      </c>
      <c r="N116" s="7" t="n">
        <v>300.5</v>
      </c>
      <c r="P116" s="7" t="n">
        <v>408</v>
      </c>
      <c r="R116" s="7" t="n">
        <v>521.9</v>
      </c>
      <c r="T116" s="7" t="n">
        <v>54.3</v>
      </c>
      <c r="V116" s="7" t="n">
        <v>464.3</v>
      </c>
      <c r="X116" s="7" t="n">
        <v>236.4</v>
      </c>
      <c r="Z116" s="7" t="n">
        <v>135.8</v>
      </c>
      <c r="AB116" s="7" t="n">
        <v>3011.3</v>
      </c>
    </row>
    <row r="117">
      <c r="A117" s="4" t="inlineStr">
        <is>
          <t>节日礼品</t>
        </is>
      </c>
      <c r="D117" s="7" t="n">
        <v>527.6</v>
      </c>
      <c r="F117" s="7" t="n">
        <v>69.3</v>
      </c>
      <c r="H117" s="7" t="n">
        <v>324.3</v>
      </c>
      <c r="J117" s="7" t="n">
        <v>421.8</v>
      </c>
      <c r="L117" s="7" t="n">
        <v>1577.8</v>
      </c>
      <c r="N117" s="7" t="n">
        <v>777.3</v>
      </c>
      <c r="P117" s="7" t="n">
        <v>1239.3</v>
      </c>
      <c r="R117" s="7" t="n">
        <v>1005.5</v>
      </c>
      <c r="T117" s="7" t="n">
        <v>253.8</v>
      </c>
      <c r="V117" s="7" t="n">
        <v>1201.4</v>
      </c>
      <c r="X117" s="7" t="n">
        <v>691</v>
      </c>
      <c r="Z117" s="7" t="n">
        <v>281.9</v>
      </c>
      <c r="AB117" s="7" t="n">
        <v>8371</v>
      </c>
    </row>
    <row r="118">
      <c r="A118" s="4" t="inlineStr">
        <is>
          <t>生日礼品</t>
        </is>
      </c>
      <c r="D118" s="7" t="n">
        <v>204.7</v>
      </c>
      <c r="F118" s="7" t="n">
        <v>21.7</v>
      </c>
      <c r="H118" s="7" t="n">
        <v>166.8</v>
      </c>
      <c r="J118" s="7" t="n">
        <v>99.8</v>
      </c>
      <c r="L118" s="7" t="n">
        <v>383.8</v>
      </c>
      <c r="N118" s="7" t="n">
        <v>428.1</v>
      </c>
      <c r="P118" s="7" t="n">
        <v>466.4</v>
      </c>
      <c r="R118" s="7" t="n">
        <v>627.2</v>
      </c>
      <c r="T118" s="7" t="n">
        <v>68.40000000000001</v>
      </c>
      <c r="V118" s="7" t="n">
        <v>533.7</v>
      </c>
      <c r="X118" s="7" t="n">
        <v>221.3</v>
      </c>
      <c r="Z118" s="7" t="n">
        <v>122.8</v>
      </c>
      <c r="AB118" s="7" t="n">
        <v>3344.7</v>
      </c>
    </row>
    <row r="119">
      <c r="A119" s="4" t="inlineStr">
        <is>
          <t>体检</t>
        </is>
      </c>
      <c r="D119" s="7" t="n">
        <v>189.5</v>
      </c>
      <c r="F119" s="7" t="n">
        <v>42.1</v>
      </c>
      <c r="H119" s="7" t="n">
        <v>233.7</v>
      </c>
      <c r="J119" s="7" t="n">
        <v>232</v>
      </c>
      <c r="L119" s="7" t="n">
        <v>785.8</v>
      </c>
      <c r="N119" s="7" t="n">
        <v>442.3</v>
      </c>
      <c r="P119" s="7" t="n">
        <v>449.4</v>
      </c>
      <c r="R119" s="7" t="n">
        <v>951</v>
      </c>
      <c r="T119" s="7" t="n">
        <v>136.6</v>
      </c>
      <c r="V119" s="7" t="n">
        <v>559.4</v>
      </c>
      <c r="X119" s="7" t="n">
        <v>240.8</v>
      </c>
      <c r="Z119" s="7" t="n">
        <v>163.8</v>
      </c>
      <c r="AB119" s="7" t="n">
        <v>4426.4</v>
      </c>
    </row>
    <row r="120">
      <c r="A120" s="4" t="inlineStr">
        <is>
          <t>其他福利支出</t>
        </is>
      </c>
      <c r="D120" s="7" t="n">
        <v>311.5</v>
      </c>
      <c r="F120" s="7" t="n">
        <v>31.2</v>
      </c>
      <c r="H120" s="7" t="n">
        <v>258.6</v>
      </c>
      <c r="J120" s="7" t="n">
        <v>173.2</v>
      </c>
      <c r="L120" s="7" t="n">
        <v>580.8</v>
      </c>
      <c r="N120" s="7" t="n">
        <v>472.3</v>
      </c>
      <c r="P120" s="7" t="n">
        <v>580.3</v>
      </c>
      <c r="R120" s="7" t="n">
        <v>557.8</v>
      </c>
      <c r="T120" s="7" t="n">
        <v>145.6</v>
      </c>
      <c r="V120" s="7" t="n">
        <v>753.4</v>
      </c>
      <c r="X120" s="7" t="n">
        <v>302.5</v>
      </c>
      <c r="Z120" s="7" t="n">
        <v>209.8</v>
      </c>
      <c r="AB120" s="7" t="n">
        <v>4377</v>
      </c>
    </row>
    <row r="121">
      <c r="A121" s="4" t="inlineStr">
        <is>
          <t>招聘费</t>
        </is>
      </c>
      <c r="D121" s="7" t="n">
        <v>395</v>
      </c>
      <c r="F121" s="7" t="n">
        <v>106</v>
      </c>
      <c r="H121" s="7" t="n">
        <v>384.8</v>
      </c>
      <c r="J121" s="7" t="n">
        <v>474.3</v>
      </c>
      <c r="L121" s="7" t="n">
        <v>1730.5</v>
      </c>
      <c r="N121" s="7" t="n">
        <v>1482.4</v>
      </c>
      <c r="P121" s="7" t="n">
        <v>1222.6</v>
      </c>
      <c r="R121" s="7" t="n">
        <v>2169.5</v>
      </c>
      <c r="T121" s="7" t="n">
        <v>222.8</v>
      </c>
      <c r="V121" s="7" t="n">
        <v>1377.3</v>
      </c>
      <c r="X121" s="7" t="n">
        <v>677.9</v>
      </c>
      <c r="Z121" s="7" t="n">
        <v>367.4</v>
      </c>
      <c r="AB121" s="7" t="n">
        <v>10610.5</v>
      </c>
    </row>
    <row r="122">
      <c r="A122" s="4" t="inlineStr">
        <is>
          <t>办公费</t>
        </is>
      </c>
      <c r="D122" s="7" t="n">
        <v>3469.2</v>
      </c>
      <c r="F122" s="7" t="n">
        <v>344.4</v>
      </c>
      <c r="H122" s="7" t="n">
        <v>2015.5</v>
      </c>
      <c r="J122" s="7" t="n">
        <v>2472.3</v>
      </c>
      <c r="L122" s="7" t="n">
        <v>9250.1</v>
      </c>
      <c r="N122" s="7" t="n">
        <v>7517.4</v>
      </c>
      <c r="P122" s="7" t="n">
        <v>5411.3</v>
      </c>
      <c r="R122" s="7" t="n">
        <v>6160.1</v>
      </c>
      <c r="T122" s="7" t="n">
        <v>1283.8</v>
      </c>
      <c r="V122" s="7" t="n">
        <v>9746.700000000001</v>
      </c>
      <c r="X122" s="7" t="n">
        <v>4238.2</v>
      </c>
      <c r="Z122" s="7" t="n">
        <v>1788.1</v>
      </c>
      <c r="AB122" s="7" t="n">
        <v>53697.1</v>
      </c>
    </row>
    <row r="123">
      <c r="A123" s="4" t="inlineStr">
        <is>
          <t>市内交通费</t>
        </is>
      </c>
      <c r="D123" s="7" t="n">
        <v>315.8</v>
      </c>
      <c r="F123" s="7" t="n">
        <v>64.09999999999999</v>
      </c>
      <c r="H123" s="7" t="n">
        <v>334.8</v>
      </c>
      <c r="J123" s="7" t="n">
        <v>329.9</v>
      </c>
      <c r="L123" s="7" t="n">
        <v>1107.7</v>
      </c>
      <c r="N123" s="7" t="n">
        <v>932.9</v>
      </c>
      <c r="P123" s="7" t="n">
        <v>565.2</v>
      </c>
      <c r="R123" s="7" t="n">
        <v>986</v>
      </c>
      <c r="T123" s="7" t="n">
        <v>140.2</v>
      </c>
      <c r="V123" s="7" t="n">
        <v>734.3</v>
      </c>
      <c r="X123" s="7" t="n">
        <v>501.6</v>
      </c>
      <c r="Z123" s="7" t="n">
        <v>253.9</v>
      </c>
      <c r="AB123" s="7" t="n">
        <v>6266.4</v>
      </c>
    </row>
    <row r="124">
      <c r="A124" s="4" t="inlineStr">
        <is>
          <t>差旅费</t>
        </is>
      </c>
      <c r="D124" s="7" t="n">
        <v>6739.3</v>
      </c>
      <c r="F124" s="7" t="n">
        <v>629.9</v>
      </c>
      <c r="H124" s="7" t="n">
        <v>5714.1</v>
      </c>
      <c r="J124" s="7" t="n">
        <v>5341.8</v>
      </c>
      <c r="L124" s="7" t="n">
        <v>19901.9</v>
      </c>
      <c r="N124" s="7" t="n">
        <v>10810.3</v>
      </c>
      <c r="P124" s="7" t="n">
        <v>16588.6</v>
      </c>
      <c r="R124" s="7" t="n">
        <v>16787.1</v>
      </c>
      <c r="T124" s="7" t="n">
        <v>3470.2</v>
      </c>
      <c r="V124" s="7" t="n">
        <v>11859.9</v>
      </c>
      <c r="X124" s="7" t="n">
        <v>9017.1</v>
      </c>
      <c r="Z124" s="7" t="n">
        <v>5331.4</v>
      </c>
      <c r="AB124" s="7" t="n">
        <v>112191.6</v>
      </c>
    </row>
    <row r="125">
      <c r="A125" s="4" t="inlineStr">
        <is>
          <t>交通费</t>
        </is>
      </c>
      <c r="D125" s="7" t="n">
        <v>369.8</v>
      </c>
      <c r="F125" s="7" t="n">
        <v>55.4</v>
      </c>
      <c r="H125" s="7" t="n">
        <v>277.2</v>
      </c>
      <c r="J125" s="7" t="n">
        <v>417.2</v>
      </c>
      <c r="L125" s="7" t="n">
        <v>1275.2</v>
      </c>
      <c r="N125" s="7" t="n">
        <v>1161.8</v>
      </c>
      <c r="P125" s="7" t="n">
        <v>1278.7</v>
      </c>
      <c r="R125" s="7" t="n">
        <v>946.7</v>
      </c>
      <c r="T125" s="7" t="n">
        <v>205.9</v>
      </c>
      <c r="V125" s="7" t="n">
        <v>1206.4</v>
      </c>
      <c r="X125" s="7" t="n">
        <v>556.6</v>
      </c>
      <c r="Z125" s="7" t="n">
        <v>464.6</v>
      </c>
      <c r="AB125" s="7" t="n">
        <v>8215.5</v>
      </c>
    </row>
    <row r="126">
      <c r="A126" s="4" t="inlineStr">
        <is>
          <t>住宿费</t>
        </is>
      </c>
      <c r="D126" s="7" t="n">
        <v>102.2</v>
      </c>
      <c r="F126" s="7" t="n">
        <v>15.5</v>
      </c>
      <c r="H126" s="7" t="n">
        <v>73.2</v>
      </c>
      <c r="J126" s="7" t="n">
        <v>97.09999999999999</v>
      </c>
      <c r="L126" s="7" t="n">
        <v>198</v>
      </c>
      <c r="N126" s="7" t="n">
        <v>168.8</v>
      </c>
      <c r="P126" s="7" t="n">
        <v>240.6</v>
      </c>
      <c r="R126" s="7" t="n">
        <v>341.7</v>
      </c>
      <c r="T126" s="7" t="n">
        <v>52.7</v>
      </c>
      <c r="V126" s="7" t="n">
        <v>292.1</v>
      </c>
      <c r="X126" s="7" t="n">
        <v>113.1</v>
      </c>
      <c r="Z126" s="7" t="n">
        <v>95.5</v>
      </c>
      <c r="AB126" s="7" t="n">
        <v>1790.5</v>
      </c>
    </row>
    <row r="127">
      <c r="A127" s="4" t="inlineStr">
        <is>
          <t>餐补</t>
        </is>
      </c>
      <c r="D127" s="7" t="n">
        <v>144</v>
      </c>
      <c r="F127" s="7" t="n">
        <v>26.5</v>
      </c>
      <c r="H127" s="7" t="n">
        <v>169.3</v>
      </c>
      <c r="J127" s="7" t="n">
        <v>184.1</v>
      </c>
      <c r="L127" s="7" t="n">
        <v>486.1</v>
      </c>
      <c r="N127" s="7" t="n">
        <v>418.9</v>
      </c>
      <c r="P127" s="7" t="n">
        <v>403.2</v>
      </c>
      <c r="R127" s="7" t="n">
        <v>614.3</v>
      </c>
      <c r="T127" s="7" t="n">
        <v>68.40000000000001</v>
      </c>
      <c r="V127" s="7" t="n">
        <v>389.6</v>
      </c>
      <c r="X127" s="7" t="n">
        <v>172.8</v>
      </c>
      <c r="Z127" s="7" t="n">
        <v>113.7</v>
      </c>
      <c r="AB127" s="7" t="n">
        <v>3190.9</v>
      </c>
    </row>
    <row r="128">
      <c r="A128" s="4" t="inlineStr">
        <is>
          <t>交通补助</t>
        </is>
      </c>
      <c r="D128" s="7" t="n">
        <v>28.8</v>
      </c>
      <c r="F128" s="7" t="n">
        <v>5.7</v>
      </c>
      <c r="H128" s="7" t="n">
        <v>18</v>
      </c>
      <c r="J128" s="7" t="n">
        <v>27.2</v>
      </c>
      <c r="L128" s="7" t="n">
        <v>105.8</v>
      </c>
      <c r="N128" s="7" t="n">
        <v>67.2</v>
      </c>
      <c r="P128" s="7" t="n">
        <v>82.3</v>
      </c>
      <c r="R128" s="7" t="n">
        <v>101.4</v>
      </c>
      <c r="T128" s="7" t="n">
        <v>11.2</v>
      </c>
      <c r="V128" s="7" t="n">
        <v>100.4</v>
      </c>
      <c r="X128" s="7" t="n">
        <v>47.8</v>
      </c>
      <c r="Z128" s="7" t="n">
        <v>18.8</v>
      </c>
      <c r="AB128" s="7" t="n">
        <v>614.6</v>
      </c>
    </row>
    <row r="129">
      <c r="A129" s="4" t="inlineStr">
        <is>
          <t>通讯补助</t>
        </is>
      </c>
      <c r="D129" s="7" t="n">
        <v>624.2</v>
      </c>
      <c r="F129" s="7" t="n">
        <v>79.3</v>
      </c>
      <c r="H129" s="7" t="n">
        <v>501.4</v>
      </c>
      <c r="J129" s="7" t="n">
        <v>519.2</v>
      </c>
      <c r="L129" s="7" t="n">
        <v>1874.3</v>
      </c>
      <c r="N129" s="7" t="n">
        <v>1250.7</v>
      </c>
      <c r="P129" s="7" t="n">
        <v>1148.9</v>
      </c>
      <c r="R129" s="7" t="n">
        <v>1689.3</v>
      </c>
      <c r="T129" s="7" t="n">
        <v>298.1</v>
      </c>
      <c r="V129" s="7" t="n">
        <v>1239.6</v>
      </c>
      <c r="X129" s="7" t="n">
        <v>615.2</v>
      </c>
      <c r="Z129" s="7" t="n">
        <v>486.1</v>
      </c>
      <c r="AB129" s="7" t="n">
        <v>10326.3</v>
      </c>
    </row>
    <row r="130">
      <c r="A130" s="4" t="inlineStr">
        <is>
          <t>招待费</t>
        </is>
      </c>
      <c r="D130" s="7" t="n">
        <v>4172.9</v>
      </c>
      <c r="F130" s="7" t="n">
        <v>707.5</v>
      </c>
      <c r="H130" s="7" t="n">
        <v>2453.8</v>
      </c>
      <c r="J130" s="7" t="n">
        <v>2391.9</v>
      </c>
      <c r="L130" s="7" t="n">
        <v>8549.299999999999</v>
      </c>
      <c r="N130" s="7" t="n">
        <v>10474.4</v>
      </c>
      <c r="P130" s="7" t="n">
        <v>11394.9</v>
      </c>
      <c r="R130" s="7" t="n">
        <v>13155</v>
      </c>
      <c r="T130" s="7" t="n">
        <v>1686.7</v>
      </c>
      <c r="V130" s="7" t="n">
        <v>10749.2</v>
      </c>
      <c r="X130" s="7" t="n">
        <v>3889.6</v>
      </c>
      <c r="Z130" s="7" t="n">
        <v>2334.6</v>
      </c>
      <c r="AB130" s="7" t="n">
        <v>71959.8</v>
      </c>
    </row>
    <row r="131">
      <c r="A131" s="4" t="inlineStr">
        <is>
          <t>通讯费</t>
        </is>
      </c>
      <c r="D131" s="7" t="n">
        <v>405.8</v>
      </c>
      <c r="F131" s="7" t="n">
        <v>61.6</v>
      </c>
      <c r="H131" s="7" t="n">
        <v>362.8</v>
      </c>
      <c r="J131" s="7" t="n">
        <v>489</v>
      </c>
      <c r="L131" s="7" t="n">
        <v>1657.4</v>
      </c>
      <c r="N131" s="7" t="n">
        <v>1013.9</v>
      </c>
      <c r="P131" s="7" t="n">
        <v>1550.9</v>
      </c>
      <c r="R131" s="7" t="n">
        <v>1495.3</v>
      </c>
      <c r="T131" s="7" t="n">
        <v>355.5</v>
      </c>
      <c r="V131" s="7" t="n">
        <v>1818.1</v>
      </c>
      <c r="X131" s="7" t="n">
        <v>772.8</v>
      </c>
      <c r="Z131" s="7" t="n">
        <v>322.5</v>
      </c>
      <c r="AB131" s="7" t="n">
        <v>10305.6</v>
      </c>
    </row>
    <row r="132">
      <c r="A132" s="4" t="inlineStr">
        <is>
          <t>网络费</t>
        </is>
      </c>
      <c r="D132" s="7" t="n">
        <v>264.4</v>
      </c>
      <c r="F132" s="7" t="n">
        <v>65</v>
      </c>
      <c r="H132" s="7" t="n">
        <v>248.5</v>
      </c>
      <c r="J132" s="7" t="n">
        <v>268.4</v>
      </c>
      <c r="L132" s="7" t="n">
        <v>1167.2</v>
      </c>
      <c r="N132" s="7" t="n">
        <v>530</v>
      </c>
      <c r="P132" s="7" t="n">
        <v>796.5</v>
      </c>
      <c r="R132" s="7" t="n">
        <v>1024</v>
      </c>
      <c r="T132" s="7" t="n">
        <v>176.5</v>
      </c>
      <c r="V132" s="7" t="n">
        <v>963.3</v>
      </c>
      <c r="X132" s="7" t="n">
        <v>382</v>
      </c>
      <c r="Z132" s="7" t="n">
        <v>249.9</v>
      </c>
      <c r="AB132" s="7" t="n">
        <v>6135.7</v>
      </c>
    </row>
    <row r="133">
      <c r="A133" s="4" t="inlineStr">
        <is>
          <t>修理费</t>
        </is>
      </c>
      <c r="D133" s="7" t="n">
        <v>10</v>
      </c>
      <c r="F133" s="7" t="n">
        <v>2.4</v>
      </c>
      <c r="H133" s="7" t="n">
        <v>11.7</v>
      </c>
      <c r="J133" s="7" t="n">
        <v>9.9</v>
      </c>
      <c r="L133" s="7" t="n">
        <v>36.4</v>
      </c>
      <c r="N133" s="7" t="n">
        <v>26.1</v>
      </c>
      <c r="P133" s="7" t="n">
        <v>32.7</v>
      </c>
      <c r="R133" s="7" t="n">
        <v>47.8</v>
      </c>
      <c r="T133" s="7" t="n">
        <v>5.5</v>
      </c>
      <c r="V133" s="7" t="n">
        <v>39.3</v>
      </c>
      <c r="X133" s="7" t="n">
        <v>16.4</v>
      </c>
      <c r="Z133" s="7" t="n">
        <v>12</v>
      </c>
      <c r="AB133" s="7" t="n">
        <v>250.2</v>
      </c>
    </row>
    <row r="134">
      <c r="A134" s="4" t="inlineStr">
        <is>
          <t>车辆费</t>
        </is>
      </c>
      <c r="D134" s="7" t="n">
        <v>508.4</v>
      </c>
      <c r="F134" s="7" t="n">
        <v>91.5</v>
      </c>
      <c r="H134" s="7" t="n">
        <v>392</v>
      </c>
      <c r="J134" s="7" t="n">
        <v>590.6</v>
      </c>
      <c r="L134" s="7" t="n">
        <v>1665.1</v>
      </c>
      <c r="N134" s="7" t="n">
        <v>1110.9</v>
      </c>
      <c r="P134" s="7" t="n">
        <v>1119</v>
      </c>
      <c r="R134" s="7" t="n">
        <v>1375.6</v>
      </c>
      <c r="T134" s="7" t="n">
        <v>368.4</v>
      </c>
      <c r="V134" s="7" t="n">
        <v>1515.6</v>
      </c>
      <c r="X134" s="7" t="n">
        <v>838.3</v>
      </c>
      <c r="Z134" s="7" t="n">
        <v>386.2</v>
      </c>
      <c r="AB134" s="7" t="n">
        <v>9961.6</v>
      </c>
    </row>
    <row r="135">
      <c r="A135" s="4" t="inlineStr">
        <is>
          <t>租赁费</t>
        </is>
      </c>
      <c r="D135" s="7" t="n">
        <v>4183.4</v>
      </c>
      <c r="F135" s="7" t="n">
        <v>565.7</v>
      </c>
      <c r="H135" s="7" t="n">
        <v>3809.9</v>
      </c>
      <c r="J135" s="7" t="n">
        <v>4837.1</v>
      </c>
      <c r="L135" s="7" t="n">
        <v>12070.3</v>
      </c>
      <c r="N135" s="7" t="n">
        <v>7901.3</v>
      </c>
      <c r="P135" s="7" t="n">
        <v>13327.6</v>
      </c>
      <c r="R135" s="7" t="n">
        <v>11166.5</v>
      </c>
      <c r="T135" s="7" t="n">
        <v>2710.2</v>
      </c>
      <c r="V135" s="7" t="n">
        <v>13554.5</v>
      </c>
      <c r="X135" s="7" t="n">
        <v>7550.6</v>
      </c>
      <c r="Z135" s="7" t="n">
        <v>3236.1</v>
      </c>
      <c r="AB135" s="7" t="n">
        <v>84913.2</v>
      </c>
    </row>
    <row r="136">
      <c r="A136" s="4" t="inlineStr">
        <is>
          <t>能源费</t>
        </is>
      </c>
      <c r="D136" s="7" t="n">
        <v>1414.9</v>
      </c>
      <c r="F136" s="7" t="n">
        <v>239</v>
      </c>
      <c r="H136" s="7" t="n">
        <v>1085.9</v>
      </c>
      <c r="J136" s="7" t="n">
        <v>1242.3</v>
      </c>
      <c r="L136" s="7" t="n">
        <v>4905.1</v>
      </c>
      <c r="N136" s="7" t="n">
        <v>3354.1</v>
      </c>
      <c r="P136" s="7" t="n">
        <v>3336.2</v>
      </c>
      <c r="R136" s="7" t="n">
        <v>4419.8</v>
      </c>
      <c r="T136" s="7" t="n">
        <v>811.9</v>
      </c>
      <c r="V136" s="7" t="n">
        <v>4435.2</v>
      </c>
      <c r="X136" s="7" t="n">
        <v>1922.8</v>
      </c>
      <c r="Z136" s="7" t="n">
        <v>1291.3</v>
      </c>
      <c r="AB136" s="7" t="n">
        <v>28458.5</v>
      </c>
    </row>
    <row r="137">
      <c r="A137" s="4" t="inlineStr">
        <is>
          <t>水费</t>
        </is>
      </c>
      <c r="D137" s="7" t="n">
        <v>314.4</v>
      </c>
      <c r="F137" s="7" t="n">
        <v>34.4</v>
      </c>
      <c r="H137" s="7" t="n">
        <v>230.1</v>
      </c>
      <c r="J137" s="7" t="n">
        <v>285.4</v>
      </c>
      <c r="L137" s="7" t="n">
        <v>914</v>
      </c>
      <c r="N137" s="7" t="n">
        <v>702.9</v>
      </c>
      <c r="P137" s="7" t="n">
        <v>868.9</v>
      </c>
      <c r="R137" s="7" t="n">
        <v>630.9</v>
      </c>
      <c r="T137" s="7" t="n">
        <v>139.6</v>
      </c>
      <c r="V137" s="7" t="n">
        <v>711.1</v>
      </c>
      <c r="X137" s="7" t="n">
        <v>312.4</v>
      </c>
      <c r="Z137" s="7" t="n">
        <v>250.9</v>
      </c>
      <c r="AB137" s="7" t="n">
        <v>5395</v>
      </c>
    </row>
    <row r="138">
      <c r="A138" s="4" t="inlineStr">
        <is>
          <t>电费</t>
        </is>
      </c>
      <c r="D138" s="7" t="n">
        <v>399.4</v>
      </c>
      <c r="F138" s="7" t="n">
        <v>45.9</v>
      </c>
      <c r="H138" s="7" t="n">
        <v>279.4</v>
      </c>
      <c r="J138" s="7" t="n">
        <v>254.4</v>
      </c>
      <c r="L138" s="7" t="n">
        <v>1229.2</v>
      </c>
      <c r="N138" s="7" t="n">
        <v>1032.1</v>
      </c>
      <c r="P138" s="7" t="n">
        <v>690</v>
      </c>
      <c r="R138" s="7" t="n">
        <v>1047.5</v>
      </c>
      <c r="T138" s="7" t="n">
        <v>214.6</v>
      </c>
      <c r="V138" s="7" t="n">
        <v>1332.7</v>
      </c>
      <c r="X138" s="7" t="n">
        <v>571.8</v>
      </c>
      <c r="Z138" s="7" t="n">
        <v>275.6</v>
      </c>
      <c r="AB138" s="7" t="n">
        <v>7372.6</v>
      </c>
    </row>
    <row r="139">
      <c r="A139" s="4" t="inlineStr">
        <is>
          <t>燃气费</t>
        </is>
      </c>
      <c r="D139" s="7" t="n">
        <v>368.3</v>
      </c>
      <c r="F139" s="7" t="n">
        <v>92.8</v>
      </c>
      <c r="H139" s="7" t="n">
        <v>325.5</v>
      </c>
      <c r="J139" s="7" t="n">
        <v>505.1</v>
      </c>
      <c r="L139" s="7" t="n">
        <v>1666.5</v>
      </c>
      <c r="N139" s="7" t="n">
        <v>1044.3</v>
      </c>
      <c r="P139" s="7" t="n">
        <v>1059.5</v>
      </c>
      <c r="R139" s="7" t="n">
        <v>1687</v>
      </c>
      <c r="T139" s="7" t="n">
        <v>327.7</v>
      </c>
      <c r="V139" s="7" t="n">
        <v>1571.7</v>
      </c>
      <c r="X139" s="7" t="n">
        <v>660.3</v>
      </c>
      <c r="Z139" s="7" t="n">
        <v>537.2</v>
      </c>
      <c r="AB139" s="7" t="n">
        <v>9845.9</v>
      </c>
    </row>
    <row r="140">
      <c r="A140" s="4" t="inlineStr">
        <is>
          <t>蒸汽费</t>
        </is>
      </c>
      <c r="D140" s="7" t="n">
        <v>332.8</v>
      </c>
      <c r="F140" s="7" t="n">
        <v>65.90000000000001</v>
      </c>
      <c r="H140" s="7" t="n">
        <v>250.9</v>
      </c>
      <c r="J140" s="7" t="n">
        <v>197.4</v>
      </c>
      <c r="L140" s="7" t="n">
        <v>1095.4</v>
      </c>
      <c r="N140" s="7" t="n">
        <v>574.8</v>
      </c>
      <c r="P140" s="7" t="n">
        <v>717.8</v>
      </c>
      <c r="R140" s="7" t="n">
        <v>1054.4</v>
      </c>
      <c r="T140" s="7" t="n">
        <v>130</v>
      </c>
      <c r="V140" s="7" t="n">
        <v>819.7</v>
      </c>
      <c r="X140" s="7" t="n">
        <v>378.3</v>
      </c>
      <c r="Z140" s="7" t="n">
        <v>227.6</v>
      </c>
      <c r="AB140" s="7" t="n">
        <v>5845</v>
      </c>
    </row>
    <row r="141">
      <c r="A141" s="4" t="inlineStr">
        <is>
          <t>物业费</t>
        </is>
      </c>
      <c r="D141" s="7" t="n">
        <v>351.4</v>
      </c>
      <c r="F141" s="7" t="n">
        <v>92.2</v>
      </c>
      <c r="H141" s="7" t="n">
        <v>354.6</v>
      </c>
      <c r="J141" s="7" t="n">
        <v>541.8</v>
      </c>
      <c r="L141" s="7" t="n">
        <v>1819.5</v>
      </c>
      <c r="N141" s="7" t="n">
        <v>1154.3</v>
      </c>
      <c r="P141" s="7" t="n">
        <v>1335.9</v>
      </c>
      <c r="R141" s="7" t="n">
        <v>1552.1</v>
      </c>
      <c r="T141" s="7" t="n">
        <v>326.5</v>
      </c>
      <c r="V141" s="7" t="n">
        <v>1443.2</v>
      </c>
      <c r="X141" s="7" t="n">
        <v>768.7</v>
      </c>
      <c r="Z141" s="7" t="n">
        <v>573.2</v>
      </c>
      <c r="AB141" s="7" t="n">
        <v>10313.4</v>
      </c>
    </row>
    <row r="142">
      <c r="A142" s="4" t="inlineStr">
        <is>
          <t>劳动保护费</t>
        </is>
      </c>
      <c r="D142" s="7" t="n">
        <v>332.3</v>
      </c>
      <c r="F142" s="7" t="n">
        <v>73</v>
      </c>
      <c r="H142" s="7" t="n">
        <v>385.2</v>
      </c>
      <c r="J142" s="7" t="n">
        <v>382.8</v>
      </c>
      <c r="L142" s="7" t="n">
        <v>856.1</v>
      </c>
      <c r="N142" s="7" t="n">
        <v>846.8</v>
      </c>
      <c r="P142" s="7" t="n">
        <v>731.1</v>
      </c>
      <c r="R142" s="7" t="n">
        <v>1050.7</v>
      </c>
      <c r="T142" s="7" t="n">
        <v>167.7</v>
      </c>
      <c r="V142" s="7" t="n">
        <v>1158.4</v>
      </c>
      <c r="X142" s="7" t="n">
        <v>567.5</v>
      </c>
      <c r="Z142" s="7" t="n">
        <v>329.3</v>
      </c>
      <c r="AB142" s="7" t="n">
        <v>6880.9</v>
      </c>
    </row>
    <row r="143">
      <c r="A143" s="4" t="inlineStr">
        <is>
          <t>顾问费</t>
        </is>
      </c>
      <c r="D143" s="7" t="n">
        <v>64.7</v>
      </c>
      <c r="F143" s="7" t="n">
        <v>11</v>
      </c>
      <c r="H143" s="7" t="n">
        <v>67.2</v>
      </c>
      <c r="J143" s="7" t="n">
        <v>55.1</v>
      </c>
      <c r="L143" s="7" t="n">
        <v>219.4</v>
      </c>
      <c r="N143" s="7" t="n">
        <v>213.5</v>
      </c>
      <c r="P143" s="7" t="n">
        <v>217.6</v>
      </c>
      <c r="R143" s="7" t="n">
        <v>320.1</v>
      </c>
      <c r="T143" s="7" t="n">
        <v>36.2</v>
      </c>
      <c r="V143" s="7" t="n">
        <v>281.1</v>
      </c>
      <c r="X143" s="7" t="n">
        <v>144.1</v>
      </c>
      <c r="Z143" s="7" t="n">
        <v>97.2</v>
      </c>
      <c r="AB143" s="7" t="n">
        <v>1727.2</v>
      </c>
    </row>
    <row r="144">
      <c r="A144" s="4" t="inlineStr">
        <is>
          <t>快递费</t>
        </is>
      </c>
      <c r="D144" s="7" t="n">
        <v>414.7</v>
      </c>
      <c r="F144" s="7" t="n">
        <v>64.90000000000001</v>
      </c>
      <c r="H144" s="7" t="n">
        <v>225.2</v>
      </c>
      <c r="J144" s="7" t="n">
        <v>356.5</v>
      </c>
      <c r="L144" s="7" t="n">
        <v>957.4</v>
      </c>
      <c r="N144" s="7" t="n">
        <v>938.3</v>
      </c>
      <c r="P144" s="7" t="n">
        <v>790.7</v>
      </c>
      <c r="R144" s="7" t="n">
        <v>1136.7</v>
      </c>
      <c r="T144" s="7" t="n">
        <v>237.8</v>
      </c>
      <c r="V144" s="7" t="n">
        <v>839</v>
      </c>
      <c r="X144" s="7" t="n">
        <v>499.2</v>
      </c>
      <c r="Z144" s="7" t="n">
        <v>231.3</v>
      </c>
      <c r="AB144" s="7" t="n">
        <v>6691.7</v>
      </c>
    </row>
    <row r="145">
      <c r="A145" s="4" t="inlineStr">
        <is>
          <t>诉讼费</t>
        </is>
      </c>
      <c r="D145" s="7" t="n">
        <v>107.9</v>
      </c>
      <c r="F145" s="7" t="n">
        <v>11.5</v>
      </c>
      <c r="H145" s="7" t="n">
        <v>87</v>
      </c>
      <c r="J145" s="7" t="n">
        <v>60.8</v>
      </c>
      <c r="L145" s="7" t="n">
        <v>343</v>
      </c>
      <c r="N145" s="7" t="n">
        <v>211.8</v>
      </c>
      <c r="P145" s="7" t="n">
        <v>169</v>
      </c>
      <c r="R145" s="7" t="n">
        <v>336</v>
      </c>
      <c r="T145" s="7" t="n">
        <v>41.9</v>
      </c>
      <c r="V145" s="7" t="n">
        <v>192.2</v>
      </c>
      <c r="X145" s="7" t="n">
        <v>89.2</v>
      </c>
      <c r="Z145" s="7" t="n">
        <v>109</v>
      </c>
      <c r="AB145" s="7" t="n">
        <v>1759.3</v>
      </c>
    </row>
    <row r="146">
      <c r="A146" s="4" t="inlineStr">
        <is>
          <t>会员费</t>
        </is>
      </c>
      <c r="D146" s="7" t="n">
        <v>459</v>
      </c>
      <c r="F146" s="7" t="n">
        <v>57.2</v>
      </c>
      <c r="H146" s="7" t="n">
        <v>368.5</v>
      </c>
      <c r="J146" s="7" t="n">
        <v>471.5</v>
      </c>
      <c r="L146" s="7" t="n">
        <v>914.3</v>
      </c>
      <c r="N146" s="7" t="n">
        <v>1114.9</v>
      </c>
      <c r="P146" s="7" t="n">
        <v>987.9</v>
      </c>
      <c r="R146" s="7" t="n">
        <v>1133.8</v>
      </c>
      <c r="T146" s="7" t="n">
        <v>206</v>
      </c>
      <c r="V146" s="7" t="n">
        <v>1296.6</v>
      </c>
      <c r="X146" s="7" t="n">
        <v>495.8</v>
      </c>
      <c r="Z146" s="7" t="n">
        <v>452.1</v>
      </c>
      <c r="AB146" s="7" t="n">
        <v>7957.6</v>
      </c>
    </row>
    <row r="147">
      <c r="A147" s="4" t="inlineStr">
        <is>
          <t>广告宣传费</t>
        </is>
      </c>
      <c r="D147" s="7" t="n">
        <v>3458.9</v>
      </c>
      <c r="F147" s="7" t="n">
        <v>442.1</v>
      </c>
      <c r="H147" s="7" t="n">
        <v>1916</v>
      </c>
      <c r="J147" s="7" t="n">
        <v>2240.7</v>
      </c>
      <c r="L147" s="7" t="n">
        <v>9444.700000000001</v>
      </c>
      <c r="N147" s="7" t="n">
        <v>5071.4</v>
      </c>
      <c r="P147" s="7" t="n">
        <v>7870.5</v>
      </c>
      <c r="R147" s="7" t="n">
        <v>9963.5</v>
      </c>
      <c r="T147" s="7" t="n">
        <v>1097.7</v>
      </c>
      <c r="V147" s="7" t="n">
        <v>7564.1</v>
      </c>
      <c r="X147" s="7" t="n">
        <v>3679.2</v>
      </c>
      <c r="Z147" s="7" t="n">
        <v>2356.2</v>
      </c>
      <c r="AB147" s="7" t="n">
        <v>55105</v>
      </c>
    </row>
    <row r="148">
      <c r="A148" s="4" t="inlineStr">
        <is>
          <t>会务费</t>
        </is>
      </c>
      <c r="D148" s="7" t="n">
        <v>569</v>
      </c>
      <c r="F148" s="7" t="n">
        <v>97.09999999999999</v>
      </c>
      <c r="H148" s="7" t="n">
        <v>525</v>
      </c>
      <c r="J148" s="7" t="n">
        <v>341.7</v>
      </c>
      <c r="L148" s="7" t="n">
        <v>1479.6</v>
      </c>
      <c r="N148" s="7" t="n">
        <v>1401.8</v>
      </c>
      <c r="P148" s="7" t="n">
        <v>1490.6</v>
      </c>
      <c r="R148" s="7" t="n">
        <v>1545.4</v>
      </c>
      <c r="T148" s="7" t="n">
        <v>330.7</v>
      </c>
      <c r="V148" s="7" t="n">
        <v>1546.8</v>
      </c>
      <c r="X148" s="7" t="n">
        <v>797.2</v>
      </c>
      <c r="Z148" s="7" t="n">
        <v>363.2</v>
      </c>
      <c r="AB148" s="7" t="n">
        <v>10488.1</v>
      </c>
    </row>
    <row r="149">
      <c r="A149" s="4" t="inlineStr">
        <is>
          <t>装修费</t>
        </is>
      </c>
      <c r="D149" s="7" t="n">
        <v>461.2</v>
      </c>
      <c r="F149" s="7" t="n">
        <v>87.59999999999999</v>
      </c>
      <c r="H149" s="7" t="n">
        <v>429.4</v>
      </c>
      <c r="J149" s="7" t="n">
        <v>453.6</v>
      </c>
      <c r="L149" s="7" t="n">
        <v>1743.6</v>
      </c>
      <c r="N149" s="7" t="n">
        <v>1438</v>
      </c>
      <c r="P149" s="7" t="n">
        <v>1498.3</v>
      </c>
      <c r="R149" s="7" t="n">
        <v>1758.1</v>
      </c>
      <c r="T149" s="7" t="n">
        <v>307.6</v>
      </c>
      <c r="V149" s="7" t="n">
        <v>1118.6</v>
      </c>
      <c r="X149" s="7" t="n">
        <v>624.6</v>
      </c>
      <c r="Z149" s="7" t="n">
        <v>371.1</v>
      </c>
      <c r="AB149" s="7" t="n">
        <v>10291.7</v>
      </c>
    </row>
    <row r="150">
      <c r="A150" s="4" t="inlineStr">
        <is>
          <t>推广费</t>
        </is>
      </c>
      <c r="D150" s="7" t="n">
        <v>423.4</v>
      </c>
      <c r="F150" s="7" t="n">
        <v>39.6</v>
      </c>
      <c r="H150" s="7" t="n">
        <v>372.5</v>
      </c>
      <c r="J150" s="7" t="n">
        <v>231.5</v>
      </c>
      <c r="L150" s="7" t="n">
        <v>1055.4</v>
      </c>
      <c r="N150" s="7" t="n">
        <v>895.8</v>
      </c>
      <c r="P150" s="7" t="n">
        <v>668</v>
      </c>
      <c r="R150" s="7" t="n">
        <v>865.7</v>
      </c>
      <c r="T150" s="7" t="n">
        <v>191.4</v>
      </c>
      <c r="V150" s="7" t="n">
        <v>714.3</v>
      </c>
      <c r="X150" s="7" t="n">
        <v>445.8</v>
      </c>
      <c r="Z150" s="7" t="n">
        <v>297.9</v>
      </c>
      <c r="AB150" s="7" t="n">
        <v>6201.3</v>
      </c>
    </row>
    <row r="151">
      <c r="A151" s="4" t="inlineStr">
        <is>
          <t>展会费</t>
        </is>
      </c>
      <c r="D151" s="7" t="n">
        <v>529.4</v>
      </c>
      <c r="F151" s="7" t="n">
        <v>73.8</v>
      </c>
      <c r="H151" s="7" t="n">
        <v>582.7</v>
      </c>
      <c r="J151" s="7" t="n">
        <v>568.6</v>
      </c>
      <c r="L151" s="7" t="n">
        <v>1246.9</v>
      </c>
      <c r="N151" s="7" t="n">
        <v>1322.3</v>
      </c>
      <c r="P151" s="7" t="n">
        <v>1609.9</v>
      </c>
      <c r="R151" s="7" t="n">
        <v>2110.9</v>
      </c>
      <c r="T151" s="7" t="n">
        <v>399.4</v>
      </c>
      <c r="V151" s="7" t="n">
        <v>1177.2</v>
      </c>
      <c r="X151" s="7" t="n">
        <v>972.9</v>
      </c>
      <c r="Z151" s="7" t="n">
        <v>515.7</v>
      </c>
      <c r="AB151" s="7" t="n">
        <v>11109.7</v>
      </c>
    </row>
    <row r="152">
      <c r="A152" s="4" t="inlineStr">
        <is>
          <t>设计费</t>
        </is>
      </c>
      <c r="D152" s="7" t="n">
        <v>252.1</v>
      </c>
      <c r="F152" s="7" t="n">
        <v>34.4</v>
      </c>
      <c r="H152" s="7" t="n">
        <v>218.3</v>
      </c>
      <c r="J152" s="7" t="n">
        <v>183.2</v>
      </c>
      <c r="L152" s="7" t="n">
        <v>704.2</v>
      </c>
      <c r="N152" s="7" t="n">
        <v>374.9</v>
      </c>
      <c r="P152" s="7" t="n">
        <v>704.5</v>
      </c>
      <c r="R152" s="7" t="n">
        <v>740.4</v>
      </c>
      <c r="T152" s="7" t="n">
        <v>95.40000000000001</v>
      </c>
      <c r="V152" s="7" t="n">
        <v>717.7</v>
      </c>
      <c r="X152" s="7" t="n">
        <v>261.3</v>
      </c>
      <c r="Z152" s="7" t="n">
        <v>240.6</v>
      </c>
      <c r="AB152" s="7" t="n">
        <v>4527</v>
      </c>
    </row>
    <row r="153">
      <c r="A153" s="4" t="inlineStr">
        <is>
          <t>折旧费</t>
        </is>
      </c>
      <c r="D153" s="7" t="n">
        <v>3922.6</v>
      </c>
      <c r="F153" s="7" t="n">
        <v>560</v>
      </c>
      <c r="H153" s="7" t="n">
        <v>3098.4</v>
      </c>
      <c r="J153" s="7" t="n">
        <v>2972.1</v>
      </c>
      <c r="L153" s="7" t="n">
        <v>10365.6</v>
      </c>
      <c r="N153" s="7" t="n">
        <v>8441.5</v>
      </c>
      <c r="P153" s="7" t="n">
        <v>6891.6</v>
      </c>
      <c r="R153" s="7" t="n">
        <v>14676.5</v>
      </c>
      <c r="T153" s="7" t="n">
        <v>1888.2</v>
      </c>
      <c r="V153" s="7" t="n">
        <v>12592.5</v>
      </c>
      <c r="X153" s="7" t="n">
        <v>5220.7</v>
      </c>
      <c r="Z153" s="7" t="n">
        <v>3355.4</v>
      </c>
      <c r="AB153" s="7" t="n">
        <v>73985.10000000001</v>
      </c>
    </row>
    <row r="154">
      <c r="A154" s="4" t="inlineStr">
        <is>
          <t>认证费</t>
        </is>
      </c>
      <c r="D154" s="7" t="n">
        <v>196.5</v>
      </c>
      <c r="F154" s="7" t="n">
        <v>22.6</v>
      </c>
      <c r="H154" s="7" t="n">
        <v>173.6</v>
      </c>
      <c r="J154" s="7" t="n">
        <v>199.3</v>
      </c>
      <c r="L154" s="7" t="n">
        <v>620.7</v>
      </c>
      <c r="N154" s="7" t="n">
        <v>326.3</v>
      </c>
      <c r="P154" s="7" t="n">
        <v>411.8</v>
      </c>
      <c r="R154" s="7" t="n">
        <v>516.8</v>
      </c>
      <c r="T154" s="7" t="n">
        <v>123.7</v>
      </c>
      <c r="V154" s="7" t="n">
        <v>478.4</v>
      </c>
      <c r="X154" s="7" t="n">
        <v>219.2</v>
      </c>
      <c r="Z154" s="7" t="n">
        <v>128.8</v>
      </c>
      <c r="AB154" s="7" t="n">
        <v>3417.7</v>
      </c>
    </row>
    <row r="155">
      <c r="A155" s="4" t="inlineStr">
        <is>
          <t>样品费</t>
        </is>
      </c>
      <c r="D155" s="7" t="n">
        <v>2234.2</v>
      </c>
      <c r="F155" s="7" t="n">
        <v>298.5</v>
      </c>
      <c r="H155" s="7" t="n">
        <v>1212.3</v>
      </c>
      <c r="J155" s="7" t="n">
        <v>1404.9</v>
      </c>
      <c r="L155" s="7" t="n">
        <v>4365.8</v>
      </c>
      <c r="N155" s="7" t="n">
        <v>4507.8</v>
      </c>
      <c r="P155" s="7" t="n">
        <v>4747.4</v>
      </c>
      <c r="R155" s="7" t="n">
        <v>7067.5</v>
      </c>
      <c r="T155" s="7" t="n">
        <v>791.4</v>
      </c>
      <c r="V155" s="7" t="n">
        <v>4653.3</v>
      </c>
      <c r="X155" s="7" t="n">
        <v>2551.4</v>
      </c>
      <c r="Z155" s="7" t="n">
        <v>1805.6</v>
      </c>
      <c r="AB155" s="7" t="n">
        <v>35640.1</v>
      </c>
    </row>
    <row r="156">
      <c r="A156" s="4" t="inlineStr">
        <is>
          <t>劳务费</t>
        </is>
      </c>
      <c r="D156" s="7" t="n">
        <v>265.7</v>
      </c>
      <c r="F156" s="7" t="n">
        <v>56.9</v>
      </c>
      <c r="H156" s="7" t="n">
        <v>290.1</v>
      </c>
      <c r="J156" s="7" t="n">
        <v>253.1</v>
      </c>
      <c r="L156" s="7" t="n">
        <v>1330.7</v>
      </c>
      <c r="N156" s="7" t="n">
        <v>619.2</v>
      </c>
      <c r="P156" s="7" t="n">
        <v>797.3</v>
      </c>
      <c r="R156" s="7" t="n">
        <v>1161.6</v>
      </c>
      <c r="T156" s="7" t="n">
        <v>236.9</v>
      </c>
      <c r="V156" s="7" t="n">
        <v>1013.7</v>
      </c>
      <c r="X156" s="7" t="n">
        <v>522</v>
      </c>
      <c r="Z156" s="7" t="n">
        <v>437.9</v>
      </c>
      <c r="AB156" s="7" t="n">
        <v>6985.1</v>
      </c>
    </row>
    <row r="157">
      <c r="A157" s="4" t="inlineStr">
        <is>
          <t>销售佣金</t>
        </is>
      </c>
      <c r="D157" s="7" t="n">
        <v>36.3</v>
      </c>
      <c r="F157" s="7" t="n">
        <v>6.3</v>
      </c>
      <c r="H157" s="7" t="n">
        <v>32.8</v>
      </c>
      <c r="J157" s="7" t="n">
        <v>33.6</v>
      </c>
      <c r="L157" s="7" t="n">
        <v>113</v>
      </c>
      <c r="N157" s="7" t="n">
        <v>91.90000000000001</v>
      </c>
      <c r="P157" s="7" t="n">
        <v>82</v>
      </c>
      <c r="R157" s="7" t="n">
        <v>130.8</v>
      </c>
      <c r="T157" s="7" t="n">
        <v>17.5</v>
      </c>
      <c r="V157" s="7" t="n">
        <v>97.7</v>
      </c>
      <c r="X157" s="7" t="n">
        <v>53.1</v>
      </c>
      <c r="Z157" s="7" t="n">
        <v>35.2</v>
      </c>
      <c r="AB157" s="7" t="n">
        <v>730.2</v>
      </c>
    </row>
    <row r="158">
      <c r="A158" s="4" t="inlineStr">
        <is>
          <t>检测费</t>
        </is>
      </c>
      <c r="D158" s="7" t="n">
        <v>181.2</v>
      </c>
      <c r="F158" s="7" t="n">
        <v>38.2</v>
      </c>
      <c r="H158" s="7" t="n">
        <v>251.8</v>
      </c>
      <c r="J158" s="7" t="n">
        <v>246.8</v>
      </c>
      <c r="L158" s="7" t="n">
        <v>852.9</v>
      </c>
      <c r="N158" s="7" t="n">
        <v>430</v>
      </c>
      <c r="P158" s="7" t="n">
        <v>584.3</v>
      </c>
      <c r="R158" s="7" t="n">
        <v>664.9</v>
      </c>
      <c r="T158" s="7" t="n">
        <v>128.7</v>
      </c>
      <c r="V158" s="7" t="n">
        <v>874.9</v>
      </c>
      <c r="X158" s="7" t="n">
        <v>289.6</v>
      </c>
      <c r="Z158" s="7" t="n">
        <v>204.5</v>
      </c>
      <c r="AB158" s="7" t="n">
        <v>4747.8</v>
      </c>
    </row>
    <row r="159">
      <c r="A159" s="4" t="inlineStr">
        <is>
          <t>质量赔偿</t>
        </is>
      </c>
      <c r="D159" s="7" t="n">
        <v>413.1</v>
      </c>
      <c r="F159" s="7" t="n">
        <v>41.6</v>
      </c>
      <c r="H159" s="7" t="n">
        <v>283.7</v>
      </c>
      <c r="J159" s="7" t="n">
        <v>349.2</v>
      </c>
      <c r="L159" s="7" t="n">
        <v>1032.5</v>
      </c>
      <c r="N159" s="7" t="n">
        <v>690.1</v>
      </c>
      <c r="P159" s="7" t="n">
        <v>762.6</v>
      </c>
      <c r="R159" s="7" t="n">
        <v>1282.8</v>
      </c>
      <c r="T159" s="7" t="n">
        <v>151.4</v>
      </c>
      <c r="V159" s="7" t="n">
        <v>1073.7</v>
      </c>
      <c r="X159" s="7" t="n">
        <v>542.5</v>
      </c>
      <c r="Z159" s="7" t="n">
        <v>382.6</v>
      </c>
      <c r="AB159" s="7" t="n">
        <v>7005.8</v>
      </c>
    </row>
    <row r="160">
      <c r="A160" s="4" t="inlineStr">
        <is>
          <t>保险费</t>
        </is>
      </c>
      <c r="D160" s="7" t="n">
        <v>157.2</v>
      </c>
      <c r="F160" s="7" t="n">
        <v>36.8</v>
      </c>
      <c r="H160" s="7" t="n">
        <v>221.7</v>
      </c>
      <c r="J160" s="7" t="n">
        <v>134.4</v>
      </c>
      <c r="L160" s="7" t="n">
        <v>445.6</v>
      </c>
      <c r="N160" s="7" t="n">
        <v>440</v>
      </c>
      <c r="P160" s="7" t="n">
        <v>451.7</v>
      </c>
      <c r="R160" s="7" t="n">
        <v>535.8</v>
      </c>
      <c r="T160" s="7" t="n">
        <v>112.8</v>
      </c>
      <c r="V160" s="7" t="n">
        <v>409.9</v>
      </c>
      <c r="X160" s="7" t="n">
        <v>310</v>
      </c>
      <c r="Z160" s="7" t="n">
        <v>141.6</v>
      </c>
      <c r="AB160" s="7" t="n">
        <v>3397.5</v>
      </c>
    </row>
    <row r="161">
      <c r="A161" s="4" t="inlineStr">
        <is>
          <t>清洁费</t>
        </is>
      </c>
      <c r="D161" s="7" t="n">
        <v>272.9</v>
      </c>
      <c r="F161" s="7" t="n">
        <v>50.7</v>
      </c>
      <c r="H161" s="7" t="n">
        <v>326.4</v>
      </c>
      <c r="J161" s="7" t="n">
        <v>192.9</v>
      </c>
      <c r="L161" s="7" t="n">
        <v>1141.1</v>
      </c>
      <c r="N161" s="7" t="n">
        <v>770.9</v>
      </c>
      <c r="P161" s="7" t="n">
        <v>641.5</v>
      </c>
      <c r="R161" s="7" t="n">
        <v>1103.2</v>
      </c>
      <c r="T161" s="7" t="n">
        <v>126.1</v>
      </c>
      <c r="V161" s="7" t="n">
        <v>901.1</v>
      </c>
      <c r="X161" s="7" t="n">
        <v>463.5</v>
      </c>
      <c r="Z161" s="7" t="n">
        <v>294.1</v>
      </c>
      <c r="AB161" s="7" t="n">
        <v>6284.4</v>
      </c>
    </row>
    <row r="162">
      <c r="A162" s="4" t="inlineStr">
        <is>
          <t>低值易耗品</t>
        </is>
      </c>
      <c r="D162" s="7" t="n">
        <v>150.1</v>
      </c>
      <c r="F162" s="7" t="n">
        <v>21.8</v>
      </c>
      <c r="H162" s="7" t="n">
        <v>149.4</v>
      </c>
      <c r="J162" s="7" t="n">
        <v>139.9</v>
      </c>
      <c r="L162" s="7" t="n">
        <v>314.9</v>
      </c>
      <c r="N162" s="7" t="n">
        <v>297.4</v>
      </c>
      <c r="P162" s="7" t="n">
        <v>450.8</v>
      </c>
      <c r="R162" s="7" t="n">
        <v>374.4</v>
      </c>
      <c r="T162" s="7" t="n">
        <v>60.9</v>
      </c>
      <c r="V162" s="7" t="n">
        <v>515.1</v>
      </c>
      <c r="X162" s="7" t="n">
        <v>219.1</v>
      </c>
      <c r="Z162" s="7" t="n">
        <v>158.9</v>
      </c>
      <c r="AB162" s="7" t="n">
        <v>2852.7</v>
      </c>
    </row>
    <row r="163">
      <c r="A163" s="4" t="inlineStr">
        <is>
          <t>物料消耗</t>
        </is>
      </c>
      <c r="D163" s="7" t="n">
        <v>23.4</v>
      </c>
      <c r="F163" s="7" t="n">
        <v>4.9</v>
      </c>
      <c r="H163" s="7" t="n">
        <v>28.1</v>
      </c>
      <c r="J163" s="7" t="n">
        <v>28.1</v>
      </c>
      <c r="L163" s="7" t="n">
        <v>77.5</v>
      </c>
      <c r="N163" s="7" t="n">
        <v>68.90000000000001</v>
      </c>
      <c r="P163" s="7" t="n">
        <v>85.09999999999999</v>
      </c>
      <c r="R163" s="7" t="n">
        <v>93.8</v>
      </c>
      <c r="T163" s="7" t="n">
        <v>16.7</v>
      </c>
      <c r="V163" s="7" t="n">
        <v>57.2</v>
      </c>
      <c r="X163" s="7" t="n">
        <v>47.7</v>
      </c>
      <c r="Z163" s="7" t="n">
        <v>23.2</v>
      </c>
      <c r="AB163" s="7" t="n">
        <v>554.6</v>
      </c>
    </row>
    <row r="164">
      <c r="A164" s="4" t="inlineStr">
        <is>
          <t>盘盈盘亏</t>
        </is>
      </c>
      <c r="D164" s="7" t="n">
        <v>181.6</v>
      </c>
      <c r="F164" s="7" t="n">
        <v>31.8</v>
      </c>
      <c r="H164" s="7" t="n">
        <v>125.4</v>
      </c>
      <c r="J164" s="7" t="n">
        <v>145.2</v>
      </c>
      <c r="L164" s="7" t="n">
        <v>522.2</v>
      </c>
      <c r="N164" s="7" t="n">
        <v>488</v>
      </c>
      <c r="P164" s="7" t="n">
        <v>558.6</v>
      </c>
      <c r="R164" s="7" t="n">
        <v>527.1</v>
      </c>
      <c r="T164" s="7" t="n">
        <v>99.2</v>
      </c>
      <c r="V164" s="7" t="n">
        <v>499.5</v>
      </c>
      <c r="X164" s="7" t="n">
        <v>228</v>
      </c>
      <c r="Z164" s="7" t="n">
        <v>178</v>
      </c>
      <c r="AB164" s="7" t="n">
        <v>3584.6</v>
      </c>
    </row>
    <row r="165">
      <c r="A165" s="4" t="inlineStr">
        <is>
          <t>平台服务费</t>
        </is>
      </c>
      <c r="D165" s="7" t="n">
        <v>9</v>
      </c>
      <c r="F165" s="7" t="n">
        <v>1.8</v>
      </c>
      <c r="H165" s="7" t="n">
        <v>9.699999999999999</v>
      </c>
      <c r="J165" s="7" t="n">
        <v>10.9</v>
      </c>
      <c r="L165" s="7" t="n">
        <v>24.5</v>
      </c>
      <c r="N165" s="7" t="n">
        <v>20.7</v>
      </c>
      <c r="P165" s="7" t="n">
        <v>33.1</v>
      </c>
      <c r="R165" s="7" t="n">
        <v>35</v>
      </c>
      <c r="T165" s="7" t="n">
        <v>7.8</v>
      </c>
      <c r="V165" s="7" t="n">
        <v>25.7</v>
      </c>
      <c r="X165" s="7" t="n">
        <v>12.9</v>
      </c>
      <c r="Z165" s="7" t="n">
        <v>13.1</v>
      </c>
      <c r="AB165" s="7" t="n">
        <v>204.2</v>
      </c>
    </row>
    <row r="166">
      <c r="A166" s="4" t="inlineStr">
        <is>
          <t>无形资产摊销</t>
        </is>
      </c>
      <c r="D166" s="7" t="n">
        <v>232.8</v>
      </c>
      <c r="F166" s="7" t="n">
        <v>22.1</v>
      </c>
      <c r="H166" s="7" t="n">
        <v>168.3</v>
      </c>
      <c r="J166" s="7" t="n">
        <v>113.3</v>
      </c>
      <c r="L166" s="7" t="n">
        <v>522.3</v>
      </c>
      <c r="N166" s="7" t="n">
        <v>460</v>
      </c>
      <c r="P166" s="7" t="n">
        <v>568.5</v>
      </c>
      <c r="R166" s="7" t="n">
        <v>588.7</v>
      </c>
      <c r="T166" s="7" t="n">
        <v>124</v>
      </c>
      <c r="V166" s="7" t="n">
        <v>614.8</v>
      </c>
      <c r="X166" s="7" t="n">
        <v>220.8</v>
      </c>
      <c r="Z166" s="7" t="n">
        <v>143.2</v>
      </c>
      <c r="AB166" s="7" t="n">
        <v>3778.8</v>
      </c>
    </row>
    <row r="167">
      <c r="A167" s="4" t="inlineStr">
        <is>
          <t>研发材料</t>
        </is>
      </c>
      <c r="D167" s="7" t="n">
        <v>18.2</v>
      </c>
      <c r="F167" s="7" t="n">
        <v>4.2</v>
      </c>
      <c r="H167" s="7" t="n">
        <v>15.6</v>
      </c>
      <c r="J167" s="7" t="n">
        <v>24.8</v>
      </c>
      <c r="L167" s="7" t="n">
        <v>71.7</v>
      </c>
      <c r="N167" s="7" t="n">
        <v>51.3</v>
      </c>
      <c r="P167" s="7" t="n">
        <v>56.2</v>
      </c>
      <c r="R167" s="7" t="n">
        <v>64.5</v>
      </c>
      <c r="T167" s="7" t="n">
        <v>12</v>
      </c>
      <c r="V167" s="7" t="n">
        <v>53.1</v>
      </c>
      <c r="X167" s="7" t="n">
        <v>38.5</v>
      </c>
      <c r="Z167" s="7" t="n">
        <v>16.8</v>
      </c>
      <c r="AB167" s="7" t="n">
        <v>426.9</v>
      </c>
    </row>
    <row r="168">
      <c r="A168" s="4" t="inlineStr">
        <is>
          <t>项目名称</t>
        </is>
      </c>
      <c r="D168" s="7" t="n">
        <v>328.2</v>
      </c>
      <c r="F168" s="7" t="n">
        <v>47.3</v>
      </c>
      <c r="H168" s="7" t="n">
        <v>345.9</v>
      </c>
      <c r="J168" s="7" t="n">
        <v>343.8</v>
      </c>
      <c r="L168" s="7" t="n">
        <v>1021.4</v>
      </c>
      <c r="N168" s="7" t="n">
        <v>603.6</v>
      </c>
      <c r="P168" s="7" t="n">
        <v>897.1</v>
      </c>
      <c r="R168" s="7" t="n">
        <v>1129.5</v>
      </c>
      <c r="T168" s="7" t="n">
        <v>184.9</v>
      </c>
      <c r="V168" s="7" t="n">
        <v>1062.9</v>
      </c>
      <c r="X168" s="7" t="n">
        <v>533.2</v>
      </c>
      <c r="Z168" s="7" t="n">
        <v>292.7</v>
      </c>
      <c r="AB168" s="7" t="n">
        <v>6790.5</v>
      </c>
    </row>
    <row r="169">
      <c r="A169" s="4" t="inlineStr">
        <is>
          <t>研发费</t>
        </is>
      </c>
      <c r="D169" s="7" t="n">
        <v>379.7</v>
      </c>
      <c r="F169" s="7" t="n">
        <v>50.1</v>
      </c>
      <c r="H169" s="7" t="n">
        <v>237.8</v>
      </c>
      <c r="J169" s="7" t="n">
        <v>367.5</v>
      </c>
      <c r="L169" s="7" t="n">
        <v>872.2</v>
      </c>
      <c r="N169" s="7" t="n">
        <v>689</v>
      </c>
      <c r="P169" s="7" t="n">
        <v>619.6</v>
      </c>
      <c r="R169" s="7" t="n">
        <v>1343.2</v>
      </c>
      <c r="T169" s="7" t="n">
        <v>249.1</v>
      </c>
      <c r="V169" s="7" t="n">
        <v>887.6</v>
      </c>
      <c r="X169" s="7" t="n">
        <v>535.3</v>
      </c>
      <c r="Z169" s="7" t="n">
        <v>266.4</v>
      </c>
      <c r="AB169" s="7" t="n">
        <v>6497.5</v>
      </c>
    </row>
    <row r="170">
      <c r="A170" s="4" t="inlineStr">
        <is>
          <t>残保金</t>
        </is>
      </c>
      <c r="D170" s="7" t="n">
        <v>119.3</v>
      </c>
      <c r="F170" s="7" t="n">
        <v>19.3</v>
      </c>
      <c r="H170" s="7" t="n">
        <v>64.09999999999999</v>
      </c>
      <c r="J170" s="7" t="n">
        <v>98</v>
      </c>
      <c r="L170" s="7" t="n">
        <v>271</v>
      </c>
      <c r="N170" s="7" t="n">
        <v>251.4</v>
      </c>
      <c r="P170" s="7" t="n">
        <v>310.7</v>
      </c>
      <c r="R170" s="7" t="n">
        <v>392.6</v>
      </c>
      <c r="T170" s="7" t="n">
        <v>40.1</v>
      </c>
      <c r="V170" s="7" t="n">
        <v>320</v>
      </c>
      <c r="X170" s="7" t="n">
        <v>128.8</v>
      </c>
      <c r="Z170" s="7" t="n">
        <v>111.9</v>
      </c>
      <c r="AB170" s="7" t="n">
        <v>2127.2</v>
      </c>
    </row>
    <row r="171">
      <c r="A171" s="4" t="inlineStr">
        <is>
          <t>环保费</t>
        </is>
      </c>
      <c r="D171" s="7" t="n">
        <v>414.4</v>
      </c>
      <c r="F171" s="7" t="n">
        <v>58.6</v>
      </c>
      <c r="H171" s="7" t="n">
        <v>267.1</v>
      </c>
      <c r="J171" s="7" t="n">
        <v>383.6</v>
      </c>
      <c r="L171" s="7" t="n">
        <v>1138.1</v>
      </c>
      <c r="N171" s="7" t="n">
        <v>908.3</v>
      </c>
      <c r="P171" s="7" t="n">
        <v>800</v>
      </c>
      <c r="R171" s="7" t="n">
        <v>1090.7</v>
      </c>
      <c r="T171" s="7" t="n">
        <v>185.9</v>
      </c>
      <c r="V171" s="7" t="n">
        <v>1204.8</v>
      </c>
      <c r="X171" s="7" t="n">
        <v>520.9</v>
      </c>
      <c r="Z171" s="7" t="n">
        <v>275.8</v>
      </c>
      <c r="AB171" s="7" t="n">
        <v>7248.2</v>
      </c>
    </row>
    <row r="172">
      <c r="A172" s="4" t="inlineStr">
        <is>
          <t>报废损失</t>
        </is>
      </c>
      <c r="D172" s="7" t="n">
        <v>309.4</v>
      </c>
      <c r="F172" s="7" t="n">
        <v>60.7</v>
      </c>
      <c r="H172" s="7" t="n">
        <v>278.8</v>
      </c>
      <c r="J172" s="7" t="n">
        <v>339.5</v>
      </c>
      <c r="L172" s="7" t="n">
        <v>902.8</v>
      </c>
      <c r="N172" s="7" t="n">
        <v>761.8</v>
      </c>
      <c r="P172" s="7" t="n">
        <v>1108.4</v>
      </c>
      <c r="R172" s="7" t="n">
        <v>983.5</v>
      </c>
      <c r="T172" s="7" t="n">
        <v>175.1</v>
      </c>
      <c r="V172" s="7" t="n">
        <v>747.1</v>
      </c>
      <c r="X172" s="7" t="n">
        <v>340.8</v>
      </c>
      <c r="Z172" s="7" t="n">
        <v>282.9</v>
      </c>
      <c r="AB172" s="7" t="n">
        <v>6290.8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47169.4</v>
      </c>
      <c r="D173" s="7" t="n">
        <v>18636.9</v>
      </c>
      <c r="E173" s="7" t="n">
        <v>48475.1</v>
      </c>
      <c r="F173" s="7" t="n">
        <v>9444.9</v>
      </c>
      <c r="G173" s="7" t="n">
        <v>51566.6</v>
      </c>
      <c r="H173" s="7" t="n">
        <v>15979.8</v>
      </c>
      <c r="I173" s="7" t="n">
        <v>51406.5</v>
      </c>
      <c r="J173" s="7" t="n">
        <v>31764.4</v>
      </c>
      <c r="K173" s="7" t="n">
        <v>42466.1</v>
      </c>
      <c r="L173" s="7" t="n">
        <v>47096.7</v>
      </c>
      <c r="M173" s="7" t="n">
        <v>52231.5</v>
      </c>
      <c r="N173" s="7" t="n">
        <v>64308.6</v>
      </c>
      <c r="O173" s="7" t="n">
        <v>47499.3</v>
      </c>
      <c r="P173" s="7" t="n">
        <v>56081</v>
      </c>
      <c r="Q173" s="7" t="n">
        <v>45987.8</v>
      </c>
      <c r="R173" s="7" t="n">
        <v>107578.6</v>
      </c>
      <c r="S173" s="7" t="n">
        <v>45178.6</v>
      </c>
      <c r="T173" s="7" t="n">
        <v>21789.8</v>
      </c>
      <c r="U173" s="7" t="n">
        <v>52466.6</v>
      </c>
      <c r="V173" s="7" t="n">
        <v>116681.4</v>
      </c>
      <c r="W173" s="7" t="n">
        <v>49082.8</v>
      </c>
      <c r="X173" s="7" t="n">
        <v>54749.7</v>
      </c>
      <c r="Y173" s="7" t="n">
        <v>43724.8</v>
      </c>
      <c r="Z173" s="7" t="n">
        <v>32585.1</v>
      </c>
      <c r="AA173" s="8" t="n">
        <v>577255.1</v>
      </c>
      <c r="AB173" s="8" t="n">
        <v>576696.9</v>
      </c>
    </row>
    <row r="174">
      <c r="A174" s="4" t="inlineStr">
        <is>
          <t>职工薪酬</t>
        </is>
      </c>
      <c r="D174" s="7" t="n">
        <v>9154.1</v>
      </c>
      <c r="F174" s="7" t="n">
        <v>5239.9</v>
      </c>
      <c r="H174" s="7" t="n">
        <v>9019.5</v>
      </c>
      <c r="J174" s="7" t="n">
        <v>20366.5</v>
      </c>
      <c r="L174" s="7" t="n">
        <v>23650.7</v>
      </c>
      <c r="N174" s="7" t="n">
        <v>25973.4</v>
      </c>
      <c r="P174" s="7" t="n">
        <v>27309.8</v>
      </c>
      <c r="R174" s="7" t="n">
        <v>52391.1</v>
      </c>
      <c r="T174" s="7" t="n">
        <v>9845.200000000001</v>
      </c>
      <c r="V174" s="7" t="n">
        <v>66830.60000000001</v>
      </c>
      <c r="X174" s="7" t="n">
        <v>22676.2</v>
      </c>
      <c r="Z174" s="7" t="n">
        <v>19523.6</v>
      </c>
      <c r="AB174" s="7" t="n">
        <v>291980.6</v>
      </c>
    </row>
    <row r="175">
      <c r="A175" s="4" t="inlineStr">
        <is>
          <t>工资</t>
        </is>
      </c>
      <c r="D175" s="7" t="n">
        <v>4717.7</v>
      </c>
      <c r="F175" s="7" t="n">
        <v>3078.8</v>
      </c>
      <c r="H175" s="7" t="n">
        <v>5997.5</v>
      </c>
      <c r="J175" s="7" t="n">
        <v>12276.1</v>
      </c>
      <c r="L175" s="7" t="n">
        <v>13511.2</v>
      </c>
      <c r="N175" s="7" t="n">
        <v>13938.1</v>
      </c>
      <c r="P175" s="7" t="n">
        <v>16566.2</v>
      </c>
      <c r="R175" s="7" t="n">
        <v>32950.3</v>
      </c>
      <c r="T175" s="7" t="n">
        <v>5262.6</v>
      </c>
      <c r="V175" s="7" t="n">
        <v>43691.3</v>
      </c>
      <c r="X175" s="7" t="n">
        <v>12170.7</v>
      </c>
      <c r="Z175" s="7" t="n">
        <v>11502.3</v>
      </c>
      <c r="AB175" s="7" t="n">
        <v>175662.8</v>
      </c>
    </row>
    <row r="176">
      <c r="A176" s="4" t="inlineStr">
        <is>
          <t>奖金及提成</t>
        </is>
      </c>
      <c r="D176" s="7" t="n">
        <v>1841.2</v>
      </c>
      <c r="F176" s="7" t="n">
        <v>930.4</v>
      </c>
      <c r="H176" s="7" t="n">
        <v>1127.8</v>
      </c>
      <c r="J176" s="7" t="n">
        <v>3800.1</v>
      </c>
      <c r="L176" s="7" t="n">
        <v>4525.4</v>
      </c>
      <c r="N176" s="7" t="n">
        <v>5720.8</v>
      </c>
      <c r="P176" s="7" t="n">
        <v>4136.3</v>
      </c>
      <c r="R176" s="7" t="n">
        <v>8702.299999999999</v>
      </c>
      <c r="T176" s="7" t="n">
        <v>2107.3</v>
      </c>
      <c r="V176" s="7" t="n">
        <v>10308.1</v>
      </c>
      <c r="X176" s="7" t="n">
        <v>4905.7</v>
      </c>
      <c r="Z176" s="7" t="n">
        <v>3573.1</v>
      </c>
      <c r="AB176" s="7" t="n">
        <v>51678.5</v>
      </c>
    </row>
    <row r="177">
      <c r="A177" s="4" t="inlineStr">
        <is>
          <t>社保</t>
        </is>
      </c>
      <c r="D177" s="7" t="n">
        <v>1872.6</v>
      </c>
      <c r="F177" s="7" t="n">
        <v>859.4</v>
      </c>
      <c r="H177" s="7" t="n">
        <v>1265.1</v>
      </c>
      <c r="J177" s="7" t="n">
        <v>3007.4</v>
      </c>
      <c r="L177" s="7" t="n">
        <v>3794.5</v>
      </c>
      <c r="N177" s="7" t="n">
        <v>3914.7</v>
      </c>
      <c r="P177" s="7" t="n">
        <v>4660.2</v>
      </c>
      <c r="R177" s="7" t="n">
        <v>6578.9</v>
      </c>
      <c r="T177" s="7" t="n">
        <v>1664.6</v>
      </c>
      <c r="V177" s="7" t="n">
        <v>9213.299999999999</v>
      </c>
      <c r="X177" s="7" t="n">
        <v>3834.8</v>
      </c>
      <c r="Z177" s="7" t="n">
        <v>3184.5</v>
      </c>
      <c r="AB177" s="7" t="n">
        <v>43850</v>
      </c>
    </row>
    <row r="178">
      <c r="A178" s="4" t="inlineStr">
        <is>
          <t>养老</t>
        </is>
      </c>
      <c r="D178" s="7" t="n">
        <v>69.2</v>
      </c>
      <c r="F178" s="7" t="n">
        <v>29.7</v>
      </c>
      <c r="H178" s="7" t="n">
        <v>48.3</v>
      </c>
      <c r="J178" s="7" t="n">
        <v>82.5</v>
      </c>
      <c r="L178" s="7" t="n">
        <v>181.8</v>
      </c>
      <c r="N178" s="7" t="n">
        <v>220.6</v>
      </c>
      <c r="P178" s="7" t="n">
        <v>135</v>
      </c>
      <c r="R178" s="7" t="n">
        <v>310.4</v>
      </c>
      <c r="T178" s="7" t="n">
        <v>58.6</v>
      </c>
      <c r="V178" s="7" t="n">
        <v>356.2</v>
      </c>
      <c r="X178" s="7" t="n">
        <v>187.7</v>
      </c>
      <c r="Z178" s="7" t="n">
        <v>110.9</v>
      </c>
      <c r="AB178" s="7" t="n">
        <v>1790.9</v>
      </c>
    </row>
    <row r="179">
      <c r="A179" s="4" t="inlineStr">
        <is>
          <t>医疗</t>
        </is>
      </c>
      <c r="D179" s="7" t="n">
        <v>117</v>
      </c>
      <c r="F179" s="7" t="n">
        <v>52.7</v>
      </c>
      <c r="H179" s="7" t="n">
        <v>119.5</v>
      </c>
      <c r="J179" s="7" t="n">
        <v>167.5</v>
      </c>
      <c r="L179" s="7" t="n">
        <v>292.5</v>
      </c>
      <c r="N179" s="7" t="n">
        <v>391.6</v>
      </c>
      <c r="P179" s="7" t="n">
        <v>383.7</v>
      </c>
      <c r="R179" s="7" t="n">
        <v>698.2</v>
      </c>
      <c r="T179" s="7" t="n">
        <v>97.40000000000001</v>
      </c>
      <c r="V179" s="7" t="n">
        <v>693.1</v>
      </c>
      <c r="X179" s="7" t="n">
        <v>329.4</v>
      </c>
      <c r="Z179" s="7" t="n">
        <v>187.6</v>
      </c>
      <c r="AB179" s="7" t="n">
        <v>3530.2</v>
      </c>
    </row>
    <row r="180">
      <c r="A180" s="4" t="inlineStr">
        <is>
          <t>工伤</t>
        </is>
      </c>
      <c r="D180" s="7" t="n">
        <v>71.90000000000001</v>
      </c>
      <c r="F180" s="7" t="n">
        <v>30.1</v>
      </c>
      <c r="H180" s="7" t="n">
        <v>76.2</v>
      </c>
      <c r="J180" s="7" t="n">
        <v>135.3</v>
      </c>
      <c r="L180" s="7" t="n">
        <v>142.4</v>
      </c>
      <c r="N180" s="7" t="n">
        <v>273.3</v>
      </c>
      <c r="P180" s="7" t="n">
        <v>217.5</v>
      </c>
      <c r="R180" s="7" t="n">
        <v>385.3</v>
      </c>
      <c r="T180" s="7" t="n">
        <v>83.59999999999999</v>
      </c>
      <c r="V180" s="7" t="n">
        <v>549.1</v>
      </c>
      <c r="X180" s="7" t="n">
        <v>166.3</v>
      </c>
      <c r="Z180" s="7" t="n">
        <v>108.2</v>
      </c>
      <c r="AB180" s="7" t="n">
        <v>2239.2</v>
      </c>
    </row>
    <row r="181">
      <c r="A181" s="4" t="inlineStr">
        <is>
          <t>失业</t>
        </is>
      </c>
      <c r="D181" s="7" t="n">
        <v>42.7</v>
      </c>
      <c r="F181" s="7" t="n">
        <v>20</v>
      </c>
      <c r="H181" s="7" t="n">
        <v>25.5</v>
      </c>
      <c r="J181" s="7" t="n">
        <v>66.40000000000001</v>
      </c>
      <c r="L181" s="7" t="n">
        <v>106.1</v>
      </c>
      <c r="N181" s="7" t="n">
        <v>128.7</v>
      </c>
      <c r="P181" s="7" t="n">
        <v>115.5</v>
      </c>
      <c r="R181" s="7" t="n">
        <v>205.1</v>
      </c>
      <c r="T181" s="7" t="n">
        <v>38.1</v>
      </c>
      <c r="V181" s="7" t="n">
        <v>219.7</v>
      </c>
      <c r="X181" s="7" t="n">
        <v>121.9</v>
      </c>
      <c r="Z181" s="7" t="n">
        <v>70.7</v>
      </c>
      <c r="AB181" s="7" t="n">
        <v>1160.4</v>
      </c>
    </row>
    <row r="182">
      <c r="A182" s="4" t="inlineStr">
        <is>
          <t>生育</t>
        </is>
      </c>
      <c r="D182" s="7" t="n">
        <v>97.59999999999999</v>
      </c>
      <c r="F182" s="7" t="n">
        <v>62.1</v>
      </c>
      <c r="H182" s="7" t="n">
        <v>84.8</v>
      </c>
      <c r="J182" s="7" t="n">
        <v>187.6</v>
      </c>
      <c r="L182" s="7" t="n">
        <v>348.3</v>
      </c>
      <c r="N182" s="7" t="n">
        <v>429.7</v>
      </c>
      <c r="P182" s="7" t="n">
        <v>394.5</v>
      </c>
      <c r="R182" s="7" t="n">
        <v>458.7</v>
      </c>
      <c r="T182" s="7" t="n">
        <v>99.90000000000001</v>
      </c>
      <c r="V182" s="7" t="n">
        <v>656.8</v>
      </c>
      <c r="X182" s="7" t="n">
        <v>335.5</v>
      </c>
      <c r="Z182" s="7" t="n">
        <v>216.5</v>
      </c>
      <c r="AB182" s="7" t="n">
        <v>3372</v>
      </c>
    </row>
    <row r="183">
      <c r="A183" s="4" t="inlineStr">
        <is>
          <t>公积金</t>
        </is>
      </c>
      <c r="D183" s="7" t="n">
        <v>92.2</v>
      </c>
      <c r="F183" s="7" t="n">
        <v>45.6</v>
      </c>
      <c r="H183" s="7" t="n">
        <v>76.8</v>
      </c>
      <c r="J183" s="7" t="n">
        <v>151.3</v>
      </c>
      <c r="L183" s="7" t="n">
        <v>165.5</v>
      </c>
      <c r="N183" s="7" t="n">
        <v>263.1</v>
      </c>
      <c r="P183" s="7" t="n">
        <v>242.8</v>
      </c>
      <c r="R183" s="7" t="n">
        <v>534.8</v>
      </c>
      <c r="T183" s="7" t="n">
        <v>84.5</v>
      </c>
      <c r="V183" s="7" t="n">
        <v>349.2</v>
      </c>
      <c r="X183" s="7" t="n">
        <v>155</v>
      </c>
      <c r="Z183" s="7" t="n">
        <v>116.7</v>
      </c>
      <c r="AB183" s="7" t="n">
        <v>2277.5</v>
      </c>
    </row>
    <row r="184">
      <c r="A184" s="4" t="inlineStr">
        <is>
          <t>工会经费</t>
        </is>
      </c>
      <c r="D184" s="7" t="n">
        <v>62.4</v>
      </c>
      <c r="F184" s="7" t="n">
        <v>46</v>
      </c>
      <c r="H184" s="7" t="n">
        <v>76.40000000000001</v>
      </c>
      <c r="J184" s="7" t="n">
        <v>143.5</v>
      </c>
      <c r="L184" s="7" t="n">
        <v>210.5</v>
      </c>
      <c r="N184" s="7" t="n">
        <v>288.1</v>
      </c>
      <c r="P184" s="7" t="n">
        <v>175.9</v>
      </c>
      <c r="R184" s="7" t="n">
        <v>408.7</v>
      </c>
      <c r="T184" s="7" t="n">
        <v>101.6</v>
      </c>
      <c r="V184" s="7" t="n">
        <v>450.4</v>
      </c>
      <c r="X184" s="7" t="n">
        <v>194.8</v>
      </c>
      <c r="Z184" s="7" t="n">
        <v>125.8</v>
      </c>
      <c r="AB184" s="7" t="n">
        <v>2284.1</v>
      </c>
    </row>
    <row r="185">
      <c r="A185" s="4" t="inlineStr">
        <is>
          <t>职工教育经费</t>
        </is>
      </c>
      <c r="D185" s="7" t="n">
        <v>11.5</v>
      </c>
      <c r="F185" s="7" t="n">
        <v>5.6</v>
      </c>
      <c r="H185" s="7" t="n">
        <v>7.2</v>
      </c>
      <c r="J185" s="7" t="n">
        <v>17.3</v>
      </c>
      <c r="L185" s="7" t="n">
        <v>29.5</v>
      </c>
      <c r="N185" s="7" t="n">
        <v>42.3</v>
      </c>
      <c r="P185" s="7" t="n">
        <v>23.5</v>
      </c>
      <c r="R185" s="7" t="n">
        <v>43.9</v>
      </c>
      <c r="T185" s="7" t="n">
        <v>10.1</v>
      </c>
      <c r="V185" s="7" t="n">
        <v>82</v>
      </c>
      <c r="X185" s="7" t="n">
        <v>29.6</v>
      </c>
      <c r="Z185" s="7" t="n">
        <v>18.1</v>
      </c>
      <c r="AB185" s="7" t="n">
        <v>320.6</v>
      </c>
    </row>
    <row r="186">
      <c r="A186" s="4" t="inlineStr">
        <is>
          <t>福利费</t>
        </is>
      </c>
      <c r="D186" s="7" t="n">
        <v>556.5</v>
      </c>
      <c r="F186" s="7" t="n">
        <v>274.1</v>
      </c>
      <c r="H186" s="7" t="n">
        <v>468.7</v>
      </c>
      <c r="J186" s="7" t="n">
        <v>970.8</v>
      </c>
      <c r="L186" s="7" t="n">
        <v>1414.1</v>
      </c>
      <c r="N186" s="7" t="n">
        <v>1806.3</v>
      </c>
      <c r="P186" s="7" t="n">
        <v>1504.9</v>
      </c>
      <c r="R186" s="7" t="n">
        <v>3172.2</v>
      </c>
      <c r="T186" s="7" t="n">
        <v>614.5</v>
      </c>
      <c r="V186" s="7" t="n">
        <v>2736.3</v>
      </c>
      <c r="X186" s="7" t="n">
        <v>1385.6</v>
      </c>
      <c r="Z186" s="7" t="n">
        <v>1003.1</v>
      </c>
      <c r="AB186" s="7" t="n">
        <v>15907.1</v>
      </c>
    </row>
    <row r="187">
      <c r="A187" s="4" t="inlineStr">
        <is>
          <t>职工房租</t>
        </is>
      </c>
      <c r="D187" s="7" t="n">
        <v>56.9</v>
      </c>
      <c r="F187" s="7" t="n">
        <v>25.4</v>
      </c>
      <c r="H187" s="7" t="n">
        <v>36.8</v>
      </c>
      <c r="J187" s="7" t="n">
        <v>112.9</v>
      </c>
      <c r="L187" s="7" t="n">
        <v>172.6</v>
      </c>
      <c r="N187" s="7" t="n">
        <v>197.4</v>
      </c>
      <c r="P187" s="7" t="n">
        <v>136.3</v>
      </c>
      <c r="R187" s="7" t="n">
        <v>368.7</v>
      </c>
      <c r="T187" s="7" t="n">
        <v>48</v>
      </c>
      <c r="V187" s="7" t="n">
        <v>408</v>
      </c>
      <c r="X187" s="7" t="n">
        <v>141.9</v>
      </c>
      <c r="Z187" s="7" t="n">
        <v>95.40000000000001</v>
      </c>
      <c r="AB187" s="7" t="n">
        <v>1800.3</v>
      </c>
    </row>
    <row r="188">
      <c r="A188" s="4" t="inlineStr">
        <is>
          <t>水电物业费</t>
        </is>
      </c>
      <c r="D188" s="7" t="n">
        <v>105.8</v>
      </c>
      <c r="F188" s="7" t="n">
        <v>45.5</v>
      </c>
      <c r="H188" s="7" t="n">
        <v>90.40000000000001</v>
      </c>
      <c r="J188" s="7" t="n">
        <v>181.6</v>
      </c>
      <c r="L188" s="7" t="n">
        <v>255.4</v>
      </c>
      <c r="N188" s="7" t="n">
        <v>258.7</v>
      </c>
      <c r="P188" s="7" t="n">
        <v>304.8</v>
      </c>
      <c r="R188" s="7" t="n">
        <v>377.1</v>
      </c>
      <c r="T188" s="7" t="n">
        <v>123</v>
      </c>
      <c r="V188" s="7" t="n">
        <v>444.2</v>
      </c>
      <c r="X188" s="7" t="n">
        <v>227.7</v>
      </c>
      <c r="Z188" s="7" t="n">
        <v>168.6</v>
      </c>
      <c r="AB188" s="7" t="n">
        <v>2582.8</v>
      </c>
    </row>
    <row r="189">
      <c r="A189" s="4" t="inlineStr">
        <is>
          <t>员工餐</t>
        </is>
      </c>
      <c r="D189" s="7" t="n">
        <v>1.6</v>
      </c>
      <c r="F189" s="7" t="n">
        <v>0.7</v>
      </c>
      <c r="H189" s="7" t="n">
        <v>1.3</v>
      </c>
      <c r="J189" s="7" t="n">
        <v>2.8</v>
      </c>
      <c r="L189" s="7" t="n">
        <v>2.9</v>
      </c>
      <c r="N189" s="7" t="n">
        <v>4.8</v>
      </c>
      <c r="P189" s="7" t="n">
        <v>3.4</v>
      </c>
      <c r="R189" s="7" t="n">
        <v>5.7</v>
      </c>
      <c r="T189" s="7" t="n">
        <v>1.7</v>
      </c>
      <c r="V189" s="7" t="n">
        <v>5.8</v>
      </c>
      <c r="X189" s="7" t="n">
        <v>2.8</v>
      </c>
      <c r="Z189" s="7" t="n">
        <v>2.3</v>
      </c>
      <c r="AB189" s="7" t="n">
        <v>35.8</v>
      </c>
    </row>
    <row r="190">
      <c r="A190" s="4" t="inlineStr">
        <is>
          <t>节日礼品</t>
        </is>
      </c>
      <c r="D190" s="7" t="n">
        <v>119</v>
      </c>
      <c r="F190" s="7" t="n">
        <v>62.1</v>
      </c>
      <c r="H190" s="7" t="n">
        <v>97.90000000000001</v>
      </c>
      <c r="J190" s="7" t="n">
        <v>124.9</v>
      </c>
      <c r="L190" s="7" t="n">
        <v>228.8</v>
      </c>
      <c r="N190" s="7" t="n">
        <v>427.8</v>
      </c>
      <c r="P190" s="7" t="n">
        <v>267.3</v>
      </c>
      <c r="R190" s="7" t="n">
        <v>658</v>
      </c>
      <c r="T190" s="7" t="n">
        <v>97.3</v>
      </c>
      <c r="V190" s="7" t="n">
        <v>469</v>
      </c>
      <c r="X190" s="7" t="n">
        <v>268.8</v>
      </c>
      <c r="Z190" s="7" t="n">
        <v>197.5</v>
      </c>
      <c r="AB190" s="7" t="n">
        <v>3018.4</v>
      </c>
    </row>
    <row r="191">
      <c r="A191" s="4" t="inlineStr">
        <is>
          <t>生日礼品</t>
        </is>
      </c>
      <c r="D191" s="7" t="n">
        <v>96</v>
      </c>
      <c r="F191" s="7" t="n">
        <v>45.2</v>
      </c>
      <c r="H191" s="7" t="n">
        <v>77.59999999999999</v>
      </c>
      <c r="J191" s="7" t="n">
        <v>204.7</v>
      </c>
      <c r="L191" s="7" t="n">
        <v>181.6</v>
      </c>
      <c r="N191" s="7" t="n">
        <v>369.8</v>
      </c>
      <c r="P191" s="7" t="n">
        <v>291.1</v>
      </c>
      <c r="R191" s="7" t="n">
        <v>588.4</v>
      </c>
      <c r="T191" s="7" t="n">
        <v>117.1</v>
      </c>
      <c r="V191" s="7" t="n">
        <v>497</v>
      </c>
      <c r="X191" s="7" t="n">
        <v>238.8</v>
      </c>
      <c r="Z191" s="7" t="n">
        <v>180.1</v>
      </c>
      <c r="AB191" s="7" t="n">
        <v>2887.4</v>
      </c>
    </row>
    <row r="192">
      <c r="A192" s="4" t="inlineStr">
        <is>
          <t>体检</t>
        </is>
      </c>
      <c r="D192" s="7" t="n">
        <v>92.59999999999999</v>
      </c>
      <c r="F192" s="7" t="n">
        <v>44.8</v>
      </c>
      <c r="H192" s="7" t="n">
        <v>94.90000000000001</v>
      </c>
      <c r="J192" s="7" t="n">
        <v>188.7</v>
      </c>
      <c r="L192" s="7" t="n">
        <v>262.1</v>
      </c>
      <c r="N192" s="7" t="n">
        <v>284.6</v>
      </c>
      <c r="P192" s="7" t="n">
        <v>238.3</v>
      </c>
      <c r="R192" s="7" t="n">
        <v>632.7</v>
      </c>
      <c r="T192" s="7" t="n">
        <v>97.59999999999999</v>
      </c>
      <c r="V192" s="7" t="n">
        <v>456.9</v>
      </c>
      <c r="X192" s="7" t="n">
        <v>275.7</v>
      </c>
      <c r="Z192" s="7" t="n">
        <v>183.1</v>
      </c>
      <c r="AB192" s="7" t="n">
        <v>2852</v>
      </c>
    </row>
    <row r="193">
      <c r="A193" s="4" t="inlineStr">
        <is>
          <t>其他福利支出</t>
        </is>
      </c>
      <c r="D193" s="7" t="n">
        <v>84.59999999999999</v>
      </c>
      <c r="F193" s="7" t="n">
        <v>50.4</v>
      </c>
      <c r="H193" s="7" t="n">
        <v>69.8</v>
      </c>
      <c r="J193" s="7" t="n">
        <v>155.2</v>
      </c>
      <c r="L193" s="7" t="n">
        <v>310.7</v>
      </c>
      <c r="N193" s="7" t="n">
        <v>263.2</v>
      </c>
      <c r="P193" s="7" t="n">
        <v>263.7</v>
      </c>
      <c r="R193" s="7" t="n">
        <v>541.6</v>
      </c>
      <c r="T193" s="7" t="n">
        <v>129.8</v>
      </c>
      <c r="V193" s="7" t="n">
        <v>455.4</v>
      </c>
      <c r="X193" s="7" t="n">
        <v>229.9</v>
      </c>
      <c r="Z193" s="7" t="n">
        <v>176.1</v>
      </c>
      <c r="AB193" s="7" t="n">
        <v>2730.4</v>
      </c>
    </row>
    <row r="194">
      <c r="A194" s="4" t="inlineStr">
        <is>
          <t>招聘费</t>
        </is>
      </c>
      <c r="D194" s="7" t="n">
        <v>29.1</v>
      </c>
      <c r="F194" s="7" t="n">
        <v>14.5</v>
      </c>
      <c r="H194" s="7" t="n">
        <v>30.5</v>
      </c>
      <c r="J194" s="7" t="n">
        <v>51.3</v>
      </c>
      <c r="L194" s="7" t="n">
        <v>70.59999999999999</v>
      </c>
      <c r="N194" s="7" t="n">
        <v>117.3</v>
      </c>
      <c r="P194" s="7" t="n">
        <v>81.8</v>
      </c>
      <c r="R194" s="7" t="n">
        <v>119</v>
      </c>
      <c r="T194" s="7" t="n">
        <v>42.8</v>
      </c>
      <c r="V194" s="7" t="n">
        <v>161</v>
      </c>
      <c r="X194" s="7" t="n">
        <v>87.3</v>
      </c>
      <c r="Z194" s="7" t="n">
        <v>47.5</v>
      </c>
      <c r="AB194" s="7" t="n">
        <v>852.7</v>
      </c>
    </row>
    <row r="195">
      <c r="A195" s="4" t="inlineStr">
        <is>
          <t>办公费</t>
        </is>
      </c>
      <c r="D195" s="7" t="n">
        <v>476.9</v>
      </c>
      <c r="F195" s="7" t="n">
        <v>210</v>
      </c>
      <c r="H195" s="7" t="n">
        <v>538.3</v>
      </c>
      <c r="J195" s="7" t="n">
        <v>902.7</v>
      </c>
      <c r="L195" s="7" t="n">
        <v>1018.7</v>
      </c>
      <c r="N195" s="7" t="n">
        <v>1471.8</v>
      </c>
      <c r="P195" s="7" t="n">
        <v>2186.3</v>
      </c>
      <c r="R195" s="7" t="n">
        <v>3153.4</v>
      </c>
      <c r="T195" s="7" t="n">
        <v>829.7</v>
      </c>
      <c r="V195" s="7" t="n">
        <v>3783.2</v>
      </c>
      <c r="X195" s="7" t="n">
        <v>1351.5</v>
      </c>
      <c r="Z195" s="7" t="n">
        <v>998.3</v>
      </c>
      <c r="AB195" s="7" t="n">
        <v>16920.8</v>
      </c>
    </row>
    <row r="196">
      <c r="A196" s="4" t="inlineStr">
        <is>
          <t>市内交通费</t>
        </is>
      </c>
      <c r="D196" s="7" t="n">
        <v>125.1</v>
      </c>
      <c r="F196" s="7" t="n">
        <v>47.9</v>
      </c>
      <c r="H196" s="7" t="n">
        <v>73.7</v>
      </c>
      <c r="J196" s="7" t="n">
        <v>219</v>
      </c>
      <c r="L196" s="7" t="n">
        <v>322.9</v>
      </c>
      <c r="N196" s="7" t="n">
        <v>249.3</v>
      </c>
      <c r="P196" s="7" t="n">
        <v>331.4</v>
      </c>
      <c r="R196" s="7" t="n">
        <v>593.4</v>
      </c>
      <c r="T196" s="7" t="n">
        <v>91.3</v>
      </c>
      <c r="V196" s="7" t="n">
        <v>806.3</v>
      </c>
      <c r="X196" s="7" t="n">
        <v>207.1</v>
      </c>
      <c r="Z196" s="7" t="n">
        <v>137.3</v>
      </c>
      <c r="AB196" s="7" t="n">
        <v>3204.7</v>
      </c>
    </row>
    <row r="197">
      <c r="A197" s="4" t="inlineStr">
        <is>
          <t>差旅费</t>
        </is>
      </c>
      <c r="D197" s="7" t="n">
        <v>1064.3</v>
      </c>
      <c r="F197" s="7" t="n">
        <v>540.2</v>
      </c>
      <c r="H197" s="7" t="n">
        <v>1208.2</v>
      </c>
      <c r="J197" s="7" t="n">
        <v>1916.3</v>
      </c>
      <c r="L197" s="7" t="n">
        <v>2151.8</v>
      </c>
      <c r="N197" s="7" t="n">
        <v>4168.2</v>
      </c>
      <c r="P197" s="7" t="n">
        <v>3721.1</v>
      </c>
      <c r="R197" s="7" t="n">
        <v>6273.8</v>
      </c>
      <c r="T197" s="7" t="n">
        <v>1330</v>
      </c>
      <c r="V197" s="7" t="n">
        <v>7332.8</v>
      </c>
      <c r="X197" s="7" t="n">
        <v>3466.3</v>
      </c>
      <c r="Z197" s="7" t="n">
        <v>2300.3</v>
      </c>
      <c r="AB197" s="7" t="n">
        <v>35473.3</v>
      </c>
    </row>
    <row r="198">
      <c r="A198" s="4" t="inlineStr">
        <is>
          <t>交通费</t>
        </is>
      </c>
      <c r="D198" s="7" t="n">
        <v>118.4</v>
      </c>
      <c r="F198" s="7" t="n">
        <v>60</v>
      </c>
      <c r="H198" s="7" t="n">
        <v>70.59999999999999</v>
      </c>
      <c r="J198" s="7" t="n">
        <v>192.5</v>
      </c>
      <c r="L198" s="7" t="n">
        <v>245</v>
      </c>
      <c r="N198" s="7" t="n">
        <v>450.8</v>
      </c>
      <c r="P198" s="7" t="n">
        <v>426.1</v>
      </c>
      <c r="R198" s="7" t="n">
        <v>794.9</v>
      </c>
      <c r="T198" s="7" t="n">
        <v>142.5</v>
      </c>
      <c r="V198" s="7" t="n">
        <v>790.6</v>
      </c>
      <c r="X198" s="7" t="n">
        <v>233.6</v>
      </c>
      <c r="Z198" s="7" t="n">
        <v>159.2</v>
      </c>
      <c r="AB198" s="7" t="n">
        <v>3684.2</v>
      </c>
    </row>
    <row r="199">
      <c r="A199" s="4" t="inlineStr">
        <is>
          <t>住宿费</t>
        </is>
      </c>
      <c r="D199" s="7" t="n">
        <v>71.59999999999999</v>
      </c>
      <c r="F199" s="7" t="n">
        <v>27.1</v>
      </c>
      <c r="H199" s="7" t="n">
        <v>56.6</v>
      </c>
      <c r="J199" s="7" t="n">
        <v>102.4</v>
      </c>
      <c r="L199" s="7" t="n">
        <v>134.6</v>
      </c>
      <c r="N199" s="7" t="n">
        <v>190.2</v>
      </c>
      <c r="P199" s="7" t="n">
        <v>237.4</v>
      </c>
      <c r="R199" s="7" t="n">
        <v>273.6</v>
      </c>
      <c r="T199" s="7" t="n">
        <v>81.2</v>
      </c>
      <c r="V199" s="7" t="n">
        <v>463.8</v>
      </c>
      <c r="X199" s="7" t="n">
        <v>210.6</v>
      </c>
      <c r="Z199" s="7" t="n">
        <v>110.5</v>
      </c>
      <c r="AB199" s="7" t="n">
        <v>1959.6</v>
      </c>
    </row>
    <row r="200">
      <c r="A200" s="4" t="inlineStr">
        <is>
          <t>餐补</t>
        </is>
      </c>
      <c r="D200" s="7" t="n">
        <v>85.3</v>
      </c>
      <c r="F200" s="7" t="n">
        <v>55</v>
      </c>
      <c r="H200" s="7" t="n">
        <v>90.90000000000001</v>
      </c>
      <c r="J200" s="7" t="n">
        <v>229.3</v>
      </c>
      <c r="L200" s="7" t="n">
        <v>196.5</v>
      </c>
      <c r="N200" s="7" t="n">
        <v>482.1</v>
      </c>
      <c r="P200" s="7" t="n">
        <v>388.6</v>
      </c>
      <c r="R200" s="7" t="n">
        <v>803.5</v>
      </c>
      <c r="T200" s="7" t="n">
        <v>164.7</v>
      </c>
      <c r="V200" s="7" t="n">
        <v>801.4</v>
      </c>
      <c r="X200" s="7" t="n">
        <v>370</v>
      </c>
      <c r="Z200" s="7" t="n">
        <v>229.6</v>
      </c>
      <c r="AB200" s="7" t="n">
        <v>3896.9</v>
      </c>
    </row>
    <row r="201">
      <c r="A201" s="4" t="inlineStr">
        <is>
          <t>交通补助</t>
        </is>
      </c>
      <c r="D201" s="7" t="n">
        <v>116.9</v>
      </c>
      <c r="F201" s="7" t="n">
        <v>58.9</v>
      </c>
      <c r="H201" s="7" t="n">
        <v>62</v>
      </c>
      <c r="J201" s="7" t="n">
        <v>151</v>
      </c>
      <c r="L201" s="7" t="n">
        <v>209.1</v>
      </c>
      <c r="N201" s="7" t="n">
        <v>346.9</v>
      </c>
      <c r="P201" s="7" t="n">
        <v>305.9</v>
      </c>
      <c r="R201" s="7" t="n">
        <v>427.9</v>
      </c>
      <c r="T201" s="7" t="n">
        <v>116.8</v>
      </c>
      <c r="V201" s="7" t="n">
        <v>646.2</v>
      </c>
      <c r="X201" s="7" t="n">
        <v>284.6</v>
      </c>
      <c r="Z201" s="7" t="n">
        <v>201.4</v>
      </c>
      <c r="AB201" s="7" t="n">
        <v>2927.6</v>
      </c>
    </row>
    <row r="202">
      <c r="A202" s="4" t="inlineStr">
        <is>
          <t>通讯补助</t>
        </is>
      </c>
      <c r="D202" s="7" t="n">
        <v>98</v>
      </c>
      <c r="F202" s="7" t="n">
        <v>50.1</v>
      </c>
      <c r="H202" s="7" t="n">
        <v>95</v>
      </c>
      <c r="J202" s="7" t="n">
        <v>231.7</v>
      </c>
      <c r="L202" s="7" t="n">
        <v>288</v>
      </c>
      <c r="N202" s="7" t="n">
        <v>485.7</v>
      </c>
      <c r="P202" s="7" t="n">
        <v>267.6</v>
      </c>
      <c r="R202" s="7" t="n">
        <v>767</v>
      </c>
      <c r="T202" s="7" t="n">
        <v>146.1</v>
      </c>
      <c r="V202" s="7" t="n">
        <v>790.1</v>
      </c>
      <c r="X202" s="7" t="n">
        <v>265.1</v>
      </c>
      <c r="Z202" s="7" t="n">
        <v>261.2</v>
      </c>
      <c r="AB202" s="7" t="n">
        <v>3745.6</v>
      </c>
    </row>
    <row r="203">
      <c r="A203" s="4" t="inlineStr">
        <is>
          <t>招待费</t>
        </is>
      </c>
      <c r="D203" s="7" t="n">
        <v>608.2</v>
      </c>
      <c r="F203" s="7" t="n">
        <v>451.7</v>
      </c>
      <c r="H203" s="7" t="n">
        <v>782.4</v>
      </c>
      <c r="J203" s="7" t="n">
        <v>1628.4</v>
      </c>
      <c r="L203" s="7" t="n">
        <v>1529.3</v>
      </c>
      <c r="N203" s="7" t="n">
        <v>1997.8</v>
      </c>
      <c r="P203" s="7" t="n">
        <v>1749.6</v>
      </c>
      <c r="R203" s="7" t="n">
        <v>3695.1</v>
      </c>
      <c r="T203" s="7" t="n">
        <v>697.4</v>
      </c>
      <c r="V203" s="7" t="n">
        <v>3377.7</v>
      </c>
      <c r="X203" s="7" t="n">
        <v>1877.2</v>
      </c>
      <c r="Z203" s="7" t="n">
        <v>1424.8</v>
      </c>
      <c r="AB203" s="7" t="n">
        <v>19819.6</v>
      </c>
    </row>
    <row r="204">
      <c r="A204" s="4" t="inlineStr">
        <is>
          <t>通讯费</t>
        </is>
      </c>
      <c r="D204" s="7" t="n">
        <v>25.4</v>
      </c>
      <c r="F204" s="7" t="n">
        <v>13.1</v>
      </c>
      <c r="H204" s="7" t="n">
        <v>19</v>
      </c>
      <c r="J204" s="7" t="n">
        <v>40.3</v>
      </c>
      <c r="L204" s="7" t="n">
        <v>48.1</v>
      </c>
      <c r="N204" s="7" t="n">
        <v>70.2</v>
      </c>
      <c r="P204" s="7" t="n">
        <v>44.1</v>
      </c>
      <c r="R204" s="7" t="n">
        <v>138.8</v>
      </c>
      <c r="T204" s="7" t="n">
        <v>18</v>
      </c>
      <c r="V204" s="7" t="n">
        <v>95.7</v>
      </c>
      <c r="X204" s="7" t="n">
        <v>68.09999999999999</v>
      </c>
      <c r="Z204" s="7" t="n">
        <v>40.5</v>
      </c>
      <c r="AB204" s="7" t="n">
        <v>621.3</v>
      </c>
    </row>
    <row r="205">
      <c r="A205" s="4" t="inlineStr">
        <is>
          <t>网络费</t>
        </is>
      </c>
      <c r="D205" s="7" t="n">
        <v>88.5</v>
      </c>
      <c r="F205" s="7" t="n">
        <v>54</v>
      </c>
      <c r="H205" s="7" t="n">
        <v>69.90000000000001</v>
      </c>
      <c r="J205" s="7" t="n">
        <v>161.2</v>
      </c>
      <c r="L205" s="7" t="n">
        <v>302.7</v>
      </c>
      <c r="N205" s="7" t="n">
        <v>426</v>
      </c>
      <c r="P205" s="7" t="n">
        <v>335</v>
      </c>
      <c r="R205" s="7" t="n">
        <v>435.4</v>
      </c>
      <c r="T205" s="7" t="n">
        <v>118.6</v>
      </c>
      <c r="V205" s="7" t="n">
        <v>686.6</v>
      </c>
      <c r="X205" s="7" t="n">
        <v>228.7</v>
      </c>
      <c r="Z205" s="7" t="n">
        <v>193.7</v>
      </c>
      <c r="AB205" s="7" t="n">
        <v>3100.3</v>
      </c>
    </row>
    <row r="206">
      <c r="A206" s="4" t="inlineStr">
        <is>
          <t>修理费</t>
        </is>
      </c>
      <c r="D206" s="7" t="n">
        <v>20.3</v>
      </c>
      <c r="F206" s="7" t="n">
        <v>9.199999999999999</v>
      </c>
      <c r="H206" s="7" t="n">
        <v>14.8</v>
      </c>
      <c r="J206" s="7" t="n">
        <v>31.7</v>
      </c>
      <c r="L206" s="7" t="n">
        <v>50.9</v>
      </c>
      <c r="N206" s="7" t="n">
        <v>60</v>
      </c>
      <c r="P206" s="7" t="n">
        <v>60.9</v>
      </c>
      <c r="R206" s="7" t="n">
        <v>131.4</v>
      </c>
      <c r="T206" s="7" t="n">
        <v>25.2</v>
      </c>
      <c r="V206" s="7" t="n">
        <v>115.4</v>
      </c>
      <c r="X206" s="7" t="n">
        <v>42.7</v>
      </c>
      <c r="Z206" s="7" t="n">
        <v>24.9</v>
      </c>
      <c r="AB206" s="7" t="n">
        <v>587.4</v>
      </c>
    </row>
    <row r="207">
      <c r="A207" s="4" t="inlineStr">
        <is>
          <t>车辆费</t>
        </is>
      </c>
      <c r="D207" s="7" t="n">
        <v>9.5</v>
      </c>
      <c r="F207" s="7" t="n">
        <v>4.3</v>
      </c>
      <c r="H207" s="7" t="n">
        <v>6.4</v>
      </c>
      <c r="J207" s="7" t="n">
        <v>14.2</v>
      </c>
      <c r="L207" s="7" t="n">
        <v>20.7</v>
      </c>
      <c r="N207" s="7" t="n">
        <v>40.7</v>
      </c>
      <c r="P207" s="7" t="n">
        <v>31.2</v>
      </c>
      <c r="R207" s="7" t="n">
        <v>45.7</v>
      </c>
      <c r="T207" s="7" t="n">
        <v>10.6</v>
      </c>
      <c r="V207" s="7" t="n">
        <v>45.7</v>
      </c>
      <c r="X207" s="7" t="n">
        <v>33.6</v>
      </c>
      <c r="Z207" s="7" t="n">
        <v>12.2</v>
      </c>
      <c r="AB207" s="7" t="n">
        <v>274.8</v>
      </c>
    </row>
    <row r="208">
      <c r="A208" s="4" t="inlineStr">
        <is>
          <t>租赁费</t>
        </is>
      </c>
      <c r="D208" s="7" t="n">
        <v>759.9</v>
      </c>
      <c r="F208" s="7" t="n">
        <v>439</v>
      </c>
      <c r="H208" s="7" t="n">
        <v>766.2</v>
      </c>
      <c r="J208" s="7" t="n">
        <v>1766.9</v>
      </c>
      <c r="L208" s="7" t="n">
        <v>1952.3</v>
      </c>
      <c r="N208" s="7" t="n">
        <v>3167</v>
      </c>
      <c r="P208" s="7" t="n">
        <v>2214</v>
      </c>
      <c r="R208" s="7" t="n">
        <v>5054.1</v>
      </c>
      <c r="T208" s="7" t="n">
        <v>1216.6</v>
      </c>
      <c r="V208" s="7" t="n">
        <v>4678.3</v>
      </c>
      <c r="X208" s="7" t="n">
        <v>3450.7</v>
      </c>
      <c r="Z208" s="7" t="n">
        <v>1288.5</v>
      </c>
      <c r="AB208" s="7" t="n">
        <v>26753.5</v>
      </c>
    </row>
    <row r="209">
      <c r="A209" s="4" t="inlineStr">
        <is>
          <t>能源费</t>
        </is>
      </c>
      <c r="D209" s="7" t="n">
        <v>180.7</v>
      </c>
      <c r="F209" s="7" t="n">
        <v>97.90000000000001</v>
      </c>
      <c r="H209" s="7" t="n">
        <v>174.8</v>
      </c>
      <c r="J209" s="7" t="n">
        <v>349.8</v>
      </c>
      <c r="L209" s="7" t="n">
        <v>529.8</v>
      </c>
      <c r="N209" s="7" t="n">
        <v>787.9</v>
      </c>
      <c r="P209" s="7" t="n">
        <v>574.4</v>
      </c>
      <c r="R209" s="7" t="n">
        <v>954.6</v>
      </c>
      <c r="T209" s="7" t="n">
        <v>239.4</v>
      </c>
      <c r="V209" s="7" t="n">
        <v>1367.1</v>
      </c>
      <c r="X209" s="7" t="n">
        <v>527.4</v>
      </c>
      <c r="Z209" s="7" t="n">
        <v>282.5</v>
      </c>
      <c r="AB209" s="7" t="n">
        <v>6066.3</v>
      </c>
    </row>
    <row r="210">
      <c r="A210" s="4" t="inlineStr">
        <is>
          <t>水费</t>
        </is>
      </c>
      <c r="D210" s="7" t="n">
        <v>60.4</v>
      </c>
      <c r="F210" s="7" t="n">
        <v>20.7</v>
      </c>
      <c r="H210" s="7" t="n">
        <v>36.9</v>
      </c>
      <c r="J210" s="7" t="n">
        <v>81.90000000000001</v>
      </c>
      <c r="L210" s="7" t="n">
        <v>129.2</v>
      </c>
      <c r="N210" s="7" t="n">
        <v>231.1</v>
      </c>
      <c r="P210" s="7" t="n">
        <v>218.7</v>
      </c>
      <c r="R210" s="7" t="n">
        <v>234.7</v>
      </c>
      <c r="T210" s="7" t="n">
        <v>64.90000000000001</v>
      </c>
      <c r="V210" s="7" t="n">
        <v>380.3</v>
      </c>
      <c r="X210" s="7" t="n">
        <v>125.8</v>
      </c>
      <c r="Z210" s="7" t="n">
        <v>114.4</v>
      </c>
      <c r="AB210" s="7" t="n">
        <v>1699</v>
      </c>
    </row>
    <row r="211">
      <c r="A211" s="4" t="inlineStr">
        <is>
          <t>电费</t>
        </is>
      </c>
      <c r="D211" s="7" t="n">
        <v>4.1</v>
      </c>
      <c r="F211" s="7" t="n">
        <v>1.7</v>
      </c>
      <c r="H211" s="7" t="n">
        <v>2.8</v>
      </c>
      <c r="J211" s="7" t="n">
        <v>7.4</v>
      </c>
      <c r="L211" s="7" t="n">
        <v>9.9</v>
      </c>
      <c r="N211" s="7" t="n">
        <v>10.6</v>
      </c>
      <c r="P211" s="7" t="n">
        <v>12.8</v>
      </c>
      <c r="R211" s="7" t="n">
        <v>30</v>
      </c>
      <c r="T211" s="7" t="n">
        <v>5.4</v>
      </c>
      <c r="V211" s="7" t="n">
        <v>26.4</v>
      </c>
      <c r="X211" s="7" t="n">
        <v>10.1</v>
      </c>
      <c r="Z211" s="7" t="n">
        <v>5.3</v>
      </c>
      <c r="AB211" s="7" t="n">
        <v>126.5</v>
      </c>
    </row>
    <row r="212">
      <c r="A212" s="4" t="inlineStr">
        <is>
          <t>燃气费</t>
        </is>
      </c>
      <c r="D212" s="7" t="n">
        <v>89.59999999999999</v>
      </c>
      <c r="F212" s="7" t="n">
        <v>63.9</v>
      </c>
      <c r="H212" s="7" t="n">
        <v>100.5</v>
      </c>
      <c r="J212" s="7" t="n">
        <v>196.6</v>
      </c>
      <c r="L212" s="7" t="n">
        <v>299</v>
      </c>
      <c r="N212" s="7" t="n">
        <v>451.3</v>
      </c>
      <c r="P212" s="7" t="n">
        <v>232.2</v>
      </c>
      <c r="R212" s="7" t="n">
        <v>465</v>
      </c>
      <c r="T212" s="7" t="n">
        <v>139.4</v>
      </c>
      <c r="V212" s="7" t="n">
        <v>805.8</v>
      </c>
      <c r="X212" s="7" t="n">
        <v>291.1</v>
      </c>
      <c r="Z212" s="7" t="n">
        <v>123.9</v>
      </c>
      <c r="AB212" s="7" t="n">
        <v>3258.3</v>
      </c>
    </row>
    <row r="213">
      <c r="A213" s="4" t="inlineStr">
        <is>
          <t>蒸汽费</t>
        </is>
      </c>
      <c r="D213" s="7" t="n">
        <v>26.6</v>
      </c>
      <c r="F213" s="7" t="n">
        <v>11.6</v>
      </c>
      <c r="H213" s="7" t="n">
        <v>34.6</v>
      </c>
      <c r="J213" s="7" t="n">
        <v>63.9</v>
      </c>
      <c r="L213" s="7" t="n">
        <v>91.7</v>
      </c>
      <c r="N213" s="7" t="n">
        <v>94.90000000000001</v>
      </c>
      <c r="P213" s="7" t="n">
        <v>110.7</v>
      </c>
      <c r="R213" s="7" t="n">
        <v>224.9</v>
      </c>
      <c r="T213" s="7" t="n">
        <v>29.7</v>
      </c>
      <c r="V213" s="7" t="n">
        <v>154.6</v>
      </c>
      <c r="X213" s="7" t="n">
        <v>100.4</v>
      </c>
      <c r="Z213" s="7" t="n">
        <v>38.9</v>
      </c>
      <c r="AB213" s="7" t="n">
        <v>982.5</v>
      </c>
    </row>
    <row r="214">
      <c r="A214" s="4" t="inlineStr">
        <is>
          <t>物业费</t>
        </is>
      </c>
      <c r="D214" s="7" t="n">
        <v>34.7</v>
      </c>
      <c r="F214" s="7" t="n">
        <v>22.3</v>
      </c>
      <c r="H214" s="7" t="n">
        <v>41.4</v>
      </c>
      <c r="J214" s="7" t="n">
        <v>56</v>
      </c>
      <c r="L214" s="7" t="n">
        <v>120.5</v>
      </c>
      <c r="N214" s="7" t="n">
        <v>182.2</v>
      </c>
      <c r="P214" s="7" t="n">
        <v>143.3</v>
      </c>
      <c r="R214" s="7" t="n">
        <v>253.6</v>
      </c>
      <c r="T214" s="7" t="n">
        <v>43.2</v>
      </c>
      <c r="V214" s="7" t="n">
        <v>312.7</v>
      </c>
      <c r="X214" s="7" t="n">
        <v>144.9</v>
      </c>
      <c r="Z214" s="7" t="n">
        <v>72</v>
      </c>
      <c r="AB214" s="7" t="n">
        <v>1426.8</v>
      </c>
    </row>
    <row r="215">
      <c r="A215" s="4" t="inlineStr">
        <is>
          <t>劳动保护费</t>
        </is>
      </c>
      <c r="D215" s="7" t="n">
        <v>23.6</v>
      </c>
      <c r="F215" s="7" t="n">
        <v>9.199999999999999</v>
      </c>
      <c r="H215" s="7" t="n">
        <v>15.3</v>
      </c>
      <c r="J215" s="7" t="n">
        <v>40.7</v>
      </c>
      <c r="L215" s="7" t="n">
        <v>50.8</v>
      </c>
      <c r="N215" s="7" t="n">
        <v>57.5</v>
      </c>
      <c r="P215" s="7" t="n">
        <v>83.09999999999999</v>
      </c>
      <c r="R215" s="7" t="n">
        <v>124.9</v>
      </c>
      <c r="T215" s="7" t="n">
        <v>19.3</v>
      </c>
      <c r="V215" s="7" t="n">
        <v>135.1</v>
      </c>
      <c r="X215" s="7" t="n">
        <v>77.09999999999999</v>
      </c>
      <c r="Z215" s="7" t="n">
        <v>43.6</v>
      </c>
      <c r="AB215" s="7" t="n">
        <v>680.2</v>
      </c>
    </row>
    <row r="216">
      <c r="A216" s="4" t="inlineStr">
        <is>
          <t>顾问费</t>
        </is>
      </c>
      <c r="D216" s="7" t="n">
        <v>3.8</v>
      </c>
      <c r="F216" s="7" t="n">
        <v>1.2</v>
      </c>
      <c r="H216" s="7" t="n">
        <v>3.2</v>
      </c>
      <c r="J216" s="7" t="n">
        <v>6</v>
      </c>
      <c r="L216" s="7" t="n">
        <v>6.8</v>
      </c>
      <c r="N216" s="7" t="n">
        <v>10.4</v>
      </c>
      <c r="P216" s="7" t="n">
        <v>6.8</v>
      </c>
      <c r="R216" s="7" t="n">
        <v>12.3</v>
      </c>
      <c r="T216" s="7" t="n">
        <v>2.6</v>
      </c>
      <c r="V216" s="7" t="n">
        <v>19.3</v>
      </c>
      <c r="X216" s="7" t="n">
        <v>6.6</v>
      </c>
      <c r="Z216" s="7" t="n">
        <v>6.6</v>
      </c>
      <c r="AB216" s="7" t="n">
        <v>85.59999999999999</v>
      </c>
    </row>
    <row r="217">
      <c r="A217" s="4" t="inlineStr">
        <is>
          <t>快递费</t>
        </is>
      </c>
      <c r="D217" s="7" t="n">
        <v>82.3</v>
      </c>
      <c r="F217" s="7" t="n">
        <v>25.1</v>
      </c>
      <c r="H217" s="7" t="n">
        <v>66.59999999999999</v>
      </c>
      <c r="J217" s="7" t="n">
        <v>114.6</v>
      </c>
      <c r="L217" s="7" t="n">
        <v>156.4</v>
      </c>
      <c r="N217" s="7" t="n">
        <v>261.4</v>
      </c>
      <c r="P217" s="7" t="n">
        <v>172.1</v>
      </c>
      <c r="R217" s="7" t="n">
        <v>403.1</v>
      </c>
      <c r="T217" s="7" t="n">
        <v>78.40000000000001</v>
      </c>
      <c r="V217" s="7" t="n">
        <v>389.6</v>
      </c>
      <c r="X217" s="7" t="n">
        <v>190.4</v>
      </c>
      <c r="Z217" s="7" t="n">
        <v>109.8</v>
      </c>
      <c r="AB217" s="7" t="n">
        <v>2049.8</v>
      </c>
    </row>
    <row r="218">
      <c r="A218" s="4" t="inlineStr">
        <is>
          <t>诉讼费</t>
        </is>
      </c>
      <c r="D218" s="7" t="n">
        <v>138.4</v>
      </c>
      <c r="F218" s="7" t="n">
        <v>60.1</v>
      </c>
      <c r="H218" s="7" t="n">
        <v>71.5</v>
      </c>
      <c r="J218" s="7" t="n">
        <v>179.1</v>
      </c>
      <c r="L218" s="7" t="n">
        <v>352.7</v>
      </c>
      <c r="N218" s="7" t="n">
        <v>461.3</v>
      </c>
      <c r="P218" s="7" t="n">
        <v>323.2</v>
      </c>
      <c r="R218" s="7" t="n">
        <v>534.1</v>
      </c>
      <c r="T218" s="7" t="n">
        <v>122.3</v>
      </c>
      <c r="V218" s="7" t="n">
        <v>480.2</v>
      </c>
      <c r="X218" s="7" t="n">
        <v>362.7</v>
      </c>
      <c r="Z218" s="7" t="n">
        <v>180.8</v>
      </c>
      <c r="AB218" s="7" t="n">
        <v>3266.4</v>
      </c>
    </row>
    <row r="219">
      <c r="A219" s="4" t="inlineStr">
        <is>
          <t>会员费</t>
        </is>
      </c>
      <c r="D219" s="7" t="n">
        <v>103.3</v>
      </c>
      <c r="F219" s="7" t="n">
        <v>52.4</v>
      </c>
      <c r="H219" s="7" t="n">
        <v>52.7</v>
      </c>
      <c r="J219" s="7" t="n">
        <v>98.5</v>
      </c>
      <c r="L219" s="7" t="n">
        <v>177.6</v>
      </c>
      <c r="N219" s="7" t="n">
        <v>334.8</v>
      </c>
      <c r="P219" s="7" t="n">
        <v>188.2</v>
      </c>
      <c r="R219" s="7" t="n">
        <v>446.2</v>
      </c>
      <c r="T219" s="7" t="n">
        <v>68.2</v>
      </c>
      <c r="V219" s="7" t="n">
        <v>473.9</v>
      </c>
      <c r="X219" s="7" t="n">
        <v>269.6</v>
      </c>
      <c r="Z219" s="7" t="n">
        <v>162.7</v>
      </c>
      <c r="AB219" s="7" t="n">
        <v>2428.1</v>
      </c>
    </row>
    <row r="220">
      <c r="A220" s="4" t="inlineStr">
        <is>
          <t>广告宣传费</t>
        </is>
      </c>
      <c r="D220" s="7" t="n">
        <v>704.5</v>
      </c>
      <c r="F220" s="7" t="n">
        <v>329</v>
      </c>
      <c r="H220" s="7" t="n">
        <v>606.6</v>
      </c>
      <c r="J220" s="7" t="n">
        <v>782.3</v>
      </c>
      <c r="L220" s="7" t="n">
        <v>1504.4</v>
      </c>
      <c r="N220" s="7" t="n">
        <v>2195.9</v>
      </c>
      <c r="P220" s="7" t="n">
        <v>1306.8</v>
      </c>
      <c r="R220" s="7" t="n">
        <v>2641.4</v>
      </c>
      <c r="T220" s="7" t="n">
        <v>585.5</v>
      </c>
      <c r="V220" s="7" t="n">
        <v>2934.3</v>
      </c>
      <c r="X220" s="7" t="n">
        <v>1682.2</v>
      </c>
      <c r="Z220" s="7" t="n">
        <v>983.3</v>
      </c>
      <c r="AB220" s="7" t="n">
        <v>16256.2</v>
      </c>
    </row>
    <row r="221">
      <c r="A221" s="4" t="inlineStr">
        <is>
          <t>会务费</t>
        </is>
      </c>
      <c r="D221" s="7" t="n">
        <v>41.9</v>
      </c>
      <c r="F221" s="7" t="n">
        <v>12.1</v>
      </c>
      <c r="H221" s="7" t="n">
        <v>22.5</v>
      </c>
      <c r="J221" s="7" t="n">
        <v>47</v>
      </c>
      <c r="L221" s="7" t="n">
        <v>106.8</v>
      </c>
      <c r="N221" s="7" t="n">
        <v>107.9</v>
      </c>
      <c r="P221" s="7" t="n">
        <v>86</v>
      </c>
      <c r="R221" s="7" t="n">
        <v>155</v>
      </c>
      <c r="T221" s="7" t="n">
        <v>43.6</v>
      </c>
      <c r="V221" s="7" t="n">
        <v>146</v>
      </c>
      <c r="X221" s="7" t="n">
        <v>71.8</v>
      </c>
      <c r="Z221" s="7" t="n">
        <v>46.2</v>
      </c>
      <c r="AB221" s="7" t="n">
        <v>886.8</v>
      </c>
    </row>
    <row r="222">
      <c r="A222" s="4" t="inlineStr">
        <is>
          <t>装修费</t>
        </is>
      </c>
      <c r="D222" s="7" t="n">
        <v>90.40000000000001</v>
      </c>
      <c r="F222" s="7" t="n">
        <v>58.2</v>
      </c>
      <c r="H222" s="7" t="n">
        <v>61.5</v>
      </c>
      <c r="J222" s="7" t="n">
        <v>109.8</v>
      </c>
      <c r="L222" s="7" t="n">
        <v>285.1</v>
      </c>
      <c r="N222" s="7" t="n">
        <v>219.7</v>
      </c>
      <c r="P222" s="7" t="n">
        <v>225.5</v>
      </c>
      <c r="R222" s="7" t="n">
        <v>435.7</v>
      </c>
      <c r="T222" s="7" t="n">
        <v>78.2</v>
      </c>
      <c r="V222" s="7" t="n">
        <v>404.4</v>
      </c>
      <c r="X222" s="7" t="n">
        <v>270</v>
      </c>
      <c r="Z222" s="7" t="n">
        <v>134.9</v>
      </c>
      <c r="AB222" s="7" t="n">
        <v>2373.4</v>
      </c>
    </row>
    <row r="223">
      <c r="A223" s="4" t="inlineStr">
        <is>
          <t>推广费</t>
        </is>
      </c>
      <c r="D223" s="7" t="n">
        <v>40.2</v>
      </c>
      <c r="F223" s="7" t="n">
        <v>17</v>
      </c>
      <c r="H223" s="7" t="n">
        <v>25.8</v>
      </c>
      <c r="J223" s="7" t="n">
        <v>46.6</v>
      </c>
      <c r="L223" s="7" t="n">
        <v>63.3</v>
      </c>
      <c r="N223" s="7" t="n">
        <v>124.2</v>
      </c>
      <c r="P223" s="7" t="n">
        <v>111.9</v>
      </c>
      <c r="R223" s="7" t="n">
        <v>240.1</v>
      </c>
      <c r="T223" s="7" t="n">
        <v>54.2</v>
      </c>
      <c r="V223" s="7" t="n">
        <v>172.5</v>
      </c>
      <c r="X223" s="7" t="n">
        <v>80.8</v>
      </c>
      <c r="Z223" s="7" t="n">
        <v>73.5</v>
      </c>
      <c r="AB223" s="7" t="n">
        <v>1050.1</v>
      </c>
    </row>
    <row r="224">
      <c r="A224" s="4" t="inlineStr">
        <is>
          <t>展会费</t>
        </is>
      </c>
      <c r="D224" s="7" t="n">
        <v>3.6</v>
      </c>
      <c r="F224" s="7" t="n">
        <v>1.7</v>
      </c>
      <c r="H224" s="7" t="n">
        <v>2.3</v>
      </c>
      <c r="J224" s="7" t="n">
        <v>5.6</v>
      </c>
      <c r="L224" s="7" t="n">
        <v>7.7</v>
      </c>
      <c r="N224" s="7" t="n">
        <v>11.6</v>
      </c>
      <c r="P224" s="7" t="n">
        <v>6.7</v>
      </c>
      <c r="R224" s="7" t="n">
        <v>16.3</v>
      </c>
      <c r="T224" s="7" t="n">
        <v>4.2</v>
      </c>
      <c r="V224" s="7" t="n">
        <v>20.3</v>
      </c>
      <c r="X224" s="7" t="n">
        <v>8.699999999999999</v>
      </c>
      <c r="Z224" s="7" t="n">
        <v>5</v>
      </c>
      <c r="AB224" s="7" t="n">
        <v>93.7</v>
      </c>
    </row>
    <row r="225">
      <c r="A225" s="4" t="inlineStr">
        <is>
          <t>设计费</t>
        </is>
      </c>
      <c r="D225" s="7" t="n">
        <v>107.4</v>
      </c>
      <c r="F225" s="7" t="n">
        <v>54.8</v>
      </c>
      <c r="H225" s="7" t="n">
        <v>86.8</v>
      </c>
      <c r="J225" s="7" t="n">
        <v>150.3</v>
      </c>
      <c r="L225" s="7" t="n">
        <v>244.8</v>
      </c>
      <c r="N225" s="7" t="n">
        <v>371.7</v>
      </c>
      <c r="P225" s="7" t="n">
        <v>250.3</v>
      </c>
      <c r="R225" s="7" t="n">
        <v>705.6</v>
      </c>
      <c r="T225" s="7" t="n">
        <v>140.4</v>
      </c>
      <c r="V225" s="7" t="n">
        <v>748.9</v>
      </c>
      <c r="X225" s="7" t="n">
        <v>338.7</v>
      </c>
      <c r="Z225" s="7" t="n">
        <v>170</v>
      </c>
      <c r="AB225" s="7" t="n">
        <v>3369.7</v>
      </c>
    </row>
    <row r="226">
      <c r="A226" s="4" t="inlineStr">
        <is>
          <t>折旧费</t>
        </is>
      </c>
      <c r="D226" s="7" t="n">
        <v>736.5</v>
      </c>
      <c r="F226" s="7" t="n">
        <v>322.9</v>
      </c>
      <c r="H226" s="7" t="n">
        <v>541.4</v>
      </c>
      <c r="J226" s="7" t="n">
        <v>928</v>
      </c>
      <c r="L226" s="7" t="n">
        <v>2360.1</v>
      </c>
      <c r="N226" s="7" t="n">
        <v>3060</v>
      </c>
      <c r="P226" s="7" t="n">
        <v>2879.1</v>
      </c>
      <c r="R226" s="7" t="n">
        <v>4342</v>
      </c>
      <c r="T226" s="7" t="n">
        <v>968</v>
      </c>
      <c r="V226" s="7" t="n">
        <v>3964.5</v>
      </c>
      <c r="X226" s="7" t="n">
        <v>1689</v>
      </c>
      <c r="Z226" s="7" t="n">
        <v>988.1</v>
      </c>
      <c r="AB226" s="7" t="n">
        <v>22779.6</v>
      </c>
    </row>
    <row r="227">
      <c r="A227" s="4" t="inlineStr">
        <is>
          <t>认证费</t>
        </is>
      </c>
      <c r="D227" s="7" t="n">
        <v>129.8</v>
      </c>
      <c r="F227" s="7" t="n">
        <v>38.8</v>
      </c>
      <c r="H227" s="7" t="n">
        <v>66.3</v>
      </c>
      <c r="J227" s="7" t="n">
        <v>213.8</v>
      </c>
      <c r="L227" s="7" t="n">
        <v>229.8</v>
      </c>
      <c r="N227" s="7" t="n">
        <v>386.4</v>
      </c>
      <c r="P227" s="7" t="n">
        <v>317.3</v>
      </c>
      <c r="R227" s="7" t="n">
        <v>542.9</v>
      </c>
      <c r="T227" s="7" t="n">
        <v>102.1</v>
      </c>
      <c r="V227" s="7" t="n">
        <v>639.4</v>
      </c>
      <c r="X227" s="7" t="n">
        <v>346.4</v>
      </c>
      <c r="Z227" s="7" t="n">
        <v>228</v>
      </c>
      <c r="AB227" s="7" t="n">
        <v>3241</v>
      </c>
    </row>
    <row r="228">
      <c r="A228" s="4" t="inlineStr">
        <is>
          <t>样品费</t>
        </is>
      </c>
      <c r="D228" s="7" t="n">
        <v>330</v>
      </c>
      <c r="F228" s="7" t="n">
        <v>242.5</v>
      </c>
      <c r="H228" s="7" t="n">
        <v>260</v>
      </c>
      <c r="J228" s="7" t="n">
        <v>543.7</v>
      </c>
      <c r="L228" s="7" t="n">
        <v>1138.5</v>
      </c>
      <c r="N228" s="7" t="n">
        <v>909.6</v>
      </c>
      <c r="P228" s="7" t="n">
        <v>1029.4</v>
      </c>
      <c r="R228" s="7" t="n">
        <v>1924.3</v>
      </c>
      <c r="T228" s="7" t="n">
        <v>367.6</v>
      </c>
      <c r="V228" s="7" t="n">
        <v>2211.6</v>
      </c>
      <c r="X228" s="7" t="n">
        <v>786.2</v>
      </c>
      <c r="Z228" s="7" t="n">
        <v>582</v>
      </c>
      <c r="AB228" s="7" t="n">
        <v>10325.4</v>
      </c>
    </row>
    <row r="229">
      <c r="A229" s="4" t="inlineStr">
        <is>
          <t>劳务费</t>
        </is>
      </c>
      <c r="D229" s="7" t="n">
        <v>122.7</v>
      </c>
      <c r="F229" s="7" t="n">
        <v>49.7</v>
      </c>
      <c r="H229" s="7" t="n">
        <v>103.7</v>
      </c>
      <c r="J229" s="7" t="n">
        <v>220.6</v>
      </c>
      <c r="L229" s="7" t="n">
        <v>354.9</v>
      </c>
      <c r="N229" s="7" t="n">
        <v>381.6</v>
      </c>
      <c r="P229" s="7" t="n">
        <v>273.7</v>
      </c>
      <c r="R229" s="7" t="n">
        <v>487.3</v>
      </c>
      <c r="T229" s="7" t="n">
        <v>99.09999999999999</v>
      </c>
      <c r="V229" s="7" t="n">
        <v>565</v>
      </c>
      <c r="X229" s="7" t="n">
        <v>416.2</v>
      </c>
      <c r="Z229" s="7" t="n">
        <v>228.3</v>
      </c>
      <c r="AB229" s="7" t="n">
        <v>3302.8</v>
      </c>
    </row>
    <row r="230">
      <c r="A230" s="4" t="inlineStr">
        <is>
          <t>销售佣金</t>
        </is>
      </c>
      <c r="D230" s="7" t="n">
        <v>111.3</v>
      </c>
      <c r="F230" s="7" t="n">
        <v>51.3</v>
      </c>
      <c r="H230" s="7" t="n">
        <v>64.09999999999999</v>
      </c>
      <c r="J230" s="7" t="n">
        <v>169.4</v>
      </c>
      <c r="L230" s="7" t="n">
        <v>313.3</v>
      </c>
      <c r="N230" s="7" t="n">
        <v>372.9</v>
      </c>
      <c r="P230" s="7" t="n">
        <v>300.3</v>
      </c>
      <c r="R230" s="7" t="n">
        <v>604.6</v>
      </c>
      <c r="T230" s="7" t="n">
        <v>134.3</v>
      </c>
      <c r="V230" s="7" t="n">
        <v>793.9</v>
      </c>
      <c r="X230" s="7" t="n">
        <v>229.6</v>
      </c>
      <c r="Z230" s="7" t="n">
        <v>213.7</v>
      </c>
      <c r="AB230" s="7" t="n">
        <v>3358.7</v>
      </c>
    </row>
    <row r="231">
      <c r="A231" s="4" t="inlineStr">
        <is>
          <t>检测费</t>
        </is>
      </c>
      <c r="D231" s="7" t="n">
        <v>17.5</v>
      </c>
      <c r="F231" s="7" t="n">
        <v>8.699999999999999</v>
      </c>
      <c r="H231" s="7" t="n">
        <v>10.9</v>
      </c>
      <c r="J231" s="7" t="n">
        <v>25.1</v>
      </c>
      <c r="L231" s="7" t="n">
        <v>38.9</v>
      </c>
      <c r="N231" s="7" t="n">
        <v>46.4</v>
      </c>
      <c r="P231" s="7" t="n">
        <v>43.3</v>
      </c>
      <c r="R231" s="7" t="n">
        <v>123.9</v>
      </c>
      <c r="T231" s="7" t="n">
        <v>21.8</v>
      </c>
      <c r="V231" s="7" t="n">
        <v>87.8</v>
      </c>
      <c r="X231" s="7" t="n">
        <v>44.8</v>
      </c>
      <c r="Z231" s="7" t="n">
        <v>38.2</v>
      </c>
      <c r="AB231" s="7" t="n">
        <v>507.3</v>
      </c>
    </row>
    <row r="232">
      <c r="A232" s="4" t="inlineStr">
        <is>
          <t>质量赔偿</t>
        </is>
      </c>
      <c r="D232" s="7" t="n">
        <v>35.2</v>
      </c>
      <c r="F232" s="7" t="n">
        <v>9.800000000000001</v>
      </c>
      <c r="H232" s="7" t="n">
        <v>20.4</v>
      </c>
      <c r="J232" s="7" t="n">
        <v>36.8</v>
      </c>
      <c r="L232" s="7" t="n">
        <v>52</v>
      </c>
      <c r="N232" s="7" t="n">
        <v>109</v>
      </c>
      <c r="P232" s="7" t="n">
        <v>103.8</v>
      </c>
      <c r="R232" s="7" t="n">
        <v>161.7</v>
      </c>
      <c r="T232" s="7" t="n">
        <v>28.6</v>
      </c>
      <c r="V232" s="7" t="n">
        <v>175.1</v>
      </c>
      <c r="X232" s="7" t="n">
        <v>88.7</v>
      </c>
      <c r="Z232" s="7" t="n">
        <v>60</v>
      </c>
      <c r="AB232" s="7" t="n">
        <v>881.1</v>
      </c>
    </row>
    <row r="233">
      <c r="A233" s="4" t="inlineStr">
        <is>
          <t>保险费</t>
        </is>
      </c>
      <c r="D233" s="7" t="n">
        <v>90</v>
      </c>
      <c r="F233" s="7" t="n">
        <v>50</v>
      </c>
      <c r="H233" s="7" t="n">
        <v>59.8</v>
      </c>
      <c r="J233" s="7" t="n">
        <v>93</v>
      </c>
      <c r="L233" s="7" t="n">
        <v>213.3</v>
      </c>
      <c r="N233" s="7" t="n">
        <v>327.3</v>
      </c>
      <c r="P233" s="7" t="n">
        <v>177.6</v>
      </c>
      <c r="R233" s="7" t="n">
        <v>318.7</v>
      </c>
      <c r="T233" s="7" t="n">
        <v>87.90000000000001</v>
      </c>
      <c r="V233" s="7" t="n">
        <v>386.4</v>
      </c>
      <c r="X233" s="7" t="n">
        <v>165.4</v>
      </c>
      <c r="Z233" s="7" t="n">
        <v>128.3</v>
      </c>
      <c r="AB233" s="7" t="n">
        <v>2097.7</v>
      </c>
    </row>
    <row r="234">
      <c r="A234" s="4" t="inlineStr">
        <is>
          <t>清洁费</t>
        </is>
      </c>
      <c r="D234" s="7" t="n">
        <v>2.2</v>
      </c>
      <c r="F234" s="7" t="n">
        <v>1.5</v>
      </c>
      <c r="H234" s="7" t="n">
        <v>2.5</v>
      </c>
      <c r="J234" s="7" t="n">
        <v>4.8</v>
      </c>
      <c r="L234" s="7" t="n">
        <v>5.2</v>
      </c>
      <c r="N234" s="7" t="n">
        <v>11.3</v>
      </c>
      <c r="P234" s="7" t="n">
        <v>9.9</v>
      </c>
      <c r="R234" s="7" t="n">
        <v>13.4</v>
      </c>
      <c r="T234" s="7" t="n">
        <v>4.3</v>
      </c>
      <c r="V234" s="7" t="n">
        <v>14</v>
      </c>
      <c r="X234" s="7" t="n">
        <v>9.6</v>
      </c>
      <c r="Z234" s="7" t="n">
        <v>6.3</v>
      </c>
      <c r="AB234" s="7" t="n">
        <v>85</v>
      </c>
    </row>
    <row r="235">
      <c r="A235" s="4" t="inlineStr">
        <is>
          <t>低值易耗品</t>
        </is>
      </c>
      <c r="D235" s="7" t="n">
        <v>47.5</v>
      </c>
      <c r="F235" s="7" t="n">
        <v>20.5</v>
      </c>
      <c r="H235" s="7" t="n">
        <v>48.9</v>
      </c>
      <c r="J235" s="7" t="n">
        <v>76.40000000000001</v>
      </c>
      <c r="L235" s="7" t="n">
        <v>134.5</v>
      </c>
      <c r="N235" s="7" t="n">
        <v>166.6</v>
      </c>
      <c r="P235" s="7" t="n">
        <v>156.9</v>
      </c>
      <c r="R235" s="7" t="n">
        <v>288.6</v>
      </c>
      <c r="T235" s="7" t="n">
        <v>70.3</v>
      </c>
      <c r="V235" s="7" t="n">
        <v>272.8</v>
      </c>
      <c r="X235" s="7" t="n">
        <v>182.4</v>
      </c>
      <c r="Z235" s="7" t="n">
        <v>112.7</v>
      </c>
      <c r="AB235" s="7" t="n">
        <v>1578.1</v>
      </c>
    </row>
    <row r="236">
      <c r="A236" s="4" t="inlineStr">
        <is>
          <t>物料消耗</t>
        </is>
      </c>
      <c r="D236" s="7" t="n">
        <v>128.6</v>
      </c>
      <c r="F236" s="7" t="n">
        <v>50.2</v>
      </c>
      <c r="H236" s="7" t="n">
        <v>108.7</v>
      </c>
      <c r="J236" s="7" t="n">
        <v>244</v>
      </c>
      <c r="L236" s="7" t="n">
        <v>249.2</v>
      </c>
      <c r="N236" s="7" t="n">
        <v>310.7</v>
      </c>
      <c r="P236" s="7" t="n">
        <v>264.2</v>
      </c>
      <c r="R236" s="7" t="n">
        <v>621.1</v>
      </c>
      <c r="T236" s="7" t="n">
        <v>168.7</v>
      </c>
      <c r="V236" s="7" t="n">
        <v>846.6</v>
      </c>
      <c r="X236" s="7" t="n">
        <v>288.6</v>
      </c>
      <c r="Z236" s="7" t="n">
        <v>233.3</v>
      </c>
      <c r="AB236" s="7" t="n">
        <v>3513.9</v>
      </c>
    </row>
    <row r="237">
      <c r="A237" s="4" t="inlineStr">
        <is>
          <t>盘盈盘亏</t>
        </is>
      </c>
      <c r="D237" s="7" t="n">
        <v>3.3</v>
      </c>
      <c r="F237" s="7" t="n">
        <v>1.4</v>
      </c>
      <c r="H237" s="7" t="n">
        <v>1.9</v>
      </c>
      <c r="J237" s="7" t="n">
        <v>5.2</v>
      </c>
      <c r="L237" s="7" t="n">
        <v>8.9</v>
      </c>
      <c r="N237" s="7" t="n">
        <v>11.4</v>
      </c>
      <c r="P237" s="7" t="n">
        <v>7.6</v>
      </c>
      <c r="R237" s="7" t="n">
        <v>20.2</v>
      </c>
      <c r="T237" s="7" t="n">
        <v>3.6</v>
      </c>
      <c r="V237" s="7" t="n">
        <v>15.2</v>
      </c>
      <c r="X237" s="7" t="n">
        <v>7.6</v>
      </c>
      <c r="Z237" s="7" t="n">
        <v>5.6</v>
      </c>
      <c r="AB237" s="7" t="n">
        <v>91.90000000000001</v>
      </c>
    </row>
    <row r="238">
      <c r="A238" s="4" t="inlineStr">
        <is>
          <t>平台服务费</t>
        </is>
      </c>
      <c r="D238" s="7" t="n">
        <v>51.3</v>
      </c>
      <c r="F238" s="7" t="n">
        <v>24.7</v>
      </c>
      <c r="H238" s="7" t="n">
        <v>35.4</v>
      </c>
      <c r="J238" s="7" t="n">
        <v>111.1</v>
      </c>
      <c r="L238" s="7" t="n">
        <v>150.4</v>
      </c>
      <c r="N238" s="7" t="n">
        <v>204.5</v>
      </c>
      <c r="P238" s="7" t="n">
        <v>120.3</v>
      </c>
      <c r="R238" s="7" t="n">
        <v>290.2</v>
      </c>
      <c r="T238" s="7" t="n">
        <v>76.59999999999999</v>
      </c>
      <c r="V238" s="7" t="n">
        <v>302.3</v>
      </c>
      <c r="X238" s="7" t="n">
        <v>195.7</v>
      </c>
      <c r="Z238" s="7" t="n">
        <v>90.59999999999999</v>
      </c>
      <c r="AB238" s="7" t="n">
        <v>1653.1</v>
      </c>
    </row>
    <row r="239">
      <c r="A239" s="4" t="inlineStr">
        <is>
          <t>无形资产摊销</t>
        </is>
      </c>
      <c r="D239" s="7" t="n">
        <v>116.2</v>
      </c>
      <c r="F239" s="7" t="n">
        <v>48.9</v>
      </c>
      <c r="H239" s="7" t="n">
        <v>80.90000000000001</v>
      </c>
      <c r="J239" s="7" t="n">
        <v>197.5</v>
      </c>
      <c r="L239" s="7" t="n">
        <v>246</v>
      </c>
      <c r="N239" s="7" t="n">
        <v>282.8</v>
      </c>
      <c r="P239" s="7" t="n">
        <v>242.4</v>
      </c>
      <c r="R239" s="7" t="n">
        <v>771.1</v>
      </c>
      <c r="T239" s="7" t="n">
        <v>154.2</v>
      </c>
      <c r="V239" s="7" t="n">
        <v>695.5</v>
      </c>
      <c r="X239" s="7" t="n">
        <v>293.6</v>
      </c>
      <c r="Z239" s="7" t="n">
        <v>235.1</v>
      </c>
      <c r="AB239" s="7" t="n">
        <v>3364.2</v>
      </c>
    </row>
    <row r="240">
      <c r="A240" s="4" t="inlineStr">
        <is>
          <t>研发材料</t>
        </is>
      </c>
      <c r="D240" s="7" t="n">
        <v>100.5</v>
      </c>
      <c r="F240" s="7" t="n">
        <v>64.09999999999999</v>
      </c>
      <c r="H240" s="7" t="n">
        <v>77</v>
      </c>
      <c r="J240" s="7" t="n">
        <v>190.7</v>
      </c>
      <c r="L240" s="7" t="n">
        <v>259</v>
      </c>
      <c r="N240" s="7" t="n">
        <v>430.5</v>
      </c>
      <c r="P240" s="7" t="n">
        <v>344</v>
      </c>
      <c r="R240" s="7" t="n">
        <v>629.4</v>
      </c>
      <c r="T240" s="7" t="n">
        <v>131.9</v>
      </c>
      <c r="V240" s="7" t="n">
        <v>598</v>
      </c>
      <c r="X240" s="7" t="n">
        <v>220.9</v>
      </c>
      <c r="Z240" s="7" t="n">
        <v>234</v>
      </c>
      <c r="AB240" s="7" t="n">
        <v>3280</v>
      </c>
    </row>
    <row r="241">
      <c r="A241" s="4" t="inlineStr">
        <is>
          <t>项目名称</t>
        </is>
      </c>
      <c r="D241" s="7" t="n">
        <v>13.4</v>
      </c>
      <c r="F241" s="7" t="n">
        <v>6.7</v>
      </c>
      <c r="H241" s="7" t="n">
        <v>11.3</v>
      </c>
      <c r="J241" s="7" t="n">
        <v>20</v>
      </c>
      <c r="L241" s="7" t="n">
        <v>26.5</v>
      </c>
      <c r="N241" s="7" t="n">
        <v>38.6</v>
      </c>
      <c r="P241" s="7" t="n">
        <v>48.8</v>
      </c>
      <c r="R241" s="7" t="n">
        <v>91.09999999999999</v>
      </c>
      <c r="T241" s="7" t="n">
        <v>13.8</v>
      </c>
      <c r="V241" s="7" t="n">
        <v>73.7</v>
      </c>
      <c r="X241" s="7" t="n">
        <v>37.2</v>
      </c>
      <c r="Z241" s="7" t="n">
        <v>26.6</v>
      </c>
      <c r="AB241" s="7" t="n">
        <v>407.7</v>
      </c>
    </row>
    <row r="242">
      <c r="A242" s="4" t="inlineStr">
        <is>
          <t>研发费</t>
        </is>
      </c>
      <c r="D242" s="7" t="n">
        <v>36.6</v>
      </c>
      <c r="F242" s="7" t="n">
        <v>18</v>
      </c>
      <c r="H242" s="7" t="n">
        <v>29.8</v>
      </c>
      <c r="J242" s="7" t="n">
        <v>92.59999999999999</v>
      </c>
      <c r="L242" s="7" t="n">
        <v>112.2</v>
      </c>
      <c r="N242" s="7" t="n">
        <v>135.9</v>
      </c>
      <c r="P242" s="7" t="n">
        <v>159</v>
      </c>
      <c r="R242" s="7" t="n">
        <v>243.9</v>
      </c>
      <c r="T242" s="7" t="n">
        <v>49.4</v>
      </c>
      <c r="V242" s="7" t="n">
        <v>302.5</v>
      </c>
      <c r="X242" s="7" t="n">
        <v>109.1</v>
      </c>
      <c r="Z242" s="7" t="n">
        <v>103.7</v>
      </c>
      <c r="AB242" s="7" t="n">
        <v>1392.7</v>
      </c>
    </row>
    <row r="243">
      <c r="A243" s="4" t="inlineStr">
        <is>
          <t>残保金</t>
        </is>
      </c>
      <c r="D243" s="7" t="n">
        <v>69.8</v>
      </c>
      <c r="F243" s="7" t="n">
        <v>35.6</v>
      </c>
      <c r="H243" s="7" t="n">
        <v>82.40000000000001</v>
      </c>
      <c r="J243" s="7" t="n">
        <v>159.4</v>
      </c>
      <c r="L243" s="7" t="n">
        <v>155</v>
      </c>
      <c r="N243" s="7" t="n">
        <v>313.4</v>
      </c>
      <c r="P243" s="7" t="n">
        <v>241.7</v>
      </c>
      <c r="R243" s="7" t="n">
        <v>380.5</v>
      </c>
      <c r="T243" s="7" t="n">
        <v>97.09999999999999</v>
      </c>
      <c r="V243" s="7" t="n">
        <v>514.4</v>
      </c>
      <c r="X243" s="7" t="n">
        <v>231.7</v>
      </c>
      <c r="Z243" s="7" t="n">
        <v>98.90000000000001</v>
      </c>
      <c r="AB243" s="7" t="n">
        <v>2379.9</v>
      </c>
    </row>
    <row r="244">
      <c r="A244" s="4" t="inlineStr">
        <is>
          <t>环保费</t>
        </is>
      </c>
      <c r="D244" s="7" t="n">
        <v>68.7</v>
      </c>
      <c r="F244" s="7" t="n">
        <v>34.6</v>
      </c>
      <c r="H244" s="7" t="n">
        <v>77.5</v>
      </c>
      <c r="J244" s="7" t="n">
        <v>163.4</v>
      </c>
      <c r="L244" s="7" t="n">
        <v>206.6</v>
      </c>
      <c r="N244" s="7" t="n">
        <v>343.6</v>
      </c>
      <c r="P244" s="7" t="n">
        <v>291.1</v>
      </c>
      <c r="R244" s="7" t="n">
        <v>535.1</v>
      </c>
      <c r="T244" s="7" t="n">
        <v>97.2</v>
      </c>
      <c r="V244" s="7" t="n">
        <v>443.2</v>
      </c>
      <c r="X244" s="7" t="n">
        <v>283.5</v>
      </c>
      <c r="Z244" s="7" t="n">
        <v>146</v>
      </c>
      <c r="AB244" s="7" t="n">
        <v>2690.5</v>
      </c>
    </row>
    <row r="245">
      <c r="A245" s="4" t="inlineStr">
        <is>
          <t>报废损失</t>
        </is>
      </c>
      <c r="D245" s="7" t="n">
        <v>114.5</v>
      </c>
      <c r="F245" s="7" t="n">
        <v>75</v>
      </c>
      <c r="H245" s="7" t="n">
        <v>74</v>
      </c>
      <c r="J245" s="7" t="n">
        <v>249.9</v>
      </c>
      <c r="L245" s="7" t="n">
        <v>364.9</v>
      </c>
      <c r="N245" s="7" t="n">
        <v>542.6</v>
      </c>
      <c r="P245" s="7" t="n">
        <v>295.5</v>
      </c>
      <c r="R245" s="7" t="n">
        <v>558.1</v>
      </c>
      <c r="T245" s="7" t="n">
        <v>174.1</v>
      </c>
      <c r="V245" s="7" t="n">
        <v>673.7</v>
      </c>
      <c r="X245" s="7" t="n">
        <v>390</v>
      </c>
      <c r="Z245" s="7" t="n">
        <v>184.1</v>
      </c>
      <c r="AB245" s="7" t="n">
        <v>3696.4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6908.1</v>
      </c>
      <c r="D246" s="7" t="n">
        <v>15053.7</v>
      </c>
      <c r="E246" s="7" t="n">
        <v>7184</v>
      </c>
      <c r="F246" s="7" t="n">
        <v>-337.8</v>
      </c>
      <c r="G246" s="7" t="n">
        <v>6239.4</v>
      </c>
      <c r="H246" s="7" t="n">
        <v>16579.7</v>
      </c>
      <c r="I246" s="7" t="n">
        <v>7407.2</v>
      </c>
      <c r="J246" s="7" t="n">
        <v>-2038.4</v>
      </c>
      <c r="K246" s="7" t="n">
        <v>5885.7</v>
      </c>
      <c r="L246" s="7" t="n">
        <v>5036.2</v>
      </c>
      <c r="M246" s="7" t="n">
        <v>5614</v>
      </c>
      <c r="N246" s="7" t="n">
        <v>2773.9</v>
      </c>
      <c r="O246" s="7" t="n">
        <v>6847.8</v>
      </c>
      <c r="P246" s="7" t="n">
        <v>13599.4</v>
      </c>
      <c r="Q246" s="7" t="n">
        <v>5696.5</v>
      </c>
      <c r="R246" s="7" t="n">
        <v>8197.299999999999</v>
      </c>
      <c r="S246" s="7" t="n">
        <v>6358.9</v>
      </c>
      <c r="T246" s="7" t="n">
        <v>-4895.2</v>
      </c>
      <c r="U246" s="7" t="n">
        <v>7098.3</v>
      </c>
      <c r="V246" s="7" t="n">
        <v>18649.2</v>
      </c>
      <c r="W246" s="7" t="n">
        <v>6700.5</v>
      </c>
      <c r="X246" s="7" t="n">
        <v>7416.8</v>
      </c>
      <c r="Y246" s="7" t="n">
        <v>7261.8</v>
      </c>
      <c r="Z246" s="7" t="n">
        <v>-2488</v>
      </c>
      <c r="AA246" s="8" t="n">
        <v>79202.2</v>
      </c>
      <c r="AB246" s="8" t="n">
        <v>77546.8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-4505</v>
      </c>
      <c r="E248" s="7" t="n">
        <v>0</v>
      </c>
      <c r="F248" s="7" t="n">
        <v>-4105.3</v>
      </c>
      <c r="G248" s="7" t="n">
        <v>0</v>
      </c>
      <c r="H248" s="7" t="n">
        <v>-2239.8</v>
      </c>
      <c r="I248" s="7" t="n">
        <v>0</v>
      </c>
      <c r="J248" s="7" t="n">
        <v>4383.6</v>
      </c>
      <c r="K248" s="7" t="n">
        <v>0</v>
      </c>
      <c r="L248" s="7" t="n">
        <v>-2901.4</v>
      </c>
      <c r="M248" s="7" t="n">
        <v>0</v>
      </c>
      <c r="N248" s="7" t="n">
        <v>4189.8</v>
      </c>
      <c r="O248" s="7" t="n">
        <v>0</v>
      </c>
      <c r="P248" s="7" t="n">
        <v>-251.6</v>
      </c>
      <c r="Q248" s="7" t="n">
        <v>0</v>
      </c>
      <c r="R248" s="7" t="n">
        <v>-3832.2</v>
      </c>
      <c r="S248" s="7" t="n">
        <v>0</v>
      </c>
      <c r="T248" s="7" t="n">
        <v>-3930.6</v>
      </c>
      <c r="U248" s="7" t="n">
        <v>0</v>
      </c>
      <c r="V248" s="7" t="n">
        <v>1898.6</v>
      </c>
      <c r="W248" s="7" t="n">
        <v>0</v>
      </c>
      <c r="X248" s="7" t="n">
        <v>2475.4</v>
      </c>
      <c r="Y248" s="7" t="n">
        <v>0</v>
      </c>
      <c r="Z248" s="7" t="n">
        <v>896.9</v>
      </c>
      <c r="AA248" s="7" t="n">
        <v>0</v>
      </c>
      <c r="AB248" s="7" t="n">
        <v>-7921.6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19803.3</v>
      </c>
      <c r="D253" s="7" t="n">
        <v>13999</v>
      </c>
      <c r="E253" s="7" t="n">
        <v>15934.3</v>
      </c>
      <c r="F253" s="7" t="n">
        <v>19566.9</v>
      </c>
      <c r="G253" s="7" t="n">
        <v>18455.7</v>
      </c>
      <c r="H253" s="7" t="n">
        <v>12448.2</v>
      </c>
      <c r="I253" s="7" t="n">
        <v>16197.2</v>
      </c>
      <c r="J253" s="7" t="n">
        <v>23420.2</v>
      </c>
      <c r="K253" s="7" t="n">
        <v>19233</v>
      </c>
      <c r="L253" s="7" t="n">
        <v>3148.9</v>
      </c>
      <c r="M253" s="7" t="n">
        <v>20323.4</v>
      </c>
      <c r="N253" s="7" t="n">
        <v>18910.2</v>
      </c>
      <c r="O253" s="7" t="n">
        <v>19167.3</v>
      </c>
      <c r="P253" s="7" t="n">
        <v>11638.6</v>
      </c>
      <c r="Q253" s="7" t="n">
        <v>20191.3</v>
      </c>
      <c r="R253" s="7" t="n">
        <v>27819.4</v>
      </c>
      <c r="S253" s="7" t="n">
        <v>17468.6</v>
      </c>
      <c r="T253" s="7" t="n">
        <v>22816.8</v>
      </c>
      <c r="U253" s="7" t="n">
        <v>17667.5</v>
      </c>
      <c r="V253" s="7" t="n">
        <v>28197.2</v>
      </c>
      <c r="W253" s="7" t="n">
        <v>15705</v>
      </c>
      <c r="X253" s="7" t="n">
        <v>20512.3</v>
      </c>
      <c r="Y253" s="7" t="n">
        <v>16318.6</v>
      </c>
      <c r="Z253" s="7" t="n">
        <v>18505.2</v>
      </c>
      <c r="AA253" s="7" t="n">
        <v>216465.2</v>
      </c>
      <c r="AB253" s="7" t="n">
        <v>220982.9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173603.4</v>
      </c>
      <c r="D254" s="7" t="n">
        <v>102652.5</v>
      </c>
      <c r="E254" s="7" t="n">
        <v>192908.8</v>
      </c>
      <c r="F254" s="7" t="n">
        <v>23674.1</v>
      </c>
      <c r="G254" s="7" t="n">
        <v>209999.1</v>
      </c>
      <c r="H254" s="7" t="n">
        <v>87298.3</v>
      </c>
      <c r="I254" s="7" t="n">
        <v>207346.5</v>
      </c>
      <c r="J254" s="7" t="n">
        <v>124105.8</v>
      </c>
      <c r="K254" s="7" t="n">
        <v>192906.9</v>
      </c>
      <c r="L254" s="7" t="n">
        <v>376150.4</v>
      </c>
      <c r="M254" s="7" t="n">
        <v>220811.7</v>
      </c>
      <c r="N254" s="7" t="n">
        <v>103903.2</v>
      </c>
      <c r="O254" s="7" t="n">
        <v>171744.2</v>
      </c>
      <c r="P254" s="7" t="n">
        <v>301516</v>
      </c>
      <c r="Q254" s="7" t="n">
        <v>167169.2</v>
      </c>
      <c r="R254" s="7" t="n">
        <v>398977.9</v>
      </c>
      <c r="S254" s="7" t="n">
        <v>205897.4</v>
      </c>
      <c r="T254" s="7" t="n">
        <v>61133.4</v>
      </c>
      <c r="U254" s="7" t="n">
        <v>172053</v>
      </c>
      <c r="V254" s="7" t="n">
        <v>425114.2</v>
      </c>
      <c r="W254" s="7" t="n">
        <v>201533</v>
      </c>
      <c r="X254" s="7" t="n">
        <v>234627.5</v>
      </c>
      <c r="Y254" s="7" t="n">
        <v>222591.3</v>
      </c>
      <c r="Z254" s="7" t="n">
        <v>98204</v>
      </c>
      <c r="AA254" s="8" t="n">
        <v>2338564.5</v>
      </c>
      <c r="AB254" s="8" t="n">
        <v>2337357.3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773.1</v>
      </c>
      <c r="E255" s="7" t="n">
        <v>0</v>
      </c>
      <c r="F255" s="7" t="n">
        <v>4468.8</v>
      </c>
      <c r="G255" s="7" t="n">
        <v>0</v>
      </c>
      <c r="H255" s="7" t="n">
        <v>3384.2</v>
      </c>
      <c r="I255" s="7" t="n">
        <v>0</v>
      </c>
      <c r="J255" s="7" t="n">
        <v>4395.6</v>
      </c>
      <c r="K255" s="7" t="n">
        <v>0</v>
      </c>
      <c r="L255" s="7" t="n">
        <v>2940.4</v>
      </c>
      <c r="M255" s="7" t="n">
        <v>0</v>
      </c>
      <c r="N255" s="7" t="n">
        <v>4939.2</v>
      </c>
      <c r="O255" s="7" t="n">
        <v>0</v>
      </c>
      <c r="P255" s="7" t="n">
        <v>1256.6</v>
      </c>
      <c r="Q255" s="7" t="n">
        <v>0</v>
      </c>
      <c r="R255" s="7" t="n">
        <v>2452.1</v>
      </c>
      <c r="S255" s="7" t="n">
        <v>0</v>
      </c>
      <c r="T255" s="7" t="n">
        <v>603.1</v>
      </c>
      <c r="U255" s="7" t="n">
        <v>0</v>
      </c>
      <c r="V255" s="7" t="n">
        <v>989.8</v>
      </c>
      <c r="W255" s="7" t="n">
        <v>0</v>
      </c>
      <c r="X255" s="7" t="n">
        <v>1694.2</v>
      </c>
      <c r="Y255" s="7" t="n">
        <v>0</v>
      </c>
      <c r="Z255" s="7" t="n">
        <v>1133.4</v>
      </c>
      <c r="AA255" s="7" t="n">
        <v>0</v>
      </c>
      <c r="AB255" s="7" t="n">
        <v>29030.5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1342.2</v>
      </c>
      <c r="E256" s="7" t="n">
        <v>0</v>
      </c>
      <c r="F256" s="7" t="n">
        <v>1257.7</v>
      </c>
      <c r="G256" s="7" t="n">
        <v>0</v>
      </c>
      <c r="H256" s="7" t="n">
        <v>2589.9</v>
      </c>
      <c r="I256" s="7" t="n">
        <v>0</v>
      </c>
      <c r="J256" s="7" t="n">
        <v>2699</v>
      </c>
      <c r="K256" s="7" t="n">
        <v>0</v>
      </c>
      <c r="L256" s="7" t="n">
        <v>20.9</v>
      </c>
      <c r="M256" s="7" t="n">
        <v>0</v>
      </c>
      <c r="N256" s="7" t="n">
        <v>2394.8</v>
      </c>
      <c r="O256" s="7" t="n">
        <v>0</v>
      </c>
      <c r="P256" s="7" t="n">
        <v>1641.1</v>
      </c>
      <c r="Q256" s="7" t="n">
        <v>0</v>
      </c>
      <c r="R256" s="7" t="n">
        <v>2021.2</v>
      </c>
      <c r="S256" s="7" t="n">
        <v>0</v>
      </c>
      <c r="T256" s="7" t="n">
        <v>2149</v>
      </c>
      <c r="U256" s="7" t="n">
        <v>0</v>
      </c>
      <c r="V256" s="7" t="n">
        <v>1099</v>
      </c>
      <c r="W256" s="7" t="n">
        <v>0</v>
      </c>
      <c r="X256" s="7" t="n">
        <v>1055.7</v>
      </c>
      <c r="Y256" s="7" t="n">
        <v>0</v>
      </c>
      <c r="Z256" s="7" t="n">
        <v>2601.4</v>
      </c>
      <c r="AA256" s="7" t="n">
        <v>0</v>
      </c>
      <c r="AB256" s="7" t="n">
        <v>20871.9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167300.8</v>
      </c>
      <c r="D257" s="7" t="n">
        <v>102662.8</v>
      </c>
      <c r="E257" s="7" t="n">
        <v>222959.1</v>
      </c>
      <c r="F257" s="7" t="n">
        <v>21376.4</v>
      </c>
      <c r="G257" s="7" t="n">
        <v>200186.3</v>
      </c>
      <c r="H257" s="7" t="n">
        <v>89940.5</v>
      </c>
      <c r="I257" s="7" t="n">
        <v>209564.2</v>
      </c>
      <c r="J257" s="7" t="n">
        <v>128303.8</v>
      </c>
      <c r="K257" s="7" t="n">
        <v>197216</v>
      </c>
      <c r="L257" s="7" t="n">
        <v>360589.8</v>
      </c>
      <c r="M257" s="7" t="n">
        <v>214429.2</v>
      </c>
      <c r="N257" s="7" t="n">
        <v>110104.2</v>
      </c>
      <c r="O257" s="7" t="n">
        <v>180208.2</v>
      </c>
      <c r="P257" s="7" t="n">
        <v>279502.5</v>
      </c>
      <c r="Q257" s="7" t="n">
        <v>203910.4</v>
      </c>
      <c r="R257" s="7" t="n">
        <v>429008.1</v>
      </c>
      <c r="S257" s="7" t="n">
        <v>166244.6</v>
      </c>
      <c r="T257" s="7" t="n">
        <v>66806.7</v>
      </c>
      <c r="U257" s="7" t="n">
        <v>211745</v>
      </c>
      <c r="V257" s="7" t="n">
        <v>396399.4</v>
      </c>
      <c r="W257" s="7" t="n">
        <v>204834.4</v>
      </c>
      <c r="X257" s="7" t="n">
        <v>249842.6</v>
      </c>
      <c r="Y257" s="7" t="n">
        <v>185855.6</v>
      </c>
      <c r="Z257" s="7" t="n">
        <v>96057.3</v>
      </c>
      <c r="AA257" s="8" t="n">
        <v>2364453.8</v>
      </c>
      <c r="AB257" s="8" t="n">
        <v>2330594.1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47635.4</v>
      </c>
      <c r="D258" s="7" t="n">
        <v>25665.7</v>
      </c>
      <c r="E258" s="7" t="n">
        <v>51323</v>
      </c>
      <c r="F258" s="7" t="n">
        <v>5344.1</v>
      </c>
      <c r="G258" s="7" t="n">
        <v>44852.9</v>
      </c>
      <c r="H258" s="7" t="n">
        <v>22485.1</v>
      </c>
      <c r="I258" s="7" t="n">
        <v>53647.9</v>
      </c>
      <c r="J258" s="7" t="n">
        <v>32076</v>
      </c>
      <c r="K258" s="7" t="n">
        <v>54590.1</v>
      </c>
      <c r="L258" s="7" t="n">
        <v>90147.39999999999</v>
      </c>
      <c r="M258" s="7" t="n">
        <v>46582.9</v>
      </c>
      <c r="N258" s="7" t="n">
        <v>27526</v>
      </c>
      <c r="O258" s="7" t="n">
        <v>52174.7</v>
      </c>
      <c r="P258" s="7" t="n">
        <v>69875.60000000001</v>
      </c>
      <c r="Q258" s="7" t="n">
        <v>54052.4</v>
      </c>
      <c r="R258" s="7" t="n">
        <v>107252</v>
      </c>
      <c r="S258" s="7" t="n">
        <v>43339.9</v>
      </c>
      <c r="T258" s="7" t="n">
        <v>16701.7</v>
      </c>
      <c r="U258" s="7" t="n">
        <v>45959.1</v>
      </c>
      <c r="V258" s="7" t="n">
        <v>99099.89999999999</v>
      </c>
      <c r="W258" s="7" t="n">
        <v>51988.8</v>
      </c>
      <c r="X258" s="7" t="n">
        <v>62460.7</v>
      </c>
      <c r="Y258" s="7" t="n">
        <v>53488</v>
      </c>
      <c r="Z258" s="7" t="n">
        <v>24014.3</v>
      </c>
      <c r="AA258" s="7" t="n">
        <v>599635.1</v>
      </c>
      <c r="AB258" s="7" t="n">
        <v>582648.5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199696.7</v>
      </c>
      <c r="D259" s="7" t="n">
        <v>76997.10000000001</v>
      </c>
      <c r="E259" s="7" t="n">
        <v>186090</v>
      </c>
      <c r="F259" s="7" t="n">
        <v>16032.3</v>
      </c>
      <c r="G259" s="7" t="n">
        <v>200065</v>
      </c>
      <c r="H259" s="7" t="n">
        <v>67455.39999999999</v>
      </c>
      <c r="I259" s="7" t="n">
        <v>142284.8</v>
      </c>
      <c r="J259" s="7" t="n">
        <v>96227.8</v>
      </c>
      <c r="K259" s="7" t="n">
        <v>178178.5</v>
      </c>
      <c r="L259" s="7" t="n">
        <v>270442.4</v>
      </c>
      <c r="M259" s="7" t="n">
        <v>217477.2</v>
      </c>
      <c r="N259" s="7" t="n">
        <v>82578.2</v>
      </c>
      <c r="O259" s="7" t="n">
        <v>166641.4</v>
      </c>
      <c r="P259" s="7" t="n">
        <v>209626.9</v>
      </c>
      <c r="Q259" s="7" t="n">
        <v>193653.9</v>
      </c>
      <c r="R259" s="7" t="n">
        <v>321756.1</v>
      </c>
      <c r="S259" s="7" t="n">
        <v>133756.2</v>
      </c>
      <c r="T259" s="7" t="n">
        <v>50105</v>
      </c>
      <c r="U259" s="7" t="n">
        <v>222199.3</v>
      </c>
      <c r="V259" s="7" t="n">
        <v>297299.5</v>
      </c>
      <c r="W259" s="7" t="n">
        <v>184372.8</v>
      </c>
      <c r="X259" s="7" t="n">
        <v>187381.9</v>
      </c>
      <c r="Y259" s="7" t="n">
        <v>145996</v>
      </c>
      <c r="Z259" s="7" t="n">
        <v>72043</v>
      </c>
      <c r="AA259" s="8" t="n">
        <v>2170411.8</v>
      </c>
      <c r="AB259" s="8" t="n">
        <v>1747945.6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20665.6</v>
      </c>
      <c r="E260" s="7" t="n">
        <v>0</v>
      </c>
      <c r="F260" s="7" t="n">
        <v>3960.5</v>
      </c>
      <c r="G260" s="7" t="n">
        <v>0</v>
      </c>
      <c r="H260" s="7" t="n">
        <v>7859.8</v>
      </c>
      <c r="I260" s="7" t="n">
        <v>0</v>
      </c>
      <c r="J260" s="7" t="n">
        <v>127.4</v>
      </c>
      <c r="K260" s="7" t="n">
        <v>0</v>
      </c>
      <c r="L260" s="7" t="n">
        <v>75270.39999999999</v>
      </c>
      <c r="M260" s="7" t="n">
        <v>0</v>
      </c>
      <c r="N260" s="7" t="n">
        <v>5390.3</v>
      </c>
      <c r="O260" s="7" t="n">
        <v>0</v>
      </c>
      <c r="P260" s="7" t="n">
        <v>22889.9</v>
      </c>
      <c r="Q260" s="7" t="n">
        <v>0</v>
      </c>
      <c r="R260" s="7" t="n">
        <v>94521.5</v>
      </c>
      <c r="S260" s="7" t="n">
        <v>0</v>
      </c>
      <c r="T260" s="7" t="n">
        <v>14354.9</v>
      </c>
      <c r="U260" s="7" t="n">
        <v>0</v>
      </c>
      <c r="V260" s="7" t="n">
        <v>57864.4</v>
      </c>
      <c r="W260" s="7" t="n">
        <v>0</v>
      </c>
      <c r="X260" s="7" t="n">
        <v>43107.8</v>
      </c>
      <c r="Y260" s="7" t="n">
        <v>0</v>
      </c>
      <c r="Z260" s="7" t="n">
        <v>19295.7</v>
      </c>
      <c r="AA260" s="7" t="n">
        <v>0</v>
      </c>
      <c r="AB260" s="7" t="n">
        <v>365308.2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199696.7</v>
      </c>
      <c r="D261" s="7" t="n">
        <v>56331.5</v>
      </c>
      <c r="E261" s="7" t="n">
        <v>186090</v>
      </c>
      <c r="F261" s="7" t="n">
        <v>12071.8</v>
      </c>
      <c r="G261" s="7" t="n">
        <v>200065</v>
      </c>
      <c r="H261" s="7" t="n">
        <v>59595.6</v>
      </c>
      <c r="I261" s="7" t="n">
        <v>142284.8</v>
      </c>
      <c r="J261" s="7" t="n">
        <v>96100.39999999999</v>
      </c>
      <c r="K261" s="7" t="n">
        <v>178178.5</v>
      </c>
      <c r="L261" s="7" t="n">
        <v>195172</v>
      </c>
      <c r="M261" s="7" t="n">
        <v>217477.2</v>
      </c>
      <c r="N261" s="7" t="n">
        <v>77187.89999999999</v>
      </c>
      <c r="O261" s="7" t="n">
        <v>166641.4</v>
      </c>
      <c r="P261" s="7" t="n">
        <v>186737</v>
      </c>
      <c r="Q261" s="7" t="n">
        <v>193653.9</v>
      </c>
      <c r="R261" s="7" t="n">
        <v>227234.6</v>
      </c>
      <c r="S261" s="7" t="n">
        <v>133756.2</v>
      </c>
      <c r="T261" s="7" t="n">
        <v>35750.1</v>
      </c>
      <c r="U261" s="7" t="n">
        <v>222199.3</v>
      </c>
      <c r="V261" s="7" t="n">
        <v>239435.1</v>
      </c>
      <c r="W261" s="7" t="n">
        <v>184372.8</v>
      </c>
      <c r="X261" s="7" t="n">
        <v>144274.1</v>
      </c>
      <c r="Y261" s="7" t="n">
        <v>145996</v>
      </c>
      <c r="Z261" s="7" t="n">
        <v>52747.3</v>
      </c>
      <c r="AA261" s="8" t="n">
        <v>2170411.8</v>
      </c>
      <c r="AB261" s="8" t="n">
        <v>1382637.4</v>
      </c>
    </row>
    <row r="262">
      <c r="A262" s="4" t="inlineStr">
        <is>
          <t>净利率</t>
        </is>
      </c>
      <c r="D262" s="13" t="n">
        <v>4.8</v>
      </c>
      <c r="F262" s="13" t="n">
        <v>6</v>
      </c>
      <c r="H262" s="13" t="n">
        <v>4.8</v>
      </c>
      <c r="J262" s="13" t="n">
        <v>5.8</v>
      </c>
      <c r="L262" s="13" t="n">
        <v>7.3</v>
      </c>
      <c r="N262" s="13" t="n">
        <v>3</v>
      </c>
      <c r="P262" s="13" t="n">
        <v>7.2</v>
      </c>
      <c r="R262" s="13" t="n">
        <v>7.2</v>
      </c>
      <c r="T262" s="13" t="n">
        <v>7.6</v>
      </c>
      <c r="V262" s="13" t="n">
        <v>7.4</v>
      </c>
      <c r="X262" s="13" t="n">
        <v>7.1</v>
      </c>
      <c r="Z262" s="13" t="n">
        <v>3.1</v>
      </c>
    </row>
    <row r="263">
      <c r="A263" s="4" t="inlineStr">
        <is>
          <t>销售达成率</t>
        </is>
      </c>
      <c r="D263" s="13" t="n">
        <v>67.8</v>
      </c>
      <c r="F263" s="13" t="n">
        <v>12.7</v>
      </c>
      <c r="H263" s="13" t="n">
        <v>61.6</v>
      </c>
      <c r="J263" s="13" t="n">
        <v>72.90000000000001</v>
      </c>
      <c r="L263" s="13" t="n">
        <v>147.2</v>
      </c>
      <c r="N263" s="13" t="n">
        <v>104</v>
      </c>
      <c r="P263" s="13" t="n">
        <v>129.1</v>
      </c>
      <c r="R263" s="13" t="n">
        <v>176.8</v>
      </c>
      <c r="T263" s="13" t="n">
        <v>29.7</v>
      </c>
      <c r="V263" s="13" t="n">
        <v>148.2</v>
      </c>
      <c r="X263" s="13" t="n">
        <v>101.5</v>
      </c>
      <c r="Z263" s="13" t="n">
        <v>94.7</v>
      </c>
    </row>
    <row r="264">
      <c r="A264" s="4" t="inlineStr">
        <is>
          <t>净利达成率</t>
        </is>
      </c>
      <c r="D264" s="13" t="n">
        <v>38.6</v>
      </c>
      <c r="F264" s="13" t="n">
        <v>8.6</v>
      </c>
      <c r="H264" s="13" t="n">
        <v>33.7</v>
      </c>
      <c r="J264" s="13" t="n">
        <v>67.59999999999999</v>
      </c>
      <c r="L264" s="13" t="n">
        <v>151.8</v>
      </c>
      <c r="N264" s="13" t="n">
        <v>38</v>
      </c>
      <c r="P264" s="13" t="n">
        <v>125.8</v>
      </c>
      <c r="R264" s="13" t="n">
        <v>166.2</v>
      </c>
      <c r="T264" s="13" t="n">
        <v>37.5</v>
      </c>
      <c r="V264" s="13" t="n">
        <v>133.8</v>
      </c>
      <c r="X264" s="13" t="n">
        <v>101.6</v>
      </c>
      <c r="Z264" s="13" t="n">
        <v>49.3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湖北省区利润表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421345.1</v>
      </c>
      <c r="D6" s="7" t="n">
        <v>255785.9</v>
      </c>
      <c r="E6" s="7" t="n">
        <v>450887.5</v>
      </c>
      <c r="F6" s="7" t="n">
        <v>432616</v>
      </c>
      <c r="G6" s="7" t="n">
        <v>516085.4</v>
      </c>
      <c r="H6" s="7" t="n">
        <v>359248.7</v>
      </c>
      <c r="I6" s="7" t="n">
        <v>433668.8</v>
      </c>
      <c r="J6" s="7" t="n">
        <v>492061</v>
      </c>
      <c r="K6" s="7" t="n">
        <v>427402.2</v>
      </c>
      <c r="L6" s="7" t="n">
        <v>353171.5</v>
      </c>
      <c r="M6" s="7" t="n">
        <v>486096.9</v>
      </c>
      <c r="N6" s="7" t="n">
        <v>447375.3</v>
      </c>
      <c r="O6" s="7" t="n">
        <v>548370.7</v>
      </c>
      <c r="P6" s="7" t="n">
        <v>221299.5</v>
      </c>
      <c r="Q6" s="7" t="n">
        <v>484863.8</v>
      </c>
      <c r="R6" s="7" t="n">
        <v>619350.2</v>
      </c>
      <c r="S6" s="7" t="n">
        <v>540011.1</v>
      </c>
      <c r="T6" s="7" t="n">
        <v>601380.5</v>
      </c>
      <c r="U6" s="7" t="n">
        <v>528046.6</v>
      </c>
      <c r="V6" s="7" t="n">
        <v>821889.7</v>
      </c>
      <c r="W6" s="7" t="n">
        <v>445390.5</v>
      </c>
      <c r="X6" s="7" t="n">
        <v>781976.6</v>
      </c>
      <c r="Y6" s="7" t="n">
        <v>527213.2</v>
      </c>
      <c r="Z6" s="7" t="n">
        <v>310513.2</v>
      </c>
      <c r="AA6" s="8" t="n">
        <v>5809381.8</v>
      </c>
      <c r="AB6" s="8" t="n">
        <v>5696668.1</v>
      </c>
    </row>
    <row r="7">
      <c r="A7" s="4" t="inlineStr">
        <is>
          <t>数控机床</t>
        </is>
      </c>
      <c r="D7" s="7" t="n">
        <v>0</v>
      </c>
      <c r="F7" s="7" t="n">
        <v>131700.4</v>
      </c>
      <c r="H7" s="7" t="n">
        <v>0</v>
      </c>
      <c r="J7" s="7" t="n">
        <v>0</v>
      </c>
      <c r="L7" s="7" t="n">
        <v>180533.2</v>
      </c>
      <c r="N7" s="7" t="n">
        <v>150599.3</v>
      </c>
      <c r="P7" s="7" t="n">
        <v>0</v>
      </c>
      <c r="R7" s="7" t="n">
        <v>0</v>
      </c>
      <c r="T7" s="7" t="n">
        <v>182009.2</v>
      </c>
      <c r="V7" s="7" t="n">
        <v>213962.2</v>
      </c>
      <c r="X7" s="7" t="n">
        <v>113170.9</v>
      </c>
      <c r="Z7" s="7" t="n">
        <v>96482.60000000001</v>
      </c>
      <c r="AB7" s="7" t="n">
        <v>1068457.8</v>
      </c>
    </row>
    <row r="8">
      <c r="A8" s="4" t="inlineStr">
        <is>
          <t>精密轴承</t>
        </is>
      </c>
      <c r="D8" s="7" t="n">
        <v>0</v>
      </c>
      <c r="F8" s="7" t="n">
        <v>84013.39999999999</v>
      </c>
      <c r="H8" s="7" t="n">
        <v>0</v>
      </c>
      <c r="J8" s="7" t="n">
        <v>107735.6</v>
      </c>
      <c r="L8" s="7" t="n">
        <v>136216.9</v>
      </c>
      <c r="N8" s="7" t="n">
        <v>0</v>
      </c>
      <c r="P8" s="7" t="n">
        <v>0</v>
      </c>
      <c r="R8" s="7" t="n">
        <v>167966.9</v>
      </c>
      <c r="T8" s="7" t="n">
        <v>114695.4</v>
      </c>
      <c r="V8" s="7" t="n">
        <v>118966.9</v>
      </c>
      <c r="X8" s="7" t="n">
        <v>137997.3</v>
      </c>
      <c r="Z8" s="7" t="n">
        <v>89031.8</v>
      </c>
      <c r="AB8" s="7" t="n">
        <v>956624.2</v>
      </c>
    </row>
    <row r="9">
      <c r="A9" s="4" t="inlineStr">
        <is>
          <t>液压件</t>
        </is>
      </c>
      <c r="D9" s="7" t="n">
        <v>0</v>
      </c>
      <c r="F9" s="7" t="n">
        <v>101050.2</v>
      </c>
      <c r="H9" s="7" t="n">
        <v>189627.9</v>
      </c>
      <c r="J9" s="7" t="n">
        <v>0</v>
      </c>
      <c r="L9" s="7" t="n">
        <v>0</v>
      </c>
      <c r="N9" s="7" t="n">
        <v>0</v>
      </c>
      <c r="P9" s="7" t="n">
        <v>0</v>
      </c>
      <c r="R9" s="7" t="n">
        <v>215845.8</v>
      </c>
      <c r="T9" s="7" t="n">
        <v>180521.1</v>
      </c>
      <c r="V9" s="7" t="n">
        <v>261422.7</v>
      </c>
      <c r="X9" s="7" t="n">
        <v>217924.6</v>
      </c>
      <c r="Z9" s="7" t="n">
        <v>0</v>
      </c>
      <c r="AB9" s="7" t="n">
        <v>1166392.3</v>
      </c>
    </row>
    <row r="10">
      <c r="A10" s="4" t="inlineStr">
        <is>
          <t>气动元件</t>
        </is>
      </c>
      <c r="D10" s="7" t="n">
        <v>124274.2</v>
      </c>
      <c r="F10" s="7" t="n">
        <v>0</v>
      </c>
      <c r="H10" s="7" t="n">
        <v>173999.8</v>
      </c>
      <c r="J10" s="7" t="n">
        <v>232720.1</v>
      </c>
      <c r="L10" s="7" t="n">
        <v>0</v>
      </c>
      <c r="N10" s="7" t="n">
        <v>232333.5</v>
      </c>
      <c r="P10" s="7" t="n">
        <v>225123.3</v>
      </c>
      <c r="R10" s="7" t="n">
        <v>0</v>
      </c>
      <c r="T10" s="7" t="n">
        <v>0</v>
      </c>
      <c r="V10" s="7" t="n">
        <v>0</v>
      </c>
      <c r="X10" s="7" t="n">
        <v>164322</v>
      </c>
      <c r="Z10" s="7" t="n">
        <v>0</v>
      </c>
      <c r="AB10" s="7" t="n">
        <v>1152772.9</v>
      </c>
    </row>
    <row r="11">
      <c r="A11" s="4" t="inlineStr">
        <is>
          <t>模具</t>
        </is>
      </c>
      <c r="D11" s="7" t="n">
        <v>36472.6</v>
      </c>
      <c r="F11" s="7" t="n">
        <v>29394.2</v>
      </c>
      <c r="H11" s="7" t="n">
        <v>0</v>
      </c>
      <c r="J11" s="7" t="n">
        <v>0</v>
      </c>
      <c r="L11" s="7" t="n">
        <v>38595.8</v>
      </c>
      <c r="N11" s="7" t="n">
        <v>74032.5</v>
      </c>
      <c r="P11" s="7" t="n">
        <v>0</v>
      </c>
      <c r="R11" s="7" t="n">
        <v>49628.1</v>
      </c>
      <c r="T11" s="7" t="n">
        <v>0</v>
      </c>
      <c r="V11" s="7" t="n">
        <v>50721.9</v>
      </c>
      <c r="X11" s="7" t="n">
        <v>0</v>
      </c>
      <c r="Z11" s="7" t="n">
        <v>0</v>
      </c>
      <c r="AB11" s="7" t="n">
        <v>278845.1</v>
      </c>
    </row>
    <row r="12">
      <c r="A12" s="4" t="inlineStr">
        <is>
          <t>工装夹具</t>
        </is>
      </c>
      <c r="D12" s="7" t="n">
        <v>93734.39999999999</v>
      </c>
      <c r="F12" s="7" t="n">
        <v>91800.39999999999</v>
      </c>
      <c r="H12" s="7" t="n">
        <v>0</v>
      </c>
      <c r="J12" s="7" t="n">
        <v>155427.1</v>
      </c>
      <c r="L12" s="7" t="n">
        <v>0</v>
      </c>
      <c r="N12" s="7" t="n">
        <v>0</v>
      </c>
      <c r="P12" s="7" t="n">
        <v>0</v>
      </c>
      <c r="R12" s="7" t="n">
        <v>193955.1</v>
      </c>
      <c r="T12" s="7" t="n">
        <v>136264.8</v>
      </c>
      <c r="V12" s="7" t="n">
        <v>192429.1</v>
      </c>
      <c r="X12" s="7" t="n">
        <v>152398.5</v>
      </c>
      <c r="Z12" s="7" t="n">
        <v>125904.9</v>
      </c>
      <c r="AB12" s="7" t="n">
        <v>1141914.3</v>
      </c>
    </row>
    <row r="13">
      <c r="A13" s="4" t="inlineStr">
        <is>
          <t>返利</t>
        </is>
      </c>
      <c r="D13" s="7" t="n">
        <v>-3341.5</v>
      </c>
      <c r="F13" s="7" t="n">
        <v>-11812</v>
      </c>
      <c r="H13" s="7" t="n">
        <v>-8747.5</v>
      </c>
      <c r="J13" s="7" t="n">
        <v>-11850</v>
      </c>
      <c r="L13" s="7" t="n">
        <v>-7959.8</v>
      </c>
      <c r="N13" s="7" t="n">
        <v>-12481.6</v>
      </c>
      <c r="P13" s="7" t="n">
        <v>-4853.2</v>
      </c>
      <c r="R13" s="7" t="n">
        <v>-9894.799999999999</v>
      </c>
      <c r="T13" s="7" t="n">
        <v>-16629</v>
      </c>
      <c r="V13" s="7" t="n">
        <v>-16806.8</v>
      </c>
      <c r="X13" s="7" t="n">
        <v>-11321.9</v>
      </c>
      <c r="Z13" s="7" t="n">
        <v>-3177.8</v>
      </c>
      <c r="AB13" s="7" t="n">
        <v>-118875.9</v>
      </c>
    </row>
    <row r="14">
      <c r="A14" s="4" t="inlineStr">
        <is>
          <t>其他</t>
        </is>
      </c>
      <c r="D14" s="7" t="n">
        <v>4646.2</v>
      </c>
      <c r="F14" s="7" t="n">
        <v>6469.4</v>
      </c>
      <c r="H14" s="7" t="n">
        <v>4368.5</v>
      </c>
      <c r="J14" s="7" t="n">
        <v>8028.2</v>
      </c>
      <c r="L14" s="7" t="n">
        <v>5785.4</v>
      </c>
      <c r="N14" s="7" t="n">
        <v>2891.6</v>
      </c>
      <c r="P14" s="7" t="n">
        <v>1029.4</v>
      </c>
      <c r="R14" s="7" t="n">
        <v>1849.1</v>
      </c>
      <c r="T14" s="7" t="n">
        <v>4519</v>
      </c>
      <c r="V14" s="7" t="n">
        <v>1193.7</v>
      </c>
      <c r="X14" s="7" t="n">
        <v>7485.2</v>
      </c>
      <c r="Z14" s="7" t="n">
        <v>2271.7</v>
      </c>
      <c r="AB14" s="7" t="n">
        <v>50537.4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343947.5</v>
      </c>
      <c r="D15" s="7" t="n">
        <v>192857.3</v>
      </c>
      <c r="E15" s="7" t="n">
        <v>397766.7</v>
      </c>
      <c r="F15" s="7" t="n">
        <v>336514.2</v>
      </c>
      <c r="G15" s="7" t="n">
        <v>404329.4</v>
      </c>
      <c r="H15" s="7" t="n">
        <v>256740.4</v>
      </c>
      <c r="I15" s="7" t="n">
        <v>338535</v>
      </c>
      <c r="J15" s="7" t="n">
        <v>368983.6</v>
      </c>
      <c r="K15" s="7" t="n">
        <v>362762.5</v>
      </c>
      <c r="L15" s="7" t="n">
        <v>282615.6</v>
      </c>
      <c r="M15" s="7" t="n">
        <v>336732</v>
      </c>
      <c r="N15" s="7" t="n">
        <v>342953.6</v>
      </c>
      <c r="O15" s="7" t="n">
        <v>416649.4</v>
      </c>
      <c r="P15" s="7" t="n">
        <v>163934.1</v>
      </c>
      <c r="Q15" s="7" t="n">
        <v>361882.2</v>
      </c>
      <c r="R15" s="7" t="n">
        <v>475808.2</v>
      </c>
      <c r="S15" s="7" t="n">
        <v>397775.1</v>
      </c>
      <c r="T15" s="7" t="n">
        <v>475063</v>
      </c>
      <c r="U15" s="7" t="n">
        <v>372184.1</v>
      </c>
      <c r="V15" s="7" t="n">
        <v>629352.5</v>
      </c>
      <c r="W15" s="7" t="n">
        <v>354686</v>
      </c>
      <c r="X15" s="7" t="n">
        <v>588729.7</v>
      </c>
      <c r="Y15" s="7" t="n">
        <v>412896.7</v>
      </c>
      <c r="Z15" s="7" t="n">
        <v>241336.4</v>
      </c>
      <c r="AA15" s="8" t="n">
        <v>4500146.6</v>
      </c>
      <c r="AB15" s="8" t="n">
        <v>4354888.6</v>
      </c>
    </row>
    <row r="16">
      <c r="A16" s="4" t="inlineStr">
        <is>
          <t>数控机床</t>
        </is>
      </c>
      <c r="D16" s="7" t="n">
        <v>0</v>
      </c>
      <c r="F16" s="7" t="n">
        <v>102816</v>
      </c>
      <c r="H16" s="7" t="n">
        <v>0</v>
      </c>
      <c r="J16" s="7" t="n">
        <v>0</v>
      </c>
      <c r="L16" s="7" t="n">
        <v>140938.8</v>
      </c>
      <c r="N16" s="7" t="n">
        <v>117570</v>
      </c>
      <c r="P16" s="7" t="n">
        <v>0</v>
      </c>
      <c r="R16" s="7" t="n">
        <v>0</v>
      </c>
      <c r="T16" s="7" t="n">
        <v>142091.1</v>
      </c>
      <c r="V16" s="7" t="n">
        <v>167036.2</v>
      </c>
      <c r="X16" s="7" t="n">
        <v>88350.3</v>
      </c>
      <c r="Z16" s="7" t="n">
        <v>75322.10000000001</v>
      </c>
      <c r="AB16" s="7" t="n">
        <v>834124.5</v>
      </c>
    </row>
    <row r="17">
      <c r="A17" s="4" t="inlineStr">
        <is>
          <t>精密轴承</t>
        </is>
      </c>
      <c r="D17" s="7" t="n">
        <v>0</v>
      </c>
      <c r="F17" s="7" t="n">
        <v>61268.3</v>
      </c>
      <c r="H17" s="7" t="n">
        <v>0</v>
      </c>
      <c r="J17" s="7" t="n">
        <v>78568.10000000001</v>
      </c>
      <c r="L17" s="7" t="n">
        <v>99338.60000000001</v>
      </c>
      <c r="N17" s="7" t="n">
        <v>0</v>
      </c>
      <c r="P17" s="7" t="n">
        <v>0</v>
      </c>
      <c r="R17" s="7" t="n">
        <v>122492.9</v>
      </c>
      <c r="T17" s="7" t="n">
        <v>83643.7</v>
      </c>
      <c r="V17" s="7" t="n">
        <v>86758.8</v>
      </c>
      <c r="X17" s="7" t="n">
        <v>100637</v>
      </c>
      <c r="Z17" s="7" t="n">
        <v>64928.1</v>
      </c>
      <c r="AB17" s="7" t="n">
        <v>697635.5</v>
      </c>
    </row>
    <row r="18">
      <c r="A18" s="4" t="inlineStr">
        <is>
          <t>液压件</t>
        </is>
      </c>
      <c r="D18" s="7" t="n">
        <v>0</v>
      </c>
      <c r="F18" s="7" t="n">
        <v>66873.7</v>
      </c>
      <c r="H18" s="7" t="n">
        <v>125493.2</v>
      </c>
      <c r="J18" s="7" t="n">
        <v>0</v>
      </c>
      <c r="L18" s="7" t="n">
        <v>0</v>
      </c>
      <c r="N18" s="7" t="n">
        <v>0</v>
      </c>
      <c r="P18" s="7" t="n">
        <v>0</v>
      </c>
      <c r="R18" s="7" t="n">
        <v>142843.9</v>
      </c>
      <c r="T18" s="7" t="n">
        <v>119466.4</v>
      </c>
      <c r="V18" s="7" t="n">
        <v>173006</v>
      </c>
      <c r="X18" s="7" t="n">
        <v>144219.6</v>
      </c>
      <c r="Z18" s="7" t="n">
        <v>0</v>
      </c>
      <c r="AB18" s="7" t="n">
        <v>771902.8</v>
      </c>
    </row>
    <row r="19">
      <c r="A19" s="4" t="inlineStr">
        <is>
          <t>气动元件</t>
        </is>
      </c>
      <c r="D19" s="7" t="n">
        <v>85521.10000000001</v>
      </c>
      <c r="F19" s="7" t="n">
        <v>0</v>
      </c>
      <c r="H19" s="7" t="n">
        <v>119740.5</v>
      </c>
      <c r="J19" s="7" t="n">
        <v>160149.7</v>
      </c>
      <c r="L19" s="7" t="n">
        <v>0</v>
      </c>
      <c r="N19" s="7" t="n">
        <v>159883.7</v>
      </c>
      <c r="P19" s="7" t="n">
        <v>154921.9</v>
      </c>
      <c r="R19" s="7" t="n">
        <v>0</v>
      </c>
      <c r="T19" s="7" t="n">
        <v>0</v>
      </c>
      <c r="V19" s="7" t="n">
        <v>0</v>
      </c>
      <c r="X19" s="7" t="n">
        <v>113080.6</v>
      </c>
      <c r="Z19" s="7" t="n">
        <v>0</v>
      </c>
      <c r="AB19" s="7" t="n">
        <v>793297.5</v>
      </c>
    </row>
    <row r="20">
      <c r="A20" s="4" t="inlineStr">
        <is>
          <t>模具</t>
        </is>
      </c>
      <c r="D20" s="7" t="n">
        <v>26111.3</v>
      </c>
      <c r="F20" s="7" t="n">
        <v>21043.7</v>
      </c>
      <c r="H20" s="7" t="n">
        <v>0</v>
      </c>
      <c r="J20" s="7" t="n">
        <v>0</v>
      </c>
      <c r="L20" s="7" t="n">
        <v>27631.3</v>
      </c>
      <c r="N20" s="7" t="n">
        <v>53001</v>
      </c>
      <c r="P20" s="7" t="n">
        <v>0</v>
      </c>
      <c r="R20" s="7" t="n">
        <v>35529.5</v>
      </c>
      <c r="T20" s="7" t="n">
        <v>0</v>
      </c>
      <c r="V20" s="7" t="n">
        <v>36312.6</v>
      </c>
      <c r="X20" s="7" t="n">
        <v>0</v>
      </c>
      <c r="Z20" s="7" t="n">
        <v>0</v>
      </c>
      <c r="AB20" s="7" t="n">
        <v>199629.4</v>
      </c>
    </row>
    <row r="21">
      <c r="A21" s="4" t="inlineStr">
        <is>
          <t>工装夹具</t>
        </is>
      </c>
      <c r="D21" s="7" t="n">
        <v>69970.10000000001</v>
      </c>
      <c r="F21" s="7" t="n">
        <v>68526.39999999999</v>
      </c>
      <c r="H21" s="7" t="n">
        <v>0</v>
      </c>
      <c r="J21" s="7" t="n">
        <v>116022</v>
      </c>
      <c r="L21" s="7" t="n">
        <v>0</v>
      </c>
      <c r="N21" s="7" t="n">
        <v>0</v>
      </c>
      <c r="P21" s="7" t="n">
        <v>0</v>
      </c>
      <c r="R21" s="7" t="n">
        <v>144782</v>
      </c>
      <c r="T21" s="7" t="n">
        <v>101717.9</v>
      </c>
      <c r="V21" s="7" t="n">
        <v>143642.9</v>
      </c>
      <c r="X21" s="7" t="n">
        <v>113761.2</v>
      </c>
      <c r="Z21" s="7" t="n">
        <v>93984.5</v>
      </c>
      <c r="AB21" s="7" t="n">
        <v>852407</v>
      </c>
    </row>
    <row r="22">
      <c r="A22" s="4" t="inlineStr">
        <is>
          <t>其他</t>
        </is>
      </c>
      <c r="D22" s="7" t="n">
        <v>1162.5</v>
      </c>
      <c r="F22" s="7" t="n">
        <v>1582</v>
      </c>
      <c r="H22" s="7" t="n">
        <v>1652.7</v>
      </c>
      <c r="J22" s="7" t="n">
        <v>5281.8</v>
      </c>
      <c r="L22" s="7" t="n">
        <v>4899.5</v>
      </c>
      <c r="N22" s="7" t="n">
        <v>734.7</v>
      </c>
      <c r="P22" s="7" t="n">
        <v>1691.8</v>
      </c>
      <c r="R22" s="7" t="n">
        <v>680.6</v>
      </c>
      <c r="T22" s="7" t="n">
        <v>4013.7</v>
      </c>
      <c r="V22" s="7" t="n">
        <v>5978.7</v>
      </c>
      <c r="X22" s="7" t="n">
        <v>9041.200000000001</v>
      </c>
      <c r="Z22" s="7" t="n">
        <v>627.7</v>
      </c>
      <c r="AB22" s="7" t="n">
        <v>37346.9</v>
      </c>
    </row>
    <row r="23">
      <c r="A23" s="4" t="inlineStr">
        <is>
          <t>运费</t>
        </is>
      </c>
      <c r="D23" s="7" t="n">
        <v>11254.8</v>
      </c>
      <c r="F23" s="7" t="n">
        <v>15986.1</v>
      </c>
      <c r="H23" s="7" t="n">
        <v>11506.7</v>
      </c>
      <c r="J23" s="7" t="n">
        <v>14243.8</v>
      </c>
      <c r="L23" s="7" t="n">
        <v>14706.9</v>
      </c>
      <c r="N23" s="7" t="n">
        <v>12498.9</v>
      </c>
      <c r="P23" s="7" t="n">
        <v>9012.200000000001</v>
      </c>
      <c r="R23" s="7" t="n">
        <v>30159.9</v>
      </c>
      <c r="T23" s="7" t="n">
        <v>28143.9</v>
      </c>
      <c r="V23" s="7" t="n">
        <v>22596</v>
      </c>
      <c r="X23" s="7" t="n">
        <v>28681</v>
      </c>
      <c r="Z23" s="7" t="n">
        <v>7101.7</v>
      </c>
      <c r="AB23" s="7" t="n">
        <v>205891.9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77397.60000000001</v>
      </c>
      <c r="D24" s="7" t="n">
        <v>62928.6</v>
      </c>
      <c r="E24" s="7" t="n">
        <v>53120.8</v>
      </c>
      <c r="F24" s="7" t="n">
        <v>96101.8</v>
      </c>
      <c r="G24" s="7" t="n">
        <v>111756</v>
      </c>
      <c r="H24" s="7" t="n">
        <v>102508.3</v>
      </c>
      <c r="I24" s="7" t="n">
        <v>95133.8</v>
      </c>
      <c r="J24" s="7" t="n">
        <v>123077.4</v>
      </c>
      <c r="K24" s="7" t="n">
        <v>64639.7</v>
      </c>
      <c r="L24" s="7" t="n">
        <v>70555.89999999999</v>
      </c>
      <c r="M24" s="7" t="n">
        <v>149364.9</v>
      </c>
      <c r="N24" s="7" t="n">
        <v>104421.7</v>
      </c>
      <c r="O24" s="7" t="n">
        <v>131721.3</v>
      </c>
      <c r="P24" s="7" t="n">
        <v>57365.4</v>
      </c>
      <c r="Q24" s="7" t="n">
        <v>122981.6</v>
      </c>
      <c r="R24" s="7" t="n">
        <v>143542</v>
      </c>
      <c r="S24" s="7" t="n">
        <v>142236</v>
      </c>
      <c r="T24" s="7" t="n">
        <v>126317.5</v>
      </c>
      <c r="U24" s="7" t="n">
        <v>155862.5</v>
      </c>
      <c r="V24" s="7" t="n">
        <v>192537.2</v>
      </c>
      <c r="W24" s="7" t="n">
        <v>90704.5</v>
      </c>
      <c r="X24" s="7" t="n">
        <v>193246.9</v>
      </c>
      <c r="Y24" s="7" t="n">
        <v>114316.5</v>
      </c>
      <c r="Z24" s="7" t="n">
        <v>69176.8</v>
      </c>
      <c r="AA24" s="8" t="n">
        <v>1309235.2</v>
      </c>
      <c r="AB24" s="8" t="n">
        <v>1341779.5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18.4</v>
      </c>
      <c r="D25" s="13" t="n">
        <v>24.6</v>
      </c>
      <c r="E25" s="13" t="n">
        <v>11.8</v>
      </c>
      <c r="F25" s="13" t="n">
        <v>22.2</v>
      </c>
      <c r="G25" s="13" t="n">
        <v>21.7</v>
      </c>
      <c r="H25" s="13" t="n">
        <v>28.5</v>
      </c>
      <c r="I25" s="13" t="n">
        <v>21.9</v>
      </c>
      <c r="J25" s="13" t="n">
        <v>25</v>
      </c>
      <c r="K25" s="13" t="n">
        <v>15.1</v>
      </c>
      <c r="L25" s="13" t="n">
        <v>20</v>
      </c>
      <c r="M25" s="13" t="n">
        <v>30.7</v>
      </c>
      <c r="N25" s="13" t="n">
        <v>23.3</v>
      </c>
      <c r="O25" s="13" t="n">
        <v>24</v>
      </c>
      <c r="P25" s="13" t="n">
        <v>25.9</v>
      </c>
      <c r="Q25" s="13" t="n">
        <v>25.4</v>
      </c>
      <c r="R25" s="13" t="n">
        <v>23.2</v>
      </c>
      <c r="S25" s="13" t="n">
        <v>26.3</v>
      </c>
      <c r="T25" s="13" t="n">
        <v>21</v>
      </c>
      <c r="U25" s="13" t="n">
        <v>29.5</v>
      </c>
      <c r="V25" s="13" t="n">
        <v>23.4</v>
      </c>
      <c r="W25" s="13" t="n">
        <v>20.4</v>
      </c>
      <c r="X25" s="13" t="n">
        <v>24.7</v>
      </c>
      <c r="Y25" s="13" t="n">
        <v>21.7</v>
      </c>
      <c r="Z25" s="13" t="n">
        <v>22.3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4743</v>
      </c>
      <c r="D26" s="7" t="n">
        <v>2793.9</v>
      </c>
      <c r="E26" s="7" t="n">
        <v>4404.1</v>
      </c>
      <c r="F26" s="7" t="n">
        <v>5472.9</v>
      </c>
      <c r="G26" s="7" t="n">
        <v>5337.8</v>
      </c>
      <c r="H26" s="7" t="n">
        <v>3584.4</v>
      </c>
      <c r="I26" s="7" t="n">
        <v>4819.3</v>
      </c>
      <c r="J26" s="7" t="n">
        <v>2944.8</v>
      </c>
      <c r="K26" s="7" t="n">
        <v>5266.1</v>
      </c>
      <c r="L26" s="7" t="n">
        <v>3045.3</v>
      </c>
      <c r="M26" s="7" t="n">
        <v>5638.6</v>
      </c>
      <c r="N26" s="7" t="n">
        <v>2929.3</v>
      </c>
      <c r="O26" s="7" t="n">
        <v>5315.6</v>
      </c>
      <c r="P26" s="7" t="n">
        <v>2996.6</v>
      </c>
      <c r="Q26" s="7" t="n">
        <v>4801.2</v>
      </c>
      <c r="R26" s="7" t="n">
        <v>7057.4</v>
      </c>
      <c r="S26" s="7" t="n">
        <v>4859.8</v>
      </c>
      <c r="T26" s="7" t="n">
        <v>7592</v>
      </c>
      <c r="U26" s="7" t="n">
        <v>4386.2</v>
      </c>
      <c r="V26" s="7" t="n">
        <v>10784</v>
      </c>
      <c r="W26" s="7" t="n">
        <v>4705.8</v>
      </c>
      <c r="X26" s="7" t="n">
        <v>7521.5</v>
      </c>
      <c r="Y26" s="7" t="n">
        <v>4828.8</v>
      </c>
      <c r="Z26" s="7" t="n">
        <v>2257.7</v>
      </c>
      <c r="AA26" s="8" t="n">
        <v>59106.3</v>
      </c>
      <c r="AB26" s="8" t="n">
        <v>58979.8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60601</v>
      </c>
      <c r="D27" s="7" t="n">
        <v>21161.6</v>
      </c>
      <c r="E27" s="7" t="n">
        <v>65969.10000000001</v>
      </c>
      <c r="F27" s="7" t="n">
        <v>43416.2</v>
      </c>
      <c r="G27" s="7" t="n">
        <v>62396.9</v>
      </c>
      <c r="H27" s="7" t="n">
        <v>58446.5</v>
      </c>
      <c r="I27" s="7" t="n">
        <v>60834.6</v>
      </c>
      <c r="J27" s="7" t="n">
        <v>62188.9</v>
      </c>
      <c r="K27" s="7" t="n">
        <v>56615.6</v>
      </c>
      <c r="L27" s="7" t="n">
        <v>41026.3</v>
      </c>
      <c r="M27" s="7" t="n">
        <v>59988.9</v>
      </c>
      <c r="N27" s="7" t="n">
        <v>71826.5</v>
      </c>
      <c r="O27" s="7" t="n">
        <v>65087.4</v>
      </c>
      <c r="P27" s="7" t="n">
        <v>34405.4</v>
      </c>
      <c r="Q27" s="7" t="n">
        <v>72618.89999999999</v>
      </c>
      <c r="R27" s="7" t="n">
        <v>79319.2</v>
      </c>
      <c r="S27" s="7" t="n">
        <v>73000.39999999999</v>
      </c>
      <c r="T27" s="7" t="n">
        <v>107942.3</v>
      </c>
      <c r="U27" s="7" t="n">
        <v>66298.60000000001</v>
      </c>
      <c r="V27" s="7" t="n">
        <v>127609.8</v>
      </c>
      <c r="W27" s="7" t="n">
        <v>62743</v>
      </c>
      <c r="X27" s="7" t="n">
        <v>100183.3</v>
      </c>
      <c r="Y27" s="7" t="n">
        <v>65419.6</v>
      </c>
      <c r="Z27" s="7" t="n">
        <v>47280.6</v>
      </c>
      <c r="AA27" s="8" t="n">
        <v>771574</v>
      </c>
      <c r="AB27" s="8" t="n">
        <v>794806.6</v>
      </c>
    </row>
    <row r="28">
      <c r="A28" s="4" t="inlineStr">
        <is>
          <t>职工薪酬</t>
        </is>
      </c>
      <c r="D28" s="7" t="n">
        <v>9722.700000000001</v>
      </c>
      <c r="F28" s="7" t="n">
        <v>22265.1</v>
      </c>
      <c r="H28" s="7" t="n">
        <v>26967.8</v>
      </c>
      <c r="J28" s="7" t="n">
        <v>27889.5</v>
      </c>
      <c r="L28" s="7" t="n">
        <v>21846.9</v>
      </c>
      <c r="N28" s="7" t="n">
        <v>36322.3</v>
      </c>
      <c r="P28" s="7" t="n">
        <v>15945.2</v>
      </c>
      <c r="R28" s="7" t="n">
        <v>39775.1</v>
      </c>
      <c r="T28" s="7" t="n">
        <v>50190.2</v>
      </c>
      <c r="V28" s="7" t="n">
        <v>78731.2</v>
      </c>
      <c r="X28" s="7" t="n">
        <v>48938</v>
      </c>
      <c r="Z28" s="7" t="n">
        <v>22551.1</v>
      </c>
      <c r="AB28" s="7" t="n">
        <v>401145.1</v>
      </c>
    </row>
    <row r="29">
      <c r="A29" s="4" t="inlineStr">
        <is>
          <t>工资</t>
        </is>
      </c>
      <c r="D29" s="7" t="n">
        <v>4618</v>
      </c>
      <c r="F29" s="7" t="n">
        <v>12373.2</v>
      </c>
      <c r="H29" s="7" t="n">
        <v>14910.9</v>
      </c>
      <c r="J29" s="7" t="n">
        <v>13174.8</v>
      </c>
      <c r="L29" s="7" t="n">
        <v>13435.6</v>
      </c>
      <c r="N29" s="7" t="n">
        <v>19960.9</v>
      </c>
      <c r="P29" s="7" t="n">
        <v>8506.299999999999</v>
      </c>
      <c r="R29" s="7" t="n">
        <v>23485</v>
      </c>
      <c r="T29" s="7" t="n">
        <v>23981.3</v>
      </c>
      <c r="V29" s="7" t="n">
        <v>45974</v>
      </c>
      <c r="X29" s="7" t="n">
        <v>24762.8</v>
      </c>
      <c r="Z29" s="7" t="n">
        <v>12807.7</v>
      </c>
      <c r="AB29" s="7" t="n">
        <v>217990.5</v>
      </c>
    </row>
    <row r="30">
      <c r="A30" s="4" t="inlineStr">
        <is>
          <t>奖金及提成</t>
        </is>
      </c>
      <c r="D30" s="7" t="n">
        <v>2403.9</v>
      </c>
      <c r="F30" s="7" t="n">
        <v>5557.9</v>
      </c>
      <c r="H30" s="7" t="n">
        <v>5497.1</v>
      </c>
      <c r="J30" s="7" t="n">
        <v>5911.3</v>
      </c>
      <c r="L30" s="7" t="n">
        <v>3212.4</v>
      </c>
      <c r="N30" s="7" t="n">
        <v>7629.7</v>
      </c>
      <c r="P30" s="7" t="n">
        <v>2858.2</v>
      </c>
      <c r="R30" s="7" t="n">
        <v>8070</v>
      </c>
      <c r="T30" s="7" t="n">
        <v>12232.3</v>
      </c>
      <c r="V30" s="7" t="n">
        <v>15332.8</v>
      </c>
      <c r="X30" s="7" t="n">
        <v>10663.8</v>
      </c>
      <c r="Z30" s="7" t="n">
        <v>4462.6</v>
      </c>
      <c r="AB30" s="7" t="n">
        <v>83832</v>
      </c>
    </row>
    <row r="31">
      <c r="A31" s="4" t="inlineStr">
        <is>
          <t>社保</t>
        </is>
      </c>
      <c r="D31" s="7" t="n">
        <v>1867.5</v>
      </c>
      <c r="F31" s="7" t="n">
        <v>2494.3</v>
      </c>
      <c r="H31" s="7" t="n">
        <v>4011.5</v>
      </c>
      <c r="J31" s="7" t="n">
        <v>6224.4</v>
      </c>
      <c r="L31" s="7" t="n">
        <v>3328</v>
      </c>
      <c r="N31" s="7" t="n">
        <v>5378.5</v>
      </c>
      <c r="P31" s="7" t="n">
        <v>3048.7</v>
      </c>
      <c r="R31" s="7" t="n">
        <v>5113.4</v>
      </c>
      <c r="T31" s="7" t="n">
        <v>9640.1</v>
      </c>
      <c r="V31" s="7" t="n">
        <v>11924.9</v>
      </c>
      <c r="X31" s="7" t="n">
        <v>9348.700000000001</v>
      </c>
      <c r="Z31" s="7" t="n">
        <v>3237.1</v>
      </c>
      <c r="AB31" s="7" t="n">
        <v>65617.10000000001</v>
      </c>
    </row>
    <row r="32">
      <c r="A32" s="4" t="inlineStr">
        <is>
          <t>养老</t>
        </is>
      </c>
      <c r="D32" s="7" t="n">
        <v>34.4</v>
      </c>
      <c r="F32" s="7" t="n">
        <v>100.2</v>
      </c>
      <c r="H32" s="7" t="n">
        <v>159.6</v>
      </c>
      <c r="J32" s="7" t="n">
        <v>164.5</v>
      </c>
      <c r="L32" s="7" t="n">
        <v>91.90000000000001</v>
      </c>
      <c r="N32" s="7" t="n">
        <v>171</v>
      </c>
      <c r="P32" s="7" t="n">
        <v>89.59999999999999</v>
      </c>
      <c r="R32" s="7" t="n">
        <v>229.9</v>
      </c>
      <c r="T32" s="7" t="n">
        <v>220.1</v>
      </c>
      <c r="V32" s="7" t="n">
        <v>351.8</v>
      </c>
      <c r="X32" s="7" t="n">
        <v>218.2</v>
      </c>
      <c r="Z32" s="7" t="n">
        <v>91.90000000000001</v>
      </c>
      <c r="AB32" s="7" t="n">
        <v>1923.1</v>
      </c>
    </row>
    <row r="33">
      <c r="A33" s="4" t="inlineStr">
        <is>
          <t>医疗</t>
        </is>
      </c>
      <c r="D33" s="7" t="n">
        <v>1</v>
      </c>
      <c r="F33" s="7" t="n">
        <v>2.8</v>
      </c>
      <c r="H33" s="7" t="n">
        <v>3</v>
      </c>
      <c r="J33" s="7" t="n">
        <v>3.5</v>
      </c>
      <c r="L33" s="7" t="n">
        <v>2.7</v>
      </c>
      <c r="N33" s="7" t="n">
        <v>4.2</v>
      </c>
      <c r="P33" s="7" t="n">
        <v>2.4</v>
      </c>
      <c r="R33" s="7" t="n">
        <v>4.6</v>
      </c>
      <c r="T33" s="7" t="n">
        <v>5.6</v>
      </c>
      <c r="V33" s="7" t="n">
        <v>6.3</v>
      </c>
      <c r="X33" s="7" t="n">
        <v>5.6</v>
      </c>
      <c r="Z33" s="7" t="n">
        <v>2</v>
      </c>
      <c r="AB33" s="7" t="n">
        <v>43.7</v>
      </c>
    </row>
    <row r="34">
      <c r="A34" s="4" t="inlineStr">
        <is>
          <t>工伤</t>
        </is>
      </c>
      <c r="D34" s="7" t="n">
        <v>70</v>
      </c>
      <c r="F34" s="7" t="n">
        <v>240.4</v>
      </c>
      <c r="H34" s="7" t="n">
        <v>274.4</v>
      </c>
      <c r="J34" s="7" t="n">
        <v>226.5</v>
      </c>
      <c r="L34" s="7" t="n">
        <v>153.2</v>
      </c>
      <c r="N34" s="7" t="n">
        <v>274.1</v>
      </c>
      <c r="P34" s="7" t="n">
        <v>149.6</v>
      </c>
      <c r="R34" s="7" t="n">
        <v>440.6</v>
      </c>
      <c r="T34" s="7" t="n">
        <v>485.3</v>
      </c>
      <c r="V34" s="7" t="n">
        <v>485.6</v>
      </c>
      <c r="X34" s="7" t="n">
        <v>340.5</v>
      </c>
      <c r="Z34" s="7" t="n">
        <v>176</v>
      </c>
      <c r="AB34" s="7" t="n">
        <v>3316.2</v>
      </c>
    </row>
    <row r="35">
      <c r="A35" s="4" t="inlineStr">
        <is>
          <t>失业</t>
        </is>
      </c>
      <c r="D35" s="7" t="n">
        <v>103.2</v>
      </c>
      <c r="F35" s="7" t="n">
        <v>204.7</v>
      </c>
      <c r="H35" s="7" t="n">
        <v>418.4</v>
      </c>
      <c r="J35" s="7" t="n">
        <v>462.4</v>
      </c>
      <c r="L35" s="7" t="n">
        <v>304.2</v>
      </c>
      <c r="N35" s="7" t="n">
        <v>484.8</v>
      </c>
      <c r="P35" s="7" t="n">
        <v>211.6</v>
      </c>
      <c r="R35" s="7" t="n">
        <v>522.3</v>
      </c>
      <c r="T35" s="7" t="n">
        <v>855.8</v>
      </c>
      <c r="V35" s="7" t="n">
        <v>603.3</v>
      </c>
      <c r="X35" s="7" t="n">
        <v>495.1</v>
      </c>
      <c r="Z35" s="7" t="n">
        <v>341.6</v>
      </c>
      <c r="AB35" s="7" t="n">
        <v>5007.4</v>
      </c>
    </row>
    <row r="36">
      <c r="A36" s="4" t="inlineStr">
        <is>
          <t>生育</t>
        </is>
      </c>
      <c r="D36" s="7" t="n">
        <v>26.9</v>
      </c>
      <c r="F36" s="7" t="n">
        <v>41.4</v>
      </c>
      <c r="H36" s="7" t="n">
        <v>52.8</v>
      </c>
      <c r="J36" s="7" t="n">
        <v>77.3</v>
      </c>
      <c r="L36" s="7" t="n">
        <v>40</v>
      </c>
      <c r="N36" s="7" t="n">
        <v>76.59999999999999</v>
      </c>
      <c r="P36" s="7" t="n">
        <v>25.6</v>
      </c>
      <c r="R36" s="7" t="n">
        <v>66</v>
      </c>
      <c r="T36" s="7" t="n">
        <v>85</v>
      </c>
      <c r="V36" s="7" t="n">
        <v>125.9</v>
      </c>
      <c r="X36" s="7" t="n">
        <v>108.4</v>
      </c>
      <c r="Z36" s="7" t="n">
        <v>40.3</v>
      </c>
      <c r="AB36" s="7" t="n">
        <v>766.2</v>
      </c>
    </row>
    <row r="37">
      <c r="A37" s="4" t="inlineStr">
        <is>
          <t>公积金</t>
        </is>
      </c>
      <c r="D37" s="7" t="n">
        <v>96</v>
      </c>
      <c r="F37" s="7" t="n">
        <v>175</v>
      </c>
      <c r="H37" s="7" t="n">
        <v>265.3</v>
      </c>
      <c r="J37" s="7" t="n">
        <v>331.1</v>
      </c>
      <c r="L37" s="7" t="n">
        <v>294.2</v>
      </c>
      <c r="N37" s="7" t="n">
        <v>420</v>
      </c>
      <c r="P37" s="7" t="n">
        <v>199</v>
      </c>
      <c r="R37" s="7" t="n">
        <v>337.4</v>
      </c>
      <c r="T37" s="7" t="n">
        <v>780.6</v>
      </c>
      <c r="V37" s="7" t="n">
        <v>616.1</v>
      </c>
      <c r="X37" s="7" t="n">
        <v>623</v>
      </c>
      <c r="Z37" s="7" t="n">
        <v>228.7</v>
      </c>
      <c r="AB37" s="7" t="n">
        <v>4366.4</v>
      </c>
    </row>
    <row r="38">
      <c r="A38" s="4" t="inlineStr">
        <is>
          <t>工会经费</t>
        </is>
      </c>
      <c r="D38" s="7" t="n">
        <v>84.7</v>
      </c>
      <c r="F38" s="7" t="n">
        <v>242.5</v>
      </c>
      <c r="H38" s="7" t="n">
        <v>387.9</v>
      </c>
      <c r="J38" s="7" t="n">
        <v>328</v>
      </c>
      <c r="L38" s="7" t="n">
        <v>274.3</v>
      </c>
      <c r="N38" s="7" t="n">
        <v>451.1</v>
      </c>
      <c r="P38" s="7" t="n">
        <v>234.3</v>
      </c>
      <c r="R38" s="7" t="n">
        <v>510.3</v>
      </c>
      <c r="T38" s="7" t="n">
        <v>439</v>
      </c>
      <c r="V38" s="7" t="n">
        <v>869.9</v>
      </c>
      <c r="X38" s="7" t="n">
        <v>526.7</v>
      </c>
      <c r="Z38" s="7" t="n">
        <v>299.9</v>
      </c>
      <c r="AB38" s="7" t="n">
        <v>4648.6</v>
      </c>
    </row>
    <row r="39">
      <c r="A39" s="4" t="inlineStr">
        <is>
          <t>职工教育经费</t>
        </is>
      </c>
      <c r="D39" s="7" t="n">
        <v>136.9</v>
      </c>
      <c r="F39" s="7" t="n">
        <v>319.8</v>
      </c>
      <c r="H39" s="7" t="n">
        <v>297.8</v>
      </c>
      <c r="J39" s="7" t="n">
        <v>296.6</v>
      </c>
      <c r="L39" s="7" t="n">
        <v>193.7</v>
      </c>
      <c r="N39" s="7" t="n">
        <v>502.4</v>
      </c>
      <c r="P39" s="7" t="n">
        <v>162.3</v>
      </c>
      <c r="R39" s="7" t="n">
        <v>577.5</v>
      </c>
      <c r="T39" s="7" t="n">
        <v>582.2</v>
      </c>
      <c r="V39" s="7" t="n">
        <v>620.1</v>
      </c>
      <c r="X39" s="7" t="n">
        <v>448</v>
      </c>
      <c r="Z39" s="7" t="n">
        <v>326.3</v>
      </c>
      <c r="AB39" s="7" t="n">
        <v>4463.6</v>
      </c>
    </row>
    <row r="40">
      <c r="A40" s="4" t="inlineStr">
        <is>
          <t>福利费</t>
        </is>
      </c>
      <c r="D40" s="7" t="n">
        <v>515.7</v>
      </c>
      <c r="F40" s="7" t="n">
        <v>1102.4</v>
      </c>
      <c r="H40" s="7" t="n">
        <v>1597.3</v>
      </c>
      <c r="J40" s="7" t="n">
        <v>1623.3</v>
      </c>
      <c r="L40" s="7" t="n">
        <v>1108.7</v>
      </c>
      <c r="N40" s="7" t="n">
        <v>1979.7</v>
      </c>
      <c r="P40" s="7" t="n">
        <v>936.4</v>
      </c>
      <c r="R40" s="7" t="n">
        <v>1681.5</v>
      </c>
      <c r="T40" s="7" t="n">
        <v>2534.7</v>
      </c>
      <c r="V40" s="7" t="n">
        <v>3393.4</v>
      </c>
      <c r="X40" s="7" t="n">
        <v>2565</v>
      </c>
      <c r="Z40" s="7" t="n">
        <v>1188.8</v>
      </c>
      <c r="AB40" s="7" t="n">
        <v>20226.9</v>
      </c>
    </row>
    <row r="41">
      <c r="A41" s="4" t="inlineStr">
        <is>
          <t>职工房租</t>
        </is>
      </c>
      <c r="D41" s="7" t="n">
        <v>130.7</v>
      </c>
      <c r="F41" s="7" t="n">
        <v>267.8</v>
      </c>
      <c r="H41" s="7" t="n">
        <v>436.2</v>
      </c>
      <c r="J41" s="7" t="n">
        <v>321.5</v>
      </c>
      <c r="L41" s="7" t="n">
        <v>265.3</v>
      </c>
      <c r="N41" s="7" t="n">
        <v>345</v>
      </c>
      <c r="P41" s="7" t="n">
        <v>211.2</v>
      </c>
      <c r="R41" s="7" t="n">
        <v>355.7</v>
      </c>
      <c r="T41" s="7" t="n">
        <v>698.7</v>
      </c>
      <c r="V41" s="7" t="n">
        <v>954.5</v>
      </c>
      <c r="X41" s="7" t="n">
        <v>576.4</v>
      </c>
      <c r="Z41" s="7" t="n">
        <v>279.8</v>
      </c>
      <c r="AB41" s="7" t="n">
        <v>4842.8</v>
      </c>
    </row>
    <row r="42">
      <c r="A42" s="4" t="inlineStr">
        <is>
          <t>水电物业费</t>
        </is>
      </c>
      <c r="D42" s="7" t="n">
        <v>14.9</v>
      </c>
      <c r="F42" s="7" t="n">
        <v>19.1</v>
      </c>
      <c r="H42" s="7" t="n">
        <v>31.1</v>
      </c>
      <c r="J42" s="7" t="n">
        <v>32.2</v>
      </c>
      <c r="L42" s="7" t="n">
        <v>17.1</v>
      </c>
      <c r="N42" s="7" t="n">
        <v>52.7</v>
      </c>
      <c r="P42" s="7" t="n">
        <v>20.4</v>
      </c>
      <c r="R42" s="7" t="n">
        <v>43.3</v>
      </c>
      <c r="T42" s="7" t="n">
        <v>47.7</v>
      </c>
      <c r="V42" s="7" t="n">
        <v>69.8</v>
      </c>
      <c r="X42" s="7" t="n">
        <v>54.4</v>
      </c>
      <c r="Z42" s="7" t="n">
        <v>25.3</v>
      </c>
      <c r="AB42" s="7" t="n">
        <v>428</v>
      </c>
    </row>
    <row r="43">
      <c r="A43" s="4" t="inlineStr">
        <is>
          <t>员工餐</t>
        </is>
      </c>
      <c r="D43" s="7" t="n">
        <v>36.9</v>
      </c>
      <c r="F43" s="7" t="n">
        <v>114.8</v>
      </c>
      <c r="H43" s="7" t="n">
        <v>130.9</v>
      </c>
      <c r="J43" s="7" t="n">
        <v>119.1</v>
      </c>
      <c r="L43" s="7" t="n">
        <v>114.6</v>
      </c>
      <c r="N43" s="7" t="n">
        <v>164.2</v>
      </c>
      <c r="P43" s="7" t="n">
        <v>64.2</v>
      </c>
      <c r="R43" s="7" t="n">
        <v>198</v>
      </c>
      <c r="T43" s="7" t="n">
        <v>246.5</v>
      </c>
      <c r="V43" s="7" t="n">
        <v>197.8</v>
      </c>
      <c r="X43" s="7" t="n">
        <v>246.6</v>
      </c>
      <c r="Z43" s="7" t="n">
        <v>103</v>
      </c>
      <c r="AB43" s="7" t="n">
        <v>1736.6</v>
      </c>
    </row>
    <row r="44">
      <c r="A44" s="4" t="inlineStr">
        <is>
          <t>节日礼品</t>
        </is>
      </c>
      <c r="D44" s="7" t="n">
        <v>66.8</v>
      </c>
      <c r="F44" s="7" t="n">
        <v>109.1</v>
      </c>
      <c r="H44" s="7" t="n">
        <v>240.5</v>
      </c>
      <c r="J44" s="7" t="n">
        <v>288.7</v>
      </c>
      <c r="L44" s="7" t="n">
        <v>169.3</v>
      </c>
      <c r="N44" s="7" t="n">
        <v>310.7</v>
      </c>
      <c r="P44" s="7" t="n">
        <v>87.90000000000001</v>
      </c>
      <c r="R44" s="7" t="n">
        <v>206.4</v>
      </c>
      <c r="T44" s="7" t="n">
        <v>273</v>
      </c>
      <c r="V44" s="7" t="n">
        <v>515.9</v>
      </c>
      <c r="X44" s="7" t="n">
        <v>273.4</v>
      </c>
      <c r="Z44" s="7" t="n">
        <v>216</v>
      </c>
      <c r="AB44" s="7" t="n">
        <v>2757.7</v>
      </c>
    </row>
    <row r="45">
      <c r="A45" s="4" t="inlineStr">
        <is>
          <t>生日礼品</t>
        </is>
      </c>
      <c r="D45" s="7" t="n">
        <v>123.9</v>
      </c>
      <c r="F45" s="7" t="n">
        <v>192.2</v>
      </c>
      <c r="H45" s="7" t="n">
        <v>376.4</v>
      </c>
      <c r="J45" s="7" t="n">
        <v>427.9</v>
      </c>
      <c r="L45" s="7" t="n">
        <v>264.9</v>
      </c>
      <c r="N45" s="7" t="n">
        <v>503.8</v>
      </c>
      <c r="P45" s="7" t="n">
        <v>234.2</v>
      </c>
      <c r="R45" s="7" t="n">
        <v>370.2</v>
      </c>
      <c r="T45" s="7" t="n">
        <v>430.1</v>
      </c>
      <c r="V45" s="7" t="n">
        <v>604.5</v>
      </c>
      <c r="X45" s="7" t="n">
        <v>578.9</v>
      </c>
      <c r="Z45" s="7" t="n">
        <v>188.7</v>
      </c>
      <c r="AB45" s="7" t="n">
        <v>4295.7</v>
      </c>
    </row>
    <row r="46">
      <c r="A46" s="4" t="inlineStr">
        <is>
          <t>体检</t>
        </is>
      </c>
      <c r="D46" s="7" t="n">
        <v>38.7</v>
      </c>
      <c r="F46" s="7" t="n">
        <v>58.3</v>
      </c>
      <c r="H46" s="7" t="n">
        <v>70.40000000000001</v>
      </c>
      <c r="J46" s="7" t="n">
        <v>75.59999999999999</v>
      </c>
      <c r="L46" s="7" t="n">
        <v>42.6</v>
      </c>
      <c r="N46" s="7" t="n">
        <v>84.90000000000001</v>
      </c>
      <c r="P46" s="7" t="n">
        <v>46.5</v>
      </c>
      <c r="R46" s="7" t="n">
        <v>84.8</v>
      </c>
      <c r="T46" s="7" t="n">
        <v>189</v>
      </c>
      <c r="V46" s="7" t="n">
        <v>234.3</v>
      </c>
      <c r="X46" s="7" t="n">
        <v>175</v>
      </c>
      <c r="Z46" s="7" t="n">
        <v>63.3</v>
      </c>
      <c r="AB46" s="7" t="n">
        <v>1163.4</v>
      </c>
    </row>
    <row r="47">
      <c r="A47" s="4" t="inlineStr">
        <is>
          <t>其他福利支出</t>
        </is>
      </c>
      <c r="D47" s="7" t="n">
        <v>103.8</v>
      </c>
      <c r="F47" s="7" t="n">
        <v>341.1</v>
      </c>
      <c r="H47" s="7" t="n">
        <v>311.8</v>
      </c>
      <c r="J47" s="7" t="n">
        <v>358.3</v>
      </c>
      <c r="L47" s="7" t="n">
        <v>234.9</v>
      </c>
      <c r="N47" s="7" t="n">
        <v>518.4</v>
      </c>
      <c r="P47" s="7" t="n">
        <v>272</v>
      </c>
      <c r="R47" s="7" t="n">
        <v>423.1</v>
      </c>
      <c r="T47" s="7" t="n">
        <v>649.7</v>
      </c>
      <c r="V47" s="7" t="n">
        <v>816.6</v>
      </c>
      <c r="X47" s="7" t="n">
        <v>660.3</v>
      </c>
      <c r="Z47" s="7" t="n">
        <v>312.7</v>
      </c>
      <c r="AB47" s="7" t="n">
        <v>5002.7</v>
      </c>
    </row>
    <row r="48">
      <c r="A48" s="4" t="inlineStr">
        <is>
          <t>招聘费</t>
        </is>
      </c>
      <c r="D48" s="7" t="n">
        <v>79.59999999999999</v>
      </c>
      <c r="F48" s="7" t="n">
        <v>161.5</v>
      </c>
      <c r="H48" s="7" t="n">
        <v>310.5</v>
      </c>
      <c r="J48" s="7" t="n">
        <v>231.2</v>
      </c>
      <c r="L48" s="7" t="n">
        <v>149.1</v>
      </c>
      <c r="N48" s="7" t="n">
        <v>396.1</v>
      </c>
      <c r="P48" s="7" t="n">
        <v>146.9</v>
      </c>
      <c r="R48" s="7" t="n">
        <v>288.5</v>
      </c>
      <c r="T48" s="7" t="n">
        <v>470.4</v>
      </c>
      <c r="V48" s="7" t="n">
        <v>409.7</v>
      </c>
      <c r="X48" s="7" t="n">
        <v>466.9</v>
      </c>
      <c r="Z48" s="7" t="n">
        <v>195.7</v>
      </c>
      <c r="AB48" s="7" t="n">
        <v>3306.1</v>
      </c>
    </row>
    <row r="49">
      <c r="A49" s="4" t="inlineStr">
        <is>
          <t>办公费</t>
        </is>
      </c>
      <c r="D49" s="7" t="n">
        <v>728.8</v>
      </c>
      <c r="F49" s="7" t="n">
        <v>1332.5</v>
      </c>
      <c r="H49" s="7" t="n">
        <v>1906.1</v>
      </c>
      <c r="J49" s="7" t="n">
        <v>1443</v>
      </c>
      <c r="L49" s="7" t="n">
        <v>1475.7</v>
      </c>
      <c r="N49" s="7" t="n">
        <v>2528</v>
      </c>
      <c r="P49" s="7" t="n">
        <v>1188.6</v>
      </c>
      <c r="R49" s="7" t="n">
        <v>1794.9</v>
      </c>
      <c r="T49" s="7" t="n">
        <v>3976</v>
      </c>
      <c r="V49" s="7" t="n">
        <v>2812</v>
      </c>
      <c r="X49" s="7" t="n">
        <v>3510.6</v>
      </c>
      <c r="Z49" s="7" t="n">
        <v>1632.3</v>
      </c>
      <c r="AB49" s="7" t="n">
        <v>24328.5</v>
      </c>
    </row>
    <row r="50">
      <c r="A50" s="4" t="inlineStr">
        <is>
          <t>市内交通费</t>
        </is>
      </c>
      <c r="D50" s="7" t="n">
        <v>67.8</v>
      </c>
      <c r="F50" s="7" t="n">
        <v>119.3</v>
      </c>
      <c r="H50" s="7" t="n">
        <v>160.9</v>
      </c>
      <c r="J50" s="7" t="n">
        <v>203.6</v>
      </c>
      <c r="L50" s="7" t="n">
        <v>81.5</v>
      </c>
      <c r="N50" s="7" t="n">
        <v>156.5</v>
      </c>
      <c r="P50" s="7" t="n">
        <v>88.40000000000001</v>
      </c>
      <c r="R50" s="7" t="n">
        <v>167.3</v>
      </c>
      <c r="T50" s="7" t="n">
        <v>274.9</v>
      </c>
      <c r="V50" s="7" t="n">
        <v>291</v>
      </c>
      <c r="X50" s="7" t="n">
        <v>238.2</v>
      </c>
      <c r="Z50" s="7" t="n">
        <v>96.90000000000001</v>
      </c>
      <c r="AB50" s="7" t="n">
        <v>1946.3</v>
      </c>
    </row>
    <row r="51">
      <c r="A51" s="4" t="inlineStr">
        <is>
          <t>差旅费</t>
        </is>
      </c>
      <c r="D51" s="7" t="n">
        <v>1579.3</v>
      </c>
      <c r="F51" s="7" t="n">
        <v>2423.6</v>
      </c>
      <c r="H51" s="7" t="n">
        <v>3707.3</v>
      </c>
      <c r="J51" s="7" t="n">
        <v>4552.9</v>
      </c>
      <c r="L51" s="7" t="n">
        <v>2669.7</v>
      </c>
      <c r="N51" s="7" t="n">
        <v>4481.2</v>
      </c>
      <c r="P51" s="7" t="n">
        <v>2561.9</v>
      </c>
      <c r="R51" s="7" t="n">
        <v>4307.7</v>
      </c>
      <c r="T51" s="7" t="n">
        <v>8365</v>
      </c>
      <c r="V51" s="7" t="n">
        <v>5808.8</v>
      </c>
      <c r="X51" s="7" t="n">
        <v>4685.4</v>
      </c>
      <c r="Z51" s="7" t="n">
        <v>2659</v>
      </c>
      <c r="AB51" s="7" t="n">
        <v>47801.8</v>
      </c>
    </row>
    <row r="52">
      <c r="A52" s="4" t="inlineStr">
        <is>
          <t>交通费</t>
        </is>
      </c>
      <c r="D52" s="7" t="n">
        <v>8.800000000000001</v>
      </c>
      <c r="F52" s="7" t="n">
        <v>21.4</v>
      </c>
      <c r="H52" s="7" t="n">
        <v>24.5</v>
      </c>
      <c r="J52" s="7" t="n">
        <v>29.2</v>
      </c>
      <c r="L52" s="7" t="n">
        <v>25.9</v>
      </c>
      <c r="N52" s="7" t="n">
        <v>43.4</v>
      </c>
      <c r="P52" s="7" t="n">
        <v>14.8</v>
      </c>
      <c r="R52" s="7" t="n">
        <v>35.2</v>
      </c>
      <c r="T52" s="7" t="n">
        <v>59.2</v>
      </c>
      <c r="V52" s="7" t="n">
        <v>63.9</v>
      </c>
      <c r="X52" s="7" t="n">
        <v>62.5</v>
      </c>
      <c r="Z52" s="7" t="n">
        <v>20.1</v>
      </c>
      <c r="AB52" s="7" t="n">
        <v>408.9</v>
      </c>
    </row>
    <row r="53">
      <c r="A53" s="4" t="inlineStr">
        <is>
          <t>住宿费</t>
        </is>
      </c>
      <c r="D53" s="7" t="n">
        <v>17.8</v>
      </c>
      <c r="F53" s="7" t="n">
        <v>32.8</v>
      </c>
      <c r="H53" s="7" t="n">
        <v>48.7</v>
      </c>
      <c r="J53" s="7" t="n">
        <v>40.1</v>
      </c>
      <c r="L53" s="7" t="n">
        <v>26.8</v>
      </c>
      <c r="N53" s="7" t="n">
        <v>56.2</v>
      </c>
      <c r="P53" s="7" t="n">
        <v>16.6</v>
      </c>
      <c r="R53" s="7" t="n">
        <v>55.8</v>
      </c>
      <c r="T53" s="7" t="n">
        <v>57.9</v>
      </c>
      <c r="V53" s="7" t="n">
        <v>98.59999999999999</v>
      </c>
      <c r="X53" s="7" t="n">
        <v>68.90000000000001</v>
      </c>
      <c r="Z53" s="7" t="n">
        <v>27.5</v>
      </c>
      <c r="AB53" s="7" t="n">
        <v>547.7</v>
      </c>
    </row>
    <row r="54">
      <c r="A54" s="4" t="inlineStr">
        <is>
          <t>餐补</t>
        </is>
      </c>
      <c r="D54" s="7" t="n">
        <v>104.6</v>
      </c>
      <c r="F54" s="7" t="n">
        <v>202.8</v>
      </c>
      <c r="H54" s="7" t="n">
        <v>376.4</v>
      </c>
      <c r="J54" s="7" t="n">
        <v>263.1</v>
      </c>
      <c r="L54" s="7" t="n">
        <v>262.3</v>
      </c>
      <c r="N54" s="7" t="n">
        <v>500.9</v>
      </c>
      <c r="P54" s="7" t="n">
        <v>180.1</v>
      </c>
      <c r="R54" s="7" t="n">
        <v>405.2</v>
      </c>
      <c r="T54" s="7" t="n">
        <v>533.9</v>
      </c>
      <c r="V54" s="7" t="n">
        <v>828.3</v>
      </c>
      <c r="X54" s="7" t="n">
        <v>450.3</v>
      </c>
      <c r="Z54" s="7" t="n">
        <v>284.5</v>
      </c>
      <c r="AB54" s="7" t="n">
        <v>4392.4</v>
      </c>
    </row>
    <row r="55">
      <c r="A55" s="4" t="inlineStr">
        <is>
          <t>交通补助</t>
        </is>
      </c>
      <c r="D55" s="7" t="n">
        <v>12.3</v>
      </c>
      <c r="F55" s="7" t="n">
        <v>36</v>
      </c>
      <c r="H55" s="7" t="n">
        <v>40.7</v>
      </c>
      <c r="J55" s="7" t="n">
        <v>41.3</v>
      </c>
      <c r="L55" s="7" t="n">
        <v>35.3</v>
      </c>
      <c r="N55" s="7" t="n">
        <v>48.3</v>
      </c>
      <c r="P55" s="7" t="n">
        <v>18.6</v>
      </c>
      <c r="R55" s="7" t="n">
        <v>53.5</v>
      </c>
      <c r="T55" s="7" t="n">
        <v>95.5</v>
      </c>
      <c r="V55" s="7" t="n">
        <v>81.3</v>
      </c>
      <c r="X55" s="7" t="n">
        <v>79</v>
      </c>
      <c r="Z55" s="7" t="n">
        <v>39.6</v>
      </c>
      <c r="AB55" s="7" t="n">
        <v>581.4</v>
      </c>
    </row>
    <row r="56">
      <c r="A56" s="4" t="inlineStr">
        <is>
          <t>通讯补助</t>
        </is>
      </c>
      <c r="D56" s="7" t="n">
        <v>16.1</v>
      </c>
      <c r="F56" s="7" t="n">
        <v>44.8</v>
      </c>
      <c r="H56" s="7" t="n">
        <v>66.09999999999999</v>
      </c>
      <c r="J56" s="7" t="n">
        <v>53.3</v>
      </c>
      <c r="L56" s="7" t="n">
        <v>48.6</v>
      </c>
      <c r="N56" s="7" t="n">
        <v>64.5</v>
      </c>
      <c r="P56" s="7" t="n">
        <v>43.6</v>
      </c>
      <c r="R56" s="7" t="n">
        <v>93.7</v>
      </c>
      <c r="T56" s="7" t="n">
        <v>114.4</v>
      </c>
      <c r="V56" s="7" t="n">
        <v>146.5</v>
      </c>
      <c r="X56" s="7" t="n">
        <v>129.1</v>
      </c>
      <c r="Z56" s="7" t="n">
        <v>41.9</v>
      </c>
      <c r="AB56" s="7" t="n">
        <v>862.6</v>
      </c>
    </row>
    <row r="57">
      <c r="A57" s="4" t="inlineStr">
        <is>
          <t>招待费</t>
        </is>
      </c>
      <c r="D57" s="7" t="n">
        <v>868.2</v>
      </c>
      <c r="F57" s="7" t="n">
        <v>1729</v>
      </c>
      <c r="H57" s="7" t="n">
        <v>2241.7</v>
      </c>
      <c r="J57" s="7" t="n">
        <v>2687.6</v>
      </c>
      <c r="L57" s="7" t="n">
        <v>1965.5</v>
      </c>
      <c r="N57" s="7" t="n">
        <v>2352.9</v>
      </c>
      <c r="P57" s="7" t="n">
        <v>1135.9</v>
      </c>
      <c r="R57" s="7" t="n">
        <v>2667.3</v>
      </c>
      <c r="T57" s="7" t="n">
        <v>3463.2</v>
      </c>
      <c r="V57" s="7" t="n">
        <v>5378.7</v>
      </c>
      <c r="X57" s="7" t="n">
        <v>4147.2</v>
      </c>
      <c r="Z57" s="7" t="n">
        <v>1725.9</v>
      </c>
      <c r="AB57" s="7" t="n">
        <v>30363.1</v>
      </c>
    </row>
    <row r="58">
      <c r="A58" s="4" t="inlineStr">
        <is>
          <t>通讯费</t>
        </is>
      </c>
      <c r="D58" s="7" t="n">
        <v>53.2</v>
      </c>
      <c r="F58" s="7" t="n">
        <v>74.8</v>
      </c>
      <c r="H58" s="7" t="n">
        <v>124</v>
      </c>
      <c r="J58" s="7" t="n">
        <v>164.9</v>
      </c>
      <c r="L58" s="7" t="n">
        <v>105.9</v>
      </c>
      <c r="N58" s="7" t="n">
        <v>215.1</v>
      </c>
      <c r="P58" s="7" t="n">
        <v>69.90000000000001</v>
      </c>
      <c r="R58" s="7" t="n">
        <v>229</v>
      </c>
      <c r="T58" s="7" t="n">
        <v>228.1</v>
      </c>
      <c r="V58" s="7" t="n">
        <v>300.2</v>
      </c>
      <c r="X58" s="7" t="n">
        <v>275.3</v>
      </c>
      <c r="Z58" s="7" t="n">
        <v>126.6</v>
      </c>
      <c r="AB58" s="7" t="n">
        <v>1967</v>
      </c>
    </row>
    <row r="59">
      <c r="A59" s="4" t="inlineStr">
        <is>
          <t>网络费</t>
        </is>
      </c>
      <c r="D59" s="7" t="n">
        <v>88.2</v>
      </c>
      <c r="F59" s="7" t="n">
        <v>154.8</v>
      </c>
      <c r="H59" s="7" t="n">
        <v>260.9</v>
      </c>
      <c r="J59" s="7" t="n">
        <v>193</v>
      </c>
      <c r="L59" s="7" t="n">
        <v>137.3</v>
      </c>
      <c r="N59" s="7" t="n">
        <v>293.8</v>
      </c>
      <c r="P59" s="7" t="n">
        <v>93.5</v>
      </c>
      <c r="R59" s="7" t="n">
        <v>323.6</v>
      </c>
      <c r="T59" s="7" t="n">
        <v>266.9</v>
      </c>
      <c r="V59" s="7" t="n">
        <v>445.9</v>
      </c>
      <c r="X59" s="7" t="n">
        <v>327.1</v>
      </c>
      <c r="Z59" s="7" t="n">
        <v>127.5</v>
      </c>
      <c r="AB59" s="7" t="n">
        <v>2712.5</v>
      </c>
    </row>
    <row r="60">
      <c r="A60" s="4" t="inlineStr">
        <is>
          <t>修理费</t>
        </is>
      </c>
      <c r="D60" s="7" t="n">
        <v>65</v>
      </c>
      <c r="F60" s="7" t="n">
        <v>147</v>
      </c>
      <c r="H60" s="7" t="n">
        <v>185.9</v>
      </c>
      <c r="J60" s="7" t="n">
        <v>278.4</v>
      </c>
      <c r="L60" s="7" t="n">
        <v>192.6</v>
      </c>
      <c r="N60" s="7" t="n">
        <v>314.5</v>
      </c>
      <c r="P60" s="7" t="n">
        <v>98.59999999999999</v>
      </c>
      <c r="R60" s="7" t="n">
        <v>319.6</v>
      </c>
      <c r="T60" s="7" t="n">
        <v>331.5</v>
      </c>
      <c r="V60" s="7" t="n">
        <v>389</v>
      </c>
      <c r="X60" s="7" t="n">
        <v>311.1</v>
      </c>
      <c r="Z60" s="7" t="n">
        <v>164.9</v>
      </c>
      <c r="AB60" s="7" t="n">
        <v>2798.1</v>
      </c>
    </row>
    <row r="61">
      <c r="A61" s="4" t="inlineStr">
        <is>
          <t>车辆费</t>
        </is>
      </c>
      <c r="D61" s="7" t="n">
        <v>106.9</v>
      </c>
      <c r="F61" s="7" t="n">
        <v>195.9</v>
      </c>
      <c r="H61" s="7" t="n">
        <v>340.7</v>
      </c>
      <c r="J61" s="7" t="n">
        <v>388</v>
      </c>
      <c r="L61" s="7" t="n">
        <v>191.6</v>
      </c>
      <c r="N61" s="7" t="n">
        <v>410.4</v>
      </c>
      <c r="P61" s="7" t="n">
        <v>220.3</v>
      </c>
      <c r="R61" s="7" t="n">
        <v>380.3</v>
      </c>
      <c r="T61" s="7" t="n">
        <v>551.2</v>
      </c>
      <c r="V61" s="7" t="n">
        <v>513.8</v>
      </c>
      <c r="X61" s="7" t="n">
        <v>573.5</v>
      </c>
      <c r="Z61" s="7" t="n">
        <v>287.6</v>
      </c>
      <c r="AB61" s="7" t="n">
        <v>4160.2</v>
      </c>
    </row>
    <row r="62">
      <c r="A62" s="4" t="inlineStr">
        <is>
          <t>租赁费</t>
        </is>
      </c>
      <c r="D62" s="7" t="n">
        <v>1150.8</v>
      </c>
      <c r="F62" s="7" t="n">
        <v>1637.6</v>
      </c>
      <c r="H62" s="7" t="n">
        <v>3703.9</v>
      </c>
      <c r="J62" s="7" t="n">
        <v>3655.9</v>
      </c>
      <c r="L62" s="7" t="n">
        <v>1738.3</v>
      </c>
      <c r="N62" s="7" t="n">
        <v>3103.3</v>
      </c>
      <c r="P62" s="7" t="n">
        <v>1500.9</v>
      </c>
      <c r="R62" s="7" t="n">
        <v>4140.6</v>
      </c>
      <c r="T62" s="7" t="n">
        <v>5701.6</v>
      </c>
      <c r="V62" s="7" t="n">
        <v>7483.3</v>
      </c>
      <c r="X62" s="7" t="n">
        <v>5326.2</v>
      </c>
      <c r="Z62" s="7" t="n">
        <v>2584.1</v>
      </c>
      <c r="AB62" s="7" t="n">
        <v>41726.5</v>
      </c>
    </row>
    <row r="63">
      <c r="A63" s="4" t="inlineStr">
        <is>
          <t>能源费</t>
        </is>
      </c>
      <c r="D63" s="7" t="n">
        <v>146.6</v>
      </c>
      <c r="F63" s="7" t="n">
        <v>271.5</v>
      </c>
      <c r="H63" s="7" t="n">
        <v>388.6</v>
      </c>
      <c r="J63" s="7" t="n">
        <v>366.6</v>
      </c>
      <c r="L63" s="7" t="n">
        <v>275.5</v>
      </c>
      <c r="N63" s="7" t="n">
        <v>499</v>
      </c>
      <c r="P63" s="7" t="n">
        <v>238.6</v>
      </c>
      <c r="R63" s="7" t="n">
        <v>494.8</v>
      </c>
      <c r="T63" s="7" t="n">
        <v>694.3</v>
      </c>
      <c r="V63" s="7" t="n">
        <v>872.5</v>
      </c>
      <c r="X63" s="7" t="n">
        <v>516</v>
      </c>
      <c r="Z63" s="7" t="n">
        <v>282.6</v>
      </c>
      <c r="AB63" s="7" t="n">
        <v>5046.6</v>
      </c>
    </row>
    <row r="64">
      <c r="A64" s="4" t="inlineStr">
        <is>
          <t>水费</t>
        </is>
      </c>
      <c r="D64" s="7" t="n">
        <v>11.1</v>
      </c>
      <c r="F64" s="7" t="n">
        <v>20.7</v>
      </c>
      <c r="H64" s="7" t="n">
        <v>18.2</v>
      </c>
      <c r="J64" s="7" t="n">
        <v>22.8</v>
      </c>
      <c r="L64" s="7" t="n">
        <v>13.4</v>
      </c>
      <c r="N64" s="7" t="n">
        <v>35.9</v>
      </c>
      <c r="P64" s="7" t="n">
        <v>11.3</v>
      </c>
      <c r="R64" s="7" t="n">
        <v>28.9</v>
      </c>
      <c r="T64" s="7" t="n">
        <v>43.6</v>
      </c>
      <c r="V64" s="7" t="n">
        <v>45.8</v>
      </c>
      <c r="X64" s="7" t="n">
        <v>47</v>
      </c>
      <c r="Z64" s="7" t="n">
        <v>16.2</v>
      </c>
      <c r="AB64" s="7" t="n">
        <v>314.9</v>
      </c>
    </row>
    <row r="65">
      <c r="A65" s="4" t="inlineStr">
        <is>
          <t>电费</t>
        </is>
      </c>
      <c r="D65" s="7" t="n">
        <v>40.4</v>
      </c>
      <c r="F65" s="7" t="n">
        <v>63.8</v>
      </c>
      <c r="H65" s="7" t="n">
        <v>120.5</v>
      </c>
      <c r="J65" s="7" t="n">
        <v>112.9</v>
      </c>
      <c r="L65" s="7" t="n">
        <v>56.4</v>
      </c>
      <c r="N65" s="7" t="n">
        <v>102.1</v>
      </c>
      <c r="P65" s="7" t="n">
        <v>86</v>
      </c>
      <c r="R65" s="7" t="n">
        <v>195.1</v>
      </c>
      <c r="T65" s="7" t="n">
        <v>165.8</v>
      </c>
      <c r="V65" s="7" t="n">
        <v>247.1</v>
      </c>
      <c r="X65" s="7" t="n">
        <v>141.4</v>
      </c>
      <c r="Z65" s="7" t="n">
        <v>86.8</v>
      </c>
      <c r="AB65" s="7" t="n">
        <v>1418.3</v>
      </c>
    </row>
    <row r="66">
      <c r="A66" s="4" t="inlineStr">
        <is>
          <t>燃气费</t>
        </is>
      </c>
      <c r="D66" s="7" t="n">
        <v>69.59999999999999</v>
      </c>
      <c r="F66" s="7" t="n">
        <v>130.9</v>
      </c>
      <c r="H66" s="7" t="n">
        <v>183.9</v>
      </c>
      <c r="J66" s="7" t="n">
        <v>119.6</v>
      </c>
      <c r="L66" s="7" t="n">
        <v>138.4</v>
      </c>
      <c r="N66" s="7" t="n">
        <v>230.4</v>
      </c>
      <c r="P66" s="7" t="n">
        <v>84.40000000000001</v>
      </c>
      <c r="R66" s="7" t="n">
        <v>173</v>
      </c>
      <c r="T66" s="7" t="n">
        <v>287.7</v>
      </c>
      <c r="V66" s="7" t="n">
        <v>423.2</v>
      </c>
      <c r="X66" s="7" t="n">
        <v>185.7</v>
      </c>
      <c r="Z66" s="7" t="n">
        <v>129.5</v>
      </c>
      <c r="AB66" s="7" t="n">
        <v>2156.3</v>
      </c>
    </row>
    <row r="67">
      <c r="A67" s="4" t="inlineStr">
        <is>
          <t>蒸汽费</t>
        </is>
      </c>
      <c r="D67" s="7" t="n">
        <v>25.5</v>
      </c>
      <c r="F67" s="7" t="n">
        <v>56.1</v>
      </c>
      <c r="H67" s="7" t="n">
        <v>66</v>
      </c>
      <c r="J67" s="7" t="n">
        <v>111.3</v>
      </c>
      <c r="L67" s="7" t="n">
        <v>67.3</v>
      </c>
      <c r="N67" s="7" t="n">
        <v>130.6</v>
      </c>
      <c r="P67" s="7" t="n">
        <v>56.9</v>
      </c>
      <c r="R67" s="7" t="n">
        <v>97.8</v>
      </c>
      <c r="T67" s="7" t="n">
        <v>197.2</v>
      </c>
      <c r="V67" s="7" t="n">
        <v>156.4</v>
      </c>
      <c r="X67" s="7" t="n">
        <v>141.9</v>
      </c>
      <c r="Z67" s="7" t="n">
        <v>50.1</v>
      </c>
      <c r="AB67" s="7" t="n">
        <v>1157.1</v>
      </c>
    </row>
    <row r="68">
      <c r="A68" s="4" t="inlineStr">
        <is>
          <t>物业费</t>
        </is>
      </c>
      <c r="D68" s="7" t="n">
        <v>139.1</v>
      </c>
      <c r="F68" s="7" t="n">
        <v>232</v>
      </c>
      <c r="H68" s="7" t="n">
        <v>271.4</v>
      </c>
      <c r="J68" s="7" t="n">
        <v>367.2</v>
      </c>
      <c r="L68" s="7" t="n">
        <v>197.2</v>
      </c>
      <c r="N68" s="7" t="n">
        <v>361.8</v>
      </c>
      <c r="P68" s="7" t="n">
        <v>160.5</v>
      </c>
      <c r="R68" s="7" t="n">
        <v>443.1</v>
      </c>
      <c r="T68" s="7" t="n">
        <v>822.2</v>
      </c>
      <c r="V68" s="7" t="n">
        <v>684.1</v>
      </c>
      <c r="X68" s="7" t="n">
        <v>768.9</v>
      </c>
      <c r="Z68" s="7" t="n">
        <v>237.6</v>
      </c>
      <c r="AB68" s="7" t="n">
        <v>4685.1</v>
      </c>
    </row>
    <row r="69">
      <c r="A69" s="4" t="inlineStr">
        <is>
          <t>劳动保护费</t>
        </is>
      </c>
      <c r="D69" s="7" t="n">
        <v>24.3</v>
      </c>
      <c r="F69" s="7" t="n">
        <v>62.9</v>
      </c>
      <c r="H69" s="7" t="n">
        <v>69.40000000000001</v>
      </c>
      <c r="J69" s="7" t="n">
        <v>71.8</v>
      </c>
      <c r="L69" s="7" t="n">
        <v>45.8</v>
      </c>
      <c r="N69" s="7" t="n">
        <v>105.3</v>
      </c>
      <c r="P69" s="7" t="n">
        <v>29</v>
      </c>
      <c r="R69" s="7" t="n">
        <v>112.9</v>
      </c>
      <c r="T69" s="7" t="n">
        <v>104.3</v>
      </c>
      <c r="V69" s="7" t="n">
        <v>127.2</v>
      </c>
      <c r="X69" s="7" t="n">
        <v>102.8</v>
      </c>
      <c r="Z69" s="7" t="n">
        <v>59.5</v>
      </c>
      <c r="AB69" s="7" t="n">
        <v>915.2</v>
      </c>
    </row>
    <row r="70">
      <c r="A70" s="4" t="inlineStr">
        <is>
          <t>顾问费</t>
        </is>
      </c>
      <c r="D70" s="7" t="n">
        <v>5.4</v>
      </c>
      <c r="F70" s="7" t="n">
        <v>12.3</v>
      </c>
      <c r="H70" s="7" t="n">
        <v>12.8</v>
      </c>
      <c r="J70" s="7" t="n">
        <v>16.5</v>
      </c>
      <c r="L70" s="7" t="n">
        <v>10.9</v>
      </c>
      <c r="N70" s="7" t="n">
        <v>21.3</v>
      </c>
      <c r="P70" s="7" t="n">
        <v>9.800000000000001</v>
      </c>
      <c r="R70" s="7" t="n">
        <v>30.4</v>
      </c>
      <c r="T70" s="7" t="n">
        <v>38.3</v>
      </c>
      <c r="V70" s="7" t="n">
        <v>37.5</v>
      </c>
      <c r="X70" s="7" t="n">
        <v>31.6</v>
      </c>
      <c r="Z70" s="7" t="n">
        <v>11.3</v>
      </c>
      <c r="AB70" s="7" t="n">
        <v>238.1</v>
      </c>
    </row>
    <row r="71">
      <c r="A71" s="4" t="inlineStr">
        <is>
          <t>快递费</t>
        </is>
      </c>
      <c r="D71" s="7" t="n">
        <v>33.7</v>
      </c>
      <c r="F71" s="7" t="n">
        <v>104.9</v>
      </c>
      <c r="H71" s="7" t="n">
        <v>100.2</v>
      </c>
      <c r="J71" s="7" t="n">
        <v>101.7</v>
      </c>
      <c r="L71" s="7" t="n">
        <v>71.3</v>
      </c>
      <c r="N71" s="7" t="n">
        <v>164.2</v>
      </c>
      <c r="P71" s="7" t="n">
        <v>50.5</v>
      </c>
      <c r="R71" s="7" t="n">
        <v>155.6</v>
      </c>
      <c r="T71" s="7" t="n">
        <v>176.4</v>
      </c>
      <c r="V71" s="7" t="n">
        <v>227.6</v>
      </c>
      <c r="X71" s="7" t="n">
        <v>230.1</v>
      </c>
      <c r="Z71" s="7" t="n">
        <v>109.5</v>
      </c>
      <c r="AB71" s="7" t="n">
        <v>1525.7</v>
      </c>
    </row>
    <row r="72">
      <c r="A72" s="4" t="inlineStr">
        <is>
          <t>诉讼费</t>
        </is>
      </c>
      <c r="D72" s="7" t="n">
        <v>64.90000000000001</v>
      </c>
      <c r="F72" s="7" t="n">
        <v>121.7</v>
      </c>
      <c r="H72" s="7" t="n">
        <v>200.1</v>
      </c>
      <c r="J72" s="7" t="n">
        <v>265.3</v>
      </c>
      <c r="L72" s="7" t="n">
        <v>107.7</v>
      </c>
      <c r="N72" s="7" t="n">
        <v>288.9</v>
      </c>
      <c r="P72" s="7" t="n">
        <v>131.5</v>
      </c>
      <c r="R72" s="7" t="n">
        <v>240.2</v>
      </c>
      <c r="T72" s="7" t="n">
        <v>296.2</v>
      </c>
      <c r="V72" s="7" t="n">
        <v>505.3</v>
      </c>
      <c r="X72" s="7" t="n">
        <v>257.4</v>
      </c>
      <c r="Z72" s="7" t="n">
        <v>160.9</v>
      </c>
      <c r="AB72" s="7" t="n">
        <v>2640.1</v>
      </c>
    </row>
    <row r="73">
      <c r="A73" s="4" t="inlineStr">
        <is>
          <t>会员费</t>
        </is>
      </c>
      <c r="D73" s="7" t="n">
        <v>6.4</v>
      </c>
      <c r="F73" s="7" t="n">
        <v>9.5</v>
      </c>
      <c r="H73" s="7" t="n">
        <v>16</v>
      </c>
      <c r="J73" s="7" t="n">
        <v>19.3</v>
      </c>
      <c r="L73" s="7" t="n">
        <v>9.6</v>
      </c>
      <c r="N73" s="7" t="n">
        <v>21.3</v>
      </c>
      <c r="P73" s="7" t="n">
        <v>12</v>
      </c>
      <c r="R73" s="7" t="n">
        <v>15.1</v>
      </c>
      <c r="T73" s="7" t="n">
        <v>26.5</v>
      </c>
      <c r="V73" s="7" t="n">
        <v>34.7</v>
      </c>
      <c r="X73" s="7" t="n">
        <v>24.6</v>
      </c>
      <c r="Z73" s="7" t="n">
        <v>15.8</v>
      </c>
      <c r="AB73" s="7" t="n">
        <v>210.8</v>
      </c>
    </row>
    <row r="74">
      <c r="A74" s="4" t="inlineStr">
        <is>
          <t>广告宣传费</t>
        </is>
      </c>
      <c r="D74" s="7" t="n">
        <v>627.9</v>
      </c>
      <c r="F74" s="7" t="n">
        <v>1649.2</v>
      </c>
      <c r="H74" s="7" t="n">
        <v>1410.8</v>
      </c>
      <c r="J74" s="7" t="n">
        <v>1743.4</v>
      </c>
      <c r="L74" s="7" t="n">
        <v>1067.2</v>
      </c>
      <c r="N74" s="7" t="n">
        <v>1923.7</v>
      </c>
      <c r="P74" s="7" t="n">
        <v>1087.9</v>
      </c>
      <c r="R74" s="7" t="n">
        <v>1688.6</v>
      </c>
      <c r="T74" s="7" t="n">
        <v>3817.4</v>
      </c>
      <c r="V74" s="7" t="n">
        <v>4015.6</v>
      </c>
      <c r="X74" s="7" t="n">
        <v>2501.3</v>
      </c>
      <c r="Z74" s="7" t="n">
        <v>1447</v>
      </c>
      <c r="AB74" s="7" t="n">
        <v>22980</v>
      </c>
    </row>
    <row r="75">
      <c r="A75" s="4" t="inlineStr">
        <is>
          <t>会务费</t>
        </is>
      </c>
      <c r="D75" s="7" t="n">
        <v>34.8</v>
      </c>
      <c r="F75" s="7" t="n">
        <v>65.8</v>
      </c>
      <c r="H75" s="7" t="n">
        <v>121.2</v>
      </c>
      <c r="J75" s="7" t="n">
        <v>115.4</v>
      </c>
      <c r="L75" s="7" t="n">
        <v>80.5</v>
      </c>
      <c r="N75" s="7" t="n">
        <v>108.1</v>
      </c>
      <c r="P75" s="7" t="n">
        <v>57.5</v>
      </c>
      <c r="R75" s="7" t="n">
        <v>173.5</v>
      </c>
      <c r="T75" s="7" t="n">
        <v>187.9</v>
      </c>
      <c r="V75" s="7" t="n">
        <v>189.6</v>
      </c>
      <c r="X75" s="7" t="n">
        <v>167.6</v>
      </c>
      <c r="Z75" s="7" t="n">
        <v>76.09999999999999</v>
      </c>
      <c r="AB75" s="7" t="n">
        <v>1378</v>
      </c>
    </row>
    <row r="76">
      <c r="A76" s="4" t="inlineStr">
        <is>
          <t>装修费</t>
        </is>
      </c>
      <c r="D76" s="7" t="n">
        <v>53.4</v>
      </c>
      <c r="F76" s="7" t="n">
        <v>103.7</v>
      </c>
      <c r="H76" s="7" t="n">
        <v>156.9</v>
      </c>
      <c r="J76" s="7" t="n">
        <v>185.7</v>
      </c>
      <c r="L76" s="7" t="n">
        <v>123.9</v>
      </c>
      <c r="N76" s="7" t="n">
        <v>150.9</v>
      </c>
      <c r="P76" s="7" t="n">
        <v>80.3</v>
      </c>
      <c r="R76" s="7" t="n">
        <v>191.3</v>
      </c>
      <c r="T76" s="7" t="n">
        <v>294.1</v>
      </c>
      <c r="V76" s="7" t="n">
        <v>292.8</v>
      </c>
      <c r="X76" s="7" t="n">
        <v>207.1</v>
      </c>
      <c r="Z76" s="7" t="n">
        <v>120</v>
      </c>
      <c r="AB76" s="7" t="n">
        <v>1960.1</v>
      </c>
    </row>
    <row r="77">
      <c r="A77" s="4" t="inlineStr">
        <is>
          <t>推广费</t>
        </is>
      </c>
      <c r="D77" s="7" t="n">
        <v>143.6</v>
      </c>
      <c r="F77" s="7" t="n">
        <v>170.5</v>
      </c>
      <c r="H77" s="7" t="n">
        <v>339.7</v>
      </c>
      <c r="J77" s="7" t="n">
        <v>405.6</v>
      </c>
      <c r="L77" s="7" t="n">
        <v>163.8</v>
      </c>
      <c r="N77" s="7" t="n">
        <v>352</v>
      </c>
      <c r="P77" s="7" t="n">
        <v>184.5</v>
      </c>
      <c r="R77" s="7" t="n">
        <v>448.4</v>
      </c>
      <c r="T77" s="7" t="n">
        <v>412.4</v>
      </c>
      <c r="V77" s="7" t="n">
        <v>498.2</v>
      </c>
      <c r="X77" s="7" t="n">
        <v>516.5</v>
      </c>
      <c r="Z77" s="7" t="n">
        <v>314.8</v>
      </c>
      <c r="AB77" s="7" t="n">
        <v>3950</v>
      </c>
    </row>
    <row r="78">
      <c r="A78" s="4" t="inlineStr">
        <is>
          <t>展会费</t>
        </is>
      </c>
      <c r="D78" s="7" t="n">
        <v>27.9</v>
      </c>
      <c r="F78" s="7" t="n">
        <v>33.6</v>
      </c>
      <c r="H78" s="7" t="n">
        <v>64.59999999999999</v>
      </c>
      <c r="J78" s="7" t="n">
        <v>61.3</v>
      </c>
      <c r="L78" s="7" t="n">
        <v>50.2</v>
      </c>
      <c r="N78" s="7" t="n">
        <v>85.7</v>
      </c>
      <c r="P78" s="7" t="n">
        <v>45.3</v>
      </c>
      <c r="R78" s="7" t="n">
        <v>80.8</v>
      </c>
      <c r="T78" s="7" t="n">
        <v>103.3</v>
      </c>
      <c r="V78" s="7" t="n">
        <v>117.6</v>
      </c>
      <c r="X78" s="7" t="n">
        <v>103.9</v>
      </c>
      <c r="Z78" s="7" t="n">
        <v>63.6</v>
      </c>
      <c r="AB78" s="7" t="n">
        <v>837.8</v>
      </c>
    </row>
    <row r="79">
      <c r="A79" s="4" t="inlineStr">
        <is>
          <t>设计费</t>
        </is>
      </c>
      <c r="D79" s="7" t="n">
        <v>5.7</v>
      </c>
      <c r="F79" s="7" t="n">
        <v>7.9</v>
      </c>
      <c r="H79" s="7" t="n">
        <v>10.8</v>
      </c>
      <c r="J79" s="7" t="n">
        <v>11.7</v>
      </c>
      <c r="L79" s="7" t="n">
        <v>8.5</v>
      </c>
      <c r="N79" s="7" t="n">
        <v>15.8</v>
      </c>
      <c r="P79" s="7" t="n">
        <v>6.2</v>
      </c>
      <c r="R79" s="7" t="n">
        <v>16.2</v>
      </c>
      <c r="T79" s="7" t="n">
        <v>25.6</v>
      </c>
      <c r="V79" s="7" t="n">
        <v>30.6</v>
      </c>
      <c r="X79" s="7" t="n">
        <v>15.6</v>
      </c>
      <c r="Z79" s="7" t="n">
        <v>9.699999999999999</v>
      </c>
      <c r="AB79" s="7" t="n">
        <v>164.3</v>
      </c>
    </row>
    <row r="80">
      <c r="A80" s="4" t="inlineStr">
        <is>
          <t>折旧费</t>
        </is>
      </c>
      <c r="D80" s="7" t="n">
        <v>948.5</v>
      </c>
      <c r="F80" s="7" t="n">
        <v>2140.6</v>
      </c>
      <c r="H80" s="7" t="n">
        <v>1805.2</v>
      </c>
      <c r="J80" s="7" t="n">
        <v>3133.8</v>
      </c>
      <c r="L80" s="7" t="n">
        <v>1329</v>
      </c>
      <c r="N80" s="7" t="n">
        <v>2327.3</v>
      </c>
      <c r="P80" s="7" t="n">
        <v>1302.2</v>
      </c>
      <c r="R80" s="7" t="n">
        <v>3853.6</v>
      </c>
      <c r="T80" s="7" t="n">
        <v>5383</v>
      </c>
      <c r="V80" s="7" t="n">
        <v>5540.4</v>
      </c>
      <c r="X80" s="7" t="n">
        <v>4671.2</v>
      </c>
      <c r="Z80" s="7" t="n">
        <v>2020.9</v>
      </c>
      <c r="AB80" s="7" t="n">
        <v>34455.7</v>
      </c>
    </row>
    <row r="81">
      <c r="A81" s="4" t="inlineStr">
        <is>
          <t>认证费</t>
        </is>
      </c>
      <c r="D81" s="7" t="n">
        <v>103.9</v>
      </c>
      <c r="F81" s="7" t="n">
        <v>238.9</v>
      </c>
      <c r="H81" s="7" t="n">
        <v>283.3</v>
      </c>
      <c r="J81" s="7" t="n">
        <v>261.3</v>
      </c>
      <c r="L81" s="7" t="n">
        <v>239.8</v>
      </c>
      <c r="N81" s="7" t="n">
        <v>401.6</v>
      </c>
      <c r="P81" s="7" t="n">
        <v>206.2</v>
      </c>
      <c r="R81" s="7" t="n">
        <v>292</v>
      </c>
      <c r="T81" s="7" t="n">
        <v>536.2</v>
      </c>
      <c r="V81" s="7" t="n">
        <v>531.1</v>
      </c>
      <c r="X81" s="7" t="n">
        <v>480.6</v>
      </c>
      <c r="Z81" s="7" t="n">
        <v>211.1</v>
      </c>
      <c r="AB81" s="7" t="n">
        <v>3786</v>
      </c>
    </row>
    <row r="82">
      <c r="A82" s="4" t="inlineStr">
        <is>
          <t>样品费</t>
        </is>
      </c>
      <c r="D82" s="7" t="n">
        <v>502.8</v>
      </c>
      <c r="F82" s="7" t="n">
        <v>970.6</v>
      </c>
      <c r="H82" s="7" t="n">
        <v>1304.7</v>
      </c>
      <c r="J82" s="7" t="n">
        <v>1518.7</v>
      </c>
      <c r="L82" s="7" t="n">
        <v>822.4</v>
      </c>
      <c r="N82" s="7" t="n">
        <v>1420.7</v>
      </c>
      <c r="P82" s="7" t="n">
        <v>646.7</v>
      </c>
      <c r="R82" s="7" t="n">
        <v>1816.6</v>
      </c>
      <c r="T82" s="7" t="n">
        <v>1919.1</v>
      </c>
      <c r="V82" s="7" t="n">
        <v>3309.1</v>
      </c>
      <c r="X82" s="7" t="n">
        <v>1790.5</v>
      </c>
      <c r="Z82" s="7" t="n">
        <v>674.4</v>
      </c>
      <c r="AB82" s="7" t="n">
        <v>16696.3</v>
      </c>
    </row>
    <row r="83">
      <c r="A83" s="4" t="inlineStr">
        <is>
          <t>劳务费</t>
        </is>
      </c>
      <c r="D83" s="7" t="n">
        <v>82.09999999999999</v>
      </c>
      <c r="F83" s="7" t="n">
        <v>149.5</v>
      </c>
      <c r="H83" s="7" t="n">
        <v>307.7</v>
      </c>
      <c r="J83" s="7" t="n">
        <v>305.4</v>
      </c>
      <c r="L83" s="7" t="n">
        <v>132.7</v>
      </c>
      <c r="N83" s="7" t="n">
        <v>344</v>
      </c>
      <c r="P83" s="7" t="n">
        <v>156.9</v>
      </c>
      <c r="R83" s="7" t="n">
        <v>404.3</v>
      </c>
      <c r="T83" s="7" t="n">
        <v>550.2</v>
      </c>
      <c r="V83" s="7" t="n">
        <v>576.4</v>
      </c>
      <c r="X83" s="7" t="n">
        <v>414.6</v>
      </c>
      <c r="Z83" s="7" t="n">
        <v>235.8</v>
      </c>
      <c r="AB83" s="7" t="n">
        <v>3659.6</v>
      </c>
    </row>
    <row r="84">
      <c r="A84" s="4" t="inlineStr">
        <is>
          <t>销售佣金</t>
        </is>
      </c>
      <c r="D84" s="7" t="n">
        <v>3.9</v>
      </c>
      <c r="F84" s="7" t="n">
        <v>6.9</v>
      </c>
      <c r="H84" s="7" t="n">
        <v>8.4</v>
      </c>
      <c r="J84" s="7" t="n">
        <v>9</v>
      </c>
      <c r="L84" s="7" t="n">
        <v>9.300000000000001</v>
      </c>
      <c r="N84" s="7" t="n">
        <v>14.7</v>
      </c>
      <c r="P84" s="7" t="n">
        <v>8.6</v>
      </c>
      <c r="R84" s="7" t="n">
        <v>19.1</v>
      </c>
      <c r="T84" s="7" t="n">
        <v>14.9</v>
      </c>
      <c r="V84" s="7" t="n">
        <v>20.3</v>
      </c>
      <c r="X84" s="7" t="n">
        <v>23.2</v>
      </c>
      <c r="Z84" s="7" t="n">
        <v>9.699999999999999</v>
      </c>
      <c r="AB84" s="7" t="n">
        <v>148</v>
      </c>
    </row>
    <row r="85">
      <c r="A85" s="4" t="inlineStr">
        <is>
          <t>检测费</t>
        </is>
      </c>
      <c r="D85" s="7" t="n">
        <v>107</v>
      </c>
      <c r="F85" s="7" t="n">
        <v>233.4</v>
      </c>
      <c r="H85" s="7" t="n">
        <v>324.3</v>
      </c>
      <c r="J85" s="7" t="n">
        <v>325.2</v>
      </c>
      <c r="L85" s="7" t="n">
        <v>210.8</v>
      </c>
      <c r="N85" s="7" t="n">
        <v>287.4</v>
      </c>
      <c r="P85" s="7" t="n">
        <v>133.5</v>
      </c>
      <c r="R85" s="7" t="n">
        <v>316</v>
      </c>
      <c r="T85" s="7" t="n">
        <v>608.6</v>
      </c>
      <c r="V85" s="7" t="n">
        <v>820.9</v>
      </c>
      <c r="X85" s="7" t="n">
        <v>585.1</v>
      </c>
      <c r="Z85" s="7" t="n">
        <v>276.6</v>
      </c>
      <c r="AB85" s="7" t="n">
        <v>4228.8</v>
      </c>
    </row>
    <row r="86">
      <c r="A86" s="4" t="inlineStr">
        <is>
          <t>质量赔偿</t>
        </is>
      </c>
      <c r="D86" s="7" t="n">
        <v>24.4</v>
      </c>
      <c r="F86" s="7" t="n">
        <v>75.90000000000001</v>
      </c>
      <c r="H86" s="7" t="n">
        <v>112.1</v>
      </c>
      <c r="J86" s="7" t="n">
        <v>97.09999999999999</v>
      </c>
      <c r="L86" s="7" t="n">
        <v>74.90000000000001</v>
      </c>
      <c r="N86" s="7" t="n">
        <v>97.3</v>
      </c>
      <c r="P86" s="7" t="n">
        <v>45.1</v>
      </c>
      <c r="R86" s="7" t="n">
        <v>114.5</v>
      </c>
      <c r="T86" s="7" t="n">
        <v>144.6</v>
      </c>
      <c r="V86" s="7" t="n">
        <v>140.2</v>
      </c>
      <c r="X86" s="7" t="n">
        <v>173.4</v>
      </c>
      <c r="Z86" s="7" t="n">
        <v>76.3</v>
      </c>
      <c r="AB86" s="7" t="n">
        <v>1175.8</v>
      </c>
    </row>
    <row r="87">
      <c r="A87" s="4" t="inlineStr">
        <is>
          <t>保险费</t>
        </is>
      </c>
      <c r="D87" s="7" t="n">
        <v>104.8</v>
      </c>
      <c r="F87" s="7" t="n">
        <v>251</v>
      </c>
      <c r="H87" s="7" t="n">
        <v>198.1</v>
      </c>
      <c r="J87" s="7" t="n">
        <v>325.7</v>
      </c>
      <c r="L87" s="7" t="n">
        <v>235.6</v>
      </c>
      <c r="N87" s="7" t="n">
        <v>285.2</v>
      </c>
      <c r="P87" s="7" t="n">
        <v>200.5</v>
      </c>
      <c r="R87" s="7" t="n">
        <v>379.1</v>
      </c>
      <c r="T87" s="7" t="n">
        <v>346</v>
      </c>
      <c r="V87" s="7" t="n">
        <v>499.7</v>
      </c>
      <c r="X87" s="7" t="n">
        <v>525.8</v>
      </c>
      <c r="Z87" s="7" t="n">
        <v>227.1</v>
      </c>
      <c r="AB87" s="7" t="n">
        <v>3578.6</v>
      </c>
    </row>
    <row r="88">
      <c r="A88" s="4" t="inlineStr">
        <is>
          <t>清洁费</t>
        </is>
      </c>
      <c r="D88" s="7" t="n">
        <v>41.6</v>
      </c>
      <c r="F88" s="7" t="n">
        <v>110.6</v>
      </c>
      <c r="H88" s="7" t="n">
        <v>129.6</v>
      </c>
      <c r="J88" s="7" t="n">
        <v>182.7</v>
      </c>
      <c r="L88" s="7" t="n">
        <v>134.2</v>
      </c>
      <c r="N88" s="7" t="n">
        <v>189.9</v>
      </c>
      <c r="P88" s="7" t="n">
        <v>66.2</v>
      </c>
      <c r="R88" s="7" t="n">
        <v>186.1</v>
      </c>
      <c r="T88" s="7" t="n">
        <v>315.3</v>
      </c>
      <c r="V88" s="7" t="n">
        <v>279.3</v>
      </c>
      <c r="X88" s="7" t="n">
        <v>357.3</v>
      </c>
      <c r="Z88" s="7" t="n">
        <v>108.9</v>
      </c>
      <c r="AB88" s="7" t="n">
        <v>2101.7</v>
      </c>
    </row>
    <row r="89">
      <c r="A89" s="4" t="inlineStr">
        <is>
          <t>低值易耗品</t>
        </is>
      </c>
      <c r="D89" s="7" t="n">
        <v>145</v>
      </c>
      <c r="F89" s="7" t="n">
        <v>225.2</v>
      </c>
      <c r="H89" s="7" t="n">
        <v>409.8</v>
      </c>
      <c r="J89" s="7" t="n">
        <v>441.7</v>
      </c>
      <c r="L89" s="7" t="n">
        <v>274.5</v>
      </c>
      <c r="N89" s="7" t="n">
        <v>502.7</v>
      </c>
      <c r="P89" s="7" t="n">
        <v>229.8</v>
      </c>
      <c r="R89" s="7" t="n">
        <v>566.3</v>
      </c>
      <c r="T89" s="7" t="n">
        <v>481.3</v>
      </c>
      <c r="V89" s="7" t="n">
        <v>866.5</v>
      </c>
      <c r="X89" s="7" t="n">
        <v>459.8</v>
      </c>
      <c r="Z89" s="7" t="n">
        <v>278.1</v>
      </c>
      <c r="AB89" s="7" t="n">
        <v>4880.7</v>
      </c>
    </row>
    <row r="90">
      <c r="A90" s="4" t="inlineStr">
        <is>
          <t>物料消耗</t>
        </is>
      </c>
      <c r="D90" s="7" t="n">
        <v>83.90000000000001</v>
      </c>
      <c r="F90" s="7" t="n">
        <v>264.5</v>
      </c>
      <c r="H90" s="7" t="n">
        <v>419.4</v>
      </c>
      <c r="J90" s="7" t="n">
        <v>302.5</v>
      </c>
      <c r="L90" s="7" t="n">
        <v>192.7</v>
      </c>
      <c r="N90" s="7" t="n">
        <v>311.2</v>
      </c>
      <c r="P90" s="7" t="n">
        <v>238.6</v>
      </c>
      <c r="R90" s="7" t="n">
        <v>454.8</v>
      </c>
      <c r="T90" s="7" t="n">
        <v>741.6</v>
      </c>
      <c r="V90" s="7" t="n">
        <v>831.3</v>
      </c>
      <c r="X90" s="7" t="n">
        <v>707.8</v>
      </c>
      <c r="Z90" s="7" t="n">
        <v>203.1</v>
      </c>
      <c r="AB90" s="7" t="n">
        <v>4751.4</v>
      </c>
    </row>
    <row r="91">
      <c r="A91" s="4" t="inlineStr">
        <is>
          <t>盘盈盘亏</t>
        </is>
      </c>
      <c r="D91" s="7" t="n">
        <v>76.90000000000001</v>
      </c>
      <c r="F91" s="7" t="n">
        <v>215.5</v>
      </c>
      <c r="H91" s="7" t="n">
        <v>312.3</v>
      </c>
      <c r="J91" s="7" t="n">
        <v>290.4</v>
      </c>
      <c r="L91" s="7" t="n">
        <v>217.1</v>
      </c>
      <c r="N91" s="7" t="n">
        <v>334.7</v>
      </c>
      <c r="P91" s="7" t="n">
        <v>110.9</v>
      </c>
      <c r="R91" s="7" t="n">
        <v>237.1</v>
      </c>
      <c r="T91" s="7" t="n">
        <v>581.8</v>
      </c>
      <c r="V91" s="7" t="n">
        <v>634</v>
      </c>
      <c r="X91" s="7" t="n">
        <v>328.5</v>
      </c>
      <c r="Z91" s="7" t="n">
        <v>147.8</v>
      </c>
      <c r="AB91" s="7" t="n">
        <v>3487</v>
      </c>
    </row>
    <row r="92">
      <c r="A92" s="4" t="inlineStr">
        <is>
          <t>平台服务费</t>
        </is>
      </c>
      <c r="D92" s="7" t="n">
        <v>66</v>
      </c>
      <c r="F92" s="7" t="n">
        <v>183.9</v>
      </c>
      <c r="H92" s="7" t="n">
        <v>166.6</v>
      </c>
      <c r="J92" s="7" t="n">
        <v>300</v>
      </c>
      <c r="L92" s="7" t="n">
        <v>132.5</v>
      </c>
      <c r="N92" s="7" t="n">
        <v>284.4</v>
      </c>
      <c r="P92" s="7" t="n">
        <v>138.4</v>
      </c>
      <c r="R92" s="7" t="n">
        <v>314.9</v>
      </c>
      <c r="T92" s="7" t="n">
        <v>525.4</v>
      </c>
      <c r="V92" s="7" t="n">
        <v>639.9</v>
      </c>
      <c r="X92" s="7" t="n">
        <v>291</v>
      </c>
      <c r="Z92" s="7" t="n">
        <v>147.8</v>
      </c>
      <c r="AB92" s="7" t="n">
        <v>3190.8</v>
      </c>
    </row>
    <row r="93">
      <c r="A93" s="4" t="inlineStr">
        <is>
          <t>无形资产摊销</t>
        </is>
      </c>
      <c r="D93" s="7" t="n">
        <v>16.7</v>
      </c>
      <c r="F93" s="7" t="n">
        <v>54.2</v>
      </c>
      <c r="H93" s="7" t="n">
        <v>59.3</v>
      </c>
      <c r="J93" s="7" t="n">
        <v>66.8</v>
      </c>
      <c r="L93" s="7" t="n">
        <v>47</v>
      </c>
      <c r="N93" s="7" t="n">
        <v>84.90000000000001</v>
      </c>
      <c r="P93" s="7" t="n">
        <v>40.9</v>
      </c>
      <c r="R93" s="7" t="n">
        <v>70</v>
      </c>
      <c r="T93" s="7" t="n">
        <v>134.8</v>
      </c>
      <c r="V93" s="7" t="n">
        <v>137.8</v>
      </c>
      <c r="X93" s="7" t="n">
        <v>70.2</v>
      </c>
      <c r="Z93" s="7" t="n">
        <v>36.7</v>
      </c>
      <c r="AB93" s="7" t="n">
        <v>819.3</v>
      </c>
    </row>
    <row r="94">
      <c r="A94" s="4" t="inlineStr">
        <is>
          <t>研发材料</t>
        </is>
      </c>
      <c r="D94" s="7" t="n">
        <v>73.8</v>
      </c>
      <c r="F94" s="7" t="n">
        <v>130.6</v>
      </c>
      <c r="H94" s="7" t="n">
        <v>202.1</v>
      </c>
      <c r="J94" s="7" t="n">
        <v>224.6</v>
      </c>
      <c r="L94" s="7" t="n">
        <v>133.9</v>
      </c>
      <c r="N94" s="7" t="n">
        <v>206.9</v>
      </c>
      <c r="P94" s="7" t="n">
        <v>85.3</v>
      </c>
      <c r="R94" s="7" t="n">
        <v>270.3</v>
      </c>
      <c r="T94" s="7" t="n">
        <v>342.7</v>
      </c>
      <c r="V94" s="7" t="n">
        <v>448.3</v>
      </c>
      <c r="X94" s="7" t="n">
        <v>255.9</v>
      </c>
      <c r="Z94" s="7" t="n">
        <v>166.8</v>
      </c>
      <c r="AB94" s="7" t="n">
        <v>2541.2</v>
      </c>
    </row>
    <row r="95">
      <c r="A95" s="4" t="inlineStr">
        <is>
          <t>项目名称</t>
        </is>
      </c>
      <c r="D95" s="7" t="n">
        <v>150.8</v>
      </c>
      <c r="F95" s="7" t="n">
        <v>204.4</v>
      </c>
      <c r="H95" s="7" t="n">
        <v>337.1</v>
      </c>
      <c r="J95" s="7" t="n">
        <v>341.1</v>
      </c>
      <c r="L95" s="7" t="n">
        <v>170.7</v>
      </c>
      <c r="N95" s="7" t="n">
        <v>303.2</v>
      </c>
      <c r="P95" s="7" t="n">
        <v>157.4</v>
      </c>
      <c r="R95" s="7" t="n">
        <v>330.3</v>
      </c>
      <c r="T95" s="7" t="n">
        <v>680.5</v>
      </c>
      <c r="V95" s="7" t="n">
        <v>728.7</v>
      </c>
      <c r="X95" s="7" t="n">
        <v>635.3</v>
      </c>
      <c r="Z95" s="7" t="n">
        <v>327.9</v>
      </c>
      <c r="AB95" s="7" t="n">
        <v>4367.4</v>
      </c>
    </row>
    <row r="96">
      <c r="A96" s="4" t="inlineStr">
        <is>
          <t>研发费</t>
        </is>
      </c>
      <c r="D96" s="7" t="n">
        <v>131.5</v>
      </c>
      <c r="F96" s="7" t="n">
        <v>312.4</v>
      </c>
      <c r="H96" s="7" t="n">
        <v>468.5</v>
      </c>
      <c r="J96" s="7" t="n">
        <v>352.1</v>
      </c>
      <c r="L96" s="7" t="n">
        <v>222.3</v>
      </c>
      <c r="N96" s="7" t="n">
        <v>553.4</v>
      </c>
      <c r="P96" s="7" t="n">
        <v>208.4</v>
      </c>
      <c r="R96" s="7" t="n">
        <v>564</v>
      </c>
      <c r="T96" s="7" t="n">
        <v>763.7</v>
      </c>
      <c r="V96" s="7" t="n">
        <v>749.1</v>
      </c>
      <c r="X96" s="7" t="n">
        <v>661.8</v>
      </c>
      <c r="Z96" s="7" t="n">
        <v>367.7</v>
      </c>
      <c r="AB96" s="7" t="n">
        <v>5354.9</v>
      </c>
    </row>
    <row r="97">
      <c r="A97" s="4" t="inlineStr">
        <is>
          <t>残保金</t>
        </is>
      </c>
      <c r="D97" s="7" t="n">
        <v>47.3</v>
      </c>
      <c r="F97" s="7" t="n">
        <v>111.4</v>
      </c>
      <c r="H97" s="7" t="n">
        <v>212</v>
      </c>
      <c r="J97" s="7" t="n">
        <v>173.3</v>
      </c>
      <c r="L97" s="7" t="n">
        <v>143</v>
      </c>
      <c r="N97" s="7" t="n">
        <v>249.8</v>
      </c>
      <c r="P97" s="7" t="n">
        <v>96.09999999999999</v>
      </c>
      <c r="R97" s="7" t="n">
        <v>275.9</v>
      </c>
      <c r="T97" s="7" t="n">
        <v>317</v>
      </c>
      <c r="V97" s="7" t="n">
        <v>383</v>
      </c>
      <c r="X97" s="7" t="n">
        <v>226.4</v>
      </c>
      <c r="Z97" s="7" t="n">
        <v>113.3</v>
      </c>
      <c r="AB97" s="7" t="n">
        <v>2348.5</v>
      </c>
    </row>
    <row r="98">
      <c r="A98" s="4" t="inlineStr">
        <is>
          <t>环保费</t>
        </is>
      </c>
      <c r="D98" s="7" t="n">
        <v>163.7</v>
      </c>
      <c r="F98" s="7" t="n">
        <v>257.1</v>
      </c>
      <c r="H98" s="7" t="n">
        <v>301.4</v>
      </c>
      <c r="J98" s="7" t="n">
        <v>305.7</v>
      </c>
      <c r="L98" s="7" t="n">
        <v>310.3</v>
      </c>
      <c r="N98" s="7" t="n">
        <v>454.4</v>
      </c>
      <c r="P98" s="7" t="n">
        <v>197</v>
      </c>
      <c r="R98" s="7" t="n">
        <v>573.1</v>
      </c>
      <c r="T98" s="7" t="n">
        <v>735.8</v>
      </c>
      <c r="V98" s="7" t="n">
        <v>658.6</v>
      </c>
      <c r="X98" s="7" t="n">
        <v>563.4</v>
      </c>
      <c r="Z98" s="7" t="n">
        <v>332.1</v>
      </c>
      <c r="AB98" s="7" t="n">
        <v>4852.6</v>
      </c>
    </row>
    <row r="99">
      <c r="A99" s="4" t="inlineStr">
        <is>
          <t>报废损失</t>
        </is>
      </c>
      <c r="D99" s="7" t="n">
        <v>0.1</v>
      </c>
      <c r="F99" s="7" t="n">
        <v>0.2</v>
      </c>
      <c r="H99" s="7" t="n">
        <v>0.3</v>
      </c>
      <c r="J99" s="7" t="n">
        <v>0.2</v>
      </c>
      <c r="L99" s="7" t="n">
        <v>0.2</v>
      </c>
      <c r="N99" s="7" t="n">
        <v>0.4</v>
      </c>
      <c r="P99" s="7" t="n">
        <v>0.1</v>
      </c>
      <c r="R99" s="7" t="n">
        <v>0.4</v>
      </c>
      <c r="T99" s="7" t="n">
        <v>0.6</v>
      </c>
      <c r="V99" s="7" t="n">
        <v>0.6</v>
      </c>
      <c r="X99" s="7" t="n">
        <v>0.5</v>
      </c>
      <c r="Z99" s="7" t="n">
        <v>0.2</v>
      </c>
      <c r="AB99" s="7" t="n">
        <v>3.8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28067.8</v>
      </c>
      <c r="D100" s="7" t="n">
        <v>14487.6</v>
      </c>
      <c r="E100" s="7" t="n">
        <v>31280</v>
      </c>
      <c r="F100" s="7" t="n">
        <v>22487.7</v>
      </c>
      <c r="G100" s="7" t="n">
        <v>28944.4</v>
      </c>
      <c r="H100" s="7" t="n">
        <v>17373.6</v>
      </c>
      <c r="I100" s="7" t="n">
        <v>29355.4</v>
      </c>
      <c r="J100" s="7" t="n">
        <v>37928.8</v>
      </c>
      <c r="K100" s="7" t="n">
        <v>29526</v>
      </c>
      <c r="L100" s="7" t="n">
        <v>22597.1</v>
      </c>
      <c r="M100" s="7" t="n">
        <v>27399.7</v>
      </c>
      <c r="N100" s="7" t="n">
        <v>35139</v>
      </c>
      <c r="O100" s="7" t="n">
        <v>31239.9</v>
      </c>
      <c r="P100" s="7" t="n">
        <v>16306.5</v>
      </c>
      <c r="Q100" s="7" t="n">
        <v>28586.2</v>
      </c>
      <c r="R100" s="7" t="n">
        <v>44192.8</v>
      </c>
      <c r="S100" s="7" t="n">
        <v>33766.6</v>
      </c>
      <c r="T100" s="7" t="n">
        <v>26219.5</v>
      </c>
      <c r="U100" s="7" t="n">
        <v>33428.8</v>
      </c>
      <c r="V100" s="7" t="n">
        <v>60704</v>
      </c>
      <c r="W100" s="7" t="n">
        <v>26997.7</v>
      </c>
      <c r="X100" s="7" t="n">
        <v>43400.5</v>
      </c>
      <c r="Y100" s="7" t="n">
        <v>25302.7</v>
      </c>
      <c r="Z100" s="7" t="n">
        <v>11595.7</v>
      </c>
      <c r="AA100" s="8" t="n">
        <v>353895.2</v>
      </c>
      <c r="AB100" s="8" t="n">
        <v>352432.8</v>
      </c>
    </row>
    <row r="101">
      <c r="A101" s="4" t="inlineStr">
        <is>
          <t>职工薪酬</t>
        </is>
      </c>
      <c r="D101" s="7" t="n">
        <v>8600.6</v>
      </c>
      <c r="F101" s="7" t="n">
        <v>11289.8</v>
      </c>
      <c r="H101" s="7" t="n">
        <v>7827.9</v>
      </c>
      <c r="J101" s="7" t="n">
        <v>16762</v>
      </c>
      <c r="L101" s="7" t="n">
        <v>13056.2</v>
      </c>
      <c r="N101" s="7" t="n">
        <v>17675.3</v>
      </c>
      <c r="P101" s="7" t="n">
        <v>8271.9</v>
      </c>
      <c r="R101" s="7" t="n">
        <v>23255</v>
      </c>
      <c r="T101" s="7" t="n">
        <v>14996.9</v>
      </c>
      <c r="V101" s="7" t="n">
        <v>27326.4</v>
      </c>
      <c r="X101" s="7" t="n">
        <v>20788.2</v>
      </c>
      <c r="Z101" s="7" t="n">
        <v>5230.4</v>
      </c>
      <c r="AB101" s="7" t="n">
        <v>175080.6</v>
      </c>
    </row>
    <row r="102">
      <c r="A102" s="4" t="inlineStr">
        <is>
          <t>工资</t>
        </is>
      </c>
      <c r="D102" s="7" t="n">
        <v>5402.6</v>
      </c>
      <c r="F102" s="7" t="n">
        <v>5268.4</v>
      </c>
      <c r="H102" s="7" t="n">
        <v>3806.4</v>
      </c>
      <c r="J102" s="7" t="n">
        <v>9716.700000000001</v>
      </c>
      <c r="L102" s="7" t="n">
        <v>7205.5</v>
      </c>
      <c r="N102" s="7" t="n">
        <v>9826.700000000001</v>
      </c>
      <c r="P102" s="7" t="n">
        <v>3911</v>
      </c>
      <c r="R102" s="7" t="n">
        <v>12547.7</v>
      </c>
      <c r="T102" s="7" t="n">
        <v>8431.6</v>
      </c>
      <c r="V102" s="7" t="n">
        <v>12868.9</v>
      </c>
      <c r="X102" s="7" t="n">
        <v>12371.4</v>
      </c>
      <c r="Z102" s="7" t="n">
        <v>2586.8</v>
      </c>
      <c r="AB102" s="7" t="n">
        <v>93943.7</v>
      </c>
    </row>
    <row r="103">
      <c r="A103" s="4" t="inlineStr">
        <is>
          <t>奖金及提成</t>
        </is>
      </c>
      <c r="D103" s="7" t="n">
        <v>1408.5</v>
      </c>
      <c r="F103" s="7" t="n">
        <v>2830.9</v>
      </c>
      <c r="H103" s="7" t="n">
        <v>1824.3</v>
      </c>
      <c r="J103" s="7" t="n">
        <v>3057.6</v>
      </c>
      <c r="L103" s="7" t="n">
        <v>2791.9</v>
      </c>
      <c r="N103" s="7" t="n">
        <v>3254.5</v>
      </c>
      <c r="P103" s="7" t="n">
        <v>2105.4</v>
      </c>
      <c r="R103" s="7" t="n">
        <v>5502.9</v>
      </c>
      <c r="T103" s="7" t="n">
        <v>3326.7</v>
      </c>
      <c r="V103" s="7" t="n">
        <v>6643.3</v>
      </c>
      <c r="X103" s="7" t="n">
        <v>3439.9</v>
      </c>
      <c r="Z103" s="7" t="n">
        <v>1448.2</v>
      </c>
      <c r="AB103" s="7" t="n">
        <v>37634.1</v>
      </c>
    </row>
    <row r="104">
      <c r="A104" s="4" t="inlineStr">
        <is>
          <t>社保</t>
        </is>
      </c>
      <c r="D104" s="7" t="n">
        <v>1230.8</v>
      </c>
      <c r="F104" s="7" t="n">
        <v>2286.2</v>
      </c>
      <c r="H104" s="7" t="n">
        <v>1430.1</v>
      </c>
      <c r="J104" s="7" t="n">
        <v>2516.1</v>
      </c>
      <c r="L104" s="7" t="n">
        <v>2080.6</v>
      </c>
      <c r="N104" s="7" t="n">
        <v>3207.2</v>
      </c>
      <c r="P104" s="7" t="n">
        <v>1590.3</v>
      </c>
      <c r="R104" s="7" t="n">
        <v>3322.9</v>
      </c>
      <c r="T104" s="7" t="n">
        <v>2116.1</v>
      </c>
      <c r="V104" s="7" t="n">
        <v>5468.6</v>
      </c>
      <c r="X104" s="7" t="n">
        <v>3369.8</v>
      </c>
      <c r="Z104" s="7" t="n">
        <v>753.6</v>
      </c>
      <c r="AB104" s="7" t="n">
        <v>29372.3</v>
      </c>
    </row>
    <row r="105">
      <c r="A105" s="4" t="inlineStr">
        <is>
          <t>养老</t>
        </is>
      </c>
      <c r="D105" s="7" t="n">
        <v>83.59999999999999</v>
      </c>
      <c r="F105" s="7" t="n">
        <v>119</v>
      </c>
      <c r="H105" s="7" t="n">
        <v>88.59999999999999</v>
      </c>
      <c r="J105" s="7" t="n">
        <v>231.4</v>
      </c>
      <c r="L105" s="7" t="n">
        <v>99</v>
      </c>
      <c r="N105" s="7" t="n">
        <v>267.8</v>
      </c>
      <c r="P105" s="7" t="n">
        <v>116.1</v>
      </c>
      <c r="R105" s="7" t="n">
        <v>328.5</v>
      </c>
      <c r="T105" s="7" t="n">
        <v>187.1</v>
      </c>
      <c r="V105" s="7" t="n">
        <v>276.3</v>
      </c>
      <c r="X105" s="7" t="n">
        <v>213.9</v>
      </c>
      <c r="Z105" s="7" t="n">
        <v>70.8</v>
      </c>
      <c r="AB105" s="7" t="n">
        <v>2082.1</v>
      </c>
    </row>
    <row r="106">
      <c r="A106" s="4" t="inlineStr">
        <is>
          <t>医疗</t>
        </is>
      </c>
      <c r="D106" s="7" t="n">
        <v>20.9</v>
      </c>
      <c r="F106" s="7" t="n">
        <v>21</v>
      </c>
      <c r="H106" s="7" t="n">
        <v>28</v>
      </c>
      <c r="J106" s="7" t="n">
        <v>44.4</v>
      </c>
      <c r="L106" s="7" t="n">
        <v>20.2</v>
      </c>
      <c r="N106" s="7" t="n">
        <v>54.1</v>
      </c>
      <c r="P106" s="7" t="n">
        <v>17.7</v>
      </c>
      <c r="R106" s="7" t="n">
        <v>40.1</v>
      </c>
      <c r="T106" s="7" t="n">
        <v>42</v>
      </c>
      <c r="V106" s="7" t="n">
        <v>84.5</v>
      </c>
      <c r="X106" s="7" t="n">
        <v>67.90000000000001</v>
      </c>
      <c r="Z106" s="7" t="n">
        <v>11.4</v>
      </c>
      <c r="AB106" s="7" t="n">
        <v>452.2</v>
      </c>
    </row>
    <row r="107">
      <c r="A107" s="4" t="inlineStr">
        <is>
          <t>工伤</t>
        </is>
      </c>
      <c r="D107" s="7" t="n">
        <v>67.3</v>
      </c>
      <c r="F107" s="7" t="n">
        <v>67.40000000000001</v>
      </c>
      <c r="H107" s="7" t="n">
        <v>82.59999999999999</v>
      </c>
      <c r="J107" s="7" t="n">
        <v>175.6</v>
      </c>
      <c r="L107" s="7" t="n">
        <v>100.3</v>
      </c>
      <c r="N107" s="7" t="n">
        <v>172.3</v>
      </c>
      <c r="P107" s="7" t="n">
        <v>80.59999999999999</v>
      </c>
      <c r="R107" s="7" t="n">
        <v>203.6</v>
      </c>
      <c r="T107" s="7" t="n">
        <v>110.1</v>
      </c>
      <c r="V107" s="7" t="n">
        <v>204</v>
      </c>
      <c r="X107" s="7" t="n">
        <v>135.4</v>
      </c>
      <c r="Z107" s="7" t="n">
        <v>38.6</v>
      </c>
      <c r="AB107" s="7" t="n">
        <v>1437.8</v>
      </c>
    </row>
    <row r="108">
      <c r="A108" s="4" t="inlineStr">
        <is>
          <t>失业</t>
        </is>
      </c>
      <c r="D108" s="7" t="n">
        <v>76.90000000000001</v>
      </c>
      <c r="F108" s="7" t="n">
        <v>94.7</v>
      </c>
      <c r="H108" s="7" t="n">
        <v>100</v>
      </c>
      <c r="J108" s="7" t="n">
        <v>207.1</v>
      </c>
      <c r="L108" s="7" t="n">
        <v>93.7</v>
      </c>
      <c r="N108" s="7" t="n">
        <v>197.3</v>
      </c>
      <c r="P108" s="7" t="n">
        <v>88.90000000000001</v>
      </c>
      <c r="R108" s="7" t="n">
        <v>255.6</v>
      </c>
      <c r="T108" s="7" t="n">
        <v>167.4</v>
      </c>
      <c r="V108" s="7" t="n">
        <v>300.5</v>
      </c>
      <c r="X108" s="7" t="n">
        <v>183.8</v>
      </c>
      <c r="Z108" s="7" t="n">
        <v>72.3</v>
      </c>
      <c r="AB108" s="7" t="n">
        <v>1838.2</v>
      </c>
    </row>
    <row r="109">
      <c r="A109" s="4" t="inlineStr">
        <is>
          <t>生育</t>
        </is>
      </c>
      <c r="D109" s="7" t="n">
        <v>69.8</v>
      </c>
      <c r="F109" s="7" t="n">
        <v>172.6</v>
      </c>
      <c r="H109" s="7" t="n">
        <v>96.09999999999999</v>
      </c>
      <c r="J109" s="7" t="n">
        <v>299.6</v>
      </c>
      <c r="L109" s="7" t="n">
        <v>151.7</v>
      </c>
      <c r="N109" s="7" t="n">
        <v>158.8</v>
      </c>
      <c r="P109" s="7" t="n">
        <v>81.40000000000001</v>
      </c>
      <c r="R109" s="7" t="n">
        <v>245.7</v>
      </c>
      <c r="T109" s="7" t="n">
        <v>135.6</v>
      </c>
      <c r="V109" s="7" t="n">
        <v>389.9</v>
      </c>
      <c r="X109" s="7" t="n">
        <v>265</v>
      </c>
      <c r="Z109" s="7" t="n">
        <v>68.3</v>
      </c>
      <c r="AB109" s="7" t="n">
        <v>2134.5</v>
      </c>
    </row>
    <row r="110">
      <c r="A110" s="4" t="inlineStr">
        <is>
          <t>公积金</t>
        </is>
      </c>
      <c r="D110" s="7" t="n">
        <v>68.2</v>
      </c>
      <c r="F110" s="7" t="n">
        <v>96.3</v>
      </c>
      <c r="H110" s="7" t="n">
        <v>59.4</v>
      </c>
      <c r="J110" s="7" t="n">
        <v>188.2</v>
      </c>
      <c r="L110" s="7" t="n">
        <v>84.8</v>
      </c>
      <c r="N110" s="7" t="n">
        <v>175.2</v>
      </c>
      <c r="P110" s="7" t="n">
        <v>67.7</v>
      </c>
      <c r="R110" s="7" t="n">
        <v>226.8</v>
      </c>
      <c r="T110" s="7" t="n">
        <v>122</v>
      </c>
      <c r="V110" s="7" t="n">
        <v>303.5</v>
      </c>
      <c r="X110" s="7" t="n">
        <v>223</v>
      </c>
      <c r="Z110" s="7" t="n">
        <v>33.3</v>
      </c>
      <c r="AB110" s="7" t="n">
        <v>1648.4</v>
      </c>
    </row>
    <row r="111">
      <c r="A111" s="4" t="inlineStr">
        <is>
          <t>工会经费</t>
        </is>
      </c>
      <c r="D111" s="7" t="n">
        <v>86.5</v>
      </c>
      <c r="F111" s="7" t="n">
        <v>148.6</v>
      </c>
      <c r="H111" s="7" t="n">
        <v>138.1</v>
      </c>
      <c r="J111" s="7" t="n">
        <v>184.5</v>
      </c>
      <c r="L111" s="7" t="n">
        <v>160.3</v>
      </c>
      <c r="N111" s="7" t="n">
        <v>192.9</v>
      </c>
      <c r="P111" s="7" t="n">
        <v>133.2</v>
      </c>
      <c r="R111" s="7" t="n">
        <v>277.4</v>
      </c>
      <c r="T111" s="7" t="n">
        <v>160.5</v>
      </c>
      <c r="V111" s="7" t="n">
        <v>298.9</v>
      </c>
      <c r="X111" s="7" t="n">
        <v>285.5</v>
      </c>
      <c r="Z111" s="7" t="n">
        <v>78.3</v>
      </c>
      <c r="AB111" s="7" t="n">
        <v>2144.7</v>
      </c>
    </row>
    <row r="112">
      <c r="A112" s="4" t="inlineStr">
        <is>
          <t>职工教育经费</t>
        </is>
      </c>
      <c r="D112" s="7" t="n">
        <v>73.59999999999999</v>
      </c>
      <c r="F112" s="7" t="n">
        <v>167.1</v>
      </c>
      <c r="H112" s="7" t="n">
        <v>139.2</v>
      </c>
      <c r="J112" s="7" t="n">
        <v>264</v>
      </c>
      <c r="L112" s="7" t="n">
        <v>168.5</v>
      </c>
      <c r="N112" s="7" t="n">
        <v>272.7</v>
      </c>
      <c r="P112" s="7" t="n">
        <v>73.59999999999999</v>
      </c>
      <c r="R112" s="7" t="n">
        <v>240.6</v>
      </c>
      <c r="T112" s="7" t="n">
        <v>212.5</v>
      </c>
      <c r="V112" s="7" t="n">
        <v>387.2</v>
      </c>
      <c r="X112" s="7" t="n">
        <v>215</v>
      </c>
      <c r="Z112" s="7" t="n">
        <v>59.4</v>
      </c>
      <c r="AB112" s="7" t="n">
        <v>2273.4</v>
      </c>
    </row>
    <row r="113">
      <c r="A113" s="4" t="inlineStr">
        <is>
          <t>福利费</t>
        </is>
      </c>
      <c r="D113" s="7" t="n">
        <v>330.4</v>
      </c>
      <c r="F113" s="7" t="n">
        <v>492.3</v>
      </c>
      <c r="H113" s="7" t="n">
        <v>430.4</v>
      </c>
      <c r="J113" s="7" t="n">
        <v>834.9</v>
      </c>
      <c r="L113" s="7" t="n">
        <v>564.6</v>
      </c>
      <c r="N113" s="7" t="n">
        <v>746.1</v>
      </c>
      <c r="P113" s="7" t="n">
        <v>390.7</v>
      </c>
      <c r="R113" s="7" t="n">
        <v>1136.7</v>
      </c>
      <c r="T113" s="7" t="n">
        <v>627.5</v>
      </c>
      <c r="V113" s="7" t="n">
        <v>1356</v>
      </c>
      <c r="X113" s="7" t="n">
        <v>883.6</v>
      </c>
      <c r="Z113" s="7" t="n">
        <v>270.8</v>
      </c>
      <c r="AB113" s="7" t="n">
        <v>8064</v>
      </c>
    </row>
    <row r="114">
      <c r="A114" s="4" t="inlineStr">
        <is>
          <t>职工房租</t>
        </is>
      </c>
      <c r="D114" s="7" t="n">
        <v>27.7</v>
      </c>
      <c r="F114" s="7" t="n">
        <v>38.8</v>
      </c>
      <c r="H114" s="7" t="n">
        <v>41.6</v>
      </c>
      <c r="J114" s="7" t="n">
        <v>95.5</v>
      </c>
      <c r="L114" s="7" t="n">
        <v>66.3</v>
      </c>
      <c r="N114" s="7" t="n">
        <v>63.5</v>
      </c>
      <c r="P114" s="7" t="n">
        <v>33.6</v>
      </c>
      <c r="R114" s="7" t="n">
        <v>108.7</v>
      </c>
      <c r="T114" s="7" t="n">
        <v>72.2</v>
      </c>
      <c r="V114" s="7" t="n">
        <v>147.3</v>
      </c>
      <c r="X114" s="7" t="n">
        <v>73.90000000000001</v>
      </c>
      <c r="Z114" s="7" t="n">
        <v>21.8</v>
      </c>
      <c r="AB114" s="7" t="n">
        <v>790.9</v>
      </c>
    </row>
    <row r="115">
      <c r="A115" s="4" t="inlineStr">
        <is>
          <t>水电物业费</t>
        </is>
      </c>
      <c r="D115" s="7" t="n">
        <v>38</v>
      </c>
      <c r="F115" s="7" t="n">
        <v>51.7</v>
      </c>
      <c r="H115" s="7" t="n">
        <v>48.5</v>
      </c>
      <c r="J115" s="7" t="n">
        <v>97.59999999999999</v>
      </c>
      <c r="L115" s="7" t="n">
        <v>62.9</v>
      </c>
      <c r="N115" s="7" t="n">
        <v>144.8</v>
      </c>
      <c r="P115" s="7" t="n">
        <v>44.8</v>
      </c>
      <c r="R115" s="7" t="n">
        <v>136</v>
      </c>
      <c r="T115" s="7" t="n">
        <v>85.8</v>
      </c>
      <c r="V115" s="7" t="n">
        <v>135</v>
      </c>
      <c r="X115" s="7" t="n">
        <v>118.9</v>
      </c>
      <c r="Z115" s="7" t="n">
        <v>35.3</v>
      </c>
      <c r="AB115" s="7" t="n">
        <v>999.3</v>
      </c>
    </row>
    <row r="116">
      <c r="A116" s="4" t="inlineStr">
        <is>
          <t>员工餐</t>
        </is>
      </c>
      <c r="D116" s="7" t="n">
        <v>53.8</v>
      </c>
      <c r="F116" s="7" t="n">
        <v>62.2</v>
      </c>
      <c r="H116" s="7" t="n">
        <v>39.3</v>
      </c>
      <c r="J116" s="7" t="n">
        <v>92.2</v>
      </c>
      <c r="L116" s="7" t="n">
        <v>85</v>
      </c>
      <c r="N116" s="7" t="n">
        <v>128.3</v>
      </c>
      <c r="P116" s="7" t="n">
        <v>58.4</v>
      </c>
      <c r="R116" s="7" t="n">
        <v>143.5</v>
      </c>
      <c r="T116" s="7" t="n">
        <v>75</v>
      </c>
      <c r="V116" s="7" t="n">
        <v>157.8</v>
      </c>
      <c r="X116" s="7" t="n">
        <v>147.4</v>
      </c>
      <c r="Z116" s="7" t="n">
        <v>35.9</v>
      </c>
      <c r="AB116" s="7" t="n">
        <v>1078.8</v>
      </c>
    </row>
    <row r="117">
      <c r="A117" s="4" t="inlineStr">
        <is>
          <t>节日礼品</t>
        </is>
      </c>
      <c r="D117" s="7" t="n">
        <v>80.5</v>
      </c>
      <c r="F117" s="7" t="n">
        <v>149.2</v>
      </c>
      <c r="H117" s="7" t="n">
        <v>99.7</v>
      </c>
      <c r="J117" s="7" t="n">
        <v>237.1</v>
      </c>
      <c r="L117" s="7" t="n">
        <v>149.7</v>
      </c>
      <c r="N117" s="7" t="n">
        <v>136.6</v>
      </c>
      <c r="P117" s="7" t="n">
        <v>93.90000000000001</v>
      </c>
      <c r="R117" s="7" t="n">
        <v>290.9</v>
      </c>
      <c r="T117" s="7" t="n">
        <v>108.2</v>
      </c>
      <c r="V117" s="7" t="n">
        <v>320.2</v>
      </c>
      <c r="X117" s="7" t="n">
        <v>203.3</v>
      </c>
      <c r="Z117" s="7" t="n">
        <v>51.5</v>
      </c>
      <c r="AB117" s="7" t="n">
        <v>1920.8</v>
      </c>
    </row>
    <row r="118">
      <c r="A118" s="4" t="inlineStr">
        <is>
          <t>生日礼品</t>
        </is>
      </c>
      <c r="D118" s="7" t="n">
        <v>46.7</v>
      </c>
      <c r="F118" s="7" t="n">
        <v>40.8</v>
      </c>
      <c r="H118" s="7" t="n">
        <v>51.9</v>
      </c>
      <c r="J118" s="7" t="n">
        <v>98.7</v>
      </c>
      <c r="L118" s="7" t="n">
        <v>51.9</v>
      </c>
      <c r="N118" s="7" t="n">
        <v>61.9</v>
      </c>
      <c r="P118" s="7" t="n">
        <v>37.2</v>
      </c>
      <c r="R118" s="7" t="n">
        <v>127.3</v>
      </c>
      <c r="T118" s="7" t="n">
        <v>75</v>
      </c>
      <c r="V118" s="7" t="n">
        <v>180.9</v>
      </c>
      <c r="X118" s="7" t="n">
        <v>97.40000000000001</v>
      </c>
      <c r="Z118" s="7" t="n">
        <v>35</v>
      </c>
      <c r="AB118" s="7" t="n">
        <v>904.7</v>
      </c>
    </row>
    <row r="119">
      <c r="A119" s="4" t="inlineStr">
        <is>
          <t>体检</t>
        </is>
      </c>
      <c r="D119" s="7" t="n">
        <v>28</v>
      </c>
      <c r="F119" s="7" t="n">
        <v>41.2</v>
      </c>
      <c r="H119" s="7" t="n">
        <v>32.7</v>
      </c>
      <c r="J119" s="7" t="n">
        <v>55</v>
      </c>
      <c r="L119" s="7" t="n">
        <v>42.5</v>
      </c>
      <c r="N119" s="7" t="n">
        <v>75.2</v>
      </c>
      <c r="P119" s="7" t="n">
        <v>20.3</v>
      </c>
      <c r="R119" s="7" t="n">
        <v>75.09999999999999</v>
      </c>
      <c r="T119" s="7" t="n">
        <v>44.1</v>
      </c>
      <c r="V119" s="7" t="n">
        <v>75.8</v>
      </c>
      <c r="X119" s="7" t="n">
        <v>52.4</v>
      </c>
      <c r="Z119" s="7" t="n">
        <v>16.8</v>
      </c>
      <c r="AB119" s="7" t="n">
        <v>559.1</v>
      </c>
    </row>
    <row r="120">
      <c r="A120" s="4" t="inlineStr">
        <is>
          <t>其他福利支出</t>
        </is>
      </c>
      <c r="D120" s="7" t="n">
        <v>55.7</v>
      </c>
      <c r="F120" s="7" t="n">
        <v>108.4</v>
      </c>
      <c r="H120" s="7" t="n">
        <v>116.7</v>
      </c>
      <c r="J120" s="7" t="n">
        <v>158.8</v>
      </c>
      <c r="L120" s="7" t="n">
        <v>106.3</v>
      </c>
      <c r="N120" s="7" t="n">
        <v>135.8</v>
      </c>
      <c r="P120" s="7" t="n">
        <v>102.5</v>
      </c>
      <c r="R120" s="7" t="n">
        <v>255.2</v>
      </c>
      <c r="T120" s="7" t="n">
        <v>167.2</v>
      </c>
      <c r="V120" s="7" t="n">
        <v>339</v>
      </c>
      <c r="X120" s="7" t="n">
        <v>190.3</v>
      </c>
      <c r="Z120" s="7" t="n">
        <v>74.5</v>
      </c>
      <c r="AB120" s="7" t="n">
        <v>1810.4</v>
      </c>
    </row>
    <row r="121">
      <c r="A121" s="4" t="inlineStr">
        <is>
          <t>招聘费</t>
        </is>
      </c>
      <c r="D121" s="7" t="n">
        <v>1.9</v>
      </c>
      <c r="F121" s="7" t="n">
        <v>3.3</v>
      </c>
      <c r="H121" s="7" t="n">
        <v>3.2</v>
      </c>
      <c r="J121" s="7" t="n">
        <v>7</v>
      </c>
      <c r="L121" s="7" t="n">
        <v>4.1</v>
      </c>
      <c r="N121" s="7" t="n">
        <v>4</v>
      </c>
      <c r="P121" s="7" t="n">
        <v>2.6</v>
      </c>
      <c r="R121" s="7" t="n">
        <v>8.699999999999999</v>
      </c>
      <c r="T121" s="7" t="n">
        <v>4.3</v>
      </c>
      <c r="V121" s="7" t="n">
        <v>9</v>
      </c>
      <c r="X121" s="7" t="n">
        <v>8.699999999999999</v>
      </c>
      <c r="Z121" s="7" t="n">
        <v>2</v>
      </c>
      <c r="AB121" s="7" t="n">
        <v>58.8</v>
      </c>
    </row>
    <row r="122">
      <c r="A122" s="4" t="inlineStr">
        <is>
          <t>办公费</t>
        </is>
      </c>
      <c r="D122" s="7" t="n">
        <v>485.1</v>
      </c>
      <c r="F122" s="7" t="n">
        <v>480.8</v>
      </c>
      <c r="H122" s="7" t="n">
        <v>504</v>
      </c>
      <c r="J122" s="7" t="n">
        <v>1165.5</v>
      </c>
      <c r="L122" s="7" t="n">
        <v>536.2</v>
      </c>
      <c r="N122" s="7" t="n">
        <v>941.4</v>
      </c>
      <c r="P122" s="7" t="n">
        <v>520.9</v>
      </c>
      <c r="R122" s="7" t="n">
        <v>1196.9</v>
      </c>
      <c r="T122" s="7" t="n">
        <v>1008.8</v>
      </c>
      <c r="V122" s="7" t="n">
        <v>1692.3</v>
      </c>
      <c r="X122" s="7" t="n">
        <v>1452</v>
      </c>
      <c r="Z122" s="7" t="n">
        <v>391.6</v>
      </c>
      <c r="AB122" s="7" t="n">
        <v>10375.5</v>
      </c>
    </row>
    <row r="123">
      <c r="A123" s="4" t="inlineStr">
        <is>
          <t>市内交通费</t>
        </is>
      </c>
      <c r="D123" s="7" t="n">
        <v>16.1</v>
      </c>
      <c r="F123" s="7" t="n">
        <v>25.7</v>
      </c>
      <c r="H123" s="7" t="n">
        <v>26.7</v>
      </c>
      <c r="J123" s="7" t="n">
        <v>40.1</v>
      </c>
      <c r="L123" s="7" t="n">
        <v>22.5</v>
      </c>
      <c r="N123" s="7" t="n">
        <v>38.8</v>
      </c>
      <c r="P123" s="7" t="n">
        <v>28.5</v>
      </c>
      <c r="R123" s="7" t="n">
        <v>52.7</v>
      </c>
      <c r="T123" s="7" t="n">
        <v>43</v>
      </c>
      <c r="V123" s="7" t="n">
        <v>82.40000000000001</v>
      </c>
      <c r="X123" s="7" t="n">
        <v>59.1</v>
      </c>
      <c r="Z123" s="7" t="n">
        <v>11.5</v>
      </c>
      <c r="AB123" s="7" t="n">
        <v>447.1</v>
      </c>
    </row>
    <row r="124">
      <c r="A124" s="4" t="inlineStr">
        <is>
          <t>差旅费</t>
        </is>
      </c>
      <c r="D124" s="7" t="n">
        <v>1009.4</v>
      </c>
      <c r="F124" s="7" t="n">
        <v>1294.2</v>
      </c>
      <c r="H124" s="7" t="n">
        <v>756.3</v>
      </c>
      <c r="J124" s="7" t="n">
        <v>2575.9</v>
      </c>
      <c r="L124" s="7" t="n">
        <v>1441.3</v>
      </c>
      <c r="N124" s="7" t="n">
        <v>2086.8</v>
      </c>
      <c r="P124" s="7" t="n">
        <v>1253.6</v>
      </c>
      <c r="R124" s="7" t="n">
        <v>2805.2</v>
      </c>
      <c r="T124" s="7" t="n">
        <v>1139.9</v>
      </c>
      <c r="V124" s="7" t="n">
        <v>4034.5</v>
      </c>
      <c r="X124" s="7" t="n">
        <v>2006.4</v>
      </c>
      <c r="Z124" s="7" t="n">
        <v>778.9</v>
      </c>
      <c r="AB124" s="7" t="n">
        <v>21182.4</v>
      </c>
    </row>
    <row r="125">
      <c r="A125" s="4" t="inlineStr">
        <is>
          <t>交通费</t>
        </is>
      </c>
      <c r="D125" s="7" t="n">
        <v>10.6</v>
      </c>
      <c r="F125" s="7" t="n">
        <v>16.3</v>
      </c>
      <c r="H125" s="7" t="n">
        <v>11.4</v>
      </c>
      <c r="J125" s="7" t="n">
        <v>29.7</v>
      </c>
      <c r="L125" s="7" t="n">
        <v>16.7</v>
      </c>
      <c r="N125" s="7" t="n">
        <v>16</v>
      </c>
      <c r="P125" s="7" t="n">
        <v>8.1</v>
      </c>
      <c r="R125" s="7" t="n">
        <v>32.6</v>
      </c>
      <c r="T125" s="7" t="n">
        <v>12.5</v>
      </c>
      <c r="V125" s="7" t="n">
        <v>34.4</v>
      </c>
      <c r="X125" s="7" t="n">
        <v>20</v>
      </c>
      <c r="Z125" s="7" t="n">
        <v>6.3</v>
      </c>
      <c r="AB125" s="7" t="n">
        <v>214.6</v>
      </c>
    </row>
    <row r="126">
      <c r="A126" s="4" t="inlineStr">
        <is>
          <t>住宿费</t>
        </is>
      </c>
      <c r="D126" s="7" t="n">
        <v>23.7</v>
      </c>
      <c r="F126" s="7" t="n">
        <v>29.6</v>
      </c>
      <c r="H126" s="7" t="n">
        <v>25.1</v>
      </c>
      <c r="J126" s="7" t="n">
        <v>64.40000000000001</v>
      </c>
      <c r="L126" s="7" t="n">
        <v>33.2</v>
      </c>
      <c r="N126" s="7" t="n">
        <v>49</v>
      </c>
      <c r="P126" s="7" t="n">
        <v>31.1</v>
      </c>
      <c r="R126" s="7" t="n">
        <v>75.3</v>
      </c>
      <c r="T126" s="7" t="n">
        <v>41.6</v>
      </c>
      <c r="V126" s="7" t="n">
        <v>106.8</v>
      </c>
      <c r="X126" s="7" t="n">
        <v>87.09999999999999</v>
      </c>
      <c r="Z126" s="7" t="n">
        <v>27.1</v>
      </c>
      <c r="AB126" s="7" t="n">
        <v>594</v>
      </c>
    </row>
    <row r="127">
      <c r="A127" s="4" t="inlineStr">
        <is>
          <t>餐补</t>
        </is>
      </c>
      <c r="D127" s="7" t="n">
        <v>12.4</v>
      </c>
      <c r="F127" s="7" t="n">
        <v>22.9</v>
      </c>
      <c r="H127" s="7" t="n">
        <v>16.4</v>
      </c>
      <c r="J127" s="7" t="n">
        <v>25.7</v>
      </c>
      <c r="L127" s="7" t="n">
        <v>21.4</v>
      </c>
      <c r="N127" s="7" t="n">
        <v>29.2</v>
      </c>
      <c r="P127" s="7" t="n">
        <v>17.7</v>
      </c>
      <c r="R127" s="7" t="n">
        <v>37.3</v>
      </c>
      <c r="T127" s="7" t="n">
        <v>28.7</v>
      </c>
      <c r="V127" s="7" t="n">
        <v>74.5</v>
      </c>
      <c r="X127" s="7" t="n">
        <v>30.7</v>
      </c>
      <c r="Z127" s="7" t="n">
        <v>11.4</v>
      </c>
      <c r="AB127" s="7" t="n">
        <v>328.3</v>
      </c>
    </row>
    <row r="128">
      <c r="A128" s="4" t="inlineStr">
        <is>
          <t>交通补助</t>
        </is>
      </c>
      <c r="D128" s="7" t="n">
        <v>98.59999999999999</v>
      </c>
      <c r="F128" s="7" t="n">
        <v>164.5</v>
      </c>
      <c r="H128" s="7" t="n">
        <v>125.7</v>
      </c>
      <c r="J128" s="7" t="n">
        <v>165.9</v>
      </c>
      <c r="L128" s="7" t="n">
        <v>152</v>
      </c>
      <c r="N128" s="7" t="n">
        <v>179.5</v>
      </c>
      <c r="P128" s="7" t="n">
        <v>109.4</v>
      </c>
      <c r="R128" s="7" t="n">
        <v>308.5</v>
      </c>
      <c r="T128" s="7" t="n">
        <v>160</v>
      </c>
      <c r="V128" s="7" t="n">
        <v>403.8</v>
      </c>
      <c r="X128" s="7" t="n">
        <v>265.4</v>
      </c>
      <c r="Z128" s="7" t="n">
        <v>64.59999999999999</v>
      </c>
      <c r="AB128" s="7" t="n">
        <v>2197.9</v>
      </c>
    </row>
    <row r="129">
      <c r="A129" s="4" t="inlineStr">
        <is>
          <t>通讯补助</t>
        </is>
      </c>
      <c r="D129" s="7" t="n">
        <v>89</v>
      </c>
      <c r="F129" s="7" t="n">
        <v>151.8</v>
      </c>
      <c r="H129" s="7" t="n">
        <v>70.40000000000001</v>
      </c>
      <c r="J129" s="7" t="n">
        <v>186.2</v>
      </c>
      <c r="L129" s="7" t="n">
        <v>99.7</v>
      </c>
      <c r="N129" s="7" t="n">
        <v>204.9</v>
      </c>
      <c r="P129" s="7" t="n">
        <v>88.59999999999999</v>
      </c>
      <c r="R129" s="7" t="n">
        <v>288</v>
      </c>
      <c r="T129" s="7" t="n">
        <v>125.1</v>
      </c>
      <c r="V129" s="7" t="n">
        <v>405.7</v>
      </c>
      <c r="X129" s="7" t="n">
        <v>176.6</v>
      </c>
      <c r="Z129" s="7" t="n">
        <v>56.1</v>
      </c>
      <c r="AB129" s="7" t="n">
        <v>1942.1</v>
      </c>
    </row>
    <row r="130">
      <c r="A130" s="4" t="inlineStr">
        <is>
          <t>招待费</t>
        </is>
      </c>
      <c r="D130" s="7" t="n">
        <v>662.9</v>
      </c>
      <c r="F130" s="7" t="n">
        <v>792.2</v>
      </c>
      <c r="H130" s="7" t="n">
        <v>540.6</v>
      </c>
      <c r="J130" s="7" t="n">
        <v>1504.6</v>
      </c>
      <c r="L130" s="7" t="n">
        <v>934</v>
      </c>
      <c r="N130" s="7" t="n">
        <v>1362.1</v>
      </c>
      <c r="P130" s="7" t="n">
        <v>541.1</v>
      </c>
      <c r="R130" s="7" t="n">
        <v>1649.2</v>
      </c>
      <c r="T130" s="7" t="n">
        <v>986.7</v>
      </c>
      <c r="V130" s="7" t="n">
        <v>2181.4</v>
      </c>
      <c r="X130" s="7" t="n">
        <v>2061.6</v>
      </c>
      <c r="Z130" s="7" t="n">
        <v>434.2</v>
      </c>
      <c r="AB130" s="7" t="n">
        <v>13650.6</v>
      </c>
    </row>
    <row r="131">
      <c r="A131" s="4" t="inlineStr">
        <is>
          <t>通讯费</t>
        </is>
      </c>
      <c r="D131" s="7" t="n">
        <v>3.7</v>
      </c>
      <c r="F131" s="7" t="n">
        <v>5.9</v>
      </c>
      <c r="H131" s="7" t="n">
        <v>3.3</v>
      </c>
      <c r="J131" s="7" t="n">
        <v>7.5</v>
      </c>
      <c r="L131" s="7" t="n">
        <v>7</v>
      </c>
      <c r="N131" s="7" t="n">
        <v>11.8</v>
      </c>
      <c r="P131" s="7" t="n">
        <v>3.3</v>
      </c>
      <c r="R131" s="7" t="n">
        <v>13</v>
      </c>
      <c r="T131" s="7" t="n">
        <v>6.1</v>
      </c>
      <c r="V131" s="7" t="n">
        <v>11.7</v>
      </c>
      <c r="X131" s="7" t="n">
        <v>12.1</v>
      </c>
      <c r="Z131" s="7" t="n">
        <v>2.4</v>
      </c>
      <c r="AB131" s="7" t="n">
        <v>87.8</v>
      </c>
    </row>
    <row r="132">
      <c r="A132" s="4" t="inlineStr">
        <is>
          <t>网络费</t>
        </is>
      </c>
      <c r="D132" s="7" t="n">
        <v>85.90000000000001</v>
      </c>
      <c r="F132" s="7" t="n">
        <v>133.8</v>
      </c>
      <c r="H132" s="7" t="n">
        <v>126.6</v>
      </c>
      <c r="J132" s="7" t="n">
        <v>157.2</v>
      </c>
      <c r="L132" s="7" t="n">
        <v>145.8</v>
      </c>
      <c r="N132" s="7" t="n">
        <v>214.6</v>
      </c>
      <c r="P132" s="7" t="n">
        <v>72.2</v>
      </c>
      <c r="R132" s="7" t="n">
        <v>194.6</v>
      </c>
      <c r="T132" s="7" t="n">
        <v>157.4</v>
      </c>
      <c r="V132" s="7" t="n">
        <v>309.1</v>
      </c>
      <c r="X132" s="7" t="n">
        <v>272.3</v>
      </c>
      <c r="Z132" s="7" t="n">
        <v>75.8</v>
      </c>
      <c r="AB132" s="7" t="n">
        <v>1945.3</v>
      </c>
    </row>
    <row r="133">
      <c r="A133" s="4" t="inlineStr">
        <is>
          <t>修理费</t>
        </is>
      </c>
      <c r="D133" s="7" t="n">
        <v>40.3</v>
      </c>
      <c r="F133" s="7" t="n">
        <v>66.5</v>
      </c>
      <c r="H133" s="7" t="n">
        <v>55.5</v>
      </c>
      <c r="J133" s="7" t="n">
        <v>96</v>
      </c>
      <c r="L133" s="7" t="n">
        <v>52.3</v>
      </c>
      <c r="N133" s="7" t="n">
        <v>115.5</v>
      </c>
      <c r="P133" s="7" t="n">
        <v>39.9</v>
      </c>
      <c r="R133" s="7" t="n">
        <v>124.7</v>
      </c>
      <c r="T133" s="7" t="n">
        <v>57.7</v>
      </c>
      <c r="V133" s="7" t="n">
        <v>206.9</v>
      </c>
      <c r="X133" s="7" t="n">
        <v>125.5</v>
      </c>
      <c r="Z133" s="7" t="n">
        <v>27.3</v>
      </c>
      <c r="AB133" s="7" t="n">
        <v>1008.1</v>
      </c>
    </row>
    <row r="134">
      <c r="A134" s="4" t="inlineStr">
        <is>
          <t>车辆费</t>
        </is>
      </c>
      <c r="D134" s="7" t="n">
        <v>83.5</v>
      </c>
      <c r="F134" s="7" t="n">
        <v>169.5</v>
      </c>
      <c r="H134" s="7" t="n">
        <v>109.7</v>
      </c>
      <c r="J134" s="7" t="n">
        <v>211</v>
      </c>
      <c r="L134" s="7" t="n">
        <v>128</v>
      </c>
      <c r="N134" s="7" t="n">
        <v>264.4</v>
      </c>
      <c r="P134" s="7" t="n">
        <v>133.3</v>
      </c>
      <c r="R134" s="7" t="n">
        <v>295.5</v>
      </c>
      <c r="T134" s="7" t="n">
        <v>130.1</v>
      </c>
      <c r="V134" s="7" t="n">
        <v>343.1</v>
      </c>
      <c r="X134" s="7" t="n">
        <v>316</v>
      </c>
      <c r="Z134" s="7" t="n">
        <v>93.90000000000001</v>
      </c>
      <c r="AB134" s="7" t="n">
        <v>2278</v>
      </c>
    </row>
    <row r="135">
      <c r="A135" s="4" t="inlineStr">
        <is>
          <t>租赁费</t>
        </is>
      </c>
      <c r="D135" s="7" t="n">
        <v>629.4</v>
      </c>
      <c r="F135" s="7" t="n">
        <v>979.6</v>
      </c>
      <c r="H135" s="7" t="n">
        <v>779.8</v>
      </c>
      <c r="J135" s="7" t="n">
        <v>1912.1</v>
      </c>
      <c r="L135" s="7" t="n">
        <v>875.2</v>
      </c>
      <c r="N135" s="7" t="n">
        <v>1247</v>
      </c>
      <c r="P135" s="7" t="n">
        <v>845.2</v>
      </c>
      <c r="R135" s="7" t="n">
        <v>2499.1</v>
      </c>
      <c r="T135" s="7" t="n">
        <v>1385.9</v>
      </c>
      <c r="V135" s="7" t="n">
        <v>2758.1</v>
      </c>
      <c r="X135" s="7" t="n">
        <v>1975.2</v>
      </c>
      <c r="Z135" s="7" t="n">
        <v>479.4</v>
      </c>
      <c r="AB135" s="7" t="n">
        <v>16366</v>
      </c>
    </row>
    <row r="136">
      <c r="A136" s="4" t="inlineStr">
        <is>
          <t>能源费</t>
        </is>
      </c>
      <c r="D136" s="7" t="n">
        <v>126.5</v>
      </c>
      <c r="F136" s="7" t="n">
        <v>248.4</v>
      </c>
      <c r="H136" s="7" t="n">
        <v>212</v>
      </c>
      <c r="J136" s="7" t="n">
        <v>370.4</v>
      </c>
      <c r="L136" s="7" t="n">
        <v>252.3</v>
      </c>
      <c r="N136" s="7" t="n">
        <v>323.1</v>
      </c>
      <c r="P136" s="7" t="n">
        <v>171.9</v>
      </c>
      <c r="R136" s="7" t="n">
        <v>454.9</v>
      </c>
      <c r="T136" s="7" t="n">
        <v>229</v>
      </c>
      <c r="V136" s="7" t="n">
        <v>659.3</v>
      </c>
      <c r="X136" s="7" t="n">
        <v>491</v>
      </c>
      <c r="Z136" s="7" t="n">
        <v>127.4</v>
      </c>
      <c r="AB136" s="7" t="n">
        <v>3666.2</v>
      </c>
    </row>
    <row r="137">
      <c r="A137" s="4" t="inlineStr">
        <is>
          <t>水费</t>
        </is>
      </c>
      <c r="D137" s="7" t="n">
        <v>27.4</v>
      </c>
      <c r="F137" s="7" t="n">
        <v>77</v>
      </c>
      <c r="H137" s="7" t="n">
        <v>43.9</v>
      </c>
      <c r="J137" s="7" t="n">
        <v>120.2</v>
      </c>
      <c r="L137" s="7" t="n">
        <v>72.7</v>
      </c>
      <c r="N137" s="7" t="n">
        <v>83.09999999999999</v>
      </c>
      <c r="P137" s="7" t="n">
        <v>41.6</v>
      </c>
      <c r="R137" s="7" t="n">
        <v>114.4</v>
      </c>
      <c r="T137" s="7" t="n">
        <v>61.5</v>
      </c>
      <c r="V137" s="7" t="n">
        <v>197.6</v>
      </c>
      <c r="X137" s="7" t="n">
        <v>91.90000000000001</v>
      </c>
      <c r="Z137" s="7" t="n">
        <v>29.5</v>
      </c>
      <c r="AB137" s="7" t="n">
        <v>960.8</v>
      </c>
    </row>
    <row r="138">
      <c r="A138" s="4" t="inlineStr">
        <is>
          <t>电费</t>
        </is>
      </c>
      <c r="D138" s="7" t="n">
        <v>62.1</v>
      </c>
      <c r="F138" s="7" t="n">
        <v>111.2</v>
      </c>
      <c r="H138" s="7" t="n">
        <v>123.9</v>
      </c>
      <c r="J138" s="7" t="n">
        <v>169.1</v>
      </c>
      <c r="L138" s="7" t="n">
        <v>136.9</v>
      </c>
      <c r="N138" s="7" t="n">
        <v>152.1</v>
      </c>
      <c r="P138" s="7" t="n">
        <v>91.09999999999999</v>
      </c>
      <c r="R138" s="7" t="n">
        <v>218.8</v>
      </c>
      <c r="T138" s="7" t="n">
        <v>111.3</v>
      </c>
      <c r="V138" s="7" t="n">
        <v>353.9</v>
      </c>
      <c r="X138" s="7" t="n">
        <v>290.5</v>
      </c>
      <c r="Z138" s="7" t="n">
        <v>75.7</v>
      </c>
      <c r="AB138" s="7" t="n">
        <v>1896.6</v>
      </c>
    </row>
    <row r="139">
      <c r="A139" s="4" t="inlineStr">
        <is>
          <t>燃气费</t>
        </is>
      </c>
      <c r="D139" s="7" t="n">
        <v>8.6</v>
      </c>
      <c r="F139" s="7" t="n">
        <v>10.1</v>
      </c>
      <c r="H139" s="7" t="n">
        <v>9.800000000000001</v>
      </c>
      <c r="J139" s="7" t="n">
        <v>20.4</v>
      </c>
      <c r="L139" s="7" t="n">
        <v>12.9</v>
      </c>
      <c r="N139" s="7" t="n">
        <v>15.3</v>
      </c>
      <c r="P139" s="7" t="n">
        <v>7.5</v>
      </c>
      <c r="R139" s="7" t="n">
        <v>22.3</v>
      </c>
      <c r="T139" s="7" t="n">
        <v>11.5</v>
      </c>
      <c r="V139" s="7" t="n">
        <v>30.4</v>
      </c>
      <c r="X139" s="7" t="n">
        <v>23</v>
      </c>
      <c r="Z139" s="7" t="n">
        <v>6.6</v>
      </c>
      <c r="AB139" s="7" t="n">
        <v>178.4</v>
      </c>
    </row>
    <row r="140">
      <c r="A140" s="4" t="inlineStr">
        <is>
          <t>蒸汽费</t>
        </is>
      </c>
      <c r="D140" s="7" t="n">
        <v>28.4</v>
      </c>
      <c r="F140" s="7" t="n">
        <v>50.1</v>
      </c>
      <c r="H140" s="7" t="n">
        <v>34.4</v>
      </c>
      <c r="J140" s="7" t="n">
        <v>60.7</v>
      </c>
      <c r="L140" s="7" t="n">
        <v>29.8</v>
      </c>
      <c r="N140" s="7" t="n">
        <v>72.59999999999999</v>
      </c>
      <c r="P140" s="7" t="n">
        <v>31.7</v>
      </c>
      <c r="R140" s="7" t="n">
        <v>99.40000000000001</v>
      </c>
      <c r="T140" s="7" t="n">
        <v>44.7</v>
      </c>
      <c r="V140" s="7" t="n">
        <v>77.40000000000001</v>
      </c>
      <c r="X140" s="7" t="n">
        <v>85.59999999999999</v>
      </c>
      <c r="Z140" s="7" t="n">
        <v>15.6</v>
      </c>
      <c r="AB140" s="7" t="n">
        <v>630.4</v>
      </c>
    </row>
    <row r="141">
      <c r="A141" s="4" t="inlineStr">
        <is>
          <t>物业费</t>
        </is>
      </c>
      <c r="D141" s="7" t="n">
        <v>66.3</v>
      </c>
      <c r="F141" s="7" t="n">
        <v>149.5</v>
      </c>
      <c r="H141" s="7" t="n">
        <v>107.9</v>
      </c>
      <c r="J141" s="7" t="n">
        <v>242.7</v>
      </c>
      <c r="L141" s="7" t="n">
        <v>129.9</v>
      </c>
      <c r="N141" s="7" t="n">
        <v>275.1</v>
      </c>
      <c r="P141" s="7" t="n">
        <v>126</v>
      </c>
      <c r="R141" s="7" t="n">
        <v>327</v>
      </c>
      <c r="T141" s="7" t="n">
        <v>151.3</v>
      </c>
      <c r="V141" s="7" t="n">
        <v>308</v>
      </c>
      <c r="X141" s="7" t="n">
        <v>238.6</v>
      </c>
      <c r="Z141" s="7" t="n">
        <v>87.40000000000001</v>
      </c>
      <c r="AB141" s="7" t="n">
        <v>2209.7</v>
      </c>
    </row>
    <row r="142">
      <c r="A142" s="4" t="inlineStr">
        <is>
          <t>劳动保护费</t>
        </is>
      </c>
      <c r="D142" s="7" t="n">
        <v>43</v>
      </c>
      <c r="F142" s="7" t="n">
        <v>72.90000000000001</v>
      </c>
      <c r="H142" s="7" t="n">
        <v>67.09999999999999</v>
      </c>
      <c r="J142" s="7" t="n">
        <v>118.2</v>
      </c>
      <c r="L142" s="7" t="n">
        <v>90.40000000000001</v>
      </c>
      <c r="N142" s="7" t="n">
        <v>124.5</v>
      </c>
      <c r="P142" s="7" t="n">
        <v>60.9</v>
      </c>
      <c r="R142" s="7" t="n">
        <v>113</v>
      </c>
      <c r="T142" s="7" t="n">
        <v>105.9</v>
      </c>
      <c r="V142" s="7" t="n">
        <v>160.8</v>
      </c>
      <c r="X142" s="7" t="n">
        <v>127.9</v>
      </c>
      <c r="Z142" s="7" t="n">
        <v>35.6</v>
      </c>
      <c r="AB142" s="7" t="n">
        <v>1120.2</v>
      </c>
    </row>
    <row r="143">
      <c r="A143" s="4" t="inlineStr">
        <is>
          <t>顾问费</t>
        </is>
      </c>
      <c r="D143" s="7" t="n">
        <v>70</v>
      </c>
      <c r="F143" s="7" t="n">
        <v>108.3</v>
      </c>
      <c r="H143" s="7" t="n">
        <v>96.8</v>
      </c>
      <c r="J143" s="7" t="n">
        <v>190.2</v>
      </c>
      <c r="L143" s="7" t="n">
        <v>93.59999999999999</v>
      </c>
      <c r="N143" s="7" t="n">
        <v>121</v>
      </c>
      <c r="P143" s="7" t="n">
        <v>86.59999999999999</v>
      </c>
      <c r="R143" s="7" t="n">
        <v>224.5</v>
      </c>
      <c r="T143" s="7" t="n">
        <v>102.4</v>
      </c>
      <c r="V143" s="7" t="n">
        <v>315.4</v>
      </c>
      <c r="X143" s="7" t="n">
        <v>203.7</v>
      </c>
      <c r="Z143" s="7" t="n">
        <v>47.9</v>
      </c>
      <c r="AB143" s="7" t="n">
        <v>1660.4</v>
      </c>
    </row>
    <row r="144">
      <c r="A144" s="4" t="inlineStr">
        <is>
          <t>快递费</t>
        </is>
      </c>
      <c r="D144" s="7" t="n">
        <v>21.4</v>
      </c>
      <c r="F144" s="7" t="n">
        <v>31.2</v>
      </c>
      <c r="H144" s="7" t="n">
        <v>23</v>
      </c>
      <c r="J144" s="7" t="n">
        <v>46.6</v>
      </c>
      <c r="L144" s="7" t="n">
        <v>32.9</v>
      </c>
      <c r="N144" s="7" t="n">
        <v>34.1</v>
      </c>
      <c r="P144" s="7" t="n">
        <v>21.1</v>
      </c>
      <c r="R144" s="7" t="n">
        <v>66.90000000000001</v>
      </c>
      <c r="T144" s="7" t="n">
        <v>28.5</v>
      </c>
      <c r="V144" s="7" t="n">
        <v>54.7</v>
      </c>
      <c r="X144" s="7" t="n">
        <v>65.90000000000001</v>
      </c>
      <c r="Z144" s="7" t="n">
        <v>18.1</v>
      </c>
      <c r="AB144" s="7" t="n">
        <v>444.4</v>
      </c>
    </row>
    <row r="145">
      <c r="A145" s="4" t="inlineStr">
        <is>
          <t>诉讼费</t>
        </is>
      </c>
      <c r="D145" s="7" t="n">
        <v>35.4</v>
      </c>
      <c r="F145" s="7" t="n">
        <v>56.5</v>
      </c>
      <c r="H145" s="7" t="n">
        <v>46.3</v>
      </c>
      <c r="J145" s="7" t="n">
        <v>99.2</v>
      </c>
      <c r="L145" s="7" t="n">
        <v>46.6</v>
      </c>
      <c r="N145" s="7" t="n">
        <v>79.5</v>
      </c>
      <c r="P145" s="7" t="n">
        <v>36.4</v>
      </c>
      <c r="R145" s="7" t="n">
        <v>75.8</v>
      </c>
      <c r="T145" s="7" t="n">
        <v>44.3</v>
      </c>
      <c r="V145" s="7" t="n">
        <v>126.2</v>
      </c>
      <c r="X145" s="7" t="n">
        <v>77.2</v>
      </c>
      <c r="Z145" s="7" t="n">
        <v>30.9</v>
      </c>
      <c r="AB145" s="7" t="n">
        <v>754.3</v>
      </c>
    </row>
    <row r="146">
      <c r="A146" s="4" t="inlineStr">
        <is>
          <t>会员费</t>
        </is>
      </c>
      <c r="D146" s="7" t="n">
        <v>17.2</v>
      </c>
      <c r="F146" s="7" t="n">
        <v>28.7</v>
      </c>
      <c r="H146" s="7" t="n">
        <v>19.8</v>
      </c>
      <c r="J146" s="7" t="n">
        <v>28.9</v>
      </c>
      <c r="L146" s="7" t="n">
        <v>19.9</v>
      </c>
      <c r="N146" s="7" t="n">
        <v>29.7</v>
      </c>
      <c r="P146" s="7" t="n">
        <v>17.8</v>
      </c>
      <c r="R146" s="7" t="n">
        <v>39.3</v>
      </c>
      <c r="T146" s="7" t="n">
        <v>35.5</v>
      </c>
      <c r="V146" s="7" t="n">
        <v>46.9</v>
      </c>
      <c r="X146" s="7" t="n">
        <v>48.6</v>
      </c>
      <c r="Z146" s="7" t="n">
        <v>10.1</v>
      </c>
      <c r="AB146" s="7" t="n">
        <v>342.4</v>
      </c>
    </row>
    <row r="147">
      <c r="A147" s="4" t="inlineStr">
        <is>
          <t>广告宣传费</t>
        </is>
      </c>
      <c r="D147" s="7" t="n">
        <v>512.4</v>
      </c>
      <c r="F147" s="7" t="n">
        <v>681.2</v>
      </c>
      <c r="H147" s="7" t="n">
        <v>456.6</v>
      </c>
      <c r="J147" s="7" t="n">
        <v>941.5</v>
      </c>
      <c r="L147" s="7" t="n">
        <v>595.3</v>
      </c>
      <c r="N147" s="7" t="n">
        <v>1155.3</v>
      </c>
      <c r="P147" s="7" t="n">
        <v>519.9</v>
      </c>
      <c r="R147" s="7" t="n">
        <v>1345.9</v>
      </c>
      <c r="T147" s="7" t="n">
        <v>970.4</v>
      </c>
      <c r="V147" s="7" t="n">
        <v>1284.7</v>
      </c>
      <c r="X147" s="7" t="n">
        <v>1436.9</v>
      </c>
      <c r="Z147" s="7" t="n">
        <v>312.7</v>
      </c>
      <c r="AB147" s="7" t="n">
        <v>10212.8</v>
      </c>
    </row>
    <row r="148">
      <c r="A148" s="4" t="inlineStr">
        <is>
          <t>会务费</t>
        </is>
      </c>
      <c r="D148" s="7" t="n">
        <v>22.9</v>
      </c>
      <c r="F148" s="7" t="n">
        <v>57.1</v>
      </c>
      <c r="H148" s="7" t="n">
        <v>40.8</v>
      </c>
      <c r="J148" s="7" t="n">
        <v>62</v>
      </c>
      <c r="L148" s="7" t="n">
        <v>44.4</v>
      </c>
      <c r="N148" s="7" t="n">
        <v>92.40000000000001</v>
      </c>
      <c r="P148" s="7" t="n">
        <v>33.1</v>
      </c>
      <c r="R148" s="7" t="n">
        <v>89.5</v>
      </c>
      <c r="T148" s="7" t="n">
        <v>61.5</v>
      </c>
      <c r="V148" s="7" t="n">
        <v>137.2</v>
      </c>
      <c r="X148" s="7" t="n">
        <v>75</v>
      </c>
      <c r="Z148" s="7" t="n">
        <v>31.1</v>
      </c>
      <c r="AB148" s="7" t="n">
        <v>747</v>
      </c>
    </row>
    <row r="149">
      <c r="A149" s="4" t="inlineStr">
        <is>
          <t>装修费</t>
        </is>
      </c>
      <c r="D149" s="7" t="n">
        <v>8.300000000000001</v>
      </c>
      <c r="F149" s="7" t="n">
        <v>22</v>
      </c>
      <c r="H149" s="7" t="n">
        <v>16.6</v>
      </c>
      <c r="J149" s="7" t="n">
        <v>39.9</v>
      </c>
      <c r="L149" s="7" t="n">
        <v>15.3</v>
      </c>
      <c r="N149" s="7" t="n">
        <v>22.7</v>
      </c>
      <c r="P149" s="7" t="n">
        <v>15.5</v>
      </c>
      <c r="R149" s="7" t="n">
        <v>34.6</v>
      </c>
      <c r="T149" s="7" t="n">
        <v>23</v>
      </c>
      <c r="V149" s="7" t="n">
        <v>57.8</v>
      </c>
      <c r="X149" s="7" t="n">
        <v>44.2</v>
      </c>
      <c r="Z149" s="7" t="n">
        <v>9.4</v>
      </c>
      <c r="AB149" s="7" t="n">
        <v>309.3</v>
      </c>
    </row>
    <row r="150">
      <c r="A150" s="4" t="inlineStr">
        <is>
          <t>推广费</t>
        </is>
      </c>
      <c r="D150" s="7" t="n">
        <v>36.9</v>
      </c>
      <c r="F150" s="7" t="n">
        <v>87.09999999999999</v>
      </c>
      <c r="H150" s="7" t="n">
        <v>50.5</v>
      </c>
      <c r="J150" s="7" t="n">
        <v>132</v>
      </c>
      <c r="L150" s="7" t="n">
        <v>77.59999999999999</v>
      </c>
      <c r="N150" s="7" t="n">
        <v>77.59999999999999</v>
      </c>
      <c r="P150" s="7" t="n">
        <v>46.9</v>
      </c>
      <c r="R150" s="7" t="n">
        <v>170.3</v>
      </c>
      <c r="T150" s="7" t="n">
        <v>91.5</v>
      </c>
      <c r="V150" s="7" t="n">
        <v>133.4</v>
      </c>
      <c r="X150" s="7" t="n">
        <v>157.2</v>
      </c>
      <c r="Z150" s="7" t="n">
        <v>25</v>
      </c>
      <c r="AB150" s="7" t="n">
        <v>1086</v>
      </c>
    </row>
    <row r="151">
      <c r="A151" s="4" t="inlineStr">
        <is>
          <t>展会费</t>
        </is>
      </c>
      <c r="D151" s="7" t="n">
        <v>38.8</v>
      </c>
      <c r="F151" s="7" t="n">
        <v>76.40000000000001</v>
      </c>
      <c r="H151" s="7" t="n">
        <v>45.9</v>
      </c>
      <c r="J151" s="7" t="n">
        <v>148.4</v>
      </c>
      <c r="L151" s="7" t="n">
        <v>66.3</v>
      </c>
      <c r="N151" s="7" t="n">
        <v>129</v>
      </c>
      <c r="P151" s="7" t="n">
        <v>52.7</v>
      </c>
      <c r="R151" s="7" t="n">
        <v>174.5</v>
      </c>
      <c r="T151" s="7" t="n">
        <v>72.09999999999999</v>
      </c>
      <c r="V151" s="7" t="n">
        <v>265.6</v>
      </c>
      <c r="X151" s="7" t="n">
        <v>172.3</v>
      </c>
      <c r="Z151" s="7" t="n">
        <v>49.9</v>
      </c>
      <c r="AB151" s="7" t="n">
        <v>1291.9</v>
      </c>
    </row>
    <row r="152">
      <c r="A152" s="4" t="inlineStr">
        <is>
          <t>设计费</t>
        </is>
      </c>
      <c r="D152" s="7" t="n">
        <v>20.7</v>
      </c>
      <c r="F152" s="7" t="n">
        <v>54.3</v>
      </c>
      <c r="H152" s="7" t="n">
        <v>29.2</v>
      </c>
      <c r="J152" s="7" t="n">
        <v>81.8</v>
      </c>
      <c r="L152" s="7" t="n">
        <v>53.8</v>
      </c>
      <c r="N152" s="7" t="n">
        <v>67.5</v>
      </c>
      <c r="P152" s="7" t="n">
        <v>36.7</v>
      </c>
      <c r="R152" s="7" t="n">
        <v>86.5</v>
      </c>
      <c r="T152" s="7" t="n">
        <v>48.9</v>
      </c>
      <c r="V152" s="7" t="n">
        <v>112.8</v>
      </c>
      <c r="X152" s="7" t="n">
        <v>78.09999999999999</v>
      </c>
      <c r="Z152" s="7" t="n">
        <v>28.4</v>
      </c>
      <c r="AB152" s="7" t="n">
        <v>698.7</v>
      </c>
    </row>
    <row r="153">
      <c r="A153" s="4" t="inlineStr">
        <is>
          <t>折旧费</t>
        </is>
      </c>
      <c r="D153" s="7" t="n">
        <v>698.4</v>
      </c>
      <c r="F153" s="7" t="n">
        <v>861.6</v>
      </c>
      <c r="H153" s="7" t="n">
        <v>553.1</v>
      </c>
      <c r="J153" s="7" t="n">
        <v>1829.2</v>
      </c>
      <c r="L153" s="7" t="n">
        <v>765.6</v>
      </c>
      <c r="N153" s="7" t="n">
        <v>1325.3</v>
      </c>
      <c r="P153" s="7" t="n">
        <v>771.6</v>
      </c>
      <c r="R153" s="7" t="n">
        <v>1939.9</v>
      </c>
      <c r="T153" s="7" t="n">
        <v>958.7</v>
      </c>
      <c r="V153" s="7" t="n">
        <v>2933.6</v>
      </c>
      <c r="X153" s="7" t="n">
        <v>2058.5</v>
      </c>
      <c r="Z153" s="7" t="n">
        <v>437</v>
      </c>
      <c r="AB153" s="7" t="n">
        <v>15132.5</v>
      </c>
    </row>
    <row r="154">
      <c r="A154" s="4" t="inlineStr">
        <is>
          <t>认证费</t>
        </is>
      </c>
      <c r="D154" s="7" t="n">
        <v>77.8</v>
      </c>
      <c r="F154" s="7" t="n">
        <v>133.4</v>
      </c>
      <c r="H154" s="7" t="n">
        <v>80.8</v>
      </c>
      <c r="J154" s="7" t="n">
        <v>248.1</v>
      </c>
      <c r="L154" s="7" t="n">
        <v>121.8</v>
      </c>
      <c r="N154" s="7" t="n">
        <v>232.6</v>
      </c>
      <c r="P154" s="7" t="n">
        <v>111.1</v>
      </c>
      <c r="R154" s="7" t="n">
        <v>228.5</v>
      </c>
      <c r="T154" s="7" t="n">
        <v>166.5</v>
      </c>
      <c r="V154" s="7" t="n">
        <v>315.8</v>
      </c>
      <c r="X154" s="7" t="n">
        <v>286</v>
      </c>
      <c r="Z154" s="7" t="n">
        <v>84.40000000000001</v>
      </c>
      <c r="AB154" s="7" t="n">
        <v>2086.8</v>
      </c>
    </row>
    <row r="155">
      <c r="A155" s="4" t="inlineStr">
        <is>
          <t>样品费</t>
        </is>
      </c>
      <c r="D155" s="7" t="n">
        <v>320.9</v>
      </c>
      <c r="F155" s="7" t="n">
        <v>516.8</v>
      </c>
      <c r="H155" s="7" t="n">
        <v>418.1</v>
      </c>
      <c r="J155" s="7" t="n">
        <v>853.3</v>
      </c>
      <c r="L155" s="7" t="n">
        <v>544.7</v>
      </c>
      <c r="N155" s="7" t="n">
        <v>744.2</v>
      </c>
      <c r="P155" s="7" t="n">
        <v>243.4</v>
      </c>
      <c r="R155" s="7" t="n">
        <v>936.2</v>
      </c>
      <c r="T155" s="7" t="n">
        <v>589.2</v>
      </c>
      <c r="V155" s="7" t="n">
        <v>1161.1</v>
      </c>
      <c r="X155" s="7" t="n">
        <v>914.5</v>
      </c>
      <c r="Z155" s="7" t="n">
        <v>248.6</v>
      </c>
      <c r="AB155" s="7" t="n">
        <v>7491</v>
      </c>
    </row>
    <row r="156">
      <c r="A156" s="4" t="inlineStr">
        <is>
          <t>劳务费</t>
        </is>
      </c>
      <c r="D156" s="7" t="n">
        <v>26.6</v>
      </c>
      <c r="F156" s="7" t="n">
        <v>56.7</v>
      </c>
      <c r="H156" s="7" t="n">
        <v>38</v>
      </c>
      <c r="J156" s="7" t="n">
        <v>92.5</v>
      </c>
      <c r="L156" s="7" t="n">
        <v>38.5</v>
      </c>
      <c r="N156" s="7" t="n">
        <v>86.7</v>
      </c>
      <c r="P156" s="7" t="n">
        <v>39.2</v>
      </c>
      <c r="R156" s="7" t="n">
        <v>87.8</v>
      </c>
      <c r="T156" s="7" t="n">
        <v>44.9</v>
      </c>
      <c r="V156" s="7" t="n">
        <v>97.7</v>
      </c>
      <c r="X156" s="7" t="n">
        <v>74.7</v>
      </c>
      <c r="Z156" s="7" t="n">
        <v>25.3</v>
      </c>
      <c r="AB156" s="7" t="n">
        <v>708.6</v>
      </c>
    </row>
    <row r="157">
      <c r="A157" s="4" t="inlineStr">
        <is>
          <t>销售佣金</t>
        </is>
      </c>
      <c r="D157" s="7" t="n">
        <v>64.59999999999999</v>
      </c>
      <c r="F157" s="7" t="n">
        <v>100.2</v>
      </c>
      <c r="H157" s="7" t="n">
        <v>115.1</v>
      </c>
      <c r="J157" s="7" t="n">
        <v>233.6</v>
      </c>
      <c r="L157" s="7" t="n">
        <v>166.9</v>
      </c>
      <c r="N157" s="7" t="n">
        <v>210</v>
      </c>
      <c r="P157" s="7" t="n">
        <v>104.2</v>
      </c>
      <c r="R157" s="7" t="n">
        <v>283.8</v>
      </c>
      <c r="T157" s="7" t="n">
        <v>191.4</v>
      </c>
      <c r="V157" s="7" t="n">
        <v>319.2</v>
      </c>
      <c r="X157" s="7" t="n">
        <v>221.9</v>
      </c>
      <c r="Z157" s="7" t="n">
        <v>85.59999999999999</v>
      </c>
      <c r="AB157" s="7" t="n">
        <v>2096.5</v>
      </c>
    </row>
    <row r="158">
      <c r="A158" s="4" t="inlineStr">
        <is>
          <t>检测费</t>
        </is>
      </c>
      <c r="D158" s="7" t="n">
        <v>15.4</v>
      </c>
      <c r="F158" s="7" t="n">
        <v>37.6</v>
      </c>
      <c r="H158" s="7" t="n">
        <v>21</v>
      </c>
      <c r="J158" s="7" t="n">
        <v>55</v>
      </c>
      <c r="L158" s="7" t="n">
        <v>38.7</v>
      </c>
      <c r="N158" s="7" t="n">
        <v>67.90000000000001</v>
      </c>
      <c r="P158" s="7" t="n">
        <v>29.9</v>
      </c>
      <c r="R158" s="7" t="n">
        <v>51.7</v>
      </c>
      <c r="T158" s="7" t="n">
        <v>32</v>
      </c>
      <c r="V158" s="7" t="n">
        <v>95.7</v>
      </c>
      <c r="X158" s="7" t="n">
        <v>66.09999999999999</v>
      </c>
      <c r="Z158" s="7" t="n">
        <v>21.7</v>
      </c>
      <c r="AB158" s="7" t="n">
        <v>532.7</v>
      </c>
    </row>
    <row r="159">
      <c r="A159" s="4" t="inlineStr">
        <is>
          <t>质量赔偿</t>
        </is>
      </c>
      <c r="D159" s="7" t="n">
        <v>78.5</v>
      </c>
      <c r="F159" s="7" t="n">
        <v>165.6</v>
      </c>
      <c r="H159" s="7" t="n">
        <v>134.5</v>
      </c>
      <c r="J159" s="7" t="n">
        <v>186.1</v>
      </c>
      <c r="L159" s="7" t="n">
        <v>130.6</v>
      </c>
      <c r="N159" s="7" t="n">
        <v>211.3</v>
      </c>
      <c r="P159" s="7" t="n">
        <v>100.7</v>
      </c>
      <c r="R159" s="7" t="n">
        <v>270.8</v>
      </c>
      <c r="T159" s="7" t="n">
        <v>195.1</v>
      </c>
      <c r="V159" s="7" t="n">
        <v>435.3</v>
      </c>
      <c r="X159" s="7" t="n">
        <v>271.5</v>
      </c>
      <c r="Z159" s="7" t="n">
        <v>88.90000000000001</v>
      </c>
      <c r="AB159" s="7" t="n">
        <v>2268.9</v>
      </c>
    </row>
    <row r="160">
      <c r="A160" s="4" t="inlineStr">
        <is>
          <t>保险费</t>
        </is>
      </c>
      <c r="D160" s="7" t="n">
        <v>11.9</v>
      </c>
      <c r="F160" s="7" t="n">
        <v>20.6</v>
      </c>
      <c r="H160" s="7" t="n">
        <v>16</v>
      </c>
      <c r="J160" s="7" t="n">
        <v>23.5</v>
      </c>
      <c r="L160" s="7" t="n">
        <v>20.9</v>
      </c>
      <c r="N160" s="7" t="n">
        <v>38.1</v>
      </c>
      <c r="P160" s="7" t="n">
        <v>12</v>
      </c>
      <c r="R160" s="7" t="n">
        <v>34.8</v>
      </c>
      <c r="T160" s="7" t="n">
        <v>16.2</v>
      </c>
      <c r="V160" s="7" t="n">
        <v>57.3</v>
      </c>
      <c r="X160" s="7" t="n">
        <v>47.4</v>
      </c>
      <c r="Z160" s="7" t="n">
        <v>8</v>
      </c>
      <c r="AB160" s="7" t="n">
        <v>306.7</v>
      </c>
    </row>
    <row r="161">
      <c r="A161" s="4" t="inlineStr">
        <is>
          <t>清洁费</t>
        </is>
      </c>
      <c r="D161" s="7" t="n">
        <v>71.8</v>
      </c>
      <c r="F161" s="7" t="n">
        <v>98.3</v>
      </c>
      <c r="H161" s="7" t="n">
        <v>72.8</v>
      </c>
      <c r="J161" s="7" t="n">
        <v>206.6</v>
      </c>
      <c r="L161" s="7" t="n">
        <v>112</v>
      </c>
      <c r="N161" s="7" t="n">
        <v>170.3</v>
      </c>
      <c r="P161" s="7" t="n">
        <v>94.5</v>
      </c>
      <c r="R161" s="7" t="n">
        <v>180.8</v>
      </c>
      <c r="T161" s="7" t="n">
        <v>88.90000000000001</v>
      </c>
      <c r="V161" s="7" t="n">
        <v>318.9</v>
      </c>
      <c r="X161" s="7" t="n">
        <v>207.7</v>
      </c>
      <c r="Z161" s="7" t="n">
        <v>61.2</v>
      </c>
      <c r="AB161" s="7" t="n">
        <v>1683.8</v>
      </c>
    </row>
    <row r="162">
      <c r="A162" s="4" t="inlineStr">
        <is>
          <t>低值易耗品</t>
        </is>
      </c>
      <c r="D162" s="7" t="n">
        <v>61.6</v>
      </c>
      <c r="F162" s="7" t="n">
        <v>108.3</v>
      </c>
      <c r="H162" s="7" t="n">
        <v>57.9</v>
      </c>
      <c r="J162" s="7" t="n">
        <v>171.7</v>
      </c>
      <c r="L162" s="7" t="n">
        <v>78.09999999999999</v>
      </c>
      <c r="N162" s="7" t="n">
        <v>100.9</v>
      </c>
      <c r="P162" s="7" t="n">
        <v>71.5</v>
      </c>
      <c r="R162" s="7" t="n">
        <v>226</v>
      </c>
      <c r="T162" s="7" t="n">
        <v>85</v>
      </c>
      <c r="V162" s="7" t="n">
        <v>232.6</v>
      </c>
      <c r="X162" s="7" t="n">
        <v>136.9</v>
      </c>
      <c r="Z162" s="7" t="n">
        <v>57.1</v>
      </c>
      <c r="AB162" s="7" t="n">
        <v>1387.6</v>
      </c>
    </row>
    <row r="163">
      <c r="A163" s="4" t="inlineStr">
        <is>
          <t>物料消耗</t>
        </is>
      </c>
      <c r="D163" s="7" t="n">
        <v>6.9</v>
      </c>
      <c r="F163" s="7" t="n">
        <v>8.300000000000001</v>
      </c>
      <c r="H163" s="7" t="n">
        <v>6.3</v>
      </c>
      <c r="J163" s="7" t="n">
        <v>11.5</v>
      </c>
      <c r="L163" s="7" t="n">
        <v>6.7</v>
      </c>
      <c r="N163" s="7" t="n">
        <v>12.2</v>
      </c>
      <c r="P163" s="7" t="n">
        <v>7.9</v>
      </c>
      <c r="R163" s="7" t="n">
        <v>19.6</v>
      </c>
      <c r="T163" s="7" t="n">
        <v>11.3</v>
      </c>
      <c r="V163" s="7" t="n">
        <v>22.3</v>
      </c>
      <c r="X163" s="7" t="n">
        <v>14.6</v>
      </c>
      <c r="Z163" s="7" t="n">
        <v>4.5</v>
      </c>
      <c r="AB163" s="7" t="n">
        <v>132.1</v>
      </c>
    </row>
    <row r="164">
      <c r="A164" s="4" t="inlineStr">
        <is>
          <t>盘盈盘亏</t>
        </is>
      </c>
      <c r="D164" s="7" t="n">
        <v>111.7</v>
      </c>
      <c r="F164" s="7" t="n">
        <v>122.1</v>
      </c>
      <c r="H164" s="7" t="n">
        <v>121.5</v>
      </c>
      <c r="J164" s="7" t="n">
        <v>210.9</v>
      </c>
      <c r="L164" s="7" t="n">
        <v>136.8</v>
      </c>
      <c r="N164" s="7" t="n">
        <v>162.3</v>
      </c>
      <c r="P164" s="7" t="n">
        <v>126.8</v>
      </c>
      <c r="R164" s="7" t="n">
        <v>229.1</v>
      </c>
      <c r="T164" s="7" t="n">
        <v>152.7</v>
      </c>
      <c r="V164" s="7" t="n">
        <v>259.5</v>
      </c>
      <c r="X164" s="7" t="n">
        <v>192.9</v>
      </c>
      <c r="Z164" s="7" t="n">
        <v>71.5</v>
      </c>
      <c r="AB164" s="7" t="n">
        <v>1897.8</v>
      </c>
    </row>
    <row r="165">
      <c r="A165" s="4" t="inlineStr">
        <is>
          <t>平台服务费</t>
        </is>
      </c>
      <c r="D165" s="7" t="n">
        <v>37.6</v>
      </c>
      <c r="F165" s="7" t="n">
        <v>47.2</v>
      </c>
      <c r="H165" s="7" t="n">
        <v>39.2</v>
      </c>
      <c r="J165" s="7" t="n">
        <v>65.5</v>
      </c>
      <c r="L165" s="7" t="n">
        <v>55.5</v>
      </c>
      <c r="N165" s="7" t="n">
        <v>71.09999999999999</v>
      </c>
      <c r="P165" s="7" t="n">
        <v>34.2</v>
      </c>
      <c r="R165" s="7" t="n">
        <v>89.2</v>
      </c>
      <c r="T165" s="7" t="n">
        <v>51.9</v>
      </c>
      <c r="V165" s="7" t="n">
        <v>106.5</v>
      </c>
      <c r="X165" s="7" t="n">
        <v>118.7</v>
      </c>
      <c r="Z165" s="7" t="n">
        <v>31.2</v>
      </c>
      <c r="AB165" s="7" t="n">
        <v>747.8</v>
      </c>
    </row>
    <row r="166">
      <c r="A166" s="4" t="inlineStr">
        <is>
          <t>无形资产摊销</t>
        </is>
      </c>
      <c r="D166" s="7" t="n">
        <v>28.7</v>
      </c>
      <c r="F166" s="7" t="n">
        <v>40.4</v>
      </c>
      <c r="H166" s="7" t="n">
        <v>29.1</v>
      </c>
      <c r="J166" s="7" t="n">
        <v>56.8</v>
      </c>
      <c r="L166" s="7" t="n">
        <v>30.3</v>
      </c>
      <c r="N166" s="7" t="n">
        <v>72.40000000000001</v>
      </c>
      <c r="P166" s="7" t="n">
        <v>22.8</v>
      </c>
      <c r="R166" s="7" t="n">
        <v>76.7</v>
      </c>
      <c r="T166" s="7" t="n">
        <v>55.8</v>
      </c>
      <c r="V166" s="7" t="n">
        <v>134.4</v>
      </c>
      <c r="X166" s="7" t="n">
        <v>52.6</v>
      </c>
      <c r="Z166" s="7" t="n">
        <v>23</v>
      </c>
      <c r="AB166" s="7" t="n">
        <v>623</v>
      </c>
    </row>
    <row r="167">
      <c r="A167" s="4" t="inlineStr">
        <is>
          <t>研发材料</t>
        </is>
      </c>
      <c r="D167" s="7" t="n">
        <v>94.8</v>
      </c>
      <c r="F167" s="7" t="n">
        <v>150.5</v>
      </c>
      <c r="H167" s="7" t="n">
        <v>108.5</v>
      </c>
      <c r="J167" s="7" t="n">
        <v>202.1</v>
      </c>
      <c r="L167" s="7" t="n">
        <v>158</v>
      </c>
      <c r="N167" s="7" t="n">
        <v>182.1</v>
      </c>
      <c r="P167" s="7" t="n">
        <v>65.09999999999999</v>
      </c>
      <c r="R167" s="7" t="n">
        <v>260.2</v>
      </c>
      <c r="T167" s="7" t="n">
        <v>170.6</v>
      </c>
      <c r="V167" s="7" t="n">
        <v>286.6</v>
      </c>
      <c r="X167" s="7" t="n">
        <v>297.5</v>
      </c>
      <c r="Z167" s="7" t="n">
        <v>64.09999999999999</v>
      </c>
      <c r="AB167" s="7" t="n">
        <v>2040.1</v>
      </c>
    </row>
    <row r="168">
      <c r="A168" s="4" t="inlineStr">
        <is>
          <t>项目名称</t>
        </is>
      </c>
      <c r="D168" s="7" t="n">
        <v>31.4</v>
      </c>
      <c r="F168" s="7" t="n">
        <v>71.5</v>
      </c>
      <c r="H168" s="7" t="n">
        <v>42.1</v>
      </c>
      <c r="J168" s="7" t="n">
        <v>74.59999999999999</v>
      </c>
      <c r="L168" s="7" t="n">
        <v>65</v>
      </c>
      <c r="N168" s="7" t="n">
        <v>96.7</v>
      </c>
      <c r="P168" s="7" t="n">
        <v>31.6</v>
      </c>
      <c r="R168" s="7" t="n">
        <v>126.9</v>
      </c>
      <c r="T168" s="7" t="n">
        <v>86.5</v>
      </c>
      <c r="V168" s="7" t="n">
        <v>187.9</v>
      </c>
      <c r="X168" s="7" t="n">
        <v>96.8</v>
      </c>
      <c r="Z168" s="7" t="n">
        <v>34.4</v>
      </c>
      <c r="AB168" s="7" t="n">
        <v>945.4</v>
      </c>
    </row>
    <row r="169">
      <c r="A169" s="4" t="inlineStr">
        <is>
          <t>研发费</t>
        </is>
      </c>
      <c r="D169" s="7" t="n">
        <v>1.3</v>
      </c>
      <c r="F169" s="7" t="n">
        <v>1.9</v>
      </c>
      <c r="H169" s="7" t="n">
        <v>1.6</v>
      </c>
      <c r="J169" s="7" t="n">
        <v>3</v>
      </c>
      <c r="L169" s="7" t="n">
        <v>1.8</v>
      </c>
      <c r="N169" s="7" t="n">
        <v>3.4</v>
      </c>
      <c r="P169" s="7" t="n">
        <v>1.5</v>
      </c>
      <c r="R169" s="7" t="n">
        <v>3.7</v>
      </c>
      <c r="T169" s="7" t="n">
        <v>2.1</v>
      </c>
      <c r="V169" s="7" t="n">
        <v>5.8</v>
      </c>
      <c r="X169" s="7" t="n">
        <v>3.1</v>
      </c>
      <c r="Z169" s="7" t="n">
        <v>0.7</v>
      </c>
      <c r="AB169" s="7" t="n">
        <v>29.9</v>
      </c>
    </row>
    <row r="170">
      <c r="A170" s="4" t="inlineStr">
        <is>
          <t>残保金</t>
        </is>
      </c>
      <c r="D170" s="7" t="n">
        <v>21.1</v>
      </c>
      <c r="F170" s="7" t="n">
        <v>37</v>
      </c>
      <c r="H170" s="7" t="n">
        <v>26.4</v>
      </c>
      <c r="J170" s="7" t="n">
        <v>47.3</v>
      </c>
      <c r="L170" s="7" t="n">
        <v>35.5</v>
      </c>
      <c r="N170" s="7" t="n">
        <v>44.9</v>
      </c>
      <c r="P170" s="7" t="n">
        <v>23.6</v>
      </c>
      <c r="R170" s="7" t="n">
        <v>89.7</v>
      </c>
      <c r="T170" s="7" t="n">
        <v>42.8</v>
      </c>
      <c r="V170" s="7" t="n">
        <v>119.2</v>
      </c>
      <c r="X170" s="7" t="n">
        <v>67.3</v>
      </c>
      <c r="Z170" s="7" t="n">
        <v>20.5</v>
      </c>
      <c r="AB170" s="7" t="n">
        <v>575.3</v>
      </c>
    </row>
    <row r="171">
      <c r="A171" s="4" t="inlineStr">
        <is>
          <t>环保费</t>
        </is>
      </c>
      <c r="D171" s="7" t="n">
        <v>97.5</v>
      </c>
      <c r="F171" s="7" t="n">
        <v>144.9</v>
      </c>
      <c r="H171" s="7" t="n">
        <v>121.4</v>
      </c>
      <c r="J171" s="7" t="n">
        <v>204</v>
      </c>
      <c r="L171" s="7" t="n">
        <v>124</v>
      </c>
      <c r="N171" s="7" t="n">
        <v>161.2</v>
      </c>
      <c r="P171" s="7" t="n">
        <v>94.90000000000001</v>
      </c>
      <c r="R171" s="7" t="n">
        <v>341.2</v>
      </c>
      <c r="T171" s="7" t="n">
        <v>195.6</v>
      </c>
      <c r="V171" s="7" t="n">
        <v>284.7</v>
      </c>
      <c r="X171" s="7" t="n">
        <v>306.5</v>
      </c>
      <c r="Z171" s="7" t="n">
        <v>71.8</v>
      </c>
      <c r="AB171" s="7" t="n">
        <v>2147.7</v>
      </c>
    </row>
    <row r="172">
      <c r="A172" s="4" t="inlineStr">
        <is>
          <t>报废损失</t>
        </is>
      </c>
      <c r="D172" s="7" t="n">
        <v>17.1</v>
      </c>
      <c r="F172" s="7" t="n">
        <v>21.4</v>
      </c>
      <c r="H172" s="7" t="n">
        <v>20.9</v>
      </c>
      <c r="J172" s="7" t="n">
        <v>49.7</v>
      </c>
      <c r="L172" s="7" t="n">
        <v>18.2</v>
      </c>
      <c r="N172" s="7" t="n">
        <v>32.6</v>
      </c>
      <c r="P172" s="7" t="n">
        <v>13.6</v>
      </c>
      <c r="R172" s="7" t="n">
        <v>60.9</v>
      </c>
      <c r="T172" s="7" t="n">
        <v>30.7</v>
      </c>
      <c r="V172" s="7" t="n">
        <v>77.7</v>
      </c>
      <c r="X172" s="7" t="n">
        <v>43.1</v>
      </c>
      <c r="Z172" s="7" t="n">
        <v>11.1</v>
      </c>
      <c r="AB172" s="7" t="n">
        <v>397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12073</v>
      </c>
      <c r="D173" s="7" t="n">
        <v>9015.4</v>
      </c>
      <c r="E173" s="7" t="n">
        <v>9390.1</v>
      </c>
      <c r="F173" s="7" t="n">
        <v>4554.1</v>
      </c>
      <c r="G173" s="7" t="n">
        <v>10011.7</v>
      </c>
      <c r="H173" s="7" t="n">
        <v>5653.2</v>
      </c>
      <c r="I173" s="7" t="n">
        <v>10664</v>
      </c>
      <c r="J173" s="7" t="n">
        <v>9528.9</v>
      </c>
      <c r="K173" s="7" t="n">
        <v>10383.2</v>
      </c>
      <c r="L173" s="7" t="n">
        <v>3964.7</v>
      </c>
      <c r="M173" s="7" t="n">
        <v>9879.6</v>
      </c>
      <c r="N173" s="7" t="n">
        <v>5767.1</v>
      </c>
      <c r="O173" s="7" t="n">
        <v>11924.4</v>
      </c>
      <c r="P173" s="7" t="n">
        <v>7153.1</v>
      </c>
      <c r="Q173" s="7" t="n">
        <v>10693.3</v>
      </c>
      <c r="R173" s="7" t="n">
        <v>18549.3</v>
      </c>
      <c r="S173" s="7" t="n">
        <v>9534.4</v>
      </c>
      <c r="T173" s="7" t="n">
        <v>14514.3</v>
      </c>
      <c r="U173" s="7" t="n">
        <v>9039.700000000001</v>
      </c>
      <c r="V173" s="7" t="n">
        <v>21350.8</v>
      </c>
      <c r="W173" s="7" t="n">
        <v>10691.1</v>
      </c>
      <c r="X173" s="7" t="n">
        <v>18617.5</v>
      </c>
      <c r="Y173" s="7" t="n">
        <v>11334.5</v>
      </c>
      <c r="Z173" s="7" t="n">
        <v>8784.4</v>
      </c>
      <c r="AA173" s="8" t="n">
        <v>125619</v>
      </c>
      <c r="AB173" s="8" t="n">
        <v>127452.8</v>
      </c>
    </row>
    <row r="174">
      <c r="A174" s="4" t="inlineStr">
        <is>
          <t>职工薪酬</t>
        </is>
      </c>
      <c r="D174" s="7" t="n">
        <v>4520.6</v>
      </c>
      <c r="F174" s="7" t="n">
        <v>2537</v>
      </c>
      <c r="H174" s="7" t="n">
        <v>2673.3</v>
      </c>
      <c r="J174" s="7" t="n">
        <v>4617.8</v>
      </c>
      <c r="L174" s="7" t="n">
        <v>2112.3</v>
      </c>
      <c r="N174" s="7" t="n">
        <v>3207.7</v>
      </c>
      <c r="P174" s="7" t="n">
        <v>3188.8</v>
      </c>
      <c r="R174" s="7" t="n">
        <v>9184.4</v>
      </c>
      <c r="T174" s="7" t="n">
        <v>7069.2</v>
      </c>
      <c r="V174" s="7" t="n">
        <v>13132.6</v>
      </c>
      <c r="X174" s="7" t="n">
        <v>8597.799999999999</v>
      </c>
      <c r="Z174" s="7" t="n">
        <v>4980.2</v>
      </c>
      <c r="AB174" s="7" t="n">
        <v>65821.7</v>
      </c>
    </row>
    <row r="175">
      <c r="A175" s="4" t="inlineStr">
        <is>
          <t>工资</t>
        </is>
      </c>
      <c r="D175" s="7" t="n">
        <v>2590</v>
      </c>
      <c r="F175" s="7" t="n">
        <v>1560.4</v>
      </c>
      <c r="H175" s="7" t="n">
        <v>1554.1</v>
      </c>
      <c r="J175" s="7" t="n">
        <v>2942.1</v>
      </c>
      <c r="L175" s="7" t="n">
        <v>1343.9</v>
      </c>
      <c r="N175" s="7" t="n">
        <v>1996.7</v>
      </c>
      <c r="P175" s="7" t="n">
        <v>1715.6</v>
      </c>
      <c r="R175" s="7" t="n">
        <v>5297.6</v>
      </c>
      <c r="T175" s="7" t="n">
        <v>4303.5</v>
      </c>
      <c r="V175" s="7" t="n">
        <v>8050.5</v>
      </c>
      <c r="X175" s="7" t="n">
        <v>4612.7</v>
      </c>
      <c r="Z175" s="7" t="n">
        <v>3187.6</v>
      </c>
      <c r="AB175" s="7" t="n">
        <v>39154.7</v>
      </c>
    </row>
    <row r="176">
      <c r="A176" s="4" t="inlineStr">
        <is>
          <t>奖金及提成</t>
        </is>
      </c>
      <c r="D176" s="7" t="n">
        <v>871</v>
      </c>
      <c r="F176" s="7" t="n">
        <v>510</v>
      </c>
      <c r="H176" s="7" t="n">
        <v>526</v>
      </c>
      <c r="J176" s="7" t="n">
        <v>771</v>
      </c>
      <c r="L176" s="7" t="n">
        <v>418</v>
      </c>
      <c r="N176" s="7" t="n">
        <v>631.1</v>
      </c>
      <c r="P176" s="7" t="n">
        <v>776.4</v>
      </c>
      <c r="R176" s="7" t="n">
        <v>2056.8</v>
      </c>
      <c r="T176" s="7" t="n">
        <v>1339.6</v>
      </c>
      <c r="V176" s="7" t="n">
        <v>2752.2</v>
      </c>
      <c r="X176" s="7" t="n">
        <v>1894.8</v>
      </c>
      <c r="Z176" s="7" t="n">
        <v>1085.9</v>
      </c>
      <c r="AB176" s="7" t="n">
        <v>13632.8</v>
      </c>
    </row>
    <row r="177">
      <c r="A177" s="4" t="inlineStr">
        <is>
          <t>社保</t>
        </is>
      </c>
      <c r="D177" s="7" t="n">
        <v>835.6</v>
      </c>
      <c r="F177" s="7" t="n">
        <v>357.5</v>
      </c>
      <c r="H177" s="7" t="n">
        <v>452.4</v>
      </c>
      <c r="J177" s="7" t="n">
        <v>668.5</v>
      </c>
      <c r="L177" s="7" t="n">
        <v>249.9</v>
      </c>
      <c r="N177" s="7" t="n">
        <v>428.6</v>
      </c>
      <c r="P177" s="7" t="n">
        <v>524.8</v>
      </c>
      <c r="R177" s="7" t="n">
        <v>1341.4</v>
      </c>
      <c r="T177" s="7" t="n">
        <v>1030.5</v>
      </c>
      <c r="V177" s="7" t="n">
        <v>1834</v>
      </c>
      <c r="X177" s="7" t="n">
        <v>1573.2</v>
      </c>
      <c r="Z177" s="7" t="n">
        <v>501.8</v>
      </c>
      <c r="AB177" s="7" t="n">
        <v>9798.200000000001</v>
      </c>
    </row>
    <row r="178">
      <c r="A178" s="4" t="inlineStr">
        <is>
          <t>养老</t>
        </is>
      </c>
      <c r="D178" s="7" t="n">
        <v>19.7</v>
      </c>
      <c r="F178" s="7" t="n">
        <v>9.800000000000001</v>
      </c>
      <c r="H178" s="7" t="n">
        <v>17.7</v>
      </c>
      <c r="J178" s="7" t="n">
        <v>21.9</v>
      </c>
      <c r="L178" s="7" t="n">
        <v>10.8</v>
      </c>
      <c r="N178" s="7" t="n">
        <v>15.4</v>
      </c>
      <c r="P178" s="7" t="n">
        <v>19.8</v>
      </c>
      <c r="R178" s="7" t="n">
        <v>53.6</v>
      </c>
      <c r="T178" s="7" t="n">
        <v>51.6</v>
      </c>
      <c r="V178" s="7" t="n">
        <v>72.40000000000001</v>
      </c>
      <c r="X178" s="7" t="n">
        <v>42.9</v>
      </c>
      <c r="Z178" s="7" t="n">
        <v>26.8</v>
      </c>
      <c r="AB178" s="7" t="n">
        <v>362.4</v>
      </c>
    </row>
    <row r="179">
      <c r="A179" s="4" t="inlineStr">
        <is>
          <t>医疗</t>
        </is>
      </c>
      <c r="D179" s="7" t="n">
        <v>24.5</v>
      </c>
      <c r="F179" s="7" t="n">
        <v>20.3</v>
      </c>
      <c r="H179" s="7" t="n">
        <v>24.6</v>
      </c>
      <c r="J179" s="7" t="n">
        <v>34.3</v>
      </c>
      <c r="L179" s="7" t="n">
        <v>17.8</v>
      </c>
      <c r="N179" s="7" t="n">
        <v>26.5</v>
      </c>
      <c r="P179" s="7" t="n">
        <v>30.3</v>
      </c>
      <c r="R179" s="7" t="n">
        <v>75.09999999999999</v>
      </c>
      <c r="T179" s="7" t="n">
        <v>52.9</v>
      </c>
      <c r="V179" s="7" t="n">
        <v>88.5</v>
      </c>
      <c r="X179" s="7" t="n">
        <v>72.2</v>
      </c>
      <c r="Z179" s="7" t="n">
        <v>39.2</v>
      </c>
      <c r="AB179" s="7" t="n">
        <v>506.2</v>
      </c>
    </row>
    <row r="180">
      <c r="A180" s="4" t="inlineStr">
        <is>
          <t>工伤</t>
        </is>
      </c>
      <c r="D180" s="7" t="n">
        <v>61</v>
      </c>
      <c r="F180" s="7" t="n">
        <v>33</v>
      </c>
      <c r="H180" s="7" t="n">
        <v>27.1</v>
      </c>
      <c r="J180" s="7" t="n">
        <v>72.3</v>
      </c>
      <c r="L180" s="7" t="n">
        <v>24.4</v>
      </c>
      <c r="N180" s="7" t="n">
        <v>33.1</v>
      </c>
      <c r="P180" s="7" t="n">
        <v>37.9</v>
      </c>
      <c r="R180" s="7" t="n">
        <v>121.5</v>
      </c>
      <c r="T180" s="7" t="n">
        <v>121.2</v>
      </c>
      <c r="V180" s="7" t="n">
        <v>169.1</v>
      </c>
      <c r="X180" s="7" t="n">
        <v>123.4</v>
      </c>
      <c r="Z180" s="7" t="n">
        <v>60.9</v>
      </c>
      <c r="AB180" s="7" t="n">
        <v>884.9</v>
      </c>
    </row>
    <row r="181">
      <c r="A181" s="4" t="inlineStr">
        <is>
          <t>失业</t>
        </is>
      </c>
      <c r="D181" s="7" t="n">
        <v>2.3</v>
      </c>
      <c r="F181" s="7" t="n">
        <v>1</v>
      </c>
      <c r="H181" s="7" t="n">
        <v>1.5</v>
      </c>
      <c r="J181" s="7" t="n">
        <v>2.3</v>
      </c>
      <c r="L181" s="7" t="n">
        <v>0.8</v>
      </c>
      <c r="N181" s="7" t="n">
        <v>1.5</v>
      </c>
      <c r="P181" s="7" t="n">
        <v>1.4</v>
      </c>
      <c r="R181" s="7" t="n">
        <v>5.1</v>
      </c>
      <c r="T181" s="7" t="n">
        <v>3.5</v>
      </c>
      <c r="V181" s="7" t="n">
        <v>7.2</v>
      </c>
      <c r="X181" s="7" t="n">
        <v>5.6</v>
      </c>
      <c r="Z181" s="7" t="n">
        <v>2.5</v>
      </c>
      <c r="AB181" s="7" t="n">
        <v>34.7</v>
      </c>
    </row>
    <row r="182">
      <c r="A182" s="4" t="inlineStr">
        <is>
          <t>生育</t>
        </is>
      </c>
      <c r="D182" s="7" t="n">
        <v>11.9</v>
      </c>
      <c r="F182" s="7" t="n">
        <v>4.1</v>
      </c>
      <c r="H182" s="7" t="n">
        <v>5.3</v>
      </c>
      <c r="J182" s="7" t="n">
        <v>10.5</v>
      </c>
      <c r="L182" s="7" t="n">
        <v>4.1</v>
      </c>
      <c r="N182" s="7" t="n">
        <v>6.4</v>
      </c>
      <c r="P182" s="7" t="n">
        <v>9.6</v>
      </c>
      <c r="R182" s="7" t="n">
        <v>26</v>
      </c>
      <c r="T182" s="7" t="n">
        <v>17.7</v>
      </c>
      <c r="V182" s="7" t="n">
        <v>22</v>
      </c>
      <c r="X182" s="7" t="n">
        <v>16.2</v>
      </c>
      <c r="Z182" s="7" t="n">
        <v>10.2</v>
      </c>
      <c r="AB182" s="7" t="n">
        <v>144</v>
      </c>
    </row>
    <row r="183">
      <c r="A183" s="4" t="inlineStr">
        <is>
          <t>公积金</t>
        </is>
      </c>
      <c r="D183" s="7" t="n">
        <v>32.6</v>
      </c>
      <c r="F183" s="7" t="n">
        <v>25.7</v>
      </c>
      <c r="H183" s="7" t="n">
        <v>29.6</v>
      </c>
      <c r="J183" s="7" t="n">
        <v>45.2</v>
      </c>
      <c r="L183" s="7" t="n">
        <v>19.1</v>
      </c>
      <c r="N183" s="7" t="n">
        <v>23.2</v>
      </c>
      <c r="P183" s="7" t="n">
        <v>24.1</v>
      </c>
      <c r="R183" s="7" t="n">
        <v>101.7</v>
      </c>
      <c r="T183" s="7" t="n">
        <v>66.7</v>
      </c>
      <c r="V183" s="7" t="n">
        <v>75.59999999999999</v>
      </c>
      <c r="X183" s="7" t="n">
        <v>86.5</v>
      </c>
      <c r="Z183" s="7" t="n">
        <v>46</v>
      </c>
      <c r="AB183" s="7" t="n">
        <v>576</v>
      </c>
    </row>
    <row r="184">
      <c r="A184" s="4" t="inlineStr">
        <is>
          <t>工会经费</t>
        </is>
      </c>
      <c r="D184" s="7" t="n">
        <v>28.8</v>
      </c>
      <c r="F184" s="7" t="n">
        <v>17.1</v>
      </c>
      <c r="H184" s="7" t="n">
        <v>22.4</v>
      </c>
      <c r="J184" s="7" t="n">
        <v>32.9</v>
      </c>
      <c r="L184" s="7" t="n">
        <v>10.6</v>
      </c>
      <c r="N184" s="7" t="n">
        <v>23.4</v>
      </c>
      <c r="P184" s="7" t="n">
        <v>26.7</v>
      </c>
      <c r="R184" s="7" t="n">
        <v>63.2</v>
      </c>
      <c r="T184" s="7" t="n">
        <v>62.2</v>
      </c>
      <c r="V184" s="7" t="n">
        <v>68.3</v>
      </c>
      <c r="X184" s="7" t="n">
        <v>73.8</v>
      </c>
      <c r="Z184" s="7" t="n">
        <v>38.5</v>
      </c>
      <c r="AB184" s="7" t="n">
        <v>467.9</v>
      </c>
    </row>
    <row r="185">
      <c r="A185" s="4" t="inlineStr">
        <is>
          <t>职工教育经费</t>
        </is>
      </c>
      <c r="D185" s="7" t="n">
        <v>1.7</v>
      </c>
      <c r="F185" s="7" t="n">
        <v>1.1</v>
      </c>
      <c r="H185" s="7" t="n">
        <v>1.1</v>
      </c>
      <c r="J185" s="7" t="n">
        <v>2.3</v>
      </c>
      <c r="L185" s="7" t="n">
        <v>0.8</v>
      </c>
      <c r="N185" s="7" t="n">
        <v>1.4</v>
      </c>
      <c r="P185" s="7" t="n">
        <v>1.6</v>
      </c>
      <c r="R185" s="7" t="n">
        <v>4.7</v>
      </c>
      <c r="T185" s="7" t="n">
        <v>2.9</v>
      </c>
      <c r="V185" s="7" t="n">
        <v>4.4</v>
      </c>
      <c r="X185" s="7" t="n">
        <v>5</v>
      </c>
      <c r="Z185" s="7" t="n">
        <v>2.3</v>
      </c>
      <c r="AB185" s="7" t="n">
        <v>29.3</v>
      </c>
    </row>
    <row r="186">
      <c r="A186" s="4" t="inlineStr">
        <is>
          <t>福利费</t>
        </is>
      </c>
      <c r="D186" s="7" t="n">
        <v>160.9</v>
      </c>
      <c r="F186" s="7" t="n">
        <v>65.2</v>
      </c>
      <c r="H186" s="7" t="n">
        <v>87.7</v>
      </c>
      <c r="J186" s="7" t="n">
        <v>155.8</v>
      </c>
      <c r="L186" s="7" t="n">
        <v>70</v>
      </c>
      <c r="N186" s="7" t="n">
        <v>103.3</v>
      </c>
      <c r="P186" s="7" t="n">
        <v>119.6</v>
      </c>
      <c r="R186" s="7" t="n">
        <v>319</v>
      </c>
      <c r="T186" s="7" t="n">
        <v>263.8</v>
      </c>
      <c r="V186" s="7" t="n">
        <v>347.6</v>
      </c>
      <c r="X186" s="7" t="n">
        <v>351.8</v>
      </c>
      <c r="Z186" s="7" t="n">
        <v>118.1</v>
      </c>
      <c r="AB186" s="7" t="n">
        <v>2162.8</v>
      </c>
    </row>
    <row r="187">
      <c r="A187" s="4" t="inlineStr">
        <is>
          <t>职工房租</t>
        </is>
      </c>
      <c r="D187" s="7" t="n">
        <v>66.40000000000001</v>
      </c>
      <c r="F187" s="7" t="n">
        <v>21</v>
      </c>
      <c r="H187" s="7" t="n">
        <v>29.3</v>
      </c>
      <c r="J187" s="7" t="n">
        <v>52.3</v>
      </c>
      <c r="L187" s="7" t="n">
        <v>26.5</v>
      </c>
      <c r="N187" s="7" t="n">
        <v>31.6</v>
      </c>
      <c r="P187" s="7" t="n">
        <v>46.4</v>
      </c>
      <c r="R187" s="7" t="n">
        <v>122</v>
      </c>
      <c r="T187" s="7" t="n">
        <v>99.09999999999999</v>
      </c>
      <c r="V187" s="7" t="n">
        <v>132.6</v>
      </c>
      <c r="X187" s="7" t="n">
        <v>129.7</v>
      </c>
      <c r="Z187" s="7" t="n">
        <v>37.9</v>
      </c>
      <c r="AB187" s="7" t="n">
        <v>794.8</v>
      </c>
    </row>
    <row r="188">
      <c r="A188" s="4" t="inlineStr">
        <is>
          <t>水电物业费</t>
        </is>
      </c>
      <c r="D188" s="7" t="n">
        <v>21</v>
      </c>
      <c r="F188" s="7" t="n">
        <v>10.9</v>
      </c>
      <c r="H188" s="7" t="n">
        <v>14.2</v>
      </c>
      <c r="J188" s="7" t="n">
        <v>19.8</v>
      </c>
      <c r="L188" s="7" t="n">
        <v>10.6</v>
      </c>
      <c r="N188" s="7" t="n">
        <v>11.4</v>
      </c>
      <c r="P188" s="7" t="n">
        <v>16.8</v>
      </c>
      <c r="R188" s="7" t="n">
        <v>40.6</v>
      </c>
      <c r="T188" s="7" t="n">
        <v>33.6</v>
      </c>
      <c r="V188" s="7" t="n">
        <v>51</v>
      </c>
      <c r="X188" s="7" t="n">
        <v>46</v>
      </c>
      <c r="Z188" s="7" t="n">
        <v>19.2</v>
      </c>
      <c r="AB188" s="7" t="n">
        <v>295.1</v>
      </c>
    </row>
    <row r="189">
      <c r="A189" s="4" t="inlineStr">
        <is>
          <t>员工餐</t>
        </is>
      </c>
      <c r="D189" s="7" t="n">
        <v>36.5</v>
      </c>
      <c r="F189" s="7" t="n">
        <v>15.4</v>
      </c>
      <c r="H189" s="7" t="n">
        <v>24.3</v>
      </c>
      <c r="J189" s="7" t="n">
        <v>44.7</v>
      </c>
      <c r="L189" s="7" t="n">
        <v>15.3</v>
      </c>
      <c r="N189" s="7" t="n">
        <v>34.5</v>
      </c>
      <c r="P189" s="7" t="n">
        <v>29.6</v>
      </c>
      <c r="R189" s="7" t="n">
        <v>76.5</v>
      </c>
      <c r="T189" s="7" t="n">
        <v>67</v>
      </c>
      <c r="V189" s="7" t="n">
        <v>72.7</v>
      </c>
      <c r="X189" s="7" t="n">
        <v>108.6</v>
      </c>
      <c r="Z189" s="7" t="n">
        <v>31.2</v>
      </c>
      <c r="AB189" s="7" t="n">
        <v>556.3</v>
      </c>
    </row>
    <row r="190">
      <c r="A190" s="4" t="inlineStr">
        <is>
          <t>节日礼品</t>
        </is>
      </c>
      <c r="D190" s="7" t="n">
        <v>7.5</v>
      </c>
      <c r="F190" s="7" t="n">
        <v>5</v>
      </c>
      <c r="H190" s="7" t="n">
        <v>5</v>
      </c>
      <c r="J190" s="7" t="n">
        <v>6.9</v>
      </c>
      <c r="L190" s="7" t="n">
        <v>3.7</v>
      </c>
      <c r="N190" s="7" t="n">
        <v>7.5</v>
      </c>
      <c r="P190" s="7" t="n">
        <v>5.5</v>
      </c>
      <c r="R190" s="7" t="n">
        <v>20</v>
      </c>
      <c r="T190" s="7" t="n">
        <v>13.6</v>
      </c>
      <c r="V190" s="7" t="n">
        <v>26.9</v>
      </c>
      <c r="X190" s="7" t="n">
        <v>19</v>
      </c>
      <c r="Z190" s="7" t="n">
        <v>6.5</v>
      </c>
      <c r="AB190" s="7" t="n">
        <v>127.1</v>
      </c>
    </row>
    <row r="191">
      <c r="A191" s="4" t="inlineStr">
        <is>
          <t>生日礼品</t>
        </is>
      </c>
      <c r="D191" s="7" t="n">
        <v>2.4</v>
      </c>
      <c r="F191" s="7" t="n">
        <v>1.4</v>
      </c>
      <c r="H191" s="7" t="n">
        <v>1.3</v>
      </c>
      <c r="J191" s="7" t="n">
        <v>2.3</v>
      </c>
      <c r="L191" s="7" t="n">
        <v>0.7</v>
      </c>
      <c r="N191" s="7" t="n">
        <v>1.7</v>
      </c>
      <c r="P191" s="7" t="n">
        <v>1.5</v>
      </c>
      <c r="R191" s="7" t="n">
        <v>5.9</v>
      </c>
      <c r="T191" s="7" t="n">
        <v>4.2</v>
      </c>
      <c r="V191" s="7" t="n">
        <v>5.6</v>
      </c>
      <c r="X191" s="7" t="n">
        <v>4.2</v>
      </c>
      <c r="Z191" s="7" t="n">
        <v>2.2</v>
      </c>
      <c r="AB191" s="7" t="n">
        <v>33.4</v>
      </c>
    </row>
    <row r="192">
      <c r="A192" s="4" t="inlineStr">
        <is>
          <t>体检</t>
        </is>
      </c>
      <c r="D192" s="7" t="n">
        <v>20</v>
      </c>
      <c r="F192" s="7" t="n">
        <v>8.199999999999999</v>
      </c>
      <c r="H192" s="7" t="n">
        <v>8.6</v>
      </c>
      <c r="J192" s="7" t="n">
        <v>20.6</v>
      </c>
      <c r="L192" s="7" t="n">
        <v>8.9</v>
      </c>
      <c r="N192" s="7" t="n">
        <v>11.9</v>
      </c>
      <c r="P192" s="7" t="n">
        <v>11.8</v>
      </c>
      <c r="R192" s="7" t="n">
        <v>38.9</v>
      </c>
      <c r="T192" s="7" t="n">
        <v>31.9</v>
      </c>
      <c r="V192" s="7" t="n">
        <v>43.8</v>
      </c>
      <c r="X192" s="7" t="n">
        <v>23.8</v>
      </c>
      <c r="Z192" s="7" t="n">
        <v>12.6</v>
      </c>
      <c r="AB192" s="7" t="n">
        <v>241</v>
      </c>
    </row>
    <row r="193">
      <c r="A193" s="4" t="inlineStr">
        <is>
          <t>其他福利支出</t>
        </is>
      </c>
      <c r="D193" s="7" t="n">
        <v>7.1</v>
      </c>
      <c r="F193" s="7" t="n">
        <v>3.3</v>
      </c>
      <c r="H193" s="7" t="n">
        <v>5</v>
      </c>
      <c r="J193" s="7" t="n">
        <v>9.199999999999999</v>
      </c>
      <c r="L193" s="7" t="n">
        <v>4.3</v>
      </c>
      <c r="N193" s="7" t="n">
        <v>4.7</v>
      </c>
      <c r="P193" s="7" t="n">
        <v>8</v>
      </c>
      <c r="R193" s="7" t="n">
        <v>15.1</v>
      </c>
      <c r="T193" s="7" t="n">
        <v>14.4</v>
      </c>
      <c r="V193" s="7" t="n">
        <v>15</v>
      </c>
      <c r="X193" s="7" t="n">
        <v>20.5</v>
      </c>
      <c r="Z193" s="7" t="n">
        <v>8.5</v>
      </c>
      <c r="AB193" s="7" t="n">
        <v>115.1</v>
      </c>
    </row>
    <row r="194">
      <c r="A194" s="4" t="inlineStr">
        <is>
          <t>招聘费</t>
        </is>
      </c>
      <c r="D194" s="7" t="n">
        <v>32.9</v>
      </c>
      <c r="F194" s="7" t="n">
        <v>19.9</v>
      </c>
      <c r="H194" s="7" t="n">
        <v>31.4</v>
      </c>
      <c r="J194" s="7" t="n">
        <v>48.2</v>
      </c>
      <c r="L194" s="7" t="n">
        <v>14.2</v>
      </c>
      <c r="N194" s="7" t="n">
        <v>18.1</v>
      </c>
      <c r="P194" s="7" t="n">
        <v>32.3</v>
      </c>
      <c r="R194" s="7" t="n">
        <v>60.7</v>
      </c>
      <c r="T194" s="7" t="n">
        <v>65.3</v>
      </c>
      <c r="V194" s="7" t="n">
        <v>116.2</v>
      </c>
      <c r="X194" s="7" t="n">
        <v>88.7</v>
      </c>
      <c r="Z194" s="7" t="n">
        <v>41.4</v>
      </c>
      <c r="AB194" s="7" t="n">
        <v>569.3</v>
      </c>
    </row>
    <row r="195">
      <c r="A195" s="4" t="inlineStr">
        <is>
          <t>办公费</t>
        </is>
      </c>
      <c r="D195" s="7" t="n">
        <v>350.9</v>
      </c>
      <c r="F195" s="7" t="n">
        <v>114.2</v>
      </c>
      <c r="H195" s="7" t="n">
        <v>136.5</v>
      </c>
      <c r="J195" s="7" t="n">
        <v>215.6</v>
      </c>
      <c r="L195" s="7" t="n">
        <v>144.2</v>
      </c>
      <c r="N195" s="7" t="n">
        <v>197.6</v>
      </c>
      <c r="P195" s="7" t="n">
        <v>159.1</v>
      </c>
      <c r="R195" s="7" t="n">
        <v>505.4</v>
      </c>
      <c r="T195" s="7" t="n">
        <v>497.8</v>
      </c>
      <c r="V195" s="7" t="n">
        <v>655</v>
      </c>
      <c r="X195" s="7" t="n">
        <v>586.4</v>
      </c>
      <c r="Z195" s="7" t="n">
        <v>310.5</v>
      </c>
      <c r="AB195" s="7" t="n">
        <v>3873.2</v>
      </c>
    </row>
    <row r="196">
      <c r="A196" s="4" t="inlineStr">
        <is>
          <t>市内交通费</t>
        </is>
      </c>
      <c r="D196" s="7" t="n">
        <v>1.4</v>
      </c>
      <c r="F196" s="7" t="n">
        <v>0.6</v>
      </c>
      <c r="H196" s="7" t="n">
        <v>0.8</v>
      </c>
      <c r="J196" s="7" t="n">
        <v>1.4</v>
      </c>
      <c r="L196" s="7" t="n">
        <v>0.6</v>
      </c>
      <c r="N196" s="7" t="n">
        <v>0.8</v>
      </c>
      <c r="P196" s="7" t="n">
        <v>0.9</v>
      </c>
      <c r="R196" s="7" t="n">
        <v>2.3</v>
      </c>
      <c r="T196" s="7" t="n">
        <v>2.6</v>
      </c>
      <c r="V196" s="7" t="n">
        <v>3.5</v>
      </c>
      <c r="X196" s="7" t="n">
        <v>3</v>
      </c>
      <c r="Z196" s="7" t="n">
        <v>1.5</v>
      </c>
      <c r="AB196" s="7" t="n">
        <v>19.4</v>
      </c>
    </row>
    <row r="197">
      <c r="A197" s="4" t="inlineStr">
        <is>
          <t>差旅费</t>
        </is>
      </c>
      <c r="D197" s="7" t="n">
        <v>677.7</v>
      </c>
      <c r="F197" s="7" t="n">
        <v>271.1</v>
      </c>
      <c r="H197" s="7" t="n">
        <v>388.2</v>
      </c>
      <c r="J197" s="7" t="n">
        <v>717</v>
      </c>
      <c r="L197" s="7" t="n">
        <v>253.5</v>
      </c>
      <c r="N197" s="7" t="n">
        <v>330.4</v>
      </c>
      <c r="P197" s="7" t="n">
        <v>414.2</v>
      </c>
      <c r="R197" s="7" t="n">
        <v>1003.9</v>
      </c>
      <c r="T197" s="7" t="n">
        <v>1105.1</v>
      </c>
      <c r="V197" s="7" t="n">
        <v>1586.6</v>
      </c>
      <c r="X197" s="7" t="n">
        <v>833.5</v>
      </c>
      <c r="Z197" s="7" t="n">
        <v>579.1</v>
      </c>
      <c r="AB197" s="7" t="n">
        <v>8160.3</v>
      </c>
    </row>
    <row r="198">
      <c r="A198" s="4" t="inlineStr">
        <is>
          <t>交通费</t>
        </is>
      </c>
      <c r="D198" s="7" t="n">
        <v>24.7</v>
      </c>
      <c r="F198" s="7" t="n">
        <v>13.1</v>
      </c>
      <c r="H198" s="7" t="n">
        <v>19</v>
      </c>
      <c r="J198" s="7" t="n">
        <v>31.2</v>
      </c>
      <c r="L198" s="7" t="n">
        <v>8</v>
      </c>
      <c r="N198" s="7" t="n">
        <v>17.9</v>
      </c>
      <c r="P198" s="7" t="n">
        <v>16.7</v>
      </c>
      <c r="R198" s="7" t="n">
        <v>42.5</v>
      </c>
      <c r="T198" s="7" t="n">
        <v>38</v>
      </c>
      <c r="V198" s="7" t="n">
        <v>63.4</v>
      </c>
      <c r="X198" s="7" t="n">
        <v>36.3</v>
      </c>
      <c r="Z198" s="7" t="n">
        <v>24.6</v>
      </c>
      <c r="AB198" s="7" t="n">
        <v>335.4</v>
      </c>
    </row>
    <row r="199">
      <c r="A199" s="4" t="inlineStr">
        <is>
          <t>住宿费</t>
        </is>
      </c>
      <c r="D199" s="7" t="n">
        <v>39.7</v>
      </c>
      <c r="F199" s="7" t="n">
        <v>24.2</v>
      </c>
      <c r="H199" s="7" t="n">
        <v>29.4</v>
      </c>
      <c r="J199" s="7" t="n">
        <v>36.5</v>
      </c>
      <c r="L199" s="7" t="n">
        <v>27.6</v>
      </c>
      <c r="N199" s="7" t="n">
        <v>32.6</v>
      </c>
      <c r="P199" s="7" t="n">
        <v>43.4</v>
      </c>
      <c r="R199" s="7" t="n">
        <v>77.09999999999999</v>
      </c>
      <c r="T199" s="7" t="n">
        <v>73.40000000000001</v>
      </c>
      <c r="V199" s="7" t="n">
        <v>125.7</v>
      </c>
      <c r="X199" s="7" t="n">
        <v>129.5</v>
      </c>
      <c r="Z199" s="7" t="n">
        <v>60.4</v>
      </c>
      <c r="AB199" s="7" t="n">
        <v>699.5</v>
      </c>
    </row>
    <row r="200">
      <c r="A200" s="4" t="inlineStr">
        <is>
          <t>餐补</t>
        </is>
      </c>
      <c r="D200" s="7" t="n">
        <v>32.7</v>
      </c>
      <c r="F200" s="7" t="n">
        <v>18.2</v>
      </c>
      <c r="H200" s="7" t="n">
        <v>36.5</v>
      </c>
      <c r="J200" s="7" t="n">
        <v>52</v>
      </c>
      <c r="L200" s="7" t="n">
        <v>25.7</v>
      </c>
      <c r="N200" s="7" t="n">
        <v>33.5</v>
      </c>
      <c r="P200" s="7" t="n">
        <v>37.8</v>
      </c>
      <c r="R200" s="7" t="n">
        <v>101.9</v>
      </c>
      <c r="T200" s="7" t="n">
        <v>68.3</v>
      </c>
      <c r="V200" s="7" t="n">
        <v>128.6</v>
      </c>
      <c r="X200" s="7" t="n">
        <v>72.40000000000001</v>
      </c>
      <c r="Z200" s="7" t="n">
        <v>54.8</v>
      </c>
      <c r="AB200" s="7" t="n">
        <v>662.4</v>
      </c>
    </row>
    <row r="201">
      <c r="A201" s="4" t="inlineStr">
        <is>
          <t>交通补助</t>
        </is>
      </c>
      <c r="D201" s="7" t="n">
        <v>23.9</v>
      </c>
      <c r="F201" s="7" t="n">
        <v>9.6</v>
      </c>
      <c r="H201" s="7" t="n">
        <v>17.7</v>
      </c>
      <c r="J201" s="7" t="n">
        <v>33.6</v>
      </c>
      <c r="L201" s="7" t="n">
        <v>10.2</v>
      </c>
      <c r="N201" s="7" t="n">
        <v>20</v>
      </c>
      <c r="P201" s="7" t="n">
        <v>13.7</v>
      </c>
      <c r="R201" s="7" t="n">
        <v>65.59999999999999</v>
      </c>
      <c r="T201" s="7" t="n">
        <v>45.4</v>
      </c>
      <c r="V201" s="7" t="n">
        <v>72.7</v>
      </c>
      <c r="X201" s="7" t="n">
        <v>44</v>
      </c>
      <c r="Z201" s="7" t="n">
        <v>28.4</v>
      </c>
      <c r="AB201" s="7" t="n">
        <v>384.8</v>
      </c>
    </row>
    <row r="202">
      <c r="A202" s="4" t="inlineStr">
        <is>
          <t>通讯补助</t>
        </is>
      </c>
      <c r="D202" s="7" t="n">
        <v>42.5</v>
      </c>
      <c r="F202" s="7" t="n">
        <v>33.3</v>
      </c>
      <c r="H202" s="7" t="n">
        <v>26.5</v>
      </c>
      <c r="J202" s="7" t="n">
        <v>63.8</v>
      </c>
      <c r="L202" s="7" t="n">
        <v>30.8</v>
      </c>
      <c r="N202" s="7" t="n">
        <v>30</v>
      </c>
      <c r="P202" s="7" t="n">
        <v>45.5</v>
      </c>
      <c r="R202" s="7" t="n">
        <v>81.09999999999999</v>
      </c>
      <c r="T202" s="7" t="n">
        <v>108.8</v>
      </c>
      <c r="V202" s="7" t="n">
        <v>106.5</v>
      </c>
      <c r="X202" s="7" t="n">
        <v>108.3</v>
      </c>
      <c r="Z202" s="7" t="n">
        <v>50.7</v>
      </c>
      <c r="AB202" s="7" t="n">
        <v>727.8</v>
      </c>
    </row>
    <row r="203">
      <c r="A203" s="4" t="inlineStr">
        <is>
          <t>招待费</t>
        </is>
      </c>
      <c r="D203" s="7" t="n">
        <v>300.2</v>
      </c>
      <c r="F203" s="7" t="n">
        <v>173.5</v>
      </c>
      <c r="H203" s="7" t="n">
        <v>206.9</v>
      </c>
      <c r="J203" s="7" t="n">
        <v>436.1</v>
      </c>
      <c r="L203" s="7" t="n">
        <v>119.9</v>
      </c>
      <c r="N203" s="7" t="n">
        <v>281.1</v>
      </c>
      <c r="P203" s="7" t="n">
        <v>305.7</v>
      </c>
      <c r="R203" s="7" t="n">
        <v>665.1</v>
      </c>
      <c r="T203" s="7" t="n">
        <v>627.8</v>
      </c>
      <c r="V203" s="7" t="n">
        <v>739.3</v>
      </c>
      <c r="X203" s="7" t="n">
        <v>701.6</v>
      </c>
      <c r="Z203" s="7" t="n">
        <v>303.8</v>
      </c>
      <c r="AB203" s="7" t="n">
        <v>4861</v>
      </c>
    </row>
    <row r="204">
      <c r="A204" s="4" t="inlineStr">
        <is>
          <t>通讯费</t>
        </is>
      </c>
      <c r="D204" s="7" t="n">
        <v>1.3</v>
      </c>
      <c r="F204" s="7" t="n">
        <v>0.7</v>
      </c>
      <c r="H204" s="7" t="n">
        <v>1.2</v>
      </c>
      <c r="J204" s="7" t="n">
        <v>1.2</v>
      </c>
      <c r="L204" s="7" t="n">
        <v>0.6</v>
      </c>
      <c r="N204" s="7" t="n">
        <v>1</v>
      </c>
      <c r="P204" s="7" t="n">
        <v>1.2</v>
      </c>
      <c r="R204" s="7" t="n">
        <v>4</v>
      </c>
      <c r="T204" s="7" t="n">
        <v>2</v>
      </c>
      <c r="V204" s="7" t="n">
        <v>4.5</v>
      </c>
      <c r="X204" s="7" t="n">
        <v>3.9</v>
      </c>
      <c r="Z204" s="7" t="n">
        <v>1.2</v>
      </c>
      <c r="AB204" s="7" t="n">
        <v>22.8</v>
      </c>
    </row>
    <row r="205">
      <c r="A205" s="4" t="inlineStr">
        <is>
          <t>网络费</t>
        </is>
      </c>
      <c r="D205" s="7" t="n">
        <v>22.5</v>
      </c>
      <c r="F205" s="7" t="n">
        <v>8.9</v>
      </c>
      <c r="H205" s="7" t="n">
        <v>11.8</v>
      </c>
      <c r="J205" s="7" t="n">
        <v>24.9</v>
      </c>
      <c r="L205" s="7" t="n">
        <v>11.7</v>
      </c>
      <c r="N205" s="7" t="n">
        <v>13.3</v>
      </c>
      <c r="P205" s="7" t="n">
        <v>22.4</v>
      </c>
      <c r="R205" s="7" t="n">
        <v>43.4</v>
      </c>
      <c r="T205" s="7" t="n">
        <v>39</v>
      </c>
      <c r="V205" s="7" t="n">
        <v>48.4</v>
      </c>
      <c r="X205" s="7" t="n">
        <v>49.2</v>
      </c>
      <c r="Z205" s="7" t="n">
        <v>17.6</v>
      </c>
      <c r="AB205" s="7" t="n">
        <v>313.1</v>
      </c>
    </row>
    <row r="206">
      <c r="A206" s="4" t="inlineStr">
        <is>
          <t>修理费</t>
        </is>
      </c>
      <c r="D206" s="7" t="n">
        <v>12</v>
      </c>
      <c r="F206" s="7" t="n">
        <v>5</v>
      </c>
      <c r="H206" s="7" t="n">
        <v>8.300000000000001</v>
      </c>
      <c r="J206" s="7" t="n">
        <v>13.6</v>
      </c>
      <c r="L206" s="7" t="n">
        <v>4.2</v>
      </c>
      <c r="N206" s="7" t="n">
        <v>5</v>
      </c>
      <c r="P206" s="7" t="n">
        <v>7.1</v>
      </c>
      <c r="R206" s="7" t="n">
        <v>27</v>
      </c>
      <c r="T206" s="7" t="n">
        <v>20.4</v>
      </c>
      <c r="V206" s="7" t="n">
        <v>30.4</v>
      </c>
      <c r="X206" s="7" t="n">
        <v>19.9</v>
      </c>
      <c r="Z206" s="7" t="n">
        <v>13.5</v>
      </c>
      <c r="AB206" s="7" t="n">
        <v>166.4</v>
      </c>
    </row>
    <row r="207">
      <c r="A207" s="4" t="inlineStr">
        <is>
          <t>车辆费</t>
        </is>
      </c>
      <c r="D207" s="7" t="n">
        <v>39.6</v>
      </c>
      <c r="F207" s="7" t="n">
        <v>16.4</v>
      </c>
      <c r="H207" s="7" t="n">
        <v>31.2</v>
      </c>
      <c r="J207" s="7" t="n">
        <v>38.3</v>
      </c>
      <c r="L207" s="7" t="n">
        <v>24.4</v>
      </c>
      <c r="N207" s="7" t="n">
        <v>36</v>
      </c>
      <c r="P207" s="7" t="n">
        <v>40.7</v>
      </c>
      <c r="R207" s="7" t="n">
        <v>113.4</v>
      </c>
      <c r="T207" s="7" t="n">
        <v>60.4</v>
      </c>
      <c r="V207" s="7" t="n">
        <v>107.1</v>
      </c>
      <c r="X207" s="7" t="n">
        <v>89.7</v>
      </c>
      <c r="Z207" s="7" t="n">
        <v>34.6</v>
      </c>
      <c r="AB207" s="7" t="n">
        <v>631.8</v>
      </c>
    </row>
    <row r="208">
      <c r="A208" s="4" t="inlineStr">
        <is>
          <t>租赁费</t>
        </is>
      </c>
      <c r="D208" s="7" t="n">
        <v>561.8</v>
      </c>
      <c r="F208" s="7" t="n">
        <v>190.6</v>
      </c>
      <c r="H208" s="7" t="n">
        <v>198</v>
      </c>
      <c r="J208" s="7" t="n">
        <v>467.5</v>
      </c>
      <c r="L208" s="7" t="n">
        <v>167.5</v>
      </c>
      <c r="N208" s="7" t="n">
        <v>242.2</v>
      </c>
      <c r="P208" s="7" t="n">
        <v>304.6</v>
      </c>
      <c r="R208" s="7" t="n">
        <v>850.2</v>
      </c>
      <c r="T208" s="7" t="n">
        <v>672.6</v>
      </c>
      <c r="V208" s="7" t="n">
        <v>1220.6</v>
      </c>
      <c r="X208" s="7" t="n">
        <v>698.4</v>
      </c>
      <c r="Z208" s="7" t="n">
        <v>488.4</v>
      </c>
      <c r="AB208" s="7" t="n">
        <v>6062.4</v>
      </c>
    </row>
    <row r="209">
      <c r="A209" s="4" t="inlineStr">
        <is>
          <t>能源费</t>
        </is>
      </c>
      <c r="D209" s="7" t="n">
        <v>76.2</v>
      </c>
      <c r="F209" s="7" t="n">
        <v>35.5</v>
      </c>
      <c r="H209" s="7" t="n">
        <v>38.3</v>
      </c>
      <c r="J209" s="7" t="n">
        <v>80.7</v>
      </c>
      <c r="L209" s="7" t="n">
        <v>33.2</v>
      </c>
      <c r="N209" s="7" t="n">
        <v>42.2</v>
      </c>
      <c r="P209" s="7" t="n">
        <v>54.4</v>
      </c>
      <c r="R209" s="7" t="n">
        <v>153.1</v>
      </c>
      <c r="T209" s="7" t="n">
        <v>123.4</v>
      </c>
      <c r="V209" s="7" t="n">
        <v>164</v>
      </c>
      <c r="X209" s="7" t="n">
        <v>189.6</v>
      </c>
      <c r="Z209" s="7" t="n">
        <v>72.7</v>
      </c>
      <c r="AB209" s="7" t="n">
        <v>1063.3</v>
      </c>
    </row>
    <row r="210">
      <c r="A210" s="4" t="inlineStr">
        <is>
          <t>水费</t>
        </is>
      </c>
      <c r="D210" s="7" t="n">
        <v>0.3</v>
      </c>
      <c r="F210" s="7" t="n">
        <v>0.2</v>
      </c>
      <c r="H210" s="7" t="n">
        <v>0.3</v>
      </c>
      <c r="J210" s="7" t="n">
        <v>0.5</v>
      </c>
      <c r="L210" s="7" t="n">
        <v>0.2</v>
      </c>
      <c r="N210" s="7" t="n">
        <v>0.2</v>
      </c>
      <c r="P210" s="7" t="n">
        <v>0.3</v>
      </c>
      <c r="R210" s="7" t="n">
        <v>1.1</v>
      </c>
      <c r="T210" s="7" t="n">
        <v>0.9</v>
      </c>
      <c r="V210" s="7" t="n">
        <v>1.1</v>
      </c>
      <c r="X210" s="7" t="n">
        <v>0.7</v>
      </c>
      <c r="Z210" s="7" t="n">
        <v>0.5</v>
      </c>
      <c r="AB210" s="7" t="n">
        <v>6.3</v>
      </c>
    </row>
    <row r="211">
      <c r="A211" s="4" t="inlineStr">
        <is>
          <t>电费</t>
        </is>
      </c>
      <c r="D211" s="7" t="n">
        <v>40.5</v>
      </c>
      <c r="F211" s="7" t="n">
        <v>12</v>
      </c>
      <c r="H211" s="7" t="n">
        <v>16.4</v>
      </c>
      <c r="J211" s="7" t="n">
        <v>25.1</v>
      </c>
      <c r="L211" s="7" t="n">
        <v>10.5</v>
      </c>
      <c r="N211" s="7" t="n">
        <v>15</v>
      </c>
      <c r="P211" s="7" t="n">
        <v>21</v>
      </c>
      <c r="R211" s="7" t="n">
        <v>64.5</v>
      </c>
      <c r="T211" s="7" t="n">
        <v>48.3</v>
      </c>
      <c r="V211" s="7" t="n">
        <v>80.90000000000001</v>
      </c>
      <c r="X211" s="7" t="n">
        <v>82.90000000000001</v>
      </c>
      <c r="Z211" s="7" t="n">
        <v>21.9</v>
      </c>
      <c r="AB211" s="7" t="n">
        <v>439</v>
      </c>
    </row>
    <row r="212">
      <c r="A212" s="4" t="inlineStr">
        <is>
          <t>燃气费</t>
        </is>
      </c>
      <c r="D212" s="7" t="n">
        <v>35.2</v>
      </c>
      <c r="F212" s="7" t="n">
        <v>23.2</v>
      </c>
      <c r="H212" s="7" t="n">
        <v>21.5</v>
      </c>
      <c r="J212" s="7" t="n">
        <v>55</v>
      </c>
      <c r="L212" s="7" t="n">
        <v>22.4</v>
      </c>
      <c r="N212" s="7" t="n">
        <v>26.9</v>
      </c>
      <c r="P212" s="7" t="n">
        <v>33</v>
      </c>
      <c r="R212" s="7" t="n">
        <v>87.3</v>
      </c>
      <c r="T212" s="7" t="n">
        <v>73.90000000000001</v>
      </c>
      <c r="V212" s="7" t="n">
        <v>81.8</v>
      </c>
      <c r="X212" s="7" t="n">
        <v>105.8</v>
      </c>
      <c r="Z212" s="7" t="n">
        <v>50.2</v>
      </c>
      <c r="AB212" s="7" t="n">
        <v>616.2</v>
      </c>
    </row>
    <row r="213">
      <c r="A213" s="4" t="inlineStr">
        <is>
          <t>蒸汽费</t>
        </is>
      </c>
      <c r="D213" s="7" t="n">
        <v>0.2</v>
      </c>
      <c r="F213" s="7" t="n">
        <v>0.1</v>
      </c>
      <c r="H213" s="7" t="n">
        <v>0.1</v>
      </c>
      <c r="J213" s="7" t="n">
        <v>0.1</v>
      </c>
      <c r="L213" s="7" t="n">
        <v>0.1</v>
      </c>
      <c r="N213" s="7" t="n">
        <v>0.1</v>
      </c>
      <c r="P213" s="7" t="n">
        <v>0.1</v>
      </c>
      <c r="R213" s="7" t="n">
        <v>0.2</v>
      </c>
      <c r="T213" s="7" t="n">
        <v>0.3</v>
      </c>
      <c r="V213" s="7" t="n">
        <v>0.2</v>
      </c>
      <c r="X213" s="7" t="n">
        <v>0.2</v>
      </c>
      <c r="Z213" s="7" t="n">
        <v>0.1</v>
      </c>
      <c r="AB213" s="7" t="n">
        <v>1.8</v>
      </c>
    </row>
    <row r="214">
      <c r="A214" s="4" t="inlineStr">
        <is>
          <t>物业费</t>
        </is>
      </c>
      <c r="D214" s="7" t="n">
        <v>4.1</v>
      </c>
      <c r="F214" s="7" t="n">
        <v>1.6</v>
      </c>
      <c r="H214" s="7" t="n">
        <v>1.8</v>
      </c>
      <c r="J214" s="7" t="n">
        <v>3.7</v>
      </c>
      <c r="L214" s="7" t="n">
        <v>1.8</v>
      </c>
      <c r="N214" s="7" t="n">
        <v>2.6</v>
      </c>
      <c r="P214" s="7" t="n">
        <v>1.8</v>
      </c>
      <c r="R214" s="7" t="n">
        <v>5.9</v>
      </c>
      <c r="T214" s="7" t="n">
        <v>6.2</v>
      </c>
      <c r="V214" s="7" t="n">
        <v>6.1</v>
      </c>
      <c r="X214" s="7" t="n">
        <v>7.6</v>
      </c>
      <c r="Z214" s="7" t="n">
        <v>2.4</v>
      </c>
      <c r="AB214" s="7" t="n">
        <v>45.6</v>
      </c>
    </row>
    <row r="215">
      <c r="A215" s="4" t="inlineStr">
        <is>
          <t>劳动保护费</t>
        </is>
      </c>
      <c r="D215" s="7" t="n">
        <v>33.4</v>
      </c>
      <c r="F215" s="7" t="n">
        <v>22.3</v>
      </c>
      <c r="H215" s="7" t="n">
        <v>21.1</v>
      </c>
      <c r="J215" s="7" t="n">
        <v>43.8</v>
      </c>
      <c r="L215" s="7" t="n">
        <v>17.5</v>
      </c>
      <c r="N215" s="7" t="n">
        <v>34.1</v>
      </c>
      <c r="P215" s="7" t="n">
        <v>38.4</v>
      </c>
      <c r="R215" s="7" t="n">
        <v>68.2</v>
      </c>
      <c r="T215" s="7" t="n">
        <v>96.8</v>
      </c>
      <c r="V215" s="7" t="n">
        <v>103.9</v>
      </c>
      <c r="X215" s="7" t="n">
        <v>118.9</v>
      </c>
      <c r="Z215" s="7" t="n">
        <v>37.4</v>
      </c>
      <c r="AB215" s="7" t="n">
        <v>635.8</v>
      </c>
    </row>
    <row r="216">
      <c r="A216" s="4" t="inlineStr">
        <is>
          <t>顾问费</t>
        </is>
      </c>
      <c r="D216" s="7" t="n">
        <v>34.3</v>
      </c>
      <c r="F216" s="7" t="n">
        <v>17.3</v>
      </c>
      <c r="H216" s="7" t="n">
        <v>21.5</v>
      </c>
      <c r="J216" s="7" t="n">
        <v>33.4</v>
      </c>
      <c r="L216" s="7" t="n">
        <v>24.9</v>
      </c>
      <c r="N216" s="7" t="n">
        <v>23.5</v>
      </c>
      <c r="P216" s="7" t="n">
        <v>44.7</v>
      </c>
      <c r="R216" s="7" t="n">
        <v>70.09999999999999</v>
      </c>
      <c r="T216" s="7" t="n">
        <v>77.40000000000001</v>
      </c>
      <c r="V216" s="7" t="n">
        <v>75.5</v>
      </c>
      <c r="X216" s="7" t="n">
        <v>83.7</v>
      </c>
      <c r="Z216" s="7" t="n">
        <v>46.6</v>
      </c>
      <c r="AB216" s="7" t="n">
        <v>552.9</v>
      </c>
    </row>
    <row r="217">
      <c r="A217" s="4" t="inlineStr">
        <is>
          <t>快递费</t>
        </is>
      </c>
      <c r="D217" s="7" t="n">
        <v>6.2</v>
      </c>
      <c r="F217" s="7" t="n">
        <v>3.1</v>
      </c>
      <c r="H217" s="7" t="n">
        <v>2.6</v>
      </c>
      <c r="J217" s="7" t="n">
        <v>4.5</v>
      </c>
      <c r="L217" s="7" t="n">
        <v>2.9</v>
      </c>
      <c r="N217" s="7" t="n">
        <v>3.1</v>
      </c>
      <c r="P217" s="7" t="n">
        <v>4</v>
      </c>
      <c r="R217" s="7" t="n">
        <v>9.699999999999999</v>
      </c>
      <c r="T217" s="7" t="n">
        <v>6.9</v>
      </c>
      <c r="V217" s="7" t="n">
        <v>11.2</v>
      </c>
      <c r="X217" s="7" t="n">
        <v>9.4</v>
      </c>
      <c r="Z217" s="7" t="n">
        <v>4.5</v>
      </c>
      <c r="AB217" s="7" t="n">
        <v>68.09999999999999</v>
      </c>
    </row>
    <row r="218">
      <c r="A218" s="4" t="inlineStr">
        <is>
          <t>诉讼费</t>
        </is>
      </c>
      <c r="D218" s="7" t="n">
        <v>28.7</v>
      </c>
      <c r="F218" s="7" t="n">
        <v>13.3</v>
      </c>
      <c r="H218" s="7" t="n">
        <v>11.2</v>
      </c>
      <c r="J218" s="7" t="n">
        <v>27</v>
      </c>
      <c r="L218" s="7" t="n">
        <v>8.4</v>
      </c>
      <c r="N218" s="7" t="n">
        <v>17.2</v>
      </c>
      <c r="P218" s="7" t="n">
        <v>16.8</v>
      </c>
      <c r="R218" s="7" t="n">
        <v>40.1</v>
      </c>
      <c r="T218" s="7" t="n">
        <v>28</v>
      </c>
      <c r="V218" s="7" t="n">
        <v>46.8</v>
      </c>
      <c r="X218" s="7" t="n">
        <v>46.3</v>
      </c>
      <c r="Z218" s="7" t="n">
        <v>19.2</v>
      </c>
      <c r="AB218" s="7" t="n">
        <v>303</v>
      </c>
    </row>
    <row r="219">
      <c r="A219" s="4" t="inlineStr">
        <is>
          <t>会员费</t>
        </is>
      </c>
      <c r="D219" s="7" t="n">
        <v>50.7</v>
      </c>
      <c r="F219" s="7" t="n">
        <v>23</v>
      </c>
      <c r="H219" s="7" t="n">
        <v>21</v>
      </c>
      <c r="J219" s="7" t="n">
        <v>43.1</v>
      </c>
      <c r="L219" s="7" t="n">
        <v>21.1</v>
      </c>
      <c r="N219" s="7" t="n">
        <v>29.1</v>
      </c>
      <c r="P219" s="7" t="n">
        <v>32.5</v>
      </c>
      <c r="R219" s="7" t="n">
        <v>112.2</v>
      </c>
      <c r="T219" s="7" t="n">
        <v>87.09999999999999</v>
      </c>
      <c r="V219" s="7" t="n">
        <v>118.2</v>
      </c>
      <c r="X219" s="7" t="n">
        <v>89.7</v>
      </c>
      <c r="Z219" s="7" t="n">
        <v>44.6</v>
      </c>
      <c r="AB219" s="7" t="n">
        <v>672.3</v>
      </c>
    </row>
    <row r="220">
      <c r="A220" s="4" t="inlineStr">
        <is>
          <t>广告宣传费</t>
        </is>
      </c>
      <c r="D220" s="7" t="n">
        <v>263</v>
      </c>
      <c r="F220" s="7" t="n">
        <v>150.6</v>
      </c>
      <c r="H220" s="7" t="n">
        <v>182.3</v>
      </c>
      <c r="J220" s="7" t="n">
        <v>348.8</v>
      </c>
      <c r="L220" s="7" t="n">
        <v>100.6</v>
      </c>
      <c r="N220" s="7" t="n">
        <v>189.8</v>
      </c>
      <c r="P220" s="7" t="n">
        <v>221</v>
      </c>
      <c r="R220" s="7" t="n">
        <v>598.2</v>
      </c>
      <c r="T220" s="7" t="n">
        <v>351.1</v>
      </c>
      <c r="V220" s="7" t="n">
        <v>629.7</v>
      </c>
      <c r="X220" s="7" t="n">
        <v>468.7</v>
      </c>
      <c r="Z220" s="7" t="n">
        <v>248.5</v>
      </c>
      <c r="AB220" s="7" t="n">
        <v>3752.3</v>
      </c>
    </row>
    <row r="221">
      <c r="A221" s="4" t="inlineStr">
        <is>
          <t>会务费</t>
        </is>
      </c>
      <c r="D221" s="7" t="n">
        <v>41.2</v>
      </c>
      <c r="F221" s="7" t="n">
        <v>18.7</v>
      </c>
      <c r="H221" s="7" t="n">
        <v>26.7</v>
      </c>
      <c r="J221" s="7" t="n">
        <v>61.7</v>
      </c>
      <c r="L221" s="7" t="n">
        <v>18.6</v>
      </c>
      <c r="N221" s="7" t="n">
        <v>26.3</v>
      </c>
      <c r="P221" s="7" t="n">
        <v>43.9</v>
      </c>
      <c r="R221" s="7" t="n">
        <v>81.09999999999999</v>
      </c>
      <c r="T221" s="7" t="n">
        <v>85.40000000000001</v>
      </c>
      <c r="V221" s="7" t="n">
        <v>101.3</v>
      </c>
      <c r="X221" s="7" t="n">
        <v>75.09999999999999</v>
      </c>
      <c r="Z221" s="7" t="n">
        <v>52.3</v>
      </c>
      <c r="AB221" s="7" t="n">
        <v>632.3</v>
      </c>
    </row>
    <row r="222">
      <c r="A222" s="4" t="inlineStr">
        <is>
          <t>装修费</t>
        </is>
      </c>
      <c r="D222" s="7" t="n">
        <v>51.9</v>
      </c>
      <c r="F222" s="7" t="n">
        <v>27.9</v>
      </c>
      <c r="H222" s="7" t="n">
        <v>30.7</v>
      </c>
      <c r="J222" s="7" t="n">
        <v>48</v>
      </c>
      <c r="L222" s="7" t="n">
        <v>19.5</v>
      </c>
      <c r="N222" s="7" t="n">
        <v>38.6</v>
      </c>
      <c r="P222" s="7" t="n">
        <v>37.7</v>
      </c>
      <c r="R222" s="7" t="n">
        <v>90.09999999999999</v>
      </c>
      <c r="T222" s="7" t="n">
        <v>100.4</v>
      </c>
      <c r="V222" s="7" t="n">
        <v>136.6</v>
      </c>
      <c r="X222" s="7" t="n">
        <v>84.7</v>
      </c>
      <c r="Z222" s="7" t="n">
        <v>61.7</v>
      </c>
      <c r="AB222" s="7" t="n">
        <v>727.8</v>
      </c>
    </row>
    <row r="223">
      <c r="A223" s="4" t="inlineStr">
        <is>
          <t>推广费</t>
        </is>
      </c>
      <c r="D223" s="7" t="n">
        <v>58.3</v>
      </c>
      <c r="F223" s="7" t="n">
        <v>29.1</v>
      </c>
      <c r="H223" s="7" t="n">
        <v>27</v>
      </c>
      <c r="J223" s="7" t="n">
        <v>55</v>
      </c>
      <c r="L223" s="7" t="n">
        <v>22.2</v>
      </c>
      <c r="N223" s="7" t="n">
        <v>26.5</v>
      </c>
      <c r="P223" s="7" t="n">
        <v>37.8</v>
      </c>
      <c r="R223" s="7" t="n">
        <v>105.8</v>
      </c>
      <c r="T223" s="7" t="n">
        <v>82.90000000000001</v>
      </c>
      <c r="V223" s="7" t="n">
        <v>102.8</v>
      </c>
      <c r="X223" s="7" t="n">
        <v>109.8</v>
      </c>
      <c r="Z223" s="7" t="n">
        <v>55</v>
      </c>
      <c r="AB223" s="7" t="n">
        <v>712.2</v>
      </c>
    </row>
    <row r="224">
      <c r="A224" s="4" t="inlineStr">
        <is>
          <t>展会费</t>
        </is>
      </c>
      <c r="D224" s="7" t="n">
        <v>42</v>
      </c>
      <c r="F224" s="7" t="n">
        <v>19.8</v>
      </c>
      <c r="H224" s="7" t="n">
        <v>16.9</v>
      </c>
      <c r="J224" s="7" t="n">
        <v>29.6</v>
      </c>
      <c r="L224" s="7" t="n">
        <v>18.7</v>
      </c>
      <c r="N224" s="7" t="n">
        <v>25.1</v>
      </c>
      <c r="P224" s="7" t="n">
        <v>25.2</v>
      </c>
      <c r="R224" s="7" t="n">
        <v>88</v>
      </c>
      <c r="T224" s="7" t="n">
        <v>43.4</v>
      </c>
      <c r="V224" s="7" t="n">
        <v>61.5</v>
      </c>
      <c r="X224" s="7" t="n">
        <v>69.3</v>
      </c>
      <c r="Z224" s="7" t="n">
        <v>26.4</v>
      </c>
      <c r="AB224" s="7" t="n">
        <v>465.9</v>
      </c>
    </row>
    <row r="225">
      <c r="A225" s="4" t="inlineStr">
        <is>
          <t>设计费</t>
        </is>
      </c>
      <c r="D225" s="7" t="n">
        <v>29.4</v>
      </c>
      <c r="F225" s="7" t="n">
        <v>17.2</v>
      </c>
      <c r="H225" s="7" t="n">
        <v>21.6</v>
      </c>
      <c r="J225" s="7" t="n">
        <v>32.8</v>
      </c>
      <c r="L225" s="7" t="n">
        <v>12.2</v>
      </c>
      <c r="N225" s="7" t="n">
        <v>14.4</v>
      </c>
      <c r="P225" s="7" t="n">
        <v>18.5</v>
      </c>
      <c r="R225" s="7" t="n">
        <v>70.40000000000001</v>
      </c>
      <c r="T225" s="7" t="n">
        <v>38</v>
      </c>
      <c r="V225" s="7" t="n">
        <v>65.90000000000001</v>
      </c>
      <c r="X225" s="7" t="n">
        <v>55.9</v>
      </c>
      <c r="Z225" s="7" t="n">
        <v>25.2</v>
      </c>
      <c r="AB225" s="7" t="n">
        <v>401.5</v>
      </c>
    </row>
    <row r="226">
      <c r="A226" s="4" t="inlineStr">
        <is>
          <t>折旧费</t>
        </is>
      </c>
      <c r="D226" s="7" t="n">
        <v>397.1</v>
      </c>
      <c r="F226" s="7" t="n">
        <v>130.4</v>
      </c>
      <c r="H226" s="7" t="n">
        <v>264.8</v>
      </c>
      <c r="J226" s="7" t="n">
        <v>356.8</v>
      </c>
      <c r="L226" s="7" t="n">
        <v>162.2</v>
      </c>
      <c r="N226" s="7" t="n">
        <v>202.5</v>
      </c>
      <c r="P226" s="7" t="n">
        <v>281</v>
      </c>
      <c r="R226" s="7" t="n">
        <v>803.8</v>
      </c>
      <c r="T226" s="7" t="n">
        <v>620.9</v>
      </c>
      <c r="V226" s="7" t="n">
        <v>983.2</v>
      </c>
      <c r="X226" s="7" t="n">
        <v>860.4</v>
      </c>
      <c r="Z226" s="7" t="n">
        <v>412</v>
      </c>
      <c r="AB226" s="7" t="n">
        <v>5475.1</v>
      </c>
    </row>
    <row r="227">
      <c r="A227" s="4" t="inlineStr">
        <is>
          <t>认证费</t>
        </is>
      </c>
      <c r="D227" s="7" t="n">
        <v>3.5</v>
      </c>
      <c r="F227" s="7" t="n">
        <v>2.8</v>
      </c>
      <c r="H227" s="7" t="n">
        <v>3.2</v>
      </c>
      <c r="J227" s="7" t="n">
        <v>4.8</v>
      </c>
      <c r="L227" s="7" t="n">
        <v>1.5</v>
      </c>
      <c r="N227" s="7" t="n">
        <v>3.6</v>
      </c>
      <c r="P227" s="7" t="n">
        <v>3.7</v>
      </c>
      <c r="R227" s="7" t="n">
        <v>7.7</v>
      </c>
      <c r="T227" s="7" t="n">
        <v>7.2</v>
      </c>
      <c r="V227" s="7" t="n">
        <v>7.8</v>
      </c>
      <c r="X227" s="7" t="n">
        <v>6.7</v>
      </c>
      <c r="Z227" s="7" t="n">
        <v>5.3</v>
      </c>
      <c r="AB227" s="7" t="n">
        <v>57.8</v>
      </c>
    </row>
    <row r="228">
      <c r="A228" s="4" t="inlineStr">
        <is>
          <t>样品费</t>
        </is>
      </c>
      <c r="D228" s="7" t="n">
        <v>177.5</v>
      </c>
      <c r="F228" s="7" t="n">
        <v>84.5</v>
      </c>
      <c r="H228" s="7" t="n">
        <v>111.1</v>
      </c>
      <c r="J228" s="7" t="n">
        <v>152.4</v>
      </c>
      <c r="L228" s="7" t="n">
        <v>95</v>
      </c>
      <c r="N228" s="7" t="n">
        <v>81</v>
      </c>
      <c r="P228" s="7" t="n">
        <v>108.3</v>
      </c>
      <c r="R228" s="7" t="n">
        <v>379.1</v>
      </c>
      <c r="T228" s="7" t="n">
        <v>277</v>
      </c>
      <c r="V228" s="7" t="n">
        <v>422.4</v>
      </c>
      <c r="X228" s="7" t="n">
        <v>384.4</v>
      </c>
      <c r="Z228" s="7" t="n">
        <v>198</v>
      </c>
      <c r="AB228" s="7" t="n">
        <v>2470.7</v>
      </c>
    </row>
    <row r="229">
      <c r="A229" s="4" t="inlineStr">
        <is>
          <t>劳务费</t>
        </is>
      </c>
      <c r="D229" s="7" t="n">
        <v>25.8</v>
      </c>
      <c r="F229" s="7" t="n">
        <v>18.9</v>
      </c>
      <c r="H229" s="7" t="n">
        <v>21.5</v>
      </c>
      <c r="J229" s="7" t="n">
        <v>26.8</v>
      </c>
      <c r="L229" s="7" t="n">
        <v>18.6</v>
      </c>
      <c r="N229" s="7" t="n">
        <v>27.1</v>
      </c>
      <c r="P229" s="7" t="n">
        <v>24.5</v>
      </c>
      <c r="R229" s="7" t="n">
        <v>55.3</v>
      </c>
      <c r="T229" s="7" t="n">
        <v>61.4</v>
      </c>
      <c r="V229" s="7" t="n">
        <v>91</v>
      </c>
      <c r="X229" s="7" t="n">
        <v>65.5</v>
      </c>
      <c r="Z229" s="7" t="n">
        <v>26</v>
      </c>
      <c r="AB229" s="7" t="n">
        <v>462.4</v>
      </c>
    </row>
    <row r="230">
      <c r="A230" s="4" t="inlineStr">
        <is>
          <t>销售佣金</t>
        </is>
      </c>
      <c r="D230" s="7" t="n">
        <v>45.7</v>
      </c>
      <c r="F230" s="7" t="n">
        <v>22</v>
      </c>
      <c r="H230" s="7" t="n">
        <v>30.8</v>
      </c>
      <c r="J230" s="7" t="n">
        <v>43.3</v>
      </c>
      <c r="L230" s="7" t="n">
        <v>15.6</v>
      </c>
      <c r="N230" s="7" t="n">
        <v>27.2</v>
      </c>
      <c r="P230" s="7" t="n">
        <v>27.3</v>
      </c>
      <c r="R230" s="7" t="n">
        <v>73.7</v>
      </c>
      <c r="T230" s="7" t="n">
        <v>76.40000000000001</v>
      </c>
      <c r="V230" s="7" t="n">
        <v>73.3</v>
      </c>
      <c r="X230" s="7" t="n">
        <v>60</v>
      </c>
      <c r="Z230" s="7" t="n">
        <v>29</v>
      </c>
      <c r="AB230" s="7" t="n">
        <v>524.3</v>
      </c>
    </row>
    <row r="231">
      <c r="A231" s="4" t="inlineStr">
        <is>
          <t>检测费</t>
        </is>
      </c>
      <c r="D231" s="7" t="n">
        <v>66.90000000000001</v>
      </c>
      <c r="F231" s="7" t="n">
        <v>29.3</v>
      </c>
      <c r="H231" s="7" t="n">
        <v>42.8</v>
      </c>
      <c r="J231" s="7" t="n">
        <v>41.1</v>
      </c>
      <c r="L231" s="7" t="n">
        <v>22.7</v>
      </c>
      <c r="N231" s="7" t="n">
        <v>36.7</v>
      </c>
      <c r="P231" s="7" t="n">
        <v>43.8</v>
      </c>
      <c r="R231" s="7" t="n">
        <v>124.4</v>
      </c>
      <c r="T231" s="7" t="n">
        <v>114.8</v>
      </c>
      <c r="V231" s="7" t="n">
        <v>99.8</v>
      </c>
      <c r="X231" s="7" t="n">
        <v>123.3</v>
      </c>
      <c r="Z231" s="7" t="n">
        <v>60.1</v>
      </c>
      <c r="AB231" s="7" t="n">
        <v>805.7</v>
      </c>
    </row>
    <row r="232">
      <c r="A232" s="4" t="inlineStr">
        <is>
          <t>质量赔偿</t>
        </is>
      </c>
      <c r="D232" s="7" t="n">
        <v>19.8</v>
      </c>
      <c r="F232" s="7" t="n">
        <v>11.2</v>
      </c>
      <c r="H232" s="7" t="n">
        <v>15.2</v>
      </c>
      <c r="J232" s="7" t="n">
        <v>23.3</v>
      </c>
      <c r="L232" s="7" t="n">
        <v>11</v>
      </c>
      <c r="N232" s="7" t="n">
        <v>13.7</v>
      </c>
      <c r="P232" s="7" t="n">
        <v>22.2</v>
      </c>
      <c r="R232" s="7" t="n">
        <v>38.9</v>
      </c>
      <c r="T232" s="7" t="n">
        <v>32.7</v>
      </c>
      <c r="V232" s="7" t="n">
        <v>56.9</v>
      </c>
      <c r="X232" s="7" t="n">
        <v>33.7</v>
      </c>
      <c r="Z232" s="7" t="n">
        <v>28.1</v>
      </c>
      <c r="AB232" s="7" t="n">
        <v>306.7</v>
      </c>
    </row>
    <row r="233">
      <c r="A233" s="4" t="inlineStr">
        <is>
          <t>保险费</t>
        </is>
      </c>
      <c r="D233" s="7" t="n">
        <v>5.8</v>
      </c>
      <c r="F233" s="7" t="n">
        <v>3.7</v>
      </c>
      <c r="H233" s="7" t="n">
        <v>2.9</v>
      </c>
      <c r="J233" s="7" t="n">
        <v>6.3</v>
      </c>
      <c r="L233" s="7" t="n">
        <v>3.2</v>
      </c>
      <c r="N233" s="7" t="n">
        <v>4.2</v>
      </c>
      <c r="P233" s="7" t="n">
        <v>4.4</v>
      </c>
      <c r="R233" s="7" t="n">
        <v>13.7</v>
      </c>
      <c r="T233" s="7" t="n">
        <v>11.8</v>
      </c>
      <c r="V233" s="7" t="n">
        <v>11.3</v>
      </c>
      <c r="X233" s="7" t="n">
        <v>11</v>
      </c>
      <c r="Z233" s="7" t="n">
        <v>5.3</v>
      </c>
      <c r="AB233" s="7" t="n">
        <v>83.59999999999999</v>
      </c>
    </row>
    <row r="234">
      <c r="A234" s="4" t="inlineStr">
        <is>
          <t>清洁费</t>
        </is>
      </c>
      <c r="D234" s="7" t="n">
        <v>15.8</v>
      </c>
      <c r="F234" s="7" t="n">
        <v>8.9</v>
      </c>
      <c r="H234" s="7" t="n">
        <v>12.1</v>
      </c>
      <c r="J234" s="7" t="n">
        <v>18.6</v>
      </c>
      <c r="L234" s="7" t="n">
        <v>5.8</v>
      </c>
      <c r="N234" s="7" t="n">
        <v>11.4</v>
      </c>
      <c r="P234" s="7" t="n">
        <v>13</v>
      </c>
      <c r="R234" s="7" t="n">
        <v>25.1</v>
      </c>
      <c r="T234" s="7" t="n">
        <v>18.8</v>
      </c>
      <c r="V234" s="7" t="n">
        <v>39.5</v>
      </c>
      <c r="X234" s="7" t="n">
        <v>39.1</v>
      </c>
      <c r="Z234" s="7" t="n">
        <v>13.5</v>
      </c>
      <c r="AB234" s="7" t="n">
        <v>221.6</v>
      </c>
    </row>
    <row r="235">
      <c r="A235" s="4" t="inlineStr">
        <is>
          <t>低值易耗品</t>
        </is>
      </c>
      <c r="D235" s="7" t="n">
        <v>54.8</v>
      </c>
      <c r="F235" s="7" t="n">
        <v>26.5</v>
      </c>
      <c r="H235" s="7" t="n">
        <v>26.9</v>
      </c>
      <c r="J235" s="7" t="n">
        <v>37.8</v>
      </c>
      <c r="L235" s="7" t="n">
        <v>14.1</v>
      </c>
      <c r="N235" s="7" t="n">
        <v>23.4</v>
      </c>
      <c r="P235" s="7" t="n">
        <v>35.1</v>
      </c>
      <c r="R235" s="7" t="n">
        <v>67.5</v>
      </c>
      <c r="T235" s="7" t="n">
        <v>49</v>
      </c>
      <c r="V235" s="7" t="n">
        <v>88.7</v>
      </c>
      <c r="X235" s="7" t="n">
        <v>97.2</v>
      </c>
      <c r="Z235" s="7" t="n">
        <v>44.2</v>
      </c>
      <c r="AB235" s="7" t="n">
        <v>565.2</v>
      </c>
    </row>
    <row r="236">
      <c r="A236" s="4" t="inlineStr">
        <is>
          <t>物料消耗</t>
        </is>
      </c>
      <c r="D236" s="7" t="n">
        <v>45.2</v>
      </c>
      <c r="F236" s="7" t="n">
        <v>14.3</v>
      </c>
      <c r="H236" s="7" t="n">
        <v>21.6</v>
      </c>
      <c r="J236" s="7" t="n">
        <v>50.9</v>
      </c>
      <c r="L236" s="7" t="n">
        <v>13.6</v>
      </c>
      <c r="N236" s="7" t="n">
        <v>31</v>
      </c>
      <c r="P236" s="7" t="n">
        <v>24.4</v>
      </c>
      <c r="R236" s="7" t="n">
        <v>83</v>
      </c>
      <c r="T236" s="7" t="n">
        <v>76.90000000000001</v>
      </c>
      <c r="V236" s="7" t="n">
        <v>111.6</v>
      </c>
      <c r="X236" s="7" t="n">
        <v>100.8</v>
      </c>
      <c r="Z236" s="7" t="n">
        <v>35.7</v>
      </c>
      <c r="AB236" s="7" t="n">
        <v>609</v>
      </c>
    </row>
    <row r="237">
      <c r="A237" s="4" t="inlineStr">
        <is>
          <t>盘盈盘亏</t>
        </is>
      </c>
      <c r="D237" s="7" t="n">
        <v>23.2</v>
      </c>
      <c r="F237" s="7" t="n">
        <v>20.8</v>
      </c>
      <c r="H237" s="7" t="n">
        <v>24.7</v>
      </c>
      <c r="J237" s="7" t="n">
        <v>36.1</v>
      </c>
      <c r="L237" s="7" t="n">
        <v>12</v>
      </c>
      <c r="N237" s="7" t="n">
        <v>16.2</v>
      </c>
      <c r="P237" s="7" t="n">
        <v>32.5</v>
      </c>
      <c r="R237" s="7" t="n">
        <v>76.90000000000001</v>
      </c>
      <c r="T237" s="7" t="n">
        <v>44.3</v>
      </c>
      <c r="V237" s="7" t="n">
        <v>94.3</v>
      </c>
      <c r="X237" s="7" t="n">
        <v>83.8</v>
      </c>
      <c r="Z237" s="7" t="n">
        <v>27.6</v>
      </c>
      <c r="AB237" s="7" t="n">
        <v>492.4</v>
      </c>
    </row>
    <row r="238">
      <c r="A238" s="4" t="inlineStr">
        <is>
          <t>平台服务费</t>
        </is>
      </c>
      <c r="D238" s="7" t="n">
        <v>12.3</v>
      </c>
      <c r="F238" s="7" t="n">
        <v>5.7</v>
      </c>
      <c r="H238" s="7" t="n">
        <v>8.6</v>
      </c>
      <c r="J238" s="7" t="n">
        <v>12.2</v>
      </c>
      <c r="L238" s="7" t="n">
        <v>5</v>
      </c>
      <c r="N238" s="7" t="n">
        <v>9.699999999999999</v>
      </c>
      <c r="P238" s="7" t="n">
        <v>15.8</v>
      </c>
      <c r="R238" s="7" t="n">
        <v>24.1</v>
      </c>
      <c r="T238" s="7" t="n">
        <v>29.9</v>
      </c>
      <c r="V238" s="7" t="n">
        <v>46</v>
      </c>
      <c r="X238" s="7" t="n">
        <v>24.2</v>
      </c>
      <c r="Z238" s="7" t="n">
        <v>18.8</v>
      </c>
      <c r="AB238" s="7" t="n">
        <v>212.3</v>
      </c>
    </row>
    <row r="239">
      <c r="A239" s="4" t="inlineStr">
        <is>
          <t>无形资产摊销</t>
        </is>
      </c>
      <c r="D239" s="7" t="n">
        <v>16.9</v>
      </c>
      <c r="F239" s="7" t="n">
        <v>13.4</v>
      </c>
      <c r="H239" s="7" t="n">
        <v>10.8</v>
      </c>
      <c r="J239" s="7" t="n">
        <v>26.8</v>
      </c>
      <c r="L239" s="7" t="n">
        <v>7.5</v>
      </c>
      <c r="N239" s="7" t="n">
        <v>14.4</v>
      </c>
      <c r="P239" s="7" t="n">
        <v>14.7</v>
      </c>
      <c r="R239" s="7" t="n">
        <v>36.3</v>
      </c>
      <c r="T239" s="7" t="n">
        <v>40.9</v>
      </c>
      <c r="V239" s="7" t="n">
        <v>56.2</v>
      </c>
      <c r="X239" s="7" t="n">
        <v>41.3</v>
      </c>
      <c r="Z239" s="7" t="n">
        <v>26.6</v>
      </c>
      <c r="AB239" s="7" t="n">
        <v>305.8</v>
      </c>
    </row>
    <row r="240">
      <c r="A240" s="4" t="inlineStr">
        <is>
          <t>研发材料</t>
        </is>
      </c>
      <c r="D240" s="7" t="n">
        <v>0.7</v>
      </c>
      <c r="F240" s="7" t="n">
        <v>0.6</v>
      </c>
      <c r="H240" s="7" t="n">
        <v>0.7</v>
      </c>
      <c r="J240" s="7" t="n">
        <v>0.7</v>
      </c>
      <c r="L240" s="7" t="n">
        <v>0.5</v>
      </c>
      <c r="N240" s="7" t="n">
        <v>0.6</v>
      </c>
      <c r="P240" s="7" t="n">
        <v>0.9</v>
      </c>
      <c r="R240" s="7" t="n">
        <v>1.5</v>
      </c>
      <c r="T240" s="7" t="n">
        <v>1.2</v>
      </c>
      <c r="V240" s="7" t="n">
        <v>1.8</v>
      </c>
      <c r="X240" s="7" t="n">
        <v>2</v>
      </c>
      <c r="Z240" s="7" t="n">
        <v>1.1</v>
      </c>
      <c r="AB240" s="7" t="n">
        <v>12.3</v>
      </c>
    </row>
    <row r="241">
      <c r="A241" s="4" t="inlineStr">
        <is>
          <t>项目名称</t>
        </is>
      </c>
      <c r="D241" s="7" t="n">
        <v>13.8</v>
      </c>
      <c r="F241" s="7" t="n">
        <v>8.800000000000001</v>
      </c>
      <c r="H241" s="7" t="n">
        <v>12.4</v>
      </c>
      <c r="J241" s="7" t="n">
        <v>21.7</v>
      </c>
      <c r="L241" s="7" t="n">
        <v>8.300000000000001</v>
      </c>
      <c r="N241" s="7" t="n">
        <v>14.5</v>
      </c>
      <c r="P241" s="7" t="n">
        <v>13.8</v>
      </c>
      <c r="R241" s="7" t="n">
        <v>36.6</v>
      </c>
      <c r="T241" s="7" t="n">
        <v>28.3</v>
      </c>
      <c r="V241" s="7" t="n">
        <v>36.7</v>
      </c>
      <c r="X241" s="7" t="n">
        <v>34.9</v>
      </c>
      <c r="Z241" s="7" t="n">
        <v>18.3</v>
      </c>
      <c r="AB241" s="7" t="n">
        <v>248.1</v>
      </c>
    </row>
    <row r="242">
      <c r="A242" s="4" t="inlineStr">
        <is>
          <t>研发费</t>
        </is>
      </c>
      <c r="D242" s="7" t="n">
        <v>16.6</v>
      </c>
      <c r="F242" s="7" t="n">
        <v>5.3</v>
      </c>
      <c r="H242" s="7" t="n">
        <v>11.1</v>
      </c>
      <c r="J242" s="7" t="n">
        <v>14.9</v>
      </c>
      <c r="L242" s="7" t="n">
        <v>6.6</v>
      </c>
      <c r="N242" s="7" t="n">
        <v>6.9</v>
      </c>
      <c r="P242" s="7" t="n">
        <v>14.5</v>
      </c>
      <c r="R242" s="7" t="n">
        <v>22.5</v>
      </c>
      <c r="T242" s="7" t="n">
        <v>23.8</v>
      </c>
      <c r="V242" s="7" t="n">
        <v>29.2</v>
      </c>
      <c r="X242" s="7" t="n">
        <v>24.8</v>
      </c>
      <c r="Z242" s="7" t="n">
        <v>10.9</v>
      </c>
      <c r="AB242" s="7" t="n">
        <v>187.1</v>
      </c>
    </row>
    <row r="243">
      <c r="A243" s="4" t="inlineStr">
        <is>
          <t>残保金</t>
        </is>
      </c>
      <c r="D243" s="7" t="n">
        <v>25.3</v>
      </c>
      <c r="F243" s="7" t="n">
        <v>7.8</v>
      </c>
      <c r="H243" s="7" t="n">
        <v>10.9</v>
      </c>
      <c r="J243" s="7" t="n">
        <v>27.3</v>
      </c>
      <c r="L243" s="7" t="n">
        <v>7.5</v>
      </c>
      <c r="N243" s="7" t="n">
        <v>9.6</v>
      </c>
      <c r="P243" s="7" t="n">
        <v>17.3</v>
      </c>
      <c r="R243" s="7" t="n">
        <v>40.7</v>
      </c>
      <c r="T243" s="7" t="n">
        <v>36.4</v>
      </c>
      <c r="V243" s="7" t="n">
        <v>45.5</v>
      </c>
      <c r="X243" s="7" t="n">
        <v>40.1</v>
      </c>
      <c r="Z243" s="7" t="n">
        <v>17.1</v>
      </c>
      <c r="AB243" s="7" t="n">
        <v>285.5</v>
      </c>
    </row>
    <row r="244">
      <c r="A244" s="4" t="inlineStr">
        <is>
          <t>环保费</t>
        </is>
      </c>
      <c r="D244" s="7" t="n">
        <v>16.3</v>
      </c>
      <c r="F244" s="7" t="n">
        <v>9.199999999999999</v>
      </c>
      <c r="H244" s="7" t="n">
        <v>14.7</v>
      </c>
      <c r="J244" s="7" t="n">
        <v>21.5</v>
      </c>
      <c r="L244" s="7" t="n">
        <v>7.9</v>
      </c>
      <c r="N244" s="7" t="n">
        <v>9.699999999999999</v>
      </c>
      <c r="P244" s="7" t="n">
        <v>12.7</v>
      </c>
      <c r="R244" s="7" t="n">
        <v>38.5</v>
      </c>
      <c r="T244" s="7" t="n">
        <v>32.5</v>
      </c>
      <c r="V244" s="7" t="n">
        <v>57.1</v>
      </c>
      <c r="X244" s="7" t="n">
        <v>53</v>
      </c>
      <c r="Z244" s="7" t="n">
        <v>19.4</v>
      </c>
      <c r="AB244" s="7" t="n">
        <v>292.5</v>
      </c>
    </row>
    <row r="245">
      <c r="A245" s="4" t="inlineStr">
        <is>
          <t>报废损失</t>
        </is>
      </c>
      <c r="D245" s="7" t="n">
        <v>36</v>
      </c>
      <c r="F245" s="7" t="n">
        <v>14</v>
      </c>
      <c r="H245" s="7" t="n">
        <v>20.4</v>
      </c>
      <c r="J245" s="7" t="n">
        <v>42.3</v>
      </c>
      <c r="L245" s="7" t="n">
        <v>13.5</v>
      </c>
      <c r="N245" s="7" t="n">
        <v>21.8</v>
      </c>
      <c r="P245" s="7" t="n">
        <v>25.6</v>
      </c>
      <c r="R245" s="7" t="n">
        <v>85.09999999999999</v>
      </c>
      <c r="T245" s="7" t="n">
        <v>54.7</v>
      </c>
      <c r="V245" s="7" t="n">
        <v>97.90000000000001</v>
      </c>
      <c r="X245" s="7" t="n">
        <v>47.6</v>
      </c>
      <c r="Z245" s="7" t="n">
        <v>23.9</v>
      </c>
      <c r="AB245" s="7" t="n">
        <v>482.8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10716.1</v>
      </c>
      <c r="D246" s="7" t="n">
        <v>19760.2</v>
      </c>
      <c r="E246" s="7" t="n">
        <v>9013</v>
      </c>
      <c r="F246" s="7" t="n">
        <v>12518.9</v>
      </c>
      <c r="G246" s="7" t="n">
        <v>9227.9</v>
      </c>
      <c r="H246" s="7" t="n">
        <v>3518.3</v>
      </c>
      <c r="I246" s="7" t="n">
        <v>9993.9</v>
      </c>
      <c r="J246" s="7" t="n">
        <v>6285.4</v>
      </c>
      <c r="K246" s="7" t="n">
        <v>11093.5</v>
      </c>
      <c r="L246" s="7" t="n">
        <v>18477</v>
      </c>
      <c r="M246" s="7" t="n">
        <v>9862.5</v>
      </c>
      <c r="N246" s="7" t="n">
        <v>17925.4</v>
      </c>
      <c r="O246" s="7" t="n">
        <v>9878.9</v>
      </c>
      <c r="P246" s="7" t="n">
        <v>205.2</v>
      </c>
      <c r="Q246" s="7" t="n">
        <v>9545.700000000001</v>
      </c>
      <c r="R246" s="7" t="n">
        <v>4101.5</v>
      </c>
      <c r="S246" s="7" t="n">
        <v>11444</v>
      </c>
      <c r="T246" s="7" t="n">
        <v>7621.6</v>
      </c>
      <c r="U246" s="7" t="n">
        <v>10216.8</v>
      </c>
      <c r="V246" s="7" t="n">
        <v>17162.8</v>
      </c>
      <c r="W246" s="7" t="n">
        <v>10793.8</v>
      </c>
      <c r="X246" s="7" t="n">
        <v>16293.4</v>
      </c>
      <c r="Y246" s="7" t="n">
        <v>9002.4</v>
      </c>
      <c r="Z246" s="7" t="n">
        <v>-394.2</v>
      </c>
      <c r="AA246" s="8" t="n">
        <v>120788.5</v>
      </c>
      <c r="AB246" s="8" t="n">
        <v>123475.5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3590.2</v>
      </c>
      <c r="E248" s="7" t="n">
        <v>0</v>
      </c>
      <c r="F248" s="7" t="n">
        <v>1539.1</v>
      </c>
      <c r="G248" s="7" t="n">
        <v>0</v>
      </c>
      <c r="H248" s="7" t="n">
        <v>-2255.5</v>
      </c>
      <c r="I248" s="7" t="n">
        <v>0</v>
      </c>
      <c r="J248" s="7" t="n">
        <v>3388.3</v>
      </c>
      <c r="K248" s="7" t="n">
        <v>0</v>
      </c>
      <c r="L248" s="7" t="n">
        <v>-4949.1</v>
      </c>
      <c r="M248" s="7" t="n">
        <v>0</v>
      </c>
      <c r="N248" s="7" t="n">
        <v>3184.1</v>
      </c>
      <c r="O248" s="7" t="n">
        <v>0</v>
      </c>
      <c r="P248" s="7" t="n">
        <v>92.40000000000001</v>
      </c>
      <c r="Q248" s="7" t="n">
        <v>0</v>
      </c>
      <c r="R248" s="7" t="n">
        <v>4557.2</v>
      </c>
      <c r="S248" s="7" t="n">
        <v>0</v>
      </c>
      <c r="T248" s="7" t="n">
        <v>-790.2</v>
      </c>
      <c r="U248" s="7" t="n">
        <v>0</v>
      </c>
      <c r="V248" s="7" t="n">
        <v>-3199.7</v>
      </c>
      <c r="W248" s="7" t="n">
        <v>0</v>
      </c>
      <c r="X248" s="7" t="n">
        <v>-4594.7</v>
      </c>
      <c r="Y248" s="7" t="n">
        <v>0</v>
      </c>
      <c r="Z248" s="7" t="n">
        <v>2004.3</v>
      </c>
      <c r="AA248" s="7" t="n">
        <v>0</v>
      </c>
      <c r="AB248" s="7" t="n">
        <v>2566.4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15938.9</v>
      </c>
      <c r="D253" s="7" t="n">
        <v>13352.4</v>
      </c>
      <c r="E253" s="7" t="n">
        <v>15966.6</v>
      </c>
      <c r="F253" s="7" t="n">
        <v>24240.8</v>
      </c>
      <c r="G253" s="7" t="n">
        <v>17743.5</v>
      </c>
      <c r="H253" s="7" t="n">
        <v>26308.5</v>
      </c>
      <c r="I253" s="7" t="n">
        <v>16115.7</v>
      </c>
      <c r="J253" s="7" t="n">
        <v>102.9</v>
      </c>
      <c r="K253" s="7" t="n">
        <v>17903.5</v>
      </c>
      <c r="L253" s="7" t="n">
        <v>19145.1</v>
      </c>
      <c r="M253" s="7" t="n">
        <v>15808.7</v>
      </c>
      <c r="N253" s="7" t="n">
        <v>24381.9</v>
      </c>
      <c r="O253" s="7" t="n">
        <v>17096.4</v>
      </c>
      <c r="P253" s="7" t="n">
        <v>12275.3</v>
      </c>
      <c r="Q253" s="7" t="n">
        <v>19467</v>
      </c>
      <c r="R253" s="7" t="n">
        <v>17985.2</v>
      </c>
      <c r="S253" s="7" t="n">
        <v>16077.3</v>
      </c>
      <c r="T253" s="7" t="n">
        <v>20169.5</v>
      </c>
      <c r="U253" s="7" t="n">
        <v>16442.5</v>
      </c>
      <c r="V253" s="7" t="n">
        <v>29648.3</v>
      </c>
      <c r="W253" s="7" t="n">
        <v>18175.7</v>
      </c>
      <c r="X253" s="7" t="n">
        <v>24126.2</v>
      </c>
      <c r="Y253" s="7" t="n">
        <v>16182.7</v>
      </c>
      <c r="Z253" s="7" t="n">
        <v>3008.7</v>
      </c>
      <c r="AA253" s="7" t="n">
        <v>202918.5</v>
      </c>
      <c r="AB253" s="7" t="n">
        <v>214744.8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38448</v>
      </c>
      <c r="D254" s="7" t="n">
        <v>23083.5</v>
      </c>
      <c r="E254" s="7" t="n">
        <v>33263.9</v>
      </c>
      <c r="F254" s="7" t="n">
        <v>27405.6</v>
      </c>
      <c r="G254" s="7" t="n">
        <v>36882.4</v>
      </c>
      <c r="H254" s="7" t="n">
        <v>36986.5</v>
      </c>
      <c r="I254" s="7" t="n">
        <v>31631.9</v>
      </c>
      <c r="J254" s="7" t="n">
        <v>42007.9</v>
      </c>
      <c r="K254" s="7" t="n">
        <v>34390.7</v>
      </c>
      <c r="L254" s="7" t="n">
        <v>32448.5</v>
      </c>
      <c r="M254" s="7" t="n">
        <v>38774.6</v>
      </c>
      <c r="N254" s="7" t="n">
        <v>37362.4</v>
      </c>
      <c r="O254" s="7" t="n">
        <v>37946.3</v>
      </c>
      <c r="P254" s="7" t="n">
        <v>17632.7</v>
      </c>
      <c r="Q254" s="7" t="n">
        <v>40429.1</v>
      </c>
      <c r="R254" s="7" t="n">
        <v>54804.1</v>
      </c>
      <c r="S254" s="7" t="n">
        <v>34111.8</v>
      </c>
      <c r="T254" s="7" t="n">
        <v>47829.9</v>
      </c>
      <c r="U254" s="7" t="n">
        <v>30708.2</v>
      </c>
      <c r="V254" s="7" t="n">
        <v>40352.9</v>
      </c>
      <c r="W254" s="7" t="n">
        <v>39538.7</v>
      </c>
      <c r="X254" s="7" t="n">
        <v>54471.6</v>
      </c>
      <c r="Y254" s="7" t="n">
        <v>38694.7</v>
      </c>
      <c r="Z254" s="7" t="n">
        <v>14645</v>
      </c>
      <c r="AA254" s="8" t="n">
        <v>434820.3</v>
      </c>
      <c r="AB254" s="8" t="n">
        <v>429030.6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971.2</v>
      </c>
      <c r="E255" s="7" t="n">
        <v>0</v>
      </c>
      <c r="F255" s="7" t="n">
        <v>4835.9</v>
      </c>
      <c r="G255" s="7" t="n">
        <v>0</v>
      </c>
      <c r="H255" s="7" t="n">
        <v>4718.4</v>
      </c>
      <c r="I255" s="7" t="n">
        <v>0</v>
      </c>
      <c r="J255" s="7" t="n">
        <v>4638.2</v>
      </c>
      <c r="K255" s="7" t="n">
        <v>0</v>
      </c>
      <c r="L255" s="7" t="n">
        <v>823.7</v>
      </c>
      <c r="M255" s="7" t="n">
        <v>0</v>
      </c>
      <c r="N255" s="7" t="n">
        <v>3215.6</v>
      </c>
      <c r="O255" s="7" t="n">
        <v>0</v>
      </c>
      <c r="P255" s="7" t="n">
        <v>2960.2</v>
      </c>
      <c r="Q255" s="7" t="n">
        <v>0</v>
      </c>
      <c r="R255" s="7" t="n">
        <v>4617.7</v>
      </c>
      <c r="S255" s="7" t="n">
        <v>0</v>
      </c>
      <c r="T255" s="7" t="n">
        <v>38.3</v>
      </c>
      <c r="U255" s="7" t="n">
        <v>0</v>
      </c>
      <c r="V255" s="7" t="n">
        <v>4647.4</v>
      </c>
      <c r="W255" s="7" t="n">
        <v>0</v>
      </c>
      <c r="X255" s="7" t="n">
        <v>1446.3</v>
      </c>
      <c r="Y255" s="7" t="n">
        <v>0</v>
      </c>
      <c r="Z255" s="7" t="n">
        <v>3197.8</v>
      </c>
      <c r="AA255" s="7" t="n">
        <v>0</v>
      </c>
      <c r="AB255" s="7" t="n">
        <v>36110.7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2808</v>
      </c>
      <c r="E256" s="7" t="n">
        <v>0</v>
      </c>
      <c r="F256" s="7" t="n">
        <v>1078.2</v>
      </c>
      <c r="G256" s="7" t="n">
        <v>0</v>
      </c>
      <c r="H256" s="7" t="n">
        <v>1468.1</v>
      </c>
      <c r="I256" s="7" t="n">
        <v>0</v>
      </c>
      <c r="J256" s="7" t="n">
        <v>2941.6</v>
      </c>
      <c r="K256" s="7" t="n">
        <v>0</v>
      </c>
      <c r="L256" s="7" t="n">
        <v>1796.4</v>
      </c>
      <c r="M256" s="7" t="n">
        <v>0</v>
      </c>
      <c r="N256" s="7" t="n">
        <v>1393.1</v>
      </c>
      <c r="O256" s="7" t="n">
        <v>0</v>
      </c>
      <c r="P256" s="7" t="n">
        <v>720.8</v>
      </c>
      <c r="Q256" s="7" t="n">
        <v>0</v>
      </c>
      <c r="R256" s="7" t="n">
        <v>382.9</v>
      </c>
      <c r="S256" s="7" t="n">
        <v>0</v>
      </c>
      <c r="T256" s="7" t="n">
        <v>1621.3</v>
      </c>
      <c r="U256" s="7" t="n">
        <v>0</v>
      </c>
      <c r="V256" s="7" t="n">
        <v>2554.5</v>
      </c>
      <c r="W256" s="7" t="n">
        <v>0</v>
      </c>
      <c r="X256" s="7" t="n">
        <v>71.2</v>
      </c>
      <c r="Y256" s="7" t="n">
        <v>0</v>
      </c>
      <c r="Z256" s="7" t="n">
        <v>900.3</v>
      </c>
      <c r="AA256" s="7" t="n">
        <v>0</v>
      </c>
      <c r="AB256" s="7" t="n">
        <v>17736.4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33507.6</v>
      </c>
      <c r="D257" s="7" t="n">
        <v>23647</v>
      </c>
      <c r="E257" s="7" t="n">
        <v>36382.1</v>
      </c>
      <c r="F257" s="7" t="n">
        <v>29653</v>
      </c>
      <c r="G257" s="7" t="n">
        <v>39003.6</v>
      </c>
      <c r="H257" s="7" t="n">
        <v>38556.9</v>
      </c>
      <c r="I257" s="7" t="n">
        <v>33506.8</v>
      </c>
      <c r="J257" s="7" t="n">
        <v>40574.8</v>
      </c>
      <c r="K257" s="7" t="n">
        <v>39904.5</v>
      </c>
      <c r="L257" s="7" t="n">
        <v>31158.9</v>
      </c>
      <c r="M257" s="7" t="n">
        <v>31800.5</v>
      </c>
      <c r="N257" s="7" t="n">
        <v>38208.8</v>
      </c>
      <c r="O257" s="7" t="n">
        <v>30807.7</v>
      </c>
      <c r="P257" s="7" t="n">
        <v>18943.1</v>
      </c>
      <c r="Q257" s="7" t="n">
        <v>31329.3</v>
      </c>
      <c r="R257" s="7" t="n">
        <v>50707.5</v>
      </c>
      <c r="S257" s="7" t="n">
        <v>35891.2</v>
      </c>
      <c r="T257" s="7" t="n">
        <v>50337.3</v>
      </c>
      <c r="U257" s="7" t="n">
        <v>36379.9</v>
      </c>
      <c r="V257" s="7" t="n">
        <v>42458.9</v>
      </c>
      <c r="W257" s="7" t="n">
        <v>36968</v>
      </c>
      <c r="X257" s="7" t="n">
        <v>50066</v>
      </c>
      <c r="Y257" s="7" t="n">
        <v>30659.1</v>
      </c>
      <c r="Z257" s="7" t="n">
        <v>15101.3</v>
      </c>
      <c r="AA257" s="8" t="n">
        <v>416140.3</v>
      </c>
      <c r="AB257" s="8" t="n">
        <v>429413.5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8200</v>
      </c>
      <c r="D258" s="7" t="n">
        <v>5911.8</v>
      </c>
      <c r="E258" s="7" t="n">
        <v>8528.4</v>
      </c>
      <c r="F258" s="7" t="n">
        <v>7413.2</v>
      </c>
      <c r="G258" s="7" t="n">
        <v>10237.9</v>
      </c>
      <c r="H258" s="7" t="n">
        <v>9639.200000000001</v>
      </c>
      <c r="I258" s="7" t="n">
        <v>9105.1</v>
      </c>
      <c r="J258" s="7" t="n">
        <v>10143.7</v>
      </c>
      <c r="K258" s="7" t="n">
        <v>9510.700000000001</v>
      </c>
      <c r="L258" s="7" t="n">
        <v>7789.7</v>
      </c>
      <c r="M258" s="7" t="n">
        <v>7671.1</v>
      </c>
      <c r="N258" s="7" t="n">
        <v>9552.200000000001</v>
      </c>
      <c r="O258" s="7" t="n">
        <v>10275.6</v>
      </c>
      <c r="P258" s="7" t="n">
        <v>4735.8</v>
      </c>
      <c r="Q258" s="7" t="n">
        <v>8851.299999999999</v>
      </c>
      <c r="R258" s="7" t="n">
        <v>12676.9</v>
      </c>
      <c r="S258" s="7" t="n">
        <v>9174.700000000001</v>
      </c>
      <c r="T258" s="7" t="n">
        <v>12584.3</v>
      </c>
      <c r="U258" s="7" t="n">
        <v>7913.9</v>
      </c>
      <c r="V258" s="7" t="n">
        <v>10614.7</v>
      </c>
      <c r="W258" s="7" t="n">
        <v>7995.8</v>
      </c>
      <c r="X258" s="7" t="n">
        <v>12516.5</v>
      </c>
      <c r="Y258" s="7" t="n">
        <v>8199.799999999999</v>
      </c>
      <c r="Z258" s="7" t="n">
        <v>3775.3</v>
      </c>
      <c r="AA258" s="7" t="n">
        <v>105664.3</v>
      </c>
      <c r="AB258" s="7" t="n">
        <v>107353.3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53152.5</v>
      </c>
      <c r="D259" s="7" t="n">
        <v>17735.2</v>
      </c>
      <c r="E259" s="7" t="n">
        <v>41320.5</v>
      </c>
      <c r="F259" s="7" t="n">
        <v>22239.8</v>
      </c>
      <c r="G259" s="7" t="n">
        <v>52777.6</v>
      </c>
      <c r="H259" s="7" t="n">
        <v>28917.7</v>
      </c>
      <c r="I259" s="7" t="n">
        <v>31833.1</v>
      </c>
      <c r="J259" s="7" t="n">
        <v>30431.1</v>
      </c>
      <c r="K259" s="7" t="n">
        <v>45925.8</v>
      </c>
      <c r="L259" s="7" t="n">
        <v>23369.2</v>
      </c>
      <c r="M259" s="7" t="n">
        <v>43720.5</v>
      </c>
      <c r="N259" s="7" t="n">
        <v>28656.6</v>
      </c>
      <c r="O259" s="7" t="n">
        <v>49599.8</v>
      </c>
      <c r="P259" s="7" t="n">
        <v>14207.3</v>
      </c>
      <c r="Q259" s="7" t="n">
        <v>49586.6</v>
      </c>
      <c r="R259" s="7" t="n">
        <v>38030.6</v>
      </c>
      <c r="S259" s="7" t="n">
        <v>47219.7</v>
      </c>
      <c r="T259" s="7" t="n">
        <v>37753</v>
      </c>
      <c r="U259" s="7" t="n">
        <v>53633.3</v>
      </c>
      <c r="V259" s="7" t="n">
        <v>31844.2</v>
      </c>
      <c r="W259" s="7" t="n">
        <v>56811.6</v>
      </c>
      <c r="X259" s="7" t="n">
        <v>37549.5</v>
      </c>
      <c r="Y259" s="7" t="n">
        <v>34379.2</v>
      </c>
      <c r="Z259" s="7" t="n">
        <v>11326</v>
      </c>
      <c r="AA259" s="8" t="n">
        <v>559960.2</v>
      </c>
      <c r="AB259" s="8" t="n">
        <v>322060.2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3515</v>
      </c>
      <c r="E260" s="7" t="n">
        <v>0</v>
      </c>
      <c r="F260" s="7" t="n">
        <v>4839.7</v>
      </c>
      <c r="G260" s="7" t="n">
        <v>0</v>
      </c>
      <c r="H260" s="7" t="n">
        <v>6235.2</v>
      </c>
      <c r="I260" s="7" t="n">
        <v>0</v>
      </c>
      <c r="J260" s="7" t="n">
        <v>2287.6</v>
      </c>
      <c r="K260" s="7" t="n">
        <v>0</v>
      </c>
      <c r="L260" s="7" t="n">
        <v>6433.9</v>
      </c>
      <c r="M260" s="7" t="n">
        <v>0</v>
      </c>
      <c r="N260" s="7" t="n">
        <v>2059.4</v>
      </c>
      <c r="O260" s="7" t="n">
        <v>0</v>
      </c>
      <c r="P260" s="7" t="n">
        <v>3070.9</v>
      </c>
      <c r="Q260" s="7" t="n">
        <v>0</v>
      </c>
      <c r="R260" s="7" t="n">
        <v>6802.9</v>
      </c>
      <c r="S260" s="7" t="n">
        <v>0</v>
      </c>
      <c r="T260" s="7" t="n">
        <v>155.6</v>
      </c>
      <c r="U260" s="7" t="n">
        <v>0</v>
      </c>
      <c r="V260" s="7" t="n">
        <v>7779.4</v>
      </c>
      <c r="W260" s="7" t="n">
        <v>0</v>
      </c>
      <c r="X260" s="7" t="n">
        <v>6224.4</v>
      </c>
      <c r="Y260" s="7" t="n">
        <v>0</v>
      </c>
      <c r="Z260" s="7" t="n">
        <v>3254.5</v>
      </c>
      <c r="AA260" s="7" t="n">
        <v>0</v>
      </c>
      <c r="AB260" s="7" t="n">
        <v>52658.5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53152.5</v>
      </c>
      <c r="D261" s="7" t="n">
        <v>14220.2</v>
      </c>
      <c r="E261" s="7" t="n">
        <v>41320.5</v>
      </c>
      <c r="F261" s="7" t="n">
        <v>17400.1</v>
      </c>
      <c r="G261" s="7" t="n">
        <v>52777.6</v>
      </c>
      <c r="H261" s="7" t="n">
        <v>22682.5</v>
      </c>
      <c r="I261" s="7" t="n">
        <v>31833.1</v>
      </c>
      <c r="J261" s="7" t="n">
        <v>28143.5</v>
      </c>
      <c r="K261" s="7" t="n">
        <v>45925.8</v>
      </c>
      <c r="L261" s="7" t="n">
        <v>16935.3</v>
      </c>
      <c r="M261" s="7" t="n">
        <v>43720.5</v>
      </c>
      <c r="N261" s="7" t="n">
        <v>26597.2</v>
      </c>
      <c r="O261" s="7" t="n">
        <v>49599.8</v>
      </c>
      <c r="P261" s="7" t="n">
        <v>11136.4</v>
      </c>
      <c r="Q261" s="7" t="n">
        <v>49586.6</v>
      </c>
      <c r="R261" s="7" t="n">
        <v>31227.7</v>
      </c>
      <c r="S261" s="7" t="n">
        <v>47219.7</v>
      </c>
      <c r="T261" s="7" t="n">
        <v>37597.4</v>
      </c>
      <c r="U261" s="7" t="n">
        <v>53633.3</v>
      </c>
      <c r="V261" s="7" t="n">
        <v>24064.8</v>
      </c>
      <c r="W261" s="7" t="n">
        <v>56811.6</v>
      </c>
      <c r="X261" s="7" t="n">
        <v>31325.1</v>
      </c>
      <c r="Y261" s="7" t="n">
        <v>34379.2</v>
      </c>
      <c r="Z261" s="7" t="n">
        <v>8071.5</v>
      </c>
      <c r="AA261" s="8" t="n">
        <v>559960.2</v>
      </c>
      <c r="AB261" s="8" t="n">
        <v>269401.7</v>
      </c>
    </row>
    <row r="262">
      <c r="A262" s="4" t="inlineStr">
        <is>
          <t>净利率</t>
        </is>
      </c>
      <c r="D262" s="13" t="n">
        <v>6.9</v>
      </c>
      <c r="F262" s="13" t="n">
        <v>5.1</v>
      </c>
      <c r="H262" s="13" t="n">
        <v>8</v>
      </c>
      <c r="J262" s="13" t="n">
        <v>6.2</v>
      </c>
      <c r="L262" s="13" t="n">
        <v>6.6</v>
      </c>
      <c r="N262" s="13" t="n">
        <v>6.4</v>
      </c>
      <c r="P262" s="13" t="n">
        <v>6.4</v>
      </c>
      <c r="R262" s="13" t="n">
        <v>6.1</v>
      </c>
      <c r="T262" s="13" t="n">
        <v>6.3</v>
      </c>
      <c r="V262" s="13" t="n">
        <v>3.9</v>
      </c>
      <c r="X262" s="13" t="n">
        <v>4.8</v>
      </c>
      <c r="Z262" s="13" t="n">
        <v>3.6</v>
      </c>
    </row>
    <row r="263">
      <c r="A263" s="4" t="inlineStr">
        <is>
          <t>销售达成率</t>
        </is>
      </c>
      <c r="D263" s="13" t="n">
        <v>60.7</v>
      </c>
      <c r="F263" s="13" t="n">
        <v>95.90000000000001</v>
      </c>
      <c r="H263" s="13" t="n">
        <v>69.59999999999999</v>
      </c>
      <c r="J263" s="13" t="n">
        <v>113.5</v>
      </c>
      <c r="L263" s="13" t="n">
        <v>82.59999999999999</v>
      </c>
      <c r="N263" s="13" t="n">
        <v>92</v>
      </c>
      <c r="P263" s="13" t="n">
        <v>40.4</v>
      </c>
      <c r="R263" s="13" t="n">
        <v>127.7</v>
      </c>
      <c r="T263" s="13" t="n">
        <v>111.4</v>
      </c>
      <c r="V263" s="13" t="n">
        <v>155.6</v>
      </c>
      <c r="X263" s="13" t="n">
        <v>175.6</v>
      </c>
      <c r="Z263" s="13" t="n">
        <v>58.9</v>
      </c>
    </row>
    <row r="264">
      <c r="A264" s="4" t="inlineStr">
        <is>
          <t>净利达成率</t>
        </is>
      </c>
      <c r="D264" s="13" t="n">
        <v>33.4</v>
      </c>
      <c r="F264" s="13" t="n">
        <v>53.8</v>
      </c>
      <c r="H264" s="13" t="n">
        <v>54.8</v>
      </c>
      <c r="J264" s="13" t="n">
        <v>95.59999999999999</v>
      </c>
      <c r="L264" s="13" t="n">
        <v>50.9</v>
      </c>
      <c r="N264" s="13" t="n">
        <v>65.5</v>
      </c>
      <c r="P264" s="13" t="n">
        <v>28.6</v>
      </c>
      <c r="R264" s="13" t="n">
        <v>76.7</v>
      </c>
      <c r="T264" s="13" t="n">
        <v>80</v>
      </c>
      <c r="V264" s="13" t="n">
        <v>59.4</v>
      </c>
      <c r="X264" s="13" t="n">
        <v>66.09999999999999</v>
      </c>
      <c r="Z264" s="13" t="n">
        <v>32.9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湖南省区利润表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264524.2</v>
      </c>
      <c r="D6" s="7" t="n">
        <v>35268.5</v>
      </c>
      <c r="E6" s="7" t="n">
        <v>249685.1</v>
      </c>
      <c r="F6" s="7" t="n">
        <v>354121.8</v>
      </c>
      <c r="G6" s="7" t="n">
        <v>251794.9</v>
      </c>
      <c r="H6" s="7" t="n">
        <v>442105.1</v>
      </c>
      <c r="I6" s="7" t="n">
        <v>207141.2</v>
      </c>
      <c r="J6" s="7" t="n">
        <v>297502.8</v>
      </c>
      <c r="K6" s="7" t="n">
        <v>272539.9</v>
      </c>
      <c r="L6" s="7" t="n">
        <v>544395.8</v>
      </c>
      <c r="M6" s="7" t="n">
        <v>265323.5</v>
      </c>
      <c r="N6" s="7" t="n">
        <v>425453.6</v>
      </c>
      <c r="O6" s="7" t="n">
        <v>224612.7</v>
      </c>
      <c r="P6" s="7" t="n">
        <v>87138.10000000001</v>
      </c>
      <c r="Q6" s="7" t="n">
        <v>218308.3</v>
      </c>
      <c r="R6" s="7" t="n">
        <v>136480.8</v>
      </c>
      <c r="S6" s="7" t="n">
        <v>256141.1</v>
      </c>
      <c r="T6" s="7" t="n">
        <v>46051.9</v>
      </c>
      <c r="U6" s="7" t="n">
        <v>227621.5</v>
      </c>
      <c r="V6" s="7" t="n">
        <v>152192.9</v>
      </c>
      <c r="W6" s="7" t="n">
        <v>229855.5</v>
      </c>
      <c r="X6" s="7" t="n">
        <v>157621.6</v>
      </c>
      <c r="Y6" s="7" t="n">
        <v>205681.7</v>
      </c>
      <c r="Z6" s="7" t="n">
        <v>179250.1</v>
      </c>
      <c r="AA6" s="8" t="n">
        <v>2873229.6</v>
      </c>
      <c r="AB6" s="8" t="n">
        <v>2857583</v>
      </c>
    </row>
    <row r="7">
      <c r="A7" s="4" t="inlineStr">
        <is>
          <t>数控机床</t>
        </is>
      </c>
      <c r="D7" s="7" t="n">
        <v>35825.4</v>
      </c>
      <c r="F7" s="7" t="n">
        <v>0</v>
      </c>
      <c r="H7" s="7" t="n">
        <v>32225.6</v>
      </c>
      <c r="J7" s="7" t="n">
        <v>0</v>
      </c>
      <c r="L7" s="7" t="n">
        <v>0</v>
      </c>
      <c r="N7" s="7" t="n">
        <v>0</v>
      </c>
      <c r="P7" s="7" t="n">
        <v>0</v>
      </c>
      <c r="R7" s="7" t="n">
        <v>0</v>
      </c>
      <c r="T7" s="7" t="n">
        <v>47172.9</v>
      </c>
      <c r="V7" s="7" t="n">
        <v>66721.39999999999</v>
      </c>
      <c r="X7" s="7" t="n">
        <v>41551.2</v>
      </c>
      <c r="Z7" s="7" t="n">
        <v>0</v>
      </c>
      <c r="AB7" s="7" t="n">
        <v>223496.5</v>
      </c>
    </row>
    <row r="8">
      <c r="A8" s="4" t="inlineStr">
        <is>
          <t>精密轴承</t>
        </is>
      </c>
      <c r="D8" s="7" t="n">
        <v>0</v>
      </c>
      <c r="F8" s="7" t="n">
        <v>0</v>
      </c>
      <c r="H8" s="7" t="n">
        <v>0</v>
      </c>
      <c r="J8" s="7" t="n">
        <v>85434</v>
      </c>
      <c r="L8" s="7" t="n">
        <v>56195.1</v>
      </c>
      <c r="N8" s="7" t="n">
        <v>82857</v>
      </c>
      <c r="P8" s="7" t="n">
        <v>0</v>
      </c>
      <c r="R8" s="7" t="n">
        <v>0</v>
      </c>
      <c r="T8" s="7" t="n">
        <v>0</v>
      </c>
      <c r="V8" s="7" t="n">
        <v>88585.5</v>
      </c>
      <c r="X8" s="7" t="n">
        <v>0</v>
      </c>
      <c r="Z8" s="7" t="n">
        <v>0</v>
      </c>
      <c r="AB8" s="7" t="n">
        <v>313071.6</v>
      </c>
    </row>
    <row r="9">
      <c r="A9" s="4" t="inlineStr">
        <is>
          <t>液压件</t>
        </is>
      </c>
      <c r="D9" s="7" t="n">
        <v>0</v>
      </c>
      <c r="F9" s="7" t="n">
        <v>0</v>
      </c>
      <c r="H9" s="7" t="n">
        <v>55296.4</v>
      </c>
      <c r="J9" s="7" t="n">
        <v>0</v>
      </c>
      <c r="L9" s="7" t="n">
        <v>0</v>
      </c>
      <c r="N9" s="7" t="n">
        <v>0</v>
      </c>
      <c r="P9" s="7" t="n">
        <v>0</v>
      </c>
      <c r="R9" s="7" t="n">
        <v>65558.2</v>
      </c>
      <c r="T9" s="7" t="n">
        <v>0</v>
      </c>
      <c r="V9" s="7" t="n">
        <v>0</v>
      </c>
      <c r="X9" s="7" t="n">
        <v>0</v>
      </c>
      <c r="Z9" s="7" t="n">
        <v>37920.8</v>
      </c>
      <c r="AB9" s="7" t="n">
        <v>158775.4</v>
      </c>
    </row>
    <row r="10">
      <c r="A10" s="4" t="inlineStr">
        <is>
          <t>气动元件</t>
        </is>
      </c>
      <c r="D10" s="7" t="n">
        <v>0</v>
      </c>
      <c r="F10" s="7" t="n">
        <v>143224.4</v>
      </c>
      <c r="H10" s="7" t="n">
        <v>120800.3</v>
      </c>
      <c r="J10" s="7" t="n">
        <v>0</v>
      </c>
      <c r="L10" s="7" t="n">
        <v>225669.8</v>
      </c>
      <c r="N10" s="7" t="n">
        <v>0</v>
      </c>
      <c r="P10" s="7" t="n">
        <v>0</v>
      </c>
      <c r="R10" s="7" t="n">
        <v>0</v>
      </c>
      <c r="T10" s="7" t="n">
        <v>0</v>
      </c>
      <c r="V10" s="7" t="n">
        <v>0</v>
      </c>
      <c r="X10" s="7" t="n">
        <v>118124</v>
      </c>
      <c r="Z10" s="7" t="n">
        <v>0</v>
      </c>
      <c r="AB10" s="7" t="n">
        <v>607818.5</v>
      </c>
    </row>
    <row r="11">
      <c r="A11" s="4" t="inlineStr">
        <is>
          <t>模具</t>
        </is>
      </c>
      <c r="D11" s="7" t="n">
        <v>0</v>
      </c>
      <c r="F11" s="7" t="n">
        <v>183761.5</v>
      </c>
      <c r="H11" s="7" t="n">
        <v>177134.3</v>
      </c>
      <c r="J11" s="7" t="n">
        <v>153752.9</v>
      </c>
      <c r="L11" s="7" t="n">
        <v>269817.7</v>
      </c>
      <c r="N11" s="7" t="n">
        <v>282127.9</v>
      </c>
      <c r="P11" s="7" t="n">
        <v>0</v>
      </c>
      <c r="R11" s="7" t="n">
        <v>0</v>
      </c>
      <c r="T11" s="7" t="n">
        <v>0</v>
      </c>
      <c r="V11" s="7" t="n">
        <v>0</v>
      </c>
      <c r="X11" s="7" t="n">
        <v>0</v>
      </c>
      <c r="Z11" s="7" t="n">
        <v>112172.4</v>
      </c>
      <c r="AB11" s="7" t="n">
        <v>1178766.7</v>
      </c>
    </row>
    <row r="12">
      <c r="A12" s="4" t="inlineStr">
        <is>
          <t>工装夹具</t>
        </is>
      </c>
      <c r="D12" s="7" t="n">
        <v>0</v>
      </c>
      <c r="F12" s="7" t="n">
        <v>31399.1</v>
      </c>
      <c r="H12" s="7" t="n">
        <v>63226.8</v>
      </c>
      <c r="J12" s="7" t="n">
        <v>62251.7</v>
      </c>
      <c r="L12" s="7" t="n">
        <v>0</v>
      </c>
      <c r="N12" s="7" t="n">
        <v>64779.4</v>
      </c>
      <c r="P12" s="7" t="n">
        <v>88489.3</v>
      </c>
      <c r="R12" s="7" t="n">
        <v>73734.10000000001</v>
      </c>
      <c r="T12" s="7" t="n">
        <v>0</v>
      </c>
      <c r="V12" s="7" t="n">
        <v>0</v>
      </c>
      <c r="X12" s="7" t="n">
        <v>0</v>
      </c>
      <c r="Z12" s="7" t="n">
        <v>31688.8</v>
      </c>
      <c r="AB12" s="7" t="n">
        <v>415569.2</v>
      </c>
    </row>
    <row r="13">
      <c r="A13" s="4" t="inlineStr">
        <is>
          <t>返利</t>
        </is>
      </c>
      <c r="D13" s="7" t="n">
        <v>-1013.8</v>
      </c>
      <c r="F13" s="7" t="n">
        <v>-9205.1</v>
      </c>
      <c r="H13" s="7" t="n">
        <v>-9802.4</v>
      </c>
      <c r="J13" s="7" t="n">
        <v>-4859.6</v>
      </c>
      <c r="L13" s="7" t="n">
        <v>-13992.4</v>
      </c>
      <c r="N13" s="7" t="n">
        <v>-8979.799999999999</v>
      </c>
      <c r="P13" s="7" t="n">
        <v>-1377.3</v>
      </c>
      <c r="R13" s="7" t="n">
        <v>-2997.3</v>
      </c>
      <c r="T13" s="7" t="n">
        <v>-1166.7</v>
      </c>
      <c r="V13" s="7" t="n">
        <v>-4143.9</v>
      </c>
      <c r="X13" s="7" t="n">
        <v>-3521.6</v>
      </c>
      <c r="Z13" s="7" t="n">
        <v>-3380.9</v>
      </c>
      <c r="AB13" s="7" t="n">
        <v>-64440.8</v>
      </c>
    </row>
    <row r="14">
      <c r="A14" s="4" t="inlineStr">
        <is>
          <t>其他</t>
        </is>
      </c>
      <c r="D14" s="7" t="n">
        <v>456.9</v>
      </c>
      <c r="F14" s="7" t="n">
        <v>4941.9</v>
      </c>
      <c r="H14" s="7" t="n">
        <v>3224.1</v>
      </c>
      <c r="J14" s="7" t="n">
        <v>923.8</v>
      </c>
      <c r="L14" s="7" t="n">
        <v>6705.6</v>
      </c>
      <c r="N14" s="7" t="n">
        <v>4669.1</v>
      </c>
      <c r="P14" s="7" t="n">
        <v>26.1</v>
      </c>
      <c r="R14" s="7" t="n">
        <v>185.8</v>
      </c>
      <c r="T14" s="7" t="n">
        <v>45.7</v>
      </c>
      <c r="V14" s="7" t="n">
        <v>1029.9</v>
      </c>
      <c r="X14" s="7" t="n">
        <v>1468</v>
      </c>
      <c r="Z14" s="7" t="n">
        <v>849</v>
      </c>
      <c r="AB14" s="7" t="n">
        <v>24525.9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170527.2</v>
      </c>
      <c r="D15" s="7" t="n">
        <v>25658</v>
      </c>
      <c r="E15" s="7" t="n">
        <v>175111.9</v>
      </c>
      <c r="F15" s="7" t="n">
        <v>286494.4</v>
      </c>
      <c r="G15" s="7" t="n">
        <v>163672.7</v>
      </c>
      <c r="H15" s="7" t="n">
        <v>360698.4</v>
      </c>
      <c r="I15" s="7" t="n">
        <v>178576</v>
      </c>
      <c r="J15" s="7" t="n">
        <v>238795.5</v>
      </c>
      <c r="K15" s="7" t="n">
        <v>189963.7</v>
      </c>
      <c r="L15" s="7" t="n">
        <v>437923.7</v>
      </c>
      <c r="M15" s="7" t="n">
        <v>185350.1</v>
      </c>
      <c r="N15" s="7" t="n">
        <v>345132.2</v>
      </c>
      <c r="O15" s="7" t="n">
        <v>197698.7</v>
      </c>
      <c r="P15" s="7" t="n">
        <v>72358.3</v>
      </c>
      <c r="Q15" s="7" t="n">
        <v>199210.9</v>
      </c>
      <c r="R15" s="7" t="n">
        <v>109190.5</v>
      </c>
      <c r="S15" s="7" t="n">
        <v>211182.1</v>
      </c>
      <c r="T15" s="7" t="n">
        <v>33654.5</v>
      </c>
      <c r="U15" s="7" t="n">
        <v>179459.7</v>
      </c>
      <c r="V15" s="7" t="n">
        <v>115028.3</v>
      </c>
      <c r="W15" s="7" t="n">
        <v>179777</v>
      </c>
      <c r="X15" s="7" t="n">
        <v>123939</v>
      </c>
      <c r="Y15" s="7" t="n">
        <v>206880.3</v>
      </c>
      <c r="Z15" s="7" t="n">
        <v>145205.4</v>
      </c>
      <c r="AA15" s="8" t="n">
        <v>2237410.3</v>
      </c>
      <c r="AB15" s="8" t="n">
        <v>2294078.2</v>
      </c>
    </row>
    <row r="16">
      <c r="A16" s="4" t="inlineStr">
        <is>
          <t>数控机床</t>
        </is>
      </c>
      <c r="D16" s="7" t="n">
        <v>24128.8</v>
      </c>
      <c r="F16" s="7" t="n">
        <v>0</v>
      </c>
      <c r="H16" s="7" t="n">
        <v>21704.3</v>
      </c>
      <c r="J16" s="7" t="n">
        <v>0</v>
      </c>
      <c r="L16" s="7" t="n">
        <v>0</v>
      </c>
      <c r="N16" s="7" t="n">
        <v>0</v>
      </c>
      <c r="P16" s="7" t="n">
        <v>0</v>
      </c>
      <c r="R16" s="7" t="n">
        <v>0</v>
      </c>
      <c r="T16" s="7" t="n">
        <v>31771.5</v>
      </c>
      <c r="V16" s="7" t="n">
        <v>44937.7</v>
      </c>
      <c r="X16" s="7" t="n">
        <v>27985.2</v>
      </c>
      <c r="Z16" s="7" t="n">
        <v>0</v>
      </c>
      <c r="AB16" s="7" t="n">
        <v>150527.5</v>
      </c>
    </row>
    <row r="17">
      <c r="A17" s="4" t="inlineStr">
        <is>
          <t>精密轴承</t>
        </is>
      </c>
      <c r="D17" s="7" t="n">
        <v>0</v>
      </c>
      <c r="F17" s="7" t="n">
        <v>0</v>
      </c>
      <c r="H17" s="7" t="n">
        <v>0</v>
      </c>
      <c r="J17" s="7" t="n">
        <v>64290.9</v>
      </c>
      <c r="L17" s="7" t="n">
        <v>42288</v>
      </c>
      <c r="N17" s="7" t="n">
        <v>62351.6</v>
      </c>
      <c r="P17" s="7" t="n">
        <v>0</v>
      </c>
      <c r="R17" s="7" t="n">
        <v>0</v>
      </c>
      <c r="T17" s="7" t="n">
        <v>0</v>
      </c>
      <c r="V17" s="7" t="n">
        <v>66662.5</v>
      </c>
      <c r="X17" s="7" t="n">
        <v>0</v>
      </c>
      <c r="Z17" s="7" t="n">
        <v>0</v>
      </c>
      <c r="AB17" s="7" t="n">
        <v>235593</v>
      </c>
    </row>
    <row r="18">
      <c r="A18" s="4" t="inlineStr">
        <is>
          <t>液压件</t>
        </is>
      </c>
      <c r="D18" s="7" t="n">
        <v>0</v>
      </c>
      <c r="F18" s="7" t="n">
        <v>0</v>
      </c>
      <c r="H18" s="7" t="n">
        <v>39527</v>
      </c>
      <c r="J18" s="7" t="n">
        <v>0</v>
      </c>
      <c r="L18" s="7" t="n">
        <v>0</v>
      </c>
      <c r="N18" s="7" t="n">
        <v>0</v>
      </c>
      <c r="P18" s="7" t="n">
        <v>0</v>
      </c>
      <c r="R18" s="7" t="n">
        <v>46862.3</v>
      </c>
      <c r="T18" s="7" t="n">
        <v>0</v>
      </c>
      <c r="V18" s="7" t="n">
        <v>0</v>
      </c>
      <c r="X18" s="7" t="n">
        <v>0</v>
      </c>
      <c r="Z18" s="7" t="n">
        <v>27106.5</v>
      </c>
      <c r="AB18" s="7" t="n">
        <v>113495.8</v>
      </c>
    </row>
    <row r="19">
      <c r="A19" s="4" t="inlineStr">
        <is>
          <t>气动元件</t>
        </is>
      </c>
      <c r="D19" s="7" t="n">
        <v>0</v>
      </c>
      <c r="F19" s="7" t="n">
        <v>109057.4</v>
      </c>
      <c r="H19" s="7" t="n">
        <v>91982.7</v>
      </c>
      <c r="J19" s="7" t="n">
        <v>0</v>
      </c>
      <c r="L19" s="7" t="n">
        <v>171835</v>
      </c>
      <c r="N19" s="7" t="n">
        <v>0</v>
      </c>
      <c r="P19" s="7" t="n">
        <v>0</v>
      </c>
      <c r="R19" s="7" t="n">
        <v>0</v>
      </c>
      <c r="T19" s="7" t="n">
        <v>0</v>
      </c>
      <c r="V19" s="7" t="n">
        <v>0</v>
      </c>
      <c r="X19" s="7" t="n">
        <v>89944.8</v>
      </c>
      <c r="Z19" s="7" t="n">
        <v>0</v>
      </c>
      <c r="AB19" s="7" t="n">
        <v>462819.9</v>
      </c>
    </row>
    <row r="20">
      <c r="A20" s="4" t="inlineStr">
        <is>
          <t>模具</t>
        </is>
      </c>
      <c r="D20" s="7" t="n">
        <v>0</v>
      </c>
      <c r="F20" s="7" t="n">
        <v>141318.3</v>
      </c>
      <c r="H20" s="7" t="n">
        <v>136221.8</v>
      </c>
      <c r="J20" s="7" t="n">
        <v>118240.8</v>
      </c>
      <c r="L20" s="7" t="n">
        <v>207498.2</v>
      </c>
      <c r="N20" s="7" t="n">
        <v>216965.1</v>
      </c>
      <c r="P20" s="7" t="n">
        <v>0</v>
      </c>
      <c r="R20" s="7" t="n">
        <v>0</v>
      </c>
      <c r="T20" s="7" t="n">
        <v>0</v>
      </c>
      <c r="V20" s="7" t="n">
        <v>0</v>
      </c>
      <c r="X20" s="7" t="n">
        <v>0</v>
      </c>
      <c r="Z20" s="7" t="n">
        <v>86264.10000000001</v>
      </c>
      <c r="AB20" s="7" t="n">
        <v>906508.3</v>
      </c>
    </row>
    <row r="21">
      <c r="A21" s="4" t="inlineStr">
        <is>
          <t>工装夹具</t>
        </is>
      </c>
      <c r="D21" s="7" t="n">
        <v>0</v>
      </c>
      <c r="F21" s="7" t="n">
        <v>24959.4</v>
      </c>
      <c r="H21" s="7" t="n">
        <v>50259.6</v>
      </c>
      <c r="J21" s="7" t="n">
        <v>49484.5</v>
      </c>
      <c r="L21" s="7" t="n">
        <v>0</v>
      </c>
      <c r="N21" s="7" t="n">
        <v>51493.7</v>
      </c>
      <c r="P21" s="7" t="n">
        <v>70341</v>
      </c>
      <c r="R21" s="7" t="n">
        <v>58611.9</v>
      </c>
      <c r="T21" s="7" t="n">
        <v>0</v>
      </c>
      <c r="V21" s="7" t="n">
        <v>0</v>
      </c>
      <c r="X21" s="7" t="n">
        <v>0</v>
      </c>
      <c r="Z21" s="7" t="n">
        <v>25189.7</v>
      </c>
      <c r="AB21" s="7" t="n">
        <v>330339.8</v>
      </c>
    </row>
    <row r="22">
      <c r="A22" s="4" t="inlineStr">
        <is>
          <t>其他</t>
        </is>
      </c>
      <c r="D22" s="7" t="n">
        <v>240.8</v>
      </c>
      <c r="F22" s="7" t="n">
        <v>5007.8</v>
      </c>
      <c r="H22" s="7" t="n">
        <v>2195.2</v>
      </c>
      <c r="J22" s="7" t="n">
        <v>4067</v>
      </c>
      <c r="L22" s="7" t="n">
        <v>77.2</v>
      </c>
      <c r="N22" s="7" t="n">
        <v>1865.7</v>
      </c>
      <c r="P22" s="7" t="n">
        <v>259.1</v>
      </c>
      <c r="R22" s="7" t="n">
        <v>1569.3</v>
      </c>
      <c r="T22" s="7" t="n">
        <v>572.5</v>
      </c>
      <c r="V22" s="7" t="n">
        <v>388.6</v>
      </c>
      <c r="X22" s="7" t="n">
        <v>711.1</v>
      </c>
      <c r="Z22" s="7" t="n">
        <v>13.2</v>
      </c>
      <c r="AB22" s="7" t="n">
        <v>16967.5</v>
      </c>
    </row>
    <row r="23">
      <c r="A23" s="4" t="inlineStr">
        <is>
          <t>运费</t>
        </is>
      </c>
      <c r="D23" s="7" t="n">
        <v>1529.2</v>
      </c>
      <c r="F23" s="7" t="n">
        <v>11159.3</v>
      </c>
      <c r="H23" s="7" t="n">
        <v>21003</v>
      </c>
      <c r="J23" s="7" t="n">
        <v>6779.3</v>
      </c>
      <c r="L23" s="7" t="n">
        <v>16302.5</v>
      </c>
      <c r="N23" s="7" t="n">
        <v>14321.8</v>
      </c>
      <c r="P23" s="7" t="n">
        <v>2017.3</v>
      </c>
      <c r="R23" s="7" t="n">
        <v>3716.3</v>
      </c>
      <c r="T23" s="7" t="n">
        <v>1883</v>
      </c>
      <c r="V23" s="7" t="n">
        <v>3428.1</v>
      </c>
      <c r="X23" s="7" t="n">
        <v>6009</v>
      </c>
      <c r="Z23" s="7" t="n">
        <v>6645.1</v>
      </c>
      <c r="AB23" s="7" t="n">
        <v>94793.89999999999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93997</v>
      </c>
      <c r="D24" s="7" t="n">
        <v>9610.5</v>
      </c>
      <c r="E24" s="7" t="n">
        <v>74573.2</v>
      </c>
      <c r="F24" s="7" t="n">
        <v>67627.39999999999</v>
      </c>
      <c r="G24" s="7" t="n">
        <v>88122.2</v>
      </c>
      <c r="H24" s="7" t="n">
        <v>81406.7</v>
      </c>
      <c r="I24" s="7" t="n">
        <v>28565.2</v>
      </c>
      <c r="J24" s="7" t="n">
        <v>58707.3</v>
      </c>
      <c r="K24" s="7" t="n">
        <v>82576.2</v>
      </c>
      <c r="L24" s="7" t="n">
        <v>106472.1</v>
      </c>
      <c r="M24" s="7" t="n">
        <v>79973.39999999999</v>
      </c>
      <c r="N24" s="7" t="n">
        <v>80321.39999999999</v>
      </c>
      <c r="O24" s="7" t="n">
        <v>26914</v>
      </c>
      <c r="P24" s="7" t="n">
        <v>14779.8</v>
      </c>
      <c r="Q24" s="7" t="n">
        <v>19097.4</v>
      </c>
      <c r="R24" s="7" t="n">
        <v>27290.3</v>
      </c>
      <c r="S24" s="7" t="n">
        <v>44959</v>
      </c>
      <c r="T24" s="7" t="n">
        <v>12397.4</v>
      </c>
      <c r="U24" s="7" t="n">
        <v>48161.8</v>
      </c>
      <c r="V24" s="7" t="n">
        <v>37164.6</v>
      </c>
      <c r="W24" s="7" t="n">
        <v>50078.5</v>
      </c>
      <c r="X24" s="7" t="n">
        <v>33682.6</v>
      </c>
      <c r="Y24" s="7" t="n">
        <v>-1198.6</v>
      </c>
      <c r="Z24" s="7" t="n">
        <v>34044.7</v>
      </c>
      <c r="AA24" s="8" t="n">
        <v>635819.3</v>
      </c>
      <c r="AB24" s="8" t="n">
        <v>563504.8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35.5</v>
      </c>
      <c r="D25" s="13" t="n">
        <v>27.2</v>
      </c>
      <c r="E25" s="13" t="n">
        <v>29.9</v>
      </c>
      <c r="F25" s="13" t="n">
        <v>19.1</v>
      </c>
      <c r="G25" s="13" t="n">
        <v>35</v>
      </c>
      <c r="H25" s="13" t="n">
        <v>18.4</v>
      </c>
      <c r="I25" s="13" t="n">
        <v>13.8</v>
      </c>
      <c r="J25" s="13" t="n">
        <v>19.7</v>
      </c>
      <c r="K25" s="13" t="n">
        <v>30.3</v>
      </c>
      <c r="L25" s="13" t="n">
        <v>19.6</v>
      </c>
      <c r="M25" s="13" t="n">
        <v>30.1</v>
      </c>
      <c r="N25" s="13" t="n">
        <v>18.9</v>
      </c>
      <c r="O25" s="13" t="n">
        <v>12</v>
      </c>
      <c r="P25" s="13" t="n">
        <v>17</v>
      </c>
      <c r="Q25" s="13" t="n">
        <v>8.699999999999999</v>
      </c>
      <c r="R25" s="13" t="n">
        <v>20</v>
      </c>
      <c r="S25" s="13" t="n">
        <v>17.6</v>
      </c>
      <c r="T25" s="13" t="n">
        <v>26.9</v>
      </c>
      <c r="U25" s="13" t="n">
        <v>21.2</v>
      </c>
      <c r="V25" s="13" t="n">
        <v>24.4</v>
      </c>
      <c r="W25" s="13" t="n">
        <v>21.8</v>
      </c>
      <c r="X25" s="13" t="n">
        <v>21.4</v>
      </c>
      <c r="Y25" s="13" t="n">
        <v>-0.6</v>
      </c>
      <c r="Z25" s="13" t="n">
        <v>19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2581.1</v>
      </c>
      <c r="D26" s="7" t="n">
        <v>187.6</v>
      </c>
      <c r="E26" s="7" t="n">
        <v>2561.6</v>
      </c>
      <c r="F26" s="7" t="n">
        <v>2054</v>
      </c>
      <c r="G26" s="7" t="n">
        <v>2191.2</v>
      </c>
      <c r="H26" s="7" t="n">
        <v>5347</v>
      </c>
      <c r="I26" s="7" t="n">
        <v>2497.6</v>
      </c>
      <c r="J26" s="7" t="n">
        <v>2403.3</v>
      </c>
      <c r="K26" s="7" t="n">
        <v>2313</v>
      </c>
      <c r="L26" s="7" t="n">
        <v>6642.4</v>
      </c>
      <c r="M26" s="7" t="n">
        <v>2187.5</v>
      </c>
      <c r="N26" s="7" t="n">
        <v>3582.4</v>
      </c>
      <c r="O26" s="7" t="n">
        <v>2040</v>
      </c>
      <c r="P26" s="7" t="n">
        <v>1256.8</v>
      </c>
      <c r="Q26" s="7" t="n">
        <v>2041.6</v>
      </c>
      <c r="R26" s="7" t="n">
        <v>1226</v>
      </c>
      <c r="S26" s="7" t="n">
        <v>2237.5</v>
      </c>
      <c r="T26" s="7" t="n">
        <v>280</v>
      </c>
      <c r="U26" s="7" t="n">
        <v>2092.4</v>
      </c>
      <c r="V26" s="7" t="n">
        <v>1574.6</v>
      </c>
      <c r="W26" s="7" t="n">
        <v>2449.1</v>
      </c>
      <c r="X26" s="7" t="n">
        <v>1285.1</v>
      </c>
      <c r="Y26" s="7" t="n">
        <v>2080.5</v>
      </c>
      <c r="Z26" s="7" t="n">
        <v>1401.4</v>
      </c>
      <c r="AA26" s="8" t="n">
        <v>27273.1</v>
      </c>
      <c r="AB26" s="8" t="n">
        <v>27240.6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24103</v>
      </c>
      <c r="D27" s="7" t="n">
        <v>3330.8</v>
      </c>
      <c r="E27" s="7" t="n">
        <v>30926.8</v>
      </c>
      <c r="F27" s="7" t="n">
        <v>56476.3</v>
      </c>
      <c r="G27" s="7" t="n">
        <v>29042.9</v>
      </c>
      <c r="H27" s="7" t="n">
        <v>65239.5</v>
      </c>
      <c r="I27" s="7" t="n">
        <v>27245.5</v>
      </c>
      <c r="J27" s="7" t="n">
        <v>32461</v>
      </c>
      <c r="K27" s="7" t="n">
        <v>31574.5</v>
      </c>
      <c r="L27" s="7" t="n">
        <v>53420.6</v>
      </c>
      <c r="M27" s="7" t="n">
        <v>29761.3</v>
      </c>
      <c r="N27" s="7" t="n">
        <v>43491.6</v>
      </c>
      <c r="O27" s="7" t="n">
        <v>29000.6</v>
      </c>
      <c r="P27" s="7" t="n">
        <v>7690.5</v>
      </c>
      <c r="Q27" s="7" t="n">
        <v>27670.5</v>
      </c>
      <c r="R27" s="7" t="n">
        <v>19653.7</v>
      </c>
      <c r="S27" s="7" t="n">
        <v>24769.8</v>
      </c>
      <c r="T27" s="7" t="n">
        <v>7928.4</v>
      </c>
      <c r="U27" s="7" t="n">
        <v>26427.8</v>
      </c>
      <c r="V27" s="7" t="n">
        <v>14295.5</v>
      </c>
      <c r="W27" s="7" t="n">
        <v>25257.8</v>
      </c>
      <c r="X27" s="7" t="n">
        <v>18707.7</v>
      </c>
      <c r="Y27" s="7" t="n">
        <v>25104.5</v>
      </c>
      <c r="Z27" s="7" t="n">
        <v>15166.2</v>
      </c>
      <c r="AA27" s="8" t="n">
        <v>330885</v>
      </c>
      <c r="AB27" s="8" t="n">
        <v>337861.8</v>
      </c>
    </row>
    <row r="28">
      <c r="A28" s="4" t="inlineStr">
        <is>
          <t>职工薪酬</t>
        </is>
      </c>
      <c r="D28" s="7" t="n">
        <v>2080</v>
      </c>
      <c r="F28" s="7" t="n">
        <v>20697.4</v>
      </c>
      <c r="H28" s="7" t="n">
        <v>29102.1</v>
      </c>
      <c r="J28" s="7" t="n">
        <v>13867.6</v>
      </c>
      <c r="L28" s="7" t="n">
        <v>26658.6</v>
      </c>
      <c r="N28" s="7" t="n">
        <v>17010.6</v>
      </c>
      <c r="P28" s="7" t="n">
        <v>3420.9</v>
      </c>
      <c r="R28" s="7" t="n">
        <v>11122.3</v>
      </c>
      <c r="T28" s="7" t="n">
        <v>4178.9</v>
      </c>
      <c r="V28" s="7" t="n">
        <v>7345.9</v>
      </c>
      <c r="X28" s="7" t="n">
        <v>9143.4</v>
      </c>
      <c r="Z28" s="7" t="n">
        <v>8325.799999999999</v>
      </c>
      <c r="AB28" s="7" t="n">
        <v>152953.5</v>
      </c>
    </row>
    <row r="29">
      <c r="A29" s="4" t="inlineStr">
        <is>
          <t>工资</t>
        </is>
      </c>
      <c r="D29" s="7" t="n">
        <v>1293.3</v>
      </c>
      <c r="F29" s="7" t="n">
        <v>11910.4</v>
      </c>
      <c r="H29" s="7" t="n">
        <v>16298.9</v>
      </c>
      <c r="J29" s="7" t="n">
        <v>7554.2</v>
      </c>
      <c r="L29" s="7" t="n">
        <v>14631.4</v>
      </c>
      <c r="N29" s="7" t="n">
        <v>9391.700000000001</v>
      </c>
      <c r="P29" s="7" t="n">
        <v>1913.2</v>
      </c>
      <c r="R29" s="7" t="n">
        <v>7095.4</v>
      </c>
      <c r="T29" s="7" t="n">
        <v>2501.8</v>
      </c>
      <c r="V29" s="7" t="n">
        <v>4288.9</v>
      </c>
      <c r="X29" s="7" t="n">
        <v>4945.8</v>
      </c>
      <c r="Z29" s="7" t="n">
        <v>5314.9</v>
      </c>
      <c r="AB29" s="7" t="n">
        <v>87139.89999999999</v>
      </c>
    </row>
    <row r="30">
      <c r="A30" s="4" t="inlineStr">
        <is>
          <t>奖金及提成</t>
        </is>
      </c>
      <c r="D30" s="7" t="n">
        <v>397.3</v>
      </c>
      <c r="F30" s="7" t="n">
        <v>3979.1</v>
      </c>
      <c r="H30" s="7" t="n">
        <v>5158.7</v>
      </c>
      <c r="J30" s="7" t="n">
        <v>3086.4</v>
      </c>
      <c r="L30" s="7" t="n">
        <v>5891.5</v>
      </c>
      <c r="N30" s="7" t="n">
        <v>3171.6</v>
      </c>
      <c r="P30" s="7" t="n">
        <v>804.3</v>
      </c>
      <c r="R30" s="7" t="n">
        <v>2134</v>
      </c>
      <c r="T30" s="7" t="n">
        <v>655.7</v>
      </c>
      <c r="V30" s="7" t="n">
        <v>1531.6</v>
      </c>
      <c r="X30" s="7" t="n">
        <v>1858.9</v>
      </c>
      <c r="Z30" s="7" t="n">
        <v>1505</v>
      </c>
      <c r="AB30" s="7" t="n">
        <v>30174.1</v>
      </c>
    </row>
    <row r="31">
      <c r="A31" s="4" t="inlineStr">
        <is>
          <t>社保</t>
        </is>
      </c>
      <c r="D31" s="7" t="n">
        <v>283</v>
      </c>
      <c r="F31" s="7" t="n">
        <v>3168.3</v>
      </c>
      <c r="H31" s="7" t="n">
        <v>5676.8</v>
      </c>
      <c r="J31" s="7" t="n">
        <v>2104.2</v>
      </c>
      <c r="L31" s="7" t="n">
        <v>4483.3</v>
      </c>
      <c r="N31" s="7" t="n">
        <v>3148.6</v>
      </c>
      <c r="P31" s="7" t="n">
        <v>467.4</v>
      </c>
      <c r="R31" s="7" t="n">
        <v>1238.6</v>
      </c>
      <c r="T31" s="7" t="n">
        <v>764.3</v>
      </c>
      <c r="V31" s="7" t="n">
        <v>1058.9</v>
      </c>
      <c r="X31" s="7" t="n">
        <v>1692.3</v>
      </c>
      <c r="Z31" s="7" t="n">
        <v>1053.7</v>
      </c>
      <c r="AB31" s="7" t="n">
        <v>25139.4</v>
      </c>
    </row>
    <row r="32">
      <c r="A32" s="4" t="inlineStr">
        <is>
          <t>养老</t>
        </is>
      </c>
      <c r="D32" s="7" t="n">
        <v>10.8</v>
      </c>
      <c r="F32" s="7" t="n">
        <v>167.9</v>
      </c>
      <c r="H32" s="7" t="n">
        <v>269.9</v>
      </c>
      <c r="J32" s="7" t="n">
        <v>92.8</v>
      </c>
      <c r="L32" s="7" t="n">
        <v>195.9</v>
      </c>
      <c r="N32" s="7" t="n">
        <v>147.1</v>
      </c>
      <c r="P32" s="7" t="n">
        <v>26.6</v>
      </c>
      <c r="R32" s="7" t="n">
        <v>78.59999999999999</v>
      </c>
      <c r="T32" s="7" t="n">
        <v>21.4</v>
      </c>
      <c r="V32" s="7" t="n">
        <v>40.2</v>
      </c>
      <c r="X32" s="7" t="n">
        <v>70.5</v>
      </c>
      <c r="Z32" s="7" t="n">
        <v>55.6</v>
      </c>
      <c r="AB32" s="7" t="n">
        <v>1177.3</v>
      </c>
    </row>
    <row r="33">
      <c r="A33" s="4" t="inlineStr">
        <is>
          <t>医疗</t>
        </is>
      </c>
      <c r="D33" s="7" t="n">
        <v>16.7</v>
      </c>
      <c r="F33" s="7" t="n">
        <v>304.3</v>
      </c>
      <c r="H33" s="7" t="n">
        <v>534.1</v>
      </c>
      <c r="J33" s="7" t="n">
        <v>226.9</v>
      </c>
      <c r="L33" s="7" t="n">
        <v>336</v>
      </c>
      <c r="N33" s="7" t="n">
        <v>348.3</v>
      </c>
      <c r="P33" s="7" t="n">
        <v>50.3</v>
      </c>
      <c r="R33" s="7" t="n">
        <v>93.90000000000001</v>
      </c>
      <c r="T33" s="7" t="n">
        <v>45.7</v>
      </c>
      <c r="V33" s="7" t="n">
        <v>80.09999999999999</v>
      </c>
      <c r="X33" s="7" t="n">
        <v>136.7</v>
      </c>
      <c r="Z33" s="7" t="n">
        <v>116.9</v>
      </c>
      <c r="AB33" s="7" t="n">
        <v>2289.9</v>
      </c>
    </row>
    <row r="34">
      <c r="A34" s="4" t="inlineStr">
        <is>
          <t>工伤</t>
        </is>
      </c>
      <c r="D34" s="7" t="n">
        <v>11.3</v>
      </c>
      <c r="F34" s="7" t="n">
        <v>126.8</v>
      </c>
      <c r="H34" s="7" t="n">
        <v>166.6</v>
      </c>
      <c r="J34" s="7" t="n">
        <v>109.1</v>
      </c>
      <c r="L34" s="7" t="n">
        <v>127.1</v>
      </c>
      <c r="N34" s="7" t="n">
        <v>135.3</v>
      </c>
      <c r="P34" s="7" t="n">
        <v>27.9</v>
      </c>
      <c r="R34" s="7" t="n">
        <v>71.59999999999999</v>
      </c>
      <c r="T34" s="7" t="n">
        <v>25.4</v>
      </c>
      <c r="V34" s="7" t="n">
        <v>53.5</v>
      </c>
      <c r="X34" s="7" t="n">
        <v>52.1</v>
      </c>
      <c r="Z34" s="7" t="n">
        <v>42</v>
      </c>
      <c r="AB34" s="7" t="n">
        <v>948.7</v>
      </c>
    </row>
    <row r="35">
      <c r="A35" s="4" t="inlineStr">
        <is>
          <t>失业</t>
        </is>
      </c>
      <c r="D35" s="7" t="n">
        <v>6.9</v>
      </c>
      <c r="F35" s="7" t="n">
        <v>127.8</v>
      </c>
      <c r="H35" s="7" t="n">
        <v>179.9</v>
      </c>
      <c r="J35" s="7" t="n">
        <v>112.8</v>
      </c>
      <c r="L35" s="7" t="n">
        <v>142.6</v>
      </c>
      <c r="N35" s="7" t="n">
        <v>94.59999999999999</v>
      </c>
      <c r="P35" s="7" t="n">
        <v>25.3</v>
      </c>
      <c r="R35" s="7" t="n">
        <v>43.9</v>
      </c>
      <c r="T35" s="7" t="n">
        <v>16.7</v>
      </c>
      <c r="V35" s="7" t="n">
        <v>44.9</v>
      </c>
      <c r="X35" s="7" t="n">
        <v>46.9</v>
      </c>
      <c r="Z35" s="7" t="n">
        <v>43.8</v>
      </c>
      <c r="AB35" s="7" t="n">
        <v>886.1</v>
      </c>
    </row>
    <row r="36">
      <c r="A36" s="4" t="inlineStr">
        <is>
          <t>生育</t>
        </is>
      </c>
      <c r="D36" s="7" t="n">
        <v>6.6</v>
      </c>
      <c r="F36" s="7" t="n">
        <v>170.7</v>
      </c>
      <c r="H36" s="7" t="n">
        <v>128.1</v>
      </c>
      <c r="J36" s="7" t="n">
        <v>67.5</v>
      </c>
      <c r="L36" s="7" t="n">
        <v>105.7</v>
      </c>
      <c r="N36" s="7" t="n">
        <v>89.09999999999999</v>
      </c>
      <c r="P36" s="7" t="n">
        <v>20.2</v>
      </c>
      <c r="R36" s="7" t="n">
        <v>53.9</v>
      </c>
      <c r="T36" s="7" t="n">
        <v>26.6</v>
      </c>
      <c r="V36" s="7" t="n">
        <v>27.2</v>
      </c>
      <c r="X36" s="7" t="n">
        <v>53.8</v>
      </c>
      <c r="Z36" s="7" t="n">
        <v>39.9</v>
      </c>
      <c r="AB36" s="7" t="n">
        <v>789.3</v>
      </c>
    </row>
    <row r="37">
      <c r="A37" s="4" t="inlineStr">
        <is>
          <t>公积金</t>
        </is>
      </c>
      <c r="D37" s="7" t="n">
        <v>8.4</v>
      </c>
      <c r="F37" s="7" t="n">
        <v>123.7</v>
      </c>
      <c r="H37" s="7" t="n">
        <v>149.8</v>
      </c>
      <c r="J37" s="7" t="n">
        <v>90.3</v>
      </c>
      <c r="L37" s="7" t="n">
        <v>153.3</v>
      </c>
      <c r="N37" s="7" t="n">
        <v>128.2</v>
      </c>
      <c r="P37" s="7" t="n">
        <v>16</v>
      </c>
      <c r="R37" s="7" t="n">
        <v>43.1</v>
      </c>
      <c r="T37" s="7" t="n">
        <v>26.5</v>
      </c>
      <c r="V37" s="7" t="n">
        <v>40.5</v>
      </c>
      <c r="X37" s="7" t="n">
        <v>45.7</v>
      </c>
      <c r="Z37" s="7" t="n">
        <v>42.8</v>
      </c>
      <c r="AB37" s="7" t="n">
        <v>868.3</v>
      </c>
    </row>
    <row r="38">
      <c r="A38" s="4" t="inlineStr">
        <is>
          <t>工会经费</t>
        </is>
      </c>
      <c r="D38" s="7" t="n">
        <v>11.3</v>
      </c>
      <c r="F38" s="7" t="n">
        <v>115.1</v>
      </c>
      <c r="H38" s="7" t="n">
        <v>154.4</v>
      </c>
      <c r="J38" s="7" t="n">
        <v>69.7</v>
      </c>
      <c r="L38" s="7" t="n">
        <v>128.7</v>
      </c>
      <c r="N38" s="7" t="n">
        <v>84.2</v>
      </c>
      <c r="P38" s="7" t="n">
        <v>15</v>
      </c>
      <c r="R38" s="7" t="n">
        <v>61.3</v>
      </c>
      <c r="T38" s="7" t="n">
        <v>20.9</v>
      </c>
      <c r="V38" s="7" t="n">
        <v>35</v>
      </c>
      <c r="X38" s="7" t="n">
        <v>63.2</v>
      </c>
      <c r="Z38" s="7" t="n">
        <v>42.9</v>
      </c>
      <c r="AB38" s="7" t="n">
        <v>801.7</v>
      </c>
    </row>
    <row r="39">
      <c r="A39" s="4" t="inlineStr">
        <is>
          <t>职工教育经费</t>
        </is>
      </c>
      <c r="D39" s="7" t="n">
        <v>14.6</v>
      </c>
      <c r="F39" s="7" t="n">
        <v>157.2</v>
      </c>
      <c r="H39" s="7" t="n">
        <v>194.7</v>
      </c>
      <c r="J39" s="7" t="n">
        <v>128</v>
      </c>
      <c r="L39" s="7" t="n">
        <v>155.3</v>
      </c>
      <c r="N39" s="7" t="n">
        <v>131.3</v>
      </c>
      <c r="P39" s="7" t="n">
        <v>24.6</v>
      </c>
      <c r="R39" s="7" t="n">
        <v>75.90000000000001</v>
      </c>
      <c r="T39" s="7" t="n">
        <v>28</v>
      </c>
      <c r="V39" s="7" t="n">
        <v>46.8</v>
      </c>
      <c r="X39" s="7" t="n">
        <v>70.40000000000001</v>
      </c>
      <c r="Z39" s="7" t="n">
        <v>41.5</v>
      </c>
      <c r="AB39" s="7" t="n">
        <v>1068.3</v>
      </c>
    </row>
    <row r="40">
      <c r="A40" s="4" t="inlineStr">
        <is>
          <t>福利费</t>
        </is>
      </c>
      <c r="D40" s="7" t="n">
        <v>72.09999999999999</v>
      </c>
      <c r="F40" s="7" t="n">
        <v>1243.6</v>
      </c>
      <c r="H40" s="7" t="n">
        <v>1468.8</v>
      </c>
      <c r="J40" s="7" t="n">
        <v>834.8</v>
      </c>
      <c r="L40" s="7" t="n">
        <v>1215.1</v>
      </c>
      <c r="N40" s="7" t="n">
        <v>955</v>
      </c>
      <c r="P40" s="7" t="n">
        <v>180.4</v>
      </c>
      <c r="R40" s="7" t="n">
        <v>474</v>
      </c>
      <c r="T40" s="7" t="n">
        <v>181.7</v>
      </c>
      <c r="V40" s="7" t="n">
        <v>344.2</v>
      </c>
      <c r="X40" s="7" t="n">
        <v>467.1</v>
      </c>
      <c r="Z40" s="7" t="n">
        <v>325</v>
      </c>
      <c r="AB40" s="7" t="n">
        <v>7761.8</v>
      </c>
    </row>
    <row r="41">
      <c r="A41" s="4" t="inlineStr">
        <is>
          <t>职工房租</t>
        </is>
      </c>
      <c r="D41" s="7" t="n">
        <v>8.300000000000001</v>
      </c>
      <c r="F41" s="7" t="n">
        <v>147.2</v>
      </c>
      <c r="H41" s="7" t="n">
        <v>193.8</v>
      </c>
      <c r="J41" s="7" t="n">
        <v>136.3</v>
      </c>
      <c r="L41" s="7" t="n">
        <v>218.1</v>
      </c>
      <c r="N41" s="7" t="n">
        <v>176.6</v>
      </c>
      <c r="P41" s="7" t="n">
        <v>21.1</v>
      </c>
      <c r="R41" s="7" t="n">
        <v>64.59999999999999</v>
      </c>
      <c r="T41" s="7" t="n">
        <v>23.8</v>
      </c>
      <c r="V41" s="7" t="n">
        <v>47.1</v>
      </c>
      <c r="X41" s="7" t="n">
        <v>78.40000000000001</v>
      </c>
      <c r="Z41" s="7" t="n">
        <v>63.9</v>
      </c>
      <c r="AB41" s="7" t="n">
        <v>1179.2</v>
      </c>
    </row>
    <row r="42">
      <c r="A42" s="4" t="inlineStr">
        <is>
          <t>水电物业费</t>
        </is>
      </c>
      <c r="D42" s="7" t="n">
        <v>17.5</v>
      </c>
      <c r="F42" s="7" t="n">
        <v>381.9</v>
      </c>
      <c r="H42" s="7" t="n">
        <v>370.1</v>
      </c>
      <c r="J42" s="7" t="n">
        <v>240.4</v>
      </c>
      <c r="L42" s="7" t="n">
        <v>271.6</v>
      </c>
      <c r="N42" s="7" t="n">
        <v>225.5</v>
      </c>
      <c r="P42" s="7" t="n">
        <v>56.1</v>
      </c>
      <c r="R42" s="7" t="n">
        <v>139.9</v>
      </c>
      <c r="T42" s="7" t="n">
        <v>45</v>
      </c>
      <c r="V42" s="7" t="n">
        <v>98.09999999999999</v>
      </c>
      <c r="X42" s="7" t="n">
        <v>118</v>
      </c>
      <c r="Z42" s="7" t="n">
        <v>77</v>
      </c>
      <c r="AB42" s="7" t="n">
        <v>2041.1</v>
      </c>
    </row>
    <row r="43">
      <c r="A43" s="4" t="inlineStr">
        <is>
          <t>员工餐</t>
        </is>
      </c>
      <c r="D43" s="7" t="n">
        <v>17.5</v>
      </c>
      <c r="F43" s="7" t="n">
        <v>358</v>
      </c>
      <c r="H43" s="7" t="n">
        <v>275.2</v>
      </c>
      <c r="J43" s="7" t="n">
        <v>154.3</v>
      </c>
      <c r="L43" s="7" t="n">
        <v>230.6</v>
      </c>
      <c r="N43" s="7" t="n">
        <v>204.8</v>
      </c>
      <c r="P43" s="7" t="n">
        <v>30.3</v>
      </c>
      <c r="R43" s="7" t="n">
        <v>115.1</v>
      </c>
      <c r="T43" s="7" t="n">
        <v>40.9</v>
      </c>
      <c r="V43" s="7" t="n">
        <v>79.2</v>
      </c>
      <c r="X43" s="7" t="n">
        <v>110.4</v>
      </c>
      <c r="Z43" s="7" t="n">
        <v>53.3</v>
      </c>
      <c r="AB43" s="7" t="n">
        <v>1669.6</v>
      </c>
    </row>
    <row r="44">
      <c r="A44" s="4" t="inlineStr">
        <is>
          <t>节日礼品</t>
        </is>
      </c>
      <c r="D44" s="7" t="n">
        <v>7</v>
      </c>
      <c r="F44" s="7" t="n">
        <v>106</v>
      </c>
      <c r="H44" s="7" t="n">
        <v>165</v>
      </c>
      <c r="J44" s="7" t="n">
        <v>67.3</v>
      </c>
      <c r="L44" s="7" t="n">
        <v>148.3</v>
      </c>
      <c r="N44" s="7" t="n">
        <v>104</v>
      </c>
      <c r="P44" s="7" t="n">
        <v>20.9</v>
      </c>
      <c r="R44" s="7" t="n">
        <v>47.2</v>
      </c>
      <c r="T44" s="7" t="n">
        <v>16.2</v>
      </c>
      <c r="V44" s="7" t="n">
        <v>45.4</v>
      </c>
      <c r="X44" s="7" t="n">
        <v>36.6</v>
      </c>
      <c r="Z44" s="7" t="n">
        <v>38.6</v>
      </c>
      <c r="AB44" s="7" t="n">
        <v>802.5</v>
      </c>
    </row>
    <row r="45">
      <c r="A45" s="4" t="inlineStr">
        <is>
          <t>生日礼品</t>
        </is>
      </c>
      <c r="D45" s="7" t="n">
        <v>2.7</v>
      </c>
      <c r="F45" s="7" t="n">
        <v>44.5</v>
      </c>
      <c r="H45" s="7" t="n">
        <v>53.8</v>
      </c>
      <c r="J45" s="7" t="n">
        <v>28.5</v>
      </c>
      <c r="L45" s="7" t="n">
        <v>37.1</v>
      </c>
      <c r="N45" s="7" t="n">
        <v>32.1</v>
      </c>
      <c r="P45" s="7" t="n">
        <v>4.5</v>
      </c>
      <c r="R45" s="7" t="n">
        <v>15.7</v>
      </c>
      <c r="T45" s="7" t="n">
        <v>7.7</v>
      </c>
      <c r="V45" s="7" t="n">
        <v>10.1</v>
      </c>
      <c r="X45" s="7" t="n">
        <v>19</v>
      </c>
      <c r="Z45" s="7" t="n">
        <v>15.3</v>
      </c>
      <c r="AB45" s="7" t="n">
        <v>271</v>
      </c>
    </row>
    <row r="46">
      <c r="A46" s="4" t="inlineStr">
        <is>
          <t>体检</t>
        </is>
      </c>
      <c r="D46" s="7" t="n">
        <v>1.7</v>
      </c>
      <c r="F46" s="7" t="n">
        <v>23.8</v>
      </c>
      <c r="H46" s="7" t="n">
        <v>38.1</v>
      </c>
      <c r="J46" s="7" t="n">
        <v>17</v>
      </c>
      <c r="L46" s="7" t="n">
        <v>31.7</v>
      </c>
      <c r="N46" s="7" t="n">
        <v>16.9</v>
      </c>
      <c r="P46" s="7" t="n">
        <v>4.3</v>
      </c>
      <c r="R46" s="7" t="n">
        <v>8.199999999999999</v>
      </c>
      <c r="T46" s="7" t="n">
        <v>3.8</v>
      </c>
      <c r="V46" s="7" t="n">
        <v>7</v>
      </c>
      <c r="X46" s="7" t="n">
        <v>10.9</v>
      </c>
      <c r="Z46" s="7" t="n">
        <v>9.1</v>
      </c>
      <c r="AB46" s="7" t="n">
        <v>172.5</v>
      </c>
    </row>
    <row r="47">
      <c r="A47" s="4" t="inlineStr">
        <is>
          <t>其他福利支出</t>
        </is>
      </c>
      <c r="D47" s="7" t="n">
        <v>17.4</v>
      </c>
      <c r="F47" s="7" t="n">
        <v>182.2</v>
      </c>
      <c r="H47" s="7" t="n">
        <v>372.8</v>
      </c>
      <c r="J47" s="7" t="n">
        <v>191</v>
      </c>
      <c r="L47" s="7" t="n">
        <v>277.7</v>
      </c>
      <c r="N47" s="7" t="n">
        <v>195.1</v>
      </c>
      <c r="P47" s="7" t="n">
        <v>43.2</v>
      </c>
      <c r="R47" s="7" t="n">
        <v>83.3</v>
      </c>
      <c r="T47" s="7" t="n">
        <v>44.3</v>
      </c>
      <c r="V47" s="7" t="n">
        <v>57.3</v>
      </c>
      <c r="X47" s="7" t="n">
        <v>93.8</v>
      </c>
      <c r="Z47" s="7" t="n">
        <v>67.8</v>
      </c>
      <c r="AB47" s="7" t="n">
        <v>1625.9</v>
      </c>
    </row>
    <row r="48">
      <c r="A48" s="4" t="inlineStr">
        <is>
          <t>招聘费</t>
        </is>
      </c>
      <c r="D48" s="7" t="n">
        <v>4.8</v>
      </c>
      <c r="F48" s="7" t="n">
        <v>76.7</v>
      </c>
      <c r="H48" s="7" t="n">
        <v>65.90000000000001</v>
      </c>
      <c r="J48" s="7" t="n">
        <v>42.1</v>
      </c>
      <c r="L48" s="7" t="n">
        <v>79.09999999999999</v>
      </c>
      <c r="N48" s="7" t="n">
        <v>73.59999999999999</v>
      </c>
      <c r="P48" s="7" t="n">
        <v>13.3</v>
      </c>
      <c r="R48" s="7" t="n">
        <v>20.6</v>
      </c>
      <c r="T48" s="7" t="n">
        <v>9</v>
      </c>
      <c r="V48" s="7" t="n">
        <v>18.5</v>
      </c>
      <c r="X48" s="7" t="n">
        <v>28.4</v>
      </c>
      <c r="Z48" s="7" t="n">
        <v>16.1</v>
      </c>
      <c r="AB48" s="7" t="n">
        <v>448.1</v>
      </c>
    </row>
    <row r="49">
      <c r="A49" s="4" t="inlineStr">
        <is>
          <t>办公费</t>
        </is>
      </c>
      <c r="D49" s="7" t="n">
        <v>73.3</v>
      </c>
      <c r="F49" s="7" t="n">
        <v>1762.8</v>
      </c>
      <c r="H49" s="7" t="n">
        <v>2195.8</v>
      </c>
      <c r="J49" s="7" t="n">
        <v>866.7</v>
      </c>
      <c r="L49" s="7" t="n">
        <v>1812</v>
      </c>
      <c r="N49" s="7" t="n">
        <v>1222.3</v>
      </c>
      <c r="P49" s="7" t="n">
        <v>216.9</v>
      </c>
      <c r="R49" s="7" t="n">
        <v>670.9</v>
      </c>
      <c r="T49" s="7" t="n">
        <v>168.2</v>
      </c>
      <c r="V49" s="7" t="n">
        <v>350.9</v>
      </c>
      <c r="X49" s="7" t="n">
        <v>605.1</v>
      </c>
      <c r="Z49" s="7" t="n">
        <v>501.6</v>
      </c>
      <c r="AB49" s="7" t="n">
        <v>10446.5</v>
      </c>
    </row>
    <row r="50">
      <c r="A50" s="4" t="inlineStr">
        <is>
          <t>市内交通费</t>
        </is>
      </c>
      <c r="D50" s="7" t="n">
        <v>21.7</v>
      </c>
      <c r="F50" s="7" t="n">
        <v>372.4</v>
      </c>
      <c r="H50" s="7" t="n">
        <v>347</v>
      </c>
      <c r="J50" s="7" t="n">
        <v>126.9</v>
      </c>
      <c r="L50" s="7" t="n">
        <v>220.1</v>
      </c>
      <c r="N50" s="7" t="n">
        <v>189.5</v>
      </c>
      <c r="P50" s="7" t="n">
        <v>50.3</v>
      </c>
      <c r="R50" s="7" t="n">
        <v>86.5</v>
      </c>
      <c r="T50" s="7" t="n">
        <v>52.6</v>
      </c>
      <c r="V50" s="7" t="n">
        <v>95.8</v>
      </c>
      <c r="X50" s="7" t="n">
        <v>128.6</v>
      </c>
      <c r="Z50" s="7" t="n">
        <v>95.5</v>
      </c>
      <c r="AB50" s="7" t="n">
        <v>1786.9</v>
      </c>
    </row>
    <row r="51">
      <c r="A51" s="4" t="inlineStr">
        <is>
          <t>差旅费</t>
        </is>
      </c>
      <c r="D51" s="7" t="n">
        <v>202</v>
      </c>
      <c r="F51" s="7" t="n">
        <v>3395.4</v>
      </c>
      <c r="H51" s="7" t="n">
        <v>3370.5</v>
      </c>
      <c r="J51" s="7" t="n">
        <v>1816.4</v>
      </c>
      <c r="L51" s="7" t="n">
        <v>2730.5</v>
      </c>
      <c r="N51" s="7" t="n">
        <v>3337.1</v>
      </c>
      <c r="P51" s="7" t="n">
        <v>473.4</v>
      </c>
      <c r="R51" s="7" t="n">
        <v>970.2</v>
      </c>
      <c r="T51" s="7" t="n">
        <v>547.8</v>
      </c>
      <c r="V51" s="7" t="n">
        <v>818</v>
      </c>
      <c r="X51" s="7" t="n">
        <v>1089.7</v>
      </c>
      <c r="Z51" s="7" t="n">
        <v>951.6</v>
      </c>
      <c r="AB51" s="7" t="n">
        <v>19702.6</v>
      </c>
    </row>
    <row r="52">
      <c r="A52" s="4" t="inlineStr">
        <is>
          <t>交通费</t>
        </is>
      </c>
      <c r="D52" s="7" t="n">
        <v>0.6</v>
      </c>
      <c r="F52" s="7" t="n">
        <v>6.8</v>
      </c>
      <c r="H52" s="7" t="n">
        <v>12.6</v>
      </c>
      <c r="J52" s="7" t="n">
        <v>5</v>
      </c>
      <c r="L52" s="7" t="n">
        <v>7.6</v>
      </c>
      <c r="N52" s="7" t="n">
        <v>7.4</v>
      </c>
      <c r="P52" s="7" t="n">
        <v>1.3</v>
      </c>
      <c r="R52" s="7" t="n">
        <v>3.3</v>
      </c>
      <c r="T52" s="7" t="n">
        <v>1.1</v>
      </c>
      <c r="V52" s="7" t="n">
        <v>2.6</v>
      </c>
      <c r="X52" s="7" t="n">
        <v>3.1</v>
      </c>
      <c r="Z52" s="7" t="n">
        <v>1.9</v>
      </c>
      <c r="AB52" s="7" t="n">
        <v>53.3</v>
      </c>
    </row>
    <row r="53">
      <c r="A53" s="4" t="inlineStr">
        <is>
          <t>住宿费</t>
        </is>
      </c>
      <c r="D53" s="7" t="n">
        <v>24.7</v>
      </c>
      <c r="F53" s="7" t="n">
        <v>416.5</v>
      </c>
      <c r="H53" s="7" t="n">
        <v>415.8</v>
      </c>
      <c r="J53" s="7" t="n">
        <v>139.5</v>
      </c>
      <c r="L53" s="7" t="n">
        <v>414.9</v>
      </c>
      <c r="N53" s="7" t="n">
        <v>327.1</v>
      </c>
      <c r="P53" s="7" t="n">
        <v>40.2</v>
      </c>
      <c r="R53" s="7" t="n">
        <v>133.5</v>
      </c>
      <c r="T53" s="7" t="n">
        <v>34.9</v>
      </c>
      <c r="V53" s="7" t="n">
        <v>104.9</v>
      </c>
      <c r="X53" s="7" t="n">
        <v>88.59999999999999</v>
      </c>
      <c r="Z53" s="7" t="n">
        <v>97.90000000000001</v>
      </c>
      <c r="AB53" s="7" t="n">
        <v>2238.5</v>
      </c>
    </row>
    <row r="54">
      <c r="A54" s="4" t="inlineStr">
        <is>
          <t>餐补</t>
        </is>
      </c>
      <c r="D54" s="7" t="n">
        <v>12.6</v>
      </c>
      <c r="F54" s="7" t="n">
        <v>293.6</v>
      </c>
      <c r="H54" s="7" t="n">
        <v>270.8</v>
      </c>
      <c r="J54" s="7" t="n">
        <v>118.6</v>
      </c>
      <c r="L54" s="7" t="n">
        <v>292.1</v>
      </c>
      <c r="N54" s="7" t="n">
        <v>268.7</v>
      </c>
      <c r="P54" s="7" t="n">
        <v>27</v>
      </c>
      <c r="R54" s="7" t="n">
        <v>75.3</v>
      </c>
      <c r="T54" s="7" t="n">
        <v>35.7</v>
      </c>
      <c r="V54" s="7" t="n">
        <v>66.90000000000001</v>
      </c>
      <c r="X54" s="7" t="n">
        <v>92.3</v>
      </c>
      <c r="Z54" s="7" t="n">
        <v>89</v>
      </c>
      <c r="AB54" s="7" t="n">
        <v>1642.6</v>
      </c>
    </row>
    <row r="55">
      <c r="A55" s="4" t="inlineStr">
        <is>
          <t>交通补助</t>
        </is>
      </c>
      <c r="D55" s="7" t="n">
        <v>12.9</v>
      </c>
      <c r="F55" s="7" t="n">
        <v>221.1</v>
      </c>
      <c r="H55" s="7" t="n">
        <v>167.1</v>
      </c>
      <c r="J55" s="7" t="n">
        <v>138.5</v>
      </c>
      <c r="L55" s="7" t="n">
        <v>154.3</v>
      </c>
      <c r="N55" s="7" t="n">
        <v>153.5</v>
      </c>
      <c r="P55" s="7" t="n">
        <v>26.9</v>
      </c>
      <c r="R55" s="7" t="n">
        <v>74.09999999999999</v>
      </c>
      <c r="T55" s="7" t="n">
        <v>31.4</v>
      </c>
      <c r="V55" s="7" t="n">
        <v>35.9</v>
      </c>
      <c r="X55" s="7" t="n">
        <v>55.5</v>
      </c>
      <c r="Z55" s="7" t="n">
        <v>39.1</v>
      </c>
      <c r="AB55" s="7" t="n">
        <v>1110.3</v>
      </c>
    </row>
    <row r="56">
      <c r="A56" s="4" t="inlineStr">
        <is>
          <t>通讯补助</t>
        </is>
      </c>
      <c r="D56" s="7" t="n">
        <v>5.3</v>
      </c>
      <c r="F56" s="7" t="n">
        <v>77.09999999999999</v>
      </c>
      <c r="H56" s="7" t="n">
        <v>113.7</v>
      </c>
      <c r="J56" s="7" t="n">
        <v>74.2</v>
      </c>
      <c r="L56" s="7" t="n">
        <v>89.2</v>
      </c>
      <c r="N56" s="7" t="n">
        <v>89.40000000000001</v>
      </c>
      <c r="P56" s="7" t="n">
        <v>17.1</v>
      </c>
      <c r="R56" s="7" t="n">
        <v>29.6</v>
      </c>
      <c r="T56" s="7" t="n">
        <v>15.8</v>
      </c>
      <c r="V56" s="7" t="n">
        <v>20.1</v>
      </c>
      <c r="X56" s="7" t="n">
        <v>34.9</v>
      </c>
      <c r="Z56" s="7" t="n">
        <v>23.3</v>
      </c>
      <c r="AB56" s="7" t="n">
        <v>589.7</v>
      </c>
    </row>
    <row r="57">
      <c r="A57" s="4" t="inlineStr">
        <is>
          <t>招待费</t>
        </is>
      </c>
      <c r="D57" s="7" t="n">
        <v>118.1</v>
      </c>
      <c r="F57" s="7" t="n">
        <v>2014.7</v>
      </c>
      <c r="H57" s="7" t="n">
        <v>2618.5</v>
      </c>
      <c r="J57" s="7" t="n">
        <v>1062.4</v>
      </c>
      <c r="L57" s="7" t="n">
        <v>2296.4</v>
      </c>
      <c r="N57" s="7" t="n">
        <v>1230.3</v>
      </c>
      <c r="P57" s="7" t="n">
        <v>385.5</v>
      </c>
      <c r="R57" s="7" t="n">
        <v>793.8</v>
      </c>
      <c r="T57" s="7" t="n">
        <v>282.5</v>
      </c>
      <c r="V57" s="7" t="n">
        <v>497</v>
      </c>
      <c r="X57" s="7" t="n">
        <v>573.2</v>
      </c>
      <c r="Z57" s="7" t="n">
        <v>730.7</v>
      </c>
      <c r="AB57" s="7" t="n">
        <v>12603.1</v>
      </c>
    </row>
    <row r="58">
      <c r="A58" s="4" t="inlineStr">
        <is>
          <t>通讯费</t>
        </is>
      </c>
      <c r="D58" s="7" t="n">
        <v>8.4</v>
      </c>
      <c r="F58" s="7" t="n">
        <v>126</v>
      </c>
      <c r="H58" s="7" t="n">
        <v>242.3</v>
      </c>
      <c r="J58" s="7" t="n">
        <v>69.3</v>
      </c>
      <c r="L58" s="7" t="n">
        <v>194.7</v>
      </c>
      <c r="N58" s="7" t="n">
        <v>151</v>
      </c>
      <c r="P58" s="7" t="n">
        <v>24.9</v>
      </c>
      <c r="R58" s="7" t="n">
        <v>54.8</v>
      </c>
      <c r="T58" s="7" t="n">
        <v>24.9</v>
      </c>
      <c r="V58" s="7" t="n">
        <v>47.2</v>
      </c>
      <c r="X58" s="7" t="n">
        <v>60.1</v>
      </c>
      <c r="Z58" s="7" t="n">
        <v>36.9</v>
      </c>
      <c r="AB58" s="7" t="n">
        <v>1040.5</v>
      </c>
    </row>
    <row r="59">
      <c r="A59" s="4" t="inlineStr">
        <is>
          <t>网络费</t>
        </is>
      </c>
      <c r="D59" s="7" t="n">
        <v>14.7</v>
      </c>
      <c r="F59" s="7" t="n">
        <v>198.6</v>
      </c>
      <c r="H59" s="7" t="n">
        <v>303.1</v>
      </c>
      <c r="J59" s="7" t="n">
        <v>139.4</v>
      </c>
      <c r="L59" s="7" t="n">
        <v>316.7</v>
      </c>
      <c r="N59" s="7" t="n">
        <v>202.2</v>
      </c>
      <c r="P59" s="7" t="n">
        <v>33.7</v>
      </c>
      <c r="R59" s="7" t="n">
        <v>67.90000000000001</v>
      </c>
      <c r="T59" s="7" t="n">
        <v>38</v>
      </c>
      <c r="V59" s="7" t="n">
        <v>78.7</v>
      </c>
      <c r="X59" s="7" t="n">
        <v>80.2</v>
      </c>
      <c r="Z59" s="7" t="n">
        <v>63.8</v>
      </c>
      <c r="AB59" s="7" t="n">
        <v>1537</v>
      </c>
    </row>
    <row r="60">
      <c r="A60" s="4" t="inlineStr">
        <is>
          <t>修理费</t>
        </is>
      </c>
      <c r="D60" s="7" t="n">
        <v>16.3</v>
      </c>
      <c r="F60" s="7" t="n">
        <v>299.3</v>
      </c>
      <c r="H60" s="7" t="n">
        <v>250.5</v>
      </c>
      <c r="J60" s="7" t="n">
        <v>115.8</v>
      </c>
      <c r="L60" s="7" t="n">
        <v>315</v>
      </c>
      <c r="N60" s="7" t="n">
        <v>237.5</v>
      </c>
      <c r="P60" s="7" t="n">
        <v>45.2</v>
      </c>
      <c r="R60" s="7" t="n">
        <v>85.3</v>
      </c>
      <c r="T60" s="7" t="n">
        <v>49.3</v>
      </c>
      <c r="V60" s="7" t="n">
        <v>56.9</v>
      </c>
      <c r="X60" s="7" t="n">
        <v>73.5</v>
      </c>
      <c r="Z60" s="7" t="n">
        <v>66.90000000000001</v>
      </c>
      <c r="AB60" s="7" t="n">
        <v>1611.5</v>
      </c>
    </row>
    <row r="61">
      <c r="A61" s="4" t="inlineStr">
        <is>
          <t>车辆费</t>
        </is>
      </c>
      <c r="D61" s="7" t="n">
        <v>12.4</v>
      </c>
      <c r="F61" s="7" t="n">
        <v>190.3</v>
      </c>
      <c r="H61" s="7" t="n">
        <v>222.3</v>
      </c>
      <c r="J61" s="7" t="n">
        <v>90.7</v>
      </c>
      <c r="L61" s="7" t="n">
        <v>174.1</v>
      </c>
      <c r="N61" s="7" t="n">
        <v>141.3</v>
      </c>
      <c r="P61" s="7" t="n">
        <v>22.9</v>
      </c>
      <c r="R61" s="7" t="n">
        <v>59</v>
      </c>
      <c r="T61" s="7" t="n">
        <v>30.7</v>
      </c>
      <c r="V61" s="7" t="n">
        <v>58.7</v>
      </c>
      <c r="X61" s="7" t="n">
        <v>66.5</v>
      </c>
      <c r="Z61" s="7" t="n">
        <v>46.6</v>
      </c>
      <c r="AB61" s="7" t="n">
        <v>1115.5</v>
      </c>
    </row>
    <row r="62">
      <c r="A62" s="4" t="inlineStr">
        <is>
          <t>租赁费</t>
        </is>
      </c>
      <c r="D62" s="7" t="n">
        <v>155.3</v>
      </c>
      <c r="F62" s="7" t="n">
        <v>3094</v>
      </c>
      <c r="H62" s="7" t="n">
        <v>2467.9</v>
      </c>
      <c r="J62" s="7" t="n">
        <v>2017.9</v>
      </c>
      <c r="L62" s="7" t="n">
        <v>2992.2</v>
      </c>
      <c r="N62" s="7" t="n">
        <v>1959.5</v>
      </c>
      <c r="P62" s="7" t="n">
        <v>279.2</v>
      </c>
      <c r="R62" s="7" t="n">
        <v>1089.6</v>
      </c>
      <c r="T62" s="7" t="n">
        <v>405.8</v>
      </c>
      <c r="V62" s="7" t="n">
        <v>615.1</v>
      </c>
      <c r="X62" s="7" t="n">
        <v>893.5</v>
      </c>
      <c r="Z62" s="7" t="n">
        <v>780.2</v>
      </c>
      <c r="AB62" s="7" t="n">
        <v>16750.2</v>
      </c>
    </row>
    <row r="63">
      <c r="A63" s="4" t="inlineStr">
        <is>
          <t>能源费</t>
        </is>
      </c>
      <c r="D63" s="7" t="n">
        <v>70.40000000000001</v>
      </c>
      <c r="F63" s="7" t="n">
        <v>1185.9</v>
      </c>
      <c r="H63" s="7" t="n">
        <v>1252.4</v>
      </c>
      <c r="J63" s="7" t="n">
        <v>699.2</v>
      </c>
      <c r="L63" s="7" t="n">
        <v>1134.5</v>
      </c>
      <c r="N63" s="7" t="n">
        <v>724</v>
      </c>
      <c r="P63" s="7" t="n">
        <v>183</v>
      </c>
      <c r="R63" s="7" t="n">
        <v>456.4</v>
      </c>
      <c r="T63" s="7" t="n">
        <v>148.1</v>
      </c>
      <c r="V63" s="7" t="n">
        <v>265.6</v>
      </c>
      <c r="X63" s="7" t="n">
        <v>377.8</v>
      </c>
      <c r="Z63" s="7" t="n">
        <v>327.1</v>
      </c>
      <c r="AB63" s="7" t="n">
        <v>6824.4</v>
      </c>
    </row>
    <row r="64">
      <c r="A64" s="4" t="inlineStr">
        <is>
          <t>水费</t>
        </is>
      </c>
      <c r="D64" s="7" t="n">
        <v>13.3</v>
      </c>
      <c r="F64" s="7" t="n">
        <v>177</v>
      </c>
      <c r="H64" s="7" t="n">
        <v>177.8</v>
      </c>
      <c r="J64" s="7" t="n">
        <v>110</v>
      </c>
      <c r="L64" s="7" t="n">
        <v>224.3</v>
      </c>
      <c r="N64" s="7" t="n">
        <v>117.7</v>
      </c>
      <c r="P64" s="7" t="n">
        <v>25.2</v>
      </c>
      <c r="R64" s="7" t="n">
        <v>88.40000000000001</v>
      </c>
      <c r="T64" s="7" t="n">
        <v>26.9</v>
      </c>
      <c r="V64" s="7" t="n">
        <v>46.2</v>
      </c>
      <c r="X64" s="7" t="n">
        <v>52.5</v>
      </c>
      <c r="Z64" s="7" t="n">
        <v>47</v>
      </c>
      <c r="AB64" s="7" t="n">
        <v>1106.3</v>
      </c>
    </row>
    <row r="65">
      <c r="A65" s="4" t="inlineStr">
        <is>
          <t>电费</t>
        </is>
      </c>
      <c r="D65" s="7" t="n">
        <v>17.2</v>
      </c>
      <c r="F65" s="7" t="n">
        <v>242.4</v>
      </c>
      <c r="H65" s="7" t="n">
        <v>429.5</v>
      </c>
      <c r="J65" s="7" t="n">
        <v>174.7</v>
      </c>
      <c r="L65" s="7" t="n">
        <v>292.4</v>
      </c>
      <c r="N65" s="7" t="n">
        <v>225.4</v>
      </c>
      <c r="P65" s="7" t="n">
        <v>49.9</v>
      </c>
      <c r="R65" s="7" t="n">
        <v>124.9</v>
      </c>
      <c r="T65" s="7" t="n">
        <v>45.3</v>
      </c>
      <c r="V65" s="7" t="n">
        <v>87.40000000000001</v>
      </c>
      <c r="X65" s="7" t="n">
        <v>82.3</v>
      </c>
      <c r="Z65" s="7" t="n">
        <v>97.40000000000001</v>
      </c>
      <c r="AB65" s="7" t="n">
        <v>1868.8</v>
      </c>
    </row>
    <row r="66">
      <c r="A66" s="4" t="inlineStr">
        <is>
          <t>燃气费</t>
        </is>
      </c>
      <c r="D66" s="7" t="n">
        <v>23.4</v>
      </c>
      <c r="F66" s="7" t="n">
        <v>367.8</v>
      </c>
      <c r="H66" s="7" t="n">
        <v>354.6</v>
      </c>
      <c r="J66" s="7" t="n">
        <v>225.1</v>
      </c>
      <c r="L66" s="7" t="n">
        <v>375.8</v>
      </c>
      <c r="N66" s="7" t="n">
        <v>185.4</v>
      </c>
      <c r="P66" s="7" t="n">
        <v>52.3</v>
      </c>
      <c r="R66" s="7" t="n">
        <v>108.9</v>
      </c>
      <c r="T66" s="7" t="n">
        <v>34.4</v>
      </c>
      <c r="V66" s="7" t="n">
        <v>61.5</v>
      </c>
      <c r="X66" s="7" t="n">
        <v>118.1</v>
      </c>
      <c r="Z66" s="7" t="n">
        <v>91.7</v>
      </c>
      <c r="AB66" s="7" t="n">
        <v>1999</v>
      </c>
    </row>
    <row r="67">
      <c r="A67" s="4" t="inlineStr">
        <is>
          <t>蒸汽费</t>
        </is>
      </c>
      <c r="D67" s="7" t="n">
        <v>16.5</v>
      </c>
      <c r="F67" s="7" t="n">
        <v>398.7</v>
      </c>
      <c r="H67" s="7" t="n">
        <v>290.5</v>
      </c>
      <c r="J67" s="7" t="n">
        <v>189.4</v>
      </c>
      <c r="L67" s="7" t="n">
        <v>242</v>
      </c>
      <c r="N67" s="7" t="n">
        <v>195.5</v>
      </c>
      <c r="P67" s="7" t="n">
        <v>55.6</v>
      </c>
      <c r="R67" s="7" t="n">
        <v>134.2</v>
      </c>
      <c r="T67" s="7" t="n">
        <v>41.5</v>
      </c>
      <c r="V67" s="7" t="n">
        <v>70.5</v>
      </c>
      <c r="X67" s="7" t="n">
        <v>124.9</v>
      </c>
      <c r="Z67" s="7" t="n">
        <v>91</v>
      </c>
      <c r="AB67" s="7" t="n">
        <v>1850.3</v>
      </c>
    </row>
    <row r="68">
      <c r="A68" s="4" t="inlineStr">
        <is>
          <t>物业费</t>
        </is>
      </c>
      <c r="D68" s="7" t="n">
        <v>24.8</v>
      </c>
      <c r="F68" s="7" t="n">
        <v>299.2</v>
      </c>
      <c r="H68" s="7" t="n">
        <v>416.3</v>
      </c>
      <c r="J68" s="7" t="n">
        <v>228.7</v>
      </c>
      <c r="L68" s="7" t="n">
        <v>347</v>
      </c>
      <c r="N68" s="7" t="n">
        <v>245.3</v>
      </c>
      <c r="P68" s="7" t="n">
        <v>44</v>
      </c>
      <c r="R68" s="7" t="n">
        <v>132.2</v>
      </c>
      <c r="T68" s="7" t="n">
        <v>55.5</v>
      </c>
      <c r="V68" s="7" t="n">
        <v>97.5</v>
      </c>
      <c r="X68" s="7" t="n">
        <v>135.4</v>
      </c>
      <c r="Z68" s="7" t="n">
        <v>111.4</v>
      </c>
      <c r="AB68" s="7" t="n">
        <v>2137.3</v>
      </c>
    </row>
    <row r="69">
      <c r="A69" s="4" t="inlineStr">
        <is>
          <t>劳动保护费</t>
        </is>
      </c>
      <c r="D69" s="7" t="n">
        <v>15.5</v>
      </c>
      <c r="F69" s="7" t="n">
        <v>247.2</v>
      </c>
      <c r="H69" s="7" t="n">
        <v>268.4</v>
      </c>
      <c r="J69" s="7" t="n">
        <v>162.4</v>
      </c>
      <c r="L69" s="7" t="n">
        <v>228.1</v>
      </c>
      <c r="N69" s="7" t="n">
        <v>224.9</v>
      </c>
      <c r="P69" s="7" t="n">
        <v>32.2</v>
      </c>
      <c r="R69" s="7" t="n">
        <v>85</v>
      </c>
      <c r="T69" s="7" t="n">
        <v>30.9</v>
      </c>
      <c r="V69" s="7" t="n">
        <v>67.59999999999999</v>
      </c>
      <c r="X69" s="7" t="n">
        <v>94.3</v>
      </c>
      <c r="Z69" s="7" t="n">
        <v>62.5</v>
      </c>
      <c r="AB69" s="7" t="n">
        <v>1519</v>
      </c>
    </row>
    <row r="70">
      <c r="A70" s="4" t="inlineStr">
        <is>
          <t>顾问费</t>
        </is>
      </c>
      <c r="D70" s="7" t="n">
        <v>15.2</v>
      </c>
      <c r="F70" s="7" t="n">
        <v>369.5</v>
      </c>
      <c r="H70" s="7" t="n">
        <v>259.5</v>
      </c>
      <c r="J70" s="7" t="n">
        <v>194.5</v>
      </c>
      <c r="L70" s="7" t="n">
        <v>275.4</v>
      </c>
      <c r="N70" s="7" t="n">
        <v>194.2</v>
      </c>
      <c r="P70" s="7" t="n">
        <v>51.5</v>
      </c>
      <c r="R70" s="7" t="n">
        <v>95.7</v>
      </c>
      <c r="T70" s="7" t="n">
        <v>34.8</v>
      </c>
      <c r="V70" s="7" t="n">
        <v>88.5</v>
      </c>
      <c r="X70" s="7" t="n">
        <v>116.3</v>
      </c>
      <c r="Z70" s="7" t="n">
        <v>78.09999999999999</v>
      </c>
      <c r="AB70" s="7" t="n">
        <v>1773.2</v>
      </c>
    </row>
    <row r="71">
      <c r="A71" s="4" t="inlineStr">
        <is>
          <t>快递费</t>
        </is>
      </c>
      <c r="D71" s="7" t="n">
        <v>18.3</v>
      </c>
      <c r="F71" s="7" t="n">
        <v>368.3</v>
      </c>
      <c r="H71" s="7" t="n">
        <v>270.2</v>
      </c>
      <c r="J71" s="7" t="n">
        <v>199.8</v>
      </c>
      <c r="L71" s="7" t="n">
        <v>286.4</v>
      </c>
      <c r="N71" s="7" t="n">
        <v>257.3</v>
      </c>
      <c r="P71" s="7" t="n">
        <v>33.3</v>
      </c>
      <c r="R71" s="7" t="n">
        <v>108</v>
      </c>
      <c r="T71" s="7" t="n">
        <v>28.7</v>
      </c>
      <c r="V71" s="7" t="n">
        <v>52.1</v>
      </c>
      <c r="X71" s="7" t="n">
        <v>106.8</v>
      </c>
      <c r="Z71" s="7" t="n">
        <v>76.59999999999999</v>
      </c>
      <c r="AB71" s="7" t="n">
        <v>1805.8</v>
      </c>
    </row>
    <row r="72">
      <c r="A72" s="4" t="inlineStr">
        <is>
          <t>诉讼费</t>
        </is>
      </c>
      <c r="D72" s="7" t="n">
        <v>3.9</v>
      </c>
      <c r="F72" s="7" t="n">
        <v>69.2</v>
      </c>
      <c r="H72" s="7" t="n">
        <v>103.6</v>
      </c>
      <c r="J72" s="7" t="n">
        <v>56.1</v>
      </c>
      <c r="L72" s="7" t="n">
        <v>65.5</v>
      </c>
      <c r="N72" s="7" t="n">
        <v>86.3</v>
      </c>
      <c r="P72" s="7" t="n">
        <v>11</v>
      </c>
      <c r="R72" s="7" t="n">
        <v>36</v>
      </c>
      <c r="T72" s="7" t="n">
        <v>9.6</v>
      </c>
      <c r="V72" s="7" t="n">
        <v>16.9</v>
      </c>
      <c r="X72" s="7" t="n">
        <v>33.6</v>
      </c>
      <c r="Z72" s="7" t="n">
        <v>30.1</v>
      </c>
      <c r="AB72" s="7" t="n">
        <v>521.8</v>
      </c>
    </row>
    <row r="73">
      <c r="A73" s="4" t="inlineStr">
        <is>
          <t>会员费</t>
        </is>
      </c>
      <c r="D73" s="7" t="n">
        <v>6.6</v>
      </c>
      <c r="F73" s="7" t="n">
        <v>111.7</v>
      </c>
      <c r="H73" s="7" t="n">
        <v>168.7</v>
      </c>
      <c r="J73" s="7" t="n">
        <v>92.40000000000001</v>
      </c>
      <c r="L73" s="7" t="n">
        <v>166</v>
      </c>
      <c r="N73" s="7" t="n">
        <v>131.7</v>
      </c>
      <c r="P73" s="7" t="n">
        <v>25.5</v>
      </c>
      <c r="R73" s="7" t="n">
        <v>67.3</v>
      </c>
      <c r="T73" s="7" t="n">
        <v>23.1</v>
      </c>
      <c r="V73" s="7" t="n">
        <v>47.9</v>
      </c>
      <c r="X73" s="7" t="n">
        <v>64.3</v>
      </c>
      <c r="Z73" s="7" t="n">
        <v>34.3</v>
      </c>
      <c r="AB73" s="7" t="n">
        <v>939.5</v>
      </c>
    </row>
    <row r="74">
      <c r="A74" s="4" t="inlineStr">
        <is>
          <t>广告宣传费</t>
        </is>
      </c>
      <c r="D74" s="7" t="n">
        <v>89.09999999999999</v>
      </c>
      <c r="F74" s="7" t="n">
        <v>1702</v>
      </c>
      <c r="H74" s="7" t="n">
        <v>2208.2</v>
      </c>
      <c r="J74" s="7" t="n">
        <v>891</v>
      </c>
      <c r="L74" s="7" t="n">
        <v>1981.9</v>
      </c>
      <c r="N74" s="7" t="n">
        <v>1383.1</v>
      </c>
      <c r="P74" s="7" t="n">
        <v>176.4</v>
      </c>
      <c r="R74" s="7" t="n">
        <v>614.5</v>
      </c>
      <c r="T74" s="7" t="n">
        <v>233.9</v>
      </c>
      <c r="V74" s="7" t="n">
        <v>323.7</v>
      </c>
      <c r="X74" s="7" t="n">
        <v>477.8</v>
      </c>
      <c r="Z74" s="7" t="n">
        <v>384.7</v>
      </c>
      <c r="AB74" s="7" t="n">
        <v>10466.3</v>
      </c>
    </row>
    <row r="75">
      <c r="A75" s="4" t="inlineStr">
        <is>
          <t>会务费</t>
        </is>
      </c>
      <c r="D75" s="7" t="n">
        <v>19.6</v>
      </c>
      <c r="F75" s="7" t="n">
        <v>314.6</v>
      </c>
      <c r="H75" s="7" t="n">
        <v>414.1</v>
      </c>
      <c r="J75" s="7" t="n">
        <v>231.2</v>
      </c>
      <c r="L75" s="7" t="n">
        <v>347.6</v>
      </c>
      <c r="N75" s="7" t="n">
        <v>215.7</v>
      </c>
      <c r="P75" s="7" t="n">
        <v>35.9</v>
      </c>
      <c r="R75" s="7" t="n">
        <v>141.6</v>
      </c>
      <c r="T75" s="7" t="n">
        <v>35.2</v>
      </c>
      <c r="V75" s="7" t="n">
        <v>109</v>
      </c>
      <c r="X75" s="7" t="n">
        <v>109.6</v>
      </c>
      <c r="Z75" s="7" t="n">
        <v>69.8</v>
      </c>
      <c r="AB75" s="7" t="n">
        <v>2043.9</v>
      </c>
    </row>
    <row r="76">
      <c r="A76" s="4" t="inlineStr">
        <is>
          <t>装修费</t>
        </is>
      </c>
      <c r="D76" s="7" t="n">
        <v>13.7</v>
      </c>
      <c r="F76" s="7" t="n">
        <v>191.8</v>
      </c>
      <c r="H76" s="7" t="n">
        <v>284.3</v>
      </c>
      <c r="J76" s="7" t="n">
        <v>124</v>
      </c>
      <c r="L76" s="7" t="n">
        <v>235.6</v>
      </c>
      <c r="N76" s="7" t="n">
        <v>160.9</v>
      </c>
      <c r="P76" s="7" t="n">
        <v>40.9</v>
      </c>
      <c r="R76" s="7" t="n">
        <v>105.1</v>
      </c>
      <c r="T76" s="7" t="n">
        <v>44.2</v>
      </c>
      <c r="V76" s="7" t="n">
        <v>61.6</v>
      </c>
      <c r="X76" s="7" t="n">
        <v>62.7</v>
      </c>
      <c r="Z76" s="7" t="n">
        <v>45.9</v>
      </c>
      <c r="AB76" s="7" t="n">
        <v>1370.7</v>
      </c>
    </row>
    <row r="77">
      <c r="A77" s="4" t="inlineStr">
        <is>
          <t>推广费</t>
        </is>
      </c>
      <c r="D77" s="7" t="n">
        <v>19.7</v>
      </c>
      <c r="F77" s="7" t="n">
        <v>342.6</v>
      </c>
      <c r="H77" s="7" t="n">
        <v>379.7</v>
      </c>
      <c r="J77" s="7" t="n">
        <v>123</v>
      </c>
      <c r="L77" s="7" t="n">
        <v>265.5</v>
      </c>
      <c r="N77" s="7" t="n">
        <v>168.8</v>
      </c>
      <c r="P77" s="7" t="n">
        <v>36.1</v>
      </c>
      <c r="R77" s="7" t="n">
        <v>119.9</v>
      </c>
      <c r="T77" s="7" t="n">
        <v>49.5</v>
      </c>
      <c r="V77" s="7" t="n">
        <v>67.8</v>
      </c>
      <c r="X77" s="7" t="n">
        <v>104.8</v>
      </c>
      <c r="Z77" s="7" t="n">
        <v>83.5</v>
      </c>
      <c r="AB77" s="7" t="n">
        <v>1760.9</v>
      </c>
    </row>
    <row r="78">
      <c r="A78" s="4" t="inlineStr">
        <is>
          <t>展会费</t>
        </is>
      </c>
      <c r="D78" s="7" t="n">
        <v>6.1</v>
      </c>
      <c r="F78" s="7" t="n">
        <v>98.40000000000001</v>
      </c>
      <c r="H78" s="7" t="n">
        <v>177.3</v>
      </c>
      <c r="J78" s="7" t="n">
        <v>67.59999999999999</v>
      </c>
      <c r="L78" s="7" t="n">
        <v>129.1</v>
      </c>
      <c r="N78" s="7" t="n">
        <v>109.6</v>
      </c>
      <c r="P78" s="7" t="n">
        <v>20.9</v>
      </c>
      <c r="R78" s="7" t="n">
        <v>48.7</v>
      </c>
      <c r="T78" s="7" t="n">
        <v>14.4</v>
      </c>
      <c r="V78" s="7" t="n">
        <v>26.6</v>
      </c>
      <c r="X78" s="7" t="n">
        <v>51.4</v>
      </c>
      <c r="Z78" s="7" t="n">
        <v>40.6</v>
      </c>
      <c r="AB78" s="7" t="n">
        <v>790.7</v>
      </c>
    </row>
    <row r="79">
      <c r="A79" s="4" t="inlineStr">
        <is>
          <t>设计费</t>
        </is>
      </c>
      <c r="D79" s="7" t="n">
        <v>18.5</v>
      </c>
      <c r="F79" s="7" t="n">
        <v>379.9</v>
      </c>
      <c r="H79" s="7" t="n">
        <v>466.8</v>
      </c>
      <c r="J79" s="7" t="n">
        <v>158.9</v>
      </c>
      <c r="L79" s="7" t="n">
        <v>225.5</v>
      </c>
      <c r="N79" s="7" t="n">
        <v>322.8</v>
      </c>
      <c r="P79" s="7" t="n">
        <v>33.7</v>
      </c>
      <c r="R79" s="7" t="n">
        <v>84.7</v>
      </c>
      <c r="T79" s="7" t="n">
        <v>34.6</v>
      </c>
      <c r="V79" s="7" t="n">
        <v>101.7</v>
      </c>
      <c r="X79" s="7" t="n">
        <v>117.5</v>
      </c>
      <c r="Z79" s="7" t="n">
        <v>66.90000000000001</v>
      </c>
      <c r="AB79" s="7" t="n">
        <v>2011.5</v>
      </c>
    </row>
    <row r="80">
      <c r="A80" s="4" t="inlineStr">
        <is>
          <t>折旧费</t>
        </is>
      </c>
      <c r="D80" s="7" t="n">
        <v>128.7</v>
      </c>
      <c r="F80" s="7" t="n">
        <v>1735.8</v>
      </c>
      <c r="H80" s="7" t="n">
        <v>1832.3</v>
      </c>
      <c r="J80" s="7" t="n">
        <v>1641.6</v>
      </c>
      <c r="L80" s="7" t="n">
        <v>2590.2</v>
      </c>
      <c r="N80" s="7" t="n">
        <v>1772.7</v>
      </c>
      <c r="P80" s="7" t="n">
        <v>223.6</v>
      </c>
      <c r="R80" s="7" t="n">
        <v>798.8</v>
      </c>
      <c r="T80" s="7" t="n">
        <v>408.9</v>
      </c>
      <c r="V80" s="7" t="n">
        <v>479.4</v>
      </c>
      <c r="X80" s="7" t="n">
        <v>837.7</v>
      </c>
      <c r="Z80" s="7" t="n">
        <v>526.1</v>
      </c>
      <c r="AB80" s="7" t="n">
        <v>12975.8</v>
      </c>
    </row>
    <row r="81">
      <c r="A81" s="4" t="inlineStr">
        <is>
          <t>认证费</t>
        </is>
      </c>
      <c r="D81" s="7" t="n">
        <v>9</v>
      </c>
      <c r="F81" s="7" t="n">
        <v>131.6</v>
      </c>
      <c r="H81" s="7" t="n">
        <v>115.8</v>
      </c>
      <c r="J81" s="7" t="n">
        <v>79.2</v>
      </c>
      <c r="L81" s="7" t="n">
        <v>126</v>
      </c>
      <c r="N81" s="7" t="n">
        <v>80.09999999999999</v>
      </c>
      <c r="P81" s="7" t="n">
        <v>21.2</v>
      </c>
      <c r="R81" s="7" t="n">
        <v>48.5</v>
      </c>
      <c r="T81" s="7" t="n">
        <v>18.8</v>
      </c>
      <c r="V81" s="7" t="n">
        <v>29.9</v>
      </c>
      <c r="X81" s="7" t="n">
        <v>31</v>
      </c>
      <c r="Z81" s="7" t="n">
        <v>38.7</v>
      </c>
      <c r="AB81" s="7" t="n">
        <v>729.8</v>
      </c>
    </row>
    <row r="82">
      <c r="A82" s="4" t="inlineStr">
        <is>
          <t>样品费</t>
        </is>
      </c>
      <c r="D82" s="7" t="n">
        <v>62.4</v>
      </c>
      <c r="F82" s="7" t="n">
        <v>1152.4</v>
      </c>
      <c r="H82" s="7" t="n">
        <v>1416.5</v>
      </c>
      <c r="J82" s="7" t="n">
        <v>653.8</v>
      </c>
      <c r="L82" s="7" t="n">
        <v>1267.6</v>
      </c>
      <c r="N82" s="7" t="n">
        <v>682.1</v>
      </c>
      <c r="P82" s="7" t="n">
        <v>120.3</v>
      </c>
      <c r="R82" s="7" t="n">
        <v>425</v>
      </c>
      <c r="T82" s="7" t="n">
        <v>160.5</v>
      </c>
      <c r="V82" s="7" t="n">
        <v>260</v>
      </c>
      <c r="X82" s="7" t="n">
        <v>482.8</v>
      </c>
      <c r="Z82" s="7" t="n">
        <v>350.8</v>
      </c>
      <c r="AB82" s="7" t="n">
        <v>7034.2</v>
      </c>
    </row>
    <row r="83">
      <c r="A83" s="4" t="inlineStr">
        <is>
          <t>劳务费</t>
        </is>
      </c>
      <c r="D83" s="7" t="n">
        <v>6.5</v>
      </c>
      <c r="F83" s="7" t="n">
        <v>125.5</v>
      </c>
      <c r="H83" s="7" t="n">
        <v>110.7</v>
      </c>
      <c r="J83" s="7" t="n">
        <v>62.9</v>
      </c>
      <c r="L83" s="7" t="n">
        <v>74.59999999999999</v>
      </c>
      <c r="N83" s="7" t="n">
        <v>78.5</v>
      </c>
      <c r="P83" s="7" t="n">
        <v>17.3</v>
      </c>
      <c r="R83" s="7" t="n">
        <v>29.1</v>
      </c>
      <c r="T83" s="7" t="n">
        <v>18.9</v>
      </c>
      <c r="V83" s="7" t="n">
        <v>36.9</v>
      </c>
      <c r="X83" s="7" t="n">
        <v>26.8</v>
      </c>
      <c r="Z83" s="7" t="n">
        <v>27.4</v>
      </c>
      <c r="AB83" s="7" t="n">
        <v>615.1</v>
      </c>
    </row>
    <row r="84">
      <c r="A84" s="4" t="inlineStr">
        <is>
          <t>销售佣金</t>
        </is>
      </c>
      <c r="D84" s="7" t="n">
        <v>9.9</v>
      </c>
      <c r="F84" s="7" t="n">
        <v>237.2</v>
      </c>
      <c r="H84" s="7" t="n">
        <v>198.7</v>
      </c>
      <c r="J84" s="7" t="n">
        <v>142.1</v>
      </c>
      <c r="L84" s="7" t="n">
        <v>184.4</v>
      </c>
      <c r="N84" s="7" t="n">
        <v>196.8</v>
      </c>
      <c r="P84" s="7" t="n">
        <v>29.4</v>
      </c>
      <c r="R84" s="7" t="n">
        <v>75.7</v>
      </c>
      <c r="T84" s="7" t="n">
        <v>24.9</v>
      </c>
      <c r="V84" s="7" t="n">
        <v>40.3</v>
      </c>
      <c r="X84" s="7" t="n">
        <v>69.59999999999999</v>
      </c>
      <c r="Z84" s="7" t="n">
        <v>70.5</v>
      </c>
      <c r="AB84" s="7" t="n">
        <v>1279.5</v>
      </c>
    </row>
    <row r="85">
      <c r="A85" s="4" t="inlineStr">
        <is>
          <t>检测费</t>
        </is>
      </c>
      <c r="D85" s="7" t="n">
        <v>12.8</v>
      </c>
      <c r="F85" s="7" t="n">
        <v>263.7</v>
      </c>
      <c r="H85" s="7" t="n">
        <v>268.3</v>
      </c>
      <c r="J85" s="7" t="n">
        <v>206.6</v>
      </c>
      <c r="L85" s="7" t="n">
        <v>298.3</v>
      </c>
      <c r="N85" s="7" t="n">
        <v>194.6</v>
      </c>
      <c r="P85" s="7" t="n">
        <v>27</v>
      </c>
      <c r="R85" s="7" t="n">
        <v>109.5</v>
      </c>
      <c r="T85" s="7" t="n">
        <v>36.6</v>
      </c>
      <c r="V85" s="7" t="n">
        <v>69.40000000000001</v>
      </c>
      <c r="X85" s="7" t="n">
        <v>90.5</v>
      </c>
      <c r="Z85" s="7" t="n">
        <v>90.59999999999999</v>
      </c>
      <c r="AB85" s="7" t="n">
        <v>1667.9</v>
      </c>
    </row>
    <row r="86">
      <c r="A86" s="4" t="inlineStr">
        <is>
          <t>质量赔偿</t>
        </is>
      </c>
      <c r="D86" s="7" t="n">
        <v>11</v>
      </c>
      <c r="F86" s="7" t="n">
        <v>230.4</v>
      </c>
      <c r="H86" s="7" t="n">
        <v>168.8</v>
      </c>
      <c r="J86" s="7" t="n">
        <v>110.4</v>
      </c>
      <c r="L86" s="7" t="n">
        <v>211.6</v>
      </c>
      <c r="N86" s="7" t="n">
        <v>120.5</v>
      </c>
      <c r="P86" s="7" t="n">
        <v>32.2</v>
      </c>
      <c r="R86" s="7" t="n">
        <v>63</v>
      </c>
      <c r="T86" s="7" t="n">
        <v>26.9</v>
      </c>
      <c r="V86" s="7" t="n">
        <v>52.4</v>
      </c>
      <c r="X86" s="7" t="n">
        <v>57.1</v>
      </c>
      <c r="Z86" s="7" t="n">
        <v>38.1</v>
      </c>
      <c r="AB86" s="7" t="n">
        <v>1122.4</v>
      </c>
    </row>
    <row r="87">
      <c r="A87" s="4" t="inlineStr">
        <is>
          <t>保险费</t>
        </is>
      </c>
      <c r="D87" s="7" t="n">
        <v>17.6</v>
      </c>
      <c r="F87" s="7" t="n">
        <v>283.5</v>
      </c>
      <c r="H87" s="7" t="n">
        <v>223.2</v>
      </c>
      <c r="J87" s="7" t="n">
        <v>174.8</v>
      </c>
      <c r="L87" s="7" t="n">
        <v>184.2</v>
      </c>
      <c r="N87" s="7" t="n">
        <v>148.5</v>
      </c>
      <c r="P87" s="7" t="n">
        <v>31.5</v>
      </c>
      <c r="R87" s="7" t="n">
        <v>81.09999999999999</v>
      </c>
      <c r="T87" s="7" t="n">
        <v>34.3</v>
      </c>
      <c r="V87" s="7" t="n">
        <v>68.40000000000001</v>
      </c>
      <c r="X87" s="7" t="n">
        <v>56.8</v>
      </c>
      <c r="Z87" s="7" t="n">
        <v>72.90000000000001</v>
      </c>
      <c r="AB87" s="7" t="n">
        <v>1376.8</v>
      </c>
    </row>
    <row r="88">
      <c r="A88" s="4" t="inlineStr">
        <is>
          <t>清洁费</t>
        </is>
      </c>
      <c r="D88" s="7" t="n">
        <v>4.6</v>
      </c>
      <c r="F88" s="7" t="n">
        <v>54.2</v>
      </c>
      <c r="H88" s="7" t="n">
        <v>78.09999999999999</v>
      </c>
      <c r="J88" s="7" t="n">
        <v>49.3</v>
      </c>
      <c r="L88" s="7" t="n">
        <v>54.7</v>
      </c>
      <c r="N88" s="7" t="n">
        <v>57.2</v>
      </c>
      <c r="P88" s="7" t="n">
        <v>10.6</v>
      </c>
      <c r="R88" s="7" t="n">
        <v>27.7</v>
      </c>
      <c r="T88" s="7" t="n">
        <v>11.4</v>
      </c>
      <c r="V88" s="7" t="n">
        <v>23.4</v>
      </c>
      <c r="X88" s="7" t="n">
        <v>16.7</v>
      </c>
      <c r="Z88" s="7" t="n">
        <v>16.9</v>
      </c>
      <c r="AB88" s="7" t="n">
        <v>404.8</v>
      </c>
    </row>
    <row r="89">
      <c r="A89" s="4" t="inlineStr">
        <is>
          <t>低值易耗品</t>
        </is>
      </c>
      <c r="D89" s="7" t="n">
        <v>15.1</v>
      </c>
      <c r="F89" s="7" t="n">
        <v>224.7</v>
      </c>
      <c r="H89" s="7" t="n">
        <v>190.7</v>
      </c>
      <c r="J89" s="7" t="n">
        <v>111.1</v>
      </c>
      <c r="L89" s="7" t="n">
        <v>219.5</v>
      </c>
      <c r="N89" s="7" t="n">
        <v>164.5</v>
      </c>
      <c r="P89" s="7" t="n">
        <v>23.3</v>
      </c>
      <c r="R89" s="7" t="n">
        <v>67.2</v>
      </c>
      <c r="T89" s="7" t="n">
        <v>32.2</v>
      </c>
      <c r="V89" s="7" t="n">
        <v>54.6</v>
      </c>
      <c r="X89" s="7" t="n">
        <v>62.9</v>
      </c>
      <c r="Z89" s="7" t="n">
        <v>59.8</v>
      </c>
      <c r="AB89" s="7" t="n">
        <v>1225.6</v>
      </c>
    </row>
    <row r="90">
      <c r="A90" s="4" t="inlineStr">
        <is>
          <t>物料消耗</t>
        </is>
      </c>
      <c r="D90" s="7" t="n">
        <v>4.2</v>
      </c>
      <c r="F90" s="7" t="n">
        <v>88.8</v>
      </c>
      <c r="H90" s="7" t="n">
        <v>82</v>
      </c>
      <c r="J90" s="7" t="n">
        <v>35.6</v>
      </c>
      <c r="L90" s="7" t="n">
        <v>82.59999999999999</v>
      </c>
      <c r="N90" s="7" t="n">
        <v>67.09999999999999</v>
      </c>
      <c r="P90" s="7" t="n">
        <v>12</v>
      </c>
      <c r="R90" s="7" t="n">
        <v>21.2</v>
      </c>
      <c r="T90" s="7" t="n">
        <v>11.4</v>
      </c>
      <c r="V90" s="7" t="n">
        <v>13.5</v>
      </c>
      <c r="X90" s="7" t="n">
        <v>29.2</v>
      </c>
      <c r="Z90" s="7" t="n">
        <v>17.4</v>
      </c>
      <c r="AB90" s="7" t="n">
        <v>465</v>
      </c>
    </row>
    <row r="91">
      <c r="A91" s="4" t="inlineStr">
        <is>
          <t>盘盈盘亏</t>
        </is>
      </c>
      <c r="D91" s="7" t="n">
        <v>11.1</v>
      </c>
      <c r="F91" s="7" t="n">
        <v>186.5</v>
      </c>
      <c r="H91" s="7" t="n">
        <v>262.8</v>
      </c>
      <c r="J91" s="7" t="n">
        <v>80.5</v>
      </c>
      <c r="L91" s="7" t="n">
        <v>215.5</v>
      </c>
      <c r="N91" s="7" t="n">
        <v>167.7</v>
      </c>
      <c r="P91" s="7" t="n">
        <v>29.7</v>
      </c>
      <c r="R91" s="7" t="n">
        <v>56.7</v>
      </c>
      <c r="T91" s="7" t="n">
        <v>19</v>
      </c>
      <c r="V91" s="7" t="n">
        <v>46.2</v>
      </c>
      <c r="X91" s="7" t="n">
        <v>44.3</v>
      </c>
      <c r="Z91" s="7" t="n">
        <v>36.9</v>
      </c>
      <c r="AB91" s="7" t="n">
        <v>1156.9</v>
      </c>
    </row>
    <row r="92">
      <c r="A92" s="4" t="inlineStr">
        <is>
          <t>平台服务费</t>
        </is>
      </c>
      <c r="D92" s="7" t="n">
        <v>21.7</v>
      </c>
      <c r="F92" s="7" t="n">
        <v>261.8</v>
      </c>
      <c r="H92" s="7" t="n">
        <v>511.5</v>
      </c>
      <c r="J92" s="7" t="n">
        <v>190.6</v>
      </c>
      <c r="L92" s="7" t="n">
        <v>248.5</v>
      </c>
      <c r="N92" s="7" t="n">
        <v>315.1</v>
      </c>
      <c r="P92" s="7" t="n">
        <v>39.9</v>
      </c>
      <c r="R92" s="7" t="n">
        <v>108.5</v>
      </c>
      <c r="T92" s="7" t="n">
        <v>57</v>
      </c>
      <c r="V92" s="7" t="n">
        <v>74.09999999999999</v>
      </c>
      <c r="X92" s="7" t="n">
        <v>152.1</v>
      </c>
      <c r="Z92" s="7" t="n">
        <v>100.7</v>
      </c>
      <c r="AB92" s="7" t="n">
        <v>2081.5</v>
      </c>
    </row>
    <row r="93">
      <c r="A93" s="4" t="inlineStr">
        <is>
          <t>无形资产摊销</t>
        </is>
      </c>
      <c r="D93" s="7" t="n">
        <v>17.7</v>
      </c>
      <c r="F93" s="7" t="n">
        <v>321.9</v>
      </c>
      <c r="H93" s="7" t="n">
        <v>277.6</v>
      </c>
      <c r="J93" s="7" t="n">
        <v>158.9</v>
      </c>
      <c r="L93" s="7" t="n">
        <v>221.1</v>
      </c>
      <c r="N93" s="7" t="n">
        <v>199</v>
      </c>
      <c r="P93" s="7" t="n">
        <v>36.7</v>
      </c>
      <c r="R93" s="7" t="n">
        <v>88.7</v>
      </c>
      <c r="T93" s="7" t="n">
        <v>52.6</v>
      </c>
      <c r="V93" s="7" t="n">
        <v>65.8</v>
      </c>
      <c r="X93" s="7" t="n">
        <v>117.8</v>
      </c>
      <c r="Z93" s="7" t="n">
        <v>65.3</v>
      </c>
      <c r="AB93" s="7" t="n">
        <v>1623.1</v>
      </c>
    </row>
    <row r="94">
      <c r="A94" s="4" t="inlineStr">
        <is>
          <t>研发材料</t>
        </is>
      </c>
      <c r="D94" s="7" t="n">
        <v>13.3</v>
      </c>
      <c r="F94" s="7" t="n">
        <v>135.5</v>
      </c>
      <c r="H94" s="7" t="n">
        <v>187.7</v>
      </c>
      <c r="J94" s="7" t="n">
        <v>112.6</v>
      </c>
      <c r="L94" s="7" t="n">
        <v>227.7</v>
      </c>
      <c r="N94" s="7" t="n">
        <v>136.1</v>
      </c>
      <c r="P94" s="7" t="n">
        <v>27.8</v>
      </c>
      <c r="R94" s="7" t="n">
        <v>59.3</v>
      </c>
      <c r="T94" s="7" t="n">
        <v>34.2</v>
      </c>
      <c r="V94" s="7" t="n">
        <v>37.9</v>
      </c>
      <c r="X94" s="7" t="n">
        <v>75.3</v>
      </c>
      <c r="Z94" s="7" t="n">
        <v>47.7</v>
      </c>
      <c r="AB94" s="7" t="n">
        <v>1095.1</v>
      </c>
    </row>
    <row r="95">
      <c r="A95" s="4" t="inlineStr">
        <is>
          <t>项目名称</t>
        </is>
      </c>
      <c r="D95" s="7" t="n">
        <v>3.6</v>
      </c>
      <c r="F95" s="7" t="n">
        <v>80.90000000000001</v>
      </c>
      <c r="H95" s="7" t="n">
        <v>83.90000000000001</v>
      </c>
      <c r="J95" s="7" t="n">
        <v>55.3</v>
      </c>
      <c r="L95" s="7" t="n">
        <v>52.3</v>
      </c>
      <c r="N95" s="7" t="n">
        <v>76.40000000000001</v>
      </c>
      <c r="P95" s="7" t="n">
        <v>11.5</v>
      </c>
      <c r="R95" s="7" t="n">
        <v>19.3</v>
      </c>
      <c r="T95" s="7" t="n">
        <v>8.6</v>
      </c>
      <c r="V95" s="7" t="n">
        <v>16.9</v>
      </c>
      <c r="X95" s="7" t="n">
        <v>20.8</v>
      </c>
      <c r="Z95" s="7" t="n">
        <v>19.5</v>
      </c>
      <c r="AB95" s="7" t="n">
        <v>449</v>
      </c>
    </row>
    <row r="96">
      <c r="A96" s="4" t="inlineStr">
        <is>
          <t>研发费</t>
        </is>
      </c>
      <c r="D96" s="7" t="n">
        <v>12.2</v>
      </c>
      <c r="F96" s="7" t="n">
        <v>295</v>
      </c>
      <c r="H96" s="7" t="n">
        <v>317.5</v>
      </c>
      <c r="J96" s="7" t="n">
        <v>138.9</v>
      </c>
      <c r="L96" s="7" t="n">
        <v>244.4</v>
      </c>
      <c r="N96" s="7" t="n">
        <v>238.2</v>
      </c>
      <c r="P96" s="7" t="n">
        <v>38.7</v>
      </c>
      <c r="R96" s="7" t="n">
        <v>118.7</v>
      </c>
      <c r="T96" s="7" t="n">
        <v>41.3</v>
      </c>
      <c r="V96" s="7" t="n">
        <v>59.7</v>
      </c>
      <c r="X96" s="7" t="n">
        <v>107.3</v>
      </c>
      <c r="Z96" s="7" t="n">
        <v>78.7</v>
      </c>
      <c r="AB96" s="7" t="n">
        <v>1690.6</v>
      </c>
    </row>
    <row r="97">
      <c r="A97" s="4" t="inlineStr">
        <is>
          <t>残保金</t>
        </is>
      </c>
      <c r="D97" s="7" t="n">
        <v>20.4</v>
      </c>
      <c r="F97" s="7" t="n">
        <v>263.8</v>
      </c>
      <c r="H97" s="7" t="n">
        <v>437.5</v>
      </c>
      <c r="J97" s="7" t="n">
        <v>219.2</v>
      </c>
      <c r="L97" s="7" t="n">
        <v>260.1</v>
      </c>
      <c r="N97" s="7" t="n">
        <v>217.4</v>
      </c>
      <c r="P97" s="7" t="n">
        <v>47.4</v>
      </c>
      <c r="R97" s="7" t="n">
        <v>103.7</v>
      </c>
      <c r="T97" s="7" t="n">
        <v>30.6</v>
      </c>
      <c r="V97" s="7" t="n">
        <v>70.2</v>
      </c>
      <c r="X97" s="7" t="n">
        <v>122.9</v>
      </c>
      <c r="Z97" s="7" t="n">
        <v>94.09999999999999</v>
      </c>
      <c r="AB97" s="7" t="n">
        <v>1887.3</v>
      </c>
    </row>
    <row r="98">
      <c r="A98" s="4" t="inlineStr">
        <is>
          <t>环保费</t>
        </is>
      </c>
      <c r="D98" s="7" t="n">
        <v>7</v>
      </c>
      <c r="F98" s="7" t="n">
        <v>169.4</v>
      </c>
      <c r="H98" s="7" t="n">
        <v>128.7</v>
      </c>
      <c r="J98" s="7" t="n">
        <v>69.2</v>
      </c>
      <c r="L98" s="7" t="n">
        <v>93.7</v>
      </c>
      <c r="N98" s="7" t="n">
        <v>95.8</v>
      </c>
      <c r="P98" s="7" t="n">
        <v>17.5</v>
      </c>
      <c r="R98" s="7" t="n">
        <v>48</v>
      </c>
      <c r="T98" s="7" t="n">
        <v>19.2</v>
      </c>
      <c r="V98" s="7" t="n">
        <v>40.5</v>
      </c>
      <c r="X98" s="7" t="n">
        <v>40.5</v>
      </c>
      <c r="Z98" s="7" t="n">
        <v>44.1</v>
      </c>
      <c r="AB98" s="7" t="n">
        <v>773.6</v>
      </c>
    </row>
    <row r="99">
      <c r="A99" s="4" t="inlineStr">
        <is>
          <t>报废损失</t>
        </is>
      </c>
      <c r="D99" s="7" t="n">
        <v>5</v>
      </c>
      <c r="F99" s="7" t="n">
        <v>63.3</v>
      </c>
      <c r="H99" s="7" t="n">
        <v>69.59999999999999</v>
      </c>
      <c r="J99" s="7" t="n">
        <v>37.1</v>
      </c>
      <c r="L99" s="7" t="n">
        <v>79.7</v>
      </c>
      <c r="N99" s="7" t="n">
        <v>47.4</v>
      </c>
      <c r="P99" s="7" t="n">
        <v>12.7</v>
      </c>
      <c r="R99" s="7" t="n">
        <v>23.3</v>
      </c>
      <c r="T99" s="7" t="n">
        <v>10.6</v>
      </c>
      <c r="V99" s="7" t="n">
        <v>17.8</v>
      </c>
      <c r="X99" s="7" t="n">
        <v>19.4</v>
      </c>
      <c r="Z99" s="7" t="n">
        <v>18.8</v>
      </c>
      <c r="AB99" s="7" t="n">
        <v>404.7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11890</v>
      </c>
      <c r="D100" s="7" t="n">
        <v>1930.1</v>
      </c>
      <c r="E100" s="7" t="n">
        <v>10628.4</v>
      </c>
      <c r="F100" s="7" t="n">
        <v>18311.2</v>
      </c>
      <c r="G100" s="7" t="n">
        <v>12457.1</v>
      </c>
      <c r="H100" s="7" t="n">
        <v>21920.4</v>
      </c>
      <c r="I100" s="7" t="n">
        <v>12033.3</v>
      </c>
      <c r="J100" s="7" t="n">
        <v>13383.4</v>
      </c>
      <c r="K100" s="7" t="n">
        <v>12451.3</v>
      </c>
      <c r="L100" s="7" t="n">
        <v>24856.8</v>
      </c>
      <c r="M100" s="7" t="n">
        <v>11893.9</v>
      </c>
      <c r="N100" s="7" t="n">
        <v>16045.1</v>
      </c>
      <c r="O100" s="7" t="n">
        <v>10541.1</v>
      </c>
      <c r="P100" s="7" t="n">
        <v>6364</v>
      </c>
      <c r="Q100" s="7" t="n">
        <v>12650.5</v>
      </c>
      <c r="R100" s="7" t="n">
        <v>9631.5</v>
      </c>
      <c r="S100" s="7" t="n">
        <v>10656.4</v>
      </c>
      <c r="T100" s="7" t="n">
        <v>2470.1</v>
      </c>
      <c r="U100" s="7" t="n">
        <v>10628.9</v>
      </c>
      <c r="V100" s="7" t="n">
        <v>8557.200000000001</v>
      </c>
      <c r="W100" s="7" t="n">
        <v>13155.7</v>
      </c>
      <c r="X100" s="7" t="n">
        <v>4764.7</v>
      </c>
      <c r="Y100" s="7" t="n">
        <v>11274</v>
      </c>
      <c r="Z100" s="7" t="n">
        <v>9929.5</v>
      </c>
      <c r="AA100" s="8" t="n">
        <v>140260.6</v>
      </c>
      <c r="AB100" s="8" t="n">
        <v>138164</v>
      </c>
    </row>
    <row r="101">
      <c r="A101" s="4" t="inlineStr">
        <is>
          <t>职工薪酬</t>
        </is>
      </c>
      <c r="D101" s="7" t="n">
        <v>943.7</v>
      </c>
      <c r="F101" s="7" t="n">
        <v>10076.2</v>
      </c>
      <c r="H101" s="7" t="n">
        <v>9327.9</v>
      </c>
      <c r="J101" s="7" t="n">
        <v>6207.3</v>
      </c>
      <c r="L101" s="7" t="n">
        <v>11313.8</v>
      </c>
      <c r="N101" s="7" t="n">
        <v>9831.799999999999</v>
      </c>
      <c r="P101" s="7" t="n">
        <v>3418.8</v>
      </c>
      <c r="R101" s="7" t="n">
        <v>5799.1</v>
      </c>
      <c r="T101" s="7" t="n">
        <v>1139.6</v>
      </c>
      <c r="V101" s="7" t="n">
        <v>4514.7</v>
      </c>
      <c r="X101" s="7" t="n">
        <v>2228.9</v>
      </c>
      <c r="Z101" s="7" t="n">
        <v>5620.8</v>
      </c>
      <c r="AB101" s="7" t="n">
        <v>70422.60000000001</v>
      </c>
    </row>
    <row r="102">
      <c r="A102" s="4" t="inlineStr">
        <is>
          <t>工资</t>
        </is>
      </c>
      <c r="D102" s="7" t="n">
        <v>566.3</v>
      </c>
      <c r="F102" s="7" t="n">
        <v>6260.7</v>
      </c>
      <c r="H102" s="7" t="n">
        <v>4635.6</v>
      </c>
      <c r="J102" s="7" t="n">
        <v>3913.6</v>
      </c>
      <c r="L102" s="7" t="n">
        <v>6474.3</v>
      </c>
      <c r="N102" s="7" t="n">
        <v>6020.1</v>
      </c>
      <c r="P102" s="7" t="n">
        <v>2204.9</v>
      </c>
      <c r="R102" s="7" t="n">
        <v>3337.6</v>
      </c>
      <c r="T102" s="7" t="n">
        <v>770.9</v>
      </c>
      <c r="V102" s="7" t="n">
        <v>2870.5</v>
      </c>
      <c r="X102" s="7" t="n">
        <v>1383.8</v>
      </c>
      <c r="Z102" s="7" t="n">
        <v>3720</v>
      </c>
      <c r="AB102" s="7" t="n">
        <v>42158.3</v>
      </c>
    </row>
    <row r="103">
      <c r="A103" s="4" t="inlineStr">
        <is>
          <t>奖金及提成</t>
        </is>
      </c>
      <c r="D103" s="7" t="n">
        <v>191.9</v>
      </c>
      <c r="F103" s="7" t="n">
        <v>1437.7</v>
      </c>
      <c r="H103" s="7" t="n">
        <v>2813</v>
      </c>
      <c r="J103" s="7" t="n">
        <v>1189.6</v>
      </c>
      <c r="L103" s="7" t="n">
        <v>2686.9</v>
      </c>
      <c r="N103" s="7" t="n">
        <v>2010.9</v>
      </c>
      <c r="P103" s="7" t="n">
        <v>700.1</v>
      </c>
      <c r="R103" s="7" t="n">
        <v>1234.5</v>
      </c>
      <c r="T103" s="7" t="n">
        <v>173.6</v>
      </c>
      <c r="V103" s="7" t="n">
        <v>887.7</v>
      </c>
      <c r="X103" s="7" t="n">
        <v>341.7</v>
      </c>
      <c r="Z103" s="7" t="n">
        <v>946.3</v>
      </c>
      <c r="AB103" s="7" t="n">
        <v>14613.9</v>
      </c>
    </row>
    <row r="104">
      <c r="A104" s="4" t="inlineStr">
        <is>
          <t>社保</t>
        </is>
      </c>
      <c r="D104" s="7" t="n">
        <v>139.1</v>
      </c>
      <c r="F104" s="7" t="n">
        <v>1898</v>
      </c>
      <c r="H104" s="7" t="n">
        <v>1343.2</v>
      </c>
      <c r="J104" s="7" t="n">
        <v>774.2</v>
      </c>
      <c r="L104" s="7" t="n">
        <v>1550.3</v>
      </c>
      <c r="N104" s="7" t="n">
        <v>1435.5</v>
      </c>
      <c r="P104" s="7" t="n">
        <v>357.9</v>
      </c>
      <c r="R104" s="7" t="n">
        <v>998.2</v>
      </c>
      <c r="T104" s="7" t="n">
        <v>141.1</v>
      </c>
      <c r="V104" s="7" t="n">
        <v>555.2</v>
      </c>
      <c r="X104" s="7" t="n">
        <v>395.4</v>
      </c>
      <c r="Z104" s="7" t="n">
        <v>704.6</v>
      </c>
      <c r="AB104" s="7" t="n">
        <v>10292.7</v>
      </c>
    </row>
    <row r="105">
      <c r="A105" s="4" t="inlineStr">
        <is>
          <t>养老</t>
        </is>
      </c>
      <c r="D105" s="7" t="n">
        <v>5.3</v>
      </c>
      <c r="F105" s="7" t="n">
        <v>32.3</v>
      </c>
      <c r="H105" s="7" t="n">
        <v>48.3</v>
      </c>
      <c r="J105" s="7" t="n">
        <v>25.9</v>
      </c>
      <c r="L105" s="7" t="n">
        <v>62.1</v>
      </c>
      <c r="N105" s="7" t="n">
        <v>39.9</v>
      </c>
      <c r="P105" s="7" t="n">
        <v>12</v>
      </c>
      <c r="R105" s="7" t="n">
        <v>18.1</v>
      </c>
      <c r="T105" s="7" t="n">
        <v>5.5</v>
      </c>
      <c r="V105" s="7" t="n">
        <v>23.4</v>
      </c>
      <c r="X105" s="7" t="n">
        <v>12.4</v>
      </c>
      <c r="Z105" s="7" t="n">
        <v>18.2</v>
      </c>
      <c r="AB105" s="7" t="n">
        <v>303.4</v>
      </c>
    </row>
    <row r="106">
      <c r="A106" s="4" t="inlineStr">
        <is>
          <t>医疗</t>
        </is>
      </c>
      <c r="D106" s="7" t="n">
        <v>11.5</v>
      </c>
      <c r="F106" s="7" t="n">
        <v>72.8</v>
      </c>
      <c r="H106" s="7" t="n">
        <v>90</v>
      </c>
      <c r="J106" s="7" t="n">
        <v>76.59999999999999</v>
      </c>
      <c r="L106" s="7" t="n">
        <v>135.9</v>
      </c>
      <c r="N106" s="7" t="n">
        <v>72.59999999999999</v>
      </c>
      <c r="P106" s="7" t="n">
        <v>40.6</v>
      </c>
      <c r="R106" s="7" t="n">
        <v>47.4</v>
      </c>
      <c r="T106" s="7" t="n">
        <v>10.5</v>
      </c>
      <c r="V106" s="7" t="n">
        <v>43.7</v>
      </c>
      <c r="X106" s="7" t="n">
        <v>21.4</v>
      </c>
      <c r="Z106" s="7" t="n">
        <v>53.5</v>
      </c>
      <c r="AB106" s="7" t="n">
        <v>676.5</v>
      </c>
    </row>
    <row r="107">
      <c r="A107" s="4" t="inlineStr">
        <is>
          <t>工伤</t>
        </is>
      </c>
      <c r="D107" s="7" t="n">
        <v>9.9</v>
      </c>
      <c r="F107" s="7" t="n">
        <v>81.7</v>
      </c>
      <c r="H107" s="7" t="n">
        <v>133</v>
      </c>
      <c r="J107" s="7" t="n">
        <v>56.5</v>
      </c>
      <c r="L107" s="7" t="n">
        <v>100.1</v>
      </c>
      <c r="N107" s="7" t="n">
        <v>81.2</v>
      </c>
      <c r="P107" s="7" t="n">
        <v>29.3</v>
      </c>
      <c r="R107" s="7" t="n">
        <v>43.3</v>
      </c>
      <c r="T107" s="7" t="n">
        <v>15.4</v>
      </c>
      <c r="V107" s="7" t="n">
        <v>42.9</v>
      </c>
      <c r="X107" s="7" t="n">
        <v>23</v>
      </c>
      <c r="Z107" s="7" t="n">
        <v>69.7</v>
      </c>
      <c r="AB107" s="7" t="n">
        <v>686</v>
      </c>
    </row>
    <row r="108">
      <c r="A108" s="4" t="inlineStr">
        <is>
          <t>失业</t>
        </is>
      </c>
      <c r="D108" s="7" t="n">
        <v>3.8</v>
      </c>
      <c r="F108" s="7" t="n">
        <v>40.1</v>
      </c>
      <c r="H108" s="7" t="n">
        <v>44</v>
      </c>
      <c r="J108" s="7" t="n">
        <v>27.2</v>
      </c>
      <c r="L108" s="7" t="n">
        <v>45.5</v>
      </c>
      <c r="N108" s="7" t="n">
        <v>28.7</v>
      </c>
      <c r="P108" s="7" t="n">
        <v>9.699999999999999</v>
      </c>
      <c r="R108" s="7" t="n">
        <v>12.2</v>
      </c>
      <c r="T108" s="7" t="n">
        <v>4.6</v>
      </c>
      <c r="V108" s="7" t="n">
        <v>18.3</v>
      </c>
      <c r="X108" s="7" t="n">
        <v>7.4</v>
      </c>
      <c r="Z108" s="7" t="n">
        <v>15.5</v>
      </c>
      <c r="AB108" s="7" t="n">
        <v>257</v>
      </c>
    </row>
    <row r="109">
      <c r="A109" s="4" t="inlineStr">
        <is>
          <t>生育</t>
        </is>
      </c>
      <c r="D109" s="7" t="n">
        <v>8</v>
      </c>
      <c r="F109" s="7" t="n">
        <v>88.2</v>
      </c>
      <c r="H109" s="7" t="n">
        <v>78.09999999999999</v>
      </c>
      <c r="J109" s="7" t="n">
        <v>76.90000000000001</v>
      </c>
      <c r="L109" s="7" t="n">
        <v>96.3</v>
      </c>
      <c r="N109" s="7" t="n">
        <v>64.59999999999999</v>
      </c>
      <c r="P109" s="7" t="n">
        <v>38.1</v>
      </c>
      <c r="R109" s="7" t="n">
        <v>45.3</v>
      </c>
      <c r="T109" s="7" t="n">
        <v>10</v>
      </c>
      <c r="V109" s="7" t="n">
        <v>40.9</v>
      </c>
      <c r="X109" s="7" t="n">
        <v>22</v>
      </c>
      <c r="Z109" s="7" t="n">
        <v>63.9</v>
      </c>
      <c r="AB109" s="7" t="n">
        <v>632.3</v>
      </c>
    </row>
    <row r="110">
      <c r="A110" s="4" t="inlineStr">
        <is>
          <t>公积金</t>
        </is>
      </c>
      <c r="D110" s="7" t="n">
        <v>1.3</v>
      </c>
      <c r="F110" s="7" t="n">
        <v>15</v>
      </c>
      <c r="H110" s="7" t="n">
        <v>19.9</v>
      </c>
      <c r="J110" s="7" t="n">
        <v>15.7</v>
      </c>
      <c r="L110" s="7" t="n">
        <v>25.9</v>
      </c>
      <c r="N110" s="7" t="n">
        <v>17.1</v>
      </c>
      <c r="P110" s="7" t="n">
        <v>6.7</v>
      </c>
      <c r="R110" s="7" t="n">
        <v>10.3</v>
      </c>
      <c r="T110" s="7" t="n">
        <v>1.9</v>
      </c>
      <c r="V110" s="7" t="n">
        <v>6</v>
      </c>
      <c r="X110" s="7" t="n">
        <v>5.1</v>
      </c>
      <c r="Z110" s="7" t="n">
        <v>6.6</v>
      </c>
      <c r="AB110" s="7" t="n">
        <v>131.5</v>
      </c>
    </row>
    <row r="111">
      <c r="A111" s="4" t="inlineStr">
        <is>
          <t>工会经费</t>
        </is>
      </c>
      <c r="D111" s="7" t="n">
        <v>2.5</v>
      </c>
      <c r="F111" s="7" t="n">
        <v>39.7</v>
      </c>
      <c r="H111" s="7" t="n">
        <v>40.5</v>
      </c>
      <c r="J111" s="7" t="n">
        <v>21.1</v>
      </c>
      <c r="L111" s="7" t="n">
        <v>29.7</v>
      </c>
      <c r="N111" s="7" t="n">
        <v>29.1</v>
      </c>
      <c r="P111" s="7" t="n">
        <v>7.9</v>
      </c>
      <c r="R111" s="7" t="n">
        <v>17</v>
      </c>
      <c r="T111" s="7" t="n">
        <v>3.1</v>
      </c>
      <c r="V111" s="7" t="n">
        <v>17.3</v>
      </c>
      <c r="X111" s="7" t="n">
        <v>6.8</v>
      </c>
      <c r="Z111" s="7" t="n">
        <v>19.7</v>
      </c>
      <c r="AB111" s="7" t="n">
        <v>234.4</v>
      </c>
    </row>
    <row r="112">
      <c r="A112" s="4" t="inlineStr">
        <is>
          <t>职工教育经费</t>
        </is>
      </c>
      <c r="D112" s="7" t="n">
        <v>3.2</v>
      </c>
      <c r="F112" s="7" t="n">
        <v>25.4</v>
      </c>
      <c r="H112" s="7" t="n">
        <v>25.1</v>
      </c>
      <c r="J112" s="7" t="n">
        <v>23.6</v>
      </c>
      <c r="L112" s="7" t="n">
        <v>48.4</v>
      </c>
      <c r="N112" s="7" t="n">
        <v>21.9</v>
      </c>
      <c r="P112" s="7" t="n">
        <v>7.1</v>
      </c>
      <c r="R112" s="7" t="n">
        <v>13.3</v>
      </c>
      <c r="T112" s="7" t="n">
        <v>4.1</v>
      </c>
      <c r="V112" s="7" t="n">
        <v>13.9</v>
      </c>
      <c r="X112" s="7" t="n">
        <v>5.8</v>
      </c>
      <c r="Z112" s="7" t="n">
        <v>18.2</v>
      </c>
      <c r="AB112" s="7" t="n">
        <v>210</v>
      </c>
    </row>
    <row r="113">
      <c r="A113" s="4" t="inlineStr">
        <is>
          <t>福利费</t>
        </is>
      </c>
      <c r="D113" s="7" t="n">
        <v>39.4</v>
      </c>
      <c r="F113" s="7" t="n">
        <v>399.7</v>
      </c>
      <c r="H113" s="7" t="n">
        <v>450.6</v>
      </c>
      <c r="J113" s="7" t="n">
        <v>269.5</v>
      </c>
      <c r="L113" s="7" t="n">
        <v>498.3</v>
      </c>
      <c r="N113" s="7" t="n">
        <v>297.2</v>
      </c>
      <c r="P113" s="7" t="n">
        <v>134.2</v>
      </c>
      <c r="R113" s="7" t="n">
        <v>188.2</v>
      </c>
      <c r="T113" s="7" t="n">
        <v>44.9</v>
      </c>
      <c r="V113" s="7" t="n">
        <v>164.1</v>
      </c>
      <c r="X113" s="7" t="n">
        <v>90.3</v>
      </c>
      <c r="Z113" s="7" t="n">
        <v>205.4</v>
      </c>
      <c r="AB113" s="7" t="n">
        <v>2781.8</v>
      </c>
    </row>
    <row r="114">
      <c r="A114" s="4" t="inlineStr">
        <is>
          <t>职工房租</t>
        </is>
      </c>
      <c r="D114" s="7" t="n">
        <v>10.7</v>
      </c>
      <c r="F114" s="7" t="n">
        <v>104.2</v>
      </c>
      <c r="H114" s="7" t="n">
        <v>173.6</v>
      </c>
      <c r="J114" s="7" t="n">
        <v>92</v>
      </c>
      <c r="L114" s="7" t="n">
        <v>170.1</v>
      </c>
      <c r="N114" s="7" t="n">
        <v>74</v>
      </c>
      <c r="P114" s="7" t="n">
        <v>36.8</v>
      </c>
      <c r="R114" s="7" t="n">
        <v>71.90000000000001</v>
      </c>
      <c r="T114" s="7" t="n">
        <v>14.6</v>
      </c>
      <c r="V114" s="7" t="n">
        <v>49.4</v>
      </c>
      <c r="X114" s="7" t="n">
        <v>36.4</v>
      </c>
      <c r="Z114" s="7" t="n">
        <v>49</v>
      </c>
      <c r="AB114" s="7" t="n">
        <v>882.7</v>
      </c>
    </row>
    <row r="115">
      <c r="A115" s="4" t="inlineStr">
        <is>
          <t>水电物业费</t>
        </is>
      </c>
      <c r="D115" s="7" t="n">
        <v>2.5</v>
      </c>
      <c r="F115" s="7" t="n">
        <v>16.1</v>
      </c>
      <c r="H115" s="7" t="n">
        <v>21.5</v>
      </c>
      <c r="J115" s="7" t="n">
        <v>15.2</v>
      </c>
      <c r="L115" s="7" t="n">
        <v>33.2</v>
      </c>
      <c r="N115" s="7" t="n">
        <v>17.8</v>
      </c>
      <c r="P115" s="7" t="n">
        <v>7.2</v>
      </c>
      <c r="R115" s="7" t="n">
        <v>11.8</v>
      </c>
      <c r="T115" s="7" t="n">
        <v>2.1</v>
      </c>
      <c r="V115" s="7" t="n">
        <v>11.2</v>
      </c>
      <c r="X115" s="7" t="n">
        <v>4.8</v>
      </c>
      <c r="Z115" s="7" t="n">
        <v>8.199999999999999</v>
      </c>
      <c r="AB115" s="7" t="n">
        <v>151.6</v>
      </c>
    </row>
    <row r="116">
      <c r="A116" s="4" t="inlineStr">
        <is>
          <t>员工餐</t>
        </is>
      </c>
      <c r="D116" s="7" t="n">
        <v>3.1</v>
      </c>
      <c r="F116" s="7" t="n">
        <v>42.4</v>
      </c>
      <c r="H116" s="7" t="n">
        <v>41.5</v>
      </c>
      <c r="J116" s="7" t="n">
        <v>28.1</v>
      </c>
      <c r="L116" s="7" t="n">
        <v>50.6</v>
      </c>
      <c r="N116" s="7" t="n">
        <v>25.5</v>
      </c>
      <c r="P116" s="7" t="n">
        <v>14.6</v>
      </c>
      <c r="R116" s="7" t="n">
        <v>16.6</v>
      </c>
      <c r="T116" s="7" t="n">
        <v>5.8</v>
      </c>
      <c r="V116" s="7" t="n">
        <v>12</v>
      </c>
      <c r="X116" s="7" t="n">
        <v>6.4</v>
      </c>
      <c r="Z116" s="7" t="n">
        <v>20.3</v>
      </c>
      <c r="AB116" s="7" t="n">
        <v>266.9</v>
      </c>
    </row>
    <row r="117">
      <c r="A117" s="4" t="inlineStr">
        <is>
          <t>节日礼品</t>
        </is>
      </c>
      <c r="D117" s="7" t="n">
        <v>2.6</v>
      </c>
      <c r="F117" s="7" t="n">
        <v>18.6</v>
      </c>
      <c r="H117" s="7" t="n">
        <v>17.4</v>
      </c>
      <c r="J117" s="7" t="n">
        <v>14.9</v>
      </c>
      <c r="L117" s="7" t="n">
        <v>22.8</v>
      </c>
      <c r="N117" s="7" t="n">
        <v>15.6</v>
      </c>
      <c r="P117" s="7" t="n">
        <v>7.3</v>
      </c>
      <c r="R117" s="7" t="n">
        <v>7.6</v>
      </c>
      <c r="T117" s="7" t="n">
        <v>2.8</v>
      </c>
      <c r="V117" s="7" t="n">
        <v>8.6</v>
      </c>
      <c r="X117" s="7" t="n">
        <v>3.8</v>
      </c>
      <c r="Z117" s="7" t="n">
        <v>12.7</v>
      </c>
      <c r="AB117" s="7" t="n">
        <v>134.7</v>
      </c>
    </row>
    <row r="118">
      <c r="A118" s="4" t="inlineStr">
        <is>
          <t>生日礼品</t>
        </is>
      </c>
      <c r="D118" s="7" t="n">
        <v>14.4</v>
      </c>
      <c r="F118" s="7" t="n">
        <v>143.6</v>
      </c>
      <c r="H118" s="7" t="n">
        <v>114.3</v>
      </c>
      <c r="J118" s="7" t="n">
        <v>67.09999999999999</v>
      </c>
      <c r="L118" s="7" t="n">
        <v>120</v>
      </c>
      <c r="N118" s="7" t="n">
        <v>96.59999999999999</v>
      </c>
      <c r="P118" s="7" t="n">
        <v>44.5</v>
      </c>
      <c r="R118" s="7" t="n">
        <v>45.5</v>
      </c>
      <c r="T118" s="7" t="n">
        <v>11.4</v>
      </c>
      <c r="V118" s="7" t="n">
        <v>54</v>
      </c>
      <c r="X118" s="7" t="n">
        <v>25.1</v>
      </c>
      <c r="Z118" s="7" t="n">
        <v>66.90000000000001</v>
      </c>
      <c r="AB118" s="7" t="n">
        <v>803.4</v>
      </c>
    </row>
    <row r="119">
      <c r="A119" s="4" t="inlineStr">
        <is>
          <t>体检</t>
        </is>
      </c>
      <c r="D119" s="7" t="n">
        <v>2.1</v>
      </c>
      <c r="F119" s="7" t="n">
        <v>16</v>
      </c>
      <c r="H119" s="7" t="n">
        <v>23.4</v>
      </c>
      <c r="J119" s="7" t="n">
        <v>10.3</v>
      </c>
      <c r="L119" s="7" t="n">
        <v>22.8</v>
      </c>
      <c r="N119" s="7" t="n">
        <v>13.7</v>
      </c>
      <c r="P119" s="7" t="n">
        <v>6.4</v>
      </c>
      <c r="R119" s="7" t="n">
        <v>11.5</v>
      </c>
      <c r="T119" s="7" t="n">
        <v>2</v>
      </c>
      <c r="V119" s="7" t="n">
        <v>6.3</v>
      </c>
      <c r="X119" s="7" t="n">
        <v>3.8</v>
      </c>
      <c r="Z119" s="7" t="n">
        <v>10.3</v>
      </c>
      <c r="AB119" s="7" t="n">
        <v>128.6</v>
      </c>
    </row>
    <row r="120">
      <c r="A120" s="4" t="inlineStr">
        <is>
          <t>其他福利支出</t>
        </is>
      </c>
      <c r="D120" s="7" t="n">
        <v>4</v>
      </c>
      <c r="F120" s="7" t="n">
        <v>58.8</v>
      </c>
      <c r="H120" s="7" t="n">
        <v>58.9</v>
      </c>
      <c r="J120" s="7" t="n">
        <v>41.9</v>
      </c>
      <c r="L120" s="7" t="n">
        <v>78.8</v>
      </c>
      <c r="N120" s="7" t="n">
        <v>54</v>
      </c>
      <c r="P120" s="7" t="n">
        <v>17.4</v>
      </c>
      <c r="R120" s="7" t="n">
        <v>23.3</v>
      </c>
      <c r="T120" s="7" t="n">
        <v>6.2</v>
      </c>
      <c r="V120" s="7" t="n">
        <v>22.6</v>
      </c>
      <c r="X120" s="7" t="n">
        <v>10</v>
      </c>
      <c r="Z120" s="7" t="n">
        <v>38</v>
      </c>
      <c r="AB120" s="7" t="n">
        <v>413.9</v>
      </c>
    </row>
    <row r="121">
      <c r="A121" s="4" t="inlineStr">
        <is>
          <t>招聘费</t>
        </is>
      </c>
      <c r="D121" s="7" t="n">
        <v>0.1</v>
      </c>
      <c r="F121" s="7" t="n">
        <v>0.7</v>
      </c>
      <c r="H121" s="7" t="n">
        <v>1</v>
      </c>
      <c r="J121" s="7" t="n">
        <v>0.4</v>
      </c>
      <c r="L121" s="7" t="n">
        <v>1</v>
      </c>
      <c r="N121" s="7" t="n">
        <v>0.7</v>
      </c>
      <c r="P121" s="7" t="n">
        <v>0.3</v>
      </c>
      <c r="R121" s="7" t="n">
        <v>0.4</v>
      </c>
      <c r="T121" s="7" t="n">
        <v>0.1</v>
      </c>
      <c r="V121" s="7" t="n">
        <v>0.3</v>
      </c>
      <c r="X121" s="7" t="n">
        <v>0.1</v>
      </c>
      <c r="Z121" s="7" t="n">
        <v>0.4</v>
      </c>
      <c r="AB121" s="7" t="n">
        <v>5.5</v>
      </c>
    </row>
    <row r="122">
      <c r="A122" s="4" t="inlineStr">
        <is>
          <t>办公费</t>
        </is>
      </c>
      <c r="D122" s="7" t="n">
        <v>58</v>
      </c>
      <c r="F122" s="7" t="n">
        <v>533.7</v>
      </c>
      <c r="H122" s="7" t="n">
        <v>616.8</v>
      </c>
      <c r="J122" s="7" t="n">
        <v>338.3</v>
      </c>
      <c r="L122" s="7" t="n">
        <v>870.6</v>
      </c>
      <c r="N122" s="7" t="n">
        <v>415.6</v>
      </c>
      <c r="P122" s="7" t="n">
        <v>202.9</v>
      </c>
      <c r="R122" s="7" t="n">
        <v>326.9</v>
      </c>
      <c r="T122" s="7" t="n">
        <v>61</v>
      </c>
      <c r="V122" s="7" t="n">
        <v>242.6</v>
      </c>
      <c r="X122" s="7" t="n">
        <v>159.2</v>
      </c>
      <c r="Z122" s="7" t="n">
        <v>330</v>
      </c>
      <c r="AB122" s="7" t="n">
        <v>4155.6</v>
      </c>
    </row>
    <row r="123">
      <c r="A123" s="4" t="inlineStr">
        <is>
          <t>市内交通费</t>
        </is>
      </c>
      <c r="D123" s="7" t="n">
        <v>2.8</v>
      </c>
      <c r="F123" s="7" t="n">
        <v>40.3</v>
      </c>
      <c r="H123" s="7" t="n">
        <v>33.7</v>
      </c>
      <c r="J123" s="7" t="n">
        <v>30.6</v>
      </c>
      <c r="L123" s="7" t="n">
        <v>49.7</v>
      </c>
      <c r="N123" s="7" t="n">
        <v>23.7</v>
      </c>
      <c r="P123" s="7" t="n">
        <v>9.300000000000001</v>
      </c>
      <c r="R123" s="7" t="n">
        <v>15.9</v>
      </c>
      <c r="T123" s="7" t="n">
        <v>5</v>
      </c>
      <c r="V123" s="7" t="n">
        <v>13</v>
      </c>
      <c r="X123" s="7" t="n">
        <v>7.5</v>
      </c>
      <c r="Z123" s="7" t="n">
        <v>14.1</v>
      </c>
      <c r="AB123" s="7" t="n">
        <v>245.6</v>
      </c>
    </row>
    <row r="124">
      <c r="A124" s="4" t="inlineStr">
        <is>
          <t>差旅费</t>
        </is>
      </c>
      <c r="D124" s="7" t="n">
        <v>133.2</v>
      </c>
      <c r="F124" s="7" t="n">
        <v>835.1</v>
      </c>
      <c r="H124" s="7" t="n">
        <v>1113.7</v>
      </c>
      <c r="J124" s="7" t="n">
        <v>742.9</v>
      </c>
      <c r="L124" s="7" t="n">
        <v>1134</v>
      </c>
      <c r="N124" s="7" t="n">
        <v>853.2</v>
      </c>
      <c r="P124" s="7" t="n">
        <v>301.4</v>
      </c>
      <c r="R124" s="7" t="n">
        <v>438.7</v>
      </c>
      <c r="T124" s="7" t="n">
        <v>151.4</v>
      </c>
      <c r="V124" s="7" t="n">
        <v>527.9</v>
      </c>
      <c r="X124" s="7" t="n">
        <v>262.2</v>
      </c>
      <c r="Z124" s="7" t="n">
        <v>501.4</v>
      </c>
      <c r="AB124" s="7" t="n">
        <v>6995.1</v>
      </c>
    </row>
    <row r="125">
      <c r="A125" s="4" t="inlineStr">
        <is>
          <t>交通费</t>
        </is>
      </c>
      <c r="D125" s="7" t="n">
        <v>0.4</v>
      </c>
      <c r="F125" s="7" t="n">
        <v>3.1</v>
      </c>
      <c r="H125" s="7" t="n">
        <v>5.2</v>
      </c>
      <c r="J125" s="7" t="n">
        <v>3.4</v>
      </c>
      <c r="L125" s="7" t="n">
        <v>5.7</v>
      </c>
      <c r="N125" s="7" t="n">
        <v>3.4</v>
      </c>
      <c r="P125" s="7" t="n">
        <v>1.5</v>
      </c>
      <c r="R125" s="7" t="n">
        <v>2.2</v>
      </c>
      <c r="T125" s="7" t="n">
        <v>0.4</v>
      </c>
      <c r="V125" s="7" t="n">
        <v>2.1</v>
      </c>
      <c r="X125" s="7" t="n">
        <v>0.8</v>
      </c>
      <c r="Z125" s="7" t="n">
        <v>2.1</v>
      </c>
      <c r="AB125" s="7" t="n">
        <v>30.3</v>
      </c>
    </row>
    <row r="126">
      <c r="A126" s="4" t="inlineStr">
        <is>
          <t>住宿费</t>
        </is>
      </c>
      <c r="D126" s="7" t="n">
        <v>6.4</v>
      </c>
      <c r="F126" s="7" t="n">
        <v>101.2</v>
      </c>
      <c r="H126" s="7" t="n">
        <v>94.7</v>
      </c>
      <c r="J126" s="7" t="n">
        <v>49.6</v>
      </c>
      <c r="L126" s="7" t="n">
        <v>101</v>
      </c>
      <c r="N126" s="7" t="n">
        <v>49.7</v>
      </c>
      <c r="P126" s="7" t="n">
        <v>32</v>
      </c>
      <c r="R126" s="7" t="n">
        <v>44.5</v>
      </c>
      <c r="T126" s="7" t="n">
        <v>9.6</v>
      </c>
      <c r="V126" s="7" t="n">
        <v>37.1</v>
      </c>
      <c r="X126" s="7" t="n">
        <v>20.6</v>
      </c>
      <c r="Z126" s="7" t="n">
        <v>31.6</v>
      </c>
      <c r="AB126" s="7" t="n">
        <v>578</v>
      </c>
    </row>
    <row r="127">
      <c r="A127" s="4" t="inlineStr">
        <is>
          <t>餐补</t>
        </is>
      </c>
      <c r="D127" s="7" t="n">
        <v>0.2</v>
      </c>
      <c r="F127" s="7" t="n">
        <v>2.4</v>
      </c>
      <c r="H127" s="7" t="n">
        <v>3.8</v>
      </c>
      <c r="J127" s="7" t="n">
        <v>2.4</v>
      </c>
      <c r="L127" s="7" t="n">
        <v>4.8</v>
      </c>
      <c r="N127" s="7" t="n">
        <v>3</v>
      </c>
      <c r="P127" s="7" t="n">
        <v>0.9</v>
      </c>
      <c r="R127" s="7" t="n">
        <v>1.4</v>
      </c>
      <c r="T127" s="7" t="n">
        <v>0.3</v>
      </c>
      <c r="V127" s="7" t="n">
        <v>1.2</v>
      </c>
      <c r="X127" s="7" t="n">
        <v>0.9</v>
      </c>
      <c r="Z127" s="7" t="n">
        <v>1.8</v>
      </c>
      <c r="AB127" s="7" t="n">
        <v>23.1</v>
      </c>
    </row>
    <row r="128">
      <c r="A128" s="4" t="inlineStr">
        <is>
          <t>交通补助</t>
        </is>
      </c>
      <c r="D128" s="7" t="n">
        <v>10.2</v>
      </c>
      <c r="F128" s="7" t="n">
        <v>71.90000000000001</v>
      </c>
      <c r="H128" s="7" t="n">
        <v>78</v>
      </c>
      <c r="J128" s="7" t="n">
        <v>57.5</v>
      </c>
      <c r="L128" s="7" t="n">
        <v>111.3</v>
      </c>
      <c r="N128" s="7" t="n">
        <v>52.9</v>
      </c>
      <c r="P128" s="7" t="n">
        <v>21.5</v>
      </c>
      <c r="R128" s="7" t="n">
        <v>49.5</v>
      </c>
      <c r="T128" s="7" t="n">
        <v>12.5</v>
      </c>
      <c r="V128" s="7" t="n">
        <v>40.4</v>
      </c>
      <c r="X128" s="7" t="n">
        <v>24.7</v>
      </c>
      <c r="Z128" s="7" t="n">
        <v>38.6</v>
      </c>
      <c r="AB128" s="7" t="n">
        <v>569</v>
      </c>
    </row>
    <row r="129">
      <c r="A129" s="4" t="inlineStr">
        <is>
          <t>通讯补助</t>
        </is>
      </c>
      <c r="D129" s="7" t="n">
        <v>3</v>
      </c>
      <c r="F129" s="7" t="n">
        <v>33.1</v>
      </c>
      <c r="H129" s="7" t="n">
        <v>29.3</v>
      </c>
      <c r="J129" s="7" t="n">
        <v>21.3</v>
      </c>
      <c r="L129" s="7" t="n">
        <v>38.2</v>
      </c>
      <c r="N129" s="7" t="n">
        <v>32.6</v>
      </c>
      <c r="P129" s="7" t="n">
        <v>11.5</v>
      </c>
      <c r="R129" s="7" t="n">
        <v>15.9</v>
      </c>
      <c r="T129" s="7" t="n">
        <v>4.2</v>
      </c>
      <c r="V129" s="7" t="n">
        <v>12.3</v>
      </c>
      <c r="X129" s="7" t="n">
        <v>7.8</v>
      </c>
      <c r="Z129" s="7" t="n">
        <v>18.8</v>
      </c>
      <c r="AB129" s="7" t="n">
        <v>228</v>
      </c>
    </row>
    <row r="130">
      <c r="A130" s="4" t="inlineStr">
        <is>
          <t>招待费</t>
        </is>
      </c>
      <c r="D130" s="7" t="n">
        <v>59.4</v>
      </c>
      <c r="F130" s="7" t="n">
        <v>844.6</v>
      </c>
      <c r="H130" s="7" t="n">
        <v>877.4</v>
      </c>
      <c r="J130" s="7" t="n">
        <v>508.1</v>
      </c>
      <c r="L130" s="7" t="n">
        <v>780.3</v>
      </c>
      <c r="N130" s="7" t="n">
        <v>613.2</v>
      </c>
      <c r="P130" s="7" t="n">
        <v>267.5</v>
      </c>
      <c r="R130" s="7" t="n">
        <v>362.3</v>
      </c>
      <c r="T130" s="7" t="n">
        <v>77.09999999999999</v>
      </c>
      <c r="V130" s="7" t="n">
        <v>322.1</v>
      </c>
      <c r="X130" s="7" t="n">
        <v>228.2</v>
      </c>
      <c r="Z130" s="7" t="n">
        <v>498.1</v>
      </c>
      <c r="AB130" s="7" t="n">
        <v>5438.3</v>
      </c>
    </row>
    <row r="131">
      <c r="A131" s="4" t="inlineStr">
        <is>
          <t>通讯费</t>
        </is>
      </c>
      <c r="D131" s="7" t="n">
        <v>4.6</v>
      </c>
      <c r="F131" s="7" t="n">
        <v>37.8</v>
      </c>
      <c r="H131" s="7" t="n">
        <v>58.1</v>
      </c>
      <c r="J131" s="7" t="n">
        <v>31.9</v>
      </c>
      <c r="L131" s="7" t="n">
        <v>54.5</v>
      </c>
      <c r="N131" s="7" t="n">
        <v>47.6</v>
      </c>
      <c r="P131" s="7" t="n">
        <v>22.3</v>
      </c>
      <c r="R131" s="7" t="n">
        <v>27.5</v>
      </c>
      <c r="T131" s="7" t="n">
        <v>6.2</v>
      </c>
      <c r="V131" s="7" t="n">
        <v>32</v>
      </c>
      <c r="X131" s="7" t="n">
        <v>11</v>
      </c>
      <c r="Z131" s="7" t="n">
        <v>22.5</v>
      </c>
      <c r="AB131" s="7" t="n">
        <v>356</v>
      </c>
    </row>
    <row r="132">
      <c r="A132" s="4" t="inlineStr">
        <is>
          <t>网络费</t>
        </is>
      </c>
      <c r="D132" s="7" t="n">
        <v>10.9</v>
      </c>
      <c r="F132" s="7" t="n">
        <v>95.5</v>
      </c>
      <c r="H132" s="7" t="n">
        <v>86.3</v>
      </c>
      <c r="J132" s="7" t="n">
        <v>56</v>
      </c>
      <c r="L132" s="7" t="n">
        <v>83.09999999999999</v>
      </c>
      <c r="N132" s="7" t="n">
        <v>63.5</v>
      </c>
      <c r="P132" s="7" t="n">
        <v>26.8</v>
      </c>
      <c r="R132" s="7" t="n">
        <v>40.3</v>
      </c>
      <c r="T132" s="7" t="n">
        <v>11.1</v>
      </c>
      <c r="V132" s="7" t="n">
        <v>31.7</v>
      </c>
      <c r="X132" s="7" t="n">
        <v>17.8</v>
      </c>
      <c r="Z132" s="7" t="n">
        <v>39.3</v>
      </c>
      <c r="AB132" s="7" t="n">
        <v>562.3</v>
      </c>
    </row>
    <row r="133">
      <c r="A133" s="4" t="inlineStr">
        <is>
          <t>修理费</t>
        </is>
      </c>
      <c r="D133" s="7" t="n">
        <v>6.4</v>
      </c>
      <c r="F133" s="7" t="n">
        <v>79.5</v>
      </c>
      <c r="H133" s="7" t="n">
        <v>114.1</v>
      </c>
      <c r="J133" s="7" t="n">
        <v>66.3</v>
      </c>
      <c r="L133" s="7" t="n">
        <v>89.2</v>
      </c>
      <c r="N133" s="7" t="n">
        <v>78.90000000000001</v>
      </c>
      <c r="P133" s="7" t="n">
        <v>26.2</v>
      </c>
      <c r="R133" s="7" t="n">
        <v>37.7</v>
      </c>
      <c r="T133" s="7" t="n">
        <v>9.199999999999999</v>
      </c>
      <c r="V133" s="7" t="n">
        <v>40.5</v>
      </c>
      <c r="X133" s="7" t="n">
        <v>27.5</v>
      </c>
      <c r="Z133" s="7" t="n">
        <v>50.6</v>
      </c>
      <c r="AB133" s="7" t="n">
        <v>626.1</v>
      </c>
    </row>
    <row r="134">
      <c r="A134" s="4" t="inlineStr">
        <is>
          <t>车辆费</t>
        </is>
      </c>
      <c r="D134" s="7" t="n">
        <v>3.3</v>
      </c>
      <c r="F134" s="7" t="n">
        <v>21.3</v>
      </c>
      <c r="H134" s="7" t="n">
        <v>21.3</v>
      </c>
      <c r="J134" s="7" t="n">
        <v>15.5</v>
      </c>
      <c r="L134" s="7" t="n">
        <v>30</v>
      </c>
      <c r="N134" s="7" t="n">
        <v>22.3</v>
      </c>
      <c r="P134" s="7" t="n">
        <v>9</v>
      </c>
      <c r="R134" s="7" t="n">
        <v>13.8</v>
      </c>
      <c r="T134" s="7" t="n">
        <v>4.2</v>
      </c>
      <c r="V134" s="7" t="n">
        <v>14.6</v>
      </c>
      <c r="X134" s="7" t="n">
        <v>5.4</v>
      </c>
      <c r="Z134" s="7" t="n">
        <v>13.9</v>
      </c>
      <c r="AB134" s="7" t="n">
        <v>174.6</v>
      </c>
    </row>
    <row r="135">
      <c r="A135" s="4" t="inlineStr">
        <is>
          <t>租赁费</t>
        </is>
      </c>
      <c r="D135" s="7" t="n">
        <v>112.7</v>
      </c>
      <c r="F135" s="7" t="n">
        <v>768</v>
      </c>
      <c r="H135" s="7" t="n">
        <v>785.8</v>
      </c>
      <c r="J135" s="7" t="n">
        <v>685.7</v>
      </c>
      <c r="L135" s="7" t="n">
        <v>1232.7</v>
      </c>
      <c r="N135" s="7" t="n">
        <v>852</v>
      </c>
      <c r="P135" s="7" t="n">
        <v>345.1</v>
      </c>
      <c r="R135" s="7" t="n">
        <v>453.1</v>
      </c>
      <c r="T135" s="7" t="n">
        <v>103.3</v>
      </c>
      <c r="V135" s="7" t="n">
        <v>515.9</v>
      </c>
      <c r="X135" s="7" t="n">
        <v>276.2</v>
      </c>
      <c r="Z135" s="7" t="n">
        <v>519.3</v>
      </c>
      <c r="AB135" s="7" t="n">
        <v>6649.8</v>
      </c>
    </row>
    <row r="136">
      <c r="A136" s="4" t="inlineStr">
        <is>
          <t>能源费</t>
        </is>
      </c>
      <c r="D136" s="7" t="n">
        <v>24.7</v>
      </c>
      <c r="F136" s="7" t="n">
        <v>299.5</v>
      </c>
      <c r="H136" s="7" t="n">
        <v>331.2</v>
      </c>
      <c r="J136" s="7" t="n">
        <v>166.6</v>
      </c>
      <c r="L136" s="7" t="n">
        <v>333.3</v>
      </c>
      <c r="N136" s="7" t="n">
        <v>244.3</v>
      </c>
      <c r="P136" s="7" t="n">
        <v>76.90000000000001</v>
      </c>
      <c r="R136" s="7" t="n">
        <v>121.3</v>
      </c>
      <c r="T136" s="7" t="n">
        <v>35.9</v>
      </c>
      <c r="V136" s="7" t="n">
        <v>134.6</v>
      </c>
      <c r="X136" s="7" t="n">
        <v>67.2</v>
      </c>
      <c r="Z136" s="7" t="n">
        <v>161.5</v>
      </c>
      <c r="AB136" s="7" t="n">
        <v>1997</v>
      </c>
    </row>
    <row r="137">
      <c r="A137" s="4" t="inlineStr">
        <is>
          <t>水费</t>
        </is>
      </c>
      <c r="D137" s="7" t="n">
        <v>8.4</v>
      </c>
      <c r="F137" s="7" t="n">
        <v>124.9</v>
      </c>
      <c r="H137" s="7" t="n">
        <v>145</v>
      </c>
      <c r="J137" s="7" t="n">
        <v>83.40000000000001</v>
      </c>
      <c r="L137" s="7" t="n">
        <v>110.9</v>
      </c>
      <c r="N137" s="7" t="n">
        <v>92.7</v>
      </c>
      <c r="P137" s="7" t="n">
        <v>29.4</v>
      </c>
      <c r="R137" s="7" t="n">
        <v>45.5</v>
      </c>
      <c r="T137" s="7" t="n">
        <v>14.5</v>
      </c>
      <c r="V137" s="7" t="n">
        <v>51.5</v>
      </c>
      <c r="X137" s="7" t="n">
        <v>20.2</v>
      </c>
      <c r="Z137" s="7" t="n">
        <v>60.4</v>
      </c>
      <c r="AB137" s="7" t="n">
        <v>786.8</v>
      </c>
    </row>
    <row r="138">
      <c r="A138" s="4" t="inlineStr">
        <is>
          <t>电费</t>
        </is>
      </c>
      <c r="D138" s="7" t="n">
        <v>5.9</v>
      </c>
      <c r="F138" s="7" t="n">
        <v>69.3</v>
      </c>
      <c r="H138" s="7" t="n">
        <v>60.3</v>
      </c>
      <c r="J138" s="7" t="n">
        <v>28.7</v>
      </c>
      <c r="L138" s="7" t="n">
        <v>87</v>
      </c>
      <c r="N138" s="7" t="n">
        <v>42.3</v>
      </c>
      <c r="P138" s="7" t="n">
        <v>18</v>
      </c>
      <c r="R138" s="7" t="n">
        <v>30.1</v>
      </c>
      <c r="T138" s="7" t="n">
        <v>8.5</v>
      </c>
      <c r="V138" s="7" t="n">
        <v>28.5</v>
      </c>
      <c r="X138" s="7" t="n">
        <v>15.3</v>
      </c>
      <c r="Z138" s="7" t="n">
        <v>34.9</v>
      </c>
      <c r="AB138" s="7" t="n">
        <v>428.8</v>
      </c>
    </row>
    <row r="139">
      <c r="A139" s="4" t="inlineStr">
        <is>
          <t>燃气费</t>
        </is>
      </c>
      <c r="D139" s="7" t="n">
        <v>5.3</v>
      </c>
      <c r="F139" s="7" t="n">
        <v>61.2</v>
      </c>
      <c r="H139" s="7" t="n">
        <v>73.7</v>
      </c>
      <c r="J139" s="7" t="n">
        <v>30.7</v>
      </c>
      <c r="L139" s="7" t="n">
        <v>62</v>
      </c>
      <c r="N139" s="7" t="n">
        <v>61.3</v>
      </c>
      <c r="P139" s="7" t="n">
        <v>15.2</v>
      </c>
      <c r="R139" s="7" t="n">
        <v>23.3</v>
      </c>
      <c r="T139" s="7" t="n">
        <v>6.7</v>
      </c>
      <c r="V139" s="7" t="n">
        <v>32.4</v>
      </c>
      <c r="X139" s="7" t="n">
        <v>17.5</v>
      </c>
      <c r="Z139" s="7" t="n">
        <v>40.2</v>
      </c>
      <c r="AB139" s="7" t="n">
        <v>429.5</v>
      </c>
    </row>
    <row r="140">
      <c r="A140" s="4" t="inlineStr">
        <is>
          <t>蒸汽费</t>
        </is>
      </c>
      <c r="D140" s="7" t="n">
        <v>5.1</v>
      </c>
      <c r="F140" s="7" t="n">
        <v>44.1</v>
      </c>
      <c r="H140" s="7" t="n">
        <v>52.2</v>
      </c>
      <c r="J140" s="7" t="n">
        <v>23.8</v>
      </c>
      <c r="L140" s="7" t="n">
        <v>73.40000000000001</v>
      </c>
      <c r="N140" s="7" t="n">
        <v>48</v>
      </c>
      <c r="P140" s="7" t="n">
        <v>14.3</v>
      </c>
      <c r="R140" s="7" t="n">
        <v>22.4</v>
      </c>
      <c r="T140" s="7" t="n">
        <v>6.2</v>
      </c>
      <c r="V140" s="7" t="n">
        <v>22.2</v>
      </c>
      <c r="X140" s="7" t="n">
        <v>14.2</v>
      </c>
      <c r="Z140" s="7" t="n">
        <v>26</v>
      </c>
      <c r="AB140" s="7" t="n">
        <v>351.9</v>
      </c>
    </row>
    <row r="141">
      <c r="A141" s="4" t="inlineStr">
        <is>
          <t>物业费</t>
        </is>
      </c>
      <c r="D141" s="7" t="n">
        <v>4.4</v>
      </c>
      <c r="F141" s="7" t="n">
        <v>63.2</v>
      </c>
      <c r="H141" s="7" t="n">
        <v>47.9</v>
      </c>
      <c r="J141" s="7" t="n">
        <v>27</v>
      </c>
      <c r="L141" s="7" t="n">
        <v>70.09999999999999</v>
      </c>
      <c r="N141" s="7" t="n">
        <v>55.1</v>
      </c>
      <c r="P141" s="7" t="n">
        <v>15.6</v>
      </c>
      <c r="R141" s="7" t="n">
        <v>23.4</v>
      </c>
      <c r="T141" s="7" t="n">
        <v>7.8</v>
      </c>
      <c r="V141" s="7" t="n">
        <v>26.2</v>
      </c>
      <c r="X141" s="7" t="n">
        <v>14.6</v>
      </c>
      <c r="Z141" s="7" t="n">
        <v>20.2</v>
      </c>
      <c r="AB141" s="7" t="n">
        <v>375.5</v>
      </c>
    </row>
    <row r="142">
      <c r="A142" s="4" t="inlineStr">
        <is>
          <t>劳动保护费</t>
        </is>
      </c>
      <c r="D142" s="7" t="n">
        <v>8</v>
      </c>
      <c r="F142" s="7" t="n">
        <v>59.5</v>
      </c>
      <c r="H142" s="7" t="n">
        <v>107.1</v>
      </c>
      <c r="J142" s="7" t="n">
        <v>52.6</v>
      </c>
      <c r="L142" s="7" t="n">
        <v>73.3</v>
      </c>
      <c r="N142" s="7" t="n">
        <v>75.59999999999999</v>
      </c>
      <c r="P142" s="7" t="n">
        <v>20.6</v>
      </c>
      <c r="R142" s="7" t="n">
        <v>45.7</v>
      </c>
      <c r="T142" s="7" t="n">
        <v>10.9</v>
      </c>
      <c r="V142" s="7" t="n">
        <v>36.5</v>
      </c>
      <c r="X142" s="7" t="n">
        <v>23</v>
      </c>
      <c r="Z142" s="7" t="n">
        <v>28.4</v>
      </c>
      <c r="AB142" s="7" t="n">
        <v>541.2</v>
      </c>
    </row>
    <row r="143">
      <c r="A143" s="4" t="inlineStr">
        <is>
          <t>顾问费</t>
        </is>
      </c>
      <c r="D143" s="7" t="n">
        <v>8.5</v>
      </c>
      <c r="F143" s="7" t="n">
        <v>71.2</v>
      </c>
      <c r="H143" s="7" t="n">
        <v>58.6</v>
      </c>
      <c r="J143" s="7" t="n">
        <v>38.4</v>
      </c>
      <c r="L143" s="7" t="n">
        <v>103.2</v>
      </c>
      <c r="N143" s="7" t="n">
        <v>55.8</v>
      </c>
      <c r="P143" s="7" t="n">
        <v>21.2</v>
      </c>
      <c r="R143" s="7" t="n">
        <v>33.4</v>
      </c>
      <c r="T143" s="7" t="n">
        <v>7</v>
      </c>
      <c r="V143" s="7" t="n">
        <v>33</v>
      </c>
      <c r="X143" s="7" t="n">
        <v>13.3</v>
      </c>
      <c r="Z143" s="7" t="n">
        <v>32.2</v>
      </c>
      <c r="AB143" s="7" t="n">
        <v>475.8</v>
      </c>
    </row>
    <row r="144">
      <c r="A144" s="4" t="inlineStr">
        <is>
          <t>快递费</t>
        </is>
      </c>
      <c r="D144" s="7" t="n">
        <v>11.3</v>
      </c>
      <c r="F144" s="7" t="n">
        <v>91.8</v>
      </c>
      <c r="H144" s="7" t="n">
        <v>89.09999999999999</v>
      </c>
      <c r="J144" s="7" t="n">
        <v>84.7</v>
      </c>
      <c r="L144" s="7" t="n">
        <v>97.59999999999999</v>
      </c>
      <c r="N144" s="7" t="n">
        <v>90.2</v>
      </c>
      <c r="P144" s="7" t="n">
        <v>34</v>
      </c>
      <c r="R144" s="7" t="n">
        <v>43.6</v>
      </c>
      <c r="T144" s="7" t="n">
        <v>9.4</v>
      </c>
      <c r="V144" s="7" t="n">
        <v>54.4</v>
      </c>
      <c r="X144" s="7" t="n">
        <v>22.2</v>
      </c>
      <c r="Z144" s="7" t="n">
        <v>55.4</v>
      </c>
      <c r="AB144" s="7" t="n">
        <v>683.7</v>
      </c>
    </row>
    <row r="145">
      <c r="A145" s="4" t="inlineStr">
        <is>
          <t>诉讼费</t>
        </is>
      </c>
      <c r="D145" s="7" t="n">
        <v>0.7</v>
      </c>
      <c r="F145" s="7" t="n">
        <v>5.4</v>
      </c>
      <c r="H145" s="7" t="n">
        <v>7.4</v>
      </c>
      <c r="J145" s="7" t="n">
        <v>4.3</v>
      </c>
      <c r="L145" s="7" t="n">
        <v>9.300000000000001</v>
      </c>
      <c r="N145" s="7" t="n">
        <v>5.3</v>
      </c>
      <c r="P145" s="7" t="n">
        <v>2</v>
      </c>
      <c r="R145" s="7" t="n">
        <v>4</v>
      </c>
      <c r="T145" s="7" t="n">
        <v>1.1</v>
      </c>
      <c r="V145" s="7" t="n">
        <v>3.8</v>
      </c>
      <c r="X145" s="7" t="n">
        <v>1.5</v>
      </c>
      <c r="Z145" s="7" t="n">
        <v>3.9</v>
      </c>
      <c r="AB145" s="7" t="n">
        <v>48.7</v>
      </c>
    </row>
    <row r="146">
      <c r="A146" s="4" t="inlineStr">
        <is>
          <t>会员费</t>
        </is>
      </c>
      <c r="D146" s="7" t="n">
        <v>8.6</v>
      </c>
      <c r="F146" s="7" t="n">
        <v>54.5</v>
      </c>
      <c r="H146" s="7" t="n">
        <v>83.3</v>
      </c>
      <c r="J146" s="7" t="n">
        <v>44.6</v>
      </c>
      <c r="L146" s="7" t="n">
        <v>108.8</v>
      </c>
      <c r="N146" s="7" t="n">
        <v>65.5</v>
      </c>
      <c r="P146" s="7" t="n">
        <v>19.4</v>
      </c>
      <c r="R146" s="7" t="n">
        <v>46.1</v>
      </c>
      <c r="T146" s="7" t="n">
        <v>11.1</v>
      </c>
      <c r="V146" s="7" t="n">
        <v>40.6</v>
      </c>
      <c r="X146" s="7" t="n">
        <v>14</v>
      </c>
      <c r="Z146" s="7" t="n">
        <v>45.2</v>
      </c>
      <c r="AB146" s="7" t="n">
        <v>541.7</v>
      </c>
    </row>
    <row r="147">
      <c r="A147" s="4" t="inlineStr">
        <is>
          <t>广告宣传费</t>
        </is>
      </c>
      <c r="D147" s="7" t="n">
        <v>43</v>
      </c>
      <c r="F147" s="7" t="n">
        <v>582.4</v>
      </c>
      <c r="H147" s="7" t="n">
        <v>752.2</v>
      </c>
      <c r="J147" s="7" t="n">
        <v>358.8</v>
      </c>
      <c r="L147" s="7" t="n">
        <v>916</v>
      </c>
      <c r="N147" s="7" t="n">
        <v>356.2</v>
      </c>
      <c r="P147" s="7" t="n">
        <v>218.3</v>
      </c>
      <c r="R147" s="7" t="n">
        <v>372.4</v>
      </c>
      <c r="T147" s="7" t="n">
        <v>94.09999999999999</v>
      </c>
      <c r="V147" s="7" t="n">
        <v>218.8</v>
      </c>
      <c r="X147" s="7" t="n">
        <v>142.4</v>
      </c>
      <c r="Z147" s="7" t="n">
        <v>283.8</v>
      </c>
      <c r="AB147" s="7" t="n">
        <v>4338.4</v>
      </c>
    </row>
    <row r="148">
      <c r="A148" s="4" t="inlineStr">
        <is>
          <t>会务费</t>
        </is>
      </c>
      <c r="D148" s="7" t="n">
        <v>2.9</v>
      </c>
      <c r="F148" s="7" t="n">
        <v>25.7</v>
      </c>
      <c r="H148" s="7" t="n">
        <v>33.4</v>
      </c>
      <c r="J148" s="7" t="n">
        <v>17.7</v>
      </c>
      <c r="L148" s="7" t="n">
        <v>27.6</v>
      </c>
      <c r="N148" s="7" t="n">
        <v>13.6</v>
      </c>
      <c r="P148" s="7" t="n">
        <v>8.4</v>
      </c>
      <c r="R148" s="7" t="n">
        <v>10.6</v>
      </c>
      <c r="T148" s="7" t="n">
        <v>3</v>
      </c>
      <c r="V148" s="7" t="n">
        <v>8.6</v>
      </c>
      <c r="X148" s="7" t="n">
        <v>4.8</v>
      </c>
      <c r="Z148" s="7" t="n">
        <v>14</v>
      </c>
      <c r="AB148" s="7" t="n">
        <v>170.3</v>
      </c>
    </row>
    <row r="149">
      <c r="A149" s="4" t="inlineStr">
        <is>
          <t>装修费</t>
        </is>
      </c>
      <c r="D149" s="7" t="n">
        <v>9.5</v>
      </c>
      <c r="F149" s="7" t="n">
        <v>77.40000000000001</v>
      </c>
      <c r="H149" s="7" t="n">
        <v>78.59999999999999</v>
      </c>
      <c r="J149" s="7" t="n">
        <v>59.3</v>
      </c>
      <c r="L149" s="7" t="n">
        <v>137.4</v>
      </c>
      <c r="N149" s="7" t="n">
        <v>80.8</v>
      </c>
      <c r="P149" s="7" t="n">
        <v>21.3</v>
      </c>
      <c r="R149" s="7" t="n">
        <v>53.1</v>
      </c>
      <c r="T149" s="7" t="n">
        <v>11.5</v>
      </c>
      <c r="V149" s="7" t="n">
        <v>38.2</v>
      </c>
      <c r="X149" s="7" t="n">
        <v>24.8</v>
      </c>
      <c r="Z149" s="7" t="n">
        <v>42.5</v>
      </c>
      <c r="AB149" s="7" t="n">
        <v>634.4</v>
      </c>
    </row>
    <row r="150">
      <c r="A150" s="4" t="inlineStr">
        <is>
          <t>推广费</t>
        </is>
      </c>
      <c r="D150" s="7" t="n">
        <v>8.800000000000001</v>
      </c>
      <c r="F150" s="7" t="n">
        <v>121</v>
      </c>
      <c r="H150" s="7" t="n">
        <v>153.9</v>
      </c>
      <c r="J150" s="7" t="n">
        <v>74.3</v>
      </c>
      <c r="L150" s="7" t="n">
        <v>191.9</v>
      </c>
      <c r="N150" s="7" t="n">
        <v>105.6</v>
      </c>
      <c r="P150" s="7" t="n">
        <v>39.1</v>
      </c>
      <c r="R150" s="7" t="n">
        <v>65.2</v>
      </c>
      <c r="T150" s="7" t="n">
        <v>19.4</v>
      </c>
      <c r="V150" s="7" t="n">
        <v>38.7</v>
      </c>
      <c r="X150" s="7" t="n">
        <v>38.6</v>
      </c>
      <c r="Z150" s="7" t="n">
        <v>66.5</v>
      </c>
      <c r="AB150" s="7" t="n">
        <v>923</v>
      </c>
    </row>
    <row r="151">
      <c r="A151" s="4" t="inlineStr">
        <is>
          <t>展会费</t>
        </is>
      </c>
      <c r="D151" s="7" t="n">
        <v>12.3</v>
      </c>
      <c r="F151" s="7" t="n">
        <v>101.6</v>
      </c>
      <c r="H151" s="7" t="n">
        <v>134.7</v>
      </c>
      <c r="J151" s="7" t="n">
        <v>93.90000000000001</v>
      </c>
      <c r="L151" s="7" t="n">
        <v>126.7</v>
      </c>
      <c r="N151" s="7" t="n">
        <v>115.5</v>
      </c>
      <c r="P151" s="7" t="n">
        <v>45.4</v>
      </c>
      <c r="R151" s="7" t="n">
        <v>52</v>
      </c>
      <c r="T151" s="7" t="n">
        <v>14.1</v>
      </c>
      <c r="V151" s="7" t="n">
        <v>36</v>
      </c>
      <c r="X151" s="7" t="n">
        <v>22.3</v>
      </c>
      <c r="Z151" s="7" t="n">
        <v>72.09999999999999</v>
      </c>
      <c r="AB151" s="7" t="n">
        <v>826.6</v>
      </c>
    </row>
    <row r="152">
      <c r="A152" s="4" t="inlineStr">
        <is>
          <t>设计费</t>
        </is>
      </c>
      <c r="D152" s="7" t="n">
        <v>7.5</v>
      </c>
      <c r="F152" s="7" t="n">
        <v>54.9</v>
      </c>
      <c r="H152" s="7" t="n">
        <v>66.7</v>
      </c>
      <c r="J152" s="7" t="n">
        <v>32.3</v>
      </c>
      <c r="L152" s="7" t="n">
        <v>75.7</v>
      </c>
      <c r="N152" s="7" t="n">
        <v>41.4</v>
      </c>
      <c r="P152" s="7" t="n">
        <v>17.2</v>
      </c>
      <c r="R152" s="7" t="n">
        <v>21</v>
      </c>
      <c r="T152" s="7" t="n">
        <v>9.5</v>
      </c>
      <c r="V152" s="7" t="n">
        <v>23.3</v>
      </c>
      <c r="X152" s="7" t="n">
        <v>16</v>
      </c>
      <c r="Z152" s="7" t="n">
        <v>33.3</v>
      </c>
      <c r="AB152" s="7" t="n">
        <v>398.8</v>
      </c>
    </row>
    <row r="153">
      <c r="A153" s="4" t="inlineStr">
        <is>
          <t>折旧费</t>
        </is>
      </c>
      <c r="D153" s="7" t="n">
        <v>88.09999999999999</v>
      </c>
      <c r="F153" s="7" t="n">
        <v>928.1</v>
      </c>
      <c r="H153" s="7" t="n">
        <v>663.3</v>
      </c>
      <c r="J153" s="7" t="n">
        <v>572.8</v>
      </c>
      <c r="L153" s="7" t="n">
        <v>1220.7</v>
      </c>
      <c r="N153" s="7" t="n">
        <v>772.5</v>
      </c>
      <c r="P153" s="7" t="n">
        <v>213.3</v>
      </c>
      <c r="R153" s="7" t="n">
        <v>456.8</v>
      </c>
      <c r="T153" s="7" t="n">
        <v>93.59999999999999</v>
      </c>
      <c r="V153" s="7" t="n">
        <v>427</v>
      </c>
      <c r="X153" s="7" t="n">
        <v>154.5</v>
      </c>
      <c r="Z153" s="7" t="n">
        <v>334</v>
      </c>
      <c r="AB153" s="7" t="n">
        <v>5924.7</v>
      </c>
    </row>
    <row r="154">
      <c r="A154" s="4" t="inlineStr">
        <is>
          <t>认证费</t>
        </is>
      </c>
      <c r="D154" s="7" t="n">
        <v>4.9</v>
      </c>
      <c r="F154" s="7" t="n">
        <v>28.4</v>
      </c>
      <c r="H154" s="7" t="n">
        <v>46.1</v>
      </c>
      <c r="J154" s="7" t="n">
        <v>29.9</v>
      </c>
      <c r="L154" s="7" t="n">
        <v>45.2</v>
      </c>
      <c r="N154" s="7" t="n">
        <v>28.3</v>
      </c>
      <c r="P154" s="7" t="n">
        <v>11.5</v>
      </c>
      <c r="R154" s="7" t="n">
        <v>25.3</v>
      </c>
      <c r="T154" s="7" t="n">
        <v>6.2</v>
      </c>
      <c r="V154" s="7" t="n">
        <v>15.1</v>
      </c>
      <c r="X154" s="7" t="n">
        <v>10.8</v>
      </c>
      <c r="Z154" s="7" t="n">
        <v>22.4</v>
      </c>
      <c r="AB154" s="7" t="n">
        <v>274.1</v>
      </c>
    </row>
    <row r="155">
      <c r="A155" s="4" t="inlineStr">
        <is>
          <t>样品费</t>
        </is>
      </c>
      <c r="D155" s="7" t="n">
        <v>30.7</v>
      </c>
      <c r="F155" s="7" t="n">
        <v>317.8</v>
      </c>
      <c r="H155" s="7" t="n">
        <v>519.6</v>
      </c>
      <c r="J155" s="7" t="n">
        <v>308.5</v>
      </c>
      <c r="L155" s="7" t="n">
        <v>350.2</v>
      </c>
      <c r="N155" s="7" t="n">
        <v>340.3</v>
      </c>
      <c r="P155" s="7" t="n">
        <v>122.6</v>
      </c>
      <c r="R155" s="7" t="n">
        <v>175.4</v>
      </c>
      <c r="T155" s="7" t="n">
        <v>61.1</v>
      </c>
      <c r="V155" s="7" t="n">
        <v>129.1</v>
      </c>
      <c r="X155" s="7" t="n">
        <v>104.9</v>
      </c>
      <c r="Z155" s="7" t="n">
        <v>200.3</v>
      </c>
      <c r="AB155" s="7" t="n">
        <v>2660.5</v>
      </c>
    </row>
    <row r="156">
      <c r="A156" s="4" t="inlineStr">
        <is>
          <t>劳务费</t>
        </is>
      </c>
      <c r="D156" s="7" t="n">
        <v>10.7</v>
      </c>
      <c r="F156" s="7" t="n">
        <v>75</v>
      </c>
      <c r="H156" s="7" t="n">
        <v>81.7</v>
      </c>
      <c r="J156" s="7" t="n">
        <v>61.6</v>
      </c>
      <c r="L156" s="7" t="n">
        <v>112</v>
      </c>
      <c r="N156" s="7" t="n">
        <v>52.7</v>
      </c>
      <c r="P156" s="7" t="n">
        <v>27.4</v>
      </c>
      <c r="R156" s="7" t="n">
        <v>33.9</v>
      </c>
      <c r="T156" s="7" t="n">
        <v>10.9</v>
      </c>
      <c r="V156" s="7" t="n">
        <v>41.5</v>
      </c>
      <c r="X156" s="7" t="n">
        <v>25.4</v>
      </c>
      <c r="Z156" s="7" t="n">
        <v>42</v>
      </c>
      <c r="AB156" s="7" t="n">
        <v>574.8</v>
      </c>
    </row>
    <row r="157">
      <c r="A157" s="4" t="inlineStr">
        <is>
          <t>销售佣金</t>
        </is>
      </c>
      <c r="D157" s="7" t="n">
        <v>4.9</v>
      </c>
      <c r="F157" s="7" t="n">
        <v>30</v>
      </c>
      <c r="H157" s="7" t="n">
        <v>55.3</v>
      </c>
      <c r="J157" s="7" t="n">
        <v>36.3</v>
      </c>
      <c r="L157" s="7" t="n">
        <v>57.9</v>
      </c>
      <c r="N157" s="7" t="n">
        <v>36.2</v>
      </c>
      <c r="P157" s="7" t="n">
        <v>13.4</v>
      </c>
      <c r="R157" s="7" t="n">
        <v>24.1</v>
      </c>
      <c r="T157" s="7" t="n">
        <v>4.8</v>
      </c>
      <c r="V157" s="7" t="n">
        <v>13.4</v>
      </c>
      <c r="X157" s="7" t="n">
        <v>12.4</v>
      </c>
      <c r="Z157" s="7" t="n">
        <v>24.3</v>
      </c>
      <c r="AB157" s="7" t="n">
        <v>313</v>
      </c>
    </row>
    <row r="158">
      <c r="A158" s="4" t="inlineStr">
        <is>
          <t>检测费</t>
        </is>
      </c>
      <c r="D158" s="7" t="n">
        <v>0.3</v>
      </c>
      <c r="F158" s="7" t="n">
        <v>3</v>
      </c>
      <c r="H158" s="7" t="n">
        <v>4.2</v>
      </c>
      <c r="J158" s="7" t="n">
        <v>1.9</v>
      </c>
      <c r="L158" s="7" t="n">
        <v>4.6</v>
      </c>
      <c r="N158" s="7" t="n">
        <v>3.7</v>
      </c>
      <c r="P158" s="7" t="n">
        <v>0.8</v>
      </c>
      <c r="R158" s="7" t="n">
        <v>2.2</v>
      </c>
      <c r="T158" s="7" t="n">
        <v>0.4</v>
      </c>
      <c r="V158" s="7" t="n">
        <v>1.4</v>
      </c>
      <c r="X158" s="7" t="n">
        <v>0.8</v>
      </c>
      <c r="Z158" s="7" t="n">
        <v>1.9</v>
      </c>
      <c r="AB158" s="7" t="n">
        <v>25.2</v>
      </c>
    </row>
    <row r="159">
      <c r="A159" s="4" t="inlineStr">
        <is>
          <t>质量赔偿</t>
        </is>
      </c>
      <c r="D159" s="7" t="n">
        <v>11.3</v>
      </c>
      <c r="F159" s="7" t="n">
        <v>90.40000000000001</v>
      </c>
      <c r="H159" s="7" t="n">
        <v>107.8</v>
      </c>
      <c r="J159" s="7" t="n">
        <v>74.59999999999999</v>
      </c>
      <c r="L159" s="7" t="n">
        <v>128.1</v>
      </c>
      <c r="N159" s="7" t="n">
        <v>91.7</v>
      </c>
      <c r="P159" s="7" t="n">
        <v>40.7</v>
      </c>
      <c r="R159" s="7" t="n">
        <v>44.7</v>
      </c>
      <c r="T159" s="7" t="n">
        <v>11.2</v>
      </c>
      <c r="V159" s="7" t="n">
        <v>62.7</v>
      </c>
      <c r="X159" s="7" t="n">
        <v>34.2</v>
      </c>
      <c r="Z159" s="7" t="n">
        <v>49.7</v>
      </c>
      <c r="AB159" s="7" t="n">
        <v>747.1</v>
      </c>
    </row>
    <row r="160">
      <c r="A160" s="4" t="inlineStr">
        <is>
          <t>保险费</t>
        </is>
      </c>
      <c r="D160" s="7" t="n">
        <v>10.3</v>
      </c>
      <c r="F160" s="7" t="n">
        <v>95.59999999999999</v>
      </c>
      <c r="H160" s="7" t="n">
        <v>113.8</v>
      </c>
      <c r="J160" s="7" t="n">
        <v>52.5</v>
      </c>
      <c r="L160" s="7" t="n">
        <v>95.8</v>
      </c>
      <c r="N160" s="7" t="n">
        <v>76.8</v>
      </c>
      <c r="P160" s="7" t="n">
        <v>22.3</v>
      </c>
      <c r="R160" s="7" t="n">
        <v>30</v>
      </c>
      <c r="T160" s="7" t="n">
        <v>10.5</v>
      </c>
      <c r="V160" s="7" t="n">
        <v>30.6</v>
      </c>
      <c r="X160" s="7" t="n">
        <v>24.3</v>
      </c>
      <c r="Z160" s="7" t="n">
        <v>38</v>
      </c>
      <c r="AB160" s="7" t="n">
        <v>600.5</v>
      </c>
    </row>
    <row r="161">
      <c r="A161" s="4" t="inlineStr">
        <is>
          <t>清洁费</t>
        </is>
      </c>
      <c r="D161" s="7" t="n">
        <v>2.9</v>
      </c>
      <c r="F161" s="7" t="n">
        <v>25.4</v>
      </c>
      <c r="H161" s="7" t="n">
        <v>28.1</v>
      </c>
      <c r="J161" s="7" t="n">
        <v>14.1</v>
      </c>
      <c r="L161" s="7" t="n">
        <v>26.3</v>
      </c>
      <c r="N161" s="7" t="n">
        <v>16.6</v>
      </c>
      <c r="P161" s="7" t="n">
        <v>7.4</v>
      </c>
      <c r="R161" s="7" t="n">
        <v>15.3</v>
      </c>
      <c r="T161" s="7" t="n">
        <v>3.5</v>
      </c>
      <c r="V161" s="7" t="n">
        <v>10</v>
      </c>
      <c r="X161" s="7" t="n">
        <v>7.4</v>
      </c>
      <c r="Z161" s="7" t="n">
        <v>10.6</v>
      </c>
      <c r="AB161" s="7" t="n">
        <v>167.6</v>
      </c>
    </row>
    <row r="162">
      <c r="A162" s="4" t="inlineStr">
        <is>
          <t>低值易耗品</t>
        </is>
      </c>
      <c r="D162" s="7" t="n">
        <v>0.5</v>
      </c>
      <c r="F162" s="7" t="n">
        <v>5.3</v>
      </c>
      <c r="H162" s="7" t="n">
        <v>6.4</v>
      </c>
      <c r="J162" s="7" t="n">
        <v>2.6</v>
      </c>
      <c r="L162" s="7" t="n">
        <v>5.2</v>
      </c>
      <c r="N162" s="7" t="n">
        <v>4.1</v>
      </c>
      <c r="P162" s="7" t="n">
        <v>1.4</v>
      </c>
      <c r="R162" s="7" t="n">
        <v>2.5</v>
      </c>
      <c r="T162" s="7" t="n">
        <v>0.5</v>
      </c>
      <c r="V162" s="7" t="n">
        <v>1.9</v>
      </c>
      <c r="X162" s="7" t="n">
        <v>0.8</v>
      </c>
      <c r="Z162" s="7" t="n">
        <v>2.1</v>
      </c>
      <c r="AB162" s="7" t="n">
        <v>33.3</v>
      </c>
    </row>
    <row r="163">
      <c r="A163" s="4" t="inlineStr">
        <is>
          <t>物料消耗</t>
        </is>
      </c>
      <c r="D163" s="7" t="n">
        <v>5.2</v>
      </c>
      <c r="F163" s="7" t="n">
        <v>42.7</v>
      </c>
      <c r="H163" s="7" t="n">
        <v>44.4</v>
      </c>
      <c r="J163" s="7" t="n">
        <v>38.3</v>
      </c>
      <c r="L163" s="7" t="n">
        <v>67.09999999999999</v>
      </c>
      <c r="N163" s="7" t="n">
        <v>38.6</v>
      </c>
      <c r="P163" s="7" t="n">
        <v>17.9</v>
      </c>
      <c r="R163" s="7" t="n">
        <v>25.4</v>
      </c>
      <c r="T163" s="7" t="n">
        <v>7.1</v>
      </c>
      <c r="V163" s="7" t="n">
        <v>20.3</v>
      </c>
      <c r="X163" s="7" t="n">
        <v>13</v>
      </c>
      <c r="Z163" s="7" t="n">
        <v>27.7</v>
      </c>
      <c r="AB163" s="7" t="n">
        <v>347.7</v>
      </c>
    </row>
    <row r="164">
      <c r="A164" s="4" t="inlineStr">
        <is>
          <t>盘盈盘亏</t>
        </is>
      </c>
      <c r="D164" s="7" t="n">
        <v>13</v>
      </c>
      <c r="F164" s="7" t="n">
        <v>86</v>
      </c>
      <c r="H164" s="7" t="n">
        <v>115.9</v>
      </c>
      <c r="J164" s="7" t="n">
        <v>92</v>
      </c>
      <c r="L164" s="7" t="n">
        <v>168.3</v>
      </c>
      <c r="N164" s="7" t="n">
        <v>84.59999999999999</v>
      </c>
      <c r="P164" s="7" t="n">
        <v>31.5</v>
      </c>
      <c r="R164" s="7" t="n">
        <v>47.6</v>
      </c>
      <c r="T164" s="7" t="n">
        <v>10.4</v>
      </c>
      <c r="V164" s="7" t="n">
        <v>57.6</v>
      </c>
      <c r="X164" s="7" t="n">
        <v>24.9</v>
      </c>
      <c r="Z164" s="7" t="n">
        <v>39.9</v>
      </c>
      <c r="AB164" s="7" t="n">
        <v>771.7</v>
      </c>
    </row>
    <row r="165">
      <c r="A165" s="4" t="inlineStr">
        <is>
          <t>平台服务费</t>
        </is>
      </c>
      <c r="D165" s="7" t="n">
        <v>6.8</v>
      </c>
      <c r="F165" s="7" t="n">
        <v>55.7</v>
      </c>
      <c r="H165" s="7" t="n">
        <v>46.3</v>
      </c>
      <c r="J165" s="7" t="n">
        <v>46.5</v>
      </c>
      <c r="L165" s="7" t="n">
        <v>88</v>
      </c>
      <c r="N165" s="7" t="n">
        <v>43.6</v>
      </c>
      <c r="P165" s="7" t="n">
        <v>14.9</v>
      </c>
      <c r="R165" s="7" t="n">
        <v>29.1</v>
      </c>
      <c r="T165" s="7" t="n">
        <v>7.2</v>
      </c>
      <c r="V165" s="7" t="n">
        <v>32.4</v>
      </c>
      <c r="X165" s="7" t="n">
        <v>18.5</v>
      </c>
      <c r="Z165" s="7" t="n">
        <v>34.1</v>
      </c>
      <c r="AB165" s="7" t="n">
        <v>423.1</v>
      </c>
    </row>
    <row r="166">
      <c r="A166" s="4" t="inlineStr">
        <is>
          <t>无形资产摊销</t>
        </is>
      </c>
      <c r="D166" s="7" t="n">
        <v>7.3</v>
      </c>
      <c r="F166" s="7" t="n">
        <v>67.90000000000001</v>
      </c>
      <c r="H166" s="7" t="n">
        <v>112.1</v>
      </c>
      <c r="J166" s="7" t="n">
        <v>51.3</v>
      </c>
      <c r="L166" s="7" t="n">
        <v>104.8</v>
      </c>
      <c r="N166" s="7" t="n">
        <v>68.5</v>
      </c>
      <c r="P166" s="7" t="n">
        <v>21.8</v>
      </c>
      <c r="R166" s="7" t="n">
        <v>27.4</v>
      </c>
      <c r="T166" s="7" t="n">
        <v>11.1</v>
      </c>
      <c r="V166" s="7" t="n">
        <v>33.4</v>
      </c>
      <c r="X166" s="7" t="n">
        <v>23.1</v>
      </c>
      <c r="Z166" s="7" t="n">
        <v>43.2</v>
      </c>
      <c r="AB166" s="7" t="n">
        <v>571.9</v>
      </c>
    </row>
    <row r="167">
      <c r="A167" s="4" t="inlineStr">
        <is>
          <t>研发材料</t>
        </is>
      </c>
      <c r="D167" s="7" t="n">
        <v>13.5</v>
      </c>
      <c r="F167" s="7" t="n">
        <v>100.5</v>
      </c>
      <c r="H167" s="7" t="n">
        <v>91.59999999999999</v>
      </c>
      <c r="J167" s="7" t="n">
        <v>92.40000000000001</v>
      </c>
      <c r="L167" s="7" t="n">
        <v>152.5</v>
      </c>
      <c r="N167" s="7" t="n">
        <v>114.2</v>
      </c>
      <c r="P167" s="7" t="n">
        <v>27.2</v>
      </c>
      <c r="R167" s="7" t="n">
        <v>70.40000000000001</v>
      </c>
      <c r="T167" s="7" t="n">
        <v>11.7</v>
      </c>
      <c r="V167" s="7" t="n">
        <v>49.6</v>
      </c>
      <c r="X167" s="7" t="n">
        <v>32.1</v>
      </c>
      <c r="Z167" s="7" t="n">
        <v>72.2</v>
      </c>
      <c r="AB167" s="7" t="n">
        <v>827.9</v>
      </c>
    </row>
    <row r="168">
      <c r="A168" s="4" t="inlineStr">
        <is>
          <t>项目名称</t>
        </is>
      </c>
      <c r="D168" s="7" t="n">
        <v>11.4</v>
      </c>
      <c r="F168" s="7" t="n">
        <v>101</v>
      </c>
      <c r="H168" s="7" t="n">
        <v>132.4</v>
      </c>
      <c r="J168" s="7" t="n">
        <v>74.90000000000001</v>
      </c>
      <c r="L168" s="7" t="n">
        <v>145.8</v>
      </c>
      <c r="N168" s="7" t="n">
        <v>87.8</v>
      </c>
      <c r="P168" s="7" t="n">
        <v>42.5</v>
      </c>
      <c r="R168" s="7" t="n">
        <v>43.9</v>
      </c>
      <c r="T168" s="7" t="n">
        <v>17.2</v>
      </c>
      <c r="V168" s="7" t="n">
        <v>49.9</v>
      </c>
      <c r="X168" s="7" t="n">
        <v>20.7</v>
      </c>
      <c r="Z168" s="7" t="n">
        <v>46</v>
      </c>
      <c r="AB168" s="7" t="n">
        <v>773.5</v>
      </c>
    </row>
    <row r="169">
      <c r="A169" s="4" t="inlineStr">
        <is>
          <t>研发费</t>
        </is>
      </c>
      <c r="D169" s="7" t="n">
        <v>5.4</v>
      </c>
      <c r="F169" s="7" t="n">
        <v>61.2</v>
      </c>
      <c r="H169" s="7" t="n">
        <v>80.09999999999999</v>
      </c>
      <c r="J169" s="7" t="n">
        <v>34.9</v>
      </c>
      <c r="L169" s="7" t="n">
        <v>69.7</v>
      </c>
      <c r="N169" s="7" t="n">
        <v>42.6</v>
      </c>
      <c r="P169" s="7" t="n">
        <v>26.2</v>
      </c>
      <c r="R169" s="7" t="n">
        <v>33.1</v>
      </c>
      <c r="T169" s="7" t="n">
        <v>8.6</v>
      </c>
      <c r="V169" s="7" t="n">
        <v>26.5</v>
      </c>
      <c r="X169" s="7" t="n">
        <v>15.5</v>
      </c>
      <c r="Z169" s="7" t="n">
        <v>22.8</v>
      </c>
      <c r="AB169" s="7" t="n">
        <v>426.6</v>
      </c>
    </row>
    <row r="170">
      <c r="A170" s="4" t="inlineStr">
        <is>
          <t>残保金</t>
        </is>
      </c>
      <c r="D170" s="7" t="n">
        <v>15.5</v>
      </c>
      <c r="F170" s="7" t="n">
        <v>104.9</v>
      </c>
      <c r="H170" s="7" t="n">
        <v>174.8</v>
      </c>
      <c r="J170" s="7" t="n">
        <v>93.2</v>
      </c>
      <c r="L170" s="7" t="n">
        <v>186</v>
      </c>
      <c r="N170" s="7" t="n">
        <v>97.09999999999999</v>
      </c>
      <c r="P170" s="7" t="n">
        <v>45.8</v>
      </c>
      <c r="R170" s="7" t="n">
        <v>72.40000000000001</v>
      </c>
      <c r="T170" s="7" t="n">
        <v>13.2</v>
      </c>
      <c r="V170" s="7" t="n">
        <v>49.6</v>
      </c>
      <c r="X170" s="7" t="n">
        <v>22.2</v>
      </c>
      <c r="Z170" s="7" t="n">
        <v>76</v>
      </c>
      <c r="AB170" s="7" t="n">
        <v>950.7</v>
      </c>
    </row>
    <row r="171">
      <c r="A171" s="4" t="inlineStr">
        <is>
          <t>环保费</t>
        </is>
      </c>
      <c r="D171" s="7" t="n">
        <v>8.1</v>
      </c>
      <c r="F171" s="7" t="n">
        <v>72.59999999999999</v>
      </c>
      <c r="H171" s="7" t="n">
        <v>111.7</v>
      </c>
      <c r="J171" s="7" t="n">
        <v>48.9</v>
      </c>
      <c r="L171" s="7" t="n">
        <v>146.4</v>
      </c>
      <c r="N171" s="7" t="n">
        <v>80.59999999999999</v>
      </c>
      <c r="P171" s="7" t="n">
        <v>25</v>
      </c>
      <c r="R171" s="7" t="n">
        <v>42.5</v>
      </c>
      <c r="T171" s="7" t="n">
        <v>11.7</v>
      </c>
      <c r="V171" s="7" t="n">
        <v>37</v>
      </c>
      <c r="X171" s="7" t="n">
        <v>16.9</v>
      </c>
      <c r="Z171" s="7" t="n">
        <v>38</v>
      </c>
      <c r="AB171" s="7" t="n">
        <v>639.4</v>
      </c>
    </row>
    <row r="172">
      <c r="A172" s="4" t="inlineStr">
        <is>
          <t>报废损失</t>
        </is>
      </c>
      <c r="D172" s="7" t="n">
        <v>0.9</v>
      </c>
      <c r="F172" s="7" t="n">
        <v>8.1</v>
      </c>
      <c r="H172" s="7" t="n">
        <v>8.199999999999999</v>
      </c>
      <c r="J172" s="7" t="n">
        <v>6</v>
      </c>
      <c r="L172" s="7" t="n">
        <v>11.8</v>
      </c>
      <c r="N172" s="7" t="n">
        <v>5.6</v>
      </c>
      <c r="P172" s="7" t="n">
        <v>1.9</v>
      </c>
      <c r="R172" s="7" t="n">
        <v>3.3</v>
      </c>
      <c r="T172" s="7" t="n">
        <v>1.1</v>
      </c>
      <c r="V172" s="7" t="n">
        <v>3.2</v>
      </c>
      <c r="X172" s="7" t="n">
        <v>2</v>
      </c>
      <c r="Z172" s="7" t="n">
        <v>3.9</v>
      </c>
      <c r="AB172" s="7" t="n">
        <v>56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6313.7</v>
      </c>
      <c r="D173" s="7" t="n">
        <v>1157.4</v>
      </c>
      <c r="E173" s="7" t="n">
        <v>4907.4</v>
      </c>
      <c r="F173" s="7" t="n">
        <v>6190.4</v>
      </c>
      <c r="G173" s="7" t="n">
        <v>5006.6</v>
      </c>
      <c r="H173" s="7" t="n">
        <v>13000</v>
      </c>
      <c r="I173" s="7" t="n">
        <v>6183.5</v>
      </c>
      <c r="J173" s="7" t="n">
        <v>8088.8</v>
      </c>
      <c r="K173" s="7" t="n">
        <v>5625.1</v>
      </c>
      <c r="L173" s="7" t="n">
        <v>17835.6</v>
      </c>
      <c r="M173" s="7" t="n">
        <v>5863.7</v>
      </c>
      <c r="N173" s="7" t="n">
        <v>9451.9</v>
      </c>
      <c r="O173" s="7" t="n">
        <v>5903.2</v>
      </c>
      <c r="P173" s="7" t="n">
        <v>2333.4</v>
      </c>
      <c r="Q173" s="7" t="n">
        <v>5014.5</v>
      </c>
      <c r="R173" s="7" t="n">
        <v>1576.8</v>
      </c>
      <c r="S173" s="7" t="n">
        <v>6256.3</v>
      </c>
      <c r="T173" s="7" t="n">
        <v>992.9</v>
      </c>
      <c r="U173" s="7" t="n">
        <v>5984.8</v>
      </c>
      <c r="V173" s="7" t="n">
        <v>2997</v>
      </c>
      <c r="W173" s="7" t="n">
        <v>4872.7</v>
      </c>
      <c r="X173" s="7" t="n">
        <v>3235</v>
      </c>
      <c r="Y173" s="7" t="n">
        <v>5375.3</v>
      </c>
      <c r="Z173" s="7" t="n">
        <v>1894.4</v>
      </c>
      <c r="AA173" s="8" t="n">
        <v>67306.8</v>
      </c>
      <c r="AB173" s="8" t="n">
        <v>68753.60000000001</v>
      </c>
    </row>
    <row r="174">
      <c r="A174" s="4" t="inlineStr">
        <is>
          <t>职工薪酬</t>
        </is>
      </c>
      <c r="D174" s="7" t="n">
        <v>684.6</v>
      </c>
      <c r="F174" s="7" t="n">
        <v>3418.5</v>
      </c>
      <c r="H174" s="7" t="n">
        <v>5570.1</v>
      </c>
      <c r="J174" s="7" t="n">
        <v>3653.9</v>
      </c>
      <c r="L174" s="7" t="n">
        <v>8164.9</v>
      </c>
      <c r="N174" s="7" t="n">
        <v>5069.9</v>
      </c>
      <c r="P174" s="7" t="n">
        <v>1118.5</v>
      </c>
      <c r="R174" s="7" t="n">
        <v>831.7</v>
      </c>
      <c r="T174" s="7" t="n">
        <v>570.1</v>
      </c>
      <c r="V174" s="7" t="n">
        <v>1635.2</v>
      </c>
      <c r="X174" s="7" t="n">
        <v>1692.9</v>
      </c>
      <c r="Z174" s="7" t="n">
        <v>781</v>
      </c>
      <c r="AB174" s="7" t="n">
        <v>33191.3</v>
      </c>
    </row>
    <row r="175">
      <c r="A175" s="4" t="inlineStr">
        <is>
          <t>工资</t>
        </is>
      </c>
      <c r="D175" s="7" t="n">
        <v>440</v>
      </c>
      <c r="F175" s="7" t="n">
        <v>2132.7</v>
      </c>
      <c r="H175" s="7" t="n">
        <v>3234.6</v>
      </c>
      <c r="J175" s="7" t="n">
        <v>2141.3</v>
      </c>
      <c r="L175" s="7" t="n">
        <v>4648.4</v>
      </c>
      <c r="N175" s="7" t="n">
        <v>3054.8</v>
      </c>
      <c r="P175" s="7" t="n">
        <v>598.4</v>
      </c>
      <c r="R175" s="7" t="n">
        <v>475.5</v>
      </c>
      <c r="T175" s="7" t="n">
        <v>315.3</v>
      </c>
      <c r="V175" s="7" t="n">
        <v>1032.5</v>
      </c>
      <c r="X175" s="7" t="n">
        <v>1097.9</v>
      </c>
      <c r="Z175" s="7" t="n">
        <v>477.1</v>
      </c>
      <c r="AB175" s="7" t="n">
        <v>19648.5</v>
      </c>
    </row>
    <row r="176">
      <c r="A176" s="4" t="inlineStr">
        <is>
          <t>奖金及提成</t>
        </is>
      </c>
      <c r="D176" s="7" t="n">
        <v>118.3</v>
      </c>
      <c r="F176" s="7" t="n">
        <v>683.8</v>
      </c>
      <c r="H176" s="7" t="n">
        <v>1027.4</v>
      </c>
      <c r="J176" s="7" t="n">
        <v>674.1</v>
      </c>
      <c r="L176" s="7" t="n">
        <v>1719.1</v>
      </c>
      <c r="N176" s="7" t="n">
        <v>900.8</v>
      </c>
      <c r="P176" s="7" t="n">
        <v>230.1</v>
      </c>
      <c r="R176" s="7" t="n">
        <v>190.1</v>
      </c>
      <c r="T176" s="7" t="n">
        <v>123.2</v>
      </c>
      <c r="V176" s="7" t="n">
        <v>290.4</v>
      </c>
      <c r="X176" s="7" t="n">
        <v>269.1</v>
      </c>
      <c r="Z176" s="7" t="n">
        <v>146.7</v>
      </c>
      <c r="AB176" s="7" t="n">
        <v>6373.1</v>
      </c>
    </row>
    <row r="177">
      <c r="A177" s="4" t="inlineStr">
        <is>
          <t>社保</t>
        </is>
      </c>
      <c r="D177" s="7" t="n">
        <v>89.59999999999999</v>
      </c>
      <c r="F177" s="7" t="n">
        <v>429.8</v>
      </c>
      <c r="H177" s="7" t="n">
        <v>951</v>
      </c>
      <c r="J177" s="7" t="n">
        <v>632.2</v>
      </c>
      <c r="L177" s="7" t="n">
        <v>1365.2</v>
      </c>
      <c r="N177" s="7" t="n">
        <v>835.6</v>
      </c>
      <c r="P177" s="7" t="n">
        <v>230.4</v>
      </c>
      <c r="R177" s="7" t="n">
        <v>117.7</v>
      </c>
      <c r="T177" s="7" t="n">
        <v>100.6</v>
      </c>
      <c r="V177" s="7" t="n">
        <v>231.8</v>
      </c>
      <c r="X177" s="7" t="n">
        <v>229.8</v>
      </c>
      <c r="Z177" s="7" t="n">
        <v>109.8</v>
      </c>
      <c r="AB177" s="7" t="n">
        <v>5323.5</v>
      </c>
    </row>
    <row r="178">
      <c r="A178" s="4" t="inlineStr">
        <is>
          <t>养老</t>
        </is>
      </c>
      <c r="D178" s="7" t="n">
        <v>5.8</v>
      </c>
      <c r="F178" s="7" t="n">
        <v>31.1</v>
      </c>
      <c r="H178" s="7" t="n">
        <v>55.7</v>
      </c>
      <c r="J178" s="7" t="n">
        <v>38.7</v>
      </c>
      <c r="L178" s="7" t="n">
        <v>61.7</v>
      </c>
      <c r="N178" s="7" t="n">
        <v>38</v>
      </c>
      <c r="P178" s="7" t="n">
        <v>10.9</v>
      </c>
      <c r="R178" s="7" t="n">
        <v>5.9</v>
      </c>
      <c r="T178" s="7" t="n">
        <v>3.5</v>
      </c>
      <c r="V178" s="7" t="n">
        <v>10.5</v>
      </c>
      <c r="X178" s="7" t="n">
        <v>11</v>
      </c>
      <c r="Z178" s="7" t="n">
        <v>6.6</v>
      </c>
      <c r="AB178" s="7" t="n">
        <v>279.4</v>
      </c>
    </row>
    <row r="179">
      <c r="A179" s="4" t="inlineStr">
        <is>
          <t>医疗</t>
        </is>
      </c>
      <c r="D179" s="7" t="n">
        <v>3.4</v>
      </c>
      <c r="F179" s="7" t="n">
        <v>21.5</v>
      </c>
      <c r="H179" s="7" t="n">
        <v>51.8</v>
      </c>
      <c r="J179" s="7" t="n">
        <v>25.8</v>
      </c>
      <c r="L179" s="7" t="n">
        <v>57.3</v>
      </c>
      <c r="N179" s="7" t="n">
        <v>26.5</v>
      </c>
      <c r="P179" s="7" t="n">
        <v>9.199999999999999</v>
      </c>
      <c r="R179" s="7" t="n">
        <v>3.7</v>
      </c>
      <c r="T179" s="7" t="n">
        <v>3.8</v>
      </c>
      <c r="V179" s="7" t="n">
        <v>8.300000000000001</v>
      </c>
      <c r="X179" s="7" t="n">
        <v>10</v>
      </c>
      <c r="Z179" s="7" t="n">
        <v>5.9</v>
      </c>
      <c r="AB179" s="7" t="n">
        <v>227.2</v>
      </c>
    </row>
    <row r="180">
      <c r="A180" s="4" t="inlineStr">
        <is>
          <t>工伤</t>
        </is>
      </c>
      <c r="D180" s="7" t="n">
        <v>2.6</v>
      </c>
      <c r="F180" s="7" t="n">
        <v>23.6</v>
      </c>
      <c r="H180" s="7" t="n">
        <v>28.9</v>
      </c>
      <c r="J180" s="7" t="n">
        <v>30.8</v>
      </c>
      <c r="L180" s="7" t="n">
        <v>53</v>
      </c>
      <c r="N180" s="7" t="n">
        <v>26.9</v>
      </c>
      <c r="P180" s="7" t="n">
        <v>6.4</v>
      </c>
      <c r="R180" s="7" t="n">
        <v>4.8</v>
      </c>
      <c r="T180" s="7" t="n">
        <v>2.5</v>
      </c>
      <c r="V180" s="7" t="n">
        <v>7</v>
      </c>
      <c r="X180" s="7" t="n">
        <v>9</v>
      </c>
      <c r="Z180" s="7" t="n">
        <v>5.8</v>
      </c>
      <c r="AB180" s="7" t="n">
        <v>201.3</v>
      </c>
    </row>
    <row r="181">
      <c r="A181" s="4" t="inlineStr">
        <is>
          <t>失业</t>
        </is>
      </c>
      <c r="D181" s="7" t="n">
        <v>1.8</v>
      </c>
      <c r="F181" s="7" t="n">
        <v>6.2</v>
      </c>
      <c r="H181" s="7" t="n">
        <v>18.6</v>
      </c>
      <c r="J181" s="7" t="n">
        <v>12.9</v>
      </c>
      <c r="L181" s="7" t="n">
        <v>26.4</v>
      </c>
      <c r="N181" s="7" t="n">
        <v>9.4</v>
      </c>
      <c r="P181" s="7" t="n">
        <v>3.8</v>
      </c>
      <c r="R181" s="7" t="n">
        <v>2.5</v>
      </c>
      <c r="T181" s="7" t="n">
        <v>1.6</v>
      </c>
      <c r="V181" s="7" t="n">
        <v>3.8</v>
      </c>
      <c r="X181" s="7" t="n">
        <v>4</v>
      </c>
      <c r="Z181" s="7" t="n">
        <v>2.6</v>
      </c>
      <c r="AB181" s="7" t="n">
        <v>93.59999999999999</v>
      </c>
    </row>
    <row r="182">
      <c r="A182" s="4" t="inlineStr">
        <is>
          <t>生育</t>
        </is>
      </c>
      <c r="D182" s="7" t="n">
        <v>1.6</v>
      </c>
      <c r="F182" s="7" t="n">
        <v>8.4</v>
      </c>
      <c r="H182" s="7" t="n">
        <v>17.5</v>
      </c>
      <c r="J182" s="7" t="n">
        <v>16.6</v>
      </c>
      <c r="L182" s="7" t="n">
        <v>33.4</v>
      </c>
      <c r="N182" s="7" t="n">
        <v>16.4</v>
      </c>
      <c r="P182" s="7" t="n">
        <v>3.5</v>
      </c>
      <c r="R182" s="7" t="n">
        <v>2.1</v>
      </c>
      <c r="T182" s="7" t="n">
        <v>2</v>
      </c>
      <c r="V182" s="7" t="n">
        <v>5.9</v>
      </c>
      <c r="X182" s="7" t="n">
        <v>6.3</v>
      </c>
      <c r="Z182" s="7" t="n">
        <v>2.3</v>
      </c>
      <c r="AB182" s="7" t="n">
        <v>116</v>
      </c>
    </row>
    <row r="183">
      <c r="A183" s="4" t="inlineStr">
        <is>
          <t>公积金</t>
        </is>
      </c>
      <c r="D183" s="7" t="n">
        <v>4</v>
      </c>
      <c r="F183" s="7" t="n">
        <v>18</v>
      </c>
      <c r="H183" s="7" t="n">
        <v>43.8</v>
      </c>
      <c r="J183" s="7" t="n">
        <v>24.1</v>
      </c>
      <c r="L183" s="7" t="n">
        <v>34.1</v>
      </c>
      <c r="N183" s="7" t="n">
        <v>32.5</v>
      </c>
      <c r="P183" s="7" t="n">
        <v>5.4</v>
      </c>
      <c r="R183" s="7" t="n">
        <v>3.1</v>
      </c>
      <c r="T183" s="7" t="n">
        <v>3.5</v>
      </c>
      <c r="V183" s="7" t="n">
        <v>9.199999999999999</v>
      </c>
      <c r="X183" s="7" t="n">
        <v>6.5</v>
      </c>
      <c r="Z183" s="7" t="n">
        <v>5.8</v>
      </c>
      <c r="AB183" s="7" t="n">
        <v>190</v>
      </c>
    </row>
    <row r="184">
      <c r="A184" s="4" t="inlineStr">
        <is>
          <t>工会经费</t>
        </is>
      </c>
      <c r="D184" s="7" t="n">
        <v>6.5</v>
      </c>
      <c r="F184" s="7" t="n">
        <v>38.1</v>
      </c>
      <c r="H184" s="7" t="n">
        <v>63.7</v>
      </c>
      <c r="J184" s="7" t="n">
        <v>41.2</v>
      </c>
      <c r="L184" s="7" t="n">
        <v>71.2</v>
      </c>
      <c r="N184" s="7" t="n">
        <v>56.3</v>
      </c>
      <c r="P184" s="7" t="n">
        <v>13.2</v>
      </c>
      <c r="R184" s="7" t="n">
        <v>8.800000000000001</v>
      </c>
      <c r="T184" s="7" t="n">
        <v>6.1</v>
      </c>
      <c r="V184" s="7" t="n">
        <v>19.2</v>
      </c>
      <c r="X184" s="7" t="n">
        <v>22.4</v>
      </c>
      <c r="Z184" s="7" t="n">
        <v>7.6</v>
      </c>
      <c r="AB184" s="7" t="n">
        <v>354.3</v>
      </c>
    </row>
    <row r="185">
      <c r="A185" s="4" t="inlineStr">
        <is>
          <t>职工教育经费</t>
        </is>
      </c>
      <c r="D185" s="7" t="n">
        <v>1</v>
      </c>
      <c r="F185" s="7" t="n">
        <v>4.1</v>
      </c>
      <c r="H185" s="7" t="n">
        <v>10</v>
      </c>
      <c r="J185" s="7" t="n">
        <v>5.2</v>
      </c>
      <c r="L185" s="7" t="n">
        <v>15</v>
      </c>
      <c r="N185" s="7" t="n">
        <v>5.9</v>
      </c>
      <c r="P185" s="7" t="n">
        <v>1.2</v>
      </c>
      <c r="R185" s="7" t="n">
        <v>1.2</v>
      </c>
      <c r="T185" s="7" t="n">
        <v>0.7</v>
      </c>
      <c r="V185" s="7" t="n">
        <v>1.9</v>
      </c>
      <c r="X185" s="7" t="n">
        <v>1.6</v>
      </c>
      <c r="Z185" s="7" t="n">
        <v>1.4</v>
      </c>
      <c r="AB185" s="7" t="n">
        <v>49.2</v>
      </c>
    </row>
    <row r="186">
      <c r="A186" s="4" t="inlineStr">
        <is>
          <t>福利费</t>
        </is>
      </c>
      <c r="D186" s="7" t="n">
        <v>25.2</v>
      </c>
      <c r="F186" s="7" t="n">
        <v>112</v>
      </c>
      <c r="H186" s="7" t="n">
        <v>239.6</v>
      </c>
      <c r="J186" s="7" t="n">
        <v>135.8</v>
      </c>
      <c r="L186" s="7" t="n">
        <v>311.9</v>
      </c>
      <c r="N186" s="7" t="n">
        <v>184</v>
      </c>
      <c r="P186" s="7" t="n">
        <v>39.8</v>
      </c>
      <c r="R186" s="7" t="n">
        <v>35.3</v>
      </c>
      <c r="T186" s="7" t="n">
        <v>20.7</v>
      </c>
      <c r="V186" s="7" t="n">
        <v>50.2</v>
      </c>
      <c r="X186" s="7" t="n">
        <v>65.59999999999999</v>
      </c>
      <c r="Z186" s="7" t="n">
        <v>32.6</v>
      </c>
      <c r="AB186" s="7" t="n">
        <v>1252.7</v>
      </c>
    </row>
    <row r="187">
      <c r="A187" s="4" t="inlineStr">
        <is>
          <t>职工房租</t>
        </is>
      </c>
      <c r="D187" s="7" t="n">
        <v>0.1</v>
      </c>
      <c r="F187" s="7" t="n">
        <v>0.5</v>
      </c>
      <c r="H187" s="7" t="n">
        <v>1.3</v>
      </c>
      <c r="J187" s="7" t="n">
        <v>1.1</v>
      </c>
      <c r="L187" s="7" t="n">
        <v>1.9</v>
      </c>
      <c r="N187" s="7" t="n">
        <v>0.7</v>
      </c>
      <c r="P187" s="7" t="n">
        <v>0.3</v>
      </c>
      <c r="R187" s="7" t="n">
        <v>0.1</v>
      </c>
      <c r="T187" s="7" t="n">
        <v>0.1</v>
      </c>
      <c r="V187" s="7" t="n">
        <v>0.3</v>
      </c>
      <c r="X187" s="7" t="n">
        <v>0.4</v>
      </c>
      <c r="Z187" s="7" t="n">
        <v>0.1</v>
      </c>
      <c r="AB187" s="7" t="n">
        <v>6.9</v>
      </c>
    </row>
    <row r="188">
      <c r="A188" s="4" t="inlineStr">
        <is>
          <t>水电物业费</t>
        </is>
      </c>
      <c r="D188" s="7" t="n">
        <v>1.5</v>
      </c>
      <c r="F188" s="7" t="n">
        <v>7.3</v>
      </c>
      <c r="H188" s="7" t="n">
        <v>19.2</v>
      </c>
      <c r="J188" s="7" t="n">
        <v>11.6</v>
      </c>
      <c r="L188" s="7" t="n">
        <v>18.8</v>
      </c>
      <c r="N188" s="7" t="n">
        <v>13.5</v>
      </c>
      <c r="P188" s="7" t="n">
        <v>3.1</v>
      </c>
      <c r="R188" s="7" t="n">
        <v>2</v>
      </c>
      <c r="T188" s="7" t="n">
        <v>1.1</v>
      </c>
      <c r="V188" s="7" t="n">
        <v>4.4</v>
      </c>
      <c r="X188" s="7" t="n">
        <v>2.8</v>
      </c>
      <c r="Z188" s="7" t="n">
        <v>1.6</v>
      </c>
      <c r="AB188" s="7" t="n">
        <v>86.90000000000001</v>
      </c>
    </row>
    <row r="189">
      <c r="A189" s="4" t="inlineStr">
        <is>
          <t>员工餐</t>
        </is>
      </c>
      <c r="D189" s="7" t="n">
        <v>0.6</v>
      </c>
      <c r="F189" s="7" t="n">
        <v>2.8</v>
      </c>
      <c r="H189" s="7" t="n">
        <v>5.3</v>
      </c>
      <c r="J189" s="7" t="n">
        <v>3.2</v>
      </c>
      <c r="L189" s="7" t="n">
        <v>7</v>
      </c>
      <c r="N189" s="7" t="n">
        <v>5.1</v>
      </c>
      <c r="P189" s="7" t="n">
        <v>0.9</v>
      </c>
      <c r="R189" s="7" t="n">
        <v>0.7</v>
      </c>
      <c r="T189" s="7" t="n">
        <v>0.3</v>
      </c>
      <c r="V189" s="7" t="n">
        <v>1.3</v>
      </c>
      <c r="X189" s="7" t="n">
        <v>1.6</v>
      </c>
      <c r="Z189" s="7" t="n">
        <v>0.8</v>
      </c>
      <c r="AB189" s="7" t="n">
        <v>29.6</v>
      </c>
    </row>
    <row r="190">
      <c r="A190" s="4" t="inlineStr">
        <is>
          <t>节日礼品</t>
        </is>
      </c>
      <c r="D190" s="7" t="n">
        <v>1.7</v>
      </c>
      <c r="F190" s="7" t="n">
        <v>9.300000000000001</v>
      </c>
      <c r="H190" s="7" t="n">
        <v>17.3</v>
      </c>
      <c r="J190" s="7" t="n">
        <v>11.3</v>
      </c>
      <c r="L190" s="7" t="n">
        <v>32.5</v>
      </c>
      <c r="N190" s="7" t="n">
        <v>14.1</v>
      </c>
      <c r="P190" s="7" t="n">
        <v>2.8</v>
      </c>
      <c r="R190" s="7" t="n">
        <v>3.3</v>
      </c>
      <c r="T190" s="7" t="n">
        <v>2.1</v>
      </c>
      <c r="V190" s="7" t="n">
        <v>4.1</v>
      </c>
      <c r="X190" s="7" t="n">
        <v>6.3</v>
      </c>
      <c r="Z190" s="7" t="n">
        <v>3.8</v>
      </c>
      <c r="AB190" s="7" t="n">
        <v>108.6</v>
      </c>
    </row>
    <row r="191">
      <c r="A191" s="4" t="inlineStr">
        <is>
          <t>生日礼品</t>
        </is>
      </c>
      <c r="D191" s="7" t="n">
        <v>3</v>
      </c>
      <c r="F191" s="7" t="n">
        <v>17.8</v>
      </c>
      <c r="H191" s="7" t="n">
        <v>30.7</v>
      </c>
      <c r="J191" s="7" t="n">
        <v>31.9</v>
      </c>
      <c r="L191" s="7" t="n">
        <v>62.4</v>
      </c>
      <c r="N191" s="7" t="n">
        <v>34.4</v>
      </c>
      <c r="P191" s="7" t="n">
        <v>6.9</v>
      </c>
      <c r="R191" s="7" t="n">
        <v>4.4</v>
      </c>
      <c r="T191" s="7" t="n">
        <v>3.8</v>
      </c>
      <c r="V191" s="7" t="n">
        <v>9.4</v>
      </c>
      <c r="X191" s="7" t="n">
        <v>9</v>
      </c>
      <c r="Z191" s="7" t="n">
        <v>4.9</v>
      </c>
      <c r="AB191" s="7" t="n">
        <v>218.6</v>
      </c>
    </row>
    <row r="192">
      <c r="A192" s="4" t="inlineStr">
        <is>
          <t>体检</t>
        </is>
      </c>
      <c r="D192" s="7" t="n">
        <v>9.199999999999999</v>
      </c>
      <c r="F192" s="7" t="n">
        <v>29.3</v>
      </c>
      <c r="H192" s="7" t="n">
        <v>91.3</v>
      </c>
      <c r="J192" s="7" t="n">
        <v>36.3</v>
      </c>
      <c r="L192" s="7" t="n">
        <v>103.5</v>
      </c>
      <c r="N192" s="7" t="n">
        <v>55.5</v>
      </c>
      <c r="P192" s="7" t="n">
        <v>12.8</v>
      </c>
      <c r="R192" s="7" t="n">
        <v>12.7</v>
      </c>
      <c r="T192" s="7" t="n">
        <v>6</v>
      </c>
      <c r="V192" s="7" t="n">
        <v>17</v>
      </c>
      <c r="X192" s="7" t="n">
        <v>24.4</v>
      </c>
      <c r="Z192" s="7" t="n">
        <v>11</v>
      </c>
      <c r="AB192" s="7" t="n">
        <v>409</v>
      </c>
    </row>
    <row r="193">
      <c r="A193" s="4" t="inlineStr">
        <is>
          <t>其他福利支出</t>
        </is>
      </c>
      <c r="D193" s="7" t="n">
        <v>9.1</v>
      </c>
      <c r="F193" s="7" t="n">
        <v>45</v>
      </c>
      <c r="H193" s="7" t="n">
        <v>74.5</v>
      </c>
      <c r="J193" s="7" t="n">
        <v>40.4</v>
      </c>
      <c r="L193" s="7" t="n">
        <v>85.8</v>
      </c>
      <c r="N193" s="7" t="n">
        <v>60.7</v>
      </c>
      <c r="P193" s="7" t="n">
        <v>13</v>
      </c>
      <c r="R193" s="7" t="n">
        <v>12.1</v>
      </c>
      <c r="T193" s="7" t="n">
        <v>7.3</v>
      </c>
      <c r="V193" s="7" t="n">
        <v>13.7</v>
      </c>
      <c r="X193" s="7" t="n">
        <v>21.1</v>
      </c>
      <c r="Z193" s="7" t="n">
        <v>10.4</v>
      </c>
      <c r="AB193" s="7" t="n">
        <v>393.1</v>
      </c>
    </row>
    <row r="194">
      <c r="A194" s="4" t="inlineStr">
        <is>
          <t>招聘费</t>
        </is>
      </c>
      <c r="D194" s="7" t="n">
        <v>7.9</v>
      </c>
      <c r="F194" s="7" t="n">
        <v>26.8</v>
      </c>
      <c r="H194" s="7" t="n">
        <v>60.6</v>
      </c>
      <c r="J194" s="7" t="n">
        <v>61</v>
      </c>
      <c r="L194" s="7" t="n">
        <v>133.4</v>
      </c>
      <c r="N194" s="7" t="n">
        <v>49.3</v>
      </c>
      <c r="P194" s="7" t="n">
        <v>16.1</v>
      </c>
      <c r="R194" s="7" t="n">
        <v>11</v>
      </c>
      <c r="T194" s="7" t="n">
        <v>7.4</v>
      </c>
      <c r="V194" s="7" t="n">
        <v>13.3</v>
      </c>
      <c r="X194" s="7" t="n">
        <v>18.4</v>
      </c>
      <c r="Z194" s="7" t="n">
        <v>12.7</v>
      </c>
      <c r="AB194" s="7" t="n">
        <v>417.9</v>
      </c>
    </row>
    <row r="195">
      <c r="A195" s="4" t="inlineStr">
        <is>
          <t>办公费</t>
        </is>
      </c>
      <c r="D195" s="7" t="n">
        <v>28</v>
      </c>
      <c r="F195" s="7" t="n">
        <v>190</v>
      </c>
      <c r="H195" s="7" t="n">
        <v>493.5</v>
      </c>
      <c r="J195" s="7" t="n">
        <v>184</v>
      </c>
      <c r="L195" s="7" t="n">
        <v>445.3</v>
      </c>
      <c r="N195" s="7" t="n">
        <v>289.1</v>
      </c>
      <c r="P195" s="7" t="n">
        <v>89.09999999999999</v>
      </c>
      <c r="R195" s="7" t="n">
        <v>35.7</v>
      </c>
      <c r="T195" s="7" t="n">
        <v>36.8</v>
      </c>
      <c r="V195" s="7" t="n">
        <v>104.2</v>
      </c>
      <c r="X195" s="7" t="n">
        <v>110.6</v>
      </c>
      <c r="Z195" s="7" t="n">
        <v>73.59999999999999</v>
      </c>
      <c r="AB195" s="7" t="n">
        <v>2079.9</v>
      </c>
    </row>
    <row r="196">
      <c r="A196" s="4" t="inlineStr">
        <is>
          <t>市内交通费</t>
        </is>
      </c>
      <c r="D196" s="7" t="n">
        <v>5.4</v>
      </c>
      <c r="F196" s="7" t="n">
        <v>33.3</v>
      </c>
      <c r="H196" s="7" t="n">
        <v>76.2</v>
      </c>
      <c r="J196" s="7" t="n">
        <v>43.6</v>
      </c>
      <c r="L196" s="7" t="n">
        <v>126.1</v>
      </c>
      <c r="N196" s="7" t="n">
        <v>76.8</v>
      </c>
      <c r="P196" s="7" t="n">
        <v>11.8</v>
      </c>
      <c r="R196" s="7" t="n">
        <v>12.4</v>
      </c>
      <c r="T196" s="7" t="n">
        <v>4.8</v>
      </c>
      <c r="V196" s="7" t="n">
        <v>20.1</v>
      </c>
      <c r="X196" s="7" t="n">
        <v>18.8</v>
      </c>
      <c r="Z196" s="7" t="n">
        <v>11.7</v>
      </c>
      <c r="AB196" s="7" t="n">
        <v>441</v>
      </c>
    </row>
    <row r="197">
      <c r="A197" s="4" t="inlineStr">
        <is>
          <t>差旅费</t>
        </is>
      </c>
      <c r="D197" s="7" t="n">
        <v>83.7</v>
      </c>
      <c r="F197" s="7" t="n">
        <v>478</v>
      </c>
      <c r="H197" s="7" t="n">
        <v>942.4</v>
      </c>
      <c r="J197" s="7" t="n">
        <v>584.5</v>
      </c>
      <c r="L197" s="7" t="n">
        <v>1221.3</v>
      </c>
      <c r="N197" s="7" t="n">
        <v>431.6</v>
      </c>
      <c r="P197" s="7" t="n">
        <v>103.3</v>
      </c>
      <c r="R197" s="7" t="n">
        <v>84.09999999999999</v>
      </c>
      <c r="T197" s="7" t="n">
        <v>58.6</v>
      </c>
      <c r="V197" s="7" t="n">
        <v>146.7</v>
      </c>
      <c r="X197" s="7" t="n">
        <v>146.4</v>
      </c>
      <c r="Z197" s="7" t="n">
        <v>85.5</v>
      </c>
      <c r="AB197" s="7" t="n">
        <v>4366.1</v>
      </c>
    </row>
    <row r="198">
      <c r="A198" s="4" t="inlineStr">
        <is>
          <t>交通费</t>
        </is>
      </c>
      <c r="D198" s="7" t="n">
        <v>4.1</v>
      </c>
      <c r="F198" s="7" t="n">
        <v>25</v>
      </c>
      <c r="H198" s="7" t="n">
        <v>55.5</v>
      </c>
      <c r="J198" s="7" t="n">
        <v>41.6</v>
      </c>
      <c r="L198" s="7" t="n">
        <v>77.7</v>
      </c>
      <c r="N198" s="7" t="n">
        <v>54.2</v>
      </c>
      <c r="P198" s="7" t="n">
        <v>14.1</v>
      </c>
      <c r="R198" s="7" t="n">
        <v>6.7</v>
      </c>
      <c r="T198" s="7" t="n">
        <v>3.4</v>
      </c>
      <c r="V198" s="7" t="n">
        <v>10.5</v>
      </c>
      <c r="X198" s="7" t="n">
        <v>13.6</v>
      </c>
      <c r="Z198" s="7" t="n">
        <v>6.3</v>
      </c>
      <c r="AB198" s="7" t="n">
        <v>312.7</v>
      </c>
    </row>
    <row r="199">
      <c r="A199" s="4" t="inlineStr">
        <is>
          <t>住宿费</t>
        </is>
      </c>
      <c r="D199" s="7" t="n">
        <v>2.5</v>
      </c>
      <c r="F199" s="7" t="n">
        <v>20.2</v>
      </c>
      <c r="H199" s="7" t="n">
        <v>46.5</v>
      </c>
      <c r="J199" s="7" t="n">
        <v>25</v>
      </c>
      <c r="L199" s="7" t="n">
        <v>63.6</v>
      </c>
      <c r="N199" s="7" t="n">
        <v>25.8</v>
      </c>
      <c r="P199" s="7" t="n">
        <v>7.2</v>
      </c>
      <c r="R199" s="7" t="n">
        <v>4</v>
      </c>
      <c r="T199" s="7" t="n">
        <v>3.3</v>
      </c>
      <c r="V199" s="7" t="n">
        <v>7.7</v>
      </c>
      <c r="X199" s="7" t="n">
        <v>8.800000000000001</v>
      </c>
      <c r="Z199" s="7" t="n">
        <v>6.6</v>
      </c>
      <c r="AB199" s="7" t="n">
        <v>221.2</v>
      </c>
    </row>
    <row r="200">
      <c r="A200" s="4" t="inlineStr">
        <is>
          <t>餐补</t>
        </is>
      </c>
      <c r="D200" s="7" t="n">
        <v>3.8</v>
      </c>
      <c r="F200" s="7" t="n">
        <v>15.5</v>
      </c>
      <c r="H200" s="7" t="n">
        <v>47.6</v>
      </c>
      <c r="J200" s="7" t="n">
        <v>20.2</v>
      </c>
      <c r="L200" s="7" t="n">
        <v>59.1</v>
      </c>
      <c r="N200" s="7" t="n">
        <v>30.7</v>
      </c>
      <c r="P200" s="7" t="n">
        <v>5.4</v>
      </c>
      <c r="R200" s="7" t="n">
        <v>4.7</v>
      </c>
      <c r="T200" s="7" t="n">
        <v>2.2</v>
      </c>
      <c r="V200" s="7" t="n">
        <v>10.7</v>
      </c>
      <c r="X200" s="7" t="n">
        <v>11.1</v>
      </c>
      <c r="Z200" s="7" t="n">
        <v>5.7</v>
      </c>
      <c r="AB200" s="7" t="n">
        <v>216.7</v>
      </c>
    </row>
    <row r="201">
      <c r="A201" s="4" t="inlineStr">
        <is>
          <t>交通补助</t>
        </is>
      </c>
      <c r="D201" s="7" t="n">
        <v>1.9</v>
      </c>
      <c r="F201" s="7" t="n">
        <v>12.2</v>
      </c>
      <c r="H201" s="7" t="n">
        <v>21.8</v>
      </c>
      <c r="J201" s="7" t="n">
        <v>19.4</v>
      </c>
      <c r="L201" s="7" t="n">
        <v>45.5</v>
      </c>
      <c r="N201" s="7" t="n">
        <v>16.1</v>
      </c>
      <c r="P201" s="7" t="n">
        <v>5</v>
      </c>
      <c r="R201" s="7" t="n">
        <v>2.7</v>
      </c>
      <c r="T201" s="7" t="n">
        <v>2.5</v>
      </c>
      <c r="V201" s="7" t="n">
        <v>6.2</v>
      </c>
      <c r="X201" s="7" t="n">
        <v>7.9</v>
      </c>
      <c r="Z201" s="7" t="n">
        <v>4.7</v>
      </c>
      <c r="AB201" s="7" t="n">
        <v>145.9</v>
      </c>
    </row>
    <row r="202">
      <c r="A202" s="4" t="inlineStr">
        <is>
          <t>通讯补助</t>
        </is>
      </c>
      <c r="D202" s="7" t="n">
        <v>0.5</v>
      </c>
      <c r="F202" s="7" t="n">
        <v>4.4</v>
      </c>
      <c r="H202" s="7" t="n">
        <v>9.6</v>
      </c>
      <c r="J202" s="7" t="n">
        <v>5.5</v>
      </c>
      <c r="L202" s="7" t="n">
        <v>11.1</v>
      </c>
      <c r="N202" s="7" t="n">
        <v>4.5</v>
      </c>
      <c r="P202" s="7" t="n">
        <v>1.6</v>
      </c>
      <c r="R202" s="7" t="n">
        <v>0.8</v>
      </c>
      <c r="T202" s="7" t="n">
        <v>0.7</v>
      </c>
      <c r="V202" s="7" t="n">
        <v>1.7</v>
      </c>
      <c r="X202" s="7" t="n">
        <v>1.6</v>
      </c>
      <c r="Z202" s="7" t="n">
        <v>1.4</v>
      </c>
      <c r="AB202" s="7" t="n">
        <v>43.4</v>
      </c>
    </row>
    <row r="203">
      <c r="A203" s="4" t="inlineStr">
        <is>
          <t>招待费</t>
        </is>
      </c>
      <c r="D203" s="7" t="n">
        <v>58.1</v>
      </c>
      <c r="F203" s="7" t="n">
        <v>195.9</v>
      </c>
      <c r="H203" s="7" t="n">
        <v>390.1</v>
      </c>
      <c r="J203" s="7" t="n">
        <v>383.8</v>
      </c>
      <c r="L203" s="7" t="n">
        <v>651.7</v>
      </c>
      <c r="N203" s="7" t="n">
        <v>409.4</v>
      </c>
      <c r="P203" s="7" t="n">
        <v>74.90000000000001</v>
      </c>
      <c r="R203" s="7" t="n">
        <v>73.7</v>
      </c>
      <c r="T203" s="7" t="n">
        <v>47.7</v>
      </c>
      <c r="V203" s="7" t="n">
        <v>124.8</v>
      </c>
      <c r="X203" s="7" t="n">
        <v>120.2</v>
      </c>
      <c r="Z203" s="7" t="n">
        <v>59.7</v>
      </c>
      <c r="AB203" s="7" t="n">
        <v>2590</v>
      </c>
    </row>
    <row r="204">
      <c r="A204" s="4" t="inlineStr">
        <is>
          <t>通讯费</t>
        </is>
      </c>
      <c r="D204" s="7" t="n">
        <v>4.3</v>
      </c>
      <c r="F204" s="7" t="n">
        <v>21.4</v>
      </c>
      <c r="H204" s="7" t="n">
        <v>53.2</v>
      </c>
      <c r="J204" s="7" t="n">
        <v>31.6</v>
      </c>
      <c r="L204" s="7" t="n">
        <v>71</v>
      </c>
      <c r="N204" s="7" t="n">
        <v>23.2</v>
      </c>
      <c r="P204" s="7" t="n">
        <v>8.4</v>
      </c>
      <c r="R204" s="7" t="n">
        <v>4.3</v>
      </c>
      <c r="T204" s="7" t="n">
        <v>4.1</v>
      </c>
      <c r="V204" s="7" t="n">
        <v>11.2</v>
      </c>
      <c r="X204" s="7" t="n">
        <v>14.2</v>
      </c>
      <c r="Z204" s="7" t="n">
        <v>7.1</v>
      </c>
      <c r="AB204" s="7" t="n">
        <v>254</v>
      </c>
    </row>
    <row r="205">
      <c r="A205" s="4" t="inlineStr">
        <is>
          <t>网络费</t>
        </is>
      </c>
      <c r="D205" s="7" t="n">
        <v>4.3</v>
      </c>
      <c r="F205" s="7" t="n">
        <v>20.6</v>
      </c>
      <c r="H205" s="7" t="n">
        <v>40.9</v>
      </c>
      <c r="J205" s="7" t="n">
        <v>29.3</v>
      </c>
      <c r="L205" s="7" t="n">
        <v>45.8</v>
      </c>
      <c r="N205" s="7" t="n">
        <v>21.9</v>
      </c>
      <c r="P205" s="7" t="n">
        <v>9.6</v>
      </c>
      <c r="R205" s="7" t="n">
        <v>5.6</v>
      </c>
      <c r="T205" s="7" t="n">
        <v>4</v>
      </c>
      <c r="V205" s="7" t="n">
        <v>8.300000000000001</v>
      </c>
      <c r="X205" s="7" t="n">
        <v>9.4</v>
      </c>
      <c r="Z205" s="7" t="n">
        <v>6.1</v>
      </c>
      <c r="AB205" s="7" t="n">
        <v>205.8</v>
      </c>
    </row>
    <row r="206">
      <c r="A206" s="4" t="inlineStr">
        <is>
          <t>修理费</t>
        </is>
      </c>
      <c r="D206" s="7" t="n">
        <v>1.2</v>
      </c>
      <c r="F206" s="7" t="n">
        <v>5.4</v>
      </c>
      <c r="H206" s="7" t="n">
        <v>13.9</v>
      </c>
      <c r="J206" s="7" t="n">
        <v>5.4</v>
      </c>
      <c r="L206" s="7" t="n">
        <v>13.7</v>
      </c>
      <c r="N206" s="7" t="n">
        <v>7</v>
      </c>
      <c r="P206" s="7" t="n">
        <v>1.6</v>
      </c>
      <c r="R206" s="7" t="n">
        <v>1.5</v>
      </c>
      <c r="T206" s="7" t="n">
        <v>0.6</v>
      </c>
      <c r="V206" s="7" t="n">
        <v>2.8</v>
      </c>
      <c r="X206" s="7" t="n">
        <v>2.8</v>
      </c>
      <c r="Z206" s="7" t="n">
        <v>2</v>
      </c>
      <c r="AB206" s="7" t="n">
        <v>57.9</v>
      </c>
    </row>
    <row r="207">
      <c r="A207" s="4" t="inlineStr">
        <is>
          <t>车辆费</t>
        </is>
      </c>
      <c r="D207" s="7" t="n">
        <v>5.5</v>
      </c>
      <c r="F207" s="7" t="n">
        <v>20.6</v>
      </c>
      <c r="H207" s="7" t="n">
        <v>59.1</v>
      </c>
      <c r="J207" s="7" t="n">
        <v>34.4</v>
      </c>
      <c r="L207" s="7" t="n">
        <v>53.3</v>
      </c>
      <c r="N207" s="7" t="n">
        <v>37</v>
      </c>
      <c r="P207" s="7" t="n">
        <v>8.6</v>
      </c>
      <c r="R207" s="7" t="n">
        <v>4.8</v>
      </c>
      <c r="T207" s="7" t="n">
        <v>4.9</v>
      </c>
      <c r="V207" s="7" t="n">
        <v>15.1</v>
      </c>
      <c r="X207" s="7" t="n">
        <v>11.7</v>
      </c>
      <c r="Z207" s="7" t="n">
        <v>7.6</v>
      </c>
      <c r="AB207" s="7" t="n">
        <v>262.6</v>
      </c>
    </row>
    <row r="208">
      <c r="A208" s="4" t="inlineStr">
        <is>
          <t>租赁费</t>
        </is>
      </c>
      <c r="D208" s="7" t="n">
        <v>53</v>
      </c>
      <c r="F208" s="7" t="n">
        <v>272.5</v>
      </c>
      <c r="H208" s="7" t="n">
        <v>641.1</v>
      </c>
      <c r="J208" s="7" t="n">
        <v>392.6</v>
      </c>
      <c r="L208" s="7" t="n">
        <v>1054.8</v>
      </c>
      <c r="N208" s="7" t="n">
        <v>527.2</v>
      </c>
      <c r="P208" s="7" t="n">
        <v>124.2</v>
      </c>
      <c r="R208" s="7" t="n">
        <v>71.3</v>
      </c>
      <c r="T208" s="7" t="n">
        <v>56.1</v>
      </c>
      <c r="V208" s="7" t="n">
        <v>107</v>
      </c>
      <c r="X208" s="7" t="n">
        <v>197.7</v>
      </c>
      <c r="Z208" s="7" t="n">
        <v>102.4</v>
      </c>
      <c r="AB208" s="7" t="n">
        <v>3599.9</v>
      </c>
    </row>
    <row r="209">
      <c r="A209" s="4" t="inlineStr">
        <is>
          <t>能源费</t>
        </is>
      </c>
      <c r="D209" s="7" t="n">
        <v>18.3</v>
      </c>
      <c r="F209" s="7" t="n">
        <v>115.2</v>
      </c>
      <c r="H209" s="7" t="n">
        <v>237.1</v>
      </c>
      <c r="J209" s="7" t="n">
        <v>132.2</v>
      </c>
      <c r="L209" s="7" t="n">
        <v>239.8</v>
      </c>
      <c r="N209" s="7" t="n">
        <v>137.6</v>
      </c>
      <c r="P209" s="7" t="n">
        <v>40.5</v>
      </c>
      <c r="R209" s="7" t="n">
        <v>24.5</v>
      </c>
      <c r="T209" s="7" t="n">
        <v>17.7</v>
      </c>
      <c r="V209" s="7" t="n">
        <v>51.5</v>
      </c>
      <c r="X209" s="7" t="n">
        <v>54.8</v>
      </c>
      <c r="Z209" s="7" t="n">
        <v>32.1</v>
      </c>
      <c r="AB209" s="7" t="n">
        <v>1101.3</v>
      </c>
    </row>
    <row r="210">
      <c r="A210" s="4" t="inlineStr">
        <is>
          <t>水费</t>
        </is>
      </c>
      <c r="D210" s="7" t="n">
        <v>4.3</v>
      </c>
      <c r="F210" s="7" t="n">
        <v>28.5</v>
      </c>
      <c r="H210" s="7" t="n">
        <v>46</v>
      </c>
      <c r="J210" s="7" t="n">
        <v>36.4</v>
      </c>
      <c r="L210" s="7" t="n">
        <v>59.4</v>
      </c>
      <c r="N210" s="7" t="n">
        <v>38.7</v>
      </c>
      <c r="P210" s="7" t="n">
        <v>10.7</v>
      </c>
      <c r="R210" s="7" t="n">
        <v>6.2</v>
      </c>
      <c r="T210" s="7" t="n">
        <v>4.4</v>
      </c>
      <c r="V210" s="7" t="n">
        <v>8.199999999999999</v>
      </c>
      <c r="X210" s="7" t="n">
        <v>11.1</v>
      </c>
      <c r="Z210" s="7" t="n">
        <v>8.9</v>
      </c>
      <c r="AB210" s="7" t="n">
        <v>262.8</v>
      </c>
    </row>
    <row r="211">
      <c r="A211" s="4" t="inlineStr">
        <is>
          <t>电费</t>
        </is>
      </c>
      <c r="D211" s="7" t="n">
        <v>2.5</v>
      </c>
      <c r="F211" s="7" t="n">
        <v>21.3</v>
      </c>
      <c r="H211" s="7" t="n">
        <v>42.8</v>
      </c>
      <c r="J211" s="7" t="n">
        <v>15.8</v>
      </c>
      <c r="L211" s="7" t="n">
        <v>36.7</v>
      </c>
      <c r="N211" s="7" t="n">
        <v>19.6</v>
      </c>
      <c r="P211" s="7" t="n">
        <v>7.2</v>
      </c>
      <c r="R211" s="7" t="n">
        <v>3.5</v>
      </c>
      <c r="T211" s="7" t="n">
        <v>2.5</v>
      </c>
      <c r="V211" s="7" t="n">
        <v>10.3</v>
      </c>
      <c r="X211" s="7" t="n">
        <v>8.699999999999999</v>
      </c>
      <c r="Z211" s="7" t="n">
        <v>5.5</v>
      </c>
      <c r="AB211" s="7" t="n">
        <v>176.4</v>
      </c>
    </row>
    <row r="212">
      <c r="A212" s="4" t="inlineStr">
        <is>
          <t>燃气费</t>
        </is>
      </c>
      <c r="D212" s="7" t="n">
        <v>4.9</v>
      </c>
      <c r="F212" s="7" t="n">
        <v>33.2</v>
      </c>
      <c r="H212" s="7" t="n">
        <v>65.40000000000001</v>
      </c>
      <c r="J212" s="7" t="n">
        <v>37.7</v>
      </c>
      <c r="L212" s="7" t="n">
        <v>64.5</v>
      </c>
      <c r="N212" s="7" t="n">
        <v>29.3</v>
      </c>
      <c r="P212" s="7" t="n">
        <v>9.1</v>
      </c>
      <c r="R212" s="7" t="n">
        <v>8</v>
      </c>
      <c r="T212" s="7" t="n">
        <v>4.9</v>
      </c>
      <c r="V212" s="7" t="n">
        <v>15.9</v>
      </c>
      <c r="X212" s="7" t="n">
        <v>14.3</v>
      </c>
      <c r="Z212" s="7" t="n">
        <v>9.699999999999999</v>
      </c>
      <c r="AB212" s="7" t="n">
        <v>296.9</v>
      </c>
    </row>
    <row r="213">
      <c r="A213" s="4" t="inlineStr">
        <is>
          <t>蒸汽费</t>
        </is>
      </c>
      <c r="D213" s="7" t="n">
        <v>6.6</v>
      </c>
      <c r="F213" s="7" t="n">
        <v>32.2</v>
      </c>
      <c r="H213" s="7" t="n">
        <v>82.90000000000001</v>
      </c>
      <c r="J213" s="7" t="n">
        <v>42.3</v>
      </c>
      <c r="L213" s="7" t="n">
        <v>79.2</v>
      </c>
      <c r="N213" s="7" t="n">
        <v>50</v>
      </c>
      <c r="P213" s="7" t="n">
        <v>13.5</v>
      </c>
      <c r="R213" s="7" t="n">
        <v>6.8</v>
      </c>
      <c r="T213" s="7" t="n">
        <v>5.9</v>
      </c>
      <c r="V213" s="7" t="n">
        <v>17.1</v>
      </c>
      <c r="X213" s="7" t="n">
        <v>20.7</v>
      </c>
      <c r="Z213" s="7" t="n">
        <v>8</v>
      </c>
      <c r="AB213" s="7" t="n">
        <v>365.2</v>
      </c>
    </row>
    <row r="214">
      <c r="A214" s="4" t="inlineStr">
        <is>
          <t>物业费</t>
        </is>
      </c>
      <c r="D214" s="7" t="n">
        <v>3.5</v>
      </c>
      <c r="F214" s="7" t="n">
        <v>18.8</v>
      </c>
      <c r="H214" s="7" t="n">
        <v>46.2</v>
      </c>
      <c r="J214" s="7" t="n">
        <v>29.8</v>
      </c>
      <c r="L214" s="7" t="n">
        <v>48.7</v>
      </c>
      <c r="N214" s="7" t="n">
        <v>22.6</v>
      </c>
      <c r="P214" s="7" t="n">
        <v>4.9</v>
      </c>
      <c r="R214" s="7" t="n">
        <v>4.7</v>
      </c>
      <c r="T214" s="7" t="n">
        <v>3.3</v>
      </c>
      <c r="V214" s="7" t="n">
        <v>6.7</v>
      </c>
      <c r="X214" s="7" t="n">
        <v>10.6</v>
      </c>
      <c r="Z214" s="7" t="n">
        <v>5.5</v>
      </c>
      <c r="AB214" s="7" t="n">
        <v>205.3</v>
      </c>
    </row>
    <row r="215">
      <c r="A215" s="4" t="inlineStr">
        <is>
          <t>劳动保护费</t>
        </is>
      </c>
      <c r="D215" s="7" t="n">
        <v>5.2</v>
      </c>
      <c r="F215" s="7" t="n">
        <v>33</v>
      </c>
      <c r="H215" s="7" t="n">
        <v>69.59999999999999</v>
      </c>
      <c r="J215" s="7" t="n">
        <v>50.9</v>
      </c>
      <c r="L215" s="7" t="n">
        <v>96.09999999999999</v>
      </c>
      <c r="N215" s="7" t="n">
        <v>58.2</v>
      </c>
      <c r="P215" s="7" t="n">
        <v>14.8</v>
      </c>
      <c r="R215" s="7" t="n">
        <v>7.5</v>
      </c>
      <c r="T215" s="7" t="n">
        <v>5.9</v>
      </c>
      <c r="V215" s="7" t="n">
        <v>12.5</v>
      </c>
      <c r="X215" s="7" t="n">
        <v>21.2</v>
      </c>
      <c r="Z215" s="7" t="n">
        <v>9.199999999999999</v>
      </c>
      <c r="AB215" s="7" t="n">
        <v>384.1</v>
      </c>
    </row>
    <row r="216">
      <c r="A216" s="4" t="inlineStr">
        <is>
          <t>顾问费</t>
        </is>
      </c>
      <c r="D216" s="7" t="n">
        <v>5.5</v>
      </c>
      <c r="F216" s="7" t="n">
        <v>29.6</v>
      </c>
      <c r="H216" s="7" t="n">
        <v>69.2</v>
      </c>
      <c r="J216" s="7" t="n">
        <v>28</v>
      </c>
      <c r="L216" s="7" t="n">
        <v>96.5</v>
      </c>
      <c r="N216" s="7" t="n">
        <v>46.5</v>
      </c>
      <c r="P216" s="7" t="n">
        <v>12.6</v>
      </c>
      <c r="R216" s="7" t="n">
        <v>7.9</v>
      </c>
      <c r="T216" s="7" t="n">
        <v>3.3</v>
      </c>
      <c r="V216" s="7" t="n">
        <v>10.8</v>
      </c>
      <c r="X216" s="7" t="n">
        <v>11.9</v>
      </c>
      <c r="Z216" s="7" t="n">
        <v>6.8</v>
      </c>
      <c r="AB216" s="7" t="n">
        <v>328.6</v>
      </c>
    </row>
    <row r="217">
      <c r="A217" s="4" t="inlineStr">
        <is>
          <t>快递费</t>
        </is>
      </c>
      <c r="D217" s="7" t="n">
        <v>3.3</v>
      </c>
      <c r="F217" s="7" t="n">
        <v>16.1</v>
      </c>
      <c r="H217" s="7" t="n">
        <v>38</v>
      </c>
      <c r="J217" s="7" t="n">
        <v>20.4</v>
      </c>
      <c r="L217" s="7" t="n">
        <v>64.59999999999999</v>
      </c>
      <c r="N217" s="7" t="n">
        <v>25.8</v>
      </c>
      <c r="P217" s="7" t="n">
        <v>8.300000000000001</v>
      </c>
      <c r="R217" s="7" t="n">
        <v>4.9</v>
      </c>
      <c r="T217" s="7" t="n">
        <v>2.8</v>
      </c>
      <c r="V217" s="7" t="n">
        <v>9.199999999999999</v>
      </c>
      <c r="X217" s="7" t="n">
        <v>8.699999999999999</v>
      </c>
      <c r="Z217" s="7" t="n">
        <v>4.9</v>
      </c>
      <c r="AB217" s="7" t="n">
        <v>207</v>
      </c>
    </row>
    <row r="218">
      <c r="A218" s="4" t="inlineStr">
        <is>
          <t>诉讼费</t>
        </is>
      </c>
      <c r="D218" s="7" t="n">
        <v>4.1</v>
      </c>
      <c r="F218" s="7" t="n">
        <v>19.3</v>
      </c>
      <c r="H218" s="7" t="n">
        <v>40.8</v>
      </c>
      <c r="J218" s="7" t="n">
        <v>26.2</v>
      </c>
      <c r="L218" s="7" t="n">
        <v>67.40000000000001</v>
      </c>
      <c r="N218" s="7" t="n">
        <v>30.8</v>
      </c>
      <c r="P218" s="7" t="n">
        <v>6.3</v>
      </c>
      <c r="R218" s="7" t="n">
        <v>5.2</v>
      </c>
      <c r="T218" s="7" t="n">
        <v>2.9</v>
      </c>
      <c r="V218" s="7" t="n">
        <v>13.7</v>
      </c>
      <c r="X218" s="7" t="n">
        <v>10.5</v>
      </c>
      <c r="Z218" s="7" t="n">
        <v>6.2</v>
      </c>
      <c r="AB218" s="7" t="n">
        <v>233.4</v>
      </c>
    </row>
    <row r="219">
      <c r="A219" s="4" t="inlineStr">
        <is>
          <t>会员费</t>
        </is>
      </c>
      <c r="D219" s="7" t="n">
        <v>5.4</v>
      </c>
      <c r="F219" s="7" t="n">
        <v>34.4</v>
      </c>
      <c r="H219" s="7" t="n">
        <v>84.2</v>
      </c>
      <c r="J219" s="7" t="n">
        <v>46.8</v>
      </c>
      <c r="L219" s="7" t="n">
        <v>91.40000000000001</v>
      </c>
      <c r="N219" s="7" t="n">
        <v>49.9</v>
      </c>
      <c r="P219" s="7" t="n">
        <v>11.7</v>
      </c>
      <c r="R219" s="7" t="n">
        <v>7</v>
      </c>
      <c r="T219" s="7" t="n">
        <v>6.6</v>
      </c>
      <c r="V219" s="7" t="n">
        <v>11.4</v>
      </c>
      <c r="X219" s="7" t="n">
        <v>18.1</v>
      </c>
      <c r="Z219" s="7" t="n">
        <v>12.5</v>
      </c>
      <c r="AB219" s="7" t="n">
        <v>379.4</v>
      </c>
    </row>
    <row r="220">
      <c r="A220" s="4" t="inlineStr">
        <is>
          <t>广告宣传费</t>
        </is>
      </c>
      <c r="D220" s="7" t="n">
        <v>32.3</v>
      </c>
      <c r="F220" s="7" t="n">
        <v>228.9</v>
      </c>
      <c r="H220" s="7" t="n">
        <v>490.3</v>
      </c>
      <c r="J220" s="7" t="n">
        <v>232.3</v>
      </c>
      <c r="L220" s="7" t="n">
        <v>478.3</v>
      </c>
      <c r="N220" s="7" t="n">
        <v>219</v>
      </c>
      <c r="P220" s="7" t="n">
        <v>80.40000000000001</v>
      </c>
      <c r="R220" s="7" t="n">
        <v>36.5</v>
      </c>
      <c r="T220" s="7" t="n">
        <v>31.9</v>
      </c>
      <c r="V220" s="7" t="n">
        <v>89.5</v>
      </c>
      <c r="X220" s="7" t="n">
        <v>82.90000000000001</v>
      </c>
      <c r="Z220" s="7" t="n">
        <v>47.4</v>
      </c>
      <c r="AB220" s="7" t="n">
        <v>2049.7</v>
      </c>
    </row>
    <row r="221">
      <c r="A221" s="4" t="inlineStr">
        <is>
          <t>会务费</t>
        </is>
      </c>
      <c r="D221" s="7" t="n">
        <v>4.3</v>
      </c>
      <c r="F221" s="7" t="n">
        <v>22.2</v>
      </c>
      <c r="H221" s="7" t="n">
        <v>60.7</v>
      </c>
      <c r="J221" s="7" t="n">
        <v>38</v>
      </c>
      <c r="L221" s="7" t="n">
        <v>68.90000000000001</v>
      </c>
      <c r="N221" s="7" t="n">
        <v>46.8</v>
      </c>
      <c r="P221" s="7" t="n">
        <v>10</v>
      </c>
      <c r="R221" s="7" t="n">
        <v>6.1</v>
      </c>
      <c r="T221" s="7" t="n">
        <v>4.2</v>
      </c>
      <c r="V221" s="7" t="n">
        <v>10.2</v>
      </c>
      <c r="X221" s="7" t="n">
        <v>14.7</v>
      </c>
      <c r="Z221" s="7" t="n">
        <v>9.5</v>
      </c>
      <c r="AB221" s="7" t="n">
        <v>295.6</v>
      </c>
    </row>
    <row r="222">
      <c r="A222" s="4" t="inlineStr">
        <is>
          <t>装修费</t>
        </is>
      </c>
      <c r="D222" s="7" t="n">
        <v>0.5</v>
      </c>
      <c r="F222" s="7" t="n">
        <v>1.8</v>
      </c>
      <c r="H222" s="7" t="n">
        <v>4.3</v>
      </c>
      <c r="J222" s="7" t="n">
        <v>2.1</v>
      </c>
      <c r="L222" s="7" t="n">
        <v>7</v>
      </c>
      <c r="N222" s="7" t="n">
        <v>2.9</v>
      </c>
      <c r="P222" s="7" t="n">
        <v>0.6</v>
      </c>
      <c r="R222" s="7" t="n">
        <v>0.4</v>
      </c>
      <c r="T222" s="7" t="n">
        <v>0.4</v>
      </c>
      <c r="V222" s="7" t="n">
        <v>0.9</v>
      </c>
      <c r="X222" s="7" t="n">
        <v>1</v>
      </c>
      <c r="Z222" s="7" t="n">
        <v>0.7</v>
      </c>
      <c r="AB222" s="7" t="n">
        <v>22.6</v>
      </c>
    </row>
    <row r="223">
      <c r="A223" s="4" t="inlineStr">
        <is>
          <t>推广费</t>
        </is>
      </c>
      <c r="D223" s="7" t="n">
        <v>1.1</v>
      </c>
      <c r="F223" s="7" t="n">
        <v>5.4</v>
      </c>
      <c r="H223" s="7" t="n">
        <v>12.8</v>
      </c>
      <c r="J223" s="7" t="n">
        <v>9.4</v>
      </c>
      <c r="L223" s="7" t="n">
        <v>23.1</v>
      </c>
      <c r="N223" s="7" t="n">
        <v>9.4</v>
      </c>
      <c r="P223" s="7" t="n">
        <v>2.9</v>
      </c>
      <c r="R223" s="7" t="n">
        <v>1.4</v>
      </c>
      <c r="T223" s="7" t="n">
        <v>1</v>
      </c>
      <c r="V223" s="7" t="n">
        <v>3.5</v>
      </c>
      <c r="X223" s="7" t="n">
        <v>3.8</v>
      </c>
      <c r="Z223" s="7" t="n">
        <v>2.2</v>
      </c>
      <c r="AB223" s="7" t="n">
        <v>76</v>
      </c>
    </row>
    <row r="224">
      <c r="A224" s="4" t="inlineStr">
        <is>
          <t>展会费</t>
        </is>
      </c>
      <c r="D224" s="7" t="n">
        <v>2.1</v>
      </c>
      <c r="F224" s="7" t="n">
        <v>7.5</v>
      </c>
      <c r="H224" s="7" t="n">
        <v>16.2</v>
      </c>
      <c r="J224" s="7" t="n">
        <v>14.6</v>
      </c>
      <c r="L224" s="7" t="n">
        <v>29.8</v>
      </c>
      <c r="N224" s="7" t="n">
        <v>11.3</v>
      </c>
      <c r="P224" s="7" t="n">
        <v>2.7</v>
      </c>
      <c r="R224" s="7" t="n">
        <v>2.2</v>
      </c>
      <c r="T224" s="7" t="n">
        <v>2.1</v>
      </c>
      <c r="V224" s="7" t="n">
        <v>5.2</v>
      </c>
      <c r="X224" s="7" t="n">
        <v>4</v>
      </c>
      <c r="Z224" s="7" t="n">
        <v>3.8</v>
      </c>
      <c r="AB224" s="7" t="n">
        <v>101.5</v>
      </c>
    </row>
    <row r="225">
      <c r="A225" s="4" t="inlineStr">
        <is>
          <t>设计费</t>
        </is>
      </c>
      <c r="D225" s="7" t="n">
        <v>6.4</v>
      </c>
      <c r="F225" s="7" t="n">
        <v>29.9</v>
      </c>
      <c r="H225" s="7" t="n">
        <v>87.3</v>
      </c>
      <c r="J225" s="7" t="n">
        <v>46.9</v>
      </c>
      <c r="L225" s="7" t="n">
        <v>95.7</v>
      </c>
      <c r="N225" s="7" t="n">
        <v>61.9</v>
      </c>
      <c r="P225" s="7" t="n">
        <v>10.2</v>
      </c>
      <c r="R225" s="7" t="n">
        <v>8.199999999999999</v>
      </c>
      <c r="T225" s="7" t="n">
        <v>4.9</v>
      </c>
      <c r="V225" s="7" t="n">
        <v>16.3</v>
      </c>
      <c r="X225" s="7" t="n">
        <v>13.1</v>
      </c>
      <c r="Z225" s="7" t="n">
        <v>9.199999999999999</v>
      </c>
      <c r="AB225" s="7" t="n">
        <v>390</v>
      </c>
    </row>
    <row r="226">
      <c r="A226" s="4" t="inlineStr">
        <is>
          <t>折旧费</t>
        </is>
      </c>
      <c r="D226" s="7" t="n">
        <v>36.7</v>
      </c>
      <c r="F226" s="7" t="n">
        <v>231.7</v>
      </c>
      <c r="H226" s="7" t="n">
        <v>555.9</v>
      </c>
      <c r="J226" s="7" t="n">
        <v>311.4</v>
      </c>
      <c r="L226" s="7" t="n">
        <v>865.7</v>
      </c>
      <c r="N226" s="7" t="n">
        <v>475.9</v>
      </c>
      <c r="P226" s="7" t="n">
        <v>111.5</v>
      </c>
      <c r="R226" s="7" t="n">
        <v>59.4</v>
      </c>
      <c r="T226" s="7" t="n">
        <v>44.5</v>
      </c>
      <c r="V226" s="7" t="n">
        <v>119.6</v>
      </c>
      <c r="X226" s="7" t="n">
        <v>94.3</v>
      </c>
      <c r="Z226" s="7" t="n">
        <v>68.2</v>
      </c>
      <c r="AB226" s="7" t="n">
        <v>2974.8</v>
      </c>
    </row>
    <row r="227">
      <c r="A227" s="4" t="inlineStr">
        <is>
          <t>认证费</t>
        </is>
      </c>
      <c r="D227" s="7" t="n">
        <v>2</v>
      </c>
      <c r="F227" s="7" t="n">
        <v>10.1</v>
      </c>
      <c r="H227" s="7" t="n">
        <v>15.5</v>
      </c>
      <c r="J227" s="7" t="n">
        <v>11.4</v>
      </c>
      <c r="L227" s="7" t="n">
        <v>18.4</v>
      </c>
      <c r="N227" s="7" t="n">
        <v>14.2</v>
      </c>
      <c r="P227" s="7" t="n">
        <v>3.6</v>
      </c>
      <c r="R227" s="7" t="n">
        <v>2.5</v>
      </c>
      <c r="T227" s="7" t="n">
        <v>1.2</v>
      </c>
      <c r="V227" s="7" t="n">
        <v>3.9</v>
      </c>
      <c r="X227" s="7" t="n">
        <v>4.7</v>
      </c>
      <c r="Z227" s="7" t="n">
        <v>2.8</v>
      </c>
      <c r="AB227" s="7" t="n">
        <v>90.3</v>
      </c>
    </row>
    <row r="228">
      <c r="A228" s="4" t="inlineStr">
        <is>
          <t>样品费</t>
        </is>
      </c>
      <c r="D228" s="7" t="n">
        <v>27.4</v>
      </c>
      <c r="F228" s="7" t="n">
        <v>113.7</v>
      </c>
      <c r="H228" s="7" t="n">
        <v>188.6</v>
      </c>
      <c r="J228" s="7" t="n">
        <v>208.5</v>
      </c>
      <c r="L228" s="7" t="n">
        <v>437.9</v>
      </c>
      <c r="N228" s="7" t="n">
        <v>240</v>
      </c>
      <c r="P228" s="7" t="n">
        <v>59.8</v>
      </c>
      <c r="R228" s="7" t="n">
        <v>35.7</v>
      </c>
      <c r="T228" s="7" t="n">
        <v>24</v>
      </c>
      <c r="V228" s="7" t="n">
        <v>65.3</v>
      </c>
      <c r="X228" s="7" t="n">
        <v>70.8</v>
      </c>
      <c r="Z228" s="7" t="n">
        <v>39.2</v>
      </c>
      <c r="AB228" s="7" t="n">
        <v>1510.9</v>
      </c>
    </row>
    <row r="229">
      <c r="A229" s="4" t="inlineStr">
        <is>
          <t>劳务费</t>
        </is>
      </c>
      <c r="D229" s="7" t="n">
        <v>7.2</v>
      </c>
      <c r="F229" s="7" t="n">
        <v>34</v>
      </c>
      <c r="H229" s="7" t="n">
        <v>89.90000000000001</v>
      </c>
      <c r="J229" s="7" t="n">
        <v>47</v>
      </c>
      <c r="L229" s="7" t="n">
        <v>75.90000000000001</v>
      </c>
      <c r="N229" s="7" t="n">
        <v>42.4</v>
      </c>
      <c r="P229" s="7" t="n">
        <v>10.7</v>
      </c>
      <c r="R229" s="7" t="n">
        <v>7.6</v>
      </c>
      <c r="T229" s="7" t="n">
        <v>7.1</v>
      </c>
      <c r="V229" s="7" t="n">
        <v>15.6</v>
      </c>
      <c r="X229" s="7" t="n">
        <v>18</v>
      </c>
      <c r="Z229" s="7" t="n">
        <v>10.8</v>
      </c>
      <c r="AB229" s="7" t="n">
        <v>366.2</v>
      </c>
    </row>
    <row r="230">
      <c r="A230" s="4" t="inlineStr">
        <is>
          <t>销售佣金</t>
        </is>
      </c>
      <c r="D230" s="7" t="n">
        <v>2.1</v>
      </c>
      <c r="F230" s="7" t="n">
        <v>11.3</v>
      </c>
      <c r="H230" s="7" t="n">
        <v>26.2</v>
      </c>
      <c r="J230" s="7" t="n">
        <v>18.4</v>
      </c>
      <c r="L230" s="7" t="n">
        <v>40.5</v>
      </c>
      <c r="N230" s="7" t="n">
        <v>21.4</v>
      </c>
      <c r="P230" s="7" t="n">
        <v>3.3</v>
      </c>
      <c r="R230" s="7" t="n">
        <v>3.5</v>
      </c>
      <c r="T230" s="7" t="n">
        <v>1.9</v>
      </c>
      <c r="V230" s="7" t="n">
        <v>5.9</v>
      </c>
      <c r="X230" s="7" t="n">
        <v>4.7</v>
      </c>
      <c r="Z230" s="7" t="n">
        <v>3.6</v>
      </c>
      <c r="AB230" s="7" t="n">
        <v>142.8</v>
      </c>
    </row>
    <row r="231">
      <c r="A231" s="4" t="inlineStr">
        <is>
          <t>检测费</t>
        </is>
      </c>
      <c r="D231" s="7" t="n">
        <v>3.2</v>
      </c>
      <c r="F231" s="7" t="n">
        <v>13.7</v>
      </c>
      <c r="H231" s="7" t="n">
        <v>40.6</v>
      </c>
      <c r="J231" s="7" t="n">
        <v>26.9</v>
      </c>
      <c r="L231" s="7" t="n">
        <v>46.9</v>
      </c>
      <c r="N231" s="7" t="n">
        <v>33.2</v>
      </c>
      <c r="P231" s="7" t="n">
        <v>7.4</v>
      </c>
      <c r="R231" s="7" t="n">
        <v>3.8</v>
      </c>
      <c r="T231" s="7" t="n">
        <v>2.4</v>
      </c>
      <c r="V231" s="7" t="n">
        <v>6.8</v>
      </c>
      <c r="X231" s="7" t="n">
        <v>12.1</v>
      </c>
      <c r="Z231" s="7" t="n">
        <v>6.1</v>
      </c>
      <c r="AB231" s="7" t="n">
        <v>203.1</v>
      </c>
    </row>
    <row r="232">
      <c r="A232" s="4" t="inlineStr">
        <is>
          <t>质量赔偿</t>
        </is>
      </c>
      <c r="D232" s="7" t="n">
        <v>1.6</v>
      </c>
      <c r="F232" s="7" t="n">
        <v>8.300000000000001</v>
      </c>
      <c r="H232" s="7" t="n">
        <v>15.3</v>
      </c>
      <c r="J232" s="7" t="n">
        <v>10.2</v>
      </c>
      <c r="L232" s="7" t="n">
        <v>22.8</v>
      </c>
      <c r="N232" s="7" t="n">
        <v>10.9</v>
      </c>
      <c r="P232" s="7" t="n">
        <v>2.6</v>
      </c>
      <c r="R232" s="7" t="n">
        <v>1.8</v>
      </c>
      <c r="T232" s="7" t="n">
        <v>1.1</v>
      </c>
      <c r="V232" s="7" t="n">
        <v>3.1</v>
      </c>
      <c r="X232" s="7" t="n">
        <v>4.7</v>
      </c>
      <c r="Z232" s="7" t="n">
        <v>2.2</v>
      </c>
      <c r="AB232" s="7" t="n">
        <v>84.59999999999999</v>
      </c>
    </row>
    <row r="233">
      <c r="A233" s="4" t="inlineStr">
        <is>
          <t>保险费</t>
        </is>
      </c>
      <c r="D233" s="7" t="n">
        <v>2.4</v>
      </c>
      <c r="F233" s="7" t="n">
        <v>15.7</v>
      </c>
      <c r="H233" s="7" t="n">
        <v>33.6</v>
      </c>
      <c r="J233" s="7" t="n">
        <v>21.6</v>
      </c>
      <c r="L233" s="7" t="n">
        <v>45.8</v>
      </c>
      <c r="N233" s="7" t="n">
        <v>19.8</v>
      </c>
      <c r="P233" s="7" t="n">
        <v>7.1</v>
      </c>
      <c r="R233" s="7" t="n">
        <v>3.6</v>
      </c>
      <c r="T233" s="7" t="n">
        <v>2.3</v>
      </c>
      <c r="V233" s="7" t="n">
        <v>7.1</v>
      </c>
      <c r="X233" s="7" t="n">
        <v>6.9</v>
      </c>
      <c r="Z233" s="7" t="n">
        <v>4.3</v>
      </c>
      <c r="AB233" s="7" t="n">
        <v>170.2</v>
      </c>
    </row>
    <row r="234">
      <c r="A234" s="4" t="inlineStr">
        <is>
          <t>清洁费</t>
        </is>
      </c>
      <c r="D234" s="7" t="n">
        <v>5.4</v>
      </c>
      <c r="F234" s="7" t="n">
        <v>26</v>
      </c>
      <c r="H234" s="7" t="n">
        <v>57.6</v>
      </c>
      <c r="J234" s="7" t="n">
        <v>25.7</v>
      </c>
      <c r="L234" s="7" t="n">
        <v>70.40000000000001</v>
      </c>
      <c r="N234" s="7" t="n">
        <v>43.3</v>
      </c>
      <c r="P234" s="7" t="n">
        <v>8.6</v>
      </c>
      <c r="R234" s="7" t="n">
        <v>7.4</v>
      </c>
      <c r="T234" s="7" t="n">
        <v>4.1</v>
      </c>
      <c r="V234" s="7" t="n">
        <v>9.699999999999999</v>
      </c>
      <c r="X234" s="7" t="n">
        <v>9.199999999999999</v>
      </c>
      <c r="Z234" s="7" t="n">
        <v>5.8</v>
      </c>
      <c r="AB234" s="7" t="n">
        <v>273.2</v>
      </c>
    </row>
    <row r="235">
      <c r="A235" s="4" t="inlineStr">
        <is>
          <t>低值易耗品</t>
        </is>
      </c>
      <c r="D235" s="7" t="n">
        <v>4.4</v>
      </c>
      <c r="F235" s="7" t="n">
        <v>31.2</v>
      </c>
      <c r="H235" s="7" t="n">
        <v>55.6</v>
      </c>
      <c r="J235" s="7" t="n">
        <v>24.1</v>
      </c>
      <c r="L235" s="7" t="n">
        <v>88.2</v>
      </c>
      <c r="N235" s="7" t="n">
        <v>40</v>
      </c>
      <c r="P235" s="7" t="n">
        <v>8.9</v>
      </c>
      <c r="R235" s="7" t="n">
        <v>7.5</v>
      </c>
      <c r="T235" s="7" t="n">
        <v>4.5</v>
      </c>
      <c r="V235" s="7" t="n">
        <v>12.5</v>
      </c>
      <c r="X235" s="7" t="n">
        <v>10.8</v>
      </c>
      <c r="Z235" s="7" t="n">
        <v>8.1</v>
      </c>
      <c r="AB235" s="7" t="n">
        <v>295.8</v>
      </c>
    </row>
    <row r="236">
      <c r="A236" s="4" t="inlineStr">
        <is>
          <t>物料消耗</t>
        </is>
      </c>
      <c r="D236" s="7" t="n">
        <v>6.8</v>
      </c>
      <c r="F236" s="7" t="n">
        <v>37.1</v>
      </c>
      <c r="H236" s="7" t="n">
        <v>69.09999999999999</v>
      </c>
      <c r="J236" s="7" t="n">
        <v>34.9</v>
      </c>
      <c r="L236" s="7" t="n">
        <v>121.2</v>
      </c>
      <c r="N236" s="7" t="n">
        <v>49.8</v>
      </c>
      <c r="P236" s="7" t="n">
        <v>12.5</v>
      </c>
      <c r="R236" s="7" t="n">
        <v>8</v>
      </c>
      <c r="T236" s="7" t="n">
        <v>4.1</v>
      </c>
      <c r="V236" s="7" t="n">
        <v>14.6</v>
      </c>
      <c r="X236" s="7" t="n">
        <v>18.9</v>
      </c>
      <c r="Z236" s="7" t="n">
        <v>11.6</v>
      </c>
      <c r="AB236" s="7" t="n">
        <v>388.6</v>
      </c>
    </row>
    <row r="237">
      <c r="A237" s="4" t="inlineStr">
        <is>
          <t>盘盈盘亏</t>
        </is>
      </c>
      <c r="D237" s="7" t="n">
        <v>2.8</v>
      </c>
      <c r="F237" s="7" t="n">
        <v>20.2</v>
      </c>
      <c r="H237" s="7" t="n">
        <v>51</v>
      </c>
      <c r="J237" s="7" t="n">
        <v>23.9</v>
      </c>
      <c r="L237" s="7" t="n">
        <v>47.3</v>
      </c>
      <c r="N237" s="7" t="n">
        <v>33.2</v>
      </c>
      <c r="P237" s="7" t="n">
        <v>5.9</v>
      </c>
      <c r="R237" s="7" t="n">
        <v>6.1</v>
      </c>
      <c r="T237" s="7" t="n">
        <v>3.2</v>
      </c>
      <c r="V237" s="7" t="n">
        <v>12.3</v>
      </c>
      <c r="X237" s="7" t="n">
        <v>9.4</v>
      </c>
      <c r="Z237" s="7" t="n">
        <v>4.3</v>
      </c>
      <c r="AB237" s="7" t="n">
        <v>219.6</v>
      </c>
    </row>
    <row r="238">
      <c r="A238" s="4" t="inlineStr">
        <is>
          <t>平台服务费</t>
        </is>
      </c>
      <c r="D238" s="7" t="n">
        <v>6.8</v>
      </c>
      <c r="F238" s="7" t="n">
        <v>36.9</v>
      </c>
      <c r="H238" s="7" t="n">
        <v>79.40000000000001</v>
      </c>
      <c r="J238" s="7" t="n">
        <v>40.8</v>
      </c>
      <c r="L238" s="7" t="n">
        <v>96</v>
      </c>
      <c r="N238" s="7" t="n">
        <v>57.6</v>
      </c>
      <c r="P238" s="7" t="n">
        <v>10.9</v>
      </c>
      <c r="R238" s="7" t="n">
        <v>8</v>
      </c>
      <c r="T238" s="7" t="n">
        <v>5.5</v>
      </c>
      <c r="V238" s="7" t="n">
        <v>14.3</v>
      </c>
      <c r="X238" s="7" t="n">
        <v>13</v>
      </c>
      <c r="Z238" s="7" t="n">
        <v>11.9</v>
      </c>
      <c r="AB238" s="7" t="n">
        <v>381.1</v>
      </c>
    </row>
    <row r="239">
      <c r="A239" s="4" t="inlineStr">
        <is>
          <t>无形资产摊销</t>
        </is>
      </c>
      <c r="D239" s="7" t="n">
        <v>5</v>
      </c>
      <c r="F239" s="7" t="n">
        <v>23.2</v>
      </c>
      <c r="H239" s="7" t="n">
        <v>34.9</v>
      </c>
      <c r="J239" s="7" t="n">
        <v>23</v>
      </c>
      <c r="L239" s="7" t="n">
        <v>49.7</v>
      </c>
      <c r="N239" s="7" t="n">
        <v>27.2</v>
      </c>
      <c r="P239" s="7" t="n">
        <v>9.300000000000001</v>
      </c>
      <c r="R239" s="7" t="n">
        <v>6.4</v>
      </c>
      <c r="T239" s="7" t="n">
        <v>3.7</v>
      </c>
      <c r="V239" s="7" t="n">
        <v>10.1</v>
      </c>
      <c r="X239" s="7" t="n">
        <v>9.9</v>
      </c>
      <c r="Z239" s="7" t="n">
        <v>6.5</v>
      </c>
      <c r="AB239" s="7" t="n">
        <v>208.9</v>
      </c>
    </row>
    <row r="240">
      <c r="A240" s="4" t="inlineStr">
        <is>
          <t>研发材料</t>
        </is>
      </c>
      <c r="D240" s="7" t="n">
        <v>2.3</v>
      </c>
      <c r="F240" s="7" t="n">
        <v>13.3</v>
      </c>
      <c r="H240" s="7" t="n">
        <v>20.7</v>
      </c>
      <c r="J240" s="7" t="n">
        <v>15.1</v>
      </c>
      <c r="L240" s="7" t="n">
        <v>25.1</v>
      </c>
      <c r="N240" s="7" t="n">
        <v>20.1</v>
      </c>
      <c r="P240" s="7" t="n">
        <v>4.2</v>
      </c>
      <c r="R240" s="7" t="n">
        <v>2.6</v>
      </c>
      <c r="T240" s="7" t="n">
        <v>1.9</v>
      </c>
      <c r="V240" s="7" t="n">
        <v>5.9</v>
      </c>
      <c r="X240" s="7" t="n">
        <v>4.5</v>
      </c>
      <c r="Z240" s="7" t="n">
        <v>2.7</v>
      </c>
      <c r="AB240" s="7" t="n">
        <v>118.4</v>
      </c>
    </row>
    <row r="241">
      <c r="A241" s="4" t="inlineStr">
        <is>
          <t>项目名称</t>
        </is>
      </c>
      <c r="D241" s="7" t="n">
        <v>4.8</v>
      </c>
      <c r="F241" s="7" t="n">
        <v>23.5</v>
      </c>
      <c r="H241" s="7" t="n">
        <v>61.5</v>
      </c>
      <c r="J241" s="7" t="n">
        <v>29.8</v>
      </c>
      <c r="L241" s="7" t="n">
        <v>54</v>
      </c>
      <c r="N241" s="7" t="n">
        <v>43.5</v>
      </c>
      <c r="P241" s="7" t="n">
        <v>7.9</v>
      </c>
      <c r="R241" s="7" t="n">
        <v>6.7</v>
      </c>
      <c r="T241" s="7" t="n">
        <v>2.6</v>
      </c>
      <c r="V241" s="7" t="n">
        <v>10.7</v>
      </c>
      <c r="X241" s="7" t="n">
        <v>9.6</v>
      </c>
      <c r="Z241" s="7" t="n">
        <v>8.300000000000001</v>
      </c>
      <c r="AB241" s="7" t="n">
        <v>262.9</v>
      </c>
    </row>
    <row r="242">
      <c r="A242" s="4" t="inlineStr">
        <is>
          <t>研发费</t>
        </is>
      </c>
      <c r="D242" s="7" t="n">
        <v>0.6</v>
      </c>
      <c r="F242" s="7" t="n">
        <v>3.7</v>
      </c>
      <c r="H242" s="7" t="n">
        <v>9.5</v>
      </c>
      <c r="J242" s="7" t="n">
        <v>5.9</v>
      </c>
      <c r="L242" s="7" t="n">
        <v>8.5</v>
      </c>
      <c r="N242" s="7" t="n">
        <v>4.8</v>
      </c>
      <c r="P242" s="7" t="n">
        <v>1.8</v>
      </c>
      <c r="R242" s="7" t="n">
        <v>1.3</v>
      </c>
      <c r="T242" s="7" t="n">
        <v>0.6</v>
      </c>
      <c r="V242" s="7" t="n">
        <v>2.3</v>
      </c>
      <c r="X242" s="7" t="n">
        <v>1.8</v>
      </c>
      <c r="Z242" s="7" t="n">
        <v>0.9</v>
      </c>
      <c r="AB242" s="7" t="n">
        <v>41.7</v>
      </c>
    </row>
    <row r="243">
      <c r="A243" s="4" t="inlineStr">
        <is>
          <t>残保金</t>
        </is>
      </c>
      <c r="D243" s="7" t="n">
        <v>4.6</v>
      </c>
      <c r="F243" s="7" t="n">
        <v>17.8</v>
      </c>
      <c r="H243" s="7" t="n">
        <v>47.1</v>
      </c>
      <c r="J243" s="7" t="n">
        <v>25.6</v>
      </c>
      <c r="L243" s="7" t="n">
        <v>48.2</v>
      </c>
      <c r="N243" s="7" t="n">
        <v>41.8</v>
      </c>
      <c r="P243" s="7" t="n">
        <v>6.6</v>
      </c>
      <c r="R243" s="7" t="n">
        <v>6.5</v>
      </c>
      <c r="T243" s="7" t="n">
        <v>3.2</v>
      </c>
      <c r="V243" s="7" t="n">
        <v>12.7</v>
      </c>
      <c r="X243" s="7" t="n">
        <v>9.699999999999999</v>
      </c>
      <c r="Z243" s="7" t="n">
        <v>6.9</v>
      </c>
      <c r="AB243" s="7" t="n">
        <v>230.7</v>
      </c>
    </row>
    <row r="244">
      <c r="A244" s="4" t="inlineStr">
        <is>
          <t>环保费</t>
        </is>
      </c>
      <c r="D244" s="7" t="n">
        <v>6.3</v>
      </c>
      <c r="F244" s="7" t="n">
        <v>31.1</v>
      </c>
      <c r="H244" s="7" t="n">
        <v>74.59999999999999</v>
      </c>
      <c r="J244" s="7" t="n">
        <v>38.3</v>
      </c>
      <c r="L244" s="7" t="n">
        <v>75.8</v>
      </c>
      <c r="N244" s="7" t="n">
        <v>46.9</v>
      </c>
      <c r="P244" s="7" t="n">
        <v>15.7</v>
      </c>
      <c r="R244" s="7" t="n">
        <v>7.5</v>
      </c>
      <c r="T244" s="7" t="n">
        <v>5.7</v>
      </c>
      <c r="V244" s="7" t="n">
        <v>14.2</v>
      </c>
      <c r="X244" s="7" t="n">
        <v>17.1</v>
      </c>
      <c r="Z244" s="7" t="n">
        <v>9.300000000000001</v>
      </c>
      <c r="AB244" s="7" t="n">
        <v>342.5</v>
      </c>
    </row>
    <row r="245">
      <c r="A245" s="4" t="inlineStr">
        <is>
          <t>报废损失</t>
        </is>
      </c>
      <c r="D245" s="7" t="n">
        <v>3.6</v>
      </c>
      <c r="F245" s="7" t="n">
        <v>15.5</v>
      </c>
      <c r="H245" s="7" t="n">
        <v>42.6</v>
      </c>
      <c r="J245" s="7" t="n">
        <v>22.4</v>
      </c>
      <c r="L245" s="7" t="n">
        <v>43</v>
      </c>
      <c r="N245" s="7" t="n">
        <v>25.1</v>
      </c>
      <c r="P245" s="7" t="n">
        <v>8.800000000000001</v>
      </c>
      <c r="R245" s="7" t="n">
        <v>6</v>
      </c>
      <c r="T245" s="7" t="n">
        <v>3.7</v>
      </c>
      <c r="V245" s="7" t="n">
        <v>10.3</v>
      </c>
      <c r="X245" s="7" t="n">
        <v>7.7</v>
      </c>
      <c r="Z245" s="7" t="n">
        <v>4.9</v>
      </c>
      <c r="AB245" s="7" t="n">
        <v>193.6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9742.700000000001</v>
      </c>
      <c r="D246" s="7" t="n">
        <v>10090</v>
      </c>
      <c r="E246" s="7" t="n">
        <v>10806.5</v>
      </c>
      <c r="F246" s="7" t="n">
        <v>17769.4</v>
      </c>
      <c r="G246" s="7" t="n">
        <v>11153.9</v>
      </c>
      <c r="H246" s="7" t="n">
        <v>2747.2</v>
      </c>
      <c r="I246" s="7" t="n">
        <v>11352.7</v>
      </c>
      <c r="J246" s="7" t="n">
        <v>7312.5</v>
      </c>
      <c r="K246" s="7" t="n">
        <v>9304.6</v>
      </c>
      <c r="L246" s="7" t="n">
        <v>2743.9</v>
      </c>
      <c r="M246" s="7" t="n">
        <v>11390.4</v>
      </c>
      <c r="N246" s="7" t="n">
        <v>10362.2</v>
      </c>
      <c r="O246" s="7" t="n">
        <v>9088.6</v>
      </c>
      <c r="P246" s="7" t="n">
        <v>5805.3</v>
      </c>
      <c r="Q246" s="7" t="n">
        <v>10803.5</v>
      </c>
      <c r="R246" s="7" t="n">
        <v>16276.6</v>
      </c>
      <c r="S246" s="7" t="n">
        <v>11420.8</v>
      </c>
      <c r="T246" s="7" t="n">
        <v>18072.1</v>
      </c>
      <c r="U246" s="7" t="n">
        <v>10503.3</v>
      </c>
      <c r="V246" s="7" t="n">
        <v>2841.2</v>
      </c>
      <c r="W246" s="7" t="n">
        <v>10493.2</v>
      </c>
      <c r="X246" s="7" t="n">
        <v>12806.7</v>
      </c>
      <c r="Y246" s="7" t="n">
        <v>11243.1</v>
      </c>
      <c r="Z246" s="7" t="n">
        <v>13179.5</v>
      </c>
      <c r="AA246" s="8" t="n">
        <v>127303.3</v>
      </c>
      <c r="AB246" s="8" t="n">
        <v>120006.6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1735.4</v>
      </c>
      <c r="E248" s="7" t="n">
        <v>0</v>
      </c>
      <c r="F248" s="7" t="n">
        <v>-2716.7</v>
      </c>
      <c r="G248" s="7" t="n">
        <v>0</v>
      </c>
      <c r="H248" s="7" t="n">
        <v>-1357.9</v>
      </c>
      <c r="I248" s="7" t="n">
        <v>0</v>
      </c>
      <c r="J248" s="7" t="n">
        <v>1288.9</v>
      </c>
      <c r="K248" s="7" t="n">
        <v>0</v>
      </c>
      <c r="L248" s="7" t="n">
        <v>3434.8</v>
      </c>
      <c r="M248" s="7" t="n">
        <v>0</v>
      </c>
      <c r="N248" s="7" t="n">
        <v>607.2</v>
      </c>
      <c r="O248" s="7" t="n">
        <v>0</v>
      </c>
      <c r="P248" s="7" t="n">
        <v>-3466.3</v>
      </c>
      <c r="Q248" s="7" t="n">
        <v>0</v>
      </c>
      <c r="R248" s="7" t="n">
        <v>3243.6</v>
      </c>
      <c r="S248" s="7" t="n">
        <v>0</v>
      </c>
      <c r="T248" s="7" t="n">
        <v>136.7</v>
      </c>
      <c r="U248" s="7" t="n">
        <v>0</v>
      </c>
      <c r="V248" s="7" t="n">
        <v>4743.1</v>
      </c>
      <c r="W248" s="7" t="n">
        <v>0</v>
      </c>
      <c r="X248" s="7" t="n">
        <v>-1572.9</v>
      </c>
      <c r="Y248" s="7" t="n">
        <v>0</v>
      </c>
      <c r="Z248" s="7" t="n">
        <v>4485.8</v>
      </c>
      <c r="AA248" s="7" t="n">
        <v>0</v>
      </c>
      <c r="AB248" s="7" t="n">
        <v>10561.7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16829.8</v>
      </c>
      <c r="D253" s="7" t="n">
        <v>20081.7</v>
      </c>
      <c r="E253" s="7" t="n">
        <v>20878.6</v>
      </c>
      <c r="F253" s="7" t="n">
        <v>7118.5</v>
      </c>
      <c r="G253" s="7" t="n">
        <v>20087.7</v>
      </c>
      <c r="H253" s="7" t="n">
        <v>21883.8</v>
      </c>
      <c r="I253" s="7" t="n">
        <v>21719</v>
      </c>
      <c r="J253" s="7" t="n">
        <v>24293.3</v>
      </c>
      <c r="K253" s="7" t="n">
        <v>20801.3</v>
      </c>
      <c r="L253" s="7" t="n">
        <v>28379.3</v>
      </c>
      <c r="M253" s="7" t="n">
        <v>17188.3</v>
      </c>
      <c r="N253" s="7" t="n">
        <v>21226.3</v>
      </c>
      <c r="O253" s="7" t="n">
        <v>17747.6</v>
      </c>
      <c r="P253" s="7" t="n">
        <v>23997.6</v>
      </c>
      <c r="Q253" s="7" t="n">
        <v>20004.3</v>
      </c>
      <c r="R253" s="7" t="n">
        <v>4244.7</v>
      </c>
      <c r="S253" s="7" t="n">
        <v>18082.4</v>
      </c>
      <c r="T253" s="7" t="n">
        <v>15197.4</v>
      </c>
      <c r="U253" s="7" t="n">
        <v>17147.2</v>
      </c>
      <c r="V253" s="7" t="n">
        <v>22907.6</v>
      </c>
      <c r="W253" s="7" t="n">
        <v>18399.5</v>
      </c>
      <c r="X253" s="7" t="n">
        <v>11710.2</v>
      </c>
      <c r="Y253" s="7" t="n">
        <v>21526.3</v>
      </c>
      <c r="Z253" s="7" t="n">
        <v>28169.2</v>
      </c>
      <c r="AA253" s="7" t="n">
        <v>230412</v>
      </c>
      <c r="AB253" s="7" t="n">
        <v>229209.6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16903</v>
      </c>
      <c r="D254" s="7" t="n">
        <v>3610.4</v>
      </c>
      <c r="E254" s="7" t="n">
        <v>15674.9</v>
      </c>
      <c r="F254" s="7" t="n">
        <v>29547.5</v>
      </c>
      <c r="G254" s="7" t="n">
        <v>15649.3</v>
      </c>
      <c r="H254" s="7" t="n">
        <v>29629.3</v>
      </c>
      <c r="I254" s="7" t="n">
        <v>14880.2</v>
      </c>
      <c r="J254" s="7" t="n">
        <v>25937.4</v>
      </c>
      <c r="K254" s="7" t="n">
        <v>15661.4</v>
      </c>
      <c r="L254" s="7" t="n">
        <v>25981.7</v>
      </c>
      <c r="M254" s="7" t="n">
        <v>17829.8</v>
      </c>
      <c r="N254" s="7" t="n">
        <v>24091.9</v>
      </c>
      <c r="O254" s="7" t="n">
        <v>15199.5</v>
      </c>
      <c r="P254" s="7" t="n">
        <v>5699.2</v>
      </c>
      <c r="Q254" s="7" t="n">
        <v>18345.2</v>
      </c>
      <c r="R254" s="7" t="n">
        <v>7964.4</v>
      </c>
      <c r="S254" s="7" t="n">
        <v>14365.7</v>
      </c>
      <c r="T254" s="7" t="n">
        <v>6112.2</v>
      </c>
      <c r="U254" s="7" t="n">
        <v>14308</v>
      </c>
      <c r="V254" s="7" t="n">
        <v>15892.8</v>
      </c>
      <c r="W254" s="7" t="n">
        <v>17602.8</v>
      </c>
      <c r="X254" s="7" t="n">
        <v>11298.9</v>
      </c>
      <c r="Y254" s="7" t="n">
        <v>16430.5</v>
      </c>
      <c r="Z254" s="7" t="n">
        <v>9506.4</v>
      </c>
      <c r="AA254" s="8" t="n">
        <v>192850.3</v>
      </c>
      <c r="AB254" s="8" t="n">
        <v>195272.1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4250</v>
      </c>
      <c r="E255" s="7" t="n">
        <v>0</v>
      </c>
      <c r="F255" s="7" t="n">
        <v>4525.4</v>
      </c>
      <c r="G255" s="7" t="n">
        <v>0</v>
      </c>
      <c r="H255" s="7" t="n">
        <v>1713</v>
      </c>
      <c r="I255" s="7" t="n">
        <v>0</v>
      </c>
      <c r="J255" s="7" t="n">
        <v>1069.1</v>
      </c>
      <c r="K255" s="7" t="n">
        <v>0</v>
      </c>
      <c r="L255" s="7" t="n">
        <v>4606.8</v>
      </c>
      <c r="M255" s="7" t="n">
        <v>0</v>
      </c>
      <c r="N255" s="7" t="n">
        <v>937.9</v>
      </c>
      <c r="O255" s="7" t="n">
        <v>0</v>
      </c>
      <c r="P255" s="7" t="n">
        <v>4831.9</v>
      </c>
      <c r="Q255" s="7" t="n">
        <v>0</v>
      </c>
      <c r="R255" s="7" t="n">
        <v>3435.7</v>
      </c>
      <c r="S255" s="7" t="n">
        <v>0</v>
      </c>
      <c r="T255" s="7" t="n">
        <v>721.9</v>
      </c>
      <c r="U255" s="7" t="n">
        <v>0</v>
      </c>
      <c r="V255" s="7" t="n">
        <v>1030.4</v>
      </c>
      <c r="W255" s="7" t="n">
        <v>0</v>
      </c>
      <c r="X255" s="7" t="n">
        <v>4127.6</v>
      </c>
      <c r="Y255" s="7" t="n">
        <v>0</v>
      </c>
      <c r="Z255" s="7" t="n">
        <v>3217.3</v>
      </c>
      <c r="AA255" s="7" t="n">
        <v>0</v>
      </c>
      <c r="AB255" s="7" t="n">
        <v>34467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300.8</v>
      </c>
      <c r="E256" s="7" t="n">
        <v>0</v>
      </c>
      <c r="F256" s="7" t="n">
        <v>1779.3</v>
      </c>
      <c r="G256" s="7" t="n">
        <v>0</v>
      </c>
      <c r="H256" s="7" t="n">
        <v>1333.7</v>
      </c>
      <c r="I256" s="7" t="n">
        <v>0</v>
      </c>
      <c r="J256" s="7" t="n">
        <v>2853.7</v>
      </c>
      <c r="K256" s="7" t="n">
        <v>0</v>
      </c>
      <c r="L256" s="7" t="n">
        <v>1286.5</v>
      </c>
      <c r="M256" s="7" t="n">
        <v>0</v>
      </c>
      <c r="N256" s="7" t="n">
        <v>902.7</v>
      </c>
      <c r="O256" s="7" t="n">
        <v>0</v>
      </c>
      <c r="P256" s="7" t="n">
        <v>299.2</v>
      </c>
      <c r="Q256" s="7" t="n">
        <v>0</v>
      </c>
      <c r="R256" s="7" t="n">
        <v>2335.8</v>
      </c>
      <c r="S256" s="7" t="n">
        <v>0</v>
      </c>
      <c r="T256" s="7" t="n">
        <v>838.4</v>
      </c>
      <c r="U256" s="7" t="n">
        <v>0</v>
      </c>
      <c r="V256" s="7" t="n">
        <v>1490</v>
      </c>
      <c r="W256" s="7" t="n">
        <v>0</v>
      </c>
      <c r="X256" s="7" t="n">
        <v>240.8</v>
      </c>
      <c r="Y256" s="7" t="n">
        <v>0</v>
      </c>
      <c r="Z256" s="7" t="n">
        <v>1146</v>
      </c>
      <c r="AA256" s="7" t="n">
        <v>0</v>
      </c>
      <c r="AB256" s="7" t="n">
        <v>14806.9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14839.6</v>
      </c>
      <c r="D257" s="7" t="n">
        <v>3346.5</v>
      </c>
      <c r="E257" s="7" t="n">
        <v>13948.2</v>
      </c>
      <c r="F257" s="7" t="n">
        <v>26757.6</v>
      </c>
      <c r="G257" s="7" t="n">
        <v>15387.6</v>
      </c>
      <c r="H257" s="7" t="n">
        <v>27107.9</v>
      </c>
      <c r="I257" s="7" t="n">
        <v>17092.8</v>
      </c>
      <c r="J257" s="7" t="n">
        <v>26777.1</v>
      </c>
      <c r="K257" s="7" t="n">
        <v>14866</v>
      </c>
      <c r="L257" s="7" t="n">
        <v>24650.6</v>
      </c>
      <c r="M257" s="7" t="n">
        <v>14387.9</v>
      </c>
      <c r="N257" s="7" t="n">
        <v>22853.3</v>
      </c>
      <c r="O257" s="7" t="n">
        <v>17228.6</v>
      </c>
      <c r="P257" s="7" t="n">
        <v>5433.6</v>
      </c>
      <c r="Q257" s="7" t="n">
        <v>13260.3</v>
      </c>
      <c r="R257" s="7" t="n">
        <v>7263</v>
      </c>
      <c r="S257" s="7" t="n">
        <v>15686.2</v>
      </c>
      <c r="T257" s="7" t="n">
        <v>5620.1</v>
      </c>
      <c r="U257" s="7" t="n">
        <v>17612.8</v>
      </c>
      <c r="V257" s="7" t="n">
        <v>14890.2</v>
      </c>
      <c r="W257" s="7" t="n">
        <v>16093.3</v>
      </c>
      <c r="X257" s="7" t="n">
        <v>10550.9</v>
      </c>
      <c r="Y257" s="7" t="n">
        <v>15272.5</v>
      </c>
      <c r="Z257" s="7" t="n">
        <v>8949.4</v>
      </c>
      <c r="AA257" s="8" t="n">
        <v>185675.8</v>
      </c>
      <c r="AB257" s="8" t="n">
        <v>184200.2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3386.7</v>
      </c>
      <c r="D258" s="7" t="n">
        <v>836.6</v>
      </c>
      <c r="E258" s="7" t="n">
        <v>3887.5</v>
      </c>
      <c r="F258" s="7" t="n">
        <v>6689.4</v>
      </c>
      <c r="G258" s="7" t="n">
        <v>4154.6</v>
      </c>
      <c r="H258" s="7" t="n">
        <v>6777</v>
      </c>
      <c r="I258" s="7" t="n">
        <v>3696.1</v>
      </c>
      <c r="J258" s="7" t="n">
        <v>6694.3</v>
      </c>
      <c r="K258" s="7" t="n">
        <v>4114.3</v>
      </c>
      <c r="L258" s="7" t="n">
        <v>6162.6</v>
      </c>
      <c r="M258" s="7" t="n">
        <v>3691.5</v>
      </c>
      <c r="N258" s="7" t="n">
        <v>5713.3</v>
      </c>
      <c r="O258" s="7" t="n">
        <v>3818.1</v>
      </c>
      <c r="P258" s="7" t="n">
        <v>1358.4</v>
      </c>
      <c r="Q258" s="7" t="n">
        <v>4015</v>
      </c>
      <c r="R258" s="7" t="n">
        <v>1815.8</v>
      </c>
      <c r="S258" s="7" t="n">
        <v>4055.1</v>
      </c>
      <c r="T258" s="7" t="n">
        <v>1405</v>
      </c>
      <c r="U258" s="7" t="n">
        <v>3337.5</v>
      </c>
      <c r="V258" s="7" t="n">
        <v>3722.6</v>
      </c>
      <c r="W258" s="7" t="n">
        <v>3740.8</v>
      </c>
      <c r="X258" s="7" t="n">
        <v>2637.7</v>
      </c>
      <c r="Y258" s="7" t="n">
        <v>4365.3</v>
      </c>
      <c r="Z258" s="7" t="n">
        <v>2237.3</v>
      </c>
      <c r="AA258" s="7" t="n">
        <v>46262.5</v>
      </c>
      <c r="AB258" s="7" t="n">
        <v>46050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17080.5</v>
      </c>
      <c r="D259" s="7" t="n">
        <v>2509.9</v>
      </c>
      <c r="E259" s="7" t="n">
        <v>15241.5</v>
      </c>
      <c r="F259" s="7" t="n">
        <v>20068.2</v>
      </c>
      <c r="G259" s="7" t="n">
        <v>10999.9</v>
      </c>
      <c r="H259" s="7" t="n">
        <v>20330.9</v>
      </c>
      <c r="I259" s="7" t="n">
        <v>10715.6</v>
      </c>
      <c r="J259" s="7" t="n">
        <v>20082.8</v>
      </c>
      <c r="K259" s="7" t="n">
        <v>11636.6</v>
      </c>
      <c r="L259" s="7" t="n">
        <v>18488</v>
      </c>
      <c r="M259" s="7" t="n">
        <v>15683.1</v>
      </c>
      <c r="N259" s="7" t="n">
        <v>17140</v>
      </c>
      <c r="O259" s="7" t="n">
        <v>16176.4</v>
      </c>
      <c r="P259" s="7" t="n">
        <v>4075.2</v>
      </c>
      <c r="Q259" s="7" t="n">
        <v>12644.6</v>
      </c>
      <c r="R259" s="7" t="n">
        <v>5447.2</v>
      </c>
      <c r="S259" s="7" t="n">
        <v>16070.7</v>
      </c>
      <c r="T259" s="7" t="n">
        <v>4215.1</v>
      </c>
      <c r="U259" s="7" t="n">
        <v>14521.5</v>
      </c>
      <c r="V259" s="7" t="n">
        <v>11167.6</v>
      </c>
      <c r="W259" s="7" t="n">
        <v>14138.2</v>
      </c>
      <c r="X259" s="7" t="n">
        <v>7913.2</v>
      </c>
      <c r="Y259" s="7" t="n">
        <v>12654</v>
      </c>
      <c r="Z259" s="7" t="n">
        <v>6712.1</v>
      </c>
      <c r="AA259" s="8" t="n">
        <v>167562.6</v>
      </c>
      <c r="AB259" s="8" t="n">
        <v>138150.2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375.7</v>
      </c>
      <c r="E260" s="7" t="n">
        <v>0</v>
      </c>
      <c r="F260" s="7" t="n">
        <v>251.6</v>
      </c>
      <c r="G260" s="7" t="n">
        <v>0</v>
      </c>
      <c r="H260" s="7" t="n">
        <v>3327.8</v>
      </c>
      <c r="I260" s="7" t="n">
        <v>0</v>
      </c>
      <c r="J260" s="7" t="n">
        <v>5094.3</v>
      </c>
      <c r="K260" s="7" t="n">
        <v>0</v>
      </c>
      <c r="L260" s="7" t="n">
        <v>2189.5</v>
      </c>
      <c r="M260" s="7" t="n">
        <v>0</v>
      </c>
      <c r="N260" s="7" t="n">
        <v>253.6</v>
      </c>
      <c r="O260" s="7" t="n">
        <v>0</v>
      </c>
      <c r="P260" s="7" t="n">
        <v>366.5</v>
      </c>
      <c r="Q260" s="7" t="n">
        <v>0</v>
      </c>
      <c r="R260" s="7" t="n">
        <v>818.7</v>
      </c>
      <c r="S260" s="7" t="n">
        <v>0</v>
      </c>
      <c r="T260" s="7" t="n">
        <v>1029.2</v>
      </c>
      <c r="U260" s="7" t="n">
        <v>0</v>
      </c>
      <c r="V260" s="7" t="n">
        <v>745</v>
      </c>
      <c r="W260" s="7" t="n">
        <v>0</v>
      </c>
      <c r="X260" s="7" t="n">
        <v>537</v>
      </c>
      <c r="Y260" s="7" t="n">
        <v>0</v>
      </c>
      <c r="Z260" s="7" t="n">
        <v>1665.5</v>
      </c>
      <c r="AA260" s="7" t="n">
        <v>0</v>
      </c>
      <c r="AB260" s="7" t="n">
        <v>16654.4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17080.5</v>
      </c>
      <c r="D261" s="7" t="n">
        <v>2134.2</v>
      </c>
      <c r="E261" s="7" t="n">
        <v>15241.5</v>
      </c>
      <c r="F261" s="7" t="n">
        <v>19816.6</v>
      </c>
      <c r="G261" s="7" t="n">
        <v>10999.9</v>
      </c>
      <c r="H261" s="7" t="n">
        <v>17003.1</v>
      </c>
      <c r="I261" s="7" t="n">
        <v>10715.6</v>
      </c>
      <c r="J261" s="7" t="n">
        <v>14988.5</v>
      </c>
      <c r="K261" s="7" t="n">
        <v>11636.6</v>
      </c>
      <c r="L261" s="7" t="n">
        <v>16298.5</v>
      </c>
      <c r="M261" s="7" t="n">
        <v>15683.1</v>
      </c>
      <c r="N261" s="7" t="n">
        <v>16886.4</v>
      </c>
      <c r="O261" s="7" t="n">
        <v>16176.4</v>
      </c>
      <c r="P261" s="7" t="n">
        <v>3708.7</v>
      </c>
      <c r="Q261" s="7" t="n">
        <v>12644.6</v>
      </c>
      <c r="R261" s="7" t="n">
        <v>4628.5</v>
      </c>
      <c r="S261" s="7" t="n">
        <v>16070.7</v>
      </c>
      <c r="T261" s="7" t="n">
        <v>3185.9</v>
      </c>
      <c r="U261" s="7" t="n">
        <v>14521.5</v>
      </c>
      <c r="V261" s="7" t="n">
        <v>10422.6</v>
      </c>
      <c r="W261" s="7" t="n">
        <v>14138.2</v>
      </c>
      <c r="X261" s="7" t="n">
        <v>7376.2</v>
      </c>
      <c r="Y261" s="7" t="n">
        <v>12654</v>
      </c>
      <c r="Z261" s="7" t="n">
        <v>5046.6</v>
      </c>
      <c r="AA261" s="8" t="n">
        <v>167562.6</v>
      </c>
      <c r="AB261" s="8" t="n">
        <v>121495.8</v>
      </c>
    </row>
    <row r="262">
      <c r="A262" s="4" t="inlineStr">
        <is>
          <t>净利率</t>
        </is>
      </c>
      <c r="D262" s="13" t="n">
        <v>7.1</v>
      </c>
      <c r="F262" s="13" t="n">
        <v>5.7</v>
      </c>
      <c r="H262" s="13" t="n">
        <v>4.6</v>
      </c>
      <c r="J262" s="13" t="n">
        <v>6.8</v>
      </c>
      <c r="L262" s="13" t="n">
        <v>3.4</v>
      </c>
      <c r="N262" s="13" t="n">
        <v>4</v>
      </c>
      <c r="P262" s="13" t="n">
        <v>4.7</v>
      </c>
      <c r="R262" s="13" t="n">
        <v>4</v>
      </c>
      <c r="T262" s="13" t="n">
        <v>9.199999999999999</v>
      </c>
      <c r="V262" s="13" t="n">
        <v>7.3</v>
      </c>
      <c r="X262" s="13" t="n">
        <v>5</v>
      </c>
      <c r="Z262" s="13" t="n">
        <v>3.7</v>
      </c>
    </row>
    <row r="263">
      <c r="A263" s="4" t="inlineStr">
        <is>
          <t>销售达成率</t>
        </is>
      </c>
      <c r="D263" s="13" t="n">
        <v>13.3</v>
      </c>
      <c r="F263" s="13" t="n">
        <v>141.8</v>
      </c>
      <c r="H263" s="13" t="n">
        <v>175.6</v>
      </c>
      <c r="J263" s="13" t="n">
        <v>143.6</v>
      </c>
      <c r="L263" s="13" t="n">
        <v>199.7</v>
      </c>
      <c r="N263" s="13" t="n">
        <v>160.4</v>
      </c>
      <c r="P263" s="13" t="n">
        <v>38.8</v>
      </c>
      <c r="R263" s="13" t="n">
        <v>62.5</v>
      </c>
      <c r="T263" s="13" t="n">
        <v>18</v>
      </c>
      <c r="V263" s="13" t="n">
        <v>66.90000000000001</v>
      </c>
      <c r="X263" s="13" t="n">
        <v>68.59999999999999</v>
      </c>
      <c r="Z263" s="13" t="n">
        <v>87.09999999999999</v>
      </c>
    </row>
    <row r="264">
      <c r="A264" s="4" t="inlineStr">
        <is>
          <t>净利达成率</t>
        </is>
      </c>
      <c r="D264" s="13" t="n">
        <v>14.7</v>
      </c>
      <c r="F264" s="13" t="n">
        <v>131.7</v>
      </c>
      <c r="H264" s="13" t="n">
        <v>184.8</v>
      </c>
      <c r="J264" s="13" t="n">
        <v>187.4</v>
      </c>
      <c r="L264" s="13" t="n">
        <v>158.9</v>
      </c>
      <c r="N264" s="13" t="n">
        <v>109.3</v>
      </c>
      <c r="P264" s="13" t="n">
        <v>25.2</v>
      </c>
      <c r="R264" s="13" t="n">
        <v>43.1</v>
      </c>
      <c r="T264" s="13" t="n">
        <v>26.2</v>
      </c>
      <c r="V264" s="13" t="n">
        <v>76.90000000000001</v>
      </c>
      <c r="X264" s="13" t="n">
        <v>56</v>
      </c>
      <c r="Z264" s="13" t="n">
        <v>53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4" customWidth="1" min="4" max="4"/>
    <col width="12" customWidth="1" min="5" max="5"/>
    <col width="10" customWidth="1" min="6" max="6"/>
  </cols>
  <sheetData>
    <row r="1">
      <c r="A1" s="2" t="inlineStr">
        <is>
          <t>日期</t>
        </is>
      </c>
      <c r="B1" s="2" t="inlineStr">
        <is>
          <t>月份</t>
        </is>
      </c>
      <c r="C1" s="2" t="inlineStr">
        <is>
          <t>摘要</t>
        </is>
      </c>
      <c r="D1" s="2" t="inlineStr">
        <is>
          <t>贷方金额</t>
        </is>
      </c>
      <c r="E1" s="2" t="inlineStr">
        <is>
          <t>区域</t>
        </is>
      </c>
      <c r="F1" s="2" t="inlineStr">
        <is>
          <t>业务员</t>
        </is>
      </c>
    </row>
    <row r="2">
      <c r="A2" s="14" t="n">
        <v>45307</v>
      </c>
      <c r="B2" s="4" t="inlineStr">
        <is>
          <t>2024-01</t>
        </is>
      </c>
      <c r="C2" s="4" t="inlineStr">
        <is>
          <t>冲减计提吴中食品有限公司经销商返点实现10341</t>
        </is>
      </c>
      <c r="D2" s="15" t="n">
        <v>10341.67</v>
      </c>
      <c r="E2" s="4" t="inlineStr">
        <is>
          <t>华中区域</t>
        </is>
      </c>
      <c r="F2" s="4" t="inlineStr">
        <is>
          <t>何明秀</t>
        </is>
      </c>
    </row>
    <row r="3">
      <c r="A3" s="14" t="n">
        <v>45327</v>
      </c>
      <c r="B3" s="4" t="inlineStr">
        <is>
          <t>2024-02</t>
        </is>
      </c>
      <c r="C3" s="4" t="inlineStr">
        <is>
          <t>姑苏供应链管理有限公司经销商返点实现14296</t>
        </is>
      </c>
      <c r="D3" s="15" t="n">
        <v>-14296.93</v>
      </c>
      <c r="E3" s="4" t="inlineStr">
        <is>
          <t>浙江区域</t>
        </is>
      </c>
      <c r="F3" s="4" t="inlineStr">
        <is>
          <t>杨娜英</t>
        </is>
      </c>
    </row>
    <row r="4">
      <c r="A4" s="14" t="n">
        <v>45335</v>
      </c>
      <c r="B4" s="4" t="inlineStr">
        <is>
          <t>2024-02</t>
        </is>
      </c>
      <c r="C4" s="4" t="inlineStr">
        <is>
          <t>钟楼商贸有限公司经销商返点实现11877</t>
        </is>
      </c>
      <c r="D4" s="15" t="n">
        <v>-11877.1</v>
      </c>
      <c r="E4" s="4" t="inlineStr">
        <is>
          <t>江苏区域</t>
        </is>
      </c>
      <c r="F4" s="4" t="inlineStr">
        <is>
          <t>徐丽英</t>
        </is>
      </c>
    </row>
    <row r="5">
      <c r="A5" s="14" t="n">
        <v>45336</v>
      </c>
      <c r="B5" s="4" t="inlineStr">
        <is>
          <t>2024-02</t>
        </is>
      </c>
      <c r="C5" s="4" t="inlineStr">
        <is>
          <t>冲减计提海宁食品有限公司经销商返点实现596</t>
        </is>
      </c>
      <c r="D5" s="15" t="n">
        <v>596.12</v>
      </c>
      <c r="E5" s="4" t="inlineStr">
        <is>
          <t>江苏区域</t>
        </is>
      </c>
      <c r="F5" s="4" t="inlineStr">
        <is>
          <t>黄静芳</t>
        </is>
      </c>
    </row>
    <row r="6">
      <c r="A6" s="14" t="n">
        <v>45344</v>
      </c>
      <c r="B6" s="4" t="inlineStr">
        <is>
          <t>2024-02</t>
        </is>
      </c>
      <c r="C6" s="4" t="inlineStr">
        <is>
          <t>钟楼供应链管理有限公司经销商返点实现8531</t>
        </is>
      </c>
      <c r="D6" s="15" t="n">
        <v>-8531.530000000001</v>
      </c>
      <c r="E6" s="4" t="inlineStr">
        <is>
          <t>江苏区域</t>
        </is>
      </c>
      <c r="F6" s="4" t="inlineStr">
        <is>
          <t>王娟芳</t>
        </is>
      </c>
    </row>
    <row r="7">
      <c r="A7" s="14" t="n">
        <v>45364</v>
      </c>
      <c r="B7" s="4" t="inlineStr">
        <is>
          <t>2024-03</t>
        </is>
      </c>
      <c r="C7" s="4" t="inlineStr">
        <is>
          <t>吴中食品有限公司经销商返点实现4828</t>
        </is>
      </c>
      <c r="D7" s="15" t="n">
        <v>-4828.4</v>
      </c>
      <c r="E7" s="4" t="inlineStr">
        <is>
          <t>广东区域</t>
        </is>
      </c>
      <c r="F7" s="4" t="inlineStr">
        <is>
          <t>徐艳娜</t>
        </is>
      </c>
    </row>
    <row r="8">
      <c r="A8" s="14" t="n">
        <v>45364</v>
      </c>
      <c r="B8" s="4" t="inlineStr">
        <is>
          <t>2024-03</t>
        </is>
      </c>
      <c r="C8" s="4" t="inlineStr">
        <is>
          <t>海宁供应链管理有限公司经销商返点实现1945</t>
        </is>
      </c>
      <c r="D8" s="15" t="n">
        <v>-1945.98</v>
      </c>
      <c r="E8" s="4" t="inlineStr">
        <is>
          <t>华中区域</t>
        </is>
      </c>
      <c r="F8" s="4" t="inlineStr">
        <is>
          <t>李强英</t>
        </is>
      </c>
    </row>
    <row r="9">
      <c r="A9" s="14" t="n">
        <v>45368</v>
      </c>
      <c r="B9" s="4" t="inlineStr">
        <is>
          <t>2024-03</t>
        </is>
      </c>
      <c r="C9" s="4" t="inlineStr">
        <is>
          <t>余杭实业有限公司经销商返点实现14574</t>
        </is>
      </c>
      <c r="D9" s="15" t="n">
        <v>-14574.03</v>
      </c>
      <c r="E9" s="4" t="inlineStr">
        <is>
          <t>江苏区域</t>
        </is>
      </c>
      <c r="F9" s="4" t="inlineStr">
        <is>
          <t>徐丽秀</t>
        </is>
      </c>
    </row>
    <row r="10">
      <c r="A10" s="14" t="n">
        <v>45373</v>
      </c>
      <c r="B10" s="4" t="inlineStr">
        <is>
          <t>2024-03</t>
        </is>
      </c>
      <c r="C10" s="4" t="inlineStr">
        <is>
          <t>武进供应链管理有限公司经销商返点实现3861</t>
        </is>
      </c>
      <c r="D10" s="15" t="n">
        <v>-3861.51</v>
      </c>
      <c r="E10" s="4" t="inlineStr">
        <is>
          <t>江苏区域</t>
        </is>
      </c>
      <c r="F10" s="4" t="inlineStr">
        <is>
          <t>朱超芳</t>
        </is>
      </c>
    </row>
    <row r="11">
      <c r="A11" s="14" t="n">
        <v>45373</v>
      </c>
      <c r="B11" s="4" t="inlineStr">
        <is>
          <t>2024-03</t>
        </is>
      </c>
      <c r="C11" s="4" t="inlineStr">
        <is>
          <t>冲减计提姑苏供应链管理有限公司经销商返点实现14233</t>
        </is>
      </c>
      <c r="D11" s="15" t="n">
        <v>14233.17</v>
      </c>
      <c r="E11" s="4" t="inlineStr">
        <is>
          <t>浙江区域</t>
        </is>
      </c>
      <c r="F11" s="4" t="inlineStr">
        <is>
          <t>张娜秀</t>
        </is>
      </c>
    </row>
    <row r="12">
      <c r="A12" s="14" t="n">
        <v>45378</v>
      </c>
      <c r="B12" s="4" t="inlineStr">
        <is>
          <t>2024-03</t>
        </is>
      </c>
      <c r="C12" s="4" t="inlineStr">
        <is>
          <t>海宁实业有限公司经销商返点实现4739</t>
        </is>
      </c>
      <c r="D12" s="15" t="n">
        <v>-4739.14</v>
      </c>
      <c r="E12" s="4" t="inlineStr">
        <is>
          <t>江苏区域</t>
        </is>
      </c>
      <c r="F12" s="4" t="inlineStr">
        <is>
          <t>黄艳伟</t>
        </is>
      </c>
    </row>
    <row r="13">
      <c r="A13" s="14" t="n">
        <v>45384</v>
      </c>
      <c r="B13" s="4" t="inlineStr">
        <is>
          <t>2024-04</t>
        </is>
      </c>
      <c r="C13" s="4" t="inlineStr">
        <is>
          <t>姑苏市优鲜食品商行经销商返点实现5996</t>
        </is>
      </c>
      <c r="D13" s="15" t="n">
        <v>-5996.74</v>
      </c>
      <c r="E13" s="4" t="inlineStr">
        <is>
          <t>浙江区域</t>
        </is>
      </c>
      <c r="F13" s="4" t="inlineStr">
        <is>
          <t>杨兰英</t>
        </is>
      </c>
    </row>
    <row r="14">
      <c r="A14" s="14" t="n">
        <v>45385</v>
      </c>
      <c r="B14" s="4" t="inlineStr">
        <is>
          <t>2024-04</t>
        </is>
      </c>
      <c r="C14" s="4" t="inlineStr">
        <is>
          <t>冲减计提吴中市京功食品商行经销商返点实现2538</t>
        </is>
      </c>
      <c r="D14" s="15" t="n">
        <v>2538.64</v>
      </c>
      <c r="E14" s="4" t="inlineStr">
        <is>
          <t>浙江区域</t>
        </is>
      </c>
      <c r="F14" s="4" t="inlineStr">
        <is>
          <t>马英娜</t>
        </is>
      </c>
    </row>
    <row r="15">
      <c r="A15" s="14" t="n">
        <v>45389</v>
      </c>
      <c r="B15" s="4" t="inlineStr">
        <is>
          <t>2024-04</t>
        </is>
      </c>
      <c r="C15" s="4" t="inlineStr">
        <is>
          <t>武进实业有限公司经销商返点实现10487</t>
        </is>
      </c>
      <c r="D15" s="15" t="n">
        <v>-10487.52</v>
      </c>
      <c r="E15" s="4" t="inlineStr">
        <is>
          <t>江苏区域</t>
        </is>
      </c>
      <c r="F15" s="4" t="inlineStr">
        <is>
          <t>高勇英</t>
        </is>
      </c>
    </row>
    <row r="16">
      <c r="A16" s="14" t="n">
        <v>45393</v>
      </c>
      <c r="B16" s="4" t="inlineStr">
        <is>
          <t>2024-04</t>
        </is>
      </c>
      <c r="C16" s="4" t="inlineStr">
        <is>
          <t>海宁市优鲜食品商行经销商返点实现1809</t>
        </is>
      </c>
      <c r="D16" s="15" t="n">
        <v>-1809.99</v>
      </c>
      <c r="E16" s="4" t="inlineStr">
        <is>
          <t>华中区域</t>
        </is>
      </c>
      <c r="F16" s="4" t="inlineStr">
        <is>
          <t>何艳娜</t>
        </is>
      </c>
    </row>
    <row r="17">
      <c r="A17" s="14" t="n">
        <v>45398</v>
      </c>
      <c r="B17" s="4" t="inlineStr">
        <is>
          <t>2024-04</t>
        </is>
      </c>
      <c r="C17" s="4" t="inlineStr">
        <is>
          <t>海宁供应链管理有限公司经销商返点实现5376</t>
        </is>
      </c>
      <c r="D17" s="15" t="n">
        <v>-5376.81</v>
      </c>
      <c r="E17" s="4" t="inlineStr">
        <is>
          <t>江苏区域</t>
        </is>
      </c>
      <c r="F17" s="4" t="inlineStr">
        <is>
          <t>王艳娜</t>
        </is>
      </c>
    </row>
    <row r="18">
      <c r="A18" s="14" t="n">
        <v>45415</v>
      </c>
      <c r="B18" s="4" t="inlineStr">
        <is>
          <t>2024-05</t>
        </is>
      </c>
      <c r="C18" s="4" t="inlineStr">
        <is>
          <t>钟楼供应链管理有限公司经销商返点实现4173</t>
        </is>
      </c>
      <c r="D18" s="15" t="n">
        <v>-4173.87</v>
      </c>
      <c r="E18" s="4" t="inlineStr">
        <is>
          <t>浙江区域</t>
        </is>
      </c>
      <c r="F18" s="4" t="inlineStr">
        <is>
          <t>周艳伟</t>
        </is>
      </c>
    </row>
    <row r="19">
      <c r="A19" s="14" t="n">
        <v>45429</v>
      </c>
      <c r="B19" s="4" t="inlineStr">
        <is>
          <t>2024-05</t>
        </is>
      </c>
      <c r="C19" s="4" t="inlineStr">
        <is>
          <t>冲减计提余杭区优鲜冷冻食品批发部经销商返点实现6383</t>
        </is>
      </c>
      <c r="D19" s="15" t="n">
        <v>6383.97</v>
      </c>
      <c r="E19" s="4" t="inlineStr">
        <is>
          <t>华中区域</t>
        </is>
      </c>
      <c r="F19" s="4" t="inlineStr">
        <is>
          <t>罗英伟</t>
        </is>
      </c>
    </row>
    <row r="20">
      <c r="A20" s="14" t="n">
        <v>45431</v>
      </c>
      <c r="B20" s="4" t="inlineStr">
        <is>
          <t>2024-05</t>
        </is>
      </c>
      <c r="C20" s="4" t="inlineStr">
        <is>
          <t>吴中区淼沃冷冻食品批发部经销商返点实现8872</t>
        </is>
      </c>
      <c r="D20" s="15" t="n">
        <v>-8872.84</v>
      </c>
      <c r="E20" s="4" t="inlineStr">
        <is>
          <t>广东区域</t>
        </is>
      </c>
      <c r="F20" s="4" t="inlineStr">
        <is>
          <t>朱敏英</t>
        </is>
      </c>
    </row>
    <row r="21">
      <c r="A21" s="14" t="n">
        <v>45446</v>
      </c>
      <c r="B21" s="4" t="inlineStr">
        <is>
          <t>2024-06</t>
        </is>
      </c>
      <c r="C21" s="4" t="inlineStr">
        <is>
          <t>姑苏供应链管理有限公司经销商返点实现1649</t>
        </is>
      </c>
      <c r="D21" s="15" t="n">
        <v>-1649.68</v>
      </c>
      <c r="E21" s="4" t="inlineStr">
        <is>
          <t>江苏区域</t>
        </is>
      </c>
      <c r="F21" s="4" t="inlineStr">
        <is>
          <t>刘明秀</t>
        </is>
      </c>
    </row>
    <row r="22">
      <c r="A22" s="14" t="n">
        <v>45451</v>
      </c>
      <c r="B22" s="4" t="inlineStr">
        <is>
          <t>2024-06</t>
        </is>
      </c>
      <c r="C22" s="4" t="inlineStr">
        <is>
          <t>姑苏区大匠冷冻食品批发部经销商返点实现5750</t>
        </is>
      </c>
      <c r="D22" s="15" t="n">
        <v>-5750.59</v>
      </c>
      <c r="E22" s="4" t="inlineStr">
        <is>
          <t>江苏区域</t>
        </is>
      </c>
      <c r="F22" s="4" t="inlineStr">
        <is>
          <t>赵秀英</t>
        </is>
      </c>
    </row>
    <row r="23">
      <c r="A23" s="14" t="n">
        <v>45452</v>
      </c>
      <c r="B23" s="4" t="inlineStr">
        <is>
          <t>2024-06</t>
        </is>
      </c>
      <c r="C23" s="4" t="inlineStr">
        <is>
          <t>钟楼区大匠冷冻食品批发部经销商返点实现11148</t>
        </is>
      </c>
      <c r="D23" s="15" t="n">
        <v>-11148.87</v>
      </c>
      <c r="E23" s="4" t="inlineStr">
        <is>
          <t>华中区域</t>
        </is>
      </c>
      <c r="F23" s="4" t="inlineStr">
        <is>
          <t>高静娜</t>
        </is>
      </c>
    </row>
    <row r="24">
      <c r="A24" s="14" t="n">
        <v>45456</v>
      </c>
      <c r="B24" s="4" t="inlineStr">
        <is>
          <t>2024-06</t>
        </is>
      </c>
      <c r="C24" s="4" t="inlineStr">
        <is>
          <t>钟楼实业有限公司经销商返点实现9118</t>
        </is>
      </c>
      <c r="D24" s="15" t="n">
        <v>-9118.1</v>
      </c>
      <c r="E24" s="4" t="inlineStr">
        <is>
          <t>江苏区域</t>
        </is>
      </c>
      <c r="F24" s="4" t="inlineStr">
        <is>
          <t>徐磊芳</t>
        </is>
      </c>
    </row>
    <row r="25">
      <c r="A25" s="14" t="n">
        <v>45470</v>
      </c>
      <c r="B25" s="4" t="inlineStr">
        <is>
          <t>2024-06</t>
        </is>
      </c>
      <c r="C25" s="4" t="inlineStr">
        <is>
          <t>钟楼区京功冷冻食品批发部经销商返点实现7519</t>
        </is>
      </c>
      <c r="D25" s="15" t="n">
        <v>-7519.69</v>
      </c>
      <c r="E25" s="4" t="inlineStr">
        <is>
          <t>广东区域</t>
        </is>
      </c>
      <c r="F25" s="4" t="inlineStr">
        <is>
          <t>林杰伟</t>
        </is>
      </c>
    </row>
    <row r="26">
      <c r="A26" s="14" t="n">
        <v>45478</v>
      </c>
      <c r="B26" s="4" t="inlineStr">
        <is>
          <t>2024-07</t>
        </is>
      </c>
      <c r="C26" s="4" t="inlineStr">
        <is>
          <t>武进食品有限公司经销商返点实现12214</t>
        </is>
      </c>
      <c r="D26" s="15" t="n">
        <v>-12214.51</v>
      </c>
      <c r="E26" s="4" t="inlineStr">
        <is>
          <t>华中区域</t>
        </is>
      </c>
      <c r="F26" s="4" t="inlineStr">
        <is>
          <t>黄涛秀</t>
        </is>
      </c>
    </row>
    <row r="27">
      <c r="A27" s="14" t="n">
        <v>45488</v>
      </c>
      <c r="B27" s="4" t="inlineStr">
        <is>
          <t>2024-07</t>
        </is>
      </c>
      <c r="C27" s="4" t="inlineStr">
        <is>
          <t>姑苏实业有限公司经销商返点实现4997</t>
        </is>
      </c>
      <c r="D27" s="15" t="n">
        <v>-4997.38</v>
      </c>
      <c r="E27" s="4" t="inlineStr">
        <is>
          <t>华中区域</t>
        </is>
      </c>
      <c r="F27" s="4" t="inlineStr">
        <is>
          <t>朱芳伟</t>
        </is>
      </c>
    </row>
    <row r="28">
      <c r="A28" s="14" t="n">
        <v>45491</v>
      </c>
      <c r="B28" s="4" t="inlineStr">
        <is>
          <t>2024-07</t>
        </is>
      </c>
      <c r="C28" s="4" t="inlineStr">
        <is>
          <t>吴中区优鲜冷冻食品批发部经销商返点实现3039</t>
        </is>
      </c>
      <c r="D28" s="15" t="n">
        <v>-3039.7</v>
      </c>
      <c r="E28" s="4" t="inlineStr">
        <is>
          <t>浙江区域</t>
        </is>
      </c>
      <c r="F28" s="4" t="inlineStr">
        <is>
          <t>高艳秀</t>
        </is>
      </c>
    </row>
    <row r="29">
      <c r="A29" s="14" t="n">
        <v>45497</v>
      </c>
      <c r="B29" s="4" t="inlineStr">
        <is>
          <t>2024-07</t>
        </is>
      </c>
      <c r="C29" s="4" t="inlineStr">
        <is>
          <t>钟楼供应链管理有限公司经销商返点实现4881</t>
        </is>
      </c>
      <c r="D29" s="15" t="n">
        <v>-4881.82</v>
      </c>
      <c r="E29" s="4" t="inlineStr">
        <is>
          <t>华中区域</t>
        </is>
      </c>
      <c r="F29" s="4" t="inlineStr">
        <is>
          <t>徐涛娜</t>
        </is>
      </c>
    </row>
    <row r="30">
      <c r="A30" s="14" t="n">
        <v>45515</v>
      </c>
      <c r="B30" s="4" t="inlineStr">
        <is>
          <t>2024-08</t>
        </is>
      </c>
      <c r="C30" s="4" t="inlineStr">
        <is>
          <t>衢州实业有限公司经销商返点实现8781</t>
        </is>
      </c>
      <c r="D30" s="15" t="n">
        <v>-8781.709999999999</v>
      </c>
      <c r="E30" s="4" t="inlineStr">
        <is>
          <t>江苏区域</t>
        </is>
      </c>
      <c r="F30" s="4" t="inlineStr">
        <is>
          <t>赵勇芳</t>
        </is>
      </c>
    </row>
    <row r="31">
      <c r="A31" s="14" t="n">
        <v>45517</v>
      </c>
      <c r="B31" s="4" t="inlineStr">
        <is>
          <t>2024-08</t>
        </is>
      </c>
      <c r="C31" s="4" t="inlineStr">
        <is>
          <t>衢州商贸有限公司经销商返点实现6565</t>
        </is>
      </c>
      <c r="D31" s="15" t="n">
        <v>-6565.75</v>
      </c>
      <c r="E31" s="4" t="inlineStr">
        <is>
          <t>广东区域</t>
        </is>
      </c>
      <c r="F31" s="4" t="inlineStr">
        <is>
          <t>胡勇娜</t>
        </is>
      </c>
    </row>
    <row r="32">
      <c r="A32" s="14" t="n">
        <v>45519</v>
      </c>
      <c r="B32" s="4" t="inlineStr">
        <is>
          <t>2024-08</t>
        </is>
      </c>
      <c r="C32" s="4" t="inlineStr">
        <is>
          <t>钟楼实业有限公司经销商返点实现3474</t>
        </is>
      </c>
      <c r="D32" s="15" t="n">
        <v>-3474.25</v>
      </c>
      <c r="E32" s="4" t="inlineStr">
        <is>
          <t>华中区域</t>
        </is>
      </c>
      <c r="F32" s="4" t="inlineStr">
        <is>
          <t>胡兰娜</t>
        </is>
      </c>
    </row>
    <row r="33">
      <c r="A33" s="14" t="n">
        <v>45523</v>
      </c>
      <c r="B33" s="4" t="inlineStr">
        <is>
          <t>2024-08</t>
        </is>
      </c>
      <c r="C33" s="4" t="inlineStr">
        <is>
          <t>冲减计提钟楼实业有限公司经销商返点实现13969</t>
        </is>
      </c>
      <c r="D33" s="15" t="n">
        <v>13969.73</v>
      </c>
      <c r="E33" s="4" t="inlineStr">
        <is>
          <t>江苏区域</t>
        </is>
      </c>
      <c r="F33" s="4" t="inlineStr">
        <is>
          <t>黄洋英</t>
        </is>
      </c>
    </row>
    <row r="34">
      <c r="A34" s="14" t="n">
        <v>45527</v>
      </c>
      <c r="B34" s="4" t="inlineStr">
        <is>
          <t>2024-08</t>
        </is>
      </c>
      <c r="C34" s="4" t="inlineStr">
        <is>
          <t>海宁实业有限公司经销商返点实现13659</t>
        </is>
      </c>
      <c r="D34" s="15" t="n">
        <v>-13659.54</v>
      </c>
      <c r="E34" s="4" t="inlineStr">
        <is>
          <t>江苏区域</t>
        </is>
      </c>
      <c r="F34" s="4" t="inlineStr">
        <is>
          <t>杨芳娜</t>
        </is>
      </c>
    </row>
    <row r="35">
      <c r="A35" s="14" t="n">
        <v>45554</v>
      </c>
      <c r="B35" s="4" t="inlineStr">
        <is>
          <t>2024-09</t>
        </is>
      </c>
      <c r="C35" s="4" t="inlineStr">
        <is>
          <t>海宁商贸有限公司经销商返点实现4792</t>
        </is>
      </c>
      <c r="D35" s="15" t="n">
        <v>-4792.63</v>
      </c>
      <c r="E35" s="4" t="inlineStr">
        <is>
          <t>华中区域</t>
        </is>
      </c>
      <c r="F35" s="4" t="inlineStr">
        <is>
          <t>陈敏秀</t>
        </is>
      </c>
    </row>
    <row r="36">
      <c r="A36" s="14" t="n">
        <v>45558</v>
      </c>
      <c r="B36" s="4" t="inlineStr">
        <is>
          <t>2024-09</t>
        </is>
      </c>
      <c r="C36" s="4" t="inlineStr">
        <is>
          <t>姑苏供应链管理有限公司经销商返点实现14678</t>
        </is>
      </c>
      <c r="D36" s="15" t="n">
        <v>-14678.44</v>
      </c>
      <c r="E36" s="4" t="inlineStr">
        <is>
          <t>江苏区域</t>
        </is>
      </c>
      <c r="F36" s="4" t="inlineStr">
        <is>
          <t>朱芳伟</t>
        </is>
      </c>
    </row>
    <row r="37">
      <c r="A37" s="14" t="n">
        <v>45560</v>
      </c>
      <c r="B37" s="4" t="inlineStr">
        <is>
          <t>2024-09</t>
        </is>
      </c>
      <c r="C37" s="4" t="inlineStr">
        <is>
          <t>余杭市淼沃食品商行经销商返点实现1606</t>
        </is>
      </c>
      <c r="D37" s="15" t="n">
        <v>-1606.19</v>
      </c>
      <c r="E37" s="4" t="inlineStr">
        <is>
          <t>华中区域</t>
        </is>
      </c>
      <c r="F37" s="4" t="inlineStr">
        <is>
          <t>刘明秀</t>
        </is>
      </c>
    </row>
    <row r="38">
      <c r="A38" s="14" t="n">
        <v>45563</v>
      </c>
      <c r="B38" s="4" t="inlineStr">
        <is>
          <t>2024-09</t>
        </is>
      </c>
      <c r="C38" s="4" t="inlineStr">
        <is>
          <t>余杭商贸有限公司经销商返点实现12733</t>
        </is>
      </c>
      <c r="D38" s="15" t="n">
        <v>-12733.61</v>
      </c>
      <c r="E38" s="4" t="inlineStr">
        <is>
          <t>江苏区域</t>
        </is>
      </c>
      <c r="F38" s="4" t="inlineStr">
        <is>
          <t>高磊秀</t>
        </is>
      </c>
    </row>
    <row r="39">
      <c r="A39" s="14" t="n">
        <v>45567</v>
      </c>
      <c r="B39" s="4" t="inlineStr">
        <is>
          <t>2024-10</t>
        </is>
      </c>
      <c r="C39" s="4" t="inlineStr">
        <is>
          <t>姑苏市淼沃食品商行经销商返点实现14971</t>
        </is>
      </c>
      <c r="D39" s="15" t="n">
        <v>-14971.71</v>
      </c>
      <c r="E39" s="4" t="inlineStr">
        <is>
          <t>华中区域</t>
        </is>
      </c>
      <c r="F39" s="4" t="inlineStr">
        <is>
          <t>张丽娜</t>
        </is>
      </c>
    </row>
    <row r="40">
      <c r="A40" s="14" t="n">
        <v>45573</v>
      </c>
      <c r="B40" s="4" t="inlineStr">
        <is>
          <t>2024-10</t>
        </is>
      </c>
      <c r="C40" s="4" t="inlineStr">
        <is>
          <t>余杭食品有限公司经销商返点实现3285</t>
        </is>
      </c>
      <c r="D40" s="15" t="n">
        <v>-3285.8</v>
      </c>
      <c r="E40" s="4" t="inlineStr">
        <is>
          <t>浙江区域</t>
        </is>
      </c>
      <c r="F40" s="4" t="inlineStr">
        <is>
          <t>孙超芳</t>
        </is>
      </c>
    </row>
    <row r="41">
      <c r="A41" s="14" t="n">
        <v>45580</v>
      </c>
      <c r="B41" s="4" t="inlineStr">
        <is>
          <t>2024-10</t>
        </is>
      </c>
      <c r="C41" s="4" t="inlineStr">
        <is>
          <t>冲减计提余杭商贸有限公司经销商返点实现8600</t>
        </is>
      </c>
      <c r="D41" s="15" t="n">
        <v>8600.469999999999</v>
      </c>
      <c r="E41" s="4" t="inlineStr">
        <is>
          <t>江苏区域</t>
        </is>
      </c>
      <c r="F41" s="4" t="inlineStr">
        <is>
          <t>赵超伟</t>
        </is>
      </c>
    </row>
    <row r="42">
      <c r="A42" s="14" t="n">
        <v>45589</v>
      </c>
      <c r="B42" s="4" t="inlineStr">
        <is>
          <t>2024-10</t>
        </is>
      </c>
      <c r="C42" s="4" t="inlineStr">
        <is>
          <t>冲减计提余杭供应链管理有限公司经销商返点实现7958</t>
        </is>
      </c>
      <c r="D42" s="15" t="n">
        <v>7958.79</v>
      </c>
      <c r="E42" s="4" t="inlineStr">
        <is>
          <t>江苏区域</t>
        </is>
      </c>
      <c r="F42" s="4" t="inlineStr">
        <is>
          <t>何明秀</t>
        </is>
      </c>
    </row>
    <row r="43">
      <c r="A43" s="14" t="n">
        <v>45597</v>
      </c>
      <c r="B43" s="4" t="inlineStr">
        <is>
          <t>2024-11</t>
        </is>
      </c>
      <c r="C43" s="4" t="inlineStr">
        <is>
          <t>姑苏食品有限公司经销商返点实现6013</t>
        </is>
      </c>
      <c r="D43" s="15" t="n">
        <v>-6013.27</v>
      </c>
      <c r="E43" s="4" t="inlineStr">
        <is>
          <t>浙江区域</t>
        </is>
      </c>
      <c r="F43" s="4" t="inlineStr">
        <is>
          <t>高伟英</t>
        </is>
      </c>
    </row>
    <row r="44">
      <c r="A44" s="14" t="n">
        <v>45599</v>
      </c>
      <c r="B44" s="4" t="inlineStr">
        <is>
          <t>2024-11</t>
        </is>
      </c>
      <c r="C44" s="4" t="inlineStr">
        <is>
          <t>余杭市优鲜食品商行经销商返点实现12843</t>
        </is>
      </c>
      <c r="D44" s="15" t="n">
        <v>-12843.6</v>
      </c>
      <c r="E44" s="4" t="inlineStr">
        <is>
          <t>江苏区域</t>
        </is>
      </c>
      <c r="F44" s="4" t="inlineStr">
        <is>
          <t>朱勇秀</t>
        </is>
      </c>
    </row>
    <row r="45">
      <c r="A45" s="14" t="n">
        <v>45617</v>
      </c>
      <c r="B45" s="4" t="inlineStr">
        <is>
          <t>2024-11</t>
        </is>
      </c>
      <c r="C45" s="4" t="inlineStr">
        <is>
          <t>海宁实业有限公司经销商返点实现2171</t>
        </is>
      </c>
      <c r="D45" s="15" t="n">
        <v>-2171.9</v>
      </c>
      <c r="E45" s="4" t="inlineStr">
        <is>
          <t>广东区域</t>
        </is>
      </c>
      <c r="F45" s="4" t="inlineStr">
        <is>
          <t>杨丽秀</t>
        </is>
      </c>
    </row>
    <row r="46">
      <c r="A46" s="14" t="n">
        <v>45623</v>
      </c>
      <c r="B46" s="4" t="inlineStr">
        <is>
          <t>2024-11</t>
        </is>
      </c>
      <c r="C46" s="4" t="inlineStr">
        <is>
          <t>钟楼市大匠食品商行经销商返点实现3774</t>
        </is>
      </c>
      <c r="D46" s="15" t="n">
        <v>-3774.08</v>
      </c>
      <c r="E46" s="4" t="inlineStr">
        <is>
          <t>华中区域</t>
        </is>
      </c>
      <c r="F46" s="4" t="inlineStr">
        <is>
          <t>黄娜秀</t>
        </is>
      </c>
    </row>
    <row r="47">
      <c r="A47" s="14" t="n">
        <v>45627</v>
      </c>
      <c r="B47" s="4" t="inlineStr">
        <is>
          <t>2024-12</t>
        </is>
      </c>
      <c r="C47" s="4" t="inlineStr">
        <is>
          <t>钟楼商贸有限公司经销商返点实现9373</t>
        </is>
      </c>
      <c r="D47" s="15" t="n">
        <v>-9373.59</v>
      </c>
      <c r="E47" s="4" t="inlineStr">
        <is>
          <t>华中区域</t>
        </is>
      </c>
      <c r="F47" s="4" t="inlineStr">
        <is>
          <t>高强芳</t>
        </is>
      </c>
    </row>
    <row r="48">
      <c r="A48" s="14" t="n">
        <v>45637</v>
      </c>
      <c r="B48" s="4" t="inlineStr">
        <is>
          <t>2024-12</t>
        </is>
      </c>
      <c r="C48" s="4" t="inlineStr">
        <is>
          <t>衢州食品有限公司经销商返点实现8329</t>
        </is>
      </c>
      <c r="D48" s="15" t="n">
        <v>-8329.209999999999</v>
      </c>
      <c r="E48" s="4" t="inlineStr">
        <is>
          <t>华中区域</t>
        </is>
      </c>
      <c r="F48" s="4" t="inlineStr">
        <is>
          <t>朱静英</t>
        </is>
      </c>
    </row>
    <row r="49">
      <c r="A49" s="14" t="n">
        <v>45640</v>
      </c>
      <c r="B49" s="4" t="inlineStr">
        <is>
          <t>2024-12</t>
        </is>
      </c>
      <c r="C49" s="4" t="inlineStr">
        <is>
          <t>海宁商贸有限公司经销商返点实现13871</t>
        </is>
      </c>
      <c r="D49" s="15" t="n">
        <v>-13871.45</v>
      </c>
      <c r="E49" s="4" t="inlineStr">
        <is>
          <t>江苏区域</t>
        </is>
      </c>
      <c r="F49" s="4" t="inlineStr">
        <is>
          <t>朱艳英</t>
        </is>
      </c>
    </row>
    <row r="50">
      <c r="A50" s="14" t="n">
        <v>45645</v>
      </c>
      <c r="B50" s="4" t="inlineStr">
        <is>
          <t>2024-12</t>
        </is>
      </c>
      <c r="C50" s="4" t="inlineStr">
        <is>
          <t>冲减计提吴中区京功冷冻食品批发部经销商返点实现13578</t>
        </is>
      </c>
      <c r="D50" s="15" t="n">
        <v>13578.48</v>
      </c>
      <c r="E50" s="4" t="inlineStr">
        <is>
          <t>浙江区域</t>
        </is>
      </c>
      <c r="F50" s="4" t="inlineStr">
        <is>
          <t>刘秀芳</t>
        </is>
      </c>
    </row>
    <row r="51">
      <c r="A51" s="14" t="n">
        <v>45654</v>
      </c>
      <c r="B51" s="4" t="inlineStr">
        <is>
          <t>2024-12</t>
        </is>
      </c>
      <c r="C51" s="4" t="inlineStr">
        <is>
          <t>吴中市食佳食品商行经销商返点实现7407</t>
        </is>
      </c>
      <c r="D51" s="15" t="n">
        <v>-7407.19</v>
      </c>
      <c r="E51" s="4" t="inlineStr">
        <is>
          <t>华中区域</t>
        </is>
      </c>
      <c r="F51" s="4" t="inlineStr">
        <is>
          <t>李静英</t>
        </is>
      </c>
    </row>
    <row r="52">
      <c r="C52" s="6" t="inlineStr">
        <is>
          <t>合计</t>
        </is>
      </c>
      <c r="D52" s="16" t="n">
        <v>-231825.61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6" customWidth="1" min="3" max="3"/>
    <col width="16" customWidth="1" min="4" max="4"/>
    <col width="22" customWidth="1" min="5" max="5"/>
    <col width="6" customWidth="1" min="6" max="6"/>
    <col width="16" customWidth="1" min="7" max="7"/>
    <col width="16" customWidth="1" min="8" max="8"/>
  </cols>
  <sheetData>
    <row r="1">
      <c r="A1" s="1" t="inlineStr">
        <is>
          <t>苏州精密机械制造有限公司资产负债表</t>
        </is>
      </c>
    </row>
    <row r="2">
      <c r="A2" s="17" t="inlineStr">
        <is>
          <t>编制日期：2025年12月31日</t>
        </is>
      </c>
      <c r="H2" t="inlineStr">
        <is>
          <t>单位：元</t>
        </is>
      </c>
    </row>
    <row r="3">
      <c r="A3" s="2" t="inlineStr">
        <is>
          <t>资产</t>
        </is>
      </c>
      <c r="B3" s="2" t="inlineStr">
        <is>
          <t>行次</t>
        </is>
      </c>
      <c r="C3" s="2" t="inlineStr">
        <is>
          <t>期末余额</t>
        </is>
      </c>
      <c r="D3" s="2" t="inlineStr">
        <is>
          <t>年初余额</t>
        </is>
      </c>
      <c r="E3" s="2" t="inlineStr">
        <is>
          <t>负债和所有者权益</t>
        </is>
      </c>
      <c r="F3" s="2" t="inlineStr">
        <is>
          <t>行次</t>
        </is>
      </c>
      <c r="G3" s="2" t="inlineStr">
        <is>
          <t>期末余额</t>
        </is>
      </c>
      <c r="H3" s="2" t="inlineStr">
        <is>
          <t>年初余额</t>
        </is>
      </c>
    </row>
    <row r="4">
      <c r="A4" s="6" t="inlineStr">
        <is>
          <t>流动资产：</t>
        </is>
      </c>
      <c r="E4" s="6" t="inlineStr">
        <is>
          <t>流动负债：</t>
        </is>
      </c>
    </row>
    <row r="5">
      <c r="A5" s="4" t="inlineStr">
        <is>
          <t>货币资金</t>
        </is>
      </c>
      <c r="B5" s="3" t="n">
        <v>1</v>
      </c>
      <c r="C5" s="15" t="n">
        <v>3471624.88</v>
      </c>
      <c r="D5" s="15" t="n">
        <v>932711.45</v>
      </c>
      <c r="E5" s="4" t="inlineStr">
        <is>
          <t>短期借款</t>
        </is>
      </c>
      <c r="F5" s="3" t="n">
        <v>21</v>
      </c>
      <c r="G5" s="15" t="n">
        <v>506472.07</v>
      </c>
      <c r="H5" s="15" t="n">
        <v>1365309.86</v>
      </c>
    </row>
    <row r="6">
      <c r="A6" s="4" t="inlineStr">
        <is>
          <t>交易性金融资产</t>
        </is>
      </c>
      <c r="B6" s="3" t="n">
        <v>2</v>
      </c>
      <c r="C6" s="15" t="n">
        <v>2818223.24</v>
      </c>
      <c r="D6" s="15" t="n">
        <v>2727876.54</v>
      </c>
      <c r="E6" s="4" t="inlineStr">
        <is>
          <t>应付票据</t>
        </is>
      </c>
      <c r="F6" s="3" t="n">
        <v>22</v>
      </c>
      <c r="G6" s="15" t="n">
        <v>1856748.03</v>
      </c>
      <c r="H6" s="15" t="n">
        <v>955751.75</v>
      </c>
    </row>
    <row r="7">
      <c r="A7" s="4" t="inlineStr">
        <is>
          <t>应收票据</t>
        </is>
      </c>
      <c r="B7" s="3" t="n">
        <v>3</v>
      </c>
      <c r="C7" s="15" t="n">
        <v>2530219.34</v>
      </c>
      <c r="D7" s="15" t="n">
        <v>2676668.25</v>
      </c>
      <c r="E7" s="4" t="inlineStr">
        <is>
          <t>应付账款</t>
        </is>
      </c>
      <c r="F7" s="3" t="n">
        <v>23</v>
      </c>
      <c r="G7" s="15" t="n">
        <v>2826097.33</v>
      </c>
      <c r="H7" s="15" t="n">
        <v>2181203.1</v>
      </c>
    </row>
    <row r="8">
      <c r="A8" s="4" t="inlineStr">
        <is>
          <t>应收账款</t>
        </is>
      </c>
      <c r="B8" s="3" t="n">
        <v>4</v>
      </c>
      <c r="C8" s="15" t="n">
        <v>4549792.53</v>
      </c>
      <c r="D8" s="15" t="n">
        <v>3369963.74</v>
      </c>
      <c r="E8" s="4" t="inlineStr">
        <is>
          <t>预收款项</t>
        </is>
      </c>
      <c r="F8" s="3" t="n">
        <v>24</v>
      </c>
      <c r="G8" s="15" t="n">
        <v>2644871.28</v>
      </c>
      <c r="H8" s="15" t="n">
        <v>1877753.49</v>
      </c>
    </row>
    <row r="9">
      <c r="A9" s="4" t="inlineStr">
        <is>
          <t>预付款项</t>
        </is>
      </c>
      <c r="B9" s="3" t="n">
        <v>5</v>
      </c>
      <c r="C9" s="15" t="n">
        <v>4525695.33</v>
      </c>
      <c r="D9" s="15" t="n">
        <v>961752.89</v>
      </c>
      <c r="E9" s="4" t="inlineStr">
        <is>
          <t>合同负债</t>
        </is>
      </c>
      <c r="F9" s="3" t="n">
        <v>25</v>
      </c>
      <c r="G9" s="15" t="n">
        <v>1505288.52</v>
      </c>
      <c r="H9" s="15" t="n">
        <v>1133210.91</v>
      </c>
    </row>
    <row r="10">
      <c r="A10" s="4" t="inlineStr">
        <is>
          <t>其他应收款</t>
        </is>
      </c>
      <c r="B10" s="3" t="n">
        <v>6</v>
      </c>
      <c r="C10" s="15" t="n">
        <v>3250628.54</v>
      </c>
      <c r="D10" s="15" t="n">
        <v>1368899.08</v>
      </c>
      <c r="E10" s="4" t="inlineStr">
        <is>
          <t>应付职工薪酬</t>
        </is>
      </c>
      <c r="F10" s="3" t="n">
        <v>26</v>
      </c>
      <c r="G10" s="15" t="n">
        <v>2453249.64</v>
      </c>
      <c r="H10" s="15" t="n">
        <v>1697072.33</v>
      </c>
    </row>
    <row r="11">
      <c r="A11" s="4" t="inlineStr">
        <is>
          <t>存货</t>
        </is>
      </c>
      <c r="B11" s="3" t="n">
        <v>7</v>
      </c>
      <c r="C11" s="15" t="n">
        <v>578216.37</v>
      </c>
      <c r="D11" s="15" t="n">
        <v>1055185.34</v>
      </c>
      <c r="E11" s="4" t="inlineStr">
        <is>
          <t>应交税费</t>
        </is>
      </c>
      <c r="F11" s="3" t="n">
        <v>27</v>
      </c>
      <c r="G11" s="15" t="n">
        <v>1486646.59</v>
      </c>
      <c r="H11" s="15" t="n">
        <v>1610892.75</v>
      </c>
    </row>
    <row r="12">
      <c r="A12" s="4" t="inlineStr">
        <is>
          <t>其中：原材料</t>
        </is>
      </c>
      <c r="C12" s="15" t="n">
        <v>103512.98</v>
      </c>
      <c r="D12" s="15" t="n">
        <v>262126.7</v>
      </c>
      <c r="E12" s="4" t="inlineStr">
        <is>
          <t>其他应付款</t>
        </is>
      </c>
      <c r="F12" s="3" t="n">
        <v>28</v>
      </c>
      <c r="G12" s="15" t="n">
        <v>2102826.17</v>
      </c>
      <c r="H12" s="15" t="n">
        <v>1482265.91</v>
      </c>
    </row>
    <row r="13">
      <c r="A13" s="4" t="inlineStr">
        <is>
          <t>在制品</t>
        </is>
      </c>
      <c r="C13" s="15" t="n">
        <v>256711.4</v>
      </c>
      <c r="D13" s="15" t="n">
        <v>201828.95</v>
      </c>
      <c r="E13" s="4" t="inlineStr">
        <is>
          <t>一年内到期的非流动负债</t>
        </is>
      </c>
      <c r="F13" s="3" t="n">
        <v>29</v>
      </c>
      <c r="G13" s="15" t="n">
        <v>577905.67</v>
      </c>
      <c r="H13" s="15" t="n">
        <v>619066.1899999999</v>
      </c>
    </row>
    <row r="14">
      <c r="A14" s="4" t="inlineStr">
        <is>
          <t>库存商品</t>
        </is>
      </c>
      <c r="C14" s="15" t="n">
        <v>164777.75</v>
      </c>
      <c r="D14" s="15" t="n">
        <v>172402.7</v>
      </c>
      <c r="E14" s="4" t="inlineStr">
        <is>
          <t>其他流动负债</t>
        </is>
      </c>
      <c r="F14" s="3" t="n">
        <v>30</v>
      </c>
      <c r="G14" s="15" t="n">
        <v>2352228.94</v>
      </c>
      <c r="H14" s="15" t="n">
        <v>3363243.84</v>
      </c>
    </row>
    <row r="15">
      <c r="A15" s="4" t="inlineStr">
        <is>
          <t>合同资产</t>
        </is>
      </c>
      <c r="B15" s="3" t="n">
        <v>8</v>
      </c>
      <c r="C15" s="15" t="n">
        <v>1000644.45</v>
      </c>
      <c r="D15" s="15" t="n">
        <v>2739019.43</v>
      </c>
      <c r="E15" s="6" t="inlineStr">
        <is>
          <t>流动负债合计</t>
        </is>
      </c>
      <c r="F15" s="3" t="n">
        <v>31</v>
      </c>
      <c r="G15" s="16" t="n">
        <v>18312334.24</v>
      </c>
      <c r="H15" s="16" t="n">
        <v>16285770.13</v>
      </c>
    </row>
    <row r="16">
      <c r="A16" s="4" t="inlineStr">
        <is>
          <t>一年内到期的非流动资产</t>
        </is>
      </c>
      <c r="B16" s="3" t="n">
        <v>9</v>
      </c>
      <c r="C16" s="15" t="n">
        <v>769421.79</v>
      </c>
      <c r="D16" s="15" t="n">
        <v>3859699.47</v>
      </c>
      <c r="E16" s="6" t="inlineStr">
        <is>
          <t>非流动负债：</t>
        </is>
      </c>
    </row>
    <row r="17">
      <c r="A17" s="4" t="inlineStr">
        <is>
          <t>其他流动资产</t>
        </is>
      </c>
      <c r="B17" s="3" t="n">
        <v>10</v>
      </c>
      <c r="C17" s="15" t="n">
        <v>1007180.69</v>
      </c>
      <c r="D17" s="15" t="n">
        <v>3817426.25</v>
      </c>
      <c r="E17" s="4" t="inlineStr">
        <is>
          <t>长期借款</t>
        </is>
      </c>
      <c r="F17" s="3" t="n">
        <v>32</v>
      </c>
      <c r="G17" s="15" t="n">
        <v>1681945.24</v>
      </c>
      <c r="H17" s="15" t="n">
        <v>2424039.63</v>
      </c>
    </row>
    <row r="18">
      <c r="A18" s="6" t="inlineStr">
        <is>
          <t>流动资产合计</t>
        </is>
      </c>
      <c r="B18" s="3" t="n">
        <v>11</v>
      </c>
      <c r="C18" s="16" t="n">
        <v>24501647.16</v>
      </c>
      <c r="D18" s="16" t="n">
        <v>23509202.44</v>
      </c>
      <c r="E18" s="4" t="inlineStr">
        <is>
          <t>长期应付款</t>
        </is>
      </c>
      <c r="F18" s="3" t="n">
        <v>33</v>
      </c>
      <c r="G18" s="15" t="n">
        <v>873653.0600000001</v>
      </c>
      <c r="H18" s="15" t="n">
        <v>2011791.83</v>
      </c>
    </row>
    <row r="19">
      <c r="A19" s="6" t="inlineStr">
        <is>
          <t>非流动资产：</t>
        </is>
      </c>
      <c r="E19" s="4" t="inlineStr">
        <is>
          <t>递延收益</t>
        </is>
      </c>
      <c r="F19" s="3" t="n">
        <v>34</v>
      </c>
      <c r="G19" s="15" t="n">
        <v>1983983.38</v>
      </c>
      <c r="H19" s="15" t="n">
        <v>1294503.96</v>
      </c>
    </row>
    <row r="20">
      <c r="A20" s="4" t="inlineStr">
        <is>
          <t>长期股权投资</t>
        </is>
      </c>
      <c r="B20" s="3" t="n">
        <v>12</v>
      </c>
      <c r="C20" s="15" t="n">
        <v>2362799.03</v>
      </c>
      <c r="D20" s="15" t="n">
        <v>1746008.55</v>
      </c>
      <c r="E20" s="4" t="inlineStr">
        <is>
          <t>递延所得税负债</t>
        </is>
      </c>
      <c r="F20" s="3" t="n">
        <v>35</v>
      </c>
      <c r="G20" s="15" t="n">
        <v>3308561.58</v>
      </c>
      <c r="H20" s="15" t="n">
        <v>1249280.34</v>
      </c>
    </row>
    <row r="21">
      <c r="A21" s="4" t="inlineStr">
        <is>
          <t>固定资产</t>
        </is>
      </c>
      <c r="B21" s="3" t="n">
        <v>13</v>
      </c>
      <c r="C21" s="15" t="n">
        <v>3311579.01</v>
      </c>
      <c r="D21" s="15" t="n">
        <v>2832495.46</v>
      </c>
      <c r="E21" s="6" t="inlineStr">
        <is>
          <t>非流动负债合计</t>
        </is>
      </c>
      <c r="F21" s="3" t="n">
        <v>36</v>
      </c>
      <c r="G21" s="16" t="n">
        <v>7848143.26</v>
      </c>
      <c r="H21" s="16" t="n">
        <v>6979615.76</v>
      </c>
    </row>
    <row r="22">
      <c r="A22" s="4" t="inlineStr">
        <is>
          <t>在建工程</t>
        </is>
      </c>
      <c r="B22" s="3" t="n">
        <v>14</v>
      </c>
      <c r="C22" s="15" t="n">
        <v>2977546.96</v>
      </c>
      <c r="D22" s="15" t="n">
        <v>2753234.87</v>
      </c>
      <c r="E22" s="6" t="inlineStr">
        <is>
          <t>负债合计</t>
        </is>
      </c>
      <c r="F22" s="3" t="n">
        <v>37</v>
      </c>
      <c r="G22" s="16" t="n">
        <v>26160477.49</v>
      </c>
      <c r="H22" s="16" t="n">
        <v>23265385.89</v>
      </c>
    </row>
    <row r="23">
      <c r="A23" s="4" t="inlineStr">
        <is>
          <t>无形资产</t>
        </is>
      </c>
      <c r="B23" s="3" t="n">
        <v>15</v>
      </c>
      <c r="C23" s="15" t="n">
        <v>2397706</v>
      </c>
      <c r="D23" s="15" t="n">
        <v>2769250.21</v>
      </c>
      <c r="E23" s="6" t="inlineStr">
        <is>
          <t>所有者权益：</t>
        </is>
      </c>
    </row>
    <row r="24">
      <c r="A24" s="4" t="inlineStr">
        <is>
          <t>长期待摊费用</t>
        </is>
      </c>
      <c r="B24" s="3" t="n">
        <v>16</v>
      </c>
      <c r="C24" s="15" t="n">
        <v>2122449.91</v>
      </c>
      <c r="D24" s="15" t="n">
        <v>2488621.05</v>
      </c>
      <c r="E24" s="4" t="inlineStr">
        <is>
          <t>实收资本</t>
        </is>
      </c>
      <c r="F24" s="3" t="n">
        <v>38</v>
      </c>
      <c r="G24" s="15" t="n">
        <v>4232781.2</v>
      </c>
      <c r="H24" s="15" t="n">
        <v>1957991.33</v>
      </c>
    </row>
    <row r="25">
      <c r="A25" s="4" t="inlineStr">
        <is>
          <t>递延所得税资产</t>
        </is>
      </c>
      <c r="B25" s="3" t="n">
        <v>17</v>
      </c>
      <c r="C25" s="15" t="n">
        <v>2424895.15</v>
      </c>
      <c r="D25" s="15" t="n">
        <v>508803.96</v>
      </c>
      <c r="E25" s="4" t="inlineStr">
        <is>
          <t>资本公积</t>
        </is>
      </c>
      <c r="F25" s="3" t="n">
        <v>39</v>
      </c>
      <c r="G25" s="15" t="n">
        <v>3678863.54</v>
      </c>
      <c r="H25" s="15" t="n">
        <v>5968916.22</v>
      </c>
    </row>
    <row r="26">
      <c r="A26" s="4" t="inlineStr">
        <is>
          <t>其他非流动资产</t>
        </is>
      </c>
      <c r="B26" s="3" t="n">
        <v>18</v>
      </c>
      <c r="C26" s="15" t="n">
        <v>737455.39</v>
      </c>
      <c r="D26" s="15" t="n">
        <v>2574387.52</v>
      </c>
      <c r="E26" s="4" t="inlineStr">
        <is>
          <t>盈余公积</t>
        </is>
      </c>
      <c r="F26" s="3" t="n">
        <v>40</v>
      </c>
      <c r="G26" s="15" t="n">
        <v>3982728.44</v>
      </c>
      <c r="H26" s="15" t="n">
        <v>2824437.97</v>
      </c>
    </row>
    <row r="27">
      <c r="A27" s="6" t="inlineStr">
        <is>
          <t>非流动资产合计</t>
        </is>
      </c>
      <c r="B27" s="3" t="n">
        <v>19</v>
      </c>
      <c r="C27" s="16" t="n">
        <v>16334431.45</v>
      </c>
      <c r="D27" s="16" t="n">
        <v>15672801.62</v>
      </c>
      <c r="E27" s="4" t="inlineStr">
        <is>
          <t>未分配利润</t>
        </is>
      </c>
      <c r="F27" s="3" t="n">
        <v>41</v>
      </c>
      <c r="G27" s="15" t="n">
        <v>2781227.94</v>
      </c>
      <c r="H27" s="15" t="n">
        <v>5165272.65</v>
      </c>
    </row>
    <row r="28">
      <c r="A28" s="6" t="inlineStr">
        <is>
          <t>资产总计</t>
        </is>
      </c>
      <c r="B28" s="3" t="n">
        <v>20</v>
      </c>
      <c r="C28" s="16" t="n">
        <v>40836078.61</v>
      </c>
      <c r="D28" s="16" t="n">
        <v>39182004.05</v>
      </c>
      <c r="E28" s="6" t="inlineStr">
        <is>
          <t>所有者权益合计</t>
        </is>
      </c>
      <c r="F28" s="3" t="n">
        <v>42</v>
      </c>
      <c r="G28" s="16" t="n">
        <v>14675601.12</v>
      </c>
      <c r="H28" s="16" t="n">
        <v>15916618.17</v>
      </c>
    </row>
    <row r="29">
      <c r="E29" s="6" t="inlineStr">
        <is>
          <t>负债和所有者权益总计</t>
        </is>
      </c>
      <c r="F29" s="3" t="n">
        <v>43</v>
      </c>
      <c r="G29" s="16" t="n">
        <v>40836078.61</v>
      </c>
      <c r="H29" s="16" t="n">
        <v>39182004.05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0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苏州精密机械制造有限公司2025年销售明细表</t>
        </is>
      </c>
    </row>
    <row r="2">
      <c r="A2" s="2" t="inlineStr">
        <is>
          <t>日期</t>
        </is>
      </c>
      <c r="B2" s="2" t="inlineStr">
        <is>
          <t>订单号</t>
        </is>
      </c>
      <c r="C2" s="2" t="inlineStr">
        <is>
          <t>客户名称</t>
        </is>
      </c>
      <c r="D2" s="2" t="inlineStr">
        <is>
          <t>产品</t>
        </is>
      </c>
      <c r="E2" s="2" t="inlineStr">
        <is>
          <t>规格型号</t>
        </is>
      </c>
      <c r="F2" s="2" t="inlineStr">
        <is>
          <t>数量</t>
        </is>
      </c>
      <c r="G2" s="2" t="inlineStr">
        <is>
          <t>单价(元)</t>
        </is>
      </c>
      <c r="H2" s="2" t="inlineStr">
        <is>
          <t>金额(元)</t>
        </is>
      </c>
      <c r="I2" s="2" t="inlineStr">
        <is>
          <t>区域</t>
        </is>
      </c>
      <c r="J2" s="2" t="inlineStr">
        <is>
          <t>业务员</t>
        </is>
      </c>
    </row>
    <row r="3">
      <c r="A3" s="14" t="n">
        <v>45658</v>
      </c>
      <c r="B3" s="4" t="inlineStr">
        <is>
          <t>SO202510137</t>
        </is>
      </c>
      <c r="C3" s="4" t="inlineStr">
        <is>
          <t>合肥淼沃酒店管理集团</t>
        </is>
      </c>
      <c r="D3" s="4" t="inlineStr">
        <is>
          <t>模具</t>
        </is>
      </c>
      <c r="E3" s="4" t="inlineStr">
        <is>
          <t>1kg</t>
        </is>
      </c>
      <c r="F3" s="18" t="n">
        <v>1010</v>
      </c>
      <c r="G3" s="15" t="n">
        <v>46.48</v>
      </c>
      <c r="H3" s="15" t="n">
        <v>46944.8</v>
      </c>
      <c r="I3" s="4" t="inlineStr">
        <is>
          <t>浙江区域</t>
        </is>
      </c>
      <c r="J3" s="4" t="inlineStr">
        <is>
          <t>李英敏</t>
        </is>
      </c>
    </row>
    <row r="4">
      <c r="A4" s="14" t="n">
        <v>45658</v>
      </c>
      <c r="B4" s="4" t="inlineStr">
        <is>
          <t>SO202510162</t>
        </is>
      </c>
      <c r="C4" s="4" t="inlineStr">
        <is>
          <t>杭州食佳餐饮管理有限公司</t>
        </is>
      </c>
      <c r="D4" s="4" t="inlineStr">
        <is>
          <t>模具</t>
        </is>
      </c>
      <c r="E4" s="4" t="inlineStr">
        <is>
          <t>2.5kg</t>
        </is>
      </c>
      <c r="F4" s="18" t="n">
        <v>920</v>
      </c>
      <c r="G4" s="15" t="n">
        <v>112.31</v>
      </c>
      <c r="H4" s="15" t="n">
        <v>103325.2</v>
      </c>
      <c r="I4" s="4" t="inlineStr">
        <is>
          <t>江苏区域</t>
        </is>
      </c>
      <c r="J4" s="4" t="inlineStr">
        <is>
          <t>马英秀</t>
        </is>
      </c>
    </row>
    <row r="5">
      <c r="A5" s="14" t="n">
        <v>45659</v>
      </c>
      <c r="B5" s="4" t="inlineStr">
        <is>
          <t>SO202510075</t>
        </is>
      </c>
      <c r="C5" s="4" t="inlineStr">
        <is>
          <t>苏州优鲜超市</t>
        </is>
      </c>
      <c r="D5" s="4" t="inlineStr">
        <is>
          <t>液压件</t>
        </is>
      </c>
      <c r="E5" s="4" t="inlineStr">
        <is>
          <t>精装</t>
        </is>
      </c>
      <c r="F5" s="18" t="n">
        <v>3160</v>
      </c>
      <c r="G5" s="15" t="n">
        <v>7.69</v>
      </c>
      <c r="H5" s="15" t="n">
        <v>24300.4</v>
      </c>
      <c r="I5" s="4" t="inlineStr">
        <is>
          <t>华中区域</t>
        </is>
      </c>
      <c r="J5" s="4" t="inlineStr">
        <is>
          <t>吴娜娜</t>
        </is>
      </c>
    </row>
    <row r="6">
      <c r="A6" s="14" t="n">
        <v>45662</v>
      </c>
      <c r="B6" s="4" t="inlineStr">
        <is>
          <t>SO202510051</t>
        </is>
      </c>
      <c r="C6" s="4" t="inlineStr">
        <is>
          <t>南京百味超市</t>
        </is>
      </c>
      <c r="D6" s="4" t="inlineStr">
        <is>
          <t>精密轴承</t>
        </is>
      </c>
      <c r="E6" s="4" t="inlineStr">
        <is>
          <t>C级</t>
        </is>
      </c>
      <c r="F6" s="18" t="n">
        <v>4600</v>
      </c>
      <c r="G6" s="15" t="n">
        <v>152.81</v>
      </c>
      <c r="H6" s="15" t="n">
        <v>702926</v>
      </c>
      <c r="I6" s="4" t="inlineStr">
        <is>
          <t>广东区域</t>
        </is>
      </c>
      <c r="J6" s="4" t="inlineStr">
        <is>
          <t>胡娟伟</t>
        </is>
      </c>
    </row>
    <row r="7">
      <c r="A7" s="14" t="n">
        <v>45662</v>
      </c>
      <c r="B7" s="4" t="inlineStr">
        <is>
          <t>SO202510118</t>
        </is>
      </c>
      <c r="C7" s="4" t="inlineStr">
        <is>
          <t>南京大匠酒店管理集团</t>
        </is>
      </c>
      <c r="D7" s="4" t="inlineStr">
        <is>
          <t>工装夹具</t>
        </is>
      </c>
      <c r="E7" s="4" t="inlineStr">
        <is>
          <t>标准</t>
        </is>
      </c>
      <c r="F7" s="18" t="n">
        <v>3350</v>
      </c>
      <c r="G7" s="15" t="n">
        <v>86.52</v>
      </c>
      <c r="H7" s="15" t="n">
        <v>289842</v>
      </c>
      <c r="I7" s="4" t="inlineStr">
        <is>
          <t>浙江区域</t>
        </is>
      </c>
      <c r="J7" s="4" t="inlineStr">
        <is>
          <t>周英敏</t>
        </is>
      </c>
    </row>
    <row r="8">
      <c r="A8" s="14" t="n">
        <v>45662</v>
      </c>
      <c r="B8" s="4" t="inlineStr">
        <is>
          <t>SO202510155</t>
        </is>
      </c>
      <c r="C8" s="4" t="inlineStr">
        <is>
          <t>南昌京功超市</t>
        </is>
      </c>
      <c r="D8" s="4" t="inlineStr">
        <is>
          <t>数控机床</t>
        </is>
      </c>
      <c r="E8" s="4" t="inlineStr">
        <is>
          <t>标准</t>
        </is>
      </c>
      <c r="F8" s="18" t="n">
        <v>210</v>
      </c>
      <c r="G8" s="15" t="n">
        <v>68.13</v>
      </c>
      <c r="H8" s="15" t="n">
        <v>14307.3</v>
      </c>
      <c r="I8" s="4" t="inlineStr">
        <is>
          <t>广东区域</t>
        </is>
      </c>
      <c r="J8" s="4" t="inlineStr">
        <is>
          <t>杨杰娜</t>
        </is>
      </c>
    </row>
    <row r="9">
      <c r="A9" s="14" t="n">
        <v>45662</v>
      </c>
      <c r="B9" s="4" t="inlineStr">
        <is>
          <t>SO202510160</t>
        </is>
      </c>
      <c r="C9" s="4" t="inlineStr">
        <is>
          <t>合肥百味食品有限公司</t>
        </is>
      </c>
      <c r="D9" s="4" t="inlineStr">
        <is>
          <t>气动元件</t>
        </is>
      </c>
      <c r="E9" s="4" t="inlineStr">
        <is>
          <t>2.5kg</t>
        </is>
      </c>
      <c r="F9" s="18" t="n">
        <v>1090</v>
      </c>
      <c r="G9" s="15" t="n">
        <v>114.09</v>
      </c>
      <c r="H9" s="15" t="n">
        <v>124358.1</v>
      </c>
      <c r="I9" s="4" t="inlineStr">
        <is>
          <t>广东区域</t>
        </is>
      </c>
      <c r="J9" s="4" t="inlineStr">
        <is>
          <t>林涛英</t>
        </is>
      </c>
    </row>
    <row r="10">
      <c r="A10" s="14" t="n">
        <v>45665</v>
      </c>
      <c r="B10" s="4" t="inlineStr">
        <is>
          <t>SO202510020</t>
        </is>
      </c>
      <c r="C10" s="4" t="inlineStr">
        <is>
          <t>苏州京功餐饮管理有限公司</t>
        </is>
      </c>
      <c r="D10" s="4" t="inlineStr">
        <is>
          <t>精密轴承</t>
        </is>
      </c>
      <c r="E10" s="4" t="inlineStr">
        <is>
          <t>精装</t>
        </is>
      </c>
      <c r="F10" s="18" t="n">
        <v>1780</v>
      </c>
      <c r="G10" s="15" t="n">
        <v>10.99</v>
      </c>
      <c r="H10" s="15" t="n">
        <v>19562.2</v>
      </c>
      <c r="I10" s="4" t="inlineStr">
        <is>
          <t>江苏区域</t>
        </is>
      </c>
      <c r="J10" s="4" t="inlineStr">
        <is>
          <t>陈丽芳</t>
        </is>
      </c>
    </row>
    <row r="11">
      <c r="A11" s="14" t="n">
        <v>45665</v>
      </c>
      <c r="B11" s="4" t="inlineStr">
        <is>
          <t>SO202510121</t>
        </is>
      </c>
      <c r="C11" s="4" t="inlineStr">
        <is>
          <t>上海优鲜超市</t>
        </is>
      </c>
      <c r="D11" s="4" t="inlineStr">
        <is>
          <t>精密轴承</t>
        </is>
      </c>
      <c r="E11" s="4" t="inlineStr">
        <is>
          <t>B级</t>
        </is>
      </c>
      <c r="F11" s="18" t="n">
        <v>4400</v>
      </c>
      <c r="G11" s="15" t="n">
        <v>4.22</v>
      </c>
      <c r="H11" s="15" t="n">
        <v>18568</v>
      </c>
      <c r="I11" s="4" t="inlineStr">
        <is>
          <t>华中区域</t>
        </is>
      </c>
      <c r="J11" s="4" t="inlineStr">
        <is>
          <t>李伟秀</t>
        </is>
      </c>
    </row>
    <row r="12">
      <c r="A12" s="14" t="n">
        <v>45665</v>
      </c>
      <c r="B12" s="4" t="inlineStr">
        <is>
          <t>SO202510130</t>
        </is>
      </c>
      <c r="C12" s="4" t="inlineStr">
        <is>
          <t>常州大匠食品有限公司</t>
        </is>
      </c>
      <c r="D12" s="4" t="inlineStr">
        <is>
          <t>数控机床</t>
        </is>
      </c>
      <c r="E12" s="4" t="inlineStr">
        <is>
          <t>25kg</t>
        </is>
      </c>
      <c r="F12" s="18" t="n">
        <v>2280</v>
      </c>
      <c r="G12" s="15" t="n">
        <v>47.11</v>
      </c>
      <c r="H12" s="15" t="n">
        <v>107410.8</v>
      </c>
      <c r="I12" s="4" t="inlineStr">
        <is>
          <t>江苏区域</t>
        </is>
      </c>
      <c r="J12" s="4" t="inlineStr">
        <is>
          <t>张强娜</t>
        </is>
      </c>
    </row>
    <row r="13">
      <c r="A13" s="14" t="n">
        <v>45669</v>
      </c>
      <c r="B13" s="4" t="inlineStr">
        <is>
          <t>SO202510083</t>
        </is>
      </c>
      <c r="C13" s="4" t="inlineStr">
        <is>
          <t>南昌大匠电商平台</t>
        </is>
      </c>
      <c r="D13" s="4" t="inlineStr">
        <is>
          <t>液压件</t>
        </is>
      </c>
      <c r="E13" s="4" t="inlineStr">
        <is>
          <t>C级</t>
        </is>
      </c>
      <c r="F13" s="18" t="n">
        <v>2870</v>
      </c>
      <c r="G13" s="15" t="n">
        <v>104.01</v>
      </c>
      <c r="H13" s="15" t="n">
        <v>298508.7</v>
      </c>
      <c r="I13" s="4" t="inlineStr">
        <is>
          <t>江苏区域</t>
        </is>
      </c>
      <c r="J13" s="4" t="inlineStr">
        <is>
          <t>徐娟英</t>
        </is>
      </c>
    </row>
    <row r="14">
      <c r="A14" s="14" t="n">
        <v>45669</v>
      </c>
      <c r="B14" s="4" t="inlineStr">
        <is>
          <t>SO202510116</t>
        </is>
      </c>
      <c r="C14" s="4" t="inlineStr">
        <is>
          <t>常州淼沃超市</t>
        </is>
      </c>
      <c r="D14" s="4" t="inlineStr">
        <is>
          <t>数控机床</t>
        </is>
      </c>
      <c r="E14" s="4" t="inlineStr">
        <is>
          <t>C级</t>
        </is>
      </c>
      <c r="F14" s="18" t="n">
        <v>170</v>
      </c>
      <c r="G14" s="15" t="n">
        <v>84.06999999999999</v>
      </c>
      <c r="H14" s="15" t="n">
        <v>14291.9</v>
      </c>
      <c r="I14" s="4" t="inlineStr">
        <is>
          <t>浙江区域</t>
        </is>
      </c>
      <c r="J14" s="4" t="inlineStr">
        <is>
          <t>何强敏</t>
        </is>
      </c>
    </row>
    <row r="15">
      <c r="A15" s="14" t="n">
        <v>45670</v>
      </c>
      <c r="B15" s="4" t="inlineStr">
        <is>
          <t>SO202510059</t>
        </is>
      </c>
      <c r="C15" s="4" t="inlineStr">
        <is>
          <t>苏州食佳电商平台</t>
        </is>
      </c>
      <c r="D15" s="4" t="inlineStr">
        <is>
          <t>数控机床</t>
        </is>
      </c>
      <c r="E15" s="4" t="inlineStr">
        <is>
          <t>2.5kg</t>
        </is>
      </c>
      <c r="F15" s="18" t="n">
        <v>130</v>
      </c>
      <c r="G15" s="15" t="n">
        <v>45.14</v>
      </c>
      <c r="H15" s="15" t="n">
        <v>5868.2</v>
      </c>
      <c r="I15" s="4" t="inlineStr">
        <is>
          <t>浙江区域</t>
        </is>
      </c>
      <c r="J15" s="4" t="inlineStr">
        <is>
          <t>高秀伟</t>
        </is>
      </c>
    </row>
    <row r="16">
      <c r="A16" s="14" t="n">
        <v>45672</v>
      </c>
      <c r="B16" s="4" t="inlineStr">
        <is>
          <t>SO202510028</t>
        </is>
      </c>
      <c r="C16" s="4" t="inlineStr">
        <is>
          <t>南京大匠超市</t>
        </is>
      </c>
      <c r="D16" s="4" t="inlineStr">
        <is>
          <t>气动元件</t>
        </is>
      </c>
      <c r="E16" s="4" t="inlineStr">
        <is>
          <t>1kg</t>
        </is>
      </c>
      <c r="F16" s="18" t="n">
        <v>4820</v>
      </c>
      <c r="G16" s="15" t="n">
        <v>15.41</v>
      </c>
      <c r="H16" s="15" t="n">
        <v>74276.2</v>
      </c>
      <c r="I16" s="4" t="inlineStr">
        <is>
          <t>华中区域</t>
        </is>
      </c>
      <c r="J16" s="4" t="inlineStr">
        <is>
          <t>王洋英</t>
        </is>
      </c>
    </row>
    <row r="17">
      <c r="A17" s="14" t="n">
        <v>45672</v>
      </c>
      <c r="B17" s="4" t="inlineStr">
        <is>
          <t>SO202510175</t>
        </is>
      </c>
      <c r="C17" s="4" t="inlineStr">
        <is>
          <t>常州百味超市</t>
        </is>
      </c>
      <c r="D17" s="4" t="inlineStr">
        <is>
          <t>数控机床</t>
        </is>
      </c>
      <c r="E17" s="4" t="inlineStr">
        <is>
          <t>500g</t>
        </is>
      </c>
      <c r="F17" s="18" t="n">
        <v>4150</v>
      </c>
      <c r="G17" s="15" t="n">
        <v>112.71</v>
      </c>
      <c r="H17" s="15" t="n">
        <v>467746.5</v>
      </c>
      <c r="I17" s="4" t="inlineStr">
        <is>
          <t>江苏区域</t>
        </is>
      </c>
      <c r="J17" s="4" t="inlineStr">
        <is>
          <t>徐涛秀</t>
        </is>
      </c>
    </row>
    <row r="18">
      <c r="A18" s="14" t="n">
        <v>45673</v>
      </c>
      <c r="B18" s="4" t="inlineStr">
        <is>
          <t>SO202510021</t>
        </is>
      </c>
      <c r="C18" s="4" t="inlineStr">
        <is>
          <t>上海食佳超市</t>
        </is>
      </c>
      <c r="D18" s="4" t="inlineStr">
        <is>
          <t>工装夹具</t>
        </is>
      </c>
      <c r="E18" s="4" t="inlineStr">
        <is>
          <t>标准</t>
        </is>
      </c>
      <c r="F18" s="18" t="n">
        <v>460</v>
      </c>
      <c r="G18" s="15" t="n">
        <v>61.04</v>
      </c>
      <c r="H18" s="15" t="n">
        <v>28078.4</v>
      </c>
      <c r="I18" s="4" t="inlineStr">
        <is>
          <t>江苏区域</t>
        </is>
      </c>
      <c r="J18" s="4" t="inlineStr">
        <is>
          <t>林芳英</t>
        </is>
      </c>
    </row>
    <row r="19">
      <c r="A19" s="14" t="n">
        <v>45673</v>
      </c>
      <c r="B19" s="4" t="inlineStr">
        <is>
          <t>SO202510112</t>
        </is>
      </c>
      <c r="C19" s="4" t="inlineStr">
        <is>
          <t>杭州大匠食品有限公司</t>
        </is>
      </c>
      <c r="D19" s="4" t="inlineStr">
        <is>
          <t>工装夹具</t>
        </is>
      </c>
      <c r="E19" s="4" t="inlineStr">
        <is>
          <t>简装</t>
        </is>
      </c>
      <c r="F19" s="18" t="n">
        <v>3670</v>
      </c>
      <c r="G19" s="15" t="n">
        <v>85.39</v>
      </c>
      <c r="H19" s="15" t="n">
        <v>313381.3</v>
      </c>
      <c r="I19" s="4" t="inlineStr">
        <is>
          <t>广东区域</t>
        </is>
      </c>
      <c r="J19" s="4" t="inlineStr">
        <is>
          <t>胡丽敏</t>
        </is>
      </c>
    </row>
    <row r="20">
      <c r="A20" s="14" t="n">
        <v>45677</v>
      </c>
      <c r="B20" s="4" t="inlineStr">
        <is>
          <t>SO202510067</t>
        </is>
      </c>
      <c r="C20" s="4" t="inlineStr">
        <is>
          <t>镇江百味商贸有限公司</t>
        </is>
      </c>
      <c r="D20" s="4" t="inlineStr">
        <is>
          <t>精密轴承</t>
        </is>
      </c>
      <c r="E20" s="4" t="inlineStr">
        <is>
          <t>C级</t>
        </is>
      </c>
      <c r="F20" s="18" t="n">
        <v>1270</v>
      </c>
      <c r="G20" s="15" t="n">
        <v>98.92</v>
      </c>
      <c r="H20" s="15" t="n">
        <v>125628.4</v>
      </c>
      <c r="I20" s="4" t="inlineStr">
        <is>
          <t>华中区域</t>
        </is>
      </c>
      <c r="J20" s="4" t="inlineStr">
        <is>
          <t>罗磊伟</t>
        </is>
      </c>
    </row>
    <row r="21">
      <c r="A21" s="14" t="n">
        <v>45678</v>
      </c>
      <c r="B21" s="4" t="inlineStr">
        <is>
          <t>SO202510008</t>
        </is>
      </c>
      <c r="C21" s="4" t="inlineStr">
        <is>
          <t>常州大匠电商平台</t>
        </is>
      </c>
      <c r="D21" s="4" t="inlineStr">
        <is>
          <t>数控机床</t>
        </is>
      </c>
      <c r="E21" s="4" t="inlineStr">
        <is>
          <t>1kg</t>
        </is>
      </c>
      <c r="F21" s="18" t="n">
        <v>2680</v>
      </c>
      <c r="G21" s="15" t="n">
        <v>45.48</v>
      </c>
      <c r="H21" s="15" t="n">
        <v>121886.4</v>
      </c>
      <c r="I21" s="4" t="inlineStr">
        <is>
          <t>广东区域</t>
        </is>
      </c>
      <c r="J21" s="4" t="inlineStr">
        <is>
          <t>杨洋英</t>
        </is>
      </c>
    </row>
    <row r="22">
      <c r="A22" s="14" t="n">
        <v>45679</v>
      </c>
      <c r="B22" s="4" t="inlineStr">
        <is>
          <t>SO202510045</t>
        </is>
      </c>
      <c r="C22" s="4" t="inlineStr">
        <is>
          <t>南京淼沃供应链有限公司</t>
        </is>
      </c>
      <c r="D22" s="4" t="inlineStr">
        <is>
          <t>数控机床</t>
        </is>
      </c>
      <c r="E22" s="4" t="inlineStr">
        <is>
          <t>1kg</t>
        </is>
      </c>
      <c r="F22" s="18" t="n">
        <v>1760</v>
      </c>
      <c r="G22" s="15" t="n">
        <v>50.14</v>
      </c>
      <c r="H22" s="15" t="n">
        <v>88246.39999999999</v>
      </c>
      <c r="I22" s="4" t="inlineStr">
        <is>
          <t>浙江区域</t>
        </is>
      </c>
      <c r="J22" s="4" t="inlineStr">
        <is>
          <t>王秀英</t>
        </is>
      </c>
    </row>
    <row r="23">
      <c r="A23" s="14" t="n">
        <v>45679</v>
      </c>
      <c r="B23" s="4" t="inlineStr">
        <is>
          <t>SO202510138</t>
        </is>
      </c>
      <c r="C23" s="4" t="inlineStr">
        <is>
          <t>苏州京功酒店管理集团</t>
        </is>
      </c>
      <c r="D23" s="4" t="inlineStr">
        <is>
          <t>气动元件</t>
        </is>
      </c>
      <c r="E23" s="4" t="inlineStr">
        <is>
          <t>25kg</t>
        </is>
      </c>
      <c r="F23" s="18" t="n">
        <v>1440</v>
      </c>
      <c r="G23" s="15" t="n">
        <v>64.90000000000001</v>
      </c>
      <c r="H23" s="15" t="n">
        <v>93456</v>
      </c>
      <c r="I23" s="4" t="inlineStr">
        <is>
          <t>华中区域</t>
        </is>
      </c>
      <c r="J23" s="4" t="inlineStr">
        <is>
          <t>黄秀英</t>
        </is>
      </c>
    </row>
    <row r="24">
      <c r="A24" s="14" t="n">
        <v>45682</v>
      </c>
      <c r="B24" s="4" t="inlineStr">
        <is>
          <t>SO202510073</t>
        </is>
      </c>
      <c r="C24" s="4" t="inlineStr">
        <is>
          <t>杭州百味酒店管理集团</t>
        </is>
      </c>
      <c r="D24" s="4" t="inlineStr">
        <is>
          <t>数控机床</t>
        </is>
      </c>
      <c r="E24" s="4" t="inlineStr">
        <is>
          <t>2.5kg</t>
        </is>
      </c>
      <c r="F24" s="18" t="n">
        <v>2280</v>
      </c>
      <c r="G24" s="15" t="n">
        <v>79.86</v>
      </c>
      <c r="H24" s="15" t="n">
        <v>182080.8</v>
      </c>
      <c r="I24" s="4" t="inlineStr">
        <is>
          <t>浙江区域</t>
        </is>
      </c>
      <c r="J24" s="4" t="inlineStr">
        <is>
          <t>徐秀娜</t>
        </is>
      </c>
    </row>
    <row r="25">
      <c r="A25" s="14" t="n">
        <v>45683</v>
      </c>
      <c r="B25" s="4" t="inlineStr">
        <is>
          <t>SO202510136</t>
        </is>
      </c>
      <c r="C25" s="4" t="inlineStr">
        <is>
          <t>无锡京功商贸有限公司</t>
        </is>
      </c>
      <c r="D25" s="4" t="inlineStr">
        <is>
          <t>数控机床</t>
        </is>
      </c>
      <c r="E25" s="4" t="inlineStr">
        <is>
          <t>10kg</t>
        </is>
      </c>
      <c r="F25" s="18" t="n">
        <v>4500</v>
      </c>
      <c r="G25" s="15" t="n">
        <v>58.39</v>
      </c>
      <c r="H25" s="15" t="n">
        <v>262755</v>
      </c>
      <c r="I25" s="4" t="inlineStr">
        <is>
          <t>华中区域</t>
        </is>
      </c>
      <c r="J25" s="4" t="inlineStr">
        <is>
          <t>杨静秀</t>
        </is>
      </c>
    </row>
    <row r="26">
      <c r="A26" s="14" t="n">
        <v>45691</v>
      </c>
      <c r="B26" s="4" t="inlineStr">
        <is>
          <t>SO202510101</t>
        </is>
      </c>
      <c r="C26" s="4" t="inlineStr">
        <is>
          <t>杭州百味食品有限公司</t>
        </is>
      </c>
      <c r="D26" s="4" t="inlineStr">
        <is>
          <t>液压件</t>
        </is>
      </c>
      <c r="E26" s="4" t="inlineStr">
        <is>
          <t>10kg</t>
        </is>
      </c>
      <c r="F26" s="18" t="n">
        <v>4010</v>
      </c>
      <c r="G26" s="15" t="n">
        <v>155.49</v>
      </c>
      <c r="H26" s="15" t="n">
        <v>623514.9</v>
      </c>
      <c r="I26" s="4" t="inlineStr">
        <is>
          <t>江苏区域</t>
        </is>
      </c>
      <c r="J26" s="4" t="inlineStr">
        <is>
          <t>周伟英</t>
        </is>
      </c>
    </row>
    <row r="27">
      <c r="A27" s="14" t="n">
        <v>45693</v>
      </c>
      <c r="B27" s="4" t="inlineStr">
        <is>
          <t>SO202510158</t>
        </is>
      </c>
      <c r="C27" s="4" t="inlineStr">
        <is>
          <t>温州大匠酒店管理集团</t>
        </is>
      </c>
      <c r="D27" s="4" t="inlineStr">
        <is>
          <t>精密轴承</t>
        </is>
      </c>
      <c r="E27" s="4" t="inlineStr">
        <is>
          <t>标准</t>
        </is>
      </c>
      <c r="F27" s="18" t="n">
        <v>4460</v>
      </c>
      <c r="G27" s="15" t="n">
        <v>27.31</v>
      </c>
      <c r="H27" s="15" t="n">
        <v>121802.6</v>
      </c>
      <c r="I27" s="4" t="inlineStr">
        <is>
          <t>广东区域</t>
        </is>
      </c>
      <c r="J27" s="4" t="inlineStr">
        <is>
          <t>张勇秀</t>
        </is>
      </c>
    </row>
    <row r="28">
      <c r="A28" s="14" t="n">
        <v>45710</v>
      </c>
      <c r="B28" s="4" t="inlineStr">
        <is>
          <t>SO202510052</t>
        </is>
      </c>
      <c r="C28" s="4" t="inlineStr">
        <is>
          <t>南京优鲜电商平台</t>
        </is>
      </c>
      <c r="D28" s="4" t="inlineStr">
        <is>
          <t>液压件</t>
        </is>
      </c>
      <c r="E28" s="4" t="inlineStr">
        <is>
          <t>C级</t>
        </is>
      </c>
      <c r="F28" s="18" t="n">
        <v>2660</v>
      </c>
      <c r="G28" s="15" t="n">
        <v>91.95999999999999</v>
      </c>
      <c r="H28" s="15" t="n">
        <v>244613.6</v>
      </c>
      <c r="I28" s="4" t="inlineStr">
        <is>
          <t>江苏区域</t>
        </is>
      </c>
      <c r="J28" s="4" t="inlineStr">
        <is>
          <t>赵明敏</t>
        </is>
      </c>
    </row>
    <row r="29">
      <c r="A29" s="14" t="n">
        <v>45712</v>
      </c>
      <c r="B29" s="4" t="inlineStr">
        <is>
          <t>SO202510125</t>
        </is>
      </c>
      <c r="C29" s="4" t="inlineStr">
        <is>
          <t>上海大匠电商平台</t>
        </is>
      </c>
      <c r="D29" s="4" t="inlineStr">
        <is>
          <t>工装夹具</t>
        </is>
      </c>
      <c r="E29" s="4" t="inlineStr">
        <is>
          <t>10kg</t>
        </is>
      </c>
      <c r="F29" s="18" t="n">
        <v>3960</v>
      </c>
      <c r="G29" s="15" t="n">
        <v>34.44</v>
      </c>
      <c r="H29" s="15" t="n">
        <v>136382.4</v>
      </c>
      <c r="I29" s="4" t="inlineStr">
        <is>
          <t>浙江区域</t>
        </is>
      </c>
      <c r="J29" s="4" t="inlineStr">
        <is>
          <t>徐勇芳</t>
        </is>
      </c>
    </row>
    <row r="30">
      <c r="A30" s="14" t="n">
        <v>45713</v>
      </c>
      <c r="B30" s="4" t="inlineStr">
        <is>
          <t>SO202510094</t>
        </is>
      </c>
      <c r="C30" s="4" t="inlineStr">
        <is>
          <t>无锡百味食品有限公司</t>
        </is>
      </c>
      <c r="D30" s="4" t="inlineStr">
        <is>
          <t>模具</t>
        </is>
      </c>
      <c r="E30" s="4" t="inlineStr">
        <is>
          <t>10kg</t>
        </is>
      </c>
      <c r="F30" s="18" t="n">
        <v>2810</v>
      </c>
      <c r="G30" s="15" t="n">
        <v>25.25</v>
      </c>
      <c r="H30" s="15" t="n">
        <v>70952.5</v>
      </c>
      <c r="I30" s="4" t="inlineStr">
        <is>
          <t>华中区域</t>
        </is>
      </c>
      <c r="J30" s="4" t="inlineStr">
        <is>
          <t>杨娜英</t>
        </is>
      </c>
    </row>
    <row r="31">
      <c r="A31" s="14" t="n">
        <v>45715</v>
      </c>
      <c r="B31" s="4" t="inlineStr">
        <is>
          <t>SO202510089</t>
        </is>
      </c>
      <c r="C31" s="4" t="inlineStr">
        <is>
          <t>苏州食佳电商平台</t>
        </is>
      </c>
      <c r="D31" s="4" t="inlineStr">
        <is>
          <t>液压件</t>
        </is>
      </c>
      <c r="E31" s="4" t="inlineStr">
        <is>
          <t>标准</t>
        </is>
      </c>
      <c r="F31" s="18" t="n">
        <v>2180</v>
      </c>
      <c r="G31" s="15" t="n">
        <v>15.51</v>
      </c>
      <c r="H31" s="15" t="n">
        <v>33811.8</v>
      </c>
      <c r="I31" s="4" t="inlineStr">
        <is>
          <t>广东区域</t>
        </is>
      </c>
      <c r="J31" s="4" t="inlineStr">
        <is>
          <t>胡静英</t>
        </is>
      </c>
    </row>
    <row r="32">
      <c r="A32" s="14" t="n">
        <v>45721</v>
      </c>
      <c r="B32" s="4" t="inlineStr">
        <is>
          <t>SO202510050</t>
        </is>
      </c>
      <c r="C32" s="4" t="inlineStr">
        <is>
          <t>上海百味酒店管理集团</t>
        </is>
      </c>
      <c r="D32" s="4" t="inlineStr">
        <is>
          <t>液压件</t>
        </is>
      </c>
      <c r="E32" s="4" t="inlineStr">
        <is>
          <t>C级</t>
        </is>
      </c>
      <c r="F32" s="18" t="n">
        <v>800</v>
      </c>
      <c r="G32" s="15" t="n">
        <v>74.56999999999999</v>
      </c>
      <c r="H32" s="15" t="n">
        <v>59656</v>
      </c>
      <c r="I32" s="4" t="inlineStr">
        <is>
          <t>浙江区域</t>
        </is>
      </c>
      <c r="J32" s="4" t="inlineStr">
        <is>
          <t>王伟芳</t>
        </is>
      </c>
    </row>
    <row r="33">
      <c r="A33" s="14" t="n">
        <v>45722</v>
      </c>
      <c r="B33" s="4" t="inlineStr">
        <is>
          <t>SO202510056</t>
        </is>
      </c>
      <c r="C33" s="4" t="inlineStr">
        <is>
          <t>宁波食佳供应链有限公司</t>
        </is>
      </c>
      <c r="D33" s="4" t="inlineStr">
        <is>
          <t>液压件</t>
        </is>
      </c>
      <c r="E33" s="4" t="inlineStr">
        <is>
          <t>B级</t>
        </is>
      </c>
      <c r="F33" s="18" t="n">
        <v>3560</v>
      </c>
      <c r="G33" s="15" t="n">
        <v>90.63</v>
      </c>
      <c r="H33" s="15" t="n">
        <v>322642.8</v>
      </c>
      <c r="I33" s="4" t="inlineStr">
        <is>
          <t>浙江区域</t>
        </is>
      </c>
      <c r="J33" s="4" t="inlineStr">
        <is>
          <t>马静敏</t>
        </is>
      </c>
    </row>
    <row r="34">
      <c r="A34" s="14" t="n">
        <v>45724</v>
      </c>
      <c r="B34" s="4" t="inlineStr">
        <is>
          <t>SO202510077</t>
        </is>
      </c>
      <c r="C34" s="4" t="inlineStr">
        <is>
          <t>嘉兴大匠食品有限公司</t>
        </is>
      </c>
      <c r="D34" s="4" t="inlineStr">
        <is>
          <t>模具</t>
        </is>
      </c>
      <c r="E34" s="4" t="inlineStr">
        <is>
          <t>A级</t>
        </is>
      </c>
      <c r="F34" s="18" t="n">
        <v>560</v>
      </c>
      <c r="G34" s="15" t="n">
        <v>78.89</v>
      </c>
      <c r="H34" s="15" t="n">
        <v>44178.4</v>
      </c>
      <c r="I34" s="4" t="inlineStr">
        <is>
          <t>江苏区域</t>
        </is>
      </c>
      <c r="J34" s="4" t="inlineStr">
        <is>
          <t>黄勇芳</t>
        </is>
      </c>
    </row>
    <row r="35">
      <c r="A35" s="14" t="n">
        <v>45725</v>
      </c>
      <c r="B35" s="4" t="inlineStr">
        <is>
          <t>SO202510153</t>
        </is>
      </c>
      <c r="C35" s="4" t="inlineStr">
        <is>
          <t>无锡大匠商贸有限公司</t>
        </is>
      </c>
      <c r="D35" s="4" t="inlineStr">
        <is>
          <t>模具</t>
        </is>
      </c>
      <c r="E35" s="4" t="inlineStr">
        <is>
          <t>B级</t>
        </is>
      </c>
      <c r="F35" s="18" t="n">
        <v>3540</v>
      </c>
      <c r="G35" s="15" t="n">
        <v>12.37</v>
      </c>
      <c r="H35" s="15" t="n">
        <v>43789.8</v>
      </c>
      <c r="I35" s="4" t="inlineStr">
        <is>
          <t>广东区域</t>
        </is>
      </c>
      <c r="J35" s="4" t="inlineStr">
        <is>
          <t>周涛秀</t>
        </is>
      </c>
    </row>
    <row r="36">
      <c r="A36" s="14" t="n">
        <v>45726</v>
      </c>
      <c r="B36" s="4" t="inlineStr">
        <is>
          <t>SO202510019</t>
        </is>
      </c>
      <c r="C36" s="4" t="inlineStr">
        <is>
          <t>嘉兴食佳供应链有限公司</t>
        </is>
      </c>
      <c r="D36" s="4" t="inlineStr">
        <is>
          <t>气动元件</t>
        </is>
      </c>
      <c r="E36" s="4" t="inlineStr">
        <is>
          <t>500g</t>
        </is>
      </c>
      <c r="F36" s="18" t="n">
        <v>4780</v>
      </c>
      <c r="G36" s="15" t="n">
        <v>43.55</v>
      </c>
      <c r="H36" s="15" t="n">
        <v>208169</v>
      </c>
      <c r="I36" s="4" t="inlineStr">
        <is>
          <t>浙江区域</t>
        </is>
      </c>
      <c r="J36" s="4" t="inlineStr">
        <is>
          <t>孙静敏</t>
        </is>
      </c>
    </row>
    <row r="37">
      <c r="A37" s="14" t="n">
        <v>45728</v>
      </c>
      <c r="B37" s="4" t="inlineStr">
        <is>
          <t>SO202510005</t>
        </is>
      </c>
      <c r="C37" s="4" t="inlineStr">
        <is>
          <t>南京百味商贸有限公司</t>
        </is>
      </c>
      <c r="D37" s="4" t="inlineStr">
        <is>
          <t>液压件</t>
        </is>
      </c>
      <c r="E37" s="4" t="inlineStr">
        <is>
          <t>2.5kg</t>
        </is>
      </c>
      <c r="F37" s="18" t="n">
        <v>3050</v>
      </c>
      <c r="G37" s="15" t="n">
        <v>27.99</v>
      </c>
      <c r="H37" s="15" t="n">
        <v>85369.5</v>
      </c>
      <c r="I37" s="4" t="inlineStr">
        <is>
          <t>江苏区域</t>
        </is>
      </c>
      <c r="J37" s="4" t="inlineStr">
        <is>
          <t>罗丽伟</t>
        </is>
      </c>
    </row>
    <row r="38">
      <c r="A38" s="14" t="n">
        <v>45728</v>
      </c>
      <c r="B38" s="4" t="inlineStr">
        <is>
          <t>SO202510109</t>
        </is>
      </c>
      <c r="C38" s="4" t="inlineStr">
        <is>
          <t>合肥京功食品有限公司</t>
        </is>
      </c>
      <c r="D38" s="4" t="inlineStr">
        <is>
          <t>气动元件</t>
        </is>
      </c>
      <c r="E38" s="4" t="inlineStr">
        <is>
          <t>标准</t>
        </is>
      </c>
      <c r="F38" s="18" t="n">
        <v>4910</v>
      </c>
      <c r="G38" s="15" t="n">
        <v>105.86</v>
      </c>
      <c r="H38" s="15" t="n">
        <v>519772.6</v>
      </c>
      <c r="I38" s="4" t="inlineStr">
        <is>
          <t>浙江区域</t>
        </is>
      </c>
      <c r="J38" s="4" t="inlineStr">
        <is>
          <t>刘勇英</t>
        </is>
      </c>
    </row>
    <row r="39">
      <c r="A39" s="14" t="n">
        <v>45731</v>
      </c>
      <c r="B39" s="4" t="inlineStr">
        <is>
          <t>SO202510013</t>
        </is>
      </c>
      <c r="C39" s="4" t="inlineStr">
        <is>
          <t>镇江优鲜酒店管理集团</t>
        </is>
      </c>
      <c r="D39" s="4" t="inlineStr">
        <is>
          <t>模具</t>
        </is>
      </c>
      <c r="E39" s="4" t="inlineStr">
        <is>
          <t>A级</t>
        </is>
      </c>
      <c r="F39" s="18" t="n">
        <v>2510</v>
      </c>
      <c r="G39" s="15" t="n">
        <v>42.91</v>
      </c>
      <c r="H39" s="15" t="n">
        <v>107704.1</v>
      </c>
      <c r="I39" s="4" t="inlineStr">
        <is>
          <t>广东区域</t>
        </is>
      </c>
      <c r="J39" s="4" t="inlineStr">
        <is>
          <t>徐强敏</t>
        </is>
      </c>
    </row>
    <row r="40">
      <c r="A40" s="14" t="n">
        <v>45734</v>
      </c>
      <c r="B40" s="4" t="inlineStr">
        <is>
          <t>SO202510114</t>
        </is>
      </c>
      <c r="C40" s="4" t="inlineStr">
        <is>
          <t>苏州淼沃餐饮管理有限公司</t>
        </is>
      </c>
      <c r="D40" s="4" t="inlineStr">
        <is>
          <t>气动元件</t>
        </is>
      </c>
      <c r="E40" s="4" t="inlineStr">
        <is>
          <t>10kg</t>
        </is>
      </c>
      <c r="F40" s="18" t="n">
        <v>1300</v>
      </c>
      <c r="G40" s="15" t="n">
        <v>133.42</v>
      </c>
      <c r="H40" s="15" t="n">
        <v>173446</v>
      </c>
      <c r="I40" s="4" t="inlineStr">
        <is>
          <t>华中区域</t>
        </is>
      </c>
      <c r="J40" s="4" t="inlineStr">
        <is>
          <t>刘涛英</t>
        </is>
      </c>
    </row>
    <row r="41">
      <c r="A41" s="14" t="n">
        <v>45736</v>
      </c>
      <c r="B41" s="4" t="inlineStr">
        <is>
          <t>SO202510002</t>
        </is>
      </c>
      <c r="C41" s="4" t="inlineStr">
        <is>
          <t>杭州食佳超市</t>
        </is>
      </c>
      <c r="D41" s="4" t="inlineStr">
        <is>
          <t>模具</t>
        </is>
      </c>
      <c r="E41" s="4" t="inlineStr">
        <is>
          <t>标准</t>
        </is>
      </c>
      <c r="F41" s="18" t="n">
        <v>250</v>
      </c>
      <c r="G41" s="15" t="n">
        <v>123.01</v>
      </c>
      <c r="H41" s="15" t="n">
        <v>30752.5</v>
      </c>
      <c r="I41" s="4" t="inlineStr">
        <is>
          <t>华中区域</t>
        </is>
      </c>
      <c r="J41" s="4" t="inlineStr">
        <is>
          <t>张磊芳</t>
        </is>
      </c>
    </row>
    <row r="42">
      <c r="A42" s="14" t="n">
        <v>45737</v>
      </c>
      <c r="B42" s="4" t="inlineStr">
        <is>
          <t>SO202510014</t>
        </is>
      </c>
      <c r="C42" s="4" t="inlineStr">
        <is>
          <t>南昌大匠供应链有限公司</t>
        </is>
      </c>
      <c r="D42" s="4" t="inlineStr">
        <is>
          <t>精密轴承</t>
        </is>
      </c>
      <c r="E42" s="4" t="inlineStr">
        <is>
          <t>精装</t>
        </is>
      </c>
      <c r="F42" s="18" t="n">
        <v>640</v>
      </c>
      <c r="G42" s="15" t="n">
        <v>66.48999999999999</v>
      </c>
      <c r="H42" s="15" t="n">
        <v>42553.6</v>
      </c>
      <c r="I42" s="4" t="inlineStr">
        <is>
          <t>广东区域</t>
        </is>
      </c>
      <c r="J42" s="4" t="inlineStr">
        <is>
          <t>王杰秀</t>
        </is>
      </c>
    </row>
    <row r="43">
      <c r="A43" s="14" t="n">
        <v>45738</v>
      </c>
      <c r="B43" s="4" t="inlineStr">
        <is>
          <t>SO202510163</t>
        </is>
      </c>
      <c r="C43" s="4" t="inlineStr">
        <is>
          <t>南昌优鲜超市</t>
        </is>
      </c>
      <c r="D43" s="4" t="inlineStr">
        <is>
          <t>精密轴承</t>
        </is>
      </c>
      <c r="E43" s="4" t="inlineStr">
        <is>
          <t>500g</t>
        </is>
      </c>
      <c r="F43" s="18" t="n">
        <v>770</v>
      </c>
      <c r="G43" s="15" t="n">
        <v>13.68</v>
      </c>
      <c r="H43" s="15" t="n">
        <v>10533.6</v>
      </c>
      <c r="I43" s="4" t="inlineStr">
        <is>
          <t>江苏区域</t>
        </is>
      </c>
      <c r="J43" s="4" t="inlineStr">
        <is>
          <t>张艳伟</t>
        </is>
      </c>
    </row>
    <row r="44">
      <c r="A44" s="14" t="n">
        <v>45740</v>
      </c>
      <c r="B44" s="4" t="inlineStr">
        <is>
          <t>SO202510166</t>
        </is>
      </c>
      <c r="C44" s="4" t="inlineStr">
        <is>
          <t>嘉兴淼沃商贸有限公司</t>
        </is>
      </c>
      <c r="D44" s="4" t="inlineStr">
        <is>
          <t>数控机床</t>
        </is>
      </c>
      <c r="E44" s="4" t="inlineStr">
        <is>
          <t>5kg</t>
        </is>
      </c>
      <c r="F44" s="18" t="n">
        <v>2830</v>
      </c>
      <c r="G44" s="15" t="n">
        <v>105.25</v>
      </c>
      <c r="H44" s="15" t="n">
        <v>297857.5</v>
      </c>
      <c r="I44" s="4" t="inlineStr">
        <is>
          <t>江苏区域</t>
        </is>
      </c>
      <c r="J44" s="4" t="inlineStr">
        <is>
          <t>黄秀敏</t>
        </is>
      </c>
    </row>
    <row r="45">
      <c r="A45" s="14" t="n">
        <v>45744</v>
      </c>
      <c r="B45" s="4" t="inlineStr">
        <is>
          <t>SO202510027</t>
        </is>
      </c>
      <c r="C45" s="4" t="inlineStr">
        <is>
          <t>温州优鲜酒店管理集团</t>
        </is>
      </c>
      <c r="D45" s="4" t="inlineStr">
        <is>
          <t>数控机床</t>
        </is>
      </c>
      <c r="E45" s="4" t="inlineStr">
        <is>
          <t>C级</t>
        </is>
      </c>
      <c r="F45" s="18" t="n">
        <v>3440</v>
      </c>
      <c r="G45" s="15" t="n">
        <v>108.46</v>
      </c>
      <c r="H45" s="15" t="n">
        <v>373102.4</v>
      </c>
      <c r="I45" s="4" t="inlineStr">
        <is>
          <t>江苏区域</t>
        </is>
      </c>
      <c r="J45" s="4" t="inlineStr">
        <is>
          <t>朱丽娜</t>
        </is>
      </c>
    </row>
    <row r="46">
      <c r="A46" s="14" t="n">
        <v>45753</v>
      </c>
      <c r="B46" s="4" t="inlineStr">
        <is>
          <t>SO202510026</t>
        </is>
      </c>
      <c r="C46" s="4" t="inlineStr">
        <is>
          <t>宁波大匠餐饮管理有限公司</t>
        </is>
      </c>
      <c r="D46" s="4" t="inlineStr">
        <is>
          <t>模具</t>
        </is>
      </c>
      <c r="E46" s="4" t="inlineStr">
        <is>
          <t>10kg</t>
        </is>
      </c>
      <c r="F46" s="18" t="n">
        <v>3240</v>
      </c>
      <c r="G46" s="15" t="n">
        <v>105.34</v>
      </c>
      <c r="H46" s="15" t="n">
        <v>341301.6</v>
      </c>
      <c r="I46" s="4" t="inlineStr">
        <is>
          <t>华中区域</t>
        </is>
      </c>
      <c r="J46" s="4" t="inlineStr">
        <is>
          <t>张杰伟</t>
        </is>
      </c>
    </row>
    <row r="47">
      <c r="A47" s="14" t="n">
        <v>45754</v>
      </c>
      <c r="B47" s="4" t="inlineStr">
        <is>
          <t>SO202510110</t>
        </is>
      </c>
      <c r="C47" s="4" t="inlineStr">
        <is>
          <t>南京百味超市</t>
        </is>
      </c>
      <c r="D47" s="4" t="inlineStr">
        <is>
          <t>数控机床</t>
        </is>
      </c>
      <c r="E47" s="4" t="inlineStr">
        <is>
          <t>1kg</t>
        </is>
      </c>
      <c r="F47" s="18" t="n">
        <v>4080</v>
      </c>
      <c r="G47" s="15" t="n">
        <v>6.25</v>
      </c>
      <c r="H47" s="15" t="n">
        <v>25500</v>
      </c>
      <c r="I47" s="4" t="inlineStr">
        <is>
          <t>浙江区域</t>
        </is>
      </c>
      <c r="J47" s="4" t="inlineStr">
        <is>
          <t>黄芳敏</t>
        </is>
      </c>
    </row>
    <row r="48">
      <c r="A48" s="14" t="n">
        <v>45755</v>
      </c>
      <c r="B48" s="4" t="inlineStr">
        <is>
          <t>SO202510161</t>
        </is>
      </c>
      <c r="C48" s="4" t="inlineStr">
        <is>
          <t>杭州淼沃供应链有限公司</t>
        </is>
      </c>
      <c r="D48" s="4" t="inlineStr">
        <is>
          <t>工装夹具</t>
        </is>
      </c>
      <c r="E48" s="4" t="inlineStr">
        <is>
          <t>5kg</t>
        </is>
      </c>
      <c r="F48" s="18" t="n">
        <v>710</v>
      </c>
      <c r="G48" s="15" t="n">
        <v>80.15000000000001</v>
      </c>
      <c r="H48" s="15" t="n">
        <v>56906.5</v>
      </c>
      <c r="I48" s="4" t="inlineStr">
        <is>
          <t>华中区域</t>
        </is>
      </c>
      <c r="J48" s="4" t="inlineStr">
        <is>
          <t>罗芳娜</t>
        </is>
      </c>
    </row>
    <row r="49">
      <c r="A49" s="14" t="n">
        <v>45757</v>
      </c>
      <c r="B49" s="4" t="inlineStr">
        <is>
          <t>SO202510148</t>
        </is>
      </c>
      <c r="C49" s="4" t="inlineStr">
        <is>
          <t>镇江京功商贸有限公司</t>
        </is>
      </c>
      <c r="D49" s="4" t="inlineStr">
        <is>
          <t>工装夹具</t>
        </is>
      </c>
      <c r="E49" s="4" t="inlineStr">
        <is>
          <t>500g</t>
        </is>
      </c>
      <c r="F49" s="18" t="n">
        <v>200</v>
      </c>
      <c r="G49" s="15" t="n">
        <v>80.25</v>
      </c>
      <c r="H49" s="15" t="n">
        <v>16050</v>
      </c>
      <c r="I49" s="4" t="inlineStr">
        <is>
          <t>华中区域</t>
        </is>
      </c>
      <c r="J49" s="4" t="inlineStr">
        <is>
          <t>胡秀敏</t>
        </is>
      </c>
    </row>
    <row r="50">
      <c r="A50" s="14" t="n">
        <v>45768</v>
      </c>
      <c r="B50" s="4" t="inlineStr">
        <is>
          <t>SO202510115</t>
        </is>
      </c>
      <c r="C50" s="4" t="inlineStr">
        <is>
          <t>常州淼沃酒店管理集团</t>
        </is>
      </c>
      <c r="D50" s="4" t="inlineStr">
        <is>
          <t>气动元件</t>
        </is>
      </c>
      <c r="E50" s="4" t="inlineStr">
        <is>
          <t>B级</t>
        </is>
      </c>
      <c r="F50" s="18" t="n">
        <v>1680</v>
      </c>
      <c r="G50" s="15" t="n">
        <v>14.33</v>
      </c>
      <c r="H50" s="15" t="n">
        <v>24074.4</v>
      </c>
      <c r="I50" s="4" t="inlineStr">
        <is>
          <t>江苏区域</t>
        </is>
      </c>
      <c r="J50" s="4" t="inlineStr">
        <is>
          <t>徐勇娜</t>
        </is>
      </c>
    </row>
    <row r="51">
      <c r="A51" s="14" t="n">
        <v>45771</v>
      </c>
      <c r="B51" s="4" t="inlineStr">
        <is>
          <t>SO202510016</t>
        </is>
      </c>
      <c r="C51" s="4" t="inlineStr">
        <is>
          <t>镇江大匠超市</t>
        </is>
      </c>
      <c r="D51" s="4" t="inlineStr">
        <is>
          <t>工装夹具</t>
        </is>
      </c>
      <c r="E51" s="4" t="inlineStr">
        <is>
          <t>10kg</t>
        </is>
      </c>
      <c r="F51" s="18" t="n">
        <v>3030</v>
      </c>
      <c r="G51" s="15" t="n">
        <v>138.96</v>
      </c>
      <c r="H51" s="15" t="n">
        <v>421048.8</v>
      </c>
      <c r="I51" s="4" t="inlineStr">
        <is>
          <t>浙江区域</t>
        </is>
      </c>
      <c r="J51" s="4" t="inlineStr">
        <is>
          <t>郭涛英</t>
        </is>
      </c>
    </row>
    <row r="52">
      <c r="A52" s="14" t="n">
        <v>45774</v>
      </c>
      <c r="B52" s="4" t="inlineStr">
        <is>
          <t>SO202510074</t>
        </is>
      </c>
      <c r="C52" s="4" t="inlineStr">
        <is>
          <t>苏州百味食品有限公司</t>
        </is>
      </c>
      <c r="D52" s="4" t="inlineStr">
        <is>
          <t>数控机床</t>
        </is>
      </c>
      <c r="E52" s="4" t="inlineStr">
        <is>
          <t>25kg</t>
        </is>
      </c>
      <c r="F52" s="18" t="n">
        <v>2280</v>
      </c>
      <c r="G52" s="15" t="n">
        <v>86.34</v>
      </c>
      <c r="H52" s="15" t="n">
        <v>196855.2</v>
      </c>
      <c r="I52" s="4" t="inlineStr">
        <is>
          <t>华中区域</t>
        </is>
      </c>
      <c r="J52" s="4" t="inlineStr">
        <is>
          <t>赵秀敏</t>
        </is>
      </c>
    </row>
    <row r="53">
      <c r="A53" s="14" t="n">
        <v>45778</v>
      </c>
      <c r="B53" s="4" t="inlineStr">
        <is>
          <t>SO202510062</t>
        </is>
      </c>
      <c r="C53" s="4" t="inlineStr">
        <is>
          <t>镇江大匠商贸有限公司</t>
        </is>
      </c>
      <c r="D53" s="4" t="inlineStr">
        <is>
          <t>液压件</t>
        </is>
      </c>
      <c r="E53" s="4" t="inlineStr">
        <is>
          <t>2.5kg</t>
        </is>
      </c>
      <c r="F53" s="18" t="n">
        <v>4720</v>
      </c>
      <c r="G53" s="15" t="n">
        <v>17.4</v>
      </c>
      <c r="H53" s="15" t="n">
        <v>82128</v>
      </c>
      <c r="I53" s="4" t="inlineStr">
        <is>
          <t>江苏区域</t>
        </is>
      </c>
      <c r="J53" s="4" t="inlineStr">
        <is>
          <t>徐秀秀</t>
        </is>
      </c>
    </row>
    <row r="54">
      <c r="A54" s="14" t="n">
        <v>45780</v>
      </c>
      <c r="B54" s="4" t="inlineStr">
        <is>
          <t>SO202510061</t>
        </is>
      </c>
      <c r="C54" s="4" t="inlineStr">
        <is>
          <t>宁波大匠食品有限公司</t>
        </is>
      </c>
      <c r="D54" s="4" t="inlineStr">
        <is>
          <t>数控机床</t>
        </is>
      </c>
      <c r="E54" s="4" t="inlineStr">
        <is>
          <t>B级</t>
        </is>
      </c>
      <c r="F54" s="18" t="n">
        <v>1130</v>
      </c>
      <c r="G54" s="15" t="n">
        <v>44.85</v>
      </c>
      <c r="H54" s="15" t="n">
        <v>50680.5</v>
      </c>
      <c r="I54" s="4" t="inlineStr">
        <is>
          <t>江苏区域</t>
        </is>
      </c>
      <c r="J54" s="4" t="inlineStr">
        <is>
          <t>李明伟</t>
        </is>
      </c>
    </row>
    <row r="55">
      <c r="A55" s="14" t="n">
        <v>45780</v>
      </c>
      <c r="B55" s="4" t="inlineStr">
        <is>
          <t>SO202510068</t>
        </is>
      </c>
      <c r="C55" s="4" t="inlineStr">
        <is>
          <t>杭州百味商贸有限公司</t>
        </is>
      </c>
      <c r="D55" s="4" t="inlineStr">
        <is>
          <t>数控机床</t>
        </is>
      </c>
      <c r="E55" s="4" t="inlineStr">
        <is>
          <t>B级</t>
        </is>
      </c>
      <c r="F55" s="18" t="n">
        <v>4270</v>
      </c>
      <c r="G55" s="15" t="n">
        <v>64.11</v>
      </c>
      <c r="H55" s="15" t="n">
        <v>273749.7</v>
      </c>
      <c r="I55" s="4" t="inlineStr">
        <is>
          <t>江苏区域</t>
        </is>
      </c>
      <c r="J55" s="4" t="inlineStr">
        <is>
          <t>胡勇芳</t>
        </is>
      </c>
    </row>
    <row r="56">
      <c r="A56" s="14" t="n">
        <v>45781</v>
      </c>
      <c r="B56" s="4" t="inlineStr">
        <is>
          <t>SO202510095</t>
        </is>
      </c>
      <c r="C56" s="4" t="inlineStr">
        <is>
          <t>嘉兴淼沃酒店管理集团</t>
        </is>
      </c>
      <c r="D56" s="4" t="inlineStr">
        <is>
          <t>气动元件</t>
        </is>
      </c>
      <c r="E56" s="4" t="inlineStr">
        <is>
          <t>特级</t>
        </is>
      </c>
      <c r="F56" s="18" t="n">
        <v>1970</v>
      </c>
      <c r="G56" s="15" t="n">
        <v>13.85</v>
      </c>
      <c r="H56" s="15" t="n">
        <v>27284.5</v>
      </c>
      <c r="I56" s="4" t="inlineStr">
        <is>
          <t>华中区域</t>
        </is>
      </c>
      <c r="J56" s="4" t="inlineStr">
        <is>
          <t>黄伟芳</t>
        </is>
      </c>
    </row>
    <row r="57">
      <c r="A57" s="14" t="n">
        <v>45781</v>
      </c>
      <c r="B57" s="4" t="inlineStr">
        <is>
          <t>SO202510124</t>
        </is>
      </c>
      <c r="C57" s="4" t="inlineStr">
        <is>
          <t>南京食佳酒店管理集团</t>
        </is>
      </c>
      <c r="D57" s="4" t="inlineStr">
        <is>
          <t>数控机床</t>
        </is>
      </c>
      <c r="E57" s="4" t="inlineStr">
        <is>
          <t>10kg</t>
        </is>
      </c>
      <c r="F57" s="18" t="n">
        <v>1840</v>
      </c>
      <c r="G57" s="15" t="n">
        <v>4.95</v>
      </c>
      <c r="H57" s="15" t="n">
        <v>9108</v>
      </c>
      <c r="I57" s="4" t="inlineStr">
        <is>
          <t>华中区域</t>
        </is>
      </c>
      <c r="J57" s="4" t="inlineStr">
        <is>
          <t>朱兰英</t>
        </is>
      </c>
    </row>
    <row r="58">
      <c r="A58" s="14" t="n">
        <v>45782</v>
      </c>
      <c r="B58" s="4" t="inlineStr">
        <is>
          <t>SO202510022</t>
        </is>
      </c>
      <c r="C58" s="4" t="inlineStr">
        <is>
          <t>嘉兴优鲜酒店管理集团</t>
        </is>
      </c>
      <c r="D58" s="4" t="inlineStr">
        <is>
          <t>精密轴承</t>
        </is>
      </c>
      <c r="E58" s="4" t="inlineStr">
        <is>
          <t>B级</t>
        </is>
      </c>
      <c r="F58" s="18" t="n">
        <v>4590</v>
      </c>
      <c r="G58" s="15" t="n">
        <v>105.03</v>
      </c>
      <c r="H58" s="15" t="n">
        <v>482087.7</v>
      </c>
      <c r="I58" s="4" t="inlineStr">
        <is>
          <t>江苏区域</t>
        </is>
      </c>
      <c r="J58" s="4" t="inlineStr">
        <is>
          <t>徐艳娜</t>
        </is>
      </c>
    </row>
    <row r="59">
      <c r="A59" s="14" t="n">
        <v>45785</v>
      </c>
      <c r="B59" s="4" t="inlineStr">
        <is>
          <t>SO202510048</t>
        </is>
      </c>
      <c r="C59" s="4" t="inlineStr">
        <is>
          <t>常州京功商贸有限公司</t>
        </is>
      </c>
      <c r="D59" s="4" t="inlineStr">
        <is>
          <t>液压件</t>
        </is>
      </c>
      <c r="E59" s="4" t="inlineStr">
        <is>
          <t>500g</t>
        </is>
      </c>
      <c r="F59" s="18" t="n">
        <v>810</v>
      </c>
      <c r="G59" s="15" t="n">
        <v>99.95</v>
      </c>
      <c r="H59" s="15" t="n">
        <v>80959.5</v>
      </c>
      <c r="I59" s="4" t="inlineStr">
        <is>
          <t>华中区域</t>
        </is>
      </c>
      <c r="J59" s="4" t="inlineStr">
        <is>
          <t>林强伟</t>
        </is>
      </c>
    </row>
    <row r="60">
      <c r="A60" s="14" t="n">
        <v>45786</v>
      </c>
      <c r="B60" s="4" t="inlineStr">
        <is>
          <t>SO202510100</t>
        </is>
      </c>
      <c r="C60" s="4" t="inlineStr">
        <is>
          <t>杭州淼沃电商平台</t>
        </is>
      </c>
      <c r="D60" s="4" t="inlineStr">
        <is>
          <t>液压件</t>
        </is>
      </c>
      <c r="E60" s="4" t="inlineStr">
        <is>
          <t>1kg</t>
        </is>
      </c>
      <c r="F60" s="18" t="n">
        <v>3510</v>
      </c>
      <c r="G60" s="15" t="n">
        <v>85.16</v>
      </c>
      <c r="H60" s="15" t="n">
        <v>298911.6</v>
      </c>
      <c r="I60" s="4" t="inlineStr">
        <is>
          <t>江苏区域</t>
        </is>
      </c>
      <c r="J60" s="4" t="inlineStr">
        <is>
          <t>朱超秀</t>
        </is>
      </c>
    </row>
    <row r="61">
      <c r="A61" s="14" t="n">
        <v>45786</v>
      </c>
      <c r="B61" s="4" t="inlineStr">
        <is>
          <t>SO202510172</t>
        </is>
      </c>
      <c r="C61" s="4" t="inlineStr">
        <is>
          <t>温州优鲜供应链有限公司</t>
        </is>
      </c>
      <c r="D61" s="4" t="inlineStr">
        <is>
          <t>气动元件</t>
        </is>
      </c>
      <c r="E61" s="4" t="inlineStr">
        <is>
          <t>简装</t>
        </is>
      </c>
      <c r="F61" s="18" t="n">
        <v>3610</v>
      </c>
      <c r="G61" s="15" t="n">
        <v>69.38</v>
      </c>
      <c r="H61" s="15" t="n">
        <v>250461.8</v>
      </c>
      <c r="I61" s="4" t="inlineStr">
        <is>
          <t>江苏区域</t>
        </is>
      </c>
      <c r="J61" s="4" t="inlineStr">
        <is>
          <t>陈强秀</t>
        </is>
      </c>
    </row>
    <row r="62">
      <c r="A62" s="14" t="n">
        <v>45787</v>
      </c>
      <c r="B62" s="4" t="inlineStr">
        <is>
          <t>SO202510063</t>
        </is>
      </c>
      <c r="C62" s="4" t="inlineStr">
        <is>
          <t>合肥食佳食品有限公司</t>
        </is>
      </c>
      <c r="D62" s="4" t="inlineStr">
        <is>
          <t>气动元件</t>
        </is>
      </c>
      <c r="E62" s="4" t="inlineStr">
        <is>
          <t>500g</t>
        </is>
      </c>
      <c r="F62" s="18" t="n">
        <v>200</v>
      </c>
      <c r="G62" s="15" t="n">
        <v>82.36</v>
      </c>
      <c r="H62" s="15" t="n">
        <v>16472</v>
      </c>
      <c r="I62" s="4" t="inlineStr">
        <is>
          <t>江苏区域</t>
        </is>
      </c>
      <c r="J62" s="4" t="inlineStr">
        <is>
          <t>周芳秀</t>
        </is>
      </c>
    </row>
    <row r="63">
      <c r="A63" s="14" t="n">
        <v>45788</v>
      </c>
      <c r="B63" s="4" t="inlineStr">
        <is>
          <t>SO202510065</t>
        </is>
      </c>
      <c r="C63" s="4" t="inlineStr">
        <is>
          <t>无锡优鲜餐饮管理有限公司</t>
        </is>
      </c>
      <c r="D63" s="4" t="inlineStr">
        <is>
          <t>气动元件</t>
        </is>
      </c>
      <c r="E63" s="4" t="inlineStr">
        <is>
          <t>25kg</t>
        </is>
      </c>
      <c r="F63" s="18" t="n">
        <v>650</v>
      </c>
      <c r="G63" s="15" t="n">
        <v>151.63</v>
      </c>
      <c r="H63" s="15" t="n">
        <v>98559.5</v>
      </c>
      <c r="I63" s="4" t="inlineStr">
        <is>
          <t>江苏区域</t>
        </is>
      </c>
      <c r="J63" s="4" t="inlineStr">
        <is>
          <t>林兰娜</t>
        </is>
      </c>
    </row>
    <row r="64">
      <c r="A64" s="14" t="n">
        <v>45791</v>
      </c>
      <c r="B64" s="4" t="inlineStr">
        <is>
          <t>SO202510070</t>
        </is>
      </c>
      <c r="C64" s="4" t="inlineStr">
        <is>
          <t>合肥百味食品有限公司</t>
        </is>
      </c>
      <c r="D64" s="4" t="inlineStr">
        <is>
          <t>数控机床</t>
        </is>
      </c>
      <c r="E64" s="4" t="inlineStr">
        <is>
          <t>标准</t>
        </is>
      </c>
      <c r="F64" s="18" t="n">
        <v>850</v>
      </c>
      <c r="G64" s="15" t="n">
        <v>54.25</v>
      </c>
      <c r="H64" s="15" t="n">
        <v>46112.5</v>
      </c>
      <c r="I64" s="4" t="inlineStr">
        <is>
          <t>华中区域</t>
        </is>
      </c>
      <c r="J64" s="4" t="inlineStr">
        <is>
          <t>吴伟伟</t>
        </is>
      </c>
    </row>
    <row r="65">
      <c r="A65" s="14" t="n">
        <v>45794</v>
      </c>
      <c r="B65" s="4" t="inlineStr">
        <is>
          <t>SO202510071</t>
        </is>
      </c>
      <c r="C65" s="4" t="inlineStr">
        <is>
          <t>温州淼沃餐饮管理有限公司</t>
        </is>
      </c>
      <c r="D65" s="4" t="inlineStr">
        <is>
          <t>气动元件</t>
        </is>
      </c>
      <c r="E65" s="4" t="inlineStr">
        <is>
          <t>标准</t>
        </is>
      </c>
      <c r="F65" s="18" t="n">
        <v>2380</v>
      </c>
      <c r="G65" s="15" t="n">
        <v>97.51000000000001</v>
      </c>
      <c r="H65" s="15" t="n">
        <v>232073.8</v>
      </c>
      <c r="I65" s="4" t="inlineStr">
        <is>
          <t>广东区域</t>
        </is>
      </c>
      <c r="J65" s="4" t="inlineStr">
        <is>
          <t>高明英</t>
        </is>
      </c>
    </row>
    <row r="66">
      <c r="A66" s="14" t="n">
        <v>45795</v>
      </c>
      <c r="B66" s="4" t="inlineStr">
        <is>
          <t>SO202510113</t>
        </is>
      </c>
      <c r="C66" s="4" t="inlineStr">
        <is>
          <t>南昌京功商贸有限公司</t>
        </is>
      </c>
      <c r="D66" s="4" t="inlineStr">
        <is>
          <t>液压件</t>
        </is>
      </c>
      <c r="E66" s="4" t="inlineStr">
        <is>
          <t>A级</t>
        </is>
      </c>
      <c r="F66" s="18" t="n">
        <v>770</v>
      </c>
      <c r="G66" s="15" t="n">
        <v>32.69</v>
      </c>
      <c r="H66" s="15" t="n">
        <v>25171.3</v>
      </c>
      <c r="I66" s="4" t="inlineStr">
        <is>
          <t>广东区域</t>
        </is>
      </c>
      <c r="J66" s="4" t="inlineStr">
        <is>
          <t>李兰秀</t>
        </is>
      </c>
    </row>
    <row r="67">
      <c r="A67" s="14" t="n">
        <v>45797</v>
      </c>
      <c r="B67" s="4" t="inlineStr">
        <is>
          <t>SO202510078</t>
        </is>
      </c>
      <c r="C67" s="4" t="inlineStr">
        <is>
          <t>无锡淼沃餐饮管理有限公司</t>
        </is>
      </c>
      <c r="D67" s="4" t="inlineStr">
        <is>
          <t>工装夹具</t>
        </is>
      </c>
      <c r="E67" s="4" t="inlineStr">
        <is>
          <t>10kg</t>
        </is>
      </c>
      <c r="F67" s="18" t="n">
        <v>4090</v>
      </c>
      <c r="G67" s="15" t="n">
        <v>95.36</v>
      </c>
      <c r="H67" s="15" t="n">
        <v>390022.4</v>
      </c>
      <c r="I67" s="4" t="inlineStr">
        <is>
          <t>华中区域</t>
        </is>
      </c>
      <c r="J67" s="4" t="inlineStr">
        <is>
          <t>马勇芳</t>
        </is>
      </c>
    </row>
    <row r="68">
      <c r="A68" s="14" t="n">
        <v>45799</v>
      </c>
      <c r="B68" s="4" t="inlineStr">
        <is>
          <t>SO202510064</t>
        </is>
      </c>
      <c r="C68" s="4" t="inlineStr">
        <is>
          <t>苏州大匠食品有限公司</t>
        </is>
      </c>
      <c r="D68" s="4" t="inlineStr">
        <is>
          <t>模具</t>
        </is>
      </c>
      <c r="E68" s="4" t="inlineStr">
        <is>
          <t>25kg</t>
        </is>
      </c>
      <c r="F68" s="18" t="n">
        <v>2350</v>
      </c>
      <c r="G68" s="15" t="n">
        <v>86.14</v>
      </c>
      <c r="H68" s="15" t="n">
        <v>202429</v>
      </c>
      <c r="I68" s="4" t="inlineStr">
        <is>
          <t>华中区域</t>
        </is>
      </c>
      <c r="J68" s="4" t="inlineStr">
        <is>
          <t>赵强娜</t>
        </is>
      </c>
    </row>
    <row r="69">
      <c r="A69" s="14" t="n">
        <v>45802</v>
      </c>
      <c r="B69" s="4" t="inlineStr">
        <is>
          <t>SO202510096</t>
        </is>
      </c>
      <c r="C69" s="4" t="inlineStr">
        <is>
          <t>常州百味商贸有限公司</t>
        </is>
      </c>
      <c r="D69" s="4" t="inlineStr">
        <is>
          <t>数控机床</t>
        </is>
      </c>
      <c r="E69" s="4" t="inlineStr">
        <is>
          <t>5kg</t>
        </is>
      </c>
      <c r="F69" s="18" t="n">
        <v>3540</v>
      </c>
      <c r="G69" s="15" t="n">
        <v>101.94</v>
      </c>
      <c r="H69" s="15" t="n">
        <v>360867.6</v>
      </c>
      <c r="I69" s="4" t="inlineStr">
        <is>
          <t>江苏区域</t>
        </is>
      </c>
      <c r="J69" s="4" t="inlineStr">
        <is>
          <t>郭静娜</t>
        </is>
      </c>
    </row>
    <row r="70">
      <c r="A70" s="14" t="n">
        <v>45809</v>
      </c>
      <c r="B70" s="4" t="inlineStr">
        <is>
          <t>SO202510088</t>
        </is>
      </c>
      <c r="C70" s="4" t="inlineStr">
        <is>
          <t>南京京功食品有限公司</t>
        </is>
      </c>
      <c r="D70" s="4" t="inlineStr">
        <is>
          <t>模具</t>
        </is>
      </c>
      <c r="E70" s="4" t="inlineStr">
        <is>
          <t>25kg</t>
        </is>
      </c>
      <c r="F70" s="18" t="n">
        <v>4740</v>
      </c>
      <c r="G70" s="15" t="n">
        <v>31.09</v>
      </c>
      <c r="H70" s="15" t="n">
        <v>147366.6</v>
      </c>
      <c r="I70" s="4" t="inlineStr">
        <is>
          <t>江苏区域</t>
        </is>
      </c>
      <c r="J70" s="4" t="inlineStr">
        <is>
          <t>李秀敏</t>
        </is>
      </c>
    </row>
    <row r="71">
      <c r="A71" s="14" t="n">
        <v>45811</v>
      </c>
      <c r="B71" s="4" t="inlineStr">
        <is>
          <t>SO202510053</t>
        </is>
      </c>
      <c r="C71" s="4" t="inlineStr">
        <is>
          <t>镇江京功供应链有限公司</t>
        </is>
      </c>
      <c r="D71" s="4" t="inlineStr">
        <is>
          <t>气动元件</t>
        </is>
      </c>
      <c r="E71" s="4" t="inlineStr">
        <is>
          <t>C级</t>
        </is>
      </c>
      <c r="F71" s="18" t="n">
        <v>2070</v>
      </c>
      <c r="G71" s="15" t="n">
        <v>71.29000000000001</v>
      </c>
      <c r="H71" s="15" t="n">
        <v>147570.3</v>
      </c>
      <c r="I71" s="4" t="inlineStr">
        <is>
          <t>华中区域</t>
        </is>
      </c>
      <c r="J71" s="4" t="inlineStr">
        <is>
          <t>刘静英</t>
        </is>
      </c>
    </row>
    <row r="72">
      <c r="A72" s="14" t="n">
        <v>45814</v>
      </c>
      <c r="B72" s="4" t="inlineStr">
        <is>
          <t>SO202510174</t>
        </is>
      </c>
      <c r="C72" s="4" t="inlineStr">
        <is>
          <t>温州淼沃餐饮管理有限公司</t>
        </is>
      </c>
      <c r="D72" s="4" t="inlineStr">
        <is>
          <t>液压件</t>
        </is>
      </c>
      <c r="E72" s="4" t="inlineStr">
        <is>
          <t>1kg</t>
        </is>
      </c>
      <c r="F72" s="18" t="n">
        <v>2370</v>
      </c>
      <c r="G72" s="15" t="n">
        <v>37.93</v>
      </c>
      <c r="H72" s="15" t="n">
        <v>89894.10000000001</v>
      </c>
      <c r="I72" s="4" t="inlineStr">
        <is>
          <t>广东区域</t>
        </is>
      </c>
      <c r="J72" s="4" t="inlineStr">
        <is>
          <t>周涛秀</t>
        </is>
      </c>
    </row>
    <row r="73">
      <c r="A73" s="14" t="n">
        <v>45816</v>
      </c>
      <c r="B73" s="4" t="inlineStr">
        <is>
          <t>SO202510018</t>
        </is>
      </c>
      <c r="C73" s="4" t="inlineStr">
        <is>
          <t>杭州大匠食品有限公司</t>
        </is>
      </c>
      <c r="D73" s="4" t="inlineStr">
        <is>
          <t>工装夹具</t>
        </is>
      </c>
      <c r="E73" s="4" t="inlineStr">
        <is>
          <t>B级</t>
        </is>
      </c>
      <c r="F73" s="18" t="n">
        <v>4600</v>
      </c>
      <c r="G73" s="15" t="n">
        <v>134.77</v>
      </c>
      <c r="H73" s="15" t="n">
        <v>619942</v>
      </c>
      <c r="I73" s="4" t="inlineStr">
        <is>
          <t>浙江区域</t>
        </is>
      </c>
      <c r="J73" s="4" t="inlineStr">
        <is>
          <t>黄杰娜</t>
        </is>
      </c>
    </row>
    <row r="74">
      <c r="A74" s="14" t="n">
        <v>45817</v>
      </c>
      <c r="B74" s="4" t="inlineStr">
        <is>
          <t>SO202510049</t>
        </is>
      </c>
      <c r="C74" s="4" t="inlineStr">
        <is>
          <t>温州百味供应链有限公司</t>
        </is>
      </c>
      <c r="D74" s="4" t="inlineStr">
        <is>
          <t>气动元件</t>
        </is>
      </c>
      <c r="E74" s="4" t="inlineStr">
        <is>
          <t>1kg</t>
        </is>
      </c>
      <c r="F74" s="18" t="n">
        <v>3870</v>
      </c>
      <c r="G74" s="15" t="n">
        <v>64.45</v>
      </c>
      <c r="H74" s="15" t="n">
        <v>249421.5</v>
      </c>
      <c r="I74" s="4" t="inlineStr">
        <is>
          <t>华中区域</t>
        </is>
      </c>
      <c r="J74" s="4" t="inlineStr">
        <is>
          <t>杨勇伟</t>
        </is>
      </c>
    </row>
    <row r="75">
      <c r="A75" s="14" t="n">
        <v>45818</v>
      </c>
      <c r="B75" s="4" t="inlineStr">
        <is>
          <t>SO202510038</t>
        </is>
      </c>
      <c r="C75" s="4" t="inlineStr">
        <is>
          <t>南昌优鲜食品有限公司</t>
        </is>
      </c>
      <c r="D75" s="4" t="inlineStr">
        <is>
          <t>模具</t>
        </is>
      </c>
      <c r="E75" s="4" t="inlineStr">
        <is>
          <t>2.5kg</t>
        </is>
      </c>
      <c r="F75" s="18" t="n">
        <v>2810</v>
      </c>
      <c r="G75" s="15" t="n">
        <v>35.89</v>
      </c>
      <c r="H75" s="15" t="n">
        <v>100850.9</v>
      </c>
      <c r="I75" s="4" t="inlineStr">
        <is>
          <t>江苏区域</t>
        </is>
      </c>
      <c r="J75" s="4" t="inlineStr">
        <is>
          <t>马涛娜</t>
        </is>
      </c>
    </row>
    <row r="76">
      <c r="A76" s="14" t="n">
        <v>45819</v>
      </c>
      <c r="B76" s="4" t="inlineStr">
        <is>
          <t>SO202510129</t>
        </is>
      </c>
      <c r="C76" s="4" t="inlineStr">
        <is>
          <t>无锡百味餐饮管理有限公司</t>
        </is>
      </c>
      <c r="D76" s="4" t="inlineStr">
        <is>
          <t>模具</t>
        </is>
      </c>
      <c r="E76" s="4" t="inlineStr">
        <is>
          <t>C级</t>
        </is>
      </c>
      <c r="F76" s="18" t="n">
        <v>3520</v>
      </c>
      <c r="G76" s="15" t="n">
        <v>71.92</v>
      </c>
      <c r="H76" s="15" t="n">
        <v>253158.4</v>
      </c>
      <c r="I76" s="4" t="inlineStr">
        <is>
          <t>华中区域</t>
        </is>
      </c>
      <c r="J76" s="4" t="inlineStr">
        <is>
          <t>何超英</t>
        </is>
      </c>
    </row>
    <row r="77">
      <c r="A77" s="14" t="n">
        <v>45823</v>
      </c>
      <c r="B77" s="4" t="inlineStr">
        <is>
          <t>SO202510017</t>
        </is>
      </c>
      <c r="C77" s="4" t="inlineStr">
        <is>
          <t>温州大匠食品有限公司</t>
        </is>
      </c>
      <c r="D77" s="4" t="inlineStr">
        <is>
          <t>精密轴承</t>
        </is>
      </c>
      <c r="E77" s="4" t="inlineStr">
        <is>
          <t>特级</t>
        </is>
      </c>
      <c r="F77" s="18" t="n">
        <v>1280</v>
      </c>
      <c r="G77" s="15" t="n">
        <v>133.05</v>
      </c>
      <c r="H77" s="15" t="n">
        <v>170304</v>
      </c>
      <c r="I77" s="4" t="inlineStr">
        <is>
          <t>广东区域</t>
        </is>
      </c>
      <c r="J77" s="4" t="inlineStr">
        <is>
          <t>黄伟秀</t>
        </is>
      </c>
    </row>
    <row r="78">
      <c r="A78" s="14" t="n">
        <v>45824</v>
      </c>
      <c r="B78" s="4" t="inlineStr">
        <is>
          <t>SO202510069</t>
        </is>
      </c>
      <c r="C78" s="4" t="inlineStr">
        <is>
          <t>南京京功食品有限公司</t>
        </is>
      </c>
      <c r="D78" s="4" t="inlineStr">
        <is>
          <t>气动元件</t>
        </is>
      </c>
      <c r="E78" s="4" t="inlineStr">
        <is>
          <t>5kg</t>
        </is>
      </c>
      <c r="F78" s="18" t="n">
        <v>1240</v>
      </c>
      <c r="G78" s="15" t="n">
        <v>17.66</v>
      </c>
      <c r="H78" s="15" t="n">
        <v>21898.4</v>
      </c>
      <c r="I78" s="4" t="inlineStr">
        <is>
          <t>广东区域</t>
        </is>
      </c>
      <c r="J78" s="4" t="inlineStr">
        <is>
          <t>何兰秀</t>
        </is>
      </c>
    </row>
    <row r="79">
      <c r="A79" s="14" t="n">
        <v>45824</v>
      </c>
      <c r="B79" s="4" t="inlineStr">
        <is>
          <t>SO202510086</t>
        </is>
      </c>
      <c r="C79" s="4" t="inlineStr">
        <is>
          <t>常州大匠酒店管理集团</t>
        </is>
      </c>
      <c r="D79" s="4" t="inlineStr">
        <is>
          <t>数控机床</t>
        </is>
      </c>
      <c r="E79" s="4" t="inlineStr">
        <is>
          <t>10kg</t>
        </is>
      </c>
      <c r="F79" s="18" t="n">
        <v>4340</v>
      </c>
      <c r="G79" s="15" t="n">
        <v>140.33</v>
      </c>
      <c r="H79" s="15" t="n">
        <v>609032.2</v>
      </c>
      <c r="I79" s="4" t="inlineStr">
        <is>
          <t>江苏区域</t>
        </is>
      </c>
      <c r="J79" s="4" t="inlineStr">
        <is>
          <t>周英秀</t>
        </is>
      </c>
    </row>
    <row r="80">
      <c r="A80" s="14" t="n">
        <v>45826</v>
      </c>
      <c r="B80" s="4" t="inlineStr">
        <is>
          <t>SO202510102</t>
        </is>
      </c>
      <c r="C80" s="4" t="inlineStr">
        <is>
          <t>上海淼沃超市</t>
        </is>
      </c>
      <c r="D80" s="4" t="inlineStr">
        <is>
          <t>气动元件</t>
        </is>
      </c>
      <c r="E80" s="4" t="inlineStr">
        <is>
          <t>5kg</t>
        </is>
      </c>
      <c r="F80" s="18" t="n">
        <v>2460</v>
      </c>
      <c r="G80" s="15" t="n">
        <v>17.29</v>
      </c>
      <c r="H80" s="15" t="n">
        <v>42533.4</v>
      </c>
      <c r="I80" s="4" t="inlineStr">
        <is>
          <t>江苏区域</t>
        </is>
      </c>
      <c r="J80" s="4" t="inlineStr">
        <is>
          <t>孙兰敏</t>
        </is>
      </c>
    </row>
    <row r="81">
      <c r="A81" s="14" t="n">
        <v>45830</v>
      </c>
      <c r="B81" s="4" t="inlineStr">
        <is>
          <t>SO202510106</t>
        </is>
      </c>
      <c r="C81" s="4" t="inlineStr">
        <is>
          <t>南昌大匠餐饮管理有限公司</t>
        </is>
      </c>
      <c r="D81" s="4" t="inlineStr">
        <is>
          <t>模具</t>
        </is>
      </c>
      <c r="E81" s="4" t="inlineStr">
        <is>
          <t>2.5kg</t>
        </is>
      </c>
      <c r="F81" s="18" t="n">
        <v>3020</v>
      </c>
      <c r="G81" s="15" t="n">
        <v>92.56999999999999</v>
      </c>
      <c r="H81" s="15" t="n">
        <v>279561.4</v>
      </c>
      <c r="I81" s="4" t="inlineStr">
        <is>
          <t>广东区域</t>
        </is>
      </c>
      <c r="J81" s="4" t="inlineStr">
        <is>
          <t>胡秀芳</t>
        </is>
      </c>
    </row>
    <row r="82">
      <c r="A82" s="14" t="n">
        <v>45831</v>
      </c>
      <c r="B82" s="4" t="inlineStr">
        <is>
          <t>SO202510132</t>
        </is>
      </c>
      <c r="C82" s="4" t="inlineStr">
        <is>
          <t>宁波淼沃酒店管理集团</t>
        </is>
      </c>
      <c r="D82" s="4" t="inlineStr">
        <is>
          <t>液压件</t>
        </is>
      </c>
      <c r="E82" s="4" t="inlineStr">
        <is>
          <t>A级</t>
        </is>
      </c>
      <c r="F82" s="18" t="n">
        <v>4920</v>
      </c>
      <c r="G82" s="15" t="n">
        <v>111.97</v>
      </c>
      <c r="H82" s="15" t="n">
        <v>550892.4</v>
      </c>
      <c r="I82" s="4" t="inlineStr">
        <is>
          <t>广东区域</t>
        </is>
      </c>
      <c r="J82" s="4" t="inlineStr">
        <is>
          <t>孙兰芳</t>
        </is>
      </c>
    </row>
    <row r="83">
      <c r="A83" s="14" t="n">
        <v>45832</v>
      </c>
      <c r="B83" s="4" t="inlineStr">
        <is>
          <t>SO202510123</t>
        </is>
      </c>
      <c r="C83" s="4" t="inlineStr">
        <is>
          <t>宁波食佳商贸有限公司</t>
        </is>
      </c>
      <c r="D83" s="4" t="inlineStr">
        <is>
          <t>工装夹具</t>
        </is>
      </c>
      <c r="E83" s="4" t="inlineStr">
        <is>
          <t>A级</t>
        </is>
      </c>
      <c r="F83" s="18" t="n">
        <v>490</v>
      </c>
      <c r="G83" s="15" t="n">
        <v>80.41</v>
      </c>
      <c r="H83" s="15" t="n">
        <v>39400.9</v>
      </c>
      <c r="I83" s="4" t="inlineStr">
        <is>
          <t>浙江区域</t>
        </is>
      </c>
      <c r="J83" s="4" t="inlineStr">
        <is>
          <t>朱敏英</t>
        </is>
      </c>
    </row>
    <row r="84">
      <c r="A84" s="14" t="n">
        <v>45833</v>
      </c>
      <c r="B84" s="4" t="inlineStr">
        <is>
          <t>SO202510135</t>
        </is>
      </c>
      <c r="C84" s="4" t="inlineStr">
        <is>
          <t>合肥食佳食品有限公司</t>
        </is>
      </c>
      <c r="D84" s="4" t="inlineStr">
        <is>
          <t>工装夹具</t>
        </is>
      </c>
      <c r="E84" s="4" t="inlineStr">
        <is>
          <t>2.5kg</t>
        </is>
      </c>
      <c r="F84" s="18" t="n">
        <v>540</v>
      </c>
      <c r="G84" s="15" t="n">
        <v>17.69</v>
      </c>
      <c r="H84" s="15" t="n">
        <v>9552.6</v>
      </c>
      <c r="I84" s="4" t="inlineStr">
        <is>
          <t>华中区域</t>
        </is>
      </c>
      <c r="J84" s="4" t="inlineStr">
        <is>
          <t>高勇英</t>
        </is>
      </c>
    </row>
    <row r="85">
      <c r="A85" s="14" t="n">
        <v>45841</v>
      </c>
      <c r="B85" s="4" t="inlineStr">
        <is>
          <t>SO202510055</t>
        </is>
      </c>
      <c r="C85" s="4" t="inlineStr">
        <is>
          <t>常州食佳超市</t>
        </is>
      </c>
      <c r="D85" s="4" t="inlineStr">
        <is>
          <t>液压件</t>
        </is>
      </c>
      <c r="E85" s="4" t="inlineStr">
        <is>
          <t>C级</t>
        </is>
      </c>
      <c r="F85" s="18" t="n">
        <v>720</v>
      </c>
      <c r="G85" s="15" t="n">
        <v>77.89</v>
      </c>
      <c r="H85" s="15" t="n">
        <v>56080.8</v>
      </c>
      <c r="I85" s="4" t="inlineStr">
        <is>
          <t>江苏区域</t>
        </is>
      </c>
      <c r="J85" s="4" t="inlineStr">
        <is>
          <t>吴磊娜</t>
        </is>
      </c>
    </row>
    <row r="86">
      <c r="A86" s="14" t="n">
        <v>45841</v>
      </c>
      <c r="B86" s="4" t="inlineStr">
        <is>
          <t>SO202510176</t>
        </is>
      </c>
      <c r="C86" s="4" t="inlineStr">
        <is>
          <t>温州百味供应链有限公司</t>
        </is>
      </c>
      <c r="D86" s="4" t="inlineStr">
        <is>
          <t>精密轴承</t>
        </is>
      </c>
      <c r="E86" s="4" t="inlineStr">
        <is>
          <t>C级</t>
        </is>
      </c>
      <c r="F86" s="18" t="n">
        <v>4640</v>
      </c>
      <c r="G86" s="15" t="n">
        <v>99.91</v>
      </c>
      <c r="H86" s="15" t="n">
        <v>463582.4</v>
      </c>
      <c r="I86" s="4" t="inlineStr">
        <is>
          <t>华中区域</t>
        </is>
      </c>
      <c r="J86" s="4" t="inlineStr">
        <is>
          <t>陈超娜</t>
        </is>
      </c>
    </row>
    <row r="87">
      <c r="A87" s="14" t="n">
        <v>45842</v>
      </c>
      <c r="B87" s="4" t="inlineStr">
        <is>
          <t>SO202510149</t>
        </is>
      </c>
      <c r="C87" s="4" t="inlineStr">
        <is>
          <t>上海京功酒店管理集团</t>
        </is>
      </c>
      <c r="D87" s="4" t="inlineStr">
        <is>
          <t>工装夹具</t>
        </is>
      </c>
      <c r="E87" s="4" t="inlineStr">
        <is>
          <t>1kg</t>
        </is>
      </c>
      <c r="F87" s="18" t="n">
        <v>3270</v>
      </c>
      <c r="G87" s="15" t="n">
        <v>138.14</v>
      </c>
      <c r="H87" s="15" t="n">
        <v>451717.8</v>
      </c>
      <c r="I87" s="4" t="inlineStr">
        <is>
          <t>浙江区域</t>
        </is>
      </c>
      <c r="J87" s="4" t="inlineStr">
        <is>
          <t>张涛英</t>
        </is>
      </c>
    </row>
    <row r="88">
      <c r="A88" s="14" t="n">
        <v>45844</v>
      </c>
      <c r="B88" s="4" t="inlineStr">
        <is>
          <t>SO202510117</t>
        </is>
      </c>
      <c r="C88" s="4" t="inlineStr">
        <is>
          <t>杭州京功餐饮管理有限公司</t>
        </is>
      </c>
      <c r="D88" s="4" t="inlineStr">
        <is>
          <t>精密轴承</t>
        </is>
      </c>
      <c r="E88" s="4" t="inlineStr">
        <is>
          <t>特级</t>
        </is>
      </c>
      <c r="F88" s="18" t="n">
        <v>3540</v>
      </c>
      <c r="G88" s="15" t="n">
        <v>11.43</v>
      </c>
      <c r="H88" s="15" t="n">
        <v>40462.2</v>
      </c>
      <c r="I88" s="4" t="inlineStr">
        <is>
          <t>广东区域</t>
        </is>
      </c>
      <c r="J88" s="4" t="inlineStr">
        <is>
          <t>胡英芳</t>
        </is>
      </c>
    </row>
    <row r="89">
      <c r="A89" s="14" t="n">
        <v>45845</v>
      </c>
      <c r="B89" s="4" t="inlineStr">
        <is>
          <t>SO202510047</t>
        </is>
      </c>
      <c r="C89" s="4" t="inlineStr">
        <is>
          <t>宁波食佳商贸有限公司</t>
        </is>
      </c>
      <c r="D89" s="4" t="inlineStr">
        <is>
          <t>数控机床</t>
        </is>
      </c>
      <c r="E89" s="4" t="inlineStr">
        <is>
          <t>A级</t>
        </is>
      </c>
      <c r="F89" s="18" t="n">
        <v>1040</v>
      </c>
      <c r="G89" s="15" t="n">
        <v>128.54</v>
      </c>
      <c r="H89" s="15" t="n">
        <v>133681.6</v>
      </c>
      <c r="I89" s="4" t="inlineStr">
        <is>
          <t>江苏区域</t>
        </is>
      </c>
      <c r="J89" s="4" t="inlineStr">
        <is>
          <t>黄芳伟</t>
        </is>
      </c>
    </row>
    <row r="90">
      <c r="A90" s="14" t="n">
        <v>45847</v>
      </c>
      <c r="B90" s="4" t="inlineStr">
        <is>
          <t>SO202510122</t>
        </is>
      </c>
      <c r="C90" s="4" t="inlineStr">
        <is>
          <t>嘉兴优鲜供应链有限公司</t>
        </is>
      </c>
      <c r="D90" s="4" t="inlineStr">
        <is>
          <t>模具</t>
        </is>
      </c>
      <c r="E90" s="4" t="inlineStr">
        <is>
          <t>A级</t>
        </is>
      </c>
      <c r="F90" s="18" t="n">
        <v>2380</v>
      </c>
      <c r="G90" s="15" t="n">
        <v>4.67</v>
      </c>
      <c r="H90" s="15" t="n">
        <v>11114.6</v>
      </c>
      <c r="I90" s="4" t="inlineStr">
        <is>
          <t>江苏区域</t>
        </is>
      </c>
      <c r="J90" s="4" t="inlineStr">
        <is>
          <t>吴洋英</t>
        </is>
      </c>
    </row>
    <row r="91">
      <c r="A91" s="14" t="n">
        <v>45848</v>
      </c>
      <c r="B91" s="4" t="inlineStr">
        <is>
          <t>SO202510040</t>
        </is>
      </c>
      <c r="C91" s="4" t="inlineStr">
        <is>
          <t>嘉兴优鲜供应链有限公司</t>
        </is>
      </c>
      <c r="D91" s="4" t="inlineStr">
        <is>
          <t>液压件</t>
        </is>
      </c>
      <c r="E91" s="4" t="inlineStr">
        <is>
          <t>特级</t>
        </is>
      </c>
      <c r="F91" s="18" t="n">
        <v>2210</v>
      </c>
      <c r="G91" s="15" t="n">
        <v>11.09</v>
      </c>
      <c r="H91" s="15" t="n">
        <v>24508.9</v>
      </c>
      <c r="I91" s="4" t="inlineStr">
        <is>
          <t>江苏区域</t>
        </is>
      </c>
      <c r="J91" s="4" t="inlineStr">
        <is>
          <t>马静娜</t>
        </is>
      </c>
    </row>
    <row r="92">
      <c r="A92" s="14" t="n">
        <v>45848</v>
      </c>
      <c r="B92" s="4" t="inlineStr">
        <is>
          <t>SO202510085</t>
        </is>
      </c>
      <c r="C92" s="4" t="inlineStr">
        <is>
          <t>温州食佳酒店管理集团</t>
        </is>
      </c>
      <c r="D92" s="4" t="inlineStr">
        <is>
          <t>气动元件</t>
        </is>
      </c>
      <c r="E92" s="4" t="inlineStr">
        <is>
          <t>标准</t>
        </is>
      </c>
      <c r="F92" s="18" t="n">
        <v>1070</v>
      </c>
      <c r="G92" s="15" t="n">
        <v>131.86</v>
      </c>
      <c r="H92" s="15" t="n">
        <v>141090.2</v>
      </c>
      <c r="I92" s="4" t="inlineStr">
        <is>
          <t>广东区域</t>
        </is>
      </c>
      <c r="J92" s="4" t="inlineStr">
        <is>
          <t>胡伟伟</t>
        </is>
      </c>
    </row>
    <row r="93">
      <c r="A93" s="14" t="n">
        <v>45849</v>
      </c>
      <c r="B93" s="4" t="inlineStr">
        <is>
          <t>SO202510042</t>
        </is>
      </c>
      <c r="C93" s="4" t="inlineStr">
        <is>
          <t>镇江百味餐饮管理有限公司</t>
        </is>
      </c>
      <c r="D93" s="4" t="inlineStr">
        <is>
          <t>精密轴承</t>
        </is>
      </c>
      <c r="E93" s="4" t="inlineStr">
        <is>
          <t>特级</t>
        </is>
      </c>
      <c r="F93" s="18" t="n">
        <v>1230</v>
      </c>
      <c r="G93" s="15" t="n">
        <v>124.2</v>
      </c>
      <c r="H93" s="15" t="n">
        <v>152766</v>
      </c>
      <c r="I93" s="4" t="inlineStr">
        <is>
          <t>江苏区域</t>
        </is>
      </c>
      <c r="J93" s="4" t="inlineStr">
        <is>
          <t>黄伟敏</t>
        </is>
      </c>
    </row>
    <row r="94">
      <c r="A94" s="14" t="n">
        <v>45850</v>
      </c>
      <c r="B94" s="4" t="inlineStr">
        <is>
          <t>SO202510001</t>
        </is>
      </c>
      <c r="C94" s="4" t="inlineStr">
        <is>
          <t>合肥淼沃电商平台</t>
        </is>
      </c>
      <c r="D94" s="4" t="inlineStr">
        <is>
          <t>气动元件</t>
        </is>
      </c>
      <c r="E94" s="4" t="inlineStr">
        <is>
          <t>5kg</t>
        </is>
      </c>
      <c r="F94" s="18" t="n">
        <v>570</v>
      </c>
      <c r="G94" s="15" t="n">
        <v>56.66</v>
      </c>
      <c r="H94" s="15" t="n">
        <v>32296.2</v>
      </c>
      <c r="I94" s="4" t="inlineStr">
        <is>
          <t>江苏区域</t>
        </is>
      </c>
      <c r="J94" s="4" t="inlineStr">
        <is>
          <t>吴丽英</t>
        </is>
      </c>
    </row>
    <row r="95">
      <c r="A95" s="14" t="n">
        <v>45851</v>
      </c>
      <c r="B95" s="4" t="inlineStr">
        <is>
          <t>SO202510039</t>
        </is>
      </c>
      <c r="C95" s="4" t="inlineStr">
        <is>
          <t>南昌京功超市</t>
        </is>
      </c>
      <c r="D95" s="4" t="inlineStr">
        <is>
          <t>模具</t>
        </is>
      </c>
      <c r="E95" s="4" t="inlineStr">
        <is>
          <t>B级</t>
        </is>
      </c>
      <c r="F95" s="18" t="n">
        <v>2640</v>
      </c>
      <c r="G95" s="15" t="n">
        <v>116.82</v>
      </c>
      <c r="H95" s="15" t="n">
        <v>308404.8</v>
      </c>
      <c r="I95" s="4" t="inlineStr">
        <is>
          <t>江苏区域</t>
        </is>
      </c>
      <c r="J95" s="4" t="inlineStr">
        <is>
          <t>何洋秀</t>
        </is>
      </c>
    </row>
    <row r="96">
      <c r="A96" s="14" t="n">
        <v>45854</v>
      </c>
      <c r="B96" s="4" t="inlineStr">
        <is>
          <t>SO202510043</t>
        </is>
      </c>
      <c r="C96" s="4" t="inlineStr">
        <is>
          <t>常州大匠电商平台</t>
        </is>
      </c>
      <c r="D96" s="4" t="inlineStr">
        <is>
          <t>工装夹具</t>
        </is>
      </c>
      <c r="E96" s="4" t="inlineStr">
        <is>
          <t>标准</t>
        </is>
      </c>
      <c r="F96" s="18" t="n">
        <v>2860</v>
      </c>
      <c r="G96" s="15" t="n">
        <v>79.04000000000001</v>
      </c>
      <c r="H96" s="15" t="n">
        <v>226054.4</v>
      </c>
      <c r="I96" s="4" t="inlineStr">
        <is>
          <t>华中区域</t>
        </is>
      </c>
      <c r="J96" s="4" t="inlineStr">
        <is>
          <t>朱秀娜</t>
        </is>
      </c>
    </row>
    <row r="97">
      <c r="A97" s="14" t="n">
        <v>45855</v>
      </c>
      <c r="B97" s="4" t="inlineStr">
        <is>
          <t>SO202510033</t>
        </is>
      </c>
      <c r="C97" s="4" t="inlineStr">
        <is>
          <t>上海食佳食品有限公司</t>
        </is>
      </c>
      <c r="D97" s="4" t="inlineStr">
        <is>
          <t>气动元件</t>
        </is>
      </c>
      <c r="E97" s="4" t="inlineStr">
        <is>
          <t>A级</t>
        </is>
      </c>
      <c r="F97" s="18" t="n">
        <v>3630</v>
      </c>
      <c r="G97" s="15" t="n">
        <v>87.56</v>
      </c>
      <c r="H97" s="15" t="n">
        <v>317842.8</v>
      </c>
      <c r="I97" s="4" t="inlineStr">
        <is>
          <t>广东区域</t>
        </is>
      </c>
      <c r="J97" s="4" t="inlineStr">
        <is>
          <t>孙杰英</t>
        </is>
      </c>
    </row>
    <row r="98">
      <c r="A98" s="14" t="n">
        <v>45856</v>
      </c>
      <c r="B98" s="4" t="inlineStr">
        <is>
          <t>SO202510159</t>
        </is>
      </c>
      <c r="C98" s="4" t="inlineStr">
        <is>
          <t>南京优鲜超市</t>
        </is>
      </c>
      <c r="D98" s="4" t="inlineStr">
        <is>
          <t>工装夹具</t>
        </is>
      </c>
      <c r="E98" s="4" t="inlineStr">
        <is>
          <t>2.5kg</t>
        </is>
      </c>
      <c r="F98" s="18" t="n">
        <v>1810</v>
      </c>
      <c r="G98" s="15" t="n">
        <v>42.74</v>
      </c>
      <c r="H98" s="15" t="n">
        <v>77359.39999999999</v>
      </c>
      <c r="I98" s="4" t="inlineStr">
        <is>
          <t>广东区域</t>
        </is>
      </c>
      <c r="J98" s="4" t="inlineStr">
        <is>
          <t>孙洋娜</t>
        </is>
      </c>
    </row>
    <row r="99">
      <c r="A99" s="14" t="n">
        <v>45857</v>
      </c>
      <c r="B99" s="4" t="inlineStr">
        <is>
          <t>SO202510150</t>
        </is>
      </c>
      <c r="C99" s="4" t="inlineStr">
        <is>
          <t>镇江食佳酒店管理集团</t>
        </is>
      </c>
      <c r="D99" s="4" t="inlineStr">
        <is>
          <t>精密轴承</t>
        </is>
      </c>
      <c r="E99" s="4" t="inlineStr">
        <is>
          <t>特级</t>
        </is>
      </c>
      <c r="F99" s="18" t="n">
        <v>770</v>
      </c>
      <c r="G99" s="15" t="n">
        <v>33.76</v>
      </c>
      <c r="H99" s="15" t="n">
        <v>25995.2</v>
      </c>
      <c r="I99" s="4" t="inlineStr">
        <is>
          <t>浙江区域</t>
        </is>
      </c>
      <c r="J99" s="4" t="inlineStr">
        <is>
          <t>徐磊伟</t>
        </is>
      </c>
    </row>
    <row r="100">
      <c r="A100" s="14" t="n">
        <v>45857</v>
      </c>
      <c r="B100" s="4" t="inlineStr">
        <is>
          <t>SO202510151</t>
        </is>
      </c>
      <c r="C100" s="4" t="inlineStr">
        <is>
          <t>温州淼沃超市</t>
        </is>
      </c>
      <c r="D100" s="4" t="inlineStr">
        <is>
          <t>模具</t>
        </is>
      </c>
      <c r="E100" s="4" t="inlineStr">
        <is>
          <t>B级</t>
        </is>
      </c>
      <c r="F100" s="18" t="n">
        <v>3100</v>
      </c>
      <c r="G100" s="15" t="n">
        <v>57.05</v>
      </c>
      <c r="H100" s="15" t="n">
        <v>176855</v>
      </c>
      <c r="I100" s="4" t="inlineStr">
        <is>
          <t>浙江区域</t>
        </is>
      </c>
      <c r="J100" s="4" t="inlineStr">
        <is>
          <t>王敏芳</t>
        </is>
      </c>
    </row>
    <row r="101">
      <c r="A101" s="14" t="n">
        <v>45859</v>
      </c>
      <c r="B101" s="4" t="inlineStr">
        <is>
          <t>SO202510164</t>
        </is>
      </c>
      <c r="C101" s="4" t="inlineStr">
        <is>
          <t>苏州淼沃超市</t>
        </is>
      </c>
      <c r="D101" s="4" t="inlineStr">
        <is>
          <t>气动元件</t>
        </is>
      </c>
      <c r="E101" s="4" t="inlineStr">
        <is>
          <t>A级</t>
        </is>
      </c>
      <c r="F101" s="18" t="n">
        <v>130</v>
      </c>
      <c r="G101" s="15" t="n">
        <v>147.16</v>
      </c>
      <c r="H101" s="15" t="n">
        <v>19130.8</v>
      </c>
      <c r="I101" s="4" t="inlineStr">
        <is>
          <t>浙江区域</t>
        </is>
      </c>
      <c r="J101" s="4" t="inlineStr">
        <is>
          <t>赵敏伟</t>
        </is>
      </c>
    </row>
    <row r="102">
      <c r="A102" s="14" t="n">
        <v>45860</v>
      </c>
      <c r="B102" s="4" t="inlineStr">
        <is>
          <t>SO202510058</t>
        </is>
      </c>
      <c r="C102" s="4" t="inlineStr">
        <is>
          <t>苏州京功超市</t>
        </is>
      </c>
      <c r="D102" s="4" t="inlineStr">
        <is>
          <t>气动元件</t>
        </is>
      </c>
      <c r="E102" s="4" t="inlineStr">
        <is>
          <t>2.5kg</t>
        </is>
      </c>
      <c r="F102" s="18" t="n">
        <v>3240</v>
      </c>
      <c r="G102" s="15" t="n">
        <v>95.59999999999999</v>
      </c>
      <c r="H102" s="15" t="n">
        <v>309744</v>
      </c>
      <c r="I102" s="4" t="inlineStr">
        <is>
          <t>华中区域</t>
        </is>
      </c>
      <c r="J102" s="4" t="inlineStr">
        <is>
          <t>罗丽敏</t>
        </is>
      </c>
    </row>
    <row r="103">
      <c r="A103" s="14" t="n">
        <v>45861</v>
      </c>
      <c r="B103" s="4" t="inlineStr">
        <is>
          <t>SO202510004</t>
        </is>
      </c>
      <c r="C103" s="4" t="inlineStr">
        <is>
          <t>合肥优鲜商贸有限公司</t>
        </is>
      </c>
      <c r="D103" s="4" t="inlineStr">
        <is>
          <t>液压件</t>
        </is>
      </c>
      <c r="E103" s="4" t="inlineStr">
        <is>
          <t>10kg</t>
        </is>
      </c>
      <c r="F103" s="18" t="n">
        <v>2480</v>
      </c>
      <c r="G103" s="15" t="n">
        <v>39.58</v>
      </c>
      <c r="H103" s="15" t="n">
        <v>98158.39999999999</v>
      </c>
      <c r="I103" s="4" t="inlineStr">
        <is>
          <t>浙江区域</t>
        </is>
      </c>
      <c r="J103" s="4" t="inlineStr">
        <is>
          <t>刘艳秀</t>
        </is>
      </c>
    </row>
    <row r="104">
      <c r="A104" s="14" t="n">
        <v>45861</v>
      </c>
      <c r="B104" s="4" t="inlineStr">
        <is>
          <t>SO202510120</t>
        </is>
      </c>
      <c r="C104" s="4" t="inlineStr">
        <is>
          <t>合肥百味供应链有限公司</t>
        </is>
      </c>
      <c r="D104" s="4" t="inlineStr">
        <is>
          <t>气动元件</t>
        </is>
      </c>
      <c r="E104" s="4" t="inlineStr">
        <is>
          <t>5kg</t>
        </is>
      </c>
      <c r="F104" s="18" t="n">
        <v>1140</v>
      </c>
      <c r="G104" s="15" t="n">
        <v>23.34</v>
      </c>
      <c r="H104" s="15" t="n">
        <v>26607.6</v>
      </c>
      <c r="I104" s="4" t="inlineStr">
        <is>
          <t>广东区域</t>
        </is>
      </c>
      <c r="J104" s="4" t="inlineStr">
        <is>
          <t>何涛敏</t>
        </is>
      </c>
    </row>
    <row r="105">
      <c r="A105" s="14" t="n">
        <v>45862</v>
      </c>
      <c r="B105" s="4" t="inlineStr">
        <is>
          <t>SO202510031</t>
        </is>
      </c>
      <c r="C105" s="4" t="inlineStr">
        <is>
          <t>杭州大匠供应链有限公司</t>
        </is>
      </c>
      <c r="D105" s="4" t="inlineStr">
        <is>
          <t>数控机床</t>
        </is>
      </c>
      <c r="E105" s="4" t="inlineStr">
        <is>
          <t>1kg</t>
        </is>
      </c>
      <c r="F105" s="18" t="n">
        <v>4350</v>
      </c>
      <c r="G105" s="15" t="n">
        <v>11.81</v>
      </c>
      <c r="H105" s="15" t="n">
        <v>51373.5</v>
      </c>
      <c r="I105" s="4" t="inlineStr">
        <is>
          <t>江苏区域</t>
        </is>
      </c>
      <c r="J105" s="4" t="inlineStr">
        <is>
          <t>林明英</t>
        </is>
      </c>
    </row>
    <row r="106">
      <c r="A106" s="14" t="n">
        <v>45862</v>
      </c>
      <c r="B106" s="4" t="inlineStr">
        <is>
          <t>SO202510105</t>
        </is>
      </c>
      <c r="C106" s="4" t="inlineStr">
        <is>
          <t>上海优鲜供应链有限公司</t>
        </is>
      </c>
      <c r="D106" s="4" t="inlineStr">
        <is>
          <t>数控机床</t>
        </is>
      </c>
      <c r="E106" s="4" t="inlineStr">
        <is>
          <t>C级</t>
        </is>
      </c>
      <c r="F106" s="18" t="n">
        <v>1110</v>
      </c>
      <c r="G106" s="15" t="n">
        <v>26.74</v>
      </c>
      <c r="H106" s="15" t="n">
        <v>29681.4</v>
      </c>
      <c r="I106" s="4" t="inlineStr">
        <is>
          <t>广东区域</t>
        </is>
      </c>
      <c r="J106" s="4" t="inlineStr">
        <is>
          <t>李超伟</t>
        </is>
      </c>
    </row>
    <row r="107">
      <c r="A107" s="14" t="n">
        <v>45864</v>
      </c>
      <c r="B107" s="4" t="inlineStr">
        <is>
          <t>SO202510154</t>
        </is>
      </c>
      <c r="C107" s="4" t="inlineStr">
        <is>
          <t>常州淼沃商贸有限公司</t>
        </is>
      </c>
      <c r="D107" s="4" t="inlineStr">
        <is>
          <t>模具</t>
        </is>
      </c>
      <c r="E107" s="4" t="inlineStr">
        <is>
          <t>精装</t>
        </is>
      </c>
      <c r="F107" s="18" t="n">
        <v>1690</v>
      </c>
      <c r="G107" s="15" t="n">
        <v>142.25</v>
      </c>
      <c r="H107" s="15" t="n">
        <v>240402.5</v>
      </c>
      <c r="I107" s="4" t="inlineStr">
        <is>
          <t>华中区域</t>
        </is>
      </c>
      <c r="J107" s="4" t="inlineStr">
        <is>
          <t>孙洋娜</t>
        </is>
      </c>
    </row>
    <row r="108">
      <c r="A108" s="14" t="n">
        <v>45866</v>
      </c>
      <c r="B108" s="4" t="inlineStr">
        <is>
          <t>SO202510097</t>
        </is>
      </c>
      <c r="C108" s="4" t="inlineStr">
        <is>
          <t>杭州大匠商贸有限公司</t>
        </is>
      </c>
      <c r="D108" s="4" t="inlineStr">
        <is>
          <t>气动元件</t>
        </is>
      </c>
      <c r="E108" s="4" t="inlineStr">
        <is>
          <t>2.5kg</t>
        </is>
      </c>
      <c r="F108" s="18" t="n">
        <v>2230</v>
      </c>
      <c r="G108" s="15" t="n">
        <v>46.73</v>
      </c>
      <c r="H108" s="15" t="n">
        <v>104207.9</v>
      </c>
      <c r="I108" s="4" t="inlineStr">
        <is>
          <t>浙江区域</t>
        </is>
      </c>
      <c r="J108" s="4" t="inlineStr">
        <is>
          <t>高娜敏</t>
        </is>
      </c>
    </row>
    <row r="109">
      <c r="A109" s="14" t="n">
        <v>45872</v>
      </c>
      <c r="B109" s="4" t="inlineStr">
        <is>
          <t>SO202510168</t>
        </is>
      </c>
      <c r="C109" s="4" t="inlineStr">
        <is>
          <t>南京京功电商平台</t>
        </is>
      </c>
      <c r="D109" s="4" t="inlineStr">
        <is>
          <t>精密轴承</t>
        </is>
      </c>
      <c r="E109" s="4" t="inlineStr">
        <is>
          <t>1kg</t>
        </is>
      </c>
      <c r="F109" s="18" t="n">
        <v>890</v>
      </c>
      <c r="G109" s="15" t="n">
        <v>147.46</v>
      </c>
      <c r="H109" s="15" t="n">
        <v>131239.4</v>
      </c>
      <c r="I109" s="4" t="inlineStr">
        <is>
          <t>浙江区域</t>
        </is>
      </c>
      <c r="J109" s="4" t="inlineStr">
        <is>
          <t>何英芳</t>
        </is>
      </c>
    </row>
    <row r="110">
      <c r="A110" s="14" t="n">
        <v>45874</v>
      </c>
      <c r="B110" s="4" t="inlineStr">
        <is>
          <t>SO202510036</t>
        </is>
      </c>
      <c r="C110" s="4" t="inlineStr">
        <is>
          <t>上海优鲜餐饮管理有限公司</t>
        </is>
      </c>
      <c r="D110" s="4" t="inlineStr">
        <is>
          <t>工装夹具</t>
        </is>
      </c>
      <c r="E110" s="4" t="inlineStr">
        <is>
          <t>特级</t>
        </is>
      </c>
      <c r="F110" s="18" t="n">
        <v>990</v>
      </c>
      <c r="G110" s="15" t="n">
        <v>75.45999999999999</v>
      </c>
      <c r="H110" s="15" t="n">
        <v>74705.39999999999</v>
      </c>
      <c r="I110" s="4" t="inlineStr">
        <is>
          <t>江苏区域</t>
        </is>
      </c>
      <c r="J110" s="4" t="inlineStr">
        <is>
          <t>张娟英</t>
        </is>
      </c>
    </row>
    <row r="111">
      <c r="A111" s="14" t="n">
        <v>45874</v>
      </c>
      <c r="B111" s="4" t="inlineStr">
        <is>
          <t>SO202510092</t>
        </is>
      </c>
      <c r="C111" s="4" t="inlineStr">
        <is>
          <t>苏州优鲜食品有限公司</t>
        </is>
      </c>
      <c r="D111" s="4" t="inlineStr">
        <is>
          <t>精密轴承</t>
        </is>
      </c>
      <c r="E111" s="4" t="inlineStr">
        <is>
          <t>500g</t>
        </is>
      </c>
      <c r="F111" s="18" t="n">
        <v>3460</v>
      </c>
      <c r="G111" s="15" t="n">
        <v>149.42</v>
      </c>
      <c r="H111" s="15" t="n">
        <v>516993.2</v>
      </c>
      <c r="I111" s="4" t="inlineStr">
        <is>
          <t>华中区域</t>
        </is>
      </c>
      <c r="J111" s="4" t="inlineStr">
        <is>
          <t>周明伟</t>
        </is>
      </c>
    </row>
    <row r="112">
      <c r="A112" s="14" t="n">
        <v>45875</v>
      </c>
      <c r="B112" s="4" t="inlineStr">
        <is>
          <t>SO202510007</t>
        </is>
      </c>
      <c r="C112" s="4" t="inlineStr">
        <is>
          <t>苏州百味超市</t>
        </is>
      </c>
      <c r="D112" s="4" t="inlineStr">
        <is>
          <t>精密轴承</t>
        </is>
      </c>
      <c r="E112" s="4" t="inlineStr">
        <is>
          <t>25kg</t>
        </is>
      </c>
      <c r="F112" s="18" t="n">
        <v>2030</v>
      </c>
      <c r="G112" s="15" t="n">
        <v>52.48</v>
      </c>
      <c r="H112" s="15" t="n">
        <v>106534.4</v>
      </c>
      <c r="I112" s="4" t="inlineStr">
        <is>
          <t>江苏区域</t>
        </is>
      </c>
      <c r="J112" s="4" t="inlineStr">
        <is>
          <t>徐杰英</t>
        </is>
      </c>
    </row>
    <row r="113">
      <c r="A113" s="14" t="n">
        <v>45877</v>
      </c>
      <c r="B113" s="4" t="inlineStr">
        <is>
          <t>SO202510057</t>
        </is>
      </c>
      <c r="C113" s="4" t="inlineStr">
        <is>
          <t>南京京功商贸有限公司</t>
        </is>
      </c>
      <c r="D113" s="4" t="inlineStr">
        <is>
          <t>气动元件</t>
        </is>
      </c>
      <c r="E113" s="4" t="inlineStr">
        <is>
          <t>10kg</t>
        </is>
      </c>
      <c r="F113" s="18" t="n">
        <v>400</v>
      </c>
      <c r="G113" s="15" t="n">
        <v>50.83</v>
      </c>
      <c r="H113" s="15" t="n">
        <v>20332</v>
      </c>
      <c r="I113" s="4" t="inlineStr">
        <is>
          <t>浙江区域</t>
        </is>
      </c>
      <c r="J113" s="4" t="inlineStr">
        <is>
          <t>赵超伟</t>
        </is>
      </c>
    </row>
    <row r="114">
      <c r="A114" s="14" t="n">
        <v>45878</v>
      </c>
      <c r="B114" s="4" t="inlineStr">
        <is>
          <t>SO202510076</t>
        </is>
      </c>
      <c r="C114" s="4" t="inlineStr">
        <is>
          <t>嘉兴优鲜供应链有限公司</t>
        </is>
      </c>
      <c r="D114" s="4" t="inlineStr">
        <is>
          <t>精密轴承</t>
        </is>
      </c>
      <c r="E114" s="4" t="inlineStr">
        <is>
          <t>精装</t>
        </is>
      </c>
      <c r="F114" s="18" t="n">
        <v>1190</v>
      </c>
      <c r="G114" s="15" t="n">
        <v>40.39</v>
      </c>
      <c r="H114" s="15" t="n">
        <v>48064.1</v>
      </c>
      <c r="I114" s="4" t="inlineStr">
        <is>
          <t>广东区域</t>
        </is>
      </c>
      <c r="J114" s="4" t="inlineStr">
        <is>
          <t>高杰敏</t>
        </is>
      </c>
    </row>
    <row r="115">
      <c r="A115" s="14" t="n">
        <v>45880</v>
      </c>
      <c r="B115" s="4" t="inlineStr">
        <is>
          <t>SO202510119</t>
        </is>
      </c>
      <c r="C115" s="4" t="inlineStr">
        <is>
          <t>合肥食佳电商平台</t>
        </is>
      </c>
      <c r="D115" s="4" t="inlineStr">
        <is>
          <t>精密轴承</t>
        </is>
      </c>
      <c r="E115" s="4" t="inlineStr">
        <is>
          <t>2.5kg</t>
        </is>
      </c>
      <c r="F115" s="18" t="n">
        <v>2950</v>
      </c>
      <c r="G115" s="15" t="n">
        <v>21.9</v>
      </c>
      <c r="H115" s="15" t="n">
        <v>64605</v>
      </c>
      <c r="I115" s="4" t="inlineStr">
        <is>
          <t>江苏区域</t>
        </is>
      </c>
      <c r="J115" s="4" t="inlineStr">
        <is>
          <t>陈超伟</t>
        </is>
      </c>
    </row>
    <row r="116">
      <c r="A116" s="14" t="n">
        <v>45886</v>
      </c>
      <c r="B116" s="4" t="inlineStr">
        <is>
          <t>SO202510147</t>
        </is>
      </c>
      <c r="C116" s="4" t="inlineStr">
        <is>
          <t>上海淼沃餐饮管理有限公司</t>
        </is>
      </c>
      <c r="D116" s="4" t="inlineStr">
        <is>
          <t>精密轴承</t>
        </is>
      </c>
      <c r="E116" s="4" t="inlineStr">
        <is>
          <t>500g</t>
        </is>
      </c>
      <c r="F116" s="18" t="n">
        <v>4730</v>
      </c>
      <c r="G116" s="15" t="n">
        <v>108.82</v>
      </c>
      <c r="H116" s="15" t="n">
        <v>514718.6</v>
      </c>
      <c r="I116" s="4" t="inlineStr">
        <is>
          <t>广东区域</t>
        </is>
      </c>
      <c r="J116" s="4" t="inlineStr">
        <is>
          <t>何娜秀</t>
        </is>
      </c>
    </row>
    <row r="117">
      <c r="A117" s="14" t="n">
        <v>45888</v>
      </c>
      <c r="B117" s="4" t="inlineStr">
        <is>
          <t>SO202510134</t>
        </is>
      </c>
      <c r="C117" s="4" t="inlineStr">
        <is>
          <t>宁波优鲜电商平台</t>
        </is>
      </c>
      <c r="D117" s="4" t="inlineStr">
        <is>
          <t>模具</t>
        </is>
      </c>
      <c r="E117" s="4" t="inlineStr">
        <is>
          <t>500g</t>
        </is>
      </c>
      <c r="F117" s="18" t="n">
        <v>1150</v>
      </c>
      <c r="G117" s="15" t="n">
        <v>6.86</v>
      </c>
      <c r="H117" s="15" t="n">
        <v>7889</v>
      </c>
      <c r="I117" s="4" t="inlineStr">
        <is>
          <t>广东区域</t>
        </is>
      </c>
      <c r="J117" s="4" t="inlineStr">
        <is>
          <t>胡杰芳</t>
        </is>
      </c>
    </row>
    <row r="118">
      <c r="A118" s="14" t="n">
        <v>45893</v>
      </c>
      <c r="B118" s="4" t="inlineStr">
        <is>
          <t>SO202510066</t>
        </is>
      </c>
      <c r="C118" s="4" t="inlineStr">
        <is>
          <t>南昌优鲜超市</t>
        </is>
      </c>
      <c r="D118" s="4" t="inlineStr">
        <is>
          <t>液压件</t>
        </is>
      </c>
      <c r="E118" s="4" t="inlineStr">
        <is>
          <t>1kg</t>
        </is>
      </c>
      <c r="F118" s="18" t="n">
        <v>140</v>
      </c>
      <c r="G118" s="15" t="n">
        <v>38.71</v>
      </c>
      <c r="H118" s="15" t="n">
        <v>5419.4</v>
      </c>
      <c r="I118" s="4" t="inlineStr">
        <is>
          <t>华中区域</t>
        </is>
      </c>
      <c r="J118" s="4" t="inlineStr">
        <is>
          <t>罗秀英</t>
        </is>
      </c>
    </row>
    <row r="119">
      <c r="A119" s="14" t="n">
        <v>45893</v>
      </c>
      <c r="B119" s="4" t="inlineStr">
        <is>
          <t>SO202510170</t>
        </is>
      </c>
      <c r="C119" s="4" t="inlineStr">
        <is>
          <t>无锡大匠供应链有限公司</t>
        </is>
      </c>
      <c r="D119" s="4" t="inlineStr">
        <is>
          <t>模具</t>
        </is>
      </c>
      <c r="E119" s="4" t="inlineStr">
        <is>
          <t>C级</t>
        </is>
      </c>
      <c r="F119" s="18" t="n">
        <v>2750</v>
      </c>
      <c r="G119" s="15" t="n">
        <v>142.71</v>
      </c>
      <c r="H119" s="15" t="n">
        <v>392452.5</v>
      </c>
      <c r="I119" s="4" t="inlineStr">
        <is>
          <t>浙江区域</t>
        </is>
      </c>
      <c r="J119" s="4" t="inlineStr">
        <is>
          <t>王艳芳</t>
        </is>
      </c>
    </row>
    <row r="120">
      <c r="A120" s="14" t="n">
        <v>45895</v>
      </c>
      <c r="B120" s="4" t="inlineStr">
        <is>
          <t>SO202510009</t>
        </is>
      </c>
      <c r="C120" s="4" t="inlineStr">
        <is>
          <t>温州大匠酒店管理集团</t>
        </is>
      </c>
      <c r="D120" s="4" t="inlineStr">
        <is>
          <t>液压件</t>
        </is>
      </c>
      <c r="E120" s="4" t="inlineStr">
        <is>
          <t>5kg</t>
        </is>
      </c>
      <c r="F120" s="18" t="n">
        <v>840</v>
      </c>
      <c r="G120" s="15" t="n">
        <v>28.63</v>
      </c>
      <c r="H120" s="15" t="n">
        <v>24049.2</v>
      </c>
      <c r="I120" s="4" t="inlineStr">
        <is>
          <t>华中区域</t>
        </is>
      </c>
      <c r="J120" s="4" t="inlineStr">
        <is>
          <t>徐兰秀</t>
        </is>
      </c>
    </row>
    <row r="121">
      <c r="A121" s="14" t="n">
        <v>45897</v>
      </c>
      <c r="B121" s="4" t="inlineStr">
        <is>
          <t>SO202510107</t>
        </is>
      </c>
      <c r="C121" s="4" t="inlineStr">
        <is>
          <t>苏州淼沃供应链有限公司</t>
        </is>
      </c>
      <c r="D121" s="4" t="inlineStr">
        <is>
          <t>模具</t>
        </is>
      </c>
      <c r="E121" s="4" t="inlineStr">
        <is>
          <t>500g</t>
        </is>
      </c>
      <c r="F121" s="18" t="n">
        <v>1620</v>
      </c>
      <c r="G121" s="15" t="n">
        <v>123.13</v>
      </c>
      <c r="H121" s="15" t="n">
        <v>199470.6</v>
      </c>
      <c r="I121" s="4" t="inlineStr">
        <is>
          <t>广东区域</t>
        </is>
      </c>
      <c r="J121" s="4" t="inlineStr">
        <is>
          <t>陈强敏</t>
        </is>
      </c>
    </row>
    <row r="122">
      <c r="A122" s="14" t="n">
        <v>45902</v>
      </c>
      <c r="B122" s="4" t="inlineStr">
        <is>
          <t>SO202510035</t>
        </is>
      </c>
      <c r="C122" s="4" t="inlineStr">
        <is>
          <t>镇江大匠餐饮管理有限公司</t>
        </is>
      </c>
      <c r="D122" s="4" t="inlineStr">
        <is>
          <t>数控机床</t>
        </is>
      </c>
      <c r="E122" s="4" t="inlineStr">
        <is>
          <t>5kg</t>
        </is>
      </c>
      <c r="F122" s="18" t="n">
        <v>2460</v>
      </c>
      <c r="G122" s="15" t="n">
        <v>152.08</v>
      </c>
      <c r="H122" s="15" t="n">
        <v>374116.8</v>
      </c>
      <c r="I122" s="4" t="inlineStr">
        <is>
          <t>广东区域</t>
        </is>
      </c>
      <c r="J122" s="4" t="inlineStr">
        <is>
          <t>张超伟</t>
        </is>
      </c>
    </row>
    <row r="123">
      <c r="A123" s="14" t="n">
        <v>45902</v>
      </c>
      <c r="B123" s="4" t="inlineStr">
        <is>
          <t>SO202510041</t>
        </is>
      </c>
      <c r="C123" s="4" t="inlineStr">
        <is>
          <t>常州京功商贸有限公司</t>
        </is>
      </c>
      <c r="D123" s="4" t="inlineStr">
        <is>
          <t>工装夹具</t>
        </is>
      </c>
      <c r="E123" s="4" t="inlineStr">
        <is>
          <t>1kg</t>
        </is>
      </c>
      <c r="F123" s="18" t="n">
        <v>3360</v>
      </c>
      <c r="G123" s="15" t="n">
        <v>72.47</v>
      </c>
      <c r="H123" s="15" t="n">
        <v>243499.2</v>
      </c>
      <c r="I123" s="4" t="inlineStr">
        <is>
          <t>广东区域</t>
        </is>
      </c>
      <c r="J123" s="4" t="inlineStr">
        <is>
          <t>王英娜</t>
        </is>
      </c>
    </row>
    <row r="124">
      <c r="A124" s="14" t="n">
        <v>45902</v>
      </c>
      <c r="B124" s="4" t="inlineStr">
        <is>
          <t>SO202510177</t>
        </is>
      </c>
      <c r="C124" s="4" t="inlineStr">
        <is>
          <t>无锡淼沃餐饮管理有限公司</t>
        </is>
      </c>
      <c r="D124" s="4" t="inlineStr">
        <is>
          <t>模具</t>
        </is>
      </c>
      <c r="E124" s="4" t="inlineStr">
        <is>
          <t>B级</t>
        </is>
      </c>
      <c r="F124" s="18" t="n">
        <v>700</v>
      </c>
      <c r="G124" s="15" t="n">
        <v>83.97</v>
      </c>
      <c r="H124" s="15" t="n">
        <v>58779</v>
      </c>
      <c r="I124" s="4" t="inlineStr">
        <is>
          <t>华中区域</t>
        </is>
      </c>
      <c r="J124" s="4" t="inlineStr">
        <is>
          <t>李艳娜</t>
        </is>
      </c>
    </row>
    <row r="125">
      <c r="A125" s="14" t="n">
        <v>45903</v>
      </c>
      <c r="B125" s="4" t="inlineStr">
        <is>
          <t>SO202510072</t>
        </is>
      </c>
      <c r="C125" s="4" t="inlineStr">
        <is>
          <t>杭州京功餐饮管理有限公司</t>
        </is>
      </c>
      <c r="D125" s="4" t="inlineStr">
        <is>
          <t>气动元件</t>
        </is>
      </c>
      <c r="E125" s="4" t="inlineStr">
        <is>
          <t>25kg</t>
        </is>
      </c>
      <c r="F125" s="18" t="n">
        <v>70</v>
      </c>
      <c r="G125" s="15" t="n">
        <v>144.12</v>
      </c>
      <c r="H125" s="15" t="n">
        <v>10088.4</v>
      </c>
      <c r="I125" s="4" t="inlineStr">
        <is>
          <t>华中区域</t>
        </is>
      </c>
      <c r="J125" s="4" t="inlineStr">
        <is>
          <t>张芳秀</t>
        </is>
      </c>
    </row>
    <row r="126">
      <c r="A126" s="14" t="n">
        <v>45908</v>
      </c>
      <c r="B126" s="4" t="inlineStr">
        <is>
          <t>SO202510037</t>
        </is>
      </c>
      <c r="C126" s="4" t="inlineStr">
        <is>
          <t>南昌食佳供应链有限公司</t>
        </is>
      </c>
      <c r="D126" s="4" t="inlineStr">
        <is>
          <t>数控机床</t>
        </is>
      </c>
      <c r="E126" s="4" t="inlineStr">
        <is>
          <t>B级</t>
        </is>
      </c>
      <c r="F126" s="18" t="n">
        <v>3940</v>
      </c>
      <c r="G126" s="15" t="n">
        <v>66.45</v>
      </c>
      <c r="H126" s="15" t="n">
        <v>261813</v>
      </c>
      <c r="I126" s="4" t="inlineStr">
        <is>
          <t>广东区域</t>
        </is>
      </c>
      <c r="J126" s="4" t="inlineStr">
        <is>
          <t>高秀娜</t>
        </is>
      </c>
    </row>
    <row r="127">
      <c r="A127" s="14" t="n">
        <v>45918</v>
      </c>
      <c r="B127" s="4" t="inlineStr">
        <is>
          <t>SO202510054</t>
        </is>
      </c>
      <c r="C127" s="4" t="inlineStr">
        <is>
          <t>嘉兴京功供应链有限公司</t>
        </is>
      </c>
      <c r="D127" s="4" t="inlineStr">
        <is>
          <t>液压件</t>
        </is>
      </c>
      <c r="E127" s="4" t="inlineStr">
        <is>
          <t>25kg</t>
        </is>
      </c>
      <c r="F127" s="18" t="n">
        <v>3950</v>
      </c>
      <c r="G127" s="15" t="n">
        <v>46.96</v>
      </c>
      <c r="H127" s="15" t="n">
        <v>185492</v>
      </c>
      <c r="I127" s="4" t="inlineStr">
        <is>
          <t>浙江区域</t>
        </is>
      </c>
      <c r="J127" s="4" t="inlineStr">
        <is>
          <t>高超秀</t>
        </is>
      </c>
    </row>
    <row r="128">
      <c r="A128" s="14" t="n">
        <v>45920</v>
      </c>
      <c r="B128" s="4" t="inlineStr">
        <is>
          <t>SO202510032</t>
        </is>
      </c>
      <c r="C128" s="4" t="inlineStr">
        <is>
          <t>合肥京功酒店管理集团</t>
        </is>
      </c>
      <c r="D128" s="4" t="inlineStr">
        <is>
          <t>精密轴承</t>
        </is>
      </c>
      <c r="E128" s="4" t="inlineStr">
        <is>
          <t>1kg</t>
        </is>
      </c>
      <c r="F128" s="18" t="n">
        <v>200</v>
      </c>
      <c r="G128" s="15" t="n">
        <v>47.84</v>
      </c>
      <c r="H128" s="15" t="n">
        <v>9568</v>
      </c>
      <c r="I128" s="4" t="inlineStr">
        <is>
          <t>江苏区域</t>
        </is>
      </c>
      <c r="J128" s="4" t="inlineStr">
        <is>
          <t>马丽英</t>
        </is>
      </c>
    </row>
    <row r="129">
      <c r="A129" s="14" t="n">
        <v>45925</v>
      </c>
      <c r="B129" s="4" t="inlineStr">
        <is>
          <t>SO202510141</t>
        </is>
      </c>
      <c r="C129" s="4" t="inlineStr">
        <is>
          <t>常州百味餐饮管理有限公司</t>
        </is>
      </c>
      <c r="D129" s="4" t="inlineStr">
        <is>
          <t>液压件</t>
        </is>
      </c>
      <c r="E129" s="4" t="inlineStr">
        <is>
          <t>2.5kg</t>
        </is>
      </c>
      <c r="F129" s="18" t="n">
        <v>3980</v>
      </c>
      <c r="G129" s="15" t="n">
        <v>40.64</v>
      </c>
      <c r="H129" s="15" t="n">
        <v>161747.2</v>
      </c>
      <c r="I129" s="4" t="inlineStr">
        <is>
          <t>江苏区域</t>
        </is>
      </c>
      <c r="J129" s="4" t="inlineStr">
        <is>
          <t>黄芳敏</t>
        </is>
      </c>
    </row>
    <row r="130">
      <c r="A130" s="14" t="n">
        <v>45926</v>
      </c>
      <c r="B130" s="4" t="inlineStr">
        <is>
          <t>SO202510029</t>
        </is>
      </c>
      <c r="C130" s="4" t="inlineStr">
        <is>
          <t>常州百味餐饮管理有限公司</t>
        </is>
      </c>
      <c r="D130" s="4" t="inlineStr">
        <is>
          <t>液压件</t>
        </is>
      </c>
      <c r="E130" s="4" t="inlineStr">
        <is>
          <t>5kg</t>
        </is>
      </c>
      <c r="F130" s="18" t="n">
        <v>3420</v>
      </c>
      <c r="G130" s="15" t="n">
        <v>105.73</v>
      </c>
      <c r="H130" s="15" t="n">
        <v>361596.6</v>
      </c>
      <c r="I130" s="4" t="inlineStr">
        <is>
          <t>浙江区域</t>
        </is>
      </c>
      <c r="J130" s="4" t="inlineStr">
        <is>
          <t>李磊芳</t>
        </is>
      </c>
    </row>
    <row r="131">
      <c r="A131" s="14" t="n">
        <v>45932</v>
      </c>
      <c r="B131" s="4" t="inlineStr">
        <is>
          <t>SO202510012</t>
        </is>
      </c>
      <c r="C131" s="4" t="inlineStr">
        <is>
          <t>合肥百味超市</t>
        </is>
      </c>
      <c r="D131" s="4" t="inlineStr">
        <is>
          <t>工装夹具</t>
        </is>
      </c>
      <c r="E131" s="4" t="inlineStr">
        <is>
          <t>标准</t>
        </is>
      </c>
      <c r="F131" s="18" t="n">
        <v>4980</v>
      </c>
      <c r="G131" s="15" t="n">
        <v>103.24</v>
      </c>
      <c r="H131" s="15" t="n">
        <v>514135.2</v>
      </c>
      <c r="I131" s="4" t="inlineStr">
        <is>
          <t>广东区域</t>
        </is>
      </c>
      <c r="J131" s="4" t="inlineStr">
        <is>
          <t>朱娜敏</t>
        </is>
      </c>
    </row>
    <row r="132">
      <c r="A132" s="14" t="n">
        <v>45933</v>
      </c>
      <c r="B132" s="4" t="inlineStr">
        <is>
          <t>SO202510024</t>
        </is>
      </c>
      <c r="C132" s="4" t="inlineStr">
        <is>
          <t>上海优鲜食品有限公司</t>
        </is>
      </c>
      <c r="D132" s="4" t="inlineStr">
        <is>
          <t>精密轴承</t>
        </is>
      </c>
      <c r="E132" s="4" t="inlineStr">
        <is>
          <t>标准</t>
        </is>
      </c>
      <c r="F132" s="18" t="n">
        <v>4220</v>
      </c>
      <c r="G132" s="15" t="n">
        <v>156.45</v>
      </c>
      <c r="H132" s="15" t="n">
        <v>660219</v>
      </c>
      <c r="I132" s="4" t="inlineStr">
        <is>
          <t>江苏区域</t>
        </is>
      </c>
      <c r="J132" s="4" t="inlineStr">
        <is>
          <t>黄磊英</t>
        </is>
      </c>
    </row>
    <row r="133">
      <c r="A133" s="14" t="n">
        <v>45936</v>
      </c>
      <c r="B133" s="4" t="inlineStr">
        <is>
          <t>SO202510111</t>
        </is>
      </c>
      <c r="C133" s="4" t="inlineStr">
        <is>
          <t>温州食佳商贸有限公司</t>
        </is>
      </c>
      <c r="D133" s="4" t="inlineStr">
        <is>
          <t>工装夹具</t>
        </is>
      </c>
      <c r="E133" s="4" t="inlineStr">
        <is>
          <t>25kg</t>
        </is>
      </c>
      <c r="F133" s="18" t="n">
        <v>1300</v>
      </c>
      <c r="G133" s="15" t="n">
        <v>159.1</v>
      </c>
      <c r="H133" s="15" t="n">
        <v>206830</v>
      </c>
      <c r="I133" s="4" t="inlineStr">
        <is>
          <t>江苏区域</t>
        </is>
      </c>
      <c r="J133" s="4" t="inlineStr">
        <is>
          <t>胡丽芳</t>
        </is>
      </c>
    </row>
    <row r="134">
      <c r="A134" s="14" t="n">
        <v>45938</v>
      </c>
      <c r="B134" s="4" t="inlineStr">
        <is>
          <t>SO202510015</t>
        </is>
      </c>
      <c r="C134" s="4" t="inlineStr">
        <is>
          <t>杭州食佳酒店管理集团</t>
        </is>
      </c>
      <c r="D134" s="4" t="inlineStr">
        <is>
          <t>模具</t>
        </is>
      </c>
      <c r="E134" s="4" t="inlineStr">
        <is>
          <t>标准</t>
        </is>
      </c>
      <c r="F134" s="18" t="n">
        <v>1010</v>
      </c>
      <c r="G134" s="15" t="n">
        <v>51.7</v>
      </c>
      <c r="H134" s="15" t="n">
        <v>52217</v>
      </c>
      <c r="I134" s="4" t="inlineStr">
        <is>
          <t>广东区域</t>
        </is>
      </c>
      <c r="J134" s="4" t="inlineStr">
        <is>
          <t>马秀伟</t>
        </is>
      </c>
    </row>
    <row r="135">
      <c r="A135" s="14" t="n">
        <v>45938</v>
      </c>
      <c r="B135" s="4" t="inlineStr">
        <is>
          <t>SO202510099</t>
        </is>
      </c>
      <c r="C135" s="4" t="inlineStr">
        <is>
          <t>常州优鲜供应链有限公司</t>
        </is>
      </c>
      <c r="D135" s="4" t="inlineStr">
        <is>
          <t>气动元件</t>
        </is>
      </c>
      <c r="E135" s="4" t="inlineStr">
        <is>
          <t>C级</t>
        </is>
      </c>
      <c r="F135" s="18" t="n">
        <v>2990</v>
      </c>
      <c r="G135" s="15" t="n">
        <v>44.57</v>
      </c>
      <c r="H135" s="15" t="n">
        <v>133264.3</v>
      </c>
      <c r="I135" s="4" t="inlineStr">
        <is>
          <t>华中区域</t>
        </is>
      </c>
      <c r="J135" s="4" t="inlineStr">
        <is>
          <t>刘敏娜</t>
        </is>
      </c>
    </row>
    <row r="136">
      <c r="A136" s="14" t="n">
        <v>45939</v>
      </c>
      <c r="B136" s="4" t="inlineStr">
        <is>
          <t>SO202510156</t>
        </is>
      </c>
      <c r="C136" s="4" t="inlineStr">
        <is>
          <t>无锡食佳食品有限公司</t>
        </is>
      </c>
      <c r="D136" s="4" t="inlineStr">
        <is>
          <t>气动元件</t>
        </is>
      </c>
      <c r="E136" s="4" t="inlineStr">
        <is>
          <t>2.5kg</t>
        </is>
      </c>
      <c r="F136" s="18" t="n">
        <v>4100</v>
      </c>
      <c r="G136" s="15" t="n">
        <v>65.09</v>
      </c>
      <c r="H136" s="15" t="n">
        <v>266869</v>
      </c>
      <c r="I136" s="4" t="inlineStr">
        <is>
          <t>江苏区域</t>
        </is>
      </c>
      <c r="J136" s="4" t="inlineStr">
        <is>
          <t>高丽敏</t>
        </is>
      </c>
    </row>
    <row r="137">
      <c r="A137" s="14" t="n">
        <v>45944</v>
      </c>
      <c r="B137" s="4" t="inlineStr">
        <is>
          <t>SO202510173</t>
        </is>
      </c>
      <c r="C137" s="4" t="inlineStr">
        <is>
          <t>合肥优鲜电商平台</t>
        </is>
      </c>
      <c r="D137" s="4" t="inlineStr">
        <is>
          <t>工装夹具</t>
        </is>
      </c>
      <c r="E137" s="4" t="inlineStr">
        <is>
          <t>5kg</t>
        </is>
      </c>
      <c r="F137" s="18" t="n">
        <v>4210</v>
      </c>
      <c r="G137" s="15" t="n">
        <v>7.03</v>
      </c>
      <c r="H137" s="15" t="n">
        <v>29596.3</v>
      </c>
      <c r="I137" s="4" t="inlineStr">
        <is>
          <t>广东区域</t>
        </is>
      </c>
      <c r="J137" s="4" t="inlineStr">
        <is>
          <t>胡英敏</t>
        </is>
      </c>
    </row>
    <row r="138">
      <c r="A138" s="14" t="n">
        <v>45950</v>
      </c>
      <c r="B138" s="4" t="inlineStr">
        <is>
          <t>SO202510023</t>
        </is>
      </c>
      <c r="C138" s="4" t="inlineStr">
        <is>
          <t>苏州优鲜商贸有限公司</t>
        </is>
      </c>
      <c r="D138" s="4" t="inlineStr">
        <is>
          <t>精密轴承</t>
        </is>
      </c>
      <c r="E138" s="4" t="inlineStr">
        <is>
          <t>500g</t>
        </is>
      </c>
      <c r="F138" s="18" t="n">
        <v>1910</v>
      </c>
      <c r="G138" s="15" t="n">
        <v>130.83</v>
      </c>
      <c r="H138" s="15" t="n">
        <v>249885.3</v>
      </c>
      <c r="I138" s="4" t="inlineStr">
        <is>
          <t>江苏区域</t>
        </is>
      </c>
      <c r="J138" s="4" t="inlineStr">
        <is>
          <t>黄明伟</t>
        </is>
      </c>
    </row>
    <row r="139">
      <c r="A139" s="14" t="n">
        <v>45953</v>
      </c>
      <c r="B139" s="4" t="inlineStr">
        <is>
          <t>SO202510025</t>
        </is>
      </c>
      <c r="C139" s="4" t="inlineStr">
        <is>
          <t>南昌优鲜电商平台</t>
        </is>
      </c>
      <c r="D139" s="4" t="inlineStr">
        <is>
          <t>气动元件</t>
        </is>
      </c>
      <c r="E139" s="4" t="inlineStr">
        <is>
          <t>简装</t>
        </is>
      </c>
      <c r="F139" s="18" t="n">
        <v>570</v>
      </c>
      <c r="G139" s="15" t="n">
        <v>55.98</v>
      </c>
      <c r="H139" s="15" t="n">
        <v>31908.6</v>
      </c>
      <c r="I139" s="4" t="inlineStr">
        <is>
          <t>华中区域</t>
        </is>
      </c>
      <c r="J139" s="4" t="inlineStr">
        <is>
          <t>孙涛伟</t>
        </is>
      </c>
    </row>
    <row r="140">
      <c r="A140" s="14" t="n">
        <v>45958</v>
      </c>
      <c r="B140" s="4" t="inlineStr">
        <is>
          <t>SO202510003</t>
        </is>
      </c>
      <c r="C140" s="4" t="inlineStr">
        <is>
          <t>南京京功酒店管理集团</t>
        </is>
      </c>
      <c r="D140" s="4" t="inlineStr">
        <is>
          <t>气动元件</t>
        </is>
      </c>
      <c r="E140" s="4" t="inlineStr">
        <is>
          <t>2.5kg</t>
        </is>
      </c>
      <c r="F140" s="18" t="n">
        <v>4930</v>
      </c>
      <c r="G140" s="15" t="n">
        <v>11.89</v>
      </c>
      <c r="H140" s="15" t="n">
        <v>58617.7</v>
      </c>
      <c r="I140" s="4" t="inlineStr">
        <is>
          <t>江苏区域</t>
        </is>
      </c>
      <c r="J140" s="4" t="inlineStr">
        <is>
          <t>高磊伟</t>
        </is>
      </c>
    </row>
    <row r="141">
      <c r="A141" s="14" t="n">
        <v>45958</v>
      </c>
      <c r="B141" s="4" t="inlineStr">
        <is>
          <t>SO202510046</t>
        </is>
      </c>
      <c r="C141" s="4" t="inlineStr">
        <is>
          <t>杭州食佳供应链有限公司</t>
        </is>
      </c>
      <c r="D141" s="4" t="inlineStr">
        <is>
          <t>气动元件</t>
        </is>
      </c>
      <c r="E141" s="4" t="inlineStr">
        <is>
          <t>简装</t>
        </is>
      </c>
      <c r="F141" s="18" t="n">
        <v>2060</v>
      </c>
      <c r="G141" s="15" t="n">
        <v>102.45</v>
      </c>
      <c r="H141" s="15" t="n">
        <v>211047</v>
      </c>
      <c r="I141" s="4" t="inlineStr">
        <is>
          <t>江苏区域</t>
        </is>
      </c>
      <c r="J141" s="4" t="inlineStr">
        <is>
          <t>林英娜</t>
        </is>
      </c>
    </row>
    <row r="142">
      <c r="A142" s="14" t="n">
        <v>45958</v>
      </c>
      <c r="B142" s="4" t="inlineStr">
        <is>
          <t>SO202510139</t>
        </is>
      </c>
      <c r="C142" s="4" t="inlineStr">
        <is>
          <t>嘉兴淼沃超市</t>
        </is>
      </c>
      <c r="D142" s="4" t="inlineStr">
        <is>
          <t>模具</t>
        </is>
      </c>
      <c r="E142" s="4" t="inlineStr">
        <is>
          <t>特级</t>
        </is>
      </c>
      <c r="F142" s="18" t="n">
        <v>650</v>
      </c>
      <c r="G142" s="15" t="n">
        <v>76.78</v>
      </c>
      <c r="H142" s="15" t="n">
        <v>49907</v>
      </c>
      <c r="I142" s="4" t="inlineStr">
        <is>
          <t>华中区域</t>
        </is>
      </c>
      <c r="J142" s="4" t="inlineStr">
        <is>
          <t>马芳芳</t>
        </is>
      </c>
    </row>
    <row r="143">
      <c r="A143" s="14" t="n">
        <v>45958</v>
      </c>
      <c r="B143" s="4" t="inlineStr">
        <is>
          <t>SO202510165</t>
        </is>
      </c>
      <c r="C143" s="4" t="inlineStr">
        <is>
          <t>南京百味餐饮管理有限公司</t>
        </is>
      </c>
      <c r="D143" s="4" t="inlineStr">
        <is>
          <t>精密轴承</t>
        </is>
      </c>
      <c r="E143" s="4" t="inlineStr">
        <is>
          <t>B级</t>
        </is>
      </c>
      <c r="F143" s="18" t="n">
        <v>1300</v>
      </c>
      <c r="G143" s="15" t="n">
        <v>52.26</v>
      </c>
      <c r="H143" s="15" t="n">
        <v>67938</v>
      </c>
      <c r="I143" s="4" t="inlineStr">
        <is>
          <t>华中区域</t>
        </is>
      </c>
      <c r="J143" s="4" t="inlineStr">
        <is>
          <t>罗涛芳</t>
        </is>
      </c>
    </row>
    <row r="144">
      <c r="A144" s="14" t="n">
        <v>45962</v>
      </c>
      <c r="B144" s="4" t="inlineStr">
        <is>
          <t>SO202510142</t>
        </is>
      </c>
      <c r="C144" s="4" t="inlineStr">
        <is>
          <t>宁波食佳供应链有限公司</t>
        </is>
      </c>
      <c r="D144" s="4" t="inlineStr">
        <is>
          <t>气动元件</t>
        </is>
      </c>
      <c r="E144" s="4" t="inlineStr">
        <is>
          <t>精装</t>
        </is>
      </c>
      <c r="F144" s="18" t="n">
        <v>1220</v>
      </c>
      <c r="G144" s="15" t="n">
        <v>81.44</v>
      </c>
      <c r="H144" s="15" t="n">
        <v>99356.8</v>
      </c>
      <c r="I144" s="4" t="inlineStr">
        <is>
          <t>华中区域</t>
        </is>
      </c>
      <c r="J144" s="4" t="inlineStr">
        <is>
          <t>罗磊娜</t>
        </is>
      </c>
    </row>
    <row r="145">
      <c r="A145" s="14" t="n">
        <v>45963</v>
      </c>
      <c r="B145" s="4" t="inlineStr">
        <is>
          <t>SO202510034</t>
        </is>
      </c>
      <c r="C145" s="4" t="inlineStr">
        <is>
          <t>合肥食佳电商平台</t>
        </is>
      </c>
      <c r="D145" s="4" t="inlineStr">
        <is>
          <t>工装夹具</t>
        </is>
      </c>
      <c r="E145" s="4" t="inlineStr">
        <is>
          <t>500g</t>
        </is>
      </c>
      <c r="F145" s="18" t="n">
        <v>3030</v>
      </c>
      <c r="G145" s="15" t="n">
        <v>63.56</v>
      </c>
      <c r="H145" s="15" t="n">
        <v>192586.8</v>
      </c>
      <c r="I145" s="4" t="inlineStr">
        <is>
          <t>浙江区域</t>
        </is>
      </c>
      <c r="J145" s="4" t="inlineStr">
        <is>
          <t>何敏秀</t>
        </is>
      </c>
    </row>
    <row r="146">
      <c r="A146" s="14" t="n">
        <v>45964</v>
      </c>
      <c r="B146" s="4" t="inlineStr">
        <is>
          <t>SO202510108</t>
        </is>
      </c>
      <c r="C146" s="4" t="inlineStr">
        <is>
          <t>杭州百味餐饮管理有限公司</t>
        </is>
      </c>
      <c r="D146" s="4" t="inlineStr">
        <is>
          <t>数控机床</t>
        </is>
      </c>
      <c r="E146" s="4" t="inlineStr">
        <is>
          <t>1kg</t>
        </is>
      </c>
      <c r="F146" s="18" t="n">
        <v>330</v>
      </c>
      <c r="G146" s="15" t="n">
        <v>78.8</v>
      </c>
      <c r="H146" s="15" t="n">
        <v>26004</v>
      </c>
      <c r="I146" s="4" t="inlineStr">
        <is>
          <t>华中区域</t>
        </is>
      </c>
      <c r="J146" s="4" t="inlineStr">
        <is>
          <t>张静敏</t>
        </is>
      </c>
    </row>
    <row r="147">
      <c r="A147" s="14" t="n">
        <v>45966</v>
      </c>
      <c r="B147" s="4" t="inlineStr">
        <is>
          <t>SO202510044</t>
        </is>
      </c>
      <c r="C147" s="4" t="inlineStr">
        <is>
          <t>宁波京功酒店管理集团</t>
        </is>
      </c>
      <c r="D147" s="4" t="inlineStr">
        <is>
          <t>数控机床</t>
        </is>
      </c>
      <c r="E147" s="4" t="inlineStr">
        <is>
          <t>精装</t>
        </is>
      </c>
      <c r="F147" s="18" t="n">
        <v>4370</v>
      </c>
      <c r="G147" s="15" t="n">
        <v>20.15</v>
      </c>
      <c r="H147" s="15" t="n">
        <v>88055.5</v>
      </c>
      <c r="I147" s="4" t="inlineStr">
        <is>
          <t>广东区域</t>
        </is>
      </c>
      <c r="J147" s="4" t="inlineStr">
        <is>
          <t>陈勇娜</t>
        </is>
      </c>
    </row>
    <row r="148">
      <c r="A148" s="14" t="n">
        <v>45966</v>
      </c>
      <c r="B148" s="4" t="inlineStr">
        <is>
          <t>SO202510157</t>
        </is>
      </c>
      <c r="C148" s="4" t="inlineStr">
        <is>
          <t>南京百味电商平台</t>
        </is>
      </c>
      <c r="D148" s="4" t="inlineStr">
        <is>
          <t>气动元件</t>
        </is>
      </c>
      <c r="E148" s="4" t="inlineStr">
        <is>
          <t>10kg</t>
        </is>
      </c>
      <c r="F148" s="18" t="n">
        <v>3470</v>
      </c>
      <c r="G148" s="15" t="n">
        <v>118.26</v>
      </c>
      <c r="H148" s="15" t="n">
        <v>410362.2</v>
      </c>
      <c r="I148" s="4" t="inlineStr">
        <is>
          <t>华中区域</t>
        </is>
      </c>
      <c r="J148" s="4" t="inlineStr">
        <is>
          <t>徐伟秀</t>
        </is>
      </c>
    </row>
    <row r="149">
      <c r="A149" s="14" t="n">
        <v>45967</v>
      </c>
      <c r="B149" s="4" t="inlineStr">
        <is>
          <t>SO202510098</t>
        </is>
      </c>
      <c r="C149" s="4" t="inlineStr">
        <is>
          <t>温州淼沃商贸有限公司</t>
        </is>
      </c>
      <c r="D149" s="4" t="inlineStr">
        <is>
          <t>液压件</t>
        </is>
      </c>
      <c r="E149" s="4" t="inlineStr">
        <is>
          <t>C级</t>
        </is>
      </c>
      <c r="F149" s="18" t="n">
        <v>720</v>
      </c>
      <c r="G149" s="15" t="n">
        <v>126.99</v>
      </c>
      <c r="H149" s="15" t="n">
        <v>91432.8</v>
      </c>
      <c r="I149" s="4" t="inlineStr">
        <is>
          <t>华中区域</t>
        </is>
      </c>
      <c r="J149" s="4" t="inlineStr">
        <is>
          <t>马娟伟</t>
        </is>
      </c>
    </row>
    <row r="150">
      <c r="A150" s="14" t="n">
        <v>45969</v>
      </c>
      <c r="B150" s="4" t="inlineStr">
        <is>
          <t>SO202510081</t>
        </is>
      </c>
      <c r="C150" s="4" t="inlineStr">
        <is>
          <t>嘉兴百味电商平台</t>
        </is>
      </c>
      <c r="D150" s="4" t="inlineStr">
        <is>
          <t>模具</t>
        </is>
      </c>
      <c r="E150" s="4" t="inlineStr">
        <is>
          <t>B级</t>
        </is>
      </c>
      <c r="F150" s="18" t="n">
        <v>790</v>
      </c>
      <c r="G150" s="15" t="n">
        <v>139.06</v>
      </c>
      <c r="H150" s="15" t="n">
        <v>109857.4</v>
      </c>
      <c r="I150" s="4" t="inlineStr">
        <is>
          <t>广东区域</t>
        </is>
      </c>
      <c r="J150" s="4" t="inlineStr">
        <is>
          <t>何娟敏</t>
        </is>
      </c>
    </row>
    <row r="151">
      <c r="A151" s="14" t="n">
        <v>45969</v>
      </c>
      <c r="B151" s="4" t="inlineStr">
        <is>
          <t>SO202510093</t>
        </is>
      </c>
      <c r="C151" s="4" t="inlineStr">
        <is>
          <t>上海淼沃超市</t>
        </is>
      </c>
      <c r="D151" s="4" t="inlineStr">
        <is>
          <t>工装夹具</t>
        </is>
      </c>
      <c r="E151" s="4" t="inlineStr">
        <is>
          <t>C级</t>
        </is>
      </c>
      <c r="F151" s="18" t="n">
        <v>2120</v>
      </c>
      <c r="G151" s="15" t="n">
        <v>137.55</v>
      </c>
      <c r="H151" s="15" t="n">
        <v>291606</v>
      </c>
      <c r="I151" s="4" t="inlineStr">
        <is>
          <t>浙江区域</t>
        </is>
      </c>
      <c r="J151" s="4" t="inlineStr">
        <is>
          <t>朱娜英</t>
        </is>
      </c>
    </row>
    <row r="152">
      <c r="A152" s="14" t="n">
        <v>45971</v>
      </c>
      <c r="B152" s="4" t="inlineStr">
        <is>
          <t>SO202510127</t>
        </is>
      </c>
      <c r="C152" s="4" t="inlineStr">
        <is>
          <t>镇江淼沃食品有限公司</t>
        </is>
      </c>
      <c r="D152" s="4" t="inlineStr">
        <is>
          <t>精密轴承</t>
        </is>
      </c>
      <c r="E152" s="4" t="inlineStr">
        <is>
          <t>C级</t>
        </is>
      </c>
      <c r="F152" s="18" t="n">
        <v>1800</v>
      </c>
      <c r="G152" s="15" t="n">
        <v>147.71</v>
      </c>
      <c r="H152" s="15" t="n">
        <v>265878</v>
      </c>
      <c r="I152" s="4" t="inlineStr">
        <is>
          <t>广东区域</t>
        </is>
      </c>
      <c r="J152" s="4" t="inlineStr">
        <is>
          <t>吴涛秀</t>
        </is>
      </c>
    </row>
    <row r="153">
      <c r="A153" s="14" t="n">
        <v>45974</v>
      </c>
      <c r="B153" s="4" t="inlineStr">
        <is>
          <t>SO202510103</t>
        </is>
      </c>
      <c r="C153" s="4" t="inlineStr">
        <is>
          <t>南昌百味供应链有限公司</t>
        </is>
      </c>
      <c r="D153" s="4" t="inlineStr">
        <is>
          <t>工装夹具</t>
        </is>
      </c>
      <c r="E153" s="4" t="inlineStr">
        <is>
          <t>精装</t>
        </is>
      </c>
      <c r="F153" s="18" t="n">
        <v>4560</v>
      </c>
      <c r="G153" s="15" t="n">
        <v>30.04</v>
      </c>
      <c r="H153" s="15" t="n">
        <v>136982.4</v>
      </c>
      <c r="I153" s="4" t="inlineStr">
        <is>
          <t>江苏区域</t>
        </is>
      </c>
      <c r="J153" s="4" t="inlineStr">
        <is>
          <t>罗芳芳</t>
        </is>
      </c>
    </row>
    <row r="154">
      <c r="A154" s="14" t="n">
        <v>45976</v>
      </c>
      <c r="B154" s="4" t="inlineStr">
        <is>
          <t>SO202510169</t>
        </is>
      </c>
      <c r="C154" s="4" t="inlineStr">
        <is>
          <t>南昌京功电商平台</t>
        </is>
      </c>
      <c r="D154" s="4" t="inlineStr">
        <is>
          <t>气动元件</t>
        </is>
      </c>
      <c r="E154" s="4" t="inlineStr">
        <is>
          <t>1kg</t>
        </is>
      </c>
      <c r="F154" s="18" t="n">
        <v>3840</v>
      </c>
      <c r="G154" s="15" t="n">
        <v>47.64</v>
      </c>
      <c r="H154" s="15" t="n">
        <v>182937.6</v>
      </c>
      <c r="I154" s="4" t="inlineStr">
        <is>
          <t>广东区域</t>
        </is>
      </c>
      <c r="J154" s="4" t="inlineStr">
        <is>
          <t>徐磊英</t>
        </is>
      </c>
    </row>
    <row r="155">
      <c r="A155" s="14" t="n">
        <v>45982</v>
      </c>
      <c r="B155" s="4" t="inlineStr">
        <is>
          <t>SO202510143</t>
        </is>
      </c>
      <c r="C155" s="4" t="inlineStr">
        <is>
          <t>宁波京功超市</t>
        </is>
      </c>
      <c r="D155" s="4" t="inlineStr">
        <is>
          <t>工装夹具</t>
        </is>
      </c>
      <c r="E155" s="4" t="inlineStr">
        <is>
          <t>2.5kg</t>
        </is>
      </c>
      <c r="F155" s="18" t="n">
        <v>1300</v>
      </c>
      <c r="G155" s="15" t="n">
        <v>139.65</v>
      </c>
      <c r="H155" s="15" t="n">
        <v>181545</v>
      </c>
      <c r="I155" s="4" t="inlineStr">
        <is>
          <t>浙江区域</t>
        </is>
      </c>
      <c r="J155" s="4" t="inlineStr">
        <is>
          <t>王娟秀</t>
        </is>
      </c>
    </row>
    <row r="156">
      <c r="A156" s="14" t="n">
        <v>45982</v>
      </c>
      <c r="B156" s="4" t="inlineStr">
        <is>
          <t>SO202510146</t>
        </is>
      </c>
      <c r="C156" s="4" t="inlineStr">
        <is>
          <t>南京食佳餐饮管理有限公司</t>
        </is>
      </c>
      <c r="D156" s="4" t="inlineStr">
        <is>
          <t>工装夹具</t>
        </is>
      </c>
      <c r="E156" s="4" t="inlineStr">
        <is>
          <t>1kg</t>
        </is>
      </c>
      <c r="F156" s="18" t="n">
        <v>4420</v>
      </c>
      <c r="G156" s="15" t="n">
        <v>92.56</v>
      </c>
      <c r="H156" s="15" t="n">
        <v>409115.2</v>
      </c>
      <c r="I156" s="4" t="inlineStr">
        <is>
          <t>广东区域</t>
        </is>
      </c>
      <c r="J156" s="4" t="inlineStr">
        <is>
          <t>高杰娜</t>
        </is>
      </c>
    </row>
    <row r="157">
      <c r="A157" s="14" t="n">
        <v>45986</v>
      </c>
      <c r="B157" s="4" t="inlineStr">
        <is>
          <t>SO202510091</t>
        </is>
      </c>
      <c r="C157" s="4" t="inlineStr">
        <is>
          <t>嘉兴食佳餐饮管理有限公司</t>
        </is>
      </c>
      <c r="D157" s="4" t="inlineStr">
        <is>
          <t>精密轴承</t>
        </is>
      </c>
      <c r="E157" s="4" t="inlineStr">
        <is>
          <t>5kg</t>
        </is>
      </c>
      <c r="F157" s="18" t="n">
        <v>2720</v>
      </c>
      <c r="G157" s="15" t="n">
        <v>137.18</v>
      </c>
      <c r="H157" s="15" t="n">
        <v>373129.6</v>
      </c>
      <c r="I157" s="4" t="inlineStr">
        <is>
          <t>华中区域</t>
        </is>
      </c>
      <c r="J157" s="4" t="inlineStr">
        <is>
          <t>罗芳敏</t>
        </is>
      </c>
    </row>
    <row r="158">
      <c r="A158" s="14" t="n">
        <v>45987</v>
      </c>
      <c r="B158" s="4" t="inlineStr">
        <is>
          <t>SO202510152</t>
        </is>
      </c>
      <c r="C158" s="4" t="inlineStr">
        <is>
          <t>南昌优鲜商贸有限公司</t>
        </is>
      </c>
      <c r="D158" s="4" t="inlineStr">
        <is>
          <t>气动元件</t>
        </is>
      </c>
      <c r="E158" s="4" t="inlineStr">
        <is>
          <t>2.5kg</t>
        </is>
      </c>
      <c r="F158" s="18" t="n">
        <v>1620</v>
      </c>
      <c r="G158" s="15" t="n">
        <v>34.51</v>
      </c>
      <c r="H158" s="15" t="n">
        <v>55906.2</v>
      </c>
      <c r="I158" s="4" t="inlineStr">
        <is>
          <t>华中区域</t>
        </is>
      </c>
      <c r="J158" s="4" t="inlineStr">
        <is>
          <t>徐秀娜</t>
        </is>
      </c>
    </row>
    <row r="159">
      <c r="A159" s="14" t="n">
        <v>45994</v>
      </c>
      <c r="B159" s="4" t="inlineStr">
        <is>
          <t>SO202510082</t>
        </is>
      </c>
      <c r="C159" s="4" t="inlineStr">
        <is>
          <t>苏州百味电商平台</t>
        </is>
      </c>
      <c r="D159" s="4" t="inlineStr">
        <is>
          <t>精密轴承</t>
        </is>
      </c>
      <c r="E159" s="4" t="inlineStr">
        <is>
          <t>A级</t>
        </is>
      </c>
      <c r="F159" s="18" t="n">
        <v>1410</v>
      </c>
      <c r="G159" s="15" t="n">
        <v>93.94</v>
      </c>
      <c r="H159" s="15" t="n">
        <v>132455.4</v>
      </c>
      <c r="I159" s="4" t="inlineStr">
        <is>
          <t>华中区域</t>
        </is>
      </c>
      <c r="J159" s="4" t="inlineStr">
        <is>
          <t>罗艳秀</t>
        </is>
      </c>
    </row>
    <row r="160">
      <c r="A160" s="14" t="n">
        <v>45995</v>
      </c>
      <c r="B160" s="4" t="inlineStr">
        <is>
          <t>SO202510079</t>
        </is>
      </c>
      <c r="C160" s="4" t="inlineStr">
        <is>
          <t>南昌京功商贸有限公司</t>
        </is>
      </c>
      <c r="D160" s="4" t="inlineStr">
        <is>
          <t>工装夹具</t>
        </is>
      </c>
      <c r="E160" s="4" t="inlineStr">
        <is>
          <t>标准</t>
        </is>
      </c>
      <c r="F160" s="18" t="n">
        <v>3150</v>
      </c>
      <c r="G160" s="15" t="n">
        <v>78.51000000000001</v>
      </c>
      <c r="H160" s="15" t="n">
        <v>247306.5</v>
      </c>
      <c r="I160" s="4" t="inlineStr">
        <is>
          <t>华中区域</t>
        </is>
      </c>
      <c r="J160" s="4" t="inlineStr">
        <is>
          <t>胡静英</t>
        </is>
      </c>
    </row>
    <row r="161">
      <c r="A161" s="14" t="n">
        <v>45995</v>
      </c>
      <c r="B161" s="4" t="inlineStr">
        <is>
          <t>SO202510084</t>
        </is>
      </c>
      <c r="C161" s="4" t="inlineStr">
        <is>
          <t>合肥食佳酒店管理集团</t>
        </is>
      </c>
      <c r="D161" s="4" t="inlineStr">
        <is>
          <t>气动元件</t>
        </is>
      </c>
      <c r="E161" s="4" t="inlineStr">
        <is>
          <t>精装</t>
        </is>
      </c>
      <c r="F161" s="18" t="n">
        <v>700</v>
      </c>
      <c r="G161" s="15" t="n">
        <v>56.88</v>
      </c>
      <c r="H161" s="15" t="n">
        <v>39816</v>
      </c>
      <c r="I161" s="4" t="inlineStr">
        <is>
          <t>广东区域</t>
        </is>
      </c>
      <c r="J161" s="4" t="inlineStr">
        <is>
          <t>何兰芳</t>
        </is>
      </c>
    </row>
    <row r="162">
      <c r="A162" s="14" t="n">
        <v>45996</v>
      </c>
      <c r="B162" s="4" t="inlineStr">
        <is>
          <t>SO202510080</t>
        </is>
      </c>
      <c r="C162" s="4" t="inlineStr">
        <is>
          <t>镇江大匠商贸有限公司</t>
        </is>
      </c>
      <c r="D162" s="4" t="inlineStr">
        <is>
          <t>液压件</t>
        </is>
      </c>
      <c r="E162" s="4" t="inlineStr">
        <is>
          <t>简装</t>
        </is>
      </c>
      <c r="F162" s="18" t="n">
        <v>2600</v>
      </c>
      <c r="G162" s="15" t="n">
        <v>81.27</v>
      </c>
      <c r="H162" s="15" t="n">
        <v>211302</v>
      </c>
      <c r="I162" s="4" t="inlineStr">
        <is>
          <t>广东区域</t>
        </is>
      </c>
      <c r="J162" s="4" t="inlineStr">
        <is>
          <t>何勇英</t>
        </is>
      </c>
    </row>
    <row r="163">
      <c r="A163" s="14" t="n">
        <v>45996</v>
      </c>
      <c r="B163" s="4" t="inlineStr">
        <is>
          <t>SO202510104</t>
        </is>
      </c>
      <c r="C163" s="4" t="inlineStr">
        <is>
          <t>合肥百味商贸有限公司</t>
        </is>
      </c>
      <c r="D163" s="4" t="inlineStr">
        <is>
          <t>数控机床</t>
        </is>
      </c>
      <c r="E163" s="4" t="inlineStr">
        <is>
          <t>C级</t>
        </is>
      </c>
      <c r="F163" s="18" t="n">
        <v>3660</v>
      </c>
      <c r="G163" s="15" t="n">
        <v>117.84</v>
      </c>
      <c r="H163" s="15" t="n">
        <v>431294.4</v>
      </c>
      <c r="I163" s="4" t="inlineStr">
        <is>
          <t>华中区域</t>
        </is>
      </c>
      <c r="J163" s="4" t="inlineStr">
        <is>
          <t>刘秀秀</t>
        </is>
      </c>
    </row>
    <row r="164">
      <c r="A164" s="14" t="n">
        <v>45997</v>
      </c>
      <c r="B164" s="4" t="inlineStr">
        <is>
          <t>SO202510126</t>
        </is>
      </c>
      <c r="C164" s="4" t="inlineStr">
        <is>
          <t>温州优鲜食品有限公司</t>
        </is>
      </c>
      <c r="D164" s="4" t="inlineStr">
        <is>
          <t>精密轴承</t>
        </is>
      </c>
      <c r="E164" s="4" t="inlineStr">
        <is>
          <t>500g</t>
        </is>
      </c>
      <c r="F164" s="18" t="n">
        <v>3390</v>
      </c>
      <c r="G164" s="15" t="n">
        <v>127.74</v>
      </c>
      <c r="H164" s="15" t="n">
        <v>433038.6</v>
      </c>
      <c r="I164" s="4" t="inlineStr">
        <is>
          <t>华中区域</t>
        </is>
      </c>
      <c r="J164" s="4" t="inlineStr">
        <is>
          <t>郭超芳</t>
        </is>
      </c>
    </row>
    <row r="165">
      <c r="A165" s="14" t="n">
        <v>46000</v>
      </c>
      <c r="B165" s="4" t="inlineStr">
        <is>
          <t>SO202510006</t>
        </is>
      </c>
      <c r="C165" s="4" t="inlineStr">
        <is>
          <t>苏州优鲜酒店管理集团</t>
        </is>
      </c>
      <c r="D165" s="4" t="inlineStr">
        <is>
          <t>工装夹具</t>
        </is>
      </c>
      <c r="E165" s="4" t="inlineStr">
        <is>
          <t>B级</t>
        </is>
      </c>
      <c r="F165" s="18" t="n">
        <v>4990</v>
      </c>
      <c r="G165" s="15" t="n">
        <v>13.15</v>
      </c>
      <c r="H165" s="15" t="n">
        <v>65618.5</v>
      </c>
      <c r="I165" s="4" t="inlineStr">
        <is>
          <t>江苏区域</t>
        </is>
      </c>
      <c r="J165" s="4" t="inlineStr">
        <is>
          <t>陈娟芳</t>
        </is>
      </c>
    </row>
    <row r="166">
      <c r="A166" s="14" t="n">
        <v>46001</v>
      </c>
      <c r="B166" s="4" t="inlineStr">
        <is>
          <t>SO202510011</t>
        </is>
      </c>
      <c r="C166" s="4" t="inlineStr">
        <is>
          <t>合肥京功超市</t>
        </is>
      </c>
      <c r="D166" s="4" t="inlineStr">
        <is>
          <t>气动元件</t>
        </is>
      </c>
      <c r="E166" s="4" t="inlineStr">
        <is>
          <t>2.5kg</t>
        </is>
      </c>
      <c r="F166" s="18" t="n">
        <v>3740</v>
      </c>
      <c r="G166" s="15" t="n">
        <v>125.58</v>
      </c>
      <c r="H166" s="15" t="n">
        <v>469669.2</v>
      </c>
      <c r="I166" s="4" t="inlineStr">
        <is>
          <t>江苏区域</t>
        </is>
      </c>
      <c r="J166" s="4" t="inlineStr">
        <is>
          <t>王静芳</t>
        </is>
      </c>
    </row>
    <row r="167">
      <c r="A167" s="14" t="n">
        <v>46002</v>
      </c>
      <c r="B167" s="4" t="inlineStr">
        <is>
          <t>SO202510060</t>
        </is>
      </c>
      <c r="C167" s="4" t="inlineStr">
        <is>
          <t>常州优鲜商贸有限公司</t>
        </is>
      </c>
      <c r="D167" s="4" t="inlineStr">
        <is>
          <t>气动元件</t>
        </is>
      </c>
      <c r="E167" s="4" t="inlineStr">
        <is>
          <t>1kg</t>
        </is>
      </c>
      <c r="F167" s="18" t="n">
        <v>4900</v>
      </c>
      <c r="G167" s="15" t="n">
        <v>106.61</v>
      </c>
      <c r="H167" s="15" t="n">
        <v>522389</v>
      </c>
      <c r="I167" s="4" t="inlineStr">
        <is>
          <t>浙江区域</t>
        </is>
      </c>
      <c r="J167" s="4" t="inlineStr">
        <is>
          <t>林杰英</t>
        </is>
      </c>
    </row>
    <row r="168">
      <c r="A168" s="14" t="n">
        <v>46004</v>
      </c>
      <c r="B168" s="4" t="inlineStr">
        <is>
          <t>SO202510145</t>
        </is>
      </c>
      <c r="C168" s="4" t="inlineStr">
        <is>
          <t>宁波优鲜商贸有限公司</t>
        </is>
      </c>
      <c r="D168" s="4" t="inlineStr">
        <is>
          <t>数控机床</t>
        </is>
      </c>
      <c r="E168" s="4" t="inlineStr">
        <is>
          <t>2.5kg</t>
        </is>
      </c>
      <c r="F168" s="18" t="n">
        <v>4800</v>
      </c>
      <c r="G168" s="15" t="n">
        <v>128.85</v>
      </c>
      <c r="H168" s="15" t="n">
        <v>618480</v>
      </c>
      <c r="I168" s="4" t="inlineStr">
        <is>
          <t>广东区域</t>
        </is>
      </c>
      <c r="J168" s="4" t="inlineStr">
        <is>
          <t>高明芳</t>
        </is>
      </c>
    </row>
    <row r="169">
      <c r="A169" s="14" t="n">
        <v>46005</v>
      </c>
      <c r="B169" s="4" t="inlineStr">
        <is>
          <t>SO202510030</t>
        </is>
      </c>
      <c r="C169" s="4" t="inlineStr">
        <is>
          <t>南京食佳酒店管理集团</t>
        </is>
      </c>
      <c r="D169" s="4" t="inlineStr">
        <is>
          <t>数控机床</t>
        </is>
      </c>
      <c r="E169" s="4" t="inlineStr">
        <is>
          <t>B级</t>
        </is>
      </c>
      <c r="F169" s="18" t="n">
        <v>4680</v>
      </c>
      <c r="G169" s="15" t="n">
        <v>149.59</v>
      </c>
      <c r="H169" s="15" t="n">
        <v>700081.2</v>
      </c>
      <c r="I169" s="4" t="inlineStr">
        <is>
          <t>广东区域</t>
        </is>
      </c>
      <c r="J169" s="4" t="inlineStr">
        <is>
          <t>王秀伟</t>
        </is>
      </c>
    </row>
    <row r="170">
      <c r="A170" s="14" t="n">
        <v>46005</v>
      </c>
      <c r="B170" s="4" t="inlineStr">
        <is>
          <t>SO202510144</t>
        </is>
      </c>
      <c r="C170" s="4" t="inlineStr">
        <is>
          <t>上海淼沃超市</t>
        </is>
      </c>
      <c r="D170" s="4" t="inlineStr">
        <is>
          <t>精密轴承</t>
        </is>
      </c>
      <c r="E170" s="4" t="inlineStr">
        <is>
          <t>精装</t>
        </is>
      </c>
      <c r="F170" s="18" t="n">
        <v>1980</v>
      </c>
      <c r="G170" s="15" t="n">
        <v>103.88</v>
      </c>
      <c r="H170" s="15" t="n">
        <v>205682.4</v>
      </c>
      <c r="I170" s="4" t="inlineStr">
        <is>
          <t>江苏区域</t>
        </is>
      </c>
      <c r="J170" s="4" t="inlineStr">
        <is>
          <t>黄磊秀</t>
        </is>
      </c>
    </row>
    <row r="171">
      <c r="A171" s="14" t="n">
        <v>46007</v>
      </c>
      <c r="B171" s="4" t="inlineStr">
        <is>
          <t>SO202510010</t>
        </is>
      </c>
      <c r="C171" s="4" t="inlineStr">
        <is>
          <t>上海食佳商贸有限公司</t>
        </is>
      </c>
      <c r="D171" s="4" t="inlineStr">
        <is>
          <t>气动元件</t>
        </is>
      </c>
      <c r="E171" s="4" t="inlineStr">
        <is>
          <t>简装</t>
        </is>
      </c>
      <c r="F171" s="18" t="n">
        <v>4090</v>
      </c>
      <c r="G171" s="15" t="n">
        <v>149.74</v>
      </c>
      <c r="H171" s="15" t="n">
        <v>612436.6</v>
      </c>
      <c r="I171" s="4" t="inlineStr">
        <is>
          <t>浙江区域</t>
        </is>
      </c>
      <c r="J171" s="4" t="inlineStr">
        <is>
          <t>张敏芳</t>
        </is>
      </c>
    </row>
    <row r="172">
      <c r="A172" s="14" t="n">
        <v>46009</v>
      </c>
      <c r="B172" s="4" t="inlineStr">
        <is>
          <t>SO202510087</t>
        </is>
      </c>
      <c r="C172" s="4" t="inlineStr">
        <is>
          <t>常州优鲜商贸有限公司</t>
        </is>
      </c>
      <c r="D172" s="4" t="inlineStr">
        <is>
          <t>气动元件</t>
        </is>
      </c>
      <c r="E172" s="4" t="inlineStr">
        <is>
          <t>5kg</t>
        </is>
      </c>
      <c r="F172" s="18" t="n">
        <v>2040</v>
      </c>
      <c r="G172" s="15" t="n">
        <v>152.79</v>
      </c>
      <c r="H172" s="15" t="n">
        <v>311691.6</v>
      </c>
      <c r="I172" s="4" t="inlineStr">
        <is>
          <t>江苏区域</t>
        </is>
      </c>
      <c r="J172" s="4" t="inlineStr">
        <is>
          <t>徐英英</t>
        </is>
      </c>
    </row>
    <row r="173">
      <c r="A173" s="14" t="n">
        <v>46009</v>
      </c>
      <c r="B173" s="4" t="inlineStr">
        <is>
          <t>SO202510140</t>
        </is>
      </c>
      <c r="C173" s="4" t="inlineStr">
        <is>
          <t>无锡优鲜供应链有限公司</t>
        </is>
      </c>
      <c r="D173" s="4" t="inlineStr">
        <is>
          <t>模具</t>
        </is>
      </c>
      <c r="E173" s="4" t="inlineStr">
        <is>
          <t>简装</t>
        </is>
      </c>
      <c r="F173" s="18" t="n">
        <v>3470</v>
      </c>
      <c r="G173" s="15" t="n">
        <v>59.03</v>
      </c>
      <c r="H173" s="15" t="n">
        <v>204834.1</v>
      </c>
      <c r="I173" s="4" t="inlineStr">
        <is>
          <t>江苏区域</t>
        </is>
      </c>
      <c r="J173" s="4" t="inlineStr">
        <is>
          <t>何兰英</t>
        </is>
      </c>
    </row>
    <row r="174">
      <c r="A174" s="14" t="n">
        <v>46011</v>
      </c>
      <c r="B174" s="4" t="inlineStr">
        <is>
          <t>SO202510090</t>
        </is>
      </c>
      <c r="C174" s="4" t="inlineStr">
        <is>
          <t>苏州大匠电商平台</t>
        </is>
      </c>
      <c r="D174" s="4" t="inlineStr">
        <is>
          <t>工装夹具</t>
        </is>
      </c>
      <c r="E174" s="4" t="inlineStr">
        <is>
          <t>10kg</t>
        </is>
      </c>
      <c r="F174" s="18" t="n">
        <v>2640</v>
      </c>
      <c r="G174" s="15" t="n">
        <v>16.78</v>
      </c>
      <c r="H174" s="15" t="n">
        <v>44299.2</v>
      </c>
      <c r="I174" s="4" t="inlineStr">
        <is>
          <t>浙江区域</t>
        </is>
      </c>
      <c r="J174" s="4" t="inlineStr">
        <is>
          <t>张芳敏</t>
        </is>
      </c>
    </row>
    <row r="175">
      <c r="A175" s="14" t="n">
        <v>46011</v>
      </c>
      <c r="B175" s="4" t="inlineStr">
        <is>
          <t>SO202510167</t>
        </is>
      </c>
      <c r="C175" s="4" t="inlineStr">
        <is>
          <t>嘉兴大匠供应链有限公司</t>
        </is>
      </c>
      <c r="D175" s="4" t="inlineStr">
        <is>
          <t>精密轴承</t>
        </is>
      </c>
      <c r="E175" s="4" t="inlineStr">
        <is>
          <t>特级</t>
        </is>
      </c>
      <c r="F175" s="18" t="n">
        <v>2960</v>
      </c>
      <c r="G175" s="15" t="n">
        <v>147.5</v>
      </c>
      <c r="H175" s="15" t="n">
        <v>436600</v>
      </c>
      <c r="I175" s="4" t="inlineStr">
        <is>
          <t>江苏区域</t>
        </is>
      </c>
      <c r="J175" s="4" t="inlineStr">
        <is>
          <t>赵伟娜</t>
        </is>
      </c>
    </row>
    <row r="176">
      <c r="A176" s="14" t="n">
        <v>46013</v>
      </c>
      <c r="B176" s="4" t="inlineStr">
        <is>
          <t>SO202510171</t>
        </is>
      </c>
      <c r="C176" s="4" t="inlineStr">
        <is>
          <t>镇江京功食品有限公司</t>
        </is>
      </c>
      <c r="D176" s="4" t="inlineStr">
        <is>
          <t>模具</t>
        </is>
      </c>
      <c r="E176" s="4" t="inlineStr">
        <is>
          <t>1kg</t>
        </is>
      </c>
      <c r="F176" s="18" t="n">
        <v>4260</v>
      </c>
      <c r="G176" s="15" t="n">
        <v>112.22</v>
      </c>
      <c r="H176" s="15" t="n">
        <v>478057.2</v>
      </c>
      <c r="I176" s="4" t="inlineStr">
        <is>
          <t>江苏区域</t>
        </is>
      </c>
      <c r="J176" s="4" t="inlineStr">
        <is>
          <t>刘杰英</t>
        </is>
      </c>
    </row>
    <row r="177">
      <c r="A177" s="14" t="n">
        <v>46016</v>
      </c>
      <c r="B177" s="4" t="inlineStr">
        <is>
          <t>SO202510131</t>
        </is>
      </c>
      <c r="C177" s="4" t="inlineStr">
        <is>
          <t>温州京功餐饮管理有限公司</t>
        </is>
      </c>
      <c r="D177" s="4" t="inlineStr">
        <is>
          <t>模具</t>
        </is>
      </c>
      <c r="E177" s="4" t="inlineStr">
        <is>
          <t>2.5kg</t>
        </is>
      </c>
      <c r="F177" s="18" t="n">
        <v>2420</v>
      </c>
      <c r="G177" s="15" t="n">
        <v>22.37</v>
      </c>
      <c r="H177" s="15" t="n">
        <v>54135.4</v>
      </c>
      <c r="I177" s="4" t="inlineStr">
        <is>
          <t>浙江区域</t>
        </is>
      </c>
      <c r="J177" s="4" t="inlineStr">
        <is>
          <t>吴英芳</t>
        </is>
      </c>
    </row>
    <row r="178">
      <c r="A178" s="14" t="n">
        <v>46017</v>
      </c>
      <c r="B178" s="4" t="inlineStr">
        <is>
          <t>SO202510133</t>
        </is>
      </c>
      <c r="C178" s="4" t="inlineStr">
        <is>
          <t>上海百味餐饮管理有限公司</t>
        </is>
      </c>
      <c r="D178" s="4" t="inlineStr">
        <is>
          <t>液压件</t>
        </is>
      </c>
      <c r="E178" s="4" t="inlineStr">
        <is>
          <t>B级</t>
        </is>
      </c>
      <c r="F178" s="18" t="n">
        <v>2890</v>
      </c>
      <c r="G178" s="15" t="n">
        <v>67.45999999999999</v>
      </c>
      <c r="H178" s="15" t="n">
        <v>194959.4</v>
      </c>
      <c r="I178" s="4" t="inlineStr">
        <is>
          <t>浙江区域</t>
        </is>
      </c>
      <c r="J178" s="4" t="inlineStr">
        <is>
          <t>罗兰伟</t>
        </is>
      </c>
    </row>
    <row r="179">
      <c r="A179" s="14" t="n">
        <v>46019</v>
      </c>
      <c r="B179" s="4" t="inlineStr">
        <is>
          <t>SO202510128</t>
        </is>
      </c>
      <c r="C179" s="4" t="inlineStr">
        <is>
          <t>南京京功电商平台</t>
        </is>
      </c>
      <c r="D179" s="4" t="inlineStr">
        <is>
          <t>工装夹具</t>
        </is>
      </c>
      <c r="E179" s="4" t="inlineStr">
        <is>
          <t>25kg</t>
        </is>
      </c>
      <c r="F179" s="18" t="n">
        <v>1020</v>
      </c>
      <c r="G179" s="15" t="n">
        <v>96.95</v>
      </c>
      <c r="H179" s="15" t="n">
        <v>98889</v>
      </c>
      <c r="I179" s="4" t="inlineStr">
        <is>
          <t>浙江区域</t>
        </is>
      </c>
      <c r="J179" s="4" t="inlineStr">
        <is>
          <t>李秀娜</t>
        </is>
      </c>
    </row>
    <row r="180">
      <c r="A180" s="6" t="inlineStr">
        <is>
          <t>合计</t>
        </is>
      </c>
      <c r="F180" s="19" t="n">
        <v>438190</v>
      </c>
      <c r="H180" s="16" t="n">
        <v>33671066.6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苏州精密机械制造有限公司应收账款账龄分析表</t>
        </is>
      </c>
    </row>
    <row r="2">
      <c r="A2" t="inlineStr">
        <is>
          <t>截止日期：2025年12月31日</t>
        </is>
      </c>
      <c r="H2" t="inlineStr">
        <is>
          <t>单位：元</t>
        </is>
      </c>
    </row>
    <row r="3">
      <c r="A3" s="2" t="inlineStr">
        <is>
          <t>客户名称</t>
        </is>
      </c>
      <c r="B3" s="2" t="inlineStr">
        <is>
          <t>应收余额</t>
        </is>
      </c>
      <c r="C3" s="2" t="inlineStr">
        <is>
          <t>账龄分布</t>
        </is>
      </c>
      <c r="H3" s="2" t="inlineStr">
        <is>
          <t>信用额度</t>
        </is>
      </c>
    </row>
    <row r="4">
      <c r="A4" s="12" t="n"/>
      <c r="B4" s="12" t="n"/>
      <c r="C4" s="2" t="inlineStr">
        <is>
          <t>0-30天</t>
        </is>
      </c>
      <c r="D4" s="2" t="inlineStr">
        <is>
          <t>31-60天</t>
        </is>
      </c>
      <c r="E4" s="2" t="inlineStr">
        <is>
          <t>61-90天</t>
        </is>
      </c>
      <c r="F4" s="2" t="inlineStr">
        <is>
          <t>91-180天</t>
        </is>
      </c>
      <c r="G4" s="2" t="inlineStr">
        <is>
          <t>180天以上</t>
        </is>
      </c>
      <c r="H4" s="12" t="n"/>
    </row>
    <row r="5">
      <c r="A5" s="4" t="inlineStr">
        <is>
          <t>南京汇通连锁超市</t>
        </is>
      </c>
      <c r="B5" s="15" t="n">
        <v>1559317.33</v>
      </c>
      <c r="C5" s="15" t="n">
        <v>604479</v>
      </c>
      <c r="D5" s="15" t="n">
        <v>660621.29</v>
      </c>
      <c r="E5" s="15" t="n">
        <v>199508.67</v>
      </c>
      <c r="F5" s="15" t="n">
        <v>132.1</v>
      </c>
      <c r="G5" s="15" t="n">
        <v>94576.27</v>
      </c>
      <c r="H5" s="15" t="n">
        <v>1678596.4</v>
      </c>
    </row>
    <row r="6">
      <c r="A6" s="4" t="inlineStr">
        <is>
          <t>福州大匠进出口有限公司</t>
        </is>
      </c>
      <c r="B6" s="15" t="n">
        <v>176967.32</v>
      </c>
      <c r="C6" s="15" t="n">
        <v>109073.08</v>
      </c>
      <c r="D6" s="15" t="n">
        <v>39396.24</v>
      </c>
      <c r="E6" s="15" t="n">
        <v>27437.11</v>
      </c>
      <c r="F6" s="15" t="n">
        <v>334.81</v>
      </c>
      <c r="G6" s="15" t="n">
        <v>726.08</v>
      </c>
      <c r="H6" s="15" t="n">
        <v>269348.4</v>
      </c>
    </row>
    <row r="7">
      <c r="A7" s="4" t="inlineStr">
        <is>
          <t>苏州汇通进出口有限公司</t>
        </is>
      </c>
      <c r="B7" s="15" t="n">
        <v>468183.33</v>
      </c>
      <c r="C7" s="15" t="n">
        <v>224842.02</v>
      </c>
      <c r="D7" s="15" t="n">
        <v>128101.3</v>
      </c>
      <c r="E7" s="15" t="n">
        <v>77934.81</v>
      </c>
      <c r="F7" s="15" t="n">
        <v>14428.74</v>
      </c>
      <c r="G7" s="15" t="n">
        <v>22876.46</v>
      </c>
      <c r="H7" s="15" t="n">
        <v>591520.5</v>
      </c>
    </row>
    <row r="8">
      <c r="A8" s="4" t="inlineStr">
        <is>
          <t>济南京功连锁超市</t>
        </is>
      </c>
      <c r="B8" s="15" t="n">
        <v>138398.16</v>
      </c>
      <c r="C8" s="15" t="n">
        <v>86640.62</v>
      </c>
      <c r="D8" s="15" t="n">
        <v>16529.04</v>
      </c>
      <c r="E8" s="15" t="n">
        <v>19646.34</v>
      </c>
      <c r="F8" s="15" t="n">
        <v>7695.32</v>
      </c>
      <c r="G8" s="15" t="n">
        <v>7886.84</v>
      </c>
      <c r="H8" s="15" t="n">
        <v>302515.37</v>
      </c>
    </row>
    <row r="9">
      <c r="A9" s="4" t="inlineStr">
        <is>
          <t>无锡荣泰进出口有限公司</t>
        </is>
      </c>
      <c r="B9" s="15" t="n">
        <v>761606.66</v>
      </c>
      <c r="C9" s="15" t="n">
        <v>391907.88</v>
      </c>
      <c r="D9" s="15" t="n">
        <v>189817.45</v>
      </c>
      <c r="E9" s="15" t="n">
        <v>82116.21000000001</v>
      </c>
      <c r="F9" s="15" t="n">
        <v>81001.02</v>
      </c>
      <c r="G9" s="15" t="n">
        <v>16764.1</v>
      </c>
      <c r="H9" s="15" t="n">
        <v>1024438.83</v>
      </c>
    </row>
    <row r="10">
      <c r="A10" s="4" t="inlineStr">
        <is>
          <t>成都永利实业有限公司</t>
        </is>
      </c>
      <c r="B10" s="15" t="n">
        <v>961840.59</v>
      </c>
      <c r="C10" s="15" t="n">
        <v>384976.18</v>
      </c>
      <c r="D10" s="15" t="n">
        <v>300964.13</v>
      </c>
      <c r="E10" s="15" t="n">
        <v>165101.19</v>
      </c>
      <c r="F10" s="15" t="n">
        <v>93789.94</v>
      </c>
      <c r="G10" s="15" t="n">
        <v>17009.15</v>
      </c>
      <c r="H10" s="15" t="n">
        <v>2058460.02</v>
      </c>
    </row>
    <row r="11">
      <c r="A11" s="4" t="inlineStr">
        <is>
          <t>无锡优鲜电子商务有限公司</t>
        </is>
      </c>
      <c r="B11" s="15" t="n">
        <v>559705.42</v>
      </c>
      <c r="C11" s="15" t="n">
        <v>254121.48</v>
      </c>
      <c r="D11" s="15" t="n">
        <v>156806.71</v>
      </c>
      <c r="E11" s="15" t="n">
        <v>63612.42</v>
      </c>
      <c r="F11" s="15" t="n">
        <v>57511.59</v>
      </c>
      <c r="G11" s="15" t="n">
        <v>27653.22</v>
      </c>
      <c r="H11" s="15" t="n">
        <v>698873.51</v>
      </c>
    </row>
    <row r="12">
      <c r="A12" s="4" t="inlineStr">
        <is>
          <t>重庆百味商贸有限公司</t>
        </is>
      </c>
      <c r="B12" s="15" t="n">
        <v>455798.8</v>
      </c>
      <c r="C12" s="15" t="n">
        <v>270311.74</v>
      </c>
      <c r="D12" s="15" t="n">
        <v>72068.74000000001</v>
      </c>
      <c r="E12" s="15" t="n">
        <v>83807.52</v>
      </c>
      <c r="F12" s="15" t="n">
        <v>17049.97</v>
      </c>
      <c r="G12" s="15" t="n">
        <v>12560.83</v>
      </c>
      <c r="H12" s="15" t="n">
        <v>1099266.67</v>
      </c>
    </row>
    <row r="13">
      <c r="A13" s="4" t="inlineStr">
        <is>
          <t>上海鑫达餐饮集团</t>
        </is>
      </c>
      <c r="B13" s="15" t="n">
        <v>1260752.21</v>
      </c>
      <c r="C13" s="15" t="n">
        <v>833130.1800000001</v>
      </c>
      <c r="D13" s="15" t="n">
        <v>146866.82</v>
      </c>
      <c r="E13" s="15" t="n">
        <v>206290.82</v>
      </c>
      <c r="F13" s="15" t="n">
        <v>32328.73</v>
      </c>
      <c r="G13" s="15" t="n">
        <v>42135.66</v>
      </c>
      <c r="H13" s="15" t="n">
        <v>2737679.34</v>
      </c>
    </row>
    <row r="14">
      <c r="A14" s="4" t="inlineStr">
        <is>
          <t>西安汇通连锁超市</t>
        </is>
      </c>
      <c r="B14" s="15" t="n">
        <v>983274.89</v>
      </c>
      <c r="C14" s="15" t="n">
        <v>450798.73</v>
      </c>
      <c r="D14" s="15" t="n">
        <v>253431.84</v>
      </c>
      <c r="E14" s="15" t="n">
        <v>92086</v>
      </c>
      <c r="F14" s="15" t="n">
        <v>122498.26</v>
      </c>
      <c r="G14" s="15" t="n">
        <v>64460.06</v>
      </c>
      <c r="H14" s="15" t="n">
        <v>2121090.68</v>
      </c>
    </row>
    <row r="15">
      <c r="A15" s="4" t="inlineStr">
        <is>
          <t>长沙鑫达商贸有限公司</t>
        </is>
      </c>
      <c r="B15" s="15" t="n">
        <v>1101269.44</v>
      </c>
      <c r="C15" s="15" t="n">
        <v>510840.92</v>
      </c>
      <c r="D15" s="15" t="n">
        <v>253713.05</v>
      </c>
      <c r="E15" s="15" t="n">
        <v>145072.46</v>
      </c>
      <c r="F15" s="15" t="n">
        <v>131773.74</v>
      </c>
      <c r="G15" s="15" t="n">
        <v>59869.27</v>
      </c>
      <c r="H15" s="15" t="n">
        <v>1109196.09</v>
      </c>
    </row>
    <row r="16">
      <c r="A16" s="4" t="inlineStr">
        <is>
          <t>济南京功商贸有限公司</t>
        </is>
      </c>
      <c r="B16" s="15" t="n">
        <v>852069.67</v>
      </c>
      <c r="C16" s="15" t="n">
        <v>372179.16</v>
      </c>
      <c r="D16" s="15" t="n">
        <v>260383.22</v>
      </c>
      <c r="E16" s="15" t="n">
        <v>127543.68</v>
      </c>
      <c r="F16" s="15" t="n">
        <v>54176.34</v>
      </c>
      <c r="G16" s="15" t="n">
        <v>37787.27</v>
      </c>
      <c r="H16" s="15" t="n">
        <v>911407.5600000001</v>
      </c>
    </row>
    <row r="17">
      <c r="A17" s="4" t="inlineStr">
        <is>
          <t>重庆大匠供应链有限公司</t>
        </is>
      </c>
      <c r="B17" s="15" t="n">
        <v>586166.79</v>
      </c>
      <c r="C17" s="15" t="n">
        <v>291513.72</v>
      </c>
      <c r="D17" s="15" t="n">
        <v>205799.11</v>
      </c>
      <c r="E17" s="15" t="n">
        <v>67009.63</v>
      </c>
      <c r="F17" s="15" t="n">
        <v>7675.77</v>
      </c>
      <c r="G17" s="15" t="n">
        <v>14168.56</v>
      </c>
      <c r="H17" s="15" t="n">
        <v>1124509.23</v>
      </c>
    </row>
    <row r="18">
      <c r="A18" s="4" t="inlineStr">
        <is>
          <t>西安京功电子商务有限公司</t>
        </is>
      </c>
      <c r="B18" s="15" t="n">
        <v>828688.83</v>
      </c>
      <c r="C18" s="15" t="n">
        <v>372817.68</v>
      </c>
      <c r="D18" s="15" t="n">
        <v>317799.85</v>
      </c>
      <c r="E18" s="15" t="n">
        <v>62009.41</v>
      </c>
      <c r="F18" s="15" t="n">
        <v>55240.13</v>
      </c>
      <c r="G18" s="15" t="n">
        <v>20821.76</v>
      </c>
      <c r="H18" s="15" t="n">
        <v>884790.35</v>
      </c>
    </row>
    <row r="19">
      <c r="A19" s="4" t="inlineStr">
        <is>
          <t>南京大匠电子商务有限公司</t>
        </is>
      </c>
      <c r="B19" s="15" t="n">
        <v>573931.73</v>
      </c>
      <c r="C19" s="15" t="n">
        <v>284959.28</v>
      </c>
      <c r="D19" s="15" t="n">
        <v>132711.56</v>
      </c>
      <c r="E19" s="15" t="n">
        <v>75270.92999999999</v>
      </c>
      <c r="F19" s="15" t="n">
        <v>57714.43</v>
      </c>
      <c r="G19" s="15" t="n">
        <v>23275.53</v>
      </c>
      <c r="H19" s="15" t="n">
        <v>731181</v>
      </c>
    </row>
    <row r="20">
      <c r="A20" s="4" t="inlineStr">
        <is>
          <t>南京荣泰电子商务有限公司</t>
        </is>
      </c>
      <c r="B20" s="15" t="n">
        <v>603225.51</v>
      </c>
      <c r="C20" s="15" t="n">
        <v>339175.45</v>
      </c>
      <c r="D20" s="15" t="n">
        <v>115492.1</v>
      </c>
      <c r="E20" s="15" t="n">
        <v>70992.25</v>
      </c>
      <c r="F20" s="15" t="n">
        <v>71313.92999999999</v>
      </c>
      <c r="G20" s="15" t="n">
        <v>6251.78</v>
      </c>
      <c r="H20" s="15" t="n">
        <v>708693.46</v>
      </c>
    </row>
    <row r="21">
      <c r="A21" s="4" t="inlineStr">
        <is>
          <t>杭州汇通餐饮集团</t>
        </is>
      </c>
      <c r="B21" s="15" t="n">
        <v>1108827.32</v>
      </c>
      <c r="C21" s="15" t="n">
        <v>442573.01</v>
      </c>
      <c r="D21" s="15" t="n">
        <v>418264.14</v>
      </c>
      <c r="E21" s="15" t="n">
        <v>100258.42</v>
      </c>
      <c r="F21" s="15" t="n">
        <v>140095.85</v>
      </c>
      <c r="G21" s="15" t="n">
        <v>7635.9</v>
      </c>
      <c r="H21" s="15" t="n">
        <v>1997384.09</v>
      </c>
    </row>
    <row r="22">
      <c r="A22" s="4" t="inlineStr">
        <is>
          <t>苏州永利电子商务有限公司</t>
        </is>
      </c>
      <c r="B22" s="15" t="n">
        <v>661290.6899999999</v>
      </c>
      <c r="C22" s="15" t="n">
        <v>322098.59</v>
      </c>
      <c r="D22" s="15" t="n">
        <v>159433.51</v>
      </c>
      <c r="E22" s="15" t="n">
        <v>69672.14999999999</v>
      </c>
      <c r="F22" s="15" t="n">
        <v>93910.25999999999</v>
      </c>
      <c r="G22" s="15" t="n">
        <v>16176.18</v>
      </c>
      <c r="H22" s="15" t="n">
        <v>881869.99</v>
      </c>
    </row>
    <row r="23">
      <c r="A23" s="4" t="inlineStr">
        <is>
          <t>杭州京功电子商务有限公司</t>
        </is>
      </c>
      <c r="B23" s="15" t="n">
        <v>272184.18</v>
      </c>
      <c r="C23" s="15" t="n">
        <v>121548.6</v>
      </c>
      <c r="D23" s="15" t="n">
        <v>100388.98</v>
      </c>
      <c r="E23" s="15" t="n">
        <v>23771.38</v>
      </c>
      <c r="F23" s="15" t="n">
        <v>21637.42</v>
      </c>
      <c r="G23" s="15" t="n">
        <v>4837.8</v>
      </c>
      <c r="H23" s="15" t="n">
        <v>606453.95</v>
      </c>
    </row>
    <row r="24">
      <c r="A24" s="4" t="inlineStr">
        <is>
          <t>成都京功供应链有限公司</t>
        </is>
      </c>
      <c r="B24" s="15" t="n">
        <v>730703.98</v>
      </c>
      <c r="C24" s="15" t="n">
        <v>391015.6</v>
      </c>
      <c r="D24" s="15" t="n">
        <v>178373.48</v>
      </c>
      <c r="E24" s="15" t="n">
        <v>83756</v>
      </c>
      <c r="F24" s="15" t="n">
        <v>77157.07000000001</v>
      </c>
      <c r="G24" s="15" t="n">
        <v>401.83</v>
      </c>
      <c r="H24" s="15" t="n">
        <v>1563004.58</v>
      </c>
    </row>
    <row r="25">
      <c r="A25" s="4" t="inlineStr">
        <is>
          <t>深圳百味进出口有限公司</t>
        </is>
      </c>
      <c r="B25" s="15" t="n">
        <v>1416521.59</v>
      </c>
      <c r="C25" s="15" t="n">
        <v>579650.29</v>
      </c>
      <c r="D25" s="15" t="n">
        <v>554271.24</v>
      </c>
      <c r="E25" s="15" t="n">
        <v>82071.41</v>
      </c>
      <c r="F25" s="15" t="n">
        <v>80498.42999999999</v>
      </c>
      <c r="G25" s="15" t="n">
        <v>120030.22</v>
      </c>
      <c r="H25" s="15" t="n">
        <v>2469011.48</v>
      </c>
    </row>
    <row r="26">
      <c r="A26" s="4" t="inlineStr">
        <is>
          <t>西安汇通电子商务有限公司</t>
        </is>
      </c>
      <c r="B26" s="15" t="n">
        <v>1492424.56</v>
      </c>
      <c r="C26" s="15" t="n">
        <v>499738.71</v>
      </c>
      <c r="D26" s="15" t="n">
        <v>583721.01</v>
      </c>
      <c r="E26" s="15" t="n">
        <v>97379.72</v>
      </c>
      <c r="F26" s="15" t="n">
        <v>203515.98</v>
      </c>
      <c r="G26" s="15" t="n">
        <v>108069.14</v>
      </c>
      <c r="H26" s="15" t="n">
        <v>2649893.05</v>
      </c>
    </row>
    <row r="27">
      <c r="A27" s="4" t="inlineStr">
        <is>
          <t>天津荣泰电子商务有限公司</t>
        </is>
      </c>
      <c r="B27" s="15" t="n">
        <v>1415918.26</v>
      </c>
      <c r="C27" s="15" t="n">
        <v>655219.25</v>
      </c>
      <c r="D27" s="15" t="n">
        <v>407906.03</v>
      </c>
      <c r="E27" s="15" t="n">
        <v>208956.46</v>
      </c>
      <c r="F27" s="15" t="n">
        <v>130212.68</v>
      </c>
      <c r="G27" s="15" t="n">
        <v>13623.84</v>
      </c>
      <c r="H27" s="15" t="n">
        <v>1552351.3</v>
      </c>
    </row>
    <row r="28">
      <c r="A28" s="4" t="inlineStr">
        <is>
          <t>宁波鑫达进出口有限公司</t>
        </is>
      </c>
      <c r="B28" s="15" t="n">
        <v>1215844.3</v>
      </c>
      <c r="C28" s="15" t="n">
        <v>528063.34</v>
      </c>
      <c r="D28" s="15" t="n">
        <v>468863.05</v>
      </c>
      <c r="E28" s="15" t="n">
        <v>61166.54</v>
      </c>
      <c r="F28" s="15" t="n">
        <v>130922.62</v>
      </c>
      <c r="G28" s="15" t="n">
        <v>26828.75</v>
      </c>
      <c r="H28" s="15" t="n">
        <v>1772178.96</v>
      </c>
    </row>
    <row r="29">
      <c r="A29" s="4" t="inlineStr">
        <is>
          <t>无锡京功实业有限公司</t>
        </is>
      </c>
      <c r="B29" s="15" t="n">
        <v>15832.43</v>
      </c>
      <c r="C29" s="15" t="n">
        <v>8445.15</v>
      </c>
      <c r="D29" s="15" t="n">
        <v>3802.68</v>
      </c>
      <c r="E29" s="15" t="n">
        <v>1987.43</v>
      </c>
      <c r="F29" s="15" t="n">
        <v>339.2</v>
      </c>
      <c r="G29" s="15" t="n">
        <v>1257.97</v>
      </c>
      <c r="H29" s="15" t="n">
        <v>37653.89</v>
      </c>
    </row>
    <row r="30">
      <c r="A30" s="6" t="inlineStr">
        <is>
          <t>合计</t>
        </is>
      </c>
      <c r="B30" s="16" t="n">
        <v>20200743.99</v>
      </c>
      <c r="C30" s="16" t="n">
        <v>9330119.66</v>
      </c>
      <c r="D30" s="16" t="n">
        <v>6125526.57</v>
      </c>
      <c r="E30" s="16" t="n">
        <v>2294458.96</v>
      </c>
      <c r="F30" s="16" t="n">
        <v>1682954.33</v>
      </c>
      <c r="G30" s="16" t="n">
        <v>767684.47</v>
      </c>
      <c r="H30" s="16" t="n">
        <v>31581368.7</v>
      </c>
    </row>
    <row r="31">
      <c r="A31" s="6" t="inlineStr">
        <is>
          <t>占比</t>
        </is>
      </c>
      <c r="B31" s="20" t="n">
        <v>1</v>
      </c>
      <c r="C31" s="20" t="n">
        <v>0.4619</v>
      </c>
      <c r="D31" s="20" t="n">
        <v>0.3032</v>
      </c>
      <c r="E31" s="20" t="n">
        <v>0.1136</v>
      </c>
      <c r="F31" s="20" t="n">
        <v>0.0833</v>
      </c>
      <c r="G31" s="20" t="n">
        <v>0.038</v>
      </c>
    </row>
  </sheetData>
  <mergeCells count="5">
    <mergeCell ref="B3:B4"/>
    <mergeCell ref="A3:A4"/>
    <mergeCell ref="H3:H4"/>
    <mergeCell ref="A1:H1"/>
    <mergeCell ref="C3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苏州精密机械制造有限公司2025年12月库存台账</t>
        </is>
      </c>
    </row>
    <row r="2">
      <c r="A2" s="2" t="inlineStr">
        <is>
          <t>产品名称</t>
        </is>
      </c>
      <c r="B2" s="2" t="inlineStr">
        <is>
          <t>规格</t>
        </is>
      </c>
      <c r="C2" s="2" t="inlineStr">
        <is>
          <t>成品仓</t>
        </is>
      </c>
      <c r="G2" s="2" t="inlineStr">
        <is>
          <t>原材料仓</t>
        </is>
      </c>
      <c r="K2" s="2" t="inlineStr">
        <is>
          <t>半成品仓</t>
        </is>
      </c>
      <c r="O2" s="2" t="inlineStr">
        <is>
          <t>冷链仓</t>
        </is>
      </c>
      <c r="S2" s="2" t="inlineStr">
        <is>
          <t>合计</t>
        </is>
      </c>
    </row>
    <row r="3">
      <c r="A3" s="12" t="n"/>
      <c r="B3" s="12" t="n"/>
      <c r="C3" s="2" t="inlineStr">
        <is>
          <t>期初</t>
        </is>
      </c>
      <c r="D3" s="2" t="inlineStr">
        <is>
          <t>入库</t>
        </is>
      </c>
      <c r="E3" s="2" t="inlineStr">
        <is>
          <t>出库</t>
        </is>
      </c>
      <c r="F3" s="2" t="inlineStr">
        <is>
          <t>期末</t>
        </is>
      </c>
      <c r="G3" s="2" t="inlineStr">
        <is>
          <t>期初</t>
        </is>
      </c>
      <c r="H3" s="2" t="inlineStr">
        <is>
          <t>入库</t>
        </is>
      </c>
      <c r="I3" s="2" t="inlineStr">
        <is>
          <t>出库</t>
        </is>
      </c>
      <c r="J3" s="2" t="inlineStr">
        <is>
          <t>期末</t>
        </is>
      </c>
      <c r="K3" s="2" t="inlineStr">
        <is>
          <t>期初</t>
        </is>
      </c>
      <c r="L3" s="2" t="inlineStr">
        <is>
          <t>入库</t>
        </is>
      </c>
      <c r="M3" s="2" t="inlineStr">
        <is>
          <t>出库</t>
        </is>
      </c>
      <c r="N3" s="2" t="inlineStr">
        <is>
          <t>期末</t>
        </is>
      </c>
      <c r="O3" s="2" t="inlineStr">
        <is>
          <t>期初</t>
        </is>
      </c>
      <c r="P3" s="2" t="inlineStr">
        <is>
          <t>入库</t>
        </is>
      </c>
      <c r="Q3" s="2" t="inlineStr">
        <is>
          <t>出库</t>
        </is>
      </c>
      <c r="R3" s="2" t="inlineStr">
        <is>
          <t>期末</t>
        </is>
      </c>
      <c r="S3" s="2" t="inlineStr">
        <is>
          <t>期初</t>
        </is>
      </c>
      <c r="T3" s="2" t="inlineStr">
        <is>
          <t>入库</t>
        </is>
      </c>
      <c r="U3" s="2" t="inlineStr">
        <is>
          <t>出库</t>
        </is>
      </c>
      <c r="V3" s="2" t="inlineStr">
        <is>
          <t>期末</t>
        </is>
      </c>
    </row>
    <row r="4">
      <c r="A4" s="4" t="inlineStr">
        <is>
          <t>数控机床</t>
        </is>
      </c>
      <c r="B4" s="4" t="inlineStr">
        <is>
          <t>25kg/袋</t>
        </is>
      </c>
      <c r="C4" s="18" t="n">
        <v>3936</v>
      </c>
      <c r="D4" s="18" t="n">
        <v>6607</v>
      </c>
      <c r="E4" s="18" t="n">
        <v>1556</v>
      </c>
      <c r="F4" s="18" t="n">
        <v>8987</v>
      </c>
      <c r="G4" s="18" t="n">
        <v>710</v>
      </c>
      <c r="H4" s="18" t="n">
        <v>2248</v>
      </c>
      <c r="I4" s="18" t="n">
        <v>1840</v>
      </c>
      <c r="J4" s="18" t="n">
        <v>1118</v>
      </c>
      <c r="K4" s="18" t="n">
        <v>693</v>
      </c>
      <c r="L4" s="18" t="n">
        <v>3852</v>
      </c>
      <c r="M4" s="18" t="n">
        <v>1580</v>
      </c>
      <c r="N4" s="18" t="n">
        <v>2965</v>
      </c>
      <c r="O4" s="18" t="n">
        <v>4138</v>
      </c>
      <c r="P4" s="18" t="n">
        <v>2852</v>
      </c>
      <c r="Q4" s="18" t="n">
        <v>4465</v>
      </c>
      <c r="R4" s="18" t="n">
        <v>2525</v>
      </c>
      <c r="S4" s="18" t="n">
        <v>9477</v>
      </c>
      <c r="T4" s="18" t="n">
        <v>15559</v>
      </c>
      <c r="U4" s="18" t="n">
        <v>9441</v>
      </c>
      <c r="V4" s="18" t="n">
        <v>15595</v>
      </c>
    </row>
    <row r="5">
      <c r="A5" s="4" t="inlineStr">
        <is>
          <t>精密轴承</t>
        </is>
      </c>
      <c r="B5" s="4" t="inlineStr">
        <is>
          <t>500g/袋</t>
        </is>
      </c>
      <c r="C5" s="18" t="n">
        <v>2273</v>
      </c>
      <c r="D5" s="18" t="n">
        <v>2919</v>
      </c>
      <c r="E5" s="18" t="n">
        <v>1260</v>
      </c>
      <c r="F5" s="18" t="n">
        <v>3932</v>
      </c>
      <c r="G5" s="18" t="n">
        <v>1532</v>
      </c>
      <c r="H5" s="18" t="n">
        <v>3571</v>
      </c>
      <c r="I5" s="18" t="n">
        <v>3733</v>
      </c>
      <c r="J5" s="18" t="n">
        <v>1370</v>
      </c>
      <c r="K5" s="18" t="n">
        <v>3555</v>
      </c>
      <c r="L5" s="18" t="n">
        <v>5176</v>
      </c>
      <c r="M5" s="18" t="n">
        <v>4204</v>
      </c>
      <c r="N5" s="18" t="n">
        <v>4527</v>
      </c>
      <c r="O5" s="18" t="n">
        <v>4297</v>
      </c>
      <c r="P5" s="18" t="n">
        <v>5417</v>
      </c>
      <c r="Q5" s="18" t="n">
        <v>5148</v>
      </c>
      <c r="R5" s="18" t="n">
        <v>4566</v>
      </c>
      <c r="S5" s="18" t="n">
        <v>11657</v>
      </c>
      <c r="T5" s="18" t="n">
        <v>17083</v>
      </c>
      <c r="U5" s="18" t="n">
        <v>14345</v>
      </c>
      <c r="V5" s="18" t="n">
        <v>14395</v>
      </c>
    </row>
    <row r="6">
      <c r="A6" s="4" t="inlineStr">
        <is>
          <t>液压件</t>
        </is>
      </c>
      <c r="B6" s="4" t="inlineStr">
        <is>
          <t>5kg/箱</t>
        </is>
      </c>
      <c r="C6" s="18" t="n">
        <v>4880</v>
      </c>
      <c r="D6" s="18" t="n">
        <v>4538</v>
      </c>
      <c r="E6" s="18" t="n">
        <v>4378</v>
      </c>
      <c r="F6" s="18" t="n">
        <v>5040</v>
      </c>
      <c r="G6" s="18" t="n">
        <v>3826</v>
      </c>
      <c r="H6" s="18" t="n">
        <v>7806</v>
      </c>
      <c r="I6" s="18" t="n">
        <v>3935</v>
      </c>
      <c r="J6" s="18" t="n">
        <v>7697</v>
      </c>
      <c r="K6" s="18" t="n">
        <v>2758</v>
      </c>
      <c r="L6" s="18" t="n">
        <v>2501</v>
      </c>
      <c r="M6" s="18" t="n">
        <v>2363</v>
      </c>
      <c r="N6" s="18" t="n">
        <v>2896</v>
      </c>
      <c r="O6" s="18" t="n">
        <v>2748</v>
      </c>
      <c r="P6" s="18" t="n">
        <v>4300</v>
      </c>
      <c r="Q6" s="18" t="n">
        <v>2193</v>
      </c>
      <c r="R6" s="18" t="n">
        <v>4855</v>
      </c>
      <c r="S6" s="18" t="n">
        <v>14212</v>
      </c>
      <c r="T6" s="18" t="n">
        <v>19145</v>
      </c>
      <c r="U6" s="18" t="n">
        <v>12869</v>
      </c>
      <c r="V6" s="18" t="n">
        <v>20488</v>
      </c>
    </row>
    <row r="7">
      <c r="A7" s="4" t="inlineStr">
        <is>
          <t>气动元件</t>
        </is>
      </c>
      <c r="B7" s="4" t="inlineStr">
        <is>
          <t>5kg/箱</t>
        </is>
      </c>
      <c r="C7" s="18" t="n">
        <v>2465</v>
      </c>
      <c r="D7" s="18" t="n">
        <v>667</v>
      </c>
      <c r="E7" s="18" t="n">
        <v>1045</v>
      </c>
      <c r="F7" s="18" t="n">
        <v>2087</v>
      </c>
      <c r="G7" s="18" t="n">
        <v>2324</v>
      </c>
      <c r="H7" s="18" t="n">
        <v>134</v>
      </c>
      <c r="I7" s="18" t="n">
        <v>553</v>
      </c>
      <c r="J7" s="18" t="n">
        <v>1905</v>
      </c>
      <c r="K7" s="18" t="n">
        <v>1165</v>
      </c>
      <c r="L7" s="18" t="n">
        <v>6014</v>
      </c>
      <c r="M7" s="18" t="n">
        <v>4841</v>
      </c>
      <c r="N7" s="18" t="n">
        <v>2338</v>
      </c>
      <c r="O7" s="18" t="n">
        <v>1795</v>
      </c>
      <c r="P7" s="18" t="n">
        <v>3507</v>
      </c>
      <c r="Q7" s="18" t="n">
        <v>106</v>
      </c>
      <c r="R7" s="18" t="n">
        <v>5196</v>
      </c>
      <c r="S7" s="18" t="n">
        <v>7749</v>
      </c>
      <c r="T7" s="18" t="n">
        <v>10322</v>
      </c>
      <c r="U7" s="18" t="n">
        <v>6545</v>
      </c>
      <c r="V7" s="18" t="n">
        <v>11526</v>
      </c>
    </row>
    <row r="8">
      <c r="A8" s="4" t="inlineStr">
        <is>
          <t>模具</t>
        </is>
      </c>
      <c r="B8" s="4" t="inlineStr">
        <is>
          <t>25kg/袋</t>
        </is>
      </c>
      <c r="C8" s="18" t="n">
        <v>2739</v>
      </c>
      <c r="D8" s="18" t="n">
        <v>7985</v>
      </c>
      <c r="E8" s="18" t="n">
        <v>5012</v>
      </c>
      <c r="F8" s="18" t="n">
        <v>5712</v>
      </c>
      <c r="G8" s="18" t="n">
        <v>3613</v>
      </c>
      <c r="H8" s="18" t="n">
        <v>1590</v>
      </c>
      <c r="I8" s="18" t="n">
        <v>3796</v>
      </c>
      <c r="J8" s="18" t="n">
        <v>1407</v>
      </c>
      <c r="K8" s="18" t="n">
        <v>2776</v>
      </c>
      <c r="L8" s="18" t="n">
        <v>5535</v>
      </c>
      <c r="M8" s="18" t="n">
        <v>604</v>
      </c>
      <c r="N8" s="18" t="n">
        <v>7707</v>
      </c>
      <c r="O8" s="18" t="n">
        <v>4813</v>
      </c>
      <c r="P8" s="18" t="n">
        <v>1810</v>
      </c>
      <c r="Q8" s="18" t="n">
        <v>2137</v>
      </c>
      <c r="R8" s="18" t="n">
        <v>4486</v>
      </c>
      <c r="S8" s="18" t="n">
        <v>13941</v>
      </c>
      <c r="T8" s="18" t="n">
        <v>16920</v>
      </c>
      <c r="U8" s="18" t="n">
        <v>11549</v>
      </c>
      <c r="V8" s="18" t="n">
        <v>19312</v>
      </c>
    </row>
    <row r="9">
      <c r="A9" s="4" t="inlineStr">
        <is>
          <t>工装夹具</t>
        </is>
      </c>
      <c r="B9" s="4" t="inlineStr">
        <is>
          <t>5kg/箱</t>
        </is>
      </c>
      <c r="C9" s="18" t="n">
        <v>2091</v>
      </c>
      <c r="D9" s="18" t="n">
        <v>4326</v>
      </c>
      <c r="E9" s="18" t="n">
        <v>5018</v>
      </c>
      <c r="F9" s="18" t="n">
        <v>1399</v>
      </c>
      <c r="G9" s="18" t="n">
        <v>272</v>
      </c>
      <c r="H9" s="18" t="n">
        <v>1008</v>
      </c>
      <c r="I9" s="18" t="n">
        <v>393</v>
      </c>
      <c r="J9" s="18" t="n">
        <v>887</v>
      </c>
      <c r="K9" s="18" t="n">
        <v>2333</v>
      </c>
      <c r="L9" s="18" t="n">
        <v>6993</v>
      </c>
      <c r="M9" s="18" t="n">
        <v>4405</v>
      </c>
      <c r="N9" s="18" t="n">
        <v>4921</v>
      </c>
      <c r="O9" s="18" t="n">
        <v>2395</v>
      </c>
      <c r="P9" s="18" t="n">
        <v>6552</v>
      </c>
      <c r="Q9" s="18" t="n">
        <v>2493</v>
      </c>
      <c r="R9" s="18" t="n">
        <v>6454</v>
      </c>
      <c r="S9" s="18" t="n">
        <v>7091</v>
      </c>
      <c r="T9" s="18" t="n">
        <v>18879</v>
      </c>
      <c r="U9" s="18" t="n">
        <v>12309</v>
      </c>
      <c r="V9" s="18" t="n">
        <v>13661</v>
      </c>
    </row>
    <row r="10">
      <c r="A10" s="6" t="inlineStr">
        <is>
          <t>合计</t>
        </is>
      </c>
      <c r="C10" s="19" t="n">
        <v>18384</v>
      </c>
      <c r="D10" s="19" t="n">
        <v>27042</v>
      </c>
      <c r="E10" s="19" t="n">
        <v>18269</v>
      </c>
      <c r="F10" s="19" t="n">
        <v>27157</v>
      </c>
      <c r="G10" s="19" t="n">
        <v>12277</v>
      </c>
      <c r="H10" s="19" t="n">
        <v>16357</v>
      </c>
      <c r="I10" s="19" t="n">
        <v>14250</v>
      </c>
      <c r="J10" s="19" t="n">
        <v>14384</v>
      </c>
      <c r="K10" s="19" t="n">
        <v>13280</v>
      </c>
      <c r="L10" s="19" t="n">
        <v>30071</v>
      </c>
      <c r="M10" s="19" t="n">
        <v>17997</v>
      </c>
      <c r="N10" s="19" t="n">
        <v>25354</v>
      </c>
      <c r="O10" s="19" t="n">
        <v>20186</v>
      </c>
      <c r="P10" s="19" t="n">
        <v>24438</v>
      </c>
      <c r="Q10" s="19" t="n">
        <v>16542</v>
      </c>
      <c r="R10" s="19" t="n">
        <v>28082</v>
      </c>
      <c r="S10" s="19" t="n">
        <v>64127</v>
      </c>
      <c r="T10" s="19" t="n">
        <v>97908</v>
      </c>
      <c r="U10" s="19" t="n">
        <v>67058</v>
      </c>
      <c r="V10" s="19" t="n">
        <v>94977</v>
      </c>
    </row>
  </sheetData>
  <mergeCells count="8">
    <mergeCell ref="S2:V2"/>
    <mergeCell ref="G2:J2"/>
    <mergeCell ref="B2:B3"/>
    <mergeCell ref="A2:A3"/>
    <mergeCell ref="A1:R1"/>
    <mergeCell ref="K2:N2"/>
    <mergeCell ref="C2:F2"/>
    <mergeCell ref="O2:R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苏州精密机械制造有限公司2025年度经营KPI</t>
        </is>
      </c>
    </row>
    <row r="2">
      <c r="A2" s="2" t="inlineStr">
        <is>
          <t>指标</t>
        </is>
      </c>
      <c r="B2" s="2" t="inlineStr">
        <is>
          <t>年度目标</t>
        </is>
      </c>
      <c r="C2" s="2" t="inlineStr">
        <is>
          <t>年度实际</t>
        </is>
      </c>
      <c r="D2" s="2" t="inlineStr">
        <is>
          <t>达成率</t>
        </is>
      </c>
      <c r="E2" s="2" t="inlineStr">
        <is>
          <t>去年同期</t>
        </is>
      </c>
      <c r="F2" s="2" t="inlineStr">
        <is>
          <t>同比增长</t>
        </is>
      </c>
    </row>
    <row r="3">
      <c r="A3" s="6" t="inlineStr">
        <is>
          <t>营业收入(万元)</t>
        </is>
      </c>
      <c r="B3" s="3" t="n">
        <v>10095.2</v>
      </c>
      <c r="C3" s="3" t="n">
        <v>10067.1</v>
      </c>
      <c r="D3" s="21" t="n">
        <v>0.9972</v>
      </c>
      <c r="E3" s="3" t="n">
        <v>8513.799999999999</v>
      </c>
      <c r="F3" s="21" t="n">
        <v>0.1824</v>
      </c>
    </row>
    <row r="4">
      <c r="A4" s="6" t="inlineStr">
        <is>
          <t>净利润(万元)</t>
        </is>
      </c>
      <c r="B4" s="3" t="n">
        <v>567.4</v>
      </c>
      <c r="C4" s="3" t="n">
        <v>472.8</v>
      </c>
      <c r="D4" s="21" t="n">
        <v>0.8333</v>
      </c>
      <c r="E4" s="3" t="n">
        <v>378.3</v>
      </c>
      <c r="F4" s="21" t="n">
        <v>0.25</v>
      </c>
    </row>
    <row r="5">
      <c r="A5" s="6" t="inlineStr">
        <is>
          <t>毛利率</t>
        </is>
      </c>
      <c r="B5" s="21" t="n">
        <v>0.3</v>
      </c>
      <c r="C5" s="21" t="n">
        <v>0.3219</v>
      </c>
      <c r="D5" s="3" t="inlineStr">
        <is>
          <t>-</t>
        </is>
      </c>
      <c r="E5" s="21" t="n">
        <v>0.3169</v>
      </c>
      <c r="F5" s="3" t="inlineStr">
        <is>
          <t>-</t>
        </is>
      </c>
    </row>
    <row r="6">
      <c r="A6" s="6" t="inlineStr">
        <is>
          <t>净利率</t>
        </is>
      </c>
      <c r="B6" s="21" t="n">
        <v>0.05</v>
      </c>
      <c r="C6" s="21" t="n">
        <v>0.047</v>
      </c>
      <c r="D6" s="3" t="inlineStr">
        <is>
          <t>-</t>
        </is>
      </c>
      <c r="E6" s="21" t="n">
        <v>0.0504</v>
      </c>
      <c r="F6" s="3" t="inlineStr">
        <is>
          <t>-</t>
        </is>
      </c>
    </row>
    <row r="7">
      <c r="A7" s="6" t="inlineStr">
        <is>
          <t>客户数(家)</t>
        </is>
      </c>
      <c r="B7" s="3" t="n">
        <v>317</v>
      </c>
      <c r="C7" s="3" t="n">
        <v>342</v>
      </c>
      <c r="D7" s="3" t="inlineStr">
        <is>
          <t>-</t>
        </is>
      </c>
      <c r="E7" s="3" t="n">
        <v>304</v>
      </c>
      <c r="F7" s="3" t="inlineStr">
        <is>
          <t>-</t>
        </is>
      </c>
    </row>
    <row r="10">
      <c r="A10" s="2" t="inlineStr">
        <is>
          <t>产品销售排名</t>
        </is>
      </c>
      <c r="H10" s="2" t="inlineStr">
        <is>
          <t>区域经营对比</t>
        </is>
      </c>
    </row>
    <row r="11">
      <c r="A11" s="2" t="inlineStr">
        <is>
          <t>排名</t>
        </is>
      </c>
      <c r="B11" s="2" t="inlineStr">
        <is>
          <t>产品</t>
        </is>
      </c>
      <c r="C11" s="2" t="inlineStr">
        <is>
          <t>销售额(万元)</t>
        </is>
      </c>
      <c r="D11" s="2" t="inlineStr">
        <is>
          <t>占比</t>
        </is>
      </c>
      <c r="E11" s="2" t="inlineStr">
        <is>
          <t>同比</t>
        </is>
      </c>
      <c r="F11" s="2" t="inlineStr">
        <is>
          <t>毛利率</t>
        </is>
      </c>
      <c r="H11" s="2" t="inlineStr">
        <is>
          <t>区域</t>
        </is>
      </c>
      <c r="I11" s="2" t="inlineStr">
        <is>
          <t>收入(万元)</t>
        </is>
      </c>
      <c r="J11" s="2" t="inlineStr">
        <is>
          <t>净利(万元)</t>
        </is>
      </c>
      <c r="K11" s="2" t="inlineStr">
        <is>
          <t>净利率</t>
        </is>
      </c>
      <c r="L11" s="2" t="inlineStr">
        <is>
          <t>达成率</t>
        </is>
      </c>
    </row>
    <row r="12">
      <c r="A12" s="3" t="n">
        <v>1</v>
      </c>
      <c r="B12" s="4" t="inlineStr">
        <is>
          <t>模具</t>
        </is>
      </c>
      <c r="C12" s="7" t="n">
        <v>2532.6</v>
      </c>
      <c r="D12" s="21" t="n">
        <v>0.2516</v>
      </c>
      <c r="E12" s="22" t="n">
        <v>0.09950000000000001</v>
      </c>
      <c r="F12" s="21" t="n">
        <v>0.3005</v>
      </c>
      <c r="H12" s="4" t="inlineStr">
        <is>
          <t>江苏区域</t>
        </is>
      </c>
      <c r="I12" s="7" t="n">
        <v>1970</v>
      </c>
      <c r="J12" s="7" t="n">
        <v>144.9</v>
      </c>
      <c r="K12" s="21" t="n">
        <v>0.0735</v>
      </c>
      <c r="L12" s="21" t="n">
        <v>1.0276</v>
      </c>
    </row>
    <row r="13">
      <c r="A13" s="3" t="n">
        <v>2</v>
      </c>
      <c r="B13" s="4" t="inlineStr">
        <is>
          <t>液压件</t>
        </is>
      </c>
      <c r="C13" s="7" t="n">
        <v>1959.9</v>
      </c>
      <c r="D13" s="21" t="n">
        <v>0.1947</v>
      </c>
      <c r="E13" s="22" t="n">
        <v>0.1674</v>
      </c>
      <c r="F13" s="21" t="n">
        <v>0.3753</v>
      </c>
      <c r="H13" s="4" t="inlineStr">
        <is>
          <t>浙江区域</t>
        </is>
      </c>
      <c r="I13" s="7" t="n">
        <v>3298.9</v>
      </c>
      <c r="J13" s="7" t="n">
        <v>192.1</v>
      </c>
      <c r="K13" s="21" t="n">
        <v>0.0582</v>
      </c>
      <c r="L13" s="21" t="n">
        <v>0.9868</v>
      </c>
    </row>
    <row r="14">
      <c r="A14" s="3" t="n">
        <v>3</v>
      </c>
      <c r="B14" s="4" t="inlineStr">
        <is>
          <t>工装夹具</t>
        </is>
      </c>
      <c r="C14" s="7" t="n">
        <v>1922</v>
      </c>
      <c r="D14" s="21" t="n">
        <v>0.1909</v>
      </c>
      <c r="E14" s="22" t="n">
        <v>-0.042</v>
      </c>
      <c r="F14" s="21" t="n">
        <v>0.4241</v>
      </c>
      <c r="H14" s="4" t="inlineStr">
        <is>
          <t>广东区域</t>
        </is>
      </c>
      <c r="I14" s="7" t="n">
        <v>1073.5</v>
      </c>
      <c r="J14" s="7" t="n">
        <v>82.8</v>
      </c>
      <c r="K14" s="21" t="n">
        <v>0.0771</v>
      </c>
      <c r="L14" s="21" t="n">
        <v>0.9949</v>
      </c>
    </row>
    <row r="15">
      <c r="A15" s="3" t="n">
        <v>4</v>
      </c>
      <c r="B15" s="4" t="inlineStr">
        <is>
          <t>气动元件</t>
        </is>
      </c>
      <c r="C15" s="7" t="n">
        <v>1332</v>
      </c>
      <c r="D15" s="21" t="n">
        <v>0.1323</v>
      </c>
      <c r="E15" s="22" t="n">
        <v>0.2847</v>
      </c>
      <c r="F15" s="21" t="n">
        <v>0.4028</v>
      </c>
      <c r="H15" s="4" t="inlineStr">
        <is>
          <t>华中区域</t>
        </is>
      </c>
      <c r="I15" s="7" t="n">
        <v>2858.4</v>
      </c>
      <c r="J15" s="7" t="n">
        <v>174.8</v>
      </c>
      <c r="K15" s="21" t="n">
        <v>0.0612</v>
      </c>
      <c r="L15" s="21" t="n">
        <v>0.9898</v>
      </c>
    </row>
    <row r="16">
      <c r="A16" s="3" t="n">
        <v>5</v>
      </c>
      <c r="B16" s="4" t="inlineStr">
        <is>
          <t>精密轴承</t>
        </is>
      </c>
      <c r="C16" s="7" t="n">
        <v>1217.7</v>
      </c>
      <c r="D16" s="21" t="n">
        <v>0.121</v>
      </c>
      <c r="E16" s="22" t="n">
        <v>-0.1373</v>
      </c>
      <c r="F16" s="21" t="n">
        <v>0.3047</v>
      </c>
      <c r="H16" s="4" t="inlineStr">
        <is>
          <t>湖北省区</t>
        </is>
      </c>
      <c r="I16" s="7" t="n">
        <v>576.5</v>
      </c>
      <c r="J16" s="7" t="n">
        <v>32.2</v>
      </c>
      <c r="K16" s="21" t="n">
        <v>0.0559</v>
      </c>
      <c r="L16" s="21" t="n">
        <v>0.9923999999999999</v>
      </c>
    </row>
    <row r="17">
      <c r="A17" s="3" t="n">
        <v>6</v>
      </c>
      <c r="B17" s="4" t="inlineStr">
        <is>
          <t>数控机床</t>
        </is>
      </c>
      <c r="C17" s="7" t="n">
        <v>1102.8</v>
      </c>
      <c r="D17" s="21" t="n">
        <v>0.1095</v>
      </c>
      <c r="E17" s="22" t="n">
        <v>0.126</v>
      </c>
      <c r="F17" s="21" t="n">
        <v>0.3296</v>
      </c>
      <c r="H17" s="4" t="inlineStr">
        <is>
          <t>湖南省区</t>
        </is>
      </c>
      <c r="I17" s="7" t="n">
        <v>289.7</v>
      </c>
      <c r="J17" s="7" t="n">
        <v>13.8</v>
      </c>
      <c r="K17" s="21" t="n">
        <v>0.0477</v>
      </c>
      <c r="L17" s="21" t="n">
        <v>1.0084</v>
      </c>
    </row>
  </sheetData>
  <mergeCells count="3">
    <mergeCell ref="H10:L10"/>
    <mergeCell ref="A10:F10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苏州精密机械制造有限公司2025年费用预算执行表</t>
        </is>
      </c>
    </row>
    <row r="2">
      <c r="A2" s="2" t="inlineStr">
        <is>
          <t>部门</t>
        </is>
      </c>
      <c r="B2" s="2" t="inlineStr">
        <is>
          <t>费用类别</t>
        </is>
      </c>
      <c r="C2" s="2" t="inlineStr">
        <is>
          <t>1月</t>
        </is>
      </c>
      <c r="F2" s="2" t="inlineStr">
        <is>
          <t>2月</t>
        </is>
      </c>
      <c r="I2" s="2" t="inlineStr">
        <is>
          <t>3月</t>
        </is>
      </c>
      <c r="L2" s="2" t="inlineStr">
        <is>
          <t>4月</t>
        </is>
      </c>
      <c r="O2" s="2" t="inlineStr">
        <is>
          <t>5月</t>
        </is>
      </c>
      <c r="R2" s="2" t="inlineStr">
        <is>
          <t>6月</t>
        </is>
      </c>
      <c r="U2" s="2" t="inlineStr">
        <is>
          <t>7月</t>
        </is>
      </c>
      <c r="X2" s="2" t="inlineStr">
        <is>
          <t>8月</t>
        </is>
      </c>
      <c r="AA2" s="2" t="inlineStr">
        <is>
          <t>9月</t>
        </is>
      </c>
      <c r="AD2" s="2" t="inlineStr">
        <is>
          <t>10月</t>
        </is>
      </c>
      <c r="AG2" s="2" t="inlineStr">
        <is>
          <t>11月</t>
        </is>
      </c>
      <c r="AJ2" s="2" t="inlineStr">
        <is>
          <t>12月</t>
        </is>
      </c>
    </row>
    <row r="3">
      <c r="A3" s="12" t="n"/>
      <c r="B3" s="12" t="n"/>
      <c r="C3" s="2" t="inlineStr">
        <is>
          <t>预算</t>
        </is>
      </c>
      <c r="D3" s="2" t="inlineStr">
        <is>
          <t>实际</t>
        </is>
      </c>
      <c r="E3" s="2" t="inlineStr">
        <is>
          <t>差异</t>
        </is>
      </c>
      <c r="F3" s="2" t="inlineStr">
        <is>
          <t>预算</t>
        </is>
      </c>
      <c r="G3" s="2" t="inlineStr">
        <is>
          <t>实际</t>
        </is>
      </c>
      <c r="H3" s="2" t="inlineStr">
        <is>
          <t>差异</t>
        </is>
      </c>
      <c r="I3" s="2" t="inlineStr">
        <is>
          <t>预算</t>
        </is>
      </c>
      <c r="J3" s="2" t="inlineStr">
        <is>
          <t>实际</t>
        </is>
      </c>
      <c r="K3" s="2" t="inlineStr">
        <is>
          <t>差异</t>
        </is>
      </c>
      <c r="L3" s="2" t="inlineStr">
        <is>
          <t>预算</t>
        </is>
      </c>
      <c r="M3" s="2" t="inlineStr">
        <is>
          <t>实际</t>
        </is>
      </c>
      <c r="N3" s="2" t="inlineStr">
        <is>
          <t>差异</t>
        </is>
      </c>
      <c r="O3" s="2" t="inlineStr">
        <is>
          <t>预算</t>
        </is>
      </c>
      <c r="P3" s="2" t="inlineStr">
        <is>
          <t>实际</t>
        </is>
      </c>
      <c r="Q3" s="2" t="inlineStr">
        <is>
          <t>差异</t>
        </is>
      </c>
      <c r="R3" s="2" t="inlineStr">
        <is>
          <t>预算</t>
        </is>
      </c>
      <c r="S3" s="2" t="inlineStr">
        <is>
          <t>实际</t>
        </is>
      </c>
      <c r="T3" s="2" t="inlineStr">
        <is>
          <t>差异</t>
        </is>
      </c>
      <c r="U3" s="2" t="inlineStr">
        <is>
          <t>预算</t>
        </is>
      </c>
      <c r="V3" s="2" t="inlineStr">
        <is>
          <t>实际</t>
        </is>
      </c>
      <c r="W3" s="2" t="inlineStr">
        <is>
          <t>差异</t>
        </is>
      </c>
      <c r="X3" s="2" t="inlineStr">
        <is>
          <t>预算</t>
        </is>
      </c>
      <c r="Y3" s="2" t="inlineStr">
        <is>
          <t>实际</t>
        </is>
      </c>
      <c r="Z3" s="2" t="inlineStr">
        <is>
          <t>差异</t>
        </is>
      </c>
      <c r="AA3" s="2" t="inlineStr">
        <is>
          <t>预算</t>
        </is>
      </c>
      <c r="AB3" s="2" t="inlineStr">
        <is>
          <t>实际</t>
        </is>
      </c>
      <c r="AC3" s="2" t="inlineStr">
        <is>
          <t>差异</t>
        </is>
      </c>
      <c r="AD3" s="2" t="inlineStr">
        <is>
          <t>预算</t>
        </is>
      </c>
      <c r="AE3" s="2" t="inlineStr">
        <is>
          <t>实际</t>
        </is>
      </c>
      <c r="AF3" s="2" t="inlineStr">
        <is>
          <t>差异</t>
        </is>
      </c>
      <c r="AG3" s="2" t="inlineStr">
        <is>
          <t>预算</t>
        </is>
      </c>
      <c r="AH3" s="2" t="inlineStr">
        <is>
          <t>实际</t>
        </is>
      </c>
      <c r="AI3" s="2" t="inlineStr">
        <is>
          <t>差异</t>
        </is>
      </c>
      <c r="AJ3" s="2" t="inlineStr">
        <is>
          <t>预算</t>
        </is>
      </c>
      <c r="AK3" s="2" t="inlineStr">
        <is>
          <t>实际</t>
        </is>
      </c>
      <c r="AL3" s="2" t="inlineStr">
        <is>
          <t>差异</t>
        </is>
      </c>
    </row>
    <row r="4">
      <c r="A4" s="23" t="inlineStr">
        <is>
          <t>销售部</t>
        </is>
      </c>
      <c r="B4" s="4" t="inlineStr">
        <is>
          <t>人工费用</t>
        </is>
      </c>
      <c r="C4" s="18" t="n">
        <v>83964</v>
      </c>
      <c r="D4" s="18" t="n">
        <v>63920</v>
      </c>
      <c r="E4" s="18" t="n">
        <v>-20044</v>
      </c>
      <c r="F4" s="18" t="n">
        <v>60936</v>
      </c>
      <c r="G4" s="18" t="n">
        <v>68488</v>
      </c>
      <c r="H4" s="24" t="n">
        <v>7552</v>
      </c>
      <c r="I4" s="18" t="n">
        <v>85505</v>
      </c>
      <c r="J4" s="18" t="n">
        <v>107247</v>
      </c>
      <c r="K4" s="24" t="n">
        <v>21742</v>
      </c>
      <c r="L4" s="18" t="n">
        <v>91009</v>
      </c>
      <c r="M4" s="18" t="n">
        <v>66593</v>
      </c>
      <c r="N4" s="18" t="n">
        <v>-24416</v>
      </c>
      <c r="O4" s="18" t="n">
        <v>102444</v>
      </c>
      <c r="P4" s="18" t="n">
        <v>130732</v>
      </c>
      <c r="Q4" s="24" t="n">
        <v>28288</v>
      </c>
      <c r="R4" s="18" t="n">
        <v>98737</v>
      </c>
      <c r="S4" s="18" t="n">
        <v>121542</v>
      </c>
      <c r="T4" s="24" t="n">
        <v>22805</v>
      </c>
      <c r="U4" s="18" t="n">
        <v>118638</v>
      </c>
      <c r="V4" s="18" t="n">
        <v>136466</v>
      </c>
      <c r="W4" s="24" t="n">
        <v>17828</v>
      </c>
      <c r="X4" s="18" t="n">
        <v>95823</v>
      </c>
      <c r="Y4" s="18" t="n">
        <v>97944</v>
      </c>
      <c r="Z4" s="24" t="n">
        <v>2121</v>
      </c>
      <c r="AA4" s="18" t="n">
        <v>88722</v>
      </c>
      <c r="AB4" s="18" t="n">
        <v>70727</v>
      </c>
      <c r="AC4" s="18" t="n">
        <v>-17995</v>
      </c>
      <c r="AD4" s="18" t="n">
        <v>101313</v>
      </c>
      <c r="AE4" s="18" t="n">
        <v>123939</v>
      </c>
      <c r="AF4" s="24" t="n">
        <v>22626</v>
      </c>
      <c r="AG4" s="18" t="n">
        <v>93137</v>
      </c>
      <c r="AH4" s="18" t="n">
        <v>75705</v>
      </c>
      <c r="AI4" s="18" t="n">
        <v>-17432</v>
      </c>
      <c r="AJ4" s="18" t="n">
        <v>113854</v>
      </c>
      <c r="AK4" s="18" t="n">
        <v>134791</v>
      </c>
      <c r="AL4" s="24" t="n">
        <v>20937</v>
      </c>
    </row>
    <row r="5">
      <c r="B5" s="4" t="inlineStr">
        <is>
          <t>差旅费</t>
        </is>
      </c>
      <c r="C5" s="18" t="n">
        <v>23700</v>
      </c>
      <c r="D5" s="18" t="n">
        <v>17678</v>
      </c>
      <c r="E5" s="18" t="n">
        <v>-6022</v>
      </c>
      <c r="F5" s="18" t="n">
        <v>22589</v>
      </c>
      <c r="G5" s="18" t="n">
        <v>16007</v>
      </c>
      <c r="H5" s="18" t="n">
        <v>-6582</v>
      </c>
      <c r="I5" s="18" t="n">
        <v>29049</v>
      </c>
      <c r="J5" s="18" t="n">
        <v>23576</v>
      </c>
      <c r="K5" s="18" t="n">
        <v>-5473</v>
      </c>
      <c r="L5" s="18" t="n">
        <v>34577</v>
      </c>
      <c r="M5" s="18" t="n">
        <v>35398</v>
      </c>
      <c r="N5" s="24" t="n">
        <v>821</v>
      </c>
      <c r="O5" s="18" t="n">
        <v>33898</v>
      </c>
      <c r="P5" s="18" t="n">
        <v>42159</v>
      </c>
      <c r="Q5" s="24" t="n">
        <v>8261</v>
      </c>
      <c r="R5" s="18" t="n">
        <v>34601</v>
      </c>
      <c r="S5" s="18" t="n">
        <v>30842</v>
      </c>
      <c r="T5" s="18" t="n">
        <v>-3759</v>
      </c>
      <c r="U5" s="18" t="n">
        <v>41323</v>
      </c>
      <c r="V5" s="18" t="n">
        <v>37523</v>
      </c>
      <c r="W5" s="18" t="n">
        <v>-3800</v>
      </c>
      <c r="X5" s="18" t="n">
        <v>34306</v>
      </c>
      <c r="Y5" s="18" t="n">
        <v>30834</v>
      </c>
      <c r="Z5" s="18" t="n">
        <v>-3472</v>
      </c>
      <c r="AA5" s="18" t="n">
        <v>28224</v>
      </c>
      <c r="AB5" s="18" t="n">
        <v>23680</v>
      </c>
      <c r="AC5" s="18" t="n">
        <v>-4544</v>
      </c>
      <c r="AD5" s="18" t="n">
        <v>34719</v>
      </c>
      <c r="AE5" s="18" t="n">
        <v>39065</v>
      </c>
      <c r="AF5" s="24" t="n">
        <v>4346</v>
      </c>
      <c r="AG5" s="18" t="n">
        <v>30689</v>
      </c>
      <c r="AH5" s="18" t="n">
        <v>31110</v>
      </c>
      <c r="AI5" s="24" t="n">
        <v>421</v>
      </c>
      <c r="AJ5" s="18" t="n">
        <v>37669</v>
      </c>
      <c r="AK5" s="18" t="n">
        <v>40573</v>
      </c>
      <c r="AL5" s="24" t="n">
        <v>2904</v>
      </c>
    </row>
    <row r="6">
      <c r="B6" s="4" t="inlineStr">
        <is>
          <t>业务招待费</t>
        </is>
      </c>
      <c r="C6" s="18" t="n">
        <v>20683</v>
      </c>
      <c r="D6" s="18" t="n">
        <v>20959</v>
      </c>
      <c r="E6" s="24" t="n">
        <v>276</v>
      </c>
      <c r="F6" s="18" t="n">
        <v>17337</v>
      </c>
      <c r="G6" s="18" t="n">
        <v>12927</v>
      </c>
      <c r="H6" s="18" t="n">
        <v>-4410</v>
      </c>
      <c r="I6" s="18" t="n">
        <v>21520</v>
      </c>
      <c r="J6" s="18" t="n">
        <v>23622</v>
      </c>
      <c r="K6" s="24" t="n">
        <v>2102</v>
      </c>
      <c r="L6" s="18" t="n">
        <v>26642</v>
      </c>
      <c r="M6" s="18" t="n">
        <v>24743</v>
      </c>
      <c r="N6" s="18" t="n">
        <v>-1899</v>
      </c>
      <c r="O6" s="18" t="n">
        <v>26023</v>
      </c>
      <c r="P6" s="18" t="n">
        <v>32445</v>
      </c>
      <c r="Q6" s="24" t="n">
        <v>6422</v>
      </c>
      <c r="R6" s="18" t="n">
        <v>27117</v>
      </c>
      <c r="S6" s="18" t="n">
        <v>34476</v>
      </c>
      <c r="T6" s="24" t="n">
        <v>7359</v>
      </c>
      <c r="U6" s="18" t="n">
        <v>29315</v>
      </c>
      <c r="V6" s="18" t="n">
        <v>30886</v>
      </c>
      <c r="W6" s="24" t="n">
        <v>1571</v>
      </c>
      <c r="X6" s="18" t="n">
        <v>26693</v>
      </c>
      <c r="Y6" s="18" t="n">
        <v>27109</v>
      </c>
      <c r="Z6" s="24" t="n">
        <v>416</v>
      </c>
      <c r="AA6" s="18" t="n">
        <v>22159</v>
      </c>
      <c r="AB6" s="18" t="n">
        <v>22649</v>
      </c>
      <c r="AC6" s="24" t="n">
        <v>490</v>
      </c>
      <c r="AD6" s="18" t="n">
        <v>30352</v>
      </c>
      <c r="AE6" s="18" t="n">
        <v>39340</v>
      </c>
      <c r="AF6" s="24" t="n">
        <v>8988</v>
      </c>
      <c r="AG6" s="18" t="n">
        <v>27337</v>
      </c>
      <c r="AH6" s="18" t="n">
        <v>35377</v>
      </c>
      <c r="AI6" s="24" t="n">
        <v>8040</v>
      </c>
      <c r="AJ6" s="18" t="n">
        <v>32932</v>
      </c>
      <c r="AK6" s="18" t="n">
        <v>23764</v>
      </c>
      <c r="AL6" s="18" t="n">
        <v>-9168</v>
      </c>
    </row>
    <row r="7">
      <c r="B7" s="4" t="inlineStr">
        <is>
          <t>办公费</t>
        </is>
      </c>
      <c r="C7" s="18" t="n">
        <v>15882</v>
      </c>
      <c r="D7" s="18" t="n">
        <v>13429</v>
      </c>
      <c r="E7" s="18" t="n">
        <v>-2453</v>
      </c>
      <c r="F7" s="18" t="n">
        <v>15437</v>
      </c>
      <c r="G7" s="18" t="n">
        <v>18584</v>
      </c>
      <c r="H7" s="24" t="n">
        <v>3147</v>
      </c>
      <c r="I7" s="18" t="n">
        <v>17919</v>
      </c>
      <c r="J7" s="18" t="n">
        <v>19176</v>
      </c>
      <c r="K7" s="24" t="n">
        <v>1257</v>
      </c>
      <c r="L7" s="18" t="n">
        <v>21564</v>
      </c>
      <c r="M7" s="18" t="n">
        <v>26799</v>
      </c>
      <c r="N7" s="24" t="n">
        <v>5235</v>
      </c>
      <c r="O7" s="18" t="n">
        <v>19584</v>
      </c>
      <c r="P7" s="18" t="n">
        <v>22329</v>
      </c>
      <c r="Q7" s="24" t="n">
        <v>2745</v>
      </c>
      <c r="R7" s="18" t="n">
        <v>25173</v>
      </c>
      <c r="S7" s="18" t="n">
        <v>20787</v>
      </c>
      <c r="T7" s="18" t="n">
        <v>-4386</v>
      </c>
      <c r="U7" s="18" t="n">
        <v>23850</v>
      </c>
      <c r="V7" s="18" t="n">
        <v>16935</v>
      </c>
      <c r="W7" s="18" t="n">
        <v>-6915</v>
      </c>
      <c r="X7" s="18" t="n">
        <v>22895</v>
      </c>
      <c r="Y7" s="18" t="n">
        <v>29003</v>
      </c>
      <c r="Z7" s="24" t="n">
        <v>6108</v>
      </c>
      <c r="AA7" s="18" t="n">
        <v>19283</v>
      </c>
      <c r="AB7" s="18" t="n">
        <v>24838</v>
      </c>
      <c r="AC7" s="24" t="n">
        <v>5555</v>
      </c>
      <c r="AD7" s="18" t="n">
        <v>21709</v>
      </c>
      <c r="AE7" s="18" t="n">
        <v>20960</v>
      </c>
      <c r="AF7" s="18" t="n">
        <v>-749</v>
      </c>
      <c r="AG7" s="18" t="n">
        <v>22918</v>
      </c>
      <c r="AH7" s="18" t="n">
        <v>22650</v>
      </c>
      <c r="AI7" s="18" t="n">
        <v>-268</v>
      </c>
      <c r="AJ7" s="18" t="n">
        <v>27112</v>
      </c>
      <c r="AK7" s="18" t="n">
        <v>25932</v>
      </c>
      <c r="AL7" s="18" t="n">
        <v>-1180</v>
      </c>
    </row>
    <row r="8">
      <c r="B8" s="4" t="inlineStr">
        <is>
          <t>折旧费</t>
        </is>
      </c>
      <c r="C8" s="18" t="n">
        <v>13763</v>
      </c>
      <c r="D8" s="18" t="n">
        <v>15112</v>
      </c>
      <c r="E8" s="24" t="n">
        <v>1349</v>
      </c>
      <c r="F8" s="18" t="n">
        <v>11556</v>
      </c>
      <c r="G8" s="18" t="n">
        <v>11356</v>
      </c>
      <c r="H8" s="18" t="n">
        <v>-200</v>
      </c>
      <c r="I8" s="18" t="n">
        <v>15446</v>
      </c>
      <c r="J8" s="18" t="n">
        <v>17659</v>
      </c>
      <c r="K8" s="24" t="n">
        <v>2213</v>
      </c>
      <c r="L8" s="18" t="n">
        <v>18706</v>
      </c>
      <c r="M8" s="18" t="n">
        <v>21202</v>
      </c>
      <c r="N8" s="24" t="n">
        <v>2496</v>
      </c>
      <c r="O8" s="18" t="n">
        <v>15866</v>
      </c>
      <c r="P8" s="18" t="n">
        <v>15921</v>
      </c>
      <c r="Q8" s="24" t="n">
        <v>55</v>
      </c>
      <c r="R8" s="18" t="n">
        <v>20318</v>
      </c>
      <c r="S8" s="18" t="n">
        <v>19694</v>
      </c>
      <c r="T8" s="18" t="n">
        <v>-624</v>
      </c>
      <c r="U8" s="18" t="n">
        <v>19355</v>
      </c>
      <c r="V8" s="18" t="n">
        <v>16668</v>
      </c>
      <c r="W8" s="18" t="n">
        <v>-2687</v>
      </c>
      <c r="X8" s="18" t="n">
        <v>18666</v>
      </c>
      <c r="Y8" s="18" t="n">
        <v>23780</v>
      </c>
      <c r="Z8" s="24" t="n">
        <v>5114</v>
      </c>
      <c r="AA8" s="18" t="n">
        <v>13843</v>
      </c>
      <c r="AB8" s="18" t="n">
        <v>11202</v>
      </c>
      <c r="AC8" s="18" t="n">
        <v>-2641</v>
      </c>
      <c r="AD8" s="18" t="n">
        <v>18907</v>
      </c>
      <c r="AE8" s="18" t="n">
        <v>22581</v>
      </c>
      <c r="AF8" s="24" t="n">
        <v>3674</v>
      </c>
      <c r="AG8" s="18" t="n">
        <v>16264</v>
      </c>
      <c r="AH8" s="18" t="n">
        <v>17565</v>
      </c>
      <c r="AI8" s="24" t="n">
        <v>1301</v>
      </c>
      <c r="AJ8" s="18" t="n">
        <v>23571</v>
      </c>
      <c r="AK8" s="18" t="n">
        <v>27169</v>
      </c>
      <c r="AL8" s="24" t="n">
        <v>3598</v>
      </c>
    </row>
    <row r="9">
      <c r="B9" s="6" t="inlineStr">
        <is>
          <t>小计</t>
        </is>
      </c>
      <c r="C9" s="19" t="n">
        <v>157992</v>
      </c>
      <c r="D9" s="19" t="n">
        <v>131098</v>
      </c>
      <c r="E9" s="19" t="n">
        <v>-26894</v>
      </c>
      <c r="F9" s="19" t="n">
        <v>127855</v>
      </c>
      <c r="G9" s="19" t="n">
        <v>127362</v>
      </c>
      <c r="H9" s="19" t="n">
        <v>-493</v>
      </c>
      <c r="I9" s="19" t="n">
        <v>169439</v>
      </c>
      <c r="J9" s="19" t="n">
        <v>191280</v>
      </c>
      <c r="K9" s="19" t="n">
        <v>21841</v>
      </c>
      <c r="L9" s="19" t="n">
        <v>192498</v>
      </c>
      <c r="M9" s="19" t="n">
        <v>174735</v>
      </c>
      <c r="N9" s="19" t="n">
        <v>-17763</v>
      </c>
      <c r="O9" s="19" t="n">
        <v>197815</v>
      </c>
      <c r="P9" s="19" t="n">
        <v>243586</v>
      </c>
      <c r="Q9" s="19" t="n">
        <v>45771</v>
      </c>
      <c r="R9" s="19" t="n">
        <v>205946</v>
      </c>
      <c r="S9" s="19" t="n">
        <v>227341</v>
      </c>
      <c r="T9" s="19" t="n">
        <v>21395</v>
      </c>
      <c r="U9" s="19" t="n">
        <v>232481</v>
      </c>
      <c r="V9" s="19" t="n">
        <v>238478</v>
      </c>
      <c r="W9" s="19" t="n">
        <v>5997</v>
      </c>
      <c r="X9" s="19" t="n">
        <v>198383</v>
      </c>
      <c r="Y9" s="19" t="n">
        <v>208670</v>
      </c>
      <c r="Z9" s="19" t="n">
        <v>10287</v>
      </c>
      <c r="AA9" s="19" t="n">
        <v>172231</v>
      </c>
      <c r="AB9" s="19" t="n">
        <v>153096</v>
      </c>
      <c r="AC9" s="19" t="n">
        <v>-19135</v>
      </c>
      <c r="AD9" s="19" t="n">
        <v>207000</v>
      </c>
      <c r="AE9" s="19" t="n">
        <v>245885</v>
      </c>
      <c r="AF9" s="19" t="n">
        <v>38885</v>
      </c>
      <c r="AG9" s="19" t="n">
        <v>190345</v>
      </c>
      <c r="AH9" s="19" t="n">
        <v>182407</v>
      </c>
      <c r="AI9" s="19" t="n">
        <v>-7938</v>
      </c>
      <c r="AJ9" s="19" t="n">
        <v>235138</v>
      </c>
      <c r="AK9" s="19" t="n">
        <v>252229</v>
      </c>
      <c r="AL9" s="19" t="n">
        <v>17091</v>
      </c>
    </row>
    <row r="10">
      <c r="A10" s="23" t="inlineStr">
        <is>
          <t>市场部</t>
        </is>
      </c>
      <c r="B10" s="4" t="inlineStr">
        <is>
          <t>人工费用</t>
        </is>
      </c>
      <c r="C10" s="18" t="n">
        <v>87180</v>
      </c>
      <c r="D10" s="18" t="n">
        <v>80290</v>
      </c>
      <c r="E10" s="18" t="n">
        <v>-6890</v>
      </c>
      <c r="F10" s="18" t="n">
        <v>70433</v>
      </c>
      <c r="G10" s="18" t="n">
        <v>86944</v>
      </c>
      <c r="H10" s="24" t="n">
        <v>16511</v>
      </c>
      <c r="I10" s="18" t="n">
        <v>89235</v>
      </c>
      <c r="J10" s="18" t="n">
        <v>113545</v>
      </c>
      <c r="K10" s="24" t="n">
        <v>24310</v>
      </c>
      <c r="L10" s="18" t="n">
        <v>98207</v>
      </c>
      <c r="M10" s="18" t="n">
        <v>116133</v>
      </c>
      <c r="N10" s="24" t="n">
        <v>17926</v>
      </c>
      <c r="O10" s="18" t="n">
        <v>113273</v>
      </c>
      <c r="P10" s="18" t="n">
        <v>113253</v>
      </c>
      <c r="Q10" s="18" t="n">
        <v>-20</v>
      </c>
      <c r="R10" s="18" t="n">
        <v>121675</v>
      </c>
      <c r="S10" s="18" t="n">
        <v>87841</v>
      </c>
      <c r="T10" s="18" t="n">
        <v>-33834</v>
      </c>
      <c r="U10" s="18" t="n">
        <v>121047</v>
      </c>
      <c r="V10" s="18" t="n">
        <v>100200</v>
      </c>
      <c r="W10" s="18" t="n">
        <v>-20847</v>
      </c>
      <c r="X10" s="18" t="n">
        <v>106729</v>
      </c>
      <c r="Y10" s="18" t="n">
        <v>119903</v>
      </c>
      <c r="Z10" s="24" t="n">
        <v>13174</v>
      </c>
      <c r="AA10" s="18" t="n">
        <v>94893</v>
      </c>
      <c r="AB10" s="18" t="n">
        <v>69892</v>
      </c>
      <c r="AC10" s="18" t="n">
        <v>-25001</v>
      </c>
      <c r="AD10" s="18" t="n">
        <v>107952</v>
      </c>
      <c r="AE10" s="18" t="n">
        <v>105509</v>
      </c>
      <c r="AF10" s="18" t="n">
        <v>-2443</v>
      </c>
      <c r="AG10" s="18" t="n">
        <v>111284</v>
      </c>
      <c r="AH10" s="18" t="n">
        <v>122581</v>
      </c>
      <c r="AI10" s="24" t="n">
        <v>11297</v>
      </c>
      <c r="AJ10" s="18" t="n">
        <v>127600</v>
      </c>
      <c r="AK10" s="18" t="n">
        <v>131485</v>
      </c>
      <c r="AL10" s="24" t="n">
        <v>3885</v>
      </c>
    </row>
    <row r="11">
      <c r="B11" s="4" t="inlineStr">
        <is>
          <t>差旅费</t>
        </is>
      </c>
      <c r="C11" s="18" t="n">
        <v>30074</v>
      </c>
      <c r="D11" s="18" t="n">
        <v>35670</v>
      </c>
      <c r="E11" s="24" t="n">
        <v>5596</v>
      </c>
      <c r="F11" s="18" t="n">
        <v>26844</v>
      </c>
      <c r="G11" s="18" t="n">
        <v>19156</v>
      </c>
      <c r="H11" s="18" t="n">
        <v>-7688</v>
      </c>
      <c r="I11" s="18" t="n">
        <v>33154</v>
      </c>
      <c r="J11" s="18" t="n">
        <v>38896</v>
      </c>
      <c r="K11" s="24" t="n">
        <v>5742</v>
      </c>
      <c r="L11" s="18" t="n">
        <v>32118</v>
      </c>
      <c r="M11" s="18" t="n">
        <v>36489</v>
      </c>
      <c r="N11" s="24" t="n">
        <v>4371</v>
      </c>
      <c r="O11" s="18" t="n">
        <v>32901</v>
      </c>
      <c r="P11" s="18" t="n">
        <v>29786</v>
      </c>
      <c r="Q11" s="18" t="n">
        <v>-3115</v>
      </c>
      <c r="R11" s="18" t="n">
        <v>37264</v>
      </c>
      <c r="S11" s="18" t="n">
        <v>35264</v>
      </c>
      <c r="T11" s="18" t="n">
        <v>-2000</v>
      </c>
      <c r="U11" s="18" t="n">
        <v>43310</v>
      </c>
      <c r="V11" s="18" t="n">
        <v>50839</v>
      </c>
      <c r="W11" s="24" t="n">
        <v>7529</v>
      </c>
      <c r="X11" s="18" t="n">
        <v>36660</v>
      </c>
      <c r="Y11" s="18" t="n">
        <v>47242</v>
      </c>
      <c r="Z11" s="24" t="n">
        <v>10582</v>
      </c>
      <c r="AA11" s="18" t="n">
        <v>33705</v>
      </c>
      <c r="AB11" s="18" t="n">
        <v>41640</v>
      </c>
      <c r="AC11" s="24" t="n">
        <v>7935</v>
      </c>
      <c r="AD11" s="18" t="n">
        <v>42652</v>
      </c>
      <c r="AE11" s="18" t="n">
        <v>46471</v>
      </c>
      <c r="AF11" s="24" t="n">
        <v>3819</v>
      </c>
      <c r="AG11" s="18" t="n">
        <v>33896</v>
      </c>
      <c r="AH11" s="18" t="n">
        <v>25842</v>
      </c>
      <c r="AI11" s="18" t="n">
        <v>-8054</v>
      </c>
      <c r="AJ11" s="18" t="n">
        <v>45752</v>
      </c>
      <c r="AK11" s="18" t="n">
        <v>47342</v>
      </c>
      <c r="AL11" s="24" t="n">
        <v>1590</v>
      </c>
    </row>
    <row r="12">
      <c r="B12" s="4" t="inlineStr">
        <is>
          <t>业务招待费</t>
        </is>
      </c>
      <c r="C12" s="18" t="n">
        <v>24231</v>
      </c>
      <c r="D12" s="18" t="n">
        <v>17967</v>
      </c>
      <c r="E12" s="18" t="n">
        <v>-6264</v>
      </c>
      <c r="F12" s="18" t="n">
        <v>20944</v>
      </c>
      <c r="G12" s="18" t="n">
        <v>19955</v>
      </c>
      <c r="H12" s="18" t="n">
        <v>-989</v>
      </c>
      <c r="I12" s="18" t="n">
        <v>26906</v>
      </c>
      <c r="J12" s="18" t="n">
        <v>23443</v>
      </c>
      <c r="K12" s="18" t="n">
        <v>-3463</v>
      </c>
      <c r="L12" s="18" t="n">
        <v>30377</v>
      </c>
      <c r="M12" s="18" t="n">
        <v>29652</v>
      </c>
      <c r="N12" s="18" t="n">
        <v>-725</v>
      </c>
      <c r="O12" s="18" t="n">
        <v>28443</v>
      </c>
      <c r="P12" s="18" t="n">
        <v>34269</v>
      </c>
      <c r="Q12" s="24" t="n">
        <v>5826</v>
      </c>
      <c r="R12" s="18" t="n">
        <v>34143</v>
      </c>
      <c r="S12" s="18" t="n">
        <v>30932</v>
      </c>
      <c r="T12" s="18" t="n">
        <v>-3211</v>
      </c>
      <c r="U12" s="18" t="n">
        <v>34683</v>
      </c>
      <c r="V12" s="18" t="n">
        <v>30459</v>
      </c>
      <c r="W12" s="18" t="n">
        <v>-4224</v>
      </c>
      <c r="X12" s="18" t="n">
        <v>30920</v>
      </c>
      <c r="Y12" s="18" t="n">
        <v>31196</v>
      </c>
      <c r="Z12" s="24" t="n">
        <v>276</v>
      </c>
      <c r="AA12" s="18" t="n">
        <v>27635</v>
      </c>
      <c r="AB12" s="18" t="n">
        <v>23731</v>
      </c>
      <c r="AC12" s="18" t="n">
        <v>-3904</v>
      </c>
      <c r="AD12" s="18" t="n">
        <v>32181</v>
      </c>
      <c r="AE12" s="18" t="n">
        <v>32171</v>
      </c>
      <c r="AF12" s="18" t="n">
        <v>-10</v>
      </c>
      <c r="AG12" s="18" t="n">
        <v>26750</v>
      </c>
      <c r="AH12" s="18" t="n">
        <v>21733</v>
      </c>
      <c r="AI12" s="18" t="n">
        <v>-5017</v>
      </c>
      <c r="AJ12" s="18" t="n">
        <v>34407</v>
      </c>
      <c r="AK12" s="18" t="n">
        <v>41594</v>
      </c>
      <c r="AL12" s="24" t="n">
        <v>7187</v>
      </c>
    </row>
    <row r="13">
      <c r="B13" s="4" t="inlineStr">
        <is>
          <t>办公费</t>
        </is>
      </c>
      <c r="C13" s="18" t="n">
        <v>20611</v>
      </c>
      <c r="D13" s="18" t="n">
        <v>16444</v>
      </c>
      <c r="E13" s="18" t="n">
        <v>-4167</v>
      </c>
      <c r="F13" s="18" t="n">
        <v>16647</v>
      </c>
      <c r="G13" s="18" t="n">
        <v>14952</v>
      </c>
      <c r="H13" s="18" t="n">
        <v>-1695</v>
      </c>
      <c r="I13" s="18" t="n">
        <v>21362</v>
      </c>
      <c r="J13" s="18" t="n">
        <v>26720</v>
      </c>
      <c r="K13" s="24" t="n">
        <v>5358</v>
      </c>
      <c r="L13" s="18" t="n">
        <v>23279</v>
      </c>
      <c r="M13" s="18" t="n">
        <v>16443</v>
      </c>
      <c r="N13" s="18" t="n">
        <v>-6836</v>
      </c>
      <c r="O13" s="18" t="n">
        <v>25218</v>
      </c>
      <c r="P13" s="18" t="n">
        <v>31137</v>
      </c>
      <c r="Q13" s="24" t="n">
        <v>5919</v>
      </c>
      <c r="R13" s="18" t="n">
        <v>24577</v>
      </c>
      <c r="S13" s="18" t="n">
        <v>26272</v>
      </c>
      <c r="T13" s="24" t="n">
        <v>1695</v>
      </c>
      <c r="U13" s="18" t="n">
        <v>30776</v>
      </c>
      <c r="V13" s="18" t="n">
        <v>32303</v>
      </c>
      <c r="W13" s="24" t="n">
        <v>1527</v>
      </c>
      <c r="X13" s="18" t="n">
        <v>24010</v>
      </c>
      <c r="Y13" s="18" t="n">
        <v>28935</v>
      </c>
      <c r="Z13" s="24" t="n">
        <v>4925</v>
      </c>
      <c r="AA13" s="18" t="n">
        <v>23162</v>
      </c>
      <c r="AB13" s="18" t="n">
        <v>22074</v>
      </c>
      <c r="AC13" s="18" t="n">
        <v>-1088</v>
      </c>
      <c r="AD13" s="18" t="n">
        <v>23502</v>
      </c>
      <c r="AE13" s="18" t="n">
        <v>22269</v>
      </c>
      <c r="AF13" s="18" t="n">
        <v>-1233</v>
      </c>
      <c r="AG13" s="18" t="n">
        <v>24215</v>
      </c>
      <c r="AH13" s="18" t="n">
        <v>25590</v>
      </c>
      <c r="AI13" s="24" t="n">
        <v>1375</v>
      </c>
      <c r="AJ13" s="18" t="n">
        <v>28844</v>
      </c>
      <c r="AK13" s="18" t="n">
        <v>21664</v>
      </c>
      <c r="AL13" s="18" t="n">
        <v>-7180</v>
      </c>
    </row>
    <row r="14">
      <c r="B14" s="4" t="inlineStr">
        <is>
          <t>折旧费</t>
        </is>
      </c>
      <c r="C14" s="18" t="n">
        <v>16426</v>
      </c>
      <c r="D14" s="18" t="n">
        <v>11963</v>
      </c>
      <c r="E14" s="18" t="n">
        <v>-4463</v>
      </c>
      <c r="F14" s="18" t="n">
        <v>14150</v>
      </c>
      <c r="G14" s="18" t="n">
        <v>11985</v>
      </c>
      <c r="H14" s="18" t="n">
        <v>-2165</v>
      </c>
      <c r="I14" s="18" t="n">
        <v>17012</v>
      </c>
      <c r="J14" s="18" t="n">
        <v>18990</v>
      </c>
      <c r="K14" s="24" t="n">
        <v>1978</v>
      </c>
      <c r="L14" s="18" t="n">
        <v>17882</v>
      </c>
      <c r="M14" s="18" t="n">
        <v>22660</v>
      </c>
      <c r="N14" s="24" t="n">
        <v>4778</v>
      </c>
      <c r="O14" s="18" t="n">
        <v>18854</v>
      </c>
      <c r="P14" s="18" t="n">
        <v>23007</v>
      </c>
      <c r="Q14" s="24" t="n">
        <v>4153</v>
      </c>
      <c r="R14" s="18" t="n">
        <v>20229</v>
      </c>
      <c r="S14" s="18" t="n">
        <v>20767</v>
      </c>
      <c r="T14" s="24" t="n">
        <v>538</v>
      </c>
      <c r="U14" s="18" t="n">
        <v>21488</v>
      </c>
      <c r="V14" s="18" t="n">
        <v>20512</v>
      </c>
      <c r="W14" s="18" t="n">
        <v>-976</v>
      </c>
      <c r="X14" s="18" t="n">
        <v>19328</v>
      </c>
      <c r="Y14" s="18" t="n">
        <v>17246</v>
      </c>
      <c r="Z14" s="18" t="n">
        <v>-2082</v>
      </c>
      <c r="AA14" s="18" t="n">
        <v>18288</v>
      </c>
      <c r="AB14" s="18" t="n">
        <v>21306</v>
      </c>
      <c r="AC14" s="24" t="n">
        <v>3018</v>
      </c>
      <c r="AD14" s="18" t="n">
        <v>18984</v>
      </c>
      <c r="AE14" s="18" t="n">
        <v>19449</v>
      </c>
      <c r="AF14" s="24" t="n">
        <v>465</v>
      </c>
      <c r="AG14" s="18" t="n">
        <v>17036</v>
      </c>
      <c r="AH14" s="18" t="n">
        <v>13121</v>
      </c>
      <c r="AI14" s="18" t="n">
        <v>-3915</v>
      </c>
      <c r="AJ14" s="18" t="n">
        <v>26078</v>
      </c>
      <c r="AK14" s="18" t="n">
        <v>21489</v>
      </c>
      <c r="AL14" s="18" t="n">
        <v>-4589</v>
      </c>
    </row>
    <row r="15">
      <c r="B15" s="6" t="inlineStr">
        <is>
          <t>小计</t>
        </is>
      </c>
      <c r="C15" s="19" t="n">
        <v>178522</v>
      </c>
      <c r="D15" s="19" t="n">
        <v>162334</v>
      </c>
      <c r="E15" s="19" t="n">
        <v>-16188</v>
      </c>
      <c r="F15" s="19" t="n">
        <v>149018</v>
      </c>
      <c r="G15" s="19" t="n">
        <v>152992</v>
      </c>
      <c r="H15" s="19" t="n">
        <v>3974</v>
      </c>
      <c r="I15" s="19" t="n">
        <v>187669</v>
      </c>
      <c r="J15" s="19" t="n">
        <v>221594</v>
      </c>
      <c r="K15" s="19" t="n">
        <v>33925</v>
      </c>
      <c r="L15" s="19" t="n">
        <v>201863</v>
      </c>
      <c r="M15" s="19" t="n">
        <v>221377</v>
      </c>
      <c r="N15" s="19" t="n">
        <v>19514</v>
      </c>
      <c r="O15" s="19" t="n">
        <v>218689</v>
      </c>
      <c r="P15" s="19" t="n">
        <v>231452</v>
      </c>
      <c r="Q15" s="19" t="n">
        <v>12763</v>
      </c>
      <c r="R15" s="19" t="n">
        <v>237888</v>
      </c>
      <c r="S15" s="19" t="n">
        <v>201076</v>
      </c>
      <c r="T15" s="19" t="n">
        <v>-36812</v>
      </c>
      <c r="U15" s="19" t="n">
        <v>251304</v>
      </c>
      <c r="V15" s="19" t="n">
        <v>234313</v>
      </c>
      <c r="W15" s="19" t="n">
        <v>-16991</v>
      </c>
      <c r="X15" s="19" t="n">
        <v>217647</v>
      </c>
      <c r="Y15" s="19" t="n">
        <v>244522</v>
      </c>
      <c r="Z15" s="19" t="n">
        <v>26875</v>
      </c>
      <c r="AA15" s="19" t="n">
        <v>197683</v>
      </c>
      <c r="AB15" s="19" t="n">
        <v>178643</v>
      </c>
      <c r="AC15" s="19" t="n">
        <v>-19040</v>
      </c>
      <c r="AD15" s="19" t="n">
        <v>225271</v>
      </c>
      <c r="AE15" s="19" t="n">
        <v>225869</v>
      </c>
      <c r="AF15" s="19" t="n">
        <v>598</v>
      </c>
      <c r="AG15" s="19" t="n">
        <v>213181</v>
      </c>
      <c r="AH15" s="19" t="n">
        <v>208867</v>
      </c>
      <c r="AI15" s="19" t="n">
        <v>-4314</v>
      </c>
      <c r="AJ15" s="19" t="n">
        <v>262681</v>
      </c>
      <c r="AK15" s="19" t="n">
        <v>263574</v>
      </c>
      <c r="AL15" s="19" t="n">
        <v>893</v>
      </c>
    </row>
    <row r="16">
      <c r="A16" s="23" t="inlineStr">
        <is>
          <t>研发部</t>
        </is>
      </c>
      <c r="B16" s="4" t="inlineStr">
        <is>
          <t>人工费用</t>
        </is>
      </c>
      <c r="C16" s="18" t="n">
        <v>36705</v>
      </c>
      <c r="D16" s="18" t="n">
        <v>32875</v>
      </c>
      <c r="E16" s="18" t="n">
        <v>-3830</v>
      </c>
      <c r="F16" s="18" t="n">
        <v>30001</v>
      </c>
      <c r="G16" s="18" t="n">
        <v>23328</v>
      </c>
      <c r="H16" s="18" t="n">
        <v>-6673</v>
      </c>
      <c r="I16" s="18" t="n">
        <v>40110</v>
      </c>
      <c r="J16" s="18" t="n">
        <v>39893</v>
      </c>
      <c r="K16" s="18" t="n">
        <v>-217</v>
      </c>
      <c r="L16" s="18" t="n">
        <v>43318</v>
      </c>
      <c r="M16" s="18" t="n">
        <v>42299</v>
      </c>
      <c r="N16" s="18" t="n">
        <v>-1019</v>
      </c>
      <c r="O16" s="18" t="n">
        <v>47523</v>
      </c>
      <c r="P16" s="18" t="n">
        <v>59670</v>
      </c>
      <c r="Q16" s="24" t="n">
        <v>12147</v>
      </c>
      <c r="R16" s="18" t="n">
        <v>46264</v>
      </c>
      <c r="S16" s="18" t="n">
        <v>44362</v>
      </c>
      <c r="T16" s="18" t="n">
        <v>-1902</v>
      </c>
      <c r="U16" s="18" t="n">
        <v>53117</v>
      </c>
      <c r="V16" s="18" t="n">
        <v>51928</v>
      </c>
      <c r="W16" s="18" t="n">
        <v>-1189</v>
      </c>
      <c r="X16" s="18" t="n">
        <v>46819</v>
      </c>
      <c r="Y16" s="18" t="n">
        <v>51532</v>
      </c>
      <c r="Z16" s="24" t="n">
        <v>4713</v>
      </c>
      <c r="AA16" s="18" t="n">
        <v>37308</v>
      </c>
      <c r="AB16" s="18" t="n">
        <v>47621</v>
      </c>
      <c r="AC16" s="24" t="n">
        <v>10313</v>
      </c>
      <c r="AD16" s="18" t="n">
        <v>46025</v>
      </c>
      <c r="AE16" s="18" t="n">
        <v>41697</v>
      </c>
      <c r="AF16" s="18" t="n">
        <v>-4328</v>
      </c>
      <c r="AG16" s="18" t="n">
        <v>43824</v>
      </c>
      <c r="AH16" s="18" t="n">
        <v>56347</v>
      </c>
      <c r="AI16" s="24" t="n">
        <v>12523</v>
      </c>
      <c r="AJ16" s="18" t="n">
        <v>50851</v>
      </c>
      <c r="AK16" s="18" t="n">
        <v>46049</v>
      </c>
      <c r="AL16" s="18" t="n">
        <v>-4802</v>
      </c>
    </row>
    <row r="17">
      <c r="B17" s="4" t="inlineStr">
        <is>
          <t>差旅费</t>
        </is>
      </c>
      <c r="C17" s="18" t="n">
        <v>12439</v>
      </c>
      <c r="D17" s="18" t="n">
        <v>10498</v>
      </c>
      <c r="E17" s="18" t="n">
        <v>-1941</v>
      </c>
      <c r="F17" s="18" t="n">
        <v>10345</v>
      </c>
      <c r="G17" s="18" t="n">
        <v>8073</v>
      </c>
      <c r="H17" s="18" t="n">
        <v>-2272</v>
      </c>
      <c r="I17" s="18" t="n">
        <v>13510</v>
      </c>
      <c r="J17" s="18" t="n">
        <v>10130</v>
      </c>
      <c r="K17" s="18" t="n">
        <v>-3380</v>
      </c>
      <c r="L17" s="18" t="n">
        <v>13296</v>
      </c>
      <c r="M17" s="18" t="n">
        <v>13407</v>
      </c>
      <c r="N17" s="24" t="n">
        <v>111</v>
      </c>
      <c r="O17" s="18" t="n">
        <v>15488</v>
      </c>
      <c r="P17" s="18" t="n">
        <v>19735</v>
      </c>
      <c r="Q17" s="24" t="n">
        <v>4247</v>
      </c>
      <c r="R17" s="18" t="n">
        <v>15169</v>
      </c>
      <c r="S17" s="18" t="n">
        <v>11295</v>
      </c>
      <c r="T17" s="18" t="n">
        <v>-3874</v>
      </c>
      <c r="U17" s="18" t="n">
        <v>16334</v>
      </c>
      <c r="V17" s="18" t="n">
        <v>14815</v>
      </c>
      <c r="W17" s="18" t="n">
        <v>-1519</v>
      </c>
      <c r="X17" s="18" t="n">
        <v>13428</v>
      </c>
      <c r="Y17" s="18" t="n">
        <v>11921</v>
      </c>
      <c r="Z17" s="18" t="n">
        <v>-1507</v>
      </c>
      <c r="AA17" s="18" t="n">
        <v>13585</v>
      </c>
      <c r="AB17" s="18" t="n">
        <v>14912</v>
      </c>
      <c r="AC17" s="24" t="n">
        <v>1327</v>
      </c>
      <c r="AD17" s="18" t="n">
        <v>15425</v>
      </c>
      <c r="AE17" s="18" t="n">
        <v>18285</v>
      </c>
      <c r="AF17" s="24" t="n">
        <v>2860</v>
      </c>
      <c r="AG17" s="18" t="n">
        <v>13143</v>
      </c>
      <c r="AH17" s="18" t="n">
        <v>12773</v>
      </c>
      <c r="AI17" s="18" t="n">
        <v>-370</v>
      </c>
      <c r="AJ17" s="18" t="n">
        <v>19360</v>
      </c>
      <c r="AK17" s="18" t="n">
        <v>19704</v>
      </c>
      <c r="AL17" s="24" t="n">
        <v>344</v>
      </c>
    </row>
    <row r="18">
      <c r="B18" s="4" t="inlineStr">
        <is>
          <t>业务招待费</t>
        </is>
      </c>
      <c r="C18" s="18" t="n">
        <v>10099</v>
      </c>
      <c r="D18" s="18" t="n">
        <v>8063</v>
      </c>
      <c r="E18" s="18" t="n">
        <v>-2036</v>
      </c>
      <c r="F18" s="18" t="n">
        <v>8486</v>
      </c>
      <c r="G18" s="18" t="n">
        <v>7948</v>
      </c>
      <c r="H18" s="18" t="n">
        <v>-538</v>
      </c>
      <c r="I18" s="18" t="n">
        <v>9985</v>
      </c>
      <c r="J18" s="18" t="n">
        <v>12224</v>
      </c>
      <c r="K18" s="24" t="n">
        <v>2239</v>
      </c>
      <c r="L18" s="18" t="n">
        <v>11779</v>
      </c>
      <c r="M18" s="18" t="n">
        <v>13261</v>
      </c>
      <c r="N18" s="24" t="n">
        <v>1482</v>
      </c>
      <c r="O18" s="18" t="n">
        <v>10586</v>
      </c>
      <c r="P18" s="18" t="n">
        <v>12696</v>
      </c>
      <c r="Q18" s="24" t="n">
        <v>2110</v>
      </c>
      <c r="R18" s="18" t="n">
        <v>12359</v>
      </c>
      <c r="S18" s="18" t="n">
        <v>10842</v>
      </c>
      <c r="T18" s="18" t="n">
        <v>-1517</v>
      </c>
      <c r="U18" s="18" t="n">
        <v>13265</v>
      </c>
      <c r="V18" s="18" t="n">
        <v>10471</v>
      </c>
      <c r="W18" s="18" t="n">
        <v>-2794</v>
      </c>
      <c r="X18" s="18" t="n">
        <v>12225</v>
      </c>
      <c r="Y18" s="18" t="n">
        <v>8854</v>
      </c>
      <c r="Z18" s="18" t="n">
        <v>-3371</v>
      </c>
      <c r="AA18" s="18" t="n">
        <v>11009</v>
      </c>
      <c r="AB18" s="18" t="n">
        <v>8601</v>
      </c>
      <c r="AC18" s="18" t="n">
        <v>-2408</v>
      </c>
      <c r="AD18" s="18" t="n">
        <v>13009</v>
      </c>
      <c r="AE18" s="18" t="n">
        <v>15078</v>
      </c>
      <c r="AF18" s="24" t="n">
        <v>2069</v>
      </c>
      <c r="AG18" s="18" t="n">
        <v>12405</v>
      </c>
      <c r="AH18" s="18" t="n">
        <v>12131</v>
      </c>
      <c r="AI18" s="18" t="n">
        <v>-274</v>
      </c>
      <c r="AJ18" s="18" t="n">
        <v>13561</v>
      </c>
      <c r="AK18" s="18" t="n">
        <v>15438</v>
      </c>
      <c r="AL18" s="24" t="n">
        <v>1877</v>
      </c>
    </row>
    <row r="19">
      <c r="B19" s="4" t="inlineStr">
        <is>
          <t>办公费</t>
        </is>
      </c>
      <c r="C19" s="18" t="n">
        <v>7755</v>
      </c>
      <c r="D19" s="18" t="n">
        <v>6825</v>
      </c>
      <c r="E19" s="18" t="n">
        <v>-930</v>
      </c>
      <c r="F19" s="18" t="n">
        <v>6127</v>
      </c>
      <c r="G19" s="18" t="n">
        <v>7313</v>
      </c>
      <c r="H19" s="24" t="n">
        <v>1186</v>
      </c>
      <c r="I19" s="18" t="n">
        <v>8406</v>
      </c>
      <c r="J19" s="18" t="n">
        <v>10213</v>
      </c>
      <c r="K19" s="24" t="n">
        <v>1807</v>
      </c>
      <c r="L19" s="18" t="n">
        <v>8975</v>
      </c>
      <c r="M19" s="18" t="n">
        <v>11329</v>
      </c>
      <c r="N19" s="24" t="n">
        <v>2354</v>
      </c>
      <c r="O19" s="18" t="n">
        <v>10153</v>
      </c>
      <c r="P19" s="18" t="n">
        <v>11602</v>
      </c>
      <c r="Q19" s="24" t="n">
        <v>1449</v>
      </c>
      <c r="R19" s="18" t="n">
        <v>10109</v>
      </c>
      <c r="S19" s="18" t="n">
        <v>13089</v>
      </c>
      <c r="T19" s="24" t="n">
        <v>2980</v>
      </c>
      <c r="U19" s="18" t="n">
        <v>10395</v>
      </c>
      <c r="V19" s="18" t="n">
        <v>11656</v>
      </c>
      <c r="W19" s="24" t="n">
        <v>1261</v>
      </c>
      <c r="X19" s="18" t="n">
        <v>9763</v>
      </c>
      <c r="Y19" s="18" t="n">
        <v>12684</v>
      </c>
      <c r="Z19" s="24" t="n">
        <v>2921</v>
      </c>
      <c r="AA19" s="18" t="n">
        <v>8534</v>
      </c>
      <c r="AB19" s="18" t="n">
        <v>7456</v>
      </c>
      <c r="AC19" s="18" t="n">
        <v>-1078</v>
      </c>
      <c r="AD19" s="18" t="n">
        <v>11273</v>
      </c>
      <c r="AE19" s="18" t="n">
        <v>13207</v>
      </c>
      <c r="AF19" s="24" t="n">
        <v>1934</v>
      </c>
      <c r="AG19" s="18" t="n">
        <v>9750</v>
      </c>
      <c r="AH19" s="18" t="n">
        <v>7353</v>
      </c>
      <c r="AI19" s="18" t="n">
        <v>-2397</v>
      </c>
      <c r="AJ19" s="18" t="n">
        <v>13227</v>
      </c>
      <c r="AK19" s="18" t="n">
        <v>9962</v>
      </c>
      <c r="AL19" s="18" t="n">
        <v>-3265</v>
      </c>
    </row>
    <row r="20">
      <c r="B20" s="4" t="inlineStr">
        <is>
          <t>折旧费</t>
        </is>
      </c>
      <c r="C20" s="18" t="n">
        <v>6210</v>
      </c>
      <c r="D20" s="18" t="n">
        <v>4492</v>
      </c>
      <c r="E20" s="18" t="n">
        <v>-1718</v>
      </c>
      <c r="F20" s="18" t="n">
        <v>5613</v>
      </c>
      <c r="G20" s="18" t="n">
        <v>6152</v>
      </c>
      <c r="H20" s="24" t="n">
        <v>539</v>
      </c>
      <c r="I20" s="18" t="n">
        <v>6712</v>
      </c>
      <c r="J20" s="18" t="n">
        <v>7001</v>
      </c>
      <c r="K20" s="24" t="n">
        <v>289</v>
      </c>
      <c r="L20" s="18" t="n">
        <v>7811</v>
      </c>
      <c r="M20" s="18" t="n">
        <v>5754</v>
      </c>
      <c r="N20" s="18" t="n">
        <v>-2057</v>
      </c>
      <c r="O20" s="18" t="n">
        <v>6956</v>
      </c>
      <c r="P20" s="18" t="n">
        <v>8730</v>
      </c>
      <c r="Q20" s="24" t="n">
        <v>1774</v>
      </c>
      <c r="R20" s="18" t="n">
        <v>8415</v>
      </c>
      <c r="S20" s="18" t="n">
        <v>10501</v>
      </c>
      <c r="T20" s="24" t="n">
        <v>2086</v>
      </c>
      <c r="U20" s="18" t="n">
        <v>8461</v>
      </c>
      <c r="V20" s="18" t="n">
        <v>9986</v>
      </c>
      <c r="W20" s="24" t="n">
        <v>1525</v>
      </c>
      <c r="X20" s="18" t="n">
        <v>7922</v>
      </c>
      <c r="Y20" s="18" t="n">
        <v>9843</v>
      </c>
      <c r="Z20" s="24" t="n">
        <v>1921</v>
      </c>
      <c r="AA20" s="18" t="n">
        <v>6673</v>
      </c>
      <c r="AB20" s="18" t="n">
        <v>6299</v>
      </c>
      <c r="AC20" s="18" t="n">
        <v>-374</v>
      </c>
      <c r="AD20" s="18" t="n">
        <v>7752</v>
      </c>
      <c r="AE20" s="18" t="n">
        <v>9613</v>
      </c>
      <c r="AF20" s="24" t="n">
        <v>1861</v>
      </c>
      <c r="AG20" s="18" t="n">
        <v>7049</v>
      </c>
      <c r="AH20" s="18" t="n">
        <v>9022</v>
      </c>
      <c r="AI20" s="24" t="n">
        <v>1973</v>
      </c>
      <c r="AJ20" s="18" t="n">
        <v>9217</v>
      </c>
      <c r="AK20" s="18" t="n">
        <v>10876</v>
      </c>
      <c r="AL20" s="24" t="n">
        <v>1659</v>
      </c>
    </row>
    <row r="21">
      <c r="B21" s="6" t="inlineStr">
        <is>
          <t>小计</t>
        </is>
      </c>
      <c r="C21" s="19" t="n">
        <v>73208</v>
      </c>
      <c r="D21" s="19" t="n">
        <v>62753</v>
      </c>
      <c r="E21" s="19" t="n">
        <v>-10455</v>
      </c>
      <c r="F21" s="19" t="n">
        <v>60572</v>
      </c>
      <c r="G21" s="19" t="n">
        <v>52814</v>
      </c>
      <c r="H21" s="19" t="n">
        <v>-7758</v>
      </c>
      <c r="I21" s="19" t="n">
        <v>78723</v>
      </c>
      <c r="J21" s="19" t="n">
        <v>79461</v>
      </c>
      <c r="K21" s="19" t="n">
        <v>738</v>
      </c>
      <c r="L21" s="19" t="n">
        <v>85179</v>
      </c>
      <c r="M21" s="19" t="n">
        <v>86050</v>
      </c>
      <c r="N21" s="19" t="n">
        <v>871</v>
      </c>
      <c r="O21" s="19" t="n">
        <v>90706</v>
      </c>
      <c r="P21" s="19" t="n">
        <v>112433</v>
      </c>
      <c r="Q21" s="19" t="n">
        <v>21727</v>
      </c>
      <c r="R21" s="19" t="n">
        <v>92316</v>
      </c>
      <c r="S21" s="19" t="n">
        <v>90089</v>
      </c>
      <c r="T21" s="19" t="n">
        <v>-2227</v>
      </c>
      <c r="U21" s="19" t="n">
        <v>101572</v>
      </c>
      <c r="V21" s="19" t="n">
        <v>98856</v>
      </c>
      <c r="W21" s="19" t="n">
        <v>-2716</v>
      </c>
      <c r="X21" s="19" t="n">
        <v>90157</v>
      </c>
      <c r="Y21" s="19" t="n">
        <v>94834</v>
      </c>
      <c r="Z21" s="19" t="n">
        <v>4677</v>
      </c>
      <c r="AA21" s="19" t="n">
        <v>77109</v>
      </c>
      <c r="AB21" s="19" t="n">
        <v>84889</v>
      </c>
      <c r="AC21" s="19" t="n">
        <v>7780</v>
      </c>
      <c r="AD21" s="19" t="n">
        <v>93484</v>
      </c>
      <c r="AE21" s="19" t="n">
        <v>97880</v>
      </c>
      <c r="AF21" s="19" t="n">
        <v>4396</v>
      </c>
      <c r="AG21" s="19" t="n">
        <v>86171</v>
      </c>
      <c r="AH21" s="19" t="n">
        <v>97626</v>
      </c>
      <c r="AI21" s="19" t="n">
        <v>11455</v>
      </c>
      <c r="AJ21" s="19" t="n">
        <v>106216</v>
      </c>
      <c r="AK21" s="19" t="n">
        <v>102029</v>
      </c>
      <c r="AL21" s="19" t="n">
        <v>-4187</v>
      </c>
    </row>
    <row r="22">
      <c r="A22" s="23" t="inlineStr">
        <is>
          <t>生产部</t>
        </is>
      </c>
      <c r="B22" s="4" t="inlineStr">
        <is>
          <t>人工费用</t>
        </is>
      </c>
      <c r="C22" s="18" t="n">
        <v>70868</v>
      </c>
      <c r="D22" s="18" t="n">
        <v>59524</v>
      </c>
      <c r="E22" s="18" t="n">
        <v>-11344</v>
      </c>
      <c r="F22" s="18" t="n">
        <v>62853</v>
      </c>
      <c r="G22" s="18" t="n">
        <v>70774</v>
      </c>
      <c r="H22" s="24" t="n">
        <v>7921</v>
      </c>
      <c r="I22" s="18" t="n">
        <v>75810</v>
      </c>
      <c r="J22" s="18" t="n">
        <v>62261</v>
      </c>
      <c r="K22" s="18" t="n">
        <v>-13549</v>
      </c>
      <c r="L22" s="18" t="n">
        <v>86399</v>
      </c>
      <c r="M22" s="18" t="n">
        <v>96021</v>
      </c>
      <c r="N22" s="24" t="n">
        <v>9622</v>
      </c>
      <c r="O22" s="18" t="n">
        <v>83546</v>
      </c>
      <c r="P22" s="18" t="n">
        <v>67300</v>
      </c>
      <c r="Q22" s="18" t="n">
        <v>-16246</v>
      </c>
      <c r="R22" s="18" t="n">
        <v>92446</v>
      </c>
      <c r="S22" s="18" t="n">
        <v>95045</v>
      </c>
      <c r="T22" s="24" t="n">
        <v>2599</v>
      </c>
      <c r="U22" s="18" t="n">
        <v>93239</v>
      </c>
      <c r="V22" s="18" t="n">
        <v>92879</v>
      </c>
      <c r="W22" s="18" t="n">
        <v>-360</v>
      </c>
      <c r="X22" s="18" t="n">
        <v>81140</v>
      </c>
      <c r="Y22" s="18" t="n">
        <v>63050</v>
      </c>
      <c r="Z22" s="18" t="n">
        <v>-18090</v>
      </c>
      <c r="AA22" s="18" t="n">
        <v>80308</v>
      </c>
      <c r="AB22" s="18" t="n">
        <v>63479</v>
      </c>
      <c r="AC22" s="18" t="n">
        <v>-16829</v>
      </c>
      <c r="AD22" s="18" t="n">
        <v>98252</v>
      </c>
      <c r="AE22" s="18" t="n">
        <v>105282</v>
      </c>
      <c r="AF22" s="24" t="n">
        <v>7030</v>
      </c>
      <c r="AG22" s="18" t="n">
        <v>91176</v>
      </c>
      <c r="AH22" s="18" t="n">
        <v>102541</v>
      </c>
      <c r="AI22" s="24" t="n">
        <v>11365</v>
      </c>
      <c r="AJ22" s="18" t="n">
        <v>110154</v>
      </c>
      <c r="AK22" s="18" t="n">
        <v>142799</v>
      </c>
      <c r="AL22" s="24" t="n">
        <v>32645</v>
      </c>
    </row>
    <row r="23">
      <c r="B23" s="4" t="inlineStr">
        <is>
          <t>差旅费</t>
        </is>
      </c>
      <c r="C23" s="18" t="n">
        <v>20504</v>
      </c>
      <c r="D23" s="18" t="n">
        <v>17920</v>
      </c>
      <c r="E23" s="18" t="n">
        <v>-2584</v>
      </c>
      <c r="F23" s="18" t="n">
        <v>21181</v>
      </c>
      <c r="G23" s="18" t="n">
        <v>21950</v>
      </c>
      <c r="H23" s="24" t="n">
        <v>769</v>
      </c>
      <c r="I23" s="18" t="n">
        <v>23694</v>
      </c>
      <c r="J23" s="18" t="n">
        <v>24059</v>
      </c>
      <c r="K23" s="24" t="n">
        <v>365</v>
      </c>
      <c r="L23" s="18" t="n">
        <v>28808</v>
      </c>
      <c r="M23" s="18" t="n">
        <v>29777</v>
      </c>
      <c r="N23" s="24" t="n">
        <v>969</v>
      </c>
      <c r="O23" s="18" t="n">
        <v>29048</v>
      </c>
      <c r="P23" s="18" t="n">
        <v>32733</v>
      </c>
      <c r="Q23" s="24" t="n">
        <v>3685</v>
      </c>
      <c r="R23" s="18" t="n">
        <v>31540</v>
      </c>
      <c r="S23" s="18" t="n">
        <v>34898</v>
      </c>
      <c r="T23" s="24" t="n">
        <v>3358</v>
      </c>
      <c r="U23" s="18" t="n">
        <v>32535</v>
      </c>
      <c r="V23" s="18" t="n">
        <v>29811</v>
      </c>
      <c r="W23" s="18" t="n">
        <v>-2724</v>
      </c>
      <c r="X23" s="18" t="n">
        <v>26470</v>
      </c>
      <c r="Y23" s="18" t="n">
        <v>31624</v>
      </c>
      <c r="Z23" s="24" t="n">
        <v>5154</v>
      </c>
      <c r="AA23" s="18" t="n">
        <v>23414</v>
      </c>
      <c r="AB23" s="18" t="n">
        <v>24478</v>
      </c>
      <c r="AC23" s="24" t="n">
        <v>1064</v>
      </c>
      <c r="AD23" s="18" t="n">
        <v>31613</v>
      </c>
      <c r="AE23" s="18" t="n">
        <v>31862</v>
      </c>
      <c r="AF23" s="24" t="n">
        <v>249</v>
      </c>
      <c r="AG23" s="18" t="n">
        <v>25803</v>
      </c>
      <c r="AH23" s="18" t="n">
        <v>21421</v>
      </c>
      <c r="AI23" s="18" t="n">
        <v>-4382</v>
      </c>
      <c r="AJ23" s="18" t="n">
        <v>35385</v>
      </c>
      <c r="AK23" s="18" t="n">
        <v>45241</v>
      </c>
      <c r="AL23" s="24" t="n">
        <v>9856</v>
      </c>
    </row>
    <row r="24">
      <c r="B24" s="4" t="inlineStr">
        <is>
          <t>业务招待费</t>
        </is>
      </c>
      <c r="C24" s="18" t="n">
        <v>18888</v>
      </c>
      <c r="D24" s="18" t="n">
        <v>21111</v>
      </c>
      <c r="E24" s="24" t="n">
        <v>2223</v>
      </c>
      <c r="F24" s="18" t="n">
        <v>14526</v>
      </c>
      <c r="G24" s="18" t="n">
        <v>18527</v>
      </c>
      <c r="H24" s="24" t="n">
        <v>4001</v>
      </c>
      <c r="I24" s="18" t="n">
        <v>19243</v>
      </c>
      <c r="J24" s="18" t="n">
        <v>18447</v>
      </c>
      <c r="K24" s="18" t="n">
        <v>-796</v>
      </c>
      <c r="L24" s="18" t="n">
        <v>24222</v>
      </c>
      <c r="M24" s="18" t="n">
        <v>22750</v>
      </c>
      <c r="N24" s="18" t="n">
        <v>-1472</v>
      </c>
      <c r="O24" s="18" t="n">
        <v>20569</v>
      </c>
      <c r="P24" s="18" t="n">
        <v>18106</v>
      </c>
      <c r="Q24" s="18" t="n">
        <v>-2463</v>
      </c>
      <c r="R24" s="18" t="n">
        <v>26958</v>
      </c>
      <c r="S24" s="18" t="n">
        <v>33104</v>
      </c>
      <c r="T24" s="24" t="n">
        <v>6146</v>
      </c>
      <c r="U24" s="18" t="n">
        <v>29760</v>
      </c>
      <c r="V24" s="18" t="n">
        <v>37104</v>
      </c>
      <c r="W24" s="24" t="n">
        <v>7344</v>
      </c>
      <c r="X24" s="18" t="n">
        <v>20710</v>
      </c>
      <c r="Y24" s="18" t="n">
        <v>25162</v>
      </c>
      <c r="Z24" s="24" t="n">
        <v>4452</v>
      </c>
      <c r="AA24" s="18" t="n">
        <v>19178</v>
      </c>
      <c r="AB24" s="18" t="n">
        <v>19729</v>
      </c>
      <c r="AC24" s="24" t="n">
        <v>551</v>
      </c>
      <c r="AD24" s="18" t="n">
        <v>25157</v>
      </c>
      <c r="AE24" s="18" t="n">
        <v>26944</v>
      </c>
      <c r="AF24" s="24" t="n">
        <v>1787</v>
      </c>
      <c r="AG24" s="18" t="n">
        <v>24336</v>
      </c>
      <c r="AH24" s="18" t="n">
        <v>28617</v>
      </c>
      <c r="AI24" s="24" t="n">
        <v>4281</v>
      </c>
      <c r="AJ24" s="18" t="n">
        <v>29237</v>
      </c>
      <c r="AK24" s="18" t="n">
        <v>21093</v>
      </c>
      <c r="AL24" s="18" t="n">
        <v>-8144</v>
      </c>
    </row>
    <row r="25">
      <c r="B25" s="4" t="inlineStr">
        <is>
          <t>办公费</t>
        </is>
      </c>
      <c r="C25" s="18" t="n">
        <v>15999</v>
      </c>
      <c r="D25" s="18" t="n">
        <v>11489</v>
      </c>
      <c r="E25" s="18" t="n">
        <v>-4510</v>
      </c>
      <c r="F25" s="18" t="n">
        <v>12487</v>
      </c>
      <c r="G25" s="18" t="n">
        <v>10284</v>
      </c>
      <c r="H25" s="18" t="n">
        <v>-2203</v>
      </c>
      <c r="I25" s="18" t="n">
        <v>15783</v>
      </c>
      <c r="J25" s="18" t="n">
        <v>18278</v>
      </c>
      <c r="K25" s="24" t="n">
        <v>2495</v>
      </c>
      <c r="L25" s="18" t="n">
        <v>20650</v>
      </c>
      <c r="M25" s="18" t="n">
        <v>17830</v>
      </c>
      <c r="N25" s="18" t="n">
        <v>-2820</v>
      </c>
      <c r="O25" s="18" t="n">
        <v>19946</v>
      </c>
      <c r="P25" s="18" t="n">
        <v>21052</v>
      </c>
      <c r="Q25" s="24" t="n">
        <v>1106</v>
      </c>
      <c r="R25" s="18" t="n">
        <v>20412</v>
      </c>
      <c r="S25" s="18" t="n">
        <v>26023</v>
      </c>
      <c r="T25" s="24" t="n">
        <v>5611</v>
      </c>
      <c r="U25" s="18" t="n">
        <v>20672</v>
      </c>
      <c r="V25" s="18" t="n">
        <v>25563</v>
      </c>
      <c r="W25" s="24" t="n">
        <v>4891</v>
      </c>
      <c r="X25" s="18" t="n">
        <v>18725</v>
      </c>
      <c r="Y25" s="18" t="n">
        <v>17499</v>
      </c>
      <c r="Z25" s="18" t="n">
        <v>-1226</v>
      </c>
      <c r="AA25" s="18" t="n">
        <v>15441</v>
      </c>
      <c r="AB25" s="18" t="n">
        <v>17438</v>
      </c>
      <c r="AC25" s="24" t="n">
        <v>1997</v>
      </c>
      <c r="AD25" s="18" t="n">
        <v>20511</v>
      </c>
      <c r="AE25" s="18" t="n">
        <v>23602</v>
      </c>
      <c r="AF25" s="24" t="n">
        <v>3091</v>
      </c>
      <c r="AG25" s="18" t="n">
        <v>17516</v>
      </c>
      <c r="AH25" s="18" t="n">
        <v>19697</v>
      </c>
      <c r="AI25" s="24" t="n">
        <v>2181</v>
      </c>
      <c r="AJ25" s="18" t="n">
        <v>25215</v>
      </c>
      <c r="AK25" s="18" t="n">
        <v>19950</v>
      </c>
      <c r="AL25" s="18" t="n">
        <v>-5265</v>
      </c>
    </row>
    <row r="26">
      <c r="B26" s="4" t="inlineStr">
        <is>
          <t>折旧费</t>
        </is>
      </c>
      <c r="C26" s="18" t="n">
        <v>11022</v>
      </c>
      <c r="D26" s="18" t="n">
        <v>10211</v>
      </c>
      <c r="E26" s="18" t="n">
        <v>-811</v>
      </c>
      <c r="F26" s="18" t="n">
        <v>11059</v>
      </c>
      <c r="G26" s="18" t="n">
        <v>8522</v>
      </c>
      <c r="H26" s="18" t="n">
        <v>-2537</v>
      </c>
      <c r="I26" s="18" t="n">
        <v>12266</v>
      </c>
      <c r="J26" s="18" t="n">
        <v>10028</v>
      </c>
      <c r="K26" s="18" t="n">
        <v>-2238</v>
      </c>
      <c r="L26" s="18" t="n">
        <v>15049</v>
      </c>
      <c r="M26" s="18" t="n">
        <v>16336</v>
      </c>
      <c r="N26" s="24" t="n">
        <v>1287</v>
      </c>
      <c r="O26" s="18" t="n">
        <v>15743</v>
      </c>
      <c r="P26" s="18" t="n">
        <v>11897</v>
      </c>
      <c r="Q26" s="18" t="n">
        <v>-3846</v>
      </c>
      <c r="R26" s="18" t="n">
        <v>18127</v>
      </c>
      <c r="S26" s="18" t="n">
        <v>19996</v>
      </c>
      <c r="T26" s="24" t="n">
        <v>1869</v>
      </c>
      <c r="U26" s="18" t="n">
        <v>19790</v>
      </c>
      <c r="V26" s="18" t="n">
        <v>14505</v>
      </c>
      <c r="W26" s="18" t="n">
        <v>-5285</v>
      </c>
      <c r="X26" s="18" t="n">
        <v>15871</v>
      </c>
      <c r="Y26" s="18" t="n">
        <v>17681</v>
      </c>
      <c r="Z26" s="24" t="n">
        <v>1810</v>
      </c>
      <c r="AA26" s="18" t="n">
        <v>13387</v>
      </c>
      <c r="AB26" s="18" t="n">
        <v>16173</v>
      </c>
      <c r="AC26" s="24" t="n">
        <v>2786</v>
      </c>
      <c r="AD26" s="18" t="n">
        <v>15008</v>
      </c>
      <c r="AE26" s="18" t="n">
        <v>12198</v>
      </c>
      <c r="AF26" s="18" t="n">
        <v>-2810</v>
      </c>
      <c r="AG26" s="18" t="n">
        <v>16131</v>
      </c>
      <c r="AH26" s="18" t="n">
        <v>17216</v>
      </c>
      <c r="AI26" s="24" t="n">
        <v>1085</v>
      </c>
      <c r="AJ26" s="18" t="n">
        <v>20981</v>
      </c>
      <c r="AK26" s="18" t="n">
        <v>17277</v>
      </c>
      <c r="AL26" s="18" t="n">
        <v>-3704</v>
      </c>
    </row>
    <row r="27">
      <c r="B27" s="6" t="inlineStr">
        <is>
          <t>小计</t>
        </is>
      </c>
      <c r="C27" s="19" t="n">
        <v>137281</v>
      </c>
      <c r="D27" s="19" t="n">
        <v>120255</v>
      </c>
      <c r="E27" s="19" t="n">
        <v>-17026</v>
      </c>
      <c r="F27" s="19" t="n">
        <v>122106</v>
      </c>
      <c r="G27" s="19" t="n">
        <v>130057</v>
      </c>
      <c r="H27" s="19" t="n">
        <v>7951</v>
      </c>
      <c r="I27" s="19" t="n">
        <v>146796</v>
      </c>
      <c r="J27" s="19" t="n">
        <v>133073</v>
      </c>
      <c r="K27" s="19" t="n">
        <v>-13723</v>
      </c>
      <c r="L27" s="19" t="n">
        <v>175128</v>
      </c>
      <c r="M27" s="19" t="n">
        <v>182714</v>
      </c>
      <c r="N27" s="19" t="n">
        <v>7586</v>
      </c>
      <c r="O27" s="19" t="n">
        <v>168852</v>
      </c>
      <c r="P27" s="19" t="n">
        <v>151088</v>
      </c>
      <c r="Q27" s="19" t="n">
        <v>-17764</v>
      </c>
      <c r="R27" s="19" t="n">
        <v>189483</v>
      </c>
      <c r="S27" s="19" t="n">
        <v>209066</v>
      </c>
      <c r="T27" s="19" t="n">
        <v>19583</v>
      </c>
      <c r="U27" s="19" t="n">
        <v>195996</v>
      </c>
      <c r="V27" s="19" t="n">
        <v>199862</v>
      </c>
      <c r="W27" s="19" t="n">
        <v>3866</v>
      </c>
      <c r="X27" s="19" t="n">
        <v>162916</v>
      </c>
      <c r="Y27" s="19" t="n">
        <v>155016</v>
      </c>
      <c r="Z27" s="19" t="n">
        <v>-7900</v>
      </c>
      <c r="AA27" s="19" t="n">
        <v>151728</v>
      </c>
      <c r="AB27" s="19" t="n">
        <v>141297</v>
      </c>
      <c r="AC27" s="19" t="n">
        <v>-10431</v>
      </c>
      <c r="AD27" s="19" t="n">
        <v>190541</v>
      </c>
      <c r="AE27" s="19" t="n">
        <v>199888</v>
      </c>
      <c r="AF27" s="19" t="n">
        <v>9347</v>
      </c>
      <c r="AG27" s="19" t="n">
        <v>174962</v>
      </c>
      <c r="AH27" s="19" t="n">
        <v>189492</v>
      </c>
      <c r="AI27" s="19" t="n">
        <v>14530</v>
      </c>
      <c r="AJ27" s="19" t="n">
        <v>220972</v>
      </c>
      <c r="AK27" s="19" t="n">
        <v>246360</v>
      </c>
      <c r="AL27" s="19" t="n">
        <v>25388</v>
      </c>
    </row>
    <row r="28">
      <c r="A28" s="23" t="inlineStr">
        <is>
          <t>采购部</t>
        </is>
      </c>
      <c r="B28" s="4" t="inlineStr">
        <is>
          <t>人工费用</t>
        </is>
      </c>
      <c r="C28" s="18" t="n">
        <v>48290</v>
      </c>
      <c r="D28" s="18" t="n">
        <v>34461</v>
      </c>
      <c r="E28" s="18" t="n">
        <v>-13829</v>
      </c>
      <c r="F28" s="18" t="n">
        <v>38128</v>
      </c>
      <c r="G28" s="18" t="n">
        <v>40588</v>
      </c>
      <c r="H28" s="24" t="n">
        <v>2460</v>
      </c>
      <c r="I28" s="18" t="n">
        <v>49601</v>
      </c>
      <c r="J28" s="18" t="n">
        <v>52494</v>
      </c>
      <c r="K28" s="24" t="n">
        <v>2893</v>
      </c>
      <c r="L28" s="18" t="n">
        <v>59999</v>
      </c>
      <c r="M28" s="18" t="n">
        <v>56288</v>
      </c>
      <c r="N28" s="18" t="n">
        <v>-3711</v>
      </c>
      <c r="O28" s="18" t="n">
        <v>58303</v>
      </c>
      <c r="P28" s="18" t="n">
        <v>49402</v>
      </c>
      <c r="Q28" s="18" t="n">
        <v>-8901</v>
      </c>
      <c r="R28" s="18" t="n">
        <v>64495</v>
      </c>
      <c r="S28" s="18" t="n">
        <v>83333</v>
      </c>
      <c r="T28" s="24" t="n">
        <v>18838</v>
      </c>
      <c r="U28" s="18" t="n">
        <v>64047</v>
      </c>
      <c r="V28" s="18" t="n">
        <v>71349</v>
      </c>
      <c r="W28" s="24" t="n">
        <v>7302</v>
      </c>
      <c r="X28" s="18" t="n">
        <v>51253</v>
      </c>
      <c r="Y28" s="18" t="n">
        <v>51042</v>
      </c>
      <c r="Z28" s="18" t="n">
        <v>-211</v>
      </c>
      <c r="AA28" s="18" t="n">
        <v>53037</v>
      </c>
      <c r="AB28" s="18" t="n">
        <v>47254</v>
      </c>
      <c r="AC28" s="18" t="n">
        <v>-5783</v>
      </c>
      <c r="AD28" s="18" t="n">
        <v>65770</v>
      </c>
      <c r="AE28" s="18" t="n">
        <v>76873</v>
      </c>
      <c r="AF28" s="24" t="n">
        <v>11103</v>
      </c>
      <c r="AG28" s="18" t="n">
        <v>57107</v>
      </c>
      <c r="AH28" s="18" t="n">
        <v>69670</v>
      </c>
      <c r="AI28" s="24" t="n">
        <v>12563</v>
      </c>
      <c r="AJ28" s="18" t="n">
        <v>66723</v>
      </c>
      <c r="AK28" s="18" t="n">
        <v>72967</v>
      </c>
      <c r="AL28" s="24" t="n">
        <v>6244</v>
      </c>
    </row>
    <row r="29">
      <c r="B29" s="4" t="inlineStr">
        <is>
          <t>差旅费</t>
        </is>
      </c>
      <c r="C29" s="18" t="n">
        <v>15167</v>
      </c>
      <c r="D29" s="18" t="n">
        <v>12418</v>
      </c>
      <c r="E29" s="18" t="n">
        <v>-2749</v>
      </c>
      <c r="F29" s="18" t="n">
        <v>12283</v>
      </c>
      <c r="G29" s="18" t="n">
        <v>10796</v>
      </c>
      <c r="H29" s="18" t="n">
        <v>-1487</v>
      </c>
      <c r="I29" s="18" t="n">
        <v>18024</v>
      </c>
      <c r="J29" s="18" t="n">
        <v>21258</v>
      </c>
      <c r="K29" s="24" t="n">
        <v>3234</v>
      </c>
      <c r="L29" s="18" t="n">
        <v>18384</v>
      </c>
      <c r="M29" s="18" t="n">
        <v>22681</v>
      </c>
      <c r="N29" s="24" t="n">
        <v>4297</v>
      </c>
      <c r="O29" s="18" t="n">
        <v>19779</v>
      </c>
      <c r="P29" s="18" t="n">
        <v>17324</v>
      </c>
      <c r="Q29" s="18" t="n">
        <v>-2455</v>
      </c>
      <c r="R29" s="18" t="n">
        <v>22183</v>
      </c>
      <c r="S29" s="18" t="n">
        <v>22738</v>
      </c>
      <c r="T29" s="24" t="n">
        <v>555</v>
      </c>
      <c r="U29" s="18" t="n">
        <v>22600</v>
      </c>
      <c r="V29" s="18" t="n">
        <v>18433</v>
      </c>
      <c r="W29" s="18" t="n">
        <v>-4167</v>
      </c>
      <c r="X29" s="18" t="n">
        <v>20142</v>
      </c>
      <c r="Y29" s="18" t="n">
        <v>16167</v>
      </c>
      <c r="Z29" s="18" t="n">
        <v>-3975</v>
      </c>
      <c r="AA29" s="18" t="n">
        <v>16755</v>
      </c>
      <c r="AB29" s="18" t="n">
        <v>17758</v>
      </c>
      <c r="AC29" s="24" t="n">
        <v>1003</v>
      </c>
      <c r="AD29" s="18" t="n">
        <v>18570</v>
      </c>
      <c r="AE29" s="18" t="n">
        <v>19437</v>
      </c>
      <c r="AF29" s="24" t="n">
        <v>867</v>
      </c>
      <c r="AG29" s="18" t="n">
        <v>17561</v>
      </c>
      <c r="AH29" s="18" t="n">
        <v>17820</v>
      </c>
      <c r="AI29" s="24" t="n">
        <v>259</v>
      </c>
      <c r="AJ29" s="18" t="n">
        <v>26253</v>
      </c>
      <c r="AK29" s="18" t="n">
        <v>32764</v>
      </c>
      <c r="AL29" s="24" t="n">
        <v>6511</v>
      </c>
    </row>
    <row r="30">
      <c r="B30" s="4" t="inlineStr">
        <is>
          <t>业务招待费</t>
        </is>
      </c>
      <c r="C30" s="18" t="n">
        <v>12803</v>
      </c>
      <c r="D30" s="18" t="n">
        <v>10048</v>
      </c>
      <c r="E30" s="18" t="n">
        <v>-2755</v>
      </c>
      <c r="F30" s="18" t="n">
        <v>10227</v>
      </c>
      <c r="G30" s="18" t="n">
        <v>12961</v>
      </c>
      <c r="H30" s="24" t="n">
        <v>2734</v>
      </c>
      <c r="I30" s="18" t="n">
        <v>14145</v>
      </c>
      <c r="J30" s="18" t="n">
        <v>12923</v>
      </c>
      <c r="K30" s="18" t="n">
        <v>-1222</v>
      </c>
      <c r="L30" s="18" t="n">
        <v>16484</v>
      </c>
      <c r="M30" s="18" t="n">
        <v>12652</v>
      </c>
      <c r="N30" s="18" t="n">
        <v>-3832</v>
      </c>
      <c r="O30" s="18" t="n">
        <v>15349</v>
      </c>
      <c r="P30" s="18" t="n">
        <v>11797</v>
      </c>
      <c r="Q30" s="18" t="n">
        <v>-3552</v>
      </c>
      <c r="R30" s="18" t="n">
        <v>16738</v>
      </c>
      <c r="S30" s="18" t="n">
        <v>15943</v>
      </c>
      <c r="T30" s="18" t="n">
        <v>-795</v>
      </c>
      <c r="U30" s="18" t="n">
        <v>16274</v>
      </c>
      <c r="V30" s="18" t="n">
        <v>13489</v>
      </c>
      <c r="W30" s="18" t="n">
        <v>-2785</v>
      </c>
      <c r="X30" s="18" t="n">
        <v>14421</v>
      </c>
      <c r="Y30" s="18" t="n">
        <v>17553</v>
      </c>
      <c r="Z30" s="24" t="n">
        <v>3132</v>
      </c>
      <c r="AA30" s="18" t="n">
        <v>14241</v>
      </c>
      <c r="AB30" s="18" t="n">
        <v>11978</v>
      </c>
      <c r="AC30" s="18" t="n">
        <v>-2263</v>
      </c>
      <c r="AD30" s="18" t="n">
        <v>16473</v>
      </c>
      <c r="AE30" s="18" t="n">
        <v>17074</v>
      </c>
      <c r="AF30" s="24" t="n">
        <v>601</v>
      </c>
      <c r="AG30" s="18" t="n">
        <v>14108</v>
      </c>
      <c r="AH30" s="18" t="n">
        <v>15889</v>
      </c>
      <c r="AI30" s="24" t="n">
        <v>1781</v>
      </c>
      <c r="AJ30" s="18" t="n">
        <v>18298</v>
      </c>
      <c r="AK30" s="18" t="n">
        <v>22448</v>
      </c>
      <c r="AL30" s="24" t="n">
        <v>4150</v>
      </c>
    </row>
    <row r="31">
      <c r="B31" s="4" t="inlineStr">
        <is>
          <t>办公费</t>
        </is>
      </c>
      <c r="C31" s="18" t="n">
        <v>10674</v>
      </c>
      <c r="D31" s="18" t="n">
        <v>8705</v>
      </c>
      <c r="E31" s="18" t="n">
        <v>-1969</v>
      </c>
      <c r="F31" s="18" t="n">
        <v>9535</v>
      </c>
      <c r="G31" s="18" t="n">
        <v>9717</v>
      </c>
      <c r="H31" s="24" t="n">
        <v>182</v>
      </c>
      <c r="I31" s="18" t="n">
        <v>10190</v>
      </c>
      <c r="J31" s="18" t="n">
        <v>11381</v>
      </c>
      <c r="K31" s="24" t="n">
        <v>1191</v>
      </c>
      <c r="L31" s="18" t="n">
        <v>12269</v>
      </c>
      <c r="M31" s="18" t="n">
        <v>11820</v>
      </c>
      <c r="N31" s="18" t="n">
        <v>-449</v>
      </c>
      <c r="O31" s="18" t="n">
        <v>12538</v>
      </c>
      <c r="P31" s="18" t="n">
        <v>11886</v>
      </c>
      <c r="Q31" s="18" t="n">
        <v>-652</v>
      </c>
      <c r="R31" s="18" t="n">
        <v>14835</v>
      </c>
      <c r="S31" s="18" t="n">
        <v>12819</v>
      </c>
      <c r="T31" s="18" t="n">
        <v>-2016</v>
      </c>
      <c r="U31" s="18" t="n">
        <v>14781</v>
      </c>
      <c r="V31" s="18" t="n">
        <v>14600</v>
      </c>
      <c r="W31" s="18" t="n">
        <v>-181</v>
      </c>
      <c r="X31" s="18" t="n">
        <v>13019</v>
      </c>
      <c r="Y31" s="18" t="n">
        <v>9881</v>
      </c>
      <c r="Z31" s="18" t="n">
        <v>-3138</v>
      </c>
      <c r="AA31" s="18" t="n">
        <v>10636</v>
      </c>
      <c r="AB31" s="18" t="n">
        <v>12338</v>
      </c>
      <c r="AC31" s="24" t="n">
        <v>1702</v>
      </c>
      <c r="AD31" s="18" t="n">
        <v>12724</v>
      </c>
      <c r="AE31" s="18" t="n">
        <v>11963</v>
      </c>
      <c r="AF31" s="18" t="n">
        <v>-761</v>
      </c>
      <c r="AG31" s="18" t="n">
        <v>11505</v>
      </c>
      <c r="AH31" s="18" t="n">
        <v>10352</v>
      </c>
      <c r="AI31" s="18" t="n">
        <v>-1153</v>
      </c>
      <c r="AJ31" s="18" t="n">
        <v>17505</v>
      </c>
      <c r="AK31" s="18" t="n">
        <v>18294</v>
      </c>
      <c r="AL31" s="24" t="n">
        <v>789</v>
      </c>
    </row>
    <row r="32">
      <c r="B32" s="4" t="inlineStr">
        <is>
          <t>折旧费</t>
        </is>
      </c>
      <c r="C32" s="18" t="n">
        <v>7963</v>
      </c>
      <c r="D32" s="18" t="n">
        <v>5752</v>
      </c>
      <c r="E32" s="18" t="n">
        <v>-2211</v>
      </c>
      <c r="F32" s="18" t="n">
        <v>6659</v>
      </c>
      <c r="G32" s="18" t="n">
        <v>6712</v>
      </c>
      <c r="H32" s="24" t="n">
        <v>53</v>
      </c>
      <c r="I32" s="18" t="n">
        <v>8103</v>
      </c>
      <c r="J32" s="18" t="n">
        <v>6175</v>
      </c>
      <c r="K32" s="18" t="n">
        <v>-1928</v>
      </c>
      <c r="L32" s="18" t="n">
        <v>10491</v>
      </c>
      <c r="M32" s="18" t="n">
        <v>9039</v>
      </c>
      <c r="N32" s="18" t="n">
        <v>-1452</v>
      </c>
      <c r="O32" s="18" t="n">
        <v>10590</v>
      </c>
      <c r="P32" s="18" t="n">
        <v>9763</v>
      </c>
      <c r="Q32" s="18" t="n">
        <v>-827</v>
      </c>
      <c r="R32" s="18" t="n">
        <v>10284</v>
      </c>
      <c r="S32" s="18" t="n">
        <v>7894</v>
      </c>
      <c r="T32" s="18" t="n">
        <v>-2390</v>
      </c>
      <c r="U32" s="18" t="n">
        <v>11539</v>
      </c>
      <c r="V32" s="18" t="n">
        <v>9560</v>
      </c>
      <c r="W32" s="18" t="n">
        <v>-1979</v>
      </c>
      <c r="X32" s="18" t="n">
        <v>9751</v>
      </c>
      <c r="Y32" s="18" t="n">
        <v>7226</v>
      </c>
      <c r="Z32" s="18" t="n">
        <v>-2525</v>
      </c>
      <c r="AA32" s="18" t="n">
        <v>8839</v>
      </c>
      <c r="AB32" s="18" t="n">
        <v>8209</v>
      </c>
      <c r="AC32" s="18" t="n">
        <v>-630</v>
      </c>
      <c r="AD32" s="18" t="n">
        <v>10117</v>
      </c>
      <c r="AE32" s="18" t="n">
        <v>9429</v>
      </c>
      <c r="AF32" s="18" t="n">
        <v>-688</v>
      </c>
      <c r="AG32" s="18" t="n">
        <v>9055</v>
      </c>
      <c r="AH32" s="18" t="n">
        <v>7416</v>
      </c>
      <c r="AI32" s="18" t="n">
        <v>-1639</v>
      </c>
      <c r="AJ32" s="18" t="n">
        <v>12666</v>
      </c>
      <c r="AK32" s="18" t="n">
        <v>9545</v>
      </c>
      <c r="AL32" s="18" t="n">
        <v>-3121</v>
      </c>
    </row>
    <row r="33">
      <c r="B33" s="6" t="inlineStr">
        <is>
          <t>小计</t>
        </is>
      </c>
      <c r="C33" s="19" t="n">
        <v>94897</v>
      </c>
      <c r="D33" s="19" t="n">
        <v>71384</v>
      </c>
      <c r="E33" s="19" t="n">
        <v>-23513</v>
      </c>
      <c r="F33" s="19" t="n">
        <v>76832</v>
      </c>
      <c r="G33" s="19" t="n">
        <v>80774</v>
      </c>
      <c r="H33" s="19" t="n">
        <v>3942</v>
      </c>
      <c r="I33" s="19" t="n">
        <v>100063</v>
      </c>
      <c r="J33" s="19" t="n">
        <v>104231</v>
      </c>
      <c r="K33" s="19" t="n">
        <v>4168</v>
      </c>
      <c r="L33" s="19" t="n">
        <v>117627</v>
      </c>
      <c r="M33" s="19" t="n">
        <v>112480</v>
      </c>
      <c r="N33" s="19" t="n">
        <v>-5147</v>
      </c>
      <c r="O33" s="19" t="n">
        <v>116559</v>
      </c>
      <c r="P33" s="19" t="n">
        <v>100172</v>
      </c>
      <c r="Q33" s="19" t="n">
        <v>-16387</v>
      </c>
      <c r="R33" s="19" t="n">
        <v>128535</v>
      </c>
      <c r="S33" s="19" t="n">
        <v>142727</v>
      </c>
      <c r="T33" s="19" t="n">
        <v>14192</v>
      </c>
      <c r="U33" s="19" t="n">
        <v>129241</v>
      </c>
      <c r="V33" s="19" t="n">
        <v>127431</v>
      </c>
      <c r="W33" s="19" t="n">
        <v>-1810</v>
      </c>
      <c r="X33" s="19" t="n">
        <v>108586</v>
      </c>
      <c r="Y33" s="19" t="n">
        <v>101869</v>
      </c>
      <c r="Z33" s="19" t="n">
        <v>-6717</v>
      </c>
      <c r="AA33" s="19" t="n">
        <v>103508</v>
      </c>
      <c r="AB33" s="19" t="n">
        <v>97537</v>
      </c>
      <c r="AC33" s="19" t="n">
        <v>-5971</v>
      </c>
      <c r="AD33" s="19" t="n">
        <v>123654</v>
      </c>
      <c r="AE33" s="19" t="n">
        <v>134776</v>
      </c>
      <c r="AF33" s="19" t="n">
        <v>11122</v>
      </c>
      <c r="AG33" s="19" t="n">
        <v>109336</v>
      </c>
      <c r="AH33" s="19" t="n">
        <v>121147</v>
      </c>
      <c r="AI33" s="19" t="n">
        <v>11811</v>
      </c>
      <c r="AJ33" s="19" t="n">
        <v>141445</v>
      </c>
      <c r="AK33" s="19" t="n">
        <v>156018</v>
      </c>
      <c r="AL33" s="19" t="n">
        <v>14573</v>
      </c>
    </row>
    <row r="34">
      <c r="A34" s="23" t="inlineStr">
        <is>
          <t>人力资源部</t>
        </is>
      </c>
      <c r="B34" s="4" t="inlineStr">
        <is>
          <t>人工费用</t>
        </is>
      </c>
      <c r="C34" s="18" t="n">
        <v>56978</v>
      </c>
      <c r="D34" s="18" t="n">
        <v>65468</v>
      </c>
      <c r="E34" s="24" t="n">
        <v>8490</v>
      </c>
      <c r="F34" s="18" t="n">
        <v>53754</v>
      </c>
      <c r="G34" s="18" t="n">
        <v>48648</v>
      </c>
      <c r="H34" s="18" t="n">
        <v>-5106</v>
      </c>
      <c r="I34" s="18" t="n">
        <v>68151</v>
      </c>
      <c r="J34" s="18" t="n">
        <v>58730</v>
      </c>
      <c r="K34" s="18" t="n">
        <v>-9421</v>
      </c>
      <c r="L34" s="18" t="n">
        <v>79533</v>
      </c>
      <c r="M34" s="18" t="n">
        <v>99087</v>
      </c>
      <c r="N34" s="24" t="n">
        <v>19554</v>
      </c>
      <c r="O34" s="18" t="n">
        <v>67964</v>
      </c>
      <c r="P34" s="18" t="n">
        <v>63814</v>
      </c>
      <c r="Q34" s="18" t="n">
        <v>-4150</v>
      </c>
      <c r="R34" s="18" t="n">
        <v>87461</v>
      </c>
      <c r="S34" s="18" t="n">
        <v>81152</v>
      </c>
      <c r="T34" s="18" t="n">
        <v>-6309</v>
      </c>
      <c r="U34" s="18" t="n">
        <v>91632</v>
      </c>
      <c r="V34" s="18" t="n">
        <v>114993</v>
      </c>
      <c r="W34" s="24" t="n">
        <v>23361</v>
      </c>
      <c r="X34" s="18" t="n">
        <v>79122</v>
      </c>
      <c r="Y34" s="18" t="n">
        <v>101480</v>
      </c>
      <c r="Z34" s="24" t="n">
        <v>22358</v>
      </c>
      <c r="AA34" s="18" t="n">
        <v>71846</v>
      </c>
      <c r="AB34" s="18" t="n">
        <v>71839</v>
      </c>
      <c r="AC34" s="18" t="n">
        <v>-7</v>
      </c>
      <c r="AD34" s="18" t="n">
        <v>73386</v>
      </c>
      <c r="AE34" s="18" t="n">
        <v>63123</v>
      </c>
      <c r="AF34" s="18" t="n">
        <v>-10263</v>
      </c>
      <c r="AG34" s="18" t="n">
        <v>65810</v>
      </c>
      <c r="AH34" s="18" t="n">
        <v>57521</v>
      </c>
      <c r="AI34" s="18" t="n">
        <v>-8289</v>
      </c>
      <c r="AJ34" s="18" t="n">
        <v>100142</v>
      </c>
      <c r="AK34" s="18" t="n">
        <v>86484</v>
      </c>
      <c r="AL34" s="18" t="n">
        <v>-13658</v>
      </c>
    </row>
    <row r="35">
      <c r="B35" s="4" t="inlineStr">
        <is>
          <t>差旅费</t>
        </is>
      </c>
      <c r="C35" s="18" t="n">
        <v>20103</v>
      </c>
      <c r="D35" s="18" t="n">
        <v>17459</v>
      </c>
      <c r="E35" s="18" t="n">
        <v>-2644</v>
      </c>
      <c r="F35" s="18" t="n">
        <v>16409</v>
      </c>
      <c r="G35" s="18" t="n">
        <v>17065</v>
      </c>
      <c r="H35" s="24" t="n">
        <v>656</v>
      </c>
      <c r="I35" s="18" t="n">
        <v>22566</v>
      </c>
      <c r="J35" s="18" t="n">
        <v>26464</v>
      </c>
      <c r="K35" s="24" t="n">
        <v>3898</v>
      </c>
      <c r="L35" s="18" t="n">
        <v>21943</v>
      </c>
      <c r="M35" s="18" t="n">
        <v>18400</v>
      </c>
      <c r="N35" s="18" t="n">
        <v>-3543</v>
      </c>
      <c r="O35" s="18" t="n">
        <v>21838</v>
      </c>
      <c r="P35" s="18" t="n">
        <v>16416</v>
      </c>
      <c r="Q35" s="18" t="n">
        <v>-5422</v>
      </c>
      <c r="R35" s="18" t="n">
        <v>27188</v>
      </c>
      <c r="S35" s="18" t="n">
        <v>25780</v>
      </c>
      <c r="T35" s="18" t="n">
        <v>-1408</v>
      </c>
      <c r="U35" s="18" t="n">
        <v>31860</v>
      </c>
      <c r="V35" s="18" t="n">
        <v>25211</v>
      </c>
      <c r="W35" s="18" t="n">
        <v>-6649</v>
      </c>
      <c r="X35" s="18" t="n">
        <v>25562</v>
      </c>
      <c r="Y35" s="18" t="n">
        <v>32563</v>
      </c>
      <c r="Z35" s="24" t="n">
        <v>7001</v>
      </c>
      <c r="AA35" s="18" t="n">
        <v>23848</v>
      </c>
      <c r="AB35" s="18" t="n">
        <v>22080</v>
      </c>
      <c r="AC35" s="18" t="n">
        <v>-1768</v>
      </c>
      <c r="AD35" s="18" t="n">
        <v>27114</v>
      </c>
      <c r="AE35" s="18" t="n">
        <v>33737</v>
      </c>
      <c r="AF35" s="24" t="n">
        <v>6623</v>
      </c>
      <c r="AG35" s="18" t="n">
        <v>25133</v>
      </c>
      <c r="AH35" s="18" t="n">
        <v>28005</v>
      </c>
      <c r="AI35" s="24" t="n">
        <v>2872</v>
      </c>
      <c r="AJ35" s="18" t="n">
        <v>32450</v>
      </c>
      <c r="AK35" s="18" t="n">
        <v>36865</v>
      </c>
      <c r="AL35" s="24" t="n">
        <v>4415</v>
      </c>
    </row>
    <row r="36">
      <c r="B36" s="4" t="inlineStr">
        <is>
          <t>业务招待费</t>
        </is>
      </c>
      <c r="C36" s="18" t="n">
        <v>16330</v>
      </c>
      <c r="D36" s="18" t="n">
        <v>18718</v>
      </c>
      <c r="E36" s="24" t="n">
        <v>2388</v>
      </c>
      <c r="F36" s="18" t="n">
        <v>14389</v>
      </c>
      <c r="G36" s="18" t="n">
        <v>13444</v>
      </c>
      <c r="H36" s="18" t="n">
        <v>-945</v>
      </c>
      <c r="I36" s="18" t="n">
        <v>17550</v>
      </c>
      <c r="J36" s="18" t="n">
        <v>17919</v>
      </c>
      <c r="K36" s="24" t="n">
        <v>369</v>
      </c>
      <c r="L36" s="18" t="n">
        <v>19995</v>
      </c>
      <c r="M36" s="18" t="n">
        <v>24491</v>
      </c>
      <c r="N36" s="24" t="n">
        <v>4496</v>
      </c>
      <c r="O36" s="18" t="n">
        <v>21096</v>
      </c>
      <c r="P36" s="18" t="n">
        <v>18879</v>
      </c>
      <c r="Q36" s="18" t="n">
        <v>-2217</v>
      </c>
      <c r="R36" s="18" t="n">
        <v>22084</v>
      </c>
      <c r="S36" s="18" t="n">
        <v>21434</v>
      </c>
      <c r="T36" s="18" t="n">
        <v>-650</v>
      </c>
      <c r="U36" s="18" t="n">
        <v>25490</v>
      </c>
      <c r="V36" s="18" t="n">
        <v>26797</v>
      </c>
      <c r="W36" s="24" t="n">
        <v>1307</v>
      </c>
      <c r="X36" s="18" t="n">
        <v>18446</v>
      </c>
      <c r="Y36" s="18" t="n">
        <v>21555</v>
      </c>
      <c r="Z36" s="24" t="n">
        <v>3109</v>
      </c>
      <c r="AA36" s="18" t="n">
        <v>17808</v>
      </c>
      <c r="AB36" s="18" t="n">
        <v>13374</v>
      </c>
      <c r="AC36" s="18" t="n">
        <v>-4434</v>
      </c>
      <c r="AD36" s="18" t="n">
        <v>22100</v>
      </c>
      <c r="AE36" s="18" t="n">
        <v>27495</v>
      </c>
      <c r="AF36" s="24" t="n">
        <v>5395</v>
      </c>
      <c r="AG36" s="18" t="n">
        <v>17572</v>
      </c>
      <c r="AH36" s="18" t="n">
        <v>13497</v>
      </c>
      <c r="AI36" s="18" t="n">
        <v>-4075</v>
      </c>
      <c r="AJ36" s="18" t="n">
        <v>23629</v>
      </c>
      <c r="AK36" s="18" t="n">
        <v>27932</v>
      </c>
      <c r="AL36" s="24" t="n">
        <v>4303</v>
      </c>
    </row>
    <row r="37">
      <c r="B37" s="4" t="inlineStr">
        <is>
          <t>办公费</t>
        </is>
      </c>
      <c r="C37" s="18" t="n">
        <v>13672</v>
      </c>
      <c r="D37" s="18" t="n">
        <v>16593</v>
      </c>
      <c r="E37" s="24" t="n">
        <v>2921</v>
      </c>
      <c r="F37" s="18" t="n">
        <v>11879</v>
      </c>
      <c r="G37" s="18" t="n">
        <v>15066</v>
      </c>
      <c r="H37" s="24" t="n">
        <v>3187</v>
      </c>
      <c r="I37" s="18" t="n">
        <v>13782</v>
      </c>
      <c r="J37" s="18" t="n">
        <v>16397</v>
      </c>
      <c r="K37" s="24" t="n">
        <v>2615</v>
      </c>
      <c r="L37" s="18" t="n">
        <v>16566</v>
      </c>
      <c r="M37" s="18" t="n">
        <v>17182</v>
      </c>
      <c r="N37" s="24" t="n">
        <v>616</v>
      </c>
      <c r="O37" s="18" t="n">
        <v>15146</v>
      </c>
      <c r="P37" s="18" t="n">
        <v>17377</v>
      </c>
      <c r="Q37" s="24" t="n">
        <v>2231</v>
      </c>
      <c r="R37" s="18" t="n">
        <v>17674</v>
      </c>
      <c r="S37" s="18" t="n">
        <v>17286</v>
      </c>
      <c r="T37" s="18" t="n">
        <v>-388</v>
      </c>
      <c r="U37" s="18" t="n">
        <v>17504</v>
      </c>
      <c r="V37" s="18" t="n">
        <v>16664</v>
      </c>
      <c r="W37" s="18" t="n">
        <v>-840</v>
      </c>
      <c r="X37" s="18" t="n">
        <v>17154</v>
      </c>
      <c r="Y37" s="18" t="n">
        <v>21559</v>
      </c>
      <c r="Z37" s="24" t="n">
        <v>4405</v>
      </c>
      <c r="AA37" s="18" t="n">
        <v>14044</v>
      </c>
      <c r="AB37" s="18" t="n">
        <v>15399</v>
      </c>
      <c r="AC37" s="24" t="n">
        <v>1355</v>
      </c>
      <c r="AD37" s="18" t="n">
        <v>17182</v>
      </c>
      <c r="AE37" s="18" t="n">
        <v>19345</v>
      </c>
      <c r="AF37" s="24" t="n">
        <v>2163</v>
      </c>
      <c r="AG37" s="18" t="n">
        <v>15521</v>
      </c>
      <c r="AH37" s="18" t="n">
        <v>12553</v>
      </c>
      <c r="AI37" s="18" t="n">
        <v>-2968</v>
      </c>
      <c r="AJ37" s="18" t="n">
        <v>22906</v>
      </c>
      <c r="AK37" s="18" t="n">
        <v>19540</v>
      </c>
      <c r="AL37" s="18" t="n">
        <v>-3366</v>
      </c>
    </row>
    <row r="38">
      <c r="B38" s="4" t="inlineStr">
        <is>
          <t>折旧费</t>
        </is>
      </c>
      <c r="C38" s="18" t="n">
        <v>10571</v>
      </c>
      <c r="D38" s="18" t="n">
        <v>9856</v>
      </c>
      <c r="E38" s="18" t="n">
        <v>-715</v>
      </c>
      <c r="F38" s="18" t="n">
        <v>9182</v>
      </c>
      <c r="G38" s="18" t="n">
        <v>8045</v>
      </c>
      <c r="H38" s="18" t="n">
        <v>-1137</v>
      </c>
      <c r="I38" s="18" t="n">
        <v>12409</v>
      </c>
      <c r="J38" s="18" t="n">
        <v>15990</v>
      </c>
      <c r="K38" s="24" t="n">
        <v>3581</v>
      </c>
      <c r="L38" s="18" t="n">
        <v>13571</v>
      </c>
      <c r="M38" s="18" t="n">
        <v>13375</v>
      </c>
      <c r="N38" s="18" t="n">
        <v>-196</v>
      </c>
      <c r="O38" s="18" t="n">
        <v>13426</v>
      </c>
      <c r="P38" s="18" t="n">
        <v>17206</v>
      </c>
      <c r="Q38" s="24" t="n">
        <v>3780</v>
      </c>
      <c r="R38" s="18" t="n">
        <v>15193</v>
      </c>
      <c r="S38" s="18" t="n">
        <v>11824</v>
      </c>
      <c r="T38" s="18" t="n">
        <v>-3369</v>
      </c>
      <c r="U38" s="18" t="n">
        <v>15018</v>
      </c>
      <c r="V38" s="18" t="n">
        <v>15022</v>
      </c>
      <c r="W38" s="24" t="n">
        <v>4</v>
      </c>
      <c r="X38" s="18" t="n">
        <v>14129</v>
      </c>
      <c r="Y38" s="18" t="n">
        <v>10842</v>
      </c>
      <c r="Z38" s="18" t="n">
        <v>-3287</v>
      </c>
      <c r="AA38" s="18" t="n">
        <v>12715</v>
      </c>
      <c r="AB38" s="18" t="n">
        <v>14565</v>
      </c>
      <c r="AC38" s="24" t="n">
        <v>1850</v>
      </c>
      <c r="AD38" s="18" t="n">
        <v>15623</v>
      </c>
      <c r="AE38" s="18" t="n">
        <v>19662</v>
      </c>
      <c r="AF38" s="24" t="n">
        <v>4039</v>
      </c>
      <c r="AG38" s="18" t="n">
        <v>13863</v>
      </c>
      <c r="AH38" s="18" t="n">
        <v>15097</v>
      </c>
      <c r="AI38" s="24" t="n">
        <v>1234</v>
      </c>
      <c r="AJ38" s="18" t="n">
        <v>16619</v>
      </c>
      <c r="AK38" s="18" t="n">
        <v>14335</v>
      </c>
      <c r="AL38" s="18" t="n">
        <v>-2284</v>
      </c>
    </row>
    <row r="39">
      <c r="B39" s="6" t="inlineStr">
        <is>
          <t>小计</t>
        </is>
      </c>
      <c r="C39" s="19" t="n">
        <v>117654</v>
      </c>
      <c r="D39" s="19" t="n">
        <v>128094</v>
      </c>
      <c r="E39" s="19" t="n">
        <v>10440</v>
      </c>
      <c r="F39" s="19" t="n">
        <v>105613</v>
      </c>
      <c r="G39" s="19" t="n">
        <v>102268</v>
      </c>
      <c r="H39" s="19" t="n">
        <v>-3345</v>
      </c>
      <c r="I39" s="19" t="n">
        <v>134458</v>
      </c>
      <c r="J39" s="19" t="n">
        <v>135500</v>
      </c>
      <c r="K39" s="19" t="n">
        <v>1042</v>
      </c>
      <c r="L39" s="19" t="n">
        <v>151608</v>
      </c>
      <c r="M39" s="19" t="n">
        <v>172535</v>
      </c>
      <c r="N39" s="19" t="n">
        <v>20927</v>
      </c>
      <c r="O39" s="19" t="n">
        <v>139470</v>
      </c>
      <c r="P39" s="19" t="n">
        <v>133692</v>
      </c>
      <c r="Q39" s="19" t="n">
        <v>-5778</v>
      </c>
      <c r="R39" s="19" t="n">
        <v>169600</v>
      </c>
      <c r="S39" s="19" t="n">
        <v>157476</v>
      </c>
      <c r="T39" s="19" t="n">
        <v>-12124</v>
      </c>
      <c r="U39" s="19" t="n">
        <v>181504</v>
      </c>
      <c r="V39" s="19" t="n">
        <v>198687</v>
      </c>
      <c r="W39" s="19" t="n">
        <v>17183</v>
      </c>
      <c r="X39" s="19" t="n">
        <v>154413</v>
      </c>
      <c r="Y39" s="19" t="n">
        <v>187999</v>
      </c>
      <c r="Z39" s="19" t="n">
        <v>33586</v>
      </c>
      <c r="AA39" s="19" t="n">
        <v>140261</v>
      </c>
      <c r="AB39" s="19" t="n">
        <v>137257</v>
      </c>
      <c r="AC39" s="19" t="n">
        <v>-3004</v>
      </c>
      <c r="AD39" s="19" t="n">
        <v>155405</v>
      </c>
      <c r="AE39" s="19" t="n">
        <v>163362</v>
      </c>
      <c r="AF39" s="19" t="n">
        <v>7957</v>
      </c>
      <c r="AG39" s="19" t="n">
        <v>137899</v>
      </c>
      <c r="AH39" s="19" t="n">
        <v>126673</v>
      </c>
      <c r="AI39" s="19" t="n">
        <v>-11226</v>
      </c>
      <c r="AJ39" s="19" t="n">
        <v>195746</v>
      </c>
      <c r="AK39" s="19" t="n">
        <v>185156</v>
      </c>
      <c r="AL39" s="19" t="n">
        <v>-10590</v>
      </c>
    </row>
    <row r="40">
      <c r="A40" s="23" t="inlineStr">
        <is>
          <t>财务部</t>
        </is>
      </c>
      <c r="B40" s="4" t="inlineStr">
        <is>
          <t>人工费用</t>
        </is>
      </c>
      <c r="C40" s="18" t="n">
        <v>49133</v>
      </c>
      <c r="D40" s="18" t="n">
        <v>42782</v>
      </c>
      <c r="E40" s="18" t="n">
        <v>-6351</v>
      </c>
      <c r="F40" s="18" t="n">
        <v>43733</v>
      </c>
      <c r="G40" s="18" t="n">
        <v>45965</v>
      </c>
      <c r="H40" s="24" t="n">
        <v>2232</v>
      </c>
      <c r="I40" s="18" t="n">
        <v>50692</v>
      </c>
      <c r="J40" s="18" t="n">
        <v>55989</v>
      </c>
      <c r="K40" s="24" t="n">
        <v>5297</v>
      </c>
      <c r="L40" s="18" t="n">
        <v>63247</v>
      </c>
      <c r="M40" s="18" t="n">
        <v>71277</v>
      </c>
      <c r="N40" s="24" t="n">
        <v>8030</v>
      </c>
      <c r="O40" s="18" t="n">
        <v>60091</v>
      </c>
      <c r="P40" s="18" t="n">
        <v>71748</v>
      </c>
      <c r="Q40" s="24" t="n">
        <v>11657</v>
      </c>
      <c r="R40" s="18" t="n">
        <v>64421</v>
      </c>
      <c r="S40" s="18" t="n">
        <v>80247</v>
      </c>
      <c r="T40" s="24" t="n">
        <v>15826</v>
      </c>
      <c r="U40" s="18" t="n">
        <v>71589</v>
      </c>
      <c r="V40" s="18" t="n">
        <v>71005</v>
      </c>
      <c r="W40" s="18" t="n">
        <v>-584</v>
      </c>
      <c r="X40" s="18" t="n">
        <v>54621</v>
      </c>
      <c r="Y40" s="18" t="n">
        <v>69551</v>
      </c>
      <c r="Z40" s="24" t="n">
        <v>14930</v>
      </c>
      <c r="AA40" s="18" t="n">
        <v>57309</v>
      </c>
      <c r="AB40" s="18" t="n">
        <v>41939</v>
      </c>
      <c r="AC40" s="18" t="n">
        <v>-15370</v>
      </c>
      <c r="AD40" s="18" t="n">
        <v>64714</v>
      </c>
      <c r="AE40" s="18" t="n">
        <v>63360</v>
      </c>
      <c r="AF40" s="18" t="n">
        <v>-1354</v>
      </c>
      <c r="AG40" s="18" t="n">
        <v>65030</v>
      </c>
      <c r="AH40" s="18" t="n">
        <v>49557</v>
      </c>
      <c r="AI40" s="18" t="n">
        <v>-15473</v>
      </c>
      <c r="AJ40" s="18" t="n">
        <v>80164</v>
      </c>
      <c r="AK40" s="18" t="n">
        <v>86078</v>
      </c>
      <c r="AL40" s="24" t="n">
        <v>5914</v>
      </c>
    </row>
    <row r="41">
      <c r="B41" s="4" t="inlineStr">
        <is>
          <t>差旅费</t>
        </is>
      </c>
      <c r="C41" s="18" t="n">
        <v>16295</v>
      </c>
      <c r="D41" s="18" t="n">
        <v>14710</v>
      </c>
      <c r="E41" s="18" t="n">
        <v>-1585</v>
      </c>
      <c r="F41" s="18" t="n">
        <v>13616</v>
      </c>
      <c r="G41" s="18" t="n">
        <v>10143</v>
      </c>
      <c r="H41" s="18" t="n">
        <v>-3473</v>
      </c>
      <c r="I41" s="18" t="n">
        <v>18697</v>
      </c>
      <c r="J41" s="18" t="n">
        <v>13547</v>
      </c>
      <c r="K41" s="18" t="n">
        <v>-5150</v>
      </c>
      <c r="L41" s="18" t="n">
        <v>18919</v>
      </c>
      <c r="M41" s="18" t="n">
        <v>24584</v>
      </c>
      <c r="N41" s="24" t="n">
        <v>5665</v>
      </c>
      <c r="O41" s="18" t="n">
        <v>21599</v>
      </c>
      <c r="P41" s="18" t="n">
        <v>22458</v>
      </c>
      <c r="Q41" s="24" t="n">
        <v>859</v>
      </c>
      <c r="R41" s="18" t="n">
        <v>22071</v>
      </c>
      <c r="S41" s="18" t="n">
        <v>16640</v>
      </c>
      <c r="T41" s="18" t="n">
        <v>-5431</v>
      </c>
      <c r="U41" s="18" t="n">
        <v>25798</v>
      </c>
      <c r="V41" s="18" t="n">
        <v>22523</v>
      </c>
      <c r="W41" s="18" t="n">
        <v>-3275</v>
      </c>
      <c r="X41" s="18" t="n">
        <v>20326</v>
      </c>
      <c r="Y41" s="18" t="n">
        <v>25095</v>
      </c>
      <c r="Z41" s="24" t="n">
        <v>4769</v>
      </c>
      <c r="AA41" s="18" t="n">
        <v>19087</v>
      </c>
      <c r="AB41" s="18" t="n">
        <v>22527</v>
      </c>
      <c r="AC41" s="24" t="n">
        <v>3440</v>
      </c>
      <c r="AD41" s="18" t="n">
        <v>20997</v>
      </c>
      <c r="AE41" s="18" t="n">
        <v>19115</v>
      </c>
      <c r="AF41" s="18" t="n">
        <v>-1882</v>
      </c>
      <c r="AG41" s="18" t="n">
        <v>18440</v>
      </c>
      <c r="AH41" s="18" t="n">
        <v>23933</v>
      </c>
      <c r="AI41" s="24" t="n">
        <v>5493</v>
      </c>
      <c r="AJ41" s="18" t="n">
        <v>27394</v>
      </c>
      <c r="AK41" s="18" t="n">
        <v>28081</v>
      </c>
      <c r="AL41" s="24" t="n">
        <v>687</v>
      </c>
    </row>
    <row r="42">
      <c r="B42" s="4" t="inlineStr">
        <is>
          <t>业务招待费</t>
        </is>
      </c>
      <c r="C42" s="18" t="n">
        <v>13045</v>
      </c>
      <c r="D42" s="18" t="n">
        <v>12915</v>
      </c>
      <c r="E42" s="18" t="n">
        <v>-130</v>
      </c>
      <c r="F42" s="18" t="n">
        <v>11492</v>
      </c>
      <c r="G42" s="18" t="n">
        <v>13627</v>
      </c>
      <c r="H42" s="24" t="n">
        <v>2135</v>
      </c>
      <c r="I42" s="18" t="n">
        <v>14885</v>
      </c>
      <c r="J42" s="18" t="n">
        <v>18095</v>
      </c>
      <c r="K42" s="24" t="n">
        <v>3210</v>
      </c>
      <c r="L42" s="18" t="n">
        <v>16366</v>
      </c>
      <c r="M42" s="18" t="n">
        <v>17090</v>
      </c>
      <c r="N42" s="24" t="n">
        <v>724</v>
      </c>
      <c r="O42" s="18" t="n">
        <v>16037</v>
      </c>
      <c r="P42" s="18" t="n">
        <v>17572</v>
      </c>
      <c r="Q42" s="24" t="n">
        <v>1535</v>
      </c>
      <c r="R42" s="18" t="n">
        <v>15873</v>
      </c>
      <c r="S42" s="18" t="n">
        <v>12430</v>
      </c>
      <c r="T42" s="18" t="n">
        <v>-3443</v>
      </c>
      <c r="U42" s="18" t="n">
        <v>20502</v>
      </c>
      <c r="V42" s="18" t="n">
        <v>19006</v>
      </c>
      <c r="W42" s="18" t="n">
        <v>-1496</v>
      </c>
      <c r="X42" s="18" t="n">
        <v>16298</v>
      </c>
      <c r="Y42" s="18" t="n">
        <v>20704</v>
      </c>
      <c r="Z42" s="24" t="n">
        <v>4406</v>
      </c>
      <c r="AA42" s="18" t="n">
        <v>14198</v>
      </c>
      <c r="AB42" s="18" t="n">
        <v>16992</v>
      </c>
      <c r="AC42" s="24" t="n">
        <v>2794</v>
      </c>
      <c r="AD42" s="18" t="n">
        <v>16897</v>
      </c>
      <c r="AE42" s="18" t="n">
        <v>17509</v>
      </c>
      <c r="AF42" s="24" t="n">
        <v>612</v>
      </c>
      <c r="AG42" s="18" t="n">
        <v>17080</v>
      </c>
      <c r="AH42" s="18" t="n">
        <v>19426</v>
      </c>
      <c r="AI42" s="24" t="n">
        <v>2346</v>
      </c>
      <c r="AJ42" s="18" t="n">
        <v>18827</v>
      </c>
      <c r="AK42" s="18" t="n">
        <v>19106</v>
      </c>
      <c r="AL42" s="24" t="n">
        <v>279</v>
      </c>
    </row>
    <row r="43">
      <c r="B43" s="4" t="inlineStr">
        <is>
          <t>办公费</t>
        </is>
      </c>
      <c r="C43" s="18" t="n">
        <v>11607</v>
      </c>
      <c r="D43" s="18" t="n">
        <v>11389</v>
      </c>
      <c r="E43" s="18" t="n">
        <v>-218</v>
      </c>
      <c r="F43" s="18" t="n">
        <v>8397</v>
      </c>
      <c r="G43" s="18" t="n">
        <v>10362</v>
      </c>
      <c r="H43" s="24" t="n">
        <v>1965</v>
      </c>
      <c r="I43" s="18" t="n">
        <v>12588</v>
      </c>
      <c r="J43" s="18" t="n">
        <v>10908</v>
      </c>
      <c r="K43" s="18" t="n">
        <v>-1680</v>
      </c>
      <c r="L43" s="18" t="n">
        <v>14362</v>
      </c>
      <c r="M43" s="18" t="n">
        <v>18119</v>
      </c>
      <c r="N43" s="24" t="n">
        <v>3757</v>
      </c>
      <c r="O43" s="18" t="n">
        <v>13186</v>
      </c>
      <c r="P43" s="18" t="n">
        <v>13794</v>
      </c>
      <c r="Q43" s="24" t="n">
        <v>608</v>
      </c>
      <c r="R43" s="18" t="n">
        <v>13424</v>
      </c>
      <c r="S43" s="18" t="n">
        <v>12752</v>
      </c>
      <c r="T43" s="18" t="n">
        <v>-672</v>
      </c>
      <c r="U43" s="18" t="n">
        <v>14518</v>
      </c>
      <c r="V43" s="18" t="n">
        <v>18290</v>
      </c>
      <c r="W43" s="24" t="n">
        <v>3772</v>
      </c>
      <c r="X43" s="18" t="n">
        <v>12579</v>
      </c>
      <c r="Y43" s="18" t="n">
        <v>11687</v>
      </c>
      <c r="Z43" s="18" t="n">
        <v>-892</v>
      </c>
      <c r="AA43" s="18" t="n">
        <v>12253</v>
      </c>
      <c r="AB43" s="18" t="n">
        <v>15692</v>
      </c>
      <c r="AC43" s="24" t="n">
        <v>3439</v>
      </c>
      <c r="AD43" s="18" t="n">
        <v>15993</v>
      </c>
      <c r="AE43" s="18" t="n">
        <v>19412</v>
      </c>
      <c r="AF43" s="24" t="n">
        <v>3419</v>
      </c>
      <c r="AG43" s="18" t="n">
        <v>12535</v>
      </c>
      <c r="AH43" s="18" t="n">
        <v>14477</v>
      </c>
      <c r="AI43" s="24" t="n">
        <v>1942</v>
      </c>
      <c r="AJ43" s="18" t="n">
        <v>17039</v>
      </c>
      <c r="AK43" s="18" t="n">
        <v>20109</v>
      </c>
      <c r="AL43" s="24" t="n">
        <v>3070</v>
      </c>
    </row>
    <row r="44">
      <c r="B44" s="4" t="inlineStr">
        <is>
          <t>折旧费</t>
        </is>
      </c>
      <c r="C44" s="18" t="n">
        <v>7906</v>
      </c>
      <c r="D44" s="18" t="n">
        <v>9175</v>
      </c>
      <c r="E44" s="24" t="n">
        <v>1269</v>
      </c>
      <c r="F44" s="18" t="n">
        <v>7955</v>
      </c>
      <c r="G44" s="18" t="n">
        <v>7905</v>
      </c>
      <c r="H44" s="18" t="n">
        <v>-50</v>
      </c>
      <c r="I44" s="18" t="n">
        <v>10393</v>
      </c>
      <c r="J44" s="18" t="n">
        <v>12347</v>
      </c>
      <c r="K44" s="24" t="n">
        <v>1954</v>
      </c>
      <c r="L44" s="18" t="n">
        <v>10936</v>
      </c>
      <c r="M44" s="18" t="n">
        <v>13674</v>
      </c>
      <c r="N44" s="24" t="n">
        <v>2738</v>
      </c>
      <c r="O44" s="18" t="n">
        <v>11332</v>
      </c>
      <c r="P44" s="18" t="n">
        <v>13136</v>
      </c>
      <c r="Q44" s="24" t="n">
        <v>1804</v>
      </c>
      <c r="R44" s="18" t="n">
        <v>12726</v>
      </c>
      <c r="S44" s="18" t="n">
        <v>10319</v>
      </c>
      <c r="T44" s="18" t="n">
        <v>-2407</v>
      </c>
      <c r="U44" s="18" t="n">
        <v>12683</v>
      </c>
      <c r="V44" s="18" t="n">
        <v>14369</v>
      </c>
      <c r="W44" s="24" t="n">
        <v>1686</v>
      </c>
      <c r="X44" s="18" t="n">
        <v>10539</v>
      </c>
      <c r="Y44" s="18" t="n">
        <v>9226</v>
      </c>
      <c r="Z44" s="18" t="n">
        <v>-1313</v>
      </c>
      <c r="AA44" s="18" t="n">
        <v>9850</v>
      </c>
      <c r="AB44" s="18" t="n">
        <v>12635</v>
      </c>
      <c r="AC44" s="24" t="n">
        <v>2785</v>
      </c>
      <c r="AD44" s="18" t="n">
        <v>11623</v>
      </c>
      <c r="AE44" s="18" t="n">
        <v>8169</v>
      </c>
      <c r="AF44" s="18" t="n">
        <v>-3454</v>
      </c>
      <c r="AG44" s="18" t="n">
        <v>10509</v>
      </c>
      <c r="AH44" s="18" t="n">
        <v>10891</v>
      </c>
      <c r="AI44" s="24" t="n">
        <v>382</v>
      </c>
      <c r="AJ44" s="18" t="n">
        <v>12706</v>
      </c>
      <c r="AK44" s="18" t="n">
        <v>10015</v>
      </c>
      <c r="AL44" s="18" t="n">
        <v>-2691</v>
      </c>
    </row>
    <row r="45">
      <c r="B45" s="6" t="inlineStr">
        <is>
          <t>小计</t>
        </is>
      </c>
      <c r="C45" s="19" t="n">
        <v>97986</v>
      </c>
      <c r="D45" s="19" t="n">
        <v>90971</v>
      </c>
      <c r="E45" s="19" t="n">
        <v>-7015</v>
      </c>
      <c r="F45" s="19" t="n">
        <v>85193</v>
      </c>
      <c r="G45" s="19" t="n">
        <v>88002</v>
      </c>
      <c r="H45" s="19" t="n">
        <v>2809</v>
      </c>
      <c r="I45" s="19" t="n">
        <v>107255</v>
      </c>
      <c r="J45" s="19" t="n">
        <v>110886</v>
      </c>
      <c r="K45" s="19" t="n">
        <v>3631</v>
      </c>
      <c r="L45" s="19" t="n">
        <v>123830</v>
      </c>
      <c r="M45" s="19" t="n">
        <v>144744</v>
      </c>
      <c r="N45" s="19" t="n">
        <v>20914</v>
      </c>
      <c r="O45" s="19" t="n">
        <v>122245</v>
      </c>
      <c r="P45" s="19" t="n">
        <v>138708</v>
      </c>
      <c r="Q45" s="19" t="n">
        <v>16463</v>
      </c>
      <c r="R45" s="19" t="n">
        <v>128515</v>
      </c>
      <c r="S45" s="19" t="n">
        <v>132388</v>
      </c>
      <c r="T45" s="19" t="n">
        <v>3873</v>
      </c>
      <c r="U45" s="19" t="n">
        <v>145090</v>
      </c>
      <c r="V45" s="19" t="n">
        <v>145193</v>
      </c>
      <c r="W45" s="19" t="n">
        <v>103</v>
      </c>
      <c r="X45" s="19" t="n">
        <v>114363</v>
      </c>
      <c r="Y45" s="19" t="n">
        <v>136263</v>
      </c>
      <c r="Z45" s="19" t="n">
        <v>21900</v>
      </c>
      <c r="AA45" s="19" t="n">
        <v>112697</v>
      </c>
      <c r="AB45" s="19" t="n">
        <v>109785</v>
      </c>
      <c r="AC45" s="19" t="n">
        <v>-2912</v>
      </c>
      <c r="AD45" s="19" t="n">
        <v>130224</v>
      </c>
      <c r="AE45" s="19" t="n">
        <v>127565</v>
      </c>
      <c r="AF45" s="19" t="n">
        <v>-2659</v>
      </c>
      <c r="AG45" s="19" t="n">
        <v>123594</v>
      </c>
      <c r="AH45" s="19" t="n">
        <v>118284</v>
      </c>
      <c r="AI45" s="19" t="n">
        <v>-5310</v>
      </c>
      <c r="AJ45" s="19" t="n">
        <v>156130</v>
      </c>
      <c r="AK45" s="19" t="n">
        <v>163389</v>
      </c>
      <c r="AL45" s="19" t="n">
        <v>7259</v>
      </c>
    </row>
    <row r="46">
      <c r="A46" s="23" t="inlineStr">
        <is>
          <t>行政部</t>
        </is>
      </c>
      <c r="B46" s="4" t="inlineStr">
        <is>
          <t>人工费用</t>
        </is>
      </c>
      <c r="C46" s="18" t="n">
        <v>30787</v>
      </c>
      <c r="D46" s="18" t="n">
        <v>23302</v>
      </c>
      <c r="E46" s="18" t="n">
        <v>-7485</v>
      </c>
      <c r="F46" s="18" t="n">
        <v>25558</v>
      </c>
      <c r="G46" s="18" t="n">
        <v>27855</v>
      </c>
      <c r="H46" s="24" t="n">
        <v>2297</v>
      </c>
      <c r="I46" s="18" t="n">
        <v>37763</v>
      </c>
      <c r="J46" s="18" t="n">
        <v>45202</v>
      </c>
      <c r="K46" s="24" t="n">
        <v>7439</v>
      </c>
      <c r="L46" s="18" t="n">
        <v>40205</v>
      </c>
      <c r="M46" s="18" t="n">
        <v>32086</v>
      </c>
      <c r="N46" s="18" t="n">
        <v>-8119</v>
      </c>
      <c r="O46" s="18" t="n">
        <v>37144</v>
      </c>
      <c r="P46" s="18" t="n">
        <v>36767</v>
      </c>
      <c r="Q46" s="18" t="n">
        <v>-377</v>
      </c>
      <c r="R46" s="18" t="n">
        <v>47912</v>
      </c>
      <c r="S46" s="18" t="n">
        <v>35275</v>
      </c>
      <c r="T46" s="18" t="n">
        <v>-12637</v>
      </c>
      <c r="U46" s="18" t="n">
        <v>46895</v>
      </c>
      <c r="V46" s="18" t="n">
        <v>44246</v>
      </c>
      <c r="W46" s="18" t="n">
        <v>-2649</v>
      </c>
      <c r="X46" s="18" t="n">
        <v>41618</v>
      </c>
      <c r="Y46" s="18" t="n">
        <v>32838</v>
      </c>
      <c r="Z46" s="18" t="n">
        <v>-8780</v>
      </c>
      <c r="AA46" s="18" t="n">
        <v>35323</v>
      </c>
      <c r="AB46" s="18" t="n">
        <v>44024</v>
      </c>
      <c r="AC46" s="24" t="n">
        <v>8701</v>
      </c>
      <c r="AD46" s="18" t="n">
        <v>46791</v>
      </c>
      <c r="AE46" s="18" t="n">
        <v>48175</v>
      </c>
      <c r="AF46" s="24" t="n">
        <v>1384</v>
      </c>
      <c r="AG46" s="18" t="n">
        <v>37534</v>
      </c>
      <c r="AH46" s="18" t="n">
        <v>39135</v>
      </c>
      <c r="AI46" s="24" t="n">
        <v>1601</v>
      </c>
      <c r="AJ46" s="18" t="n">
        <v>56891</v>
      </c>
      <c r="AK46" s="18" t="n">
        <v>55504</v>
      </c>
      <c r="AL46" s="18" t="n">
        <v>-1387</v>
      </c>
    </row>
    <row r="47">
      <c r="B47" s="4" t="inlineStr">
        <is>
          <t>差旅费</t>
        </is>
      </c>
      <c r="C47" s="18" t="n">
        <v>10423</v>
      </c>
      <c r="D47" s="18" t="n">
        <v>9813</v>
      </c>
      <c r="E47" s="18" t="n">
        <v>-610</v>
      </c>
      <c r="F47" s="18" t="n">
        <v>9891</v>
      </c>
      <c r="G47" s="18" t="n">
        <v>10067</v>
      </c>
      <c r="H47" s="24" t="n">
        <v>176</v>
      </c>
      <c r="I47" s="18" t="n">
        <v>13075</v>
      </c>
      <c r="J47" s="18" t="n">
        <v>15182</v>
      </c>
      <c r="K47" s="24" t="n">
        <v>2107</v>
      </c>
      <c r="L47" s="18" t="n">
        <v>11944</v>
      </c>
      <c r="M47" s="18" t="n">
        <v>8460</v>
      </c>
      <c r="N47" s="18" t="n">
        <v>-3484</v>
      </c>
      <c r="O47" s="18" t="n">
        <v>13753</v>
      </c>
      <c r="P47" s="18" t="n">
        <v>15775</v>
      </c>
      <c r="Q47" s="24" t="n">
        <v>2022</v>
      </c>
      <c r="R47" s="18" t="n">
        <v>13163</v>
      </c>
      <c r="S47" s="18" t="n">
        <v>15193</v>
      </c>
      <c r="T47" s="24" t="n">
        <v>2030</v>
      </c>
      <c r="U47" s="18" t="n">
        <v>16219</v>
      </c>
      <c r="V47" s="18" t="n">
        <v>20928</v>
      </c>
      <c r="W47" s="24" t="n">
        <v>4709</v>
      </c>
      <c r="X47" s="18" t="n">
        <v>13127</v>
      </c>
      <c r="Y47" s="18" t="n">
        <v>15574</v>
      </c>
      <c r="Z47" s="24" t="n">
        <v>2447</v>
      </c>
      <c r="AA47" s="18" t="n">
        <v>11911</v>
      </c>
      <c r="AB47" s="18" t="n">
        <v>13889</v>
      </c>
      <c r="AC47" s="24" t="n">
        <v>1978</v>
      </c>
      <c r="AD47" s="18" t="n">
        <v>14675</v>
      </c>
      <c r="AE47" s="18" t="n">
        <v>14782</v>
      </c>
      <c r="AF47" s="24" t="n">
        <v>107</v>
      </c>
      <c r="AG47" s="18" t="n">
        <v>13886</v>
      </c>
      <c r="AH47" s="18" t="n">
        <v>17377</v>
      </c>
      <c r="AI47" s="24" t="n">
        <v>3491</v>
      </c>
      <c r="AJ47" s="18" t="n">
        <v>17955</v>
      </c>
      <c r="AK47" s="18" t="n">
        <v>17251</v>
      </c>
      <c r="AL47" s="18" t="n">
        <v>-704</v>
      </c>
    </row>
    <row r="48">
      <c r="B48" s="4" t="inlineStr">
        <is>
          <t>业务招待费</t>
        </is>
      </c>
      <c r="C48" s="18" t="n">
        <v>9014</v>
      </c>
      <c r="D48" s="18" t="n">
        <v>9447</v>
      </c>
      <c r="E48" s="24" t="n">
        <v>433</v>
      </c>
      <c r="F48" s="18" t="n">
        <v>6931</v>
      </c>
      <c r="G48" s="18" t="n">
        <v>6926</v>
      </c>
      <c r="H48" s="18" t="n">
        <v>-5</v>
      </c>
      <c r="I48" s="18" t="n">
        <v>10203</v>
      </c>
      <c r="J48" s="18" t="n">
        <v>11749</v>
      </c>
      <c r="K48" s="24" t="n">
        <v>1546</v>
      </c>
      <c r="L48" s="18" t="n">
        <v>9627</v>
      </c>
      <c r="M48" s="18" t="n">
        <v>12307</v>
      </c>
      <c r="N48" s="24" t="n">
        <v>2680</v>
      </c>
      <c r="O48" s="18" t="n">
        <v>11442</v>
      </c>
      <c r="P48" s="18" t="n">
        <v>9620</v>
      </c>
      <c r="Q48" s="18" t="n">
        <v>-1822</v>
      </c>
      <c r="R48" s="18" t="n">
        <v>11686</v>
      </c>
      <c r="S48" s="18" t="n">
        <v>12344</v>
      </c>
      <c r="T48" s="24" t="n">
        <v>658</v>
      </c>
      <c r="U48" s="18" t="n">
        <v>13176</v>
      </c>
      <c r="V48" s="18" t="n">
        <v>14690</v>
      </c>
      <c r="W48" s="24" t="n">
        <v>1514</v>
      </c>
      <c r="X48" s="18" t="n">
        <v>10596</v>
      </c>
      <c r="Y48" s="18" t="n">
        <v>9353</v>
      </c>
      <c r="Z48" s="18" t="n">
        <v>-1243</v>
      </c>
      <c r="AA48" s="18" t="n">
        <v>9438</v>
      </c>
      <c r="AB48" s="18" t="n">
        <v>8925</v>
      </c>
      <c r="AC48" s="18" t="n">
        <v>-513</v>
      </c>
      <c r="AD48" s="18" t="n">
        <v>12105</v>
      </c>
      <c r="AE48" s="18" t="n">
        <v>12945</v>
      </c>
      <c r="AF48" s="24" t="n">
        <v>840</v>
      </c>
      <c r="AG48" s="18" t="n">
        <v>10291</v>
      </c>
      <c r="AH48" s="18" t="n">
        <v>12467</v>
      </c>
      <c r="AI48" s="24" t="n">
        <v>2176</v>
      </c>
      <c r="AJ48" s="18" t="n">
        <v>14622</v>
      </c>
      <c r="AK48" s="18" t="n">
        <v>16141</v>
      </c>
      <c r="AL48" s="24" t="n">
        <v>1519</v>
      </c>
    </row>
    <row r="49">
      <c r="B49" s="4" t="inlineStr">
        <is>
          <t>办公费</t>
        </is>
      </c>
      <c r="C49" s="18" t="n">
        <v>6749</v>
      </c>
      <c r="D49" s="18" t="n">
        <v>6102</v>
      </c>
      <c r="E49" s="18" t="n">
        <v>-647</v>
      </c>
      <c r="F49" s="18" t="n">
        <v>5964</v>
      </c>
      <c r="G49" s="18" t="n">
        <v>4652</v>
      </c>
      <c r="H49" s="18" t="n">
        <v>-1312</v>
      </c>
      <c r="I49" s="18" t="n">
        <v>7914</v>
      </c>
      <c r="J49" s="18" t="n">
        <v>7251</v>
      </c>
      <c r="K49" s="18" t="n">
        <v>-663</v>
      </c>
      <c r="L49" s="18" t="n">
        <v>8449</v>
      </c>
      <c r="M49" s="18" t="n">
        <v>9835</v>
      </c>
      <c r="N49" s="24" t="n">
        <v>1386</v>
      </c>
      <c r="O49" s="18" t="n">
        <v>8862</v>
      </c>
      <c r="P49" s="18" t="n">
        <v>8873</v>
      </c>
      <c r="Q49" s="24" t="n">
        <v>11</v>
      </c>
      <c r="R49" s="18" t="n">
        <v>9626</v>
      </c>
      <c r="S49" s="18" t="n">
        <v>10123</v>
      </c>
      <c r="T49" s="24" t="n">
        <v>497</v>
      </c>
      <c r="U49" s="18" t="n">
        <v>10611</v>
      </c>
      <c r="V49" s="18" t="n">
        <v>11104</v>
      </c>
      <c r="W49" s="24" t="n">
        <v>493</v>
      </c>
      <c r="X49" s="18" t="n">
        <v>7967</v>
      </c>
      <c r="Y49" s="18" t="n">
        <v>9972</v>
      </c>
      <c r="Z49" s="24" t="n">
        <v>2005</v>
      </c>
      <c r="AA49" s="18" t="n">
        <v>7229</v>
      </c>
      <c r="AB49" s="18" t="n">
        <v>6393</v>
      </c>
      <c r="AC49" s="18" t="n">
        <v>-836</v>
      </c>
      <c r="AD49" s="18" t="n">
        <v>10245</v>
      </c>
      <c r="AE49" s="18" t="n">
        <v>11811</v>
      </c>
      <c r="AF49" s="24" t="n">
        <v>1566</v>
      </c>
      <c r="AG49" s="18" t="n">
        <v>8068</v>
      </c>
      <c r="AH49" s="18" t="n">
        <v>7765</v>
      </c>
      <c r="AI49" s="18" t="n">
        <v>-303</v>
      </c>
      <c r="AJ49" s="18" t="n">
        <v>10762</v>
      </c>
      <c r="AK49" s="18" t="n">
        <v>11482</v>
      </c>
      <c r="AL49" s="24" t="n">
        <v>720</v>
      </c>
    </row>
    <row r="50">
      <c r="B50" s="4" t="inlineStr">
        <is>
          <t>折旧费</t>
        </is>
      </c>
      <c r="C50" s="18" t="n">
        <v>6201</v>
      </c>
      <c r="D50" s="18" t="n">
        <v>4558</v>
      </c>
      <c r="E50" s="18" t="n">
        <v>-1643</v>
      </c>
      <c r="F50" s="18" t="n">
        <v>4582</v>
      </c>
      <c r="G50" s="18" t="n">
        <v>5251</v>
      </c>
      <c r="H50" s="24" t="n">
        <v>669</v>
      </c>
      <c r="I50" s="18" t="n">
        <v>6576</v>
      </c>
      <c r="J50" s="18" t="n">
        <v>8170</v>
      </c>
      <c r="K50" s="24" t="n">
        <v>1594</v>
      </c>
      <c r="L50" s="18" t="n">
        <v>6857</v>
      </c>
      <c r="M50" s="18" t="n">
        <v>8721</v>
      </c>
      <c r="N50" s="24" t="n">
        <v>1864</v>
      </c>
      <c r="O50" s="18" t="n">
        <v>6894</v>
      </c>
      <c r="P50" s="18" t="n">
        <v>6659</v>
      </c>
      <c r="Q50" s="18" t="n">
        <v>-235</v>
      </c>
      <c r="R50" s="18" t="n">
        <v>7381</v>
      </c>
      <c r="S50" s="18" t="n">
        <v>7876</v>
      </c>
      <c r="T50" s="24" t="n">
        <v>495</v>
      </c>
      <c r="U50" s="18" t="n">
        <v>8858</v>
      </c>
      <c r="V50" s="18" t="n">
        <v>6376</v>
      </c>
      <c r="W50" s="18" t="n">
        <v>-2482</v>
      </c>
      <c r="X50" s="18" t="n">
        <v>7774</v>
      </c>
      <c r="Y50" s="18" t="n">
        <v>8956</v>
      </c>
      <c r="Z50" s="24" t="n">
        <v>1182</v>
      </c>
      <c r="AA50" s="18" t="n">
        <v>6776</v>
      </c>
      <c r="AB50" s="18" t="n">
        <v>7896</v>
      </c>
      <c r="AC50" s="24" t="n">
        <v>1120</v>
      </c>
      <c r="AD50" s="18" t="n">
        <v>7066</v>
      </c>
      <c r="AE50" s="18" t="n">
        <v>6562</v>
      </c>
      <c r="AF50" s="18" t="n">
        <v>-504</v>
      </c>
      <c r="AG50" s="18" t="n">
        <v>6843</v>
      </c>
      <c r="AH50" s="18" t="n">
        <v>6567</v>
      </c>
      <c r="AI50" s="18" t="n">
        <v>-276</v>
      </c>
      <c r="AJ50" s="18" t="n">
        <v>8910</v>
      </c>
      <c r="AK50" s="18" t="n">
        <v>9697</v>
      </c>
      <c r="AL50" s="24" t="n">
        <v>787</v>
      </c>
    </row>
    <row r="51">
      <c r="B51" s="6" t="inlineStr">
        <is>
          <t>小计</t>
        </is>
      </c>
      <c r="C51" s="19" t="n">
        <v>63174</v>
      </c>
      <c r="D51" s="19" t="n">
        <v>53222</v>
      </c>
      <c r="E51" s="19" t="n">
        <v>-9952</v>
      </c>
      <c r="F51" s="19" t="n">
        <v>52926</v>
      </c>
      <c r="G51" s="19" t="n">
        <v>54751</v>
      </c>
      <c r="H51" s="19" t="n">
        <v>1825</v>
      </c>
      <c r="I51" s="19" t="n">
        <v>75531</v>
      </c>
      <c r="J51" s="19" t="n">
        <v>87554</v>
      </c>
      <c r="K51" s="19" t="n">
        <v>12023</v>
      </c>
      <c r="L51" s="19" t="n">
        <v>77082</v>
      </c>
      <c r="M51" s="19" t="n">
        <v>71409</v>
      </c>
      <c r="N51" s="19" t="n">
        <v>-5673</v>
      </c>
      <c r="O51" s="19" t="n">
        <v>78095</v>
      </c>
      <c r="P51" s="19" t="n">
        <v>77694</v>
      </c>
      <c r="Q51" s="19" t="n">
        <v>-401</v>
      </c>
      <c r="R51" s="19" t="n">
        <v>89768</v>
      </c>
      <c r="S51" s="19" t="n">
        <v>80811</v>
      </c>
      <c r="T51" s="19" t="n">
        <v>-8957</v>
      </c>
      <c r="U51" s="19" t="n">
        <v>95759</v>
      </c>
      <c r="V51" s="19" t="n">
        <v>97344</v>
      </c>
      <c r="W51" s="19" t="n">
        <v>1585</v>
      </c>
      <c r="X51" s="19" t="n">
        <v>81082</v>
      </c>
      <c r="Y51" s="19" t="n">
        <v>76693</v>
      </c>
      <c r="Z51" s="19" t="n">
        <v>-4389</v>
      </c>
      <c r="AA51" s="19" t="n">
        <v>70677</v>
      </c>
      <c r="AB51" s="19" t="n">
        <v>81127</v>
      </c>
      <c r="AC51" s="19" t="n">
        <v>10450</v>
      </c>
      <c r="AD51" s="19" t="n">
        <v>90882</v>
      </c>
      <c r="AE51" s="19" t="n">
        <v>94275</v>
      </c>
      <c r="AF51" s="19" t="n">
        <v>3393</v>
      </c>
      <c r="AG51" s="19" t="n">
        <v>76622</v>
      </c>
      <c r="AH51" s="19" t="n">
        <v>83311</v>
      </c>
      <c r="AI51" s="19" t="n">
        <v>6689</v>
      </c>
      <c r="AJ51" s="19" t="n">
        <v>109140</v>
      </c>
      <c r="AK51" s="19" t="n">
        <v>110075</v>
      </c>
      <c r="AL51" s="19" t="n">
        <v>935</v>
      </c>
    </row>
  </sheetData>
  <mergeCells count="23">
    <mergeCell ref="U2:W2"/>
    <mergeCell ref="AG2:AI2"/>
    <mergeCell ref="A40:A45"/>
    <mergeCell ref="F2:H2"/>
    <mergeCell ref="B2:B3"/>
    <mergeCell ref="C2:E2"/>
    <mergeCell ref="AD2:AF2"/>
    <mergeCell ref="A1:AL1"/>
    <mergeCell ref="A16:A21"/>
    <mergeCell ref="A2:A3"/>
    <mergeCell ref="O2:Q2"/>
    <mergeCell ref="AA2:AC2"/>
    <mergeCell ref="R2:T2"/>
    <mergeCell ref="A46:A51"/>
    <mergeCell ref="L2:N2"/>
    <mergeCell ref="X2:Z2"/>
    <mergeCell ref="A22:A27"/>
    <mergeCell ref="AJ2:AL2"/>
    <mergeCell ref="I2:K2"/>
    <mergeCell ref="A4:A9"/>
    <mergeCell ref="A34:A39"/>
    <mergeCell ref="A10:A15"/>
    <mergeCell ref="A28:A3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苏州精密机械制造有限公司现金流量表</t>
        </is>
      </c>
    </row>
    <row r="2">
      <c r="A2" s="17" t="inlineStr">
        <is>
          <t>2025年度</t>
        </is>
      </c>
      <c r="G2" t="inlineStr">
        <is>
          <t>单位：元</t>
        </is>
      </c>
    </row>
    <row r="3">
      <c r="A3" s="2" t="inlineStr">
        <is>
          <t>项目</t>
        </is>
      </c>
      <c r="B3" s="2" t="inlineStr">
        <is>
          <t>行次</t>
        </is>
      </c>
      <c r="C3" s="2" t="inlineStr">
        <is>
          <t>Q1</t>
        </is>
      </c>
      <c r="D3" s="2" t="inlineStr">
        <is>
          <t>Q2</t>
        </is>
      </c>
      <c r="E3" s="2" t="inlineStr">
        <is>
          <t>Q3</t>
        </is>
      </c>
      <c r="F3" s="2" t="inlineStr">
        <is>
          <t>Q4</t>
        </is>
      </c>
      <c r="G3" s="2" t="inlineStr">
        <is>
          <t>全年合计</t>
        </is>
      </c>
    </row>
    <row r="4">
      <c r="A4" s="6" t="inlineStr">
        <is>
          <t>一、经营活动产生的现金流量</t>
        </is>
      </c>
    </row>
    <row r="5">
      <c r="A5" s="4" t="inlineStr">
        <is>
          <t>销售商品、提供劳务收到的现金</t>
        </is>
      </c>
      <c r="B5" s="3" t="n">
        <v>1</v>
      </c>
      <c r="C5" s="15" t="n">
        <v>5045649.74</v>
      </c>
      <c r="D5" s="15" t="n">
        <v>7453497.53</v>
      </c>
      <c r="E5" s="15" t="n">
        <v>2503097.64</v>
      </c>
      <c r="F5" s="15" t="n">
        <v>6025173.22</v>
      </c>
      <c r="G5" s="15" t="n">
        <v>21027418.13</v>
      </c>
    </row>
    <row r="6">
      <c r="A6" s="4" t="inlineStr">
        <is>
          <t>收到的税费返还</t>
        </is>
      </c>
      <c r="B6" s="3" t="n">
        <v>2</v>
      </c>
      <c r="C6" s="15" t="n">
        <v>6884834.52</v>
      </c>
      <c r="D6" s="15" t="n">
        <v>7505093.35</v>
      </c>
      <c r="E6" s="15" t="n">
        <v>10663385.77</v>
      </c>
      <c r="F6" s="15" t="n">
        <v>10035076.61</v>
      </c>
      <c r="G6" s="15" t="n">
        <v>35088390.25</v>
      </c>
    </row>
    <row r="7">
      <c r="A7" s="4" t="inlineStr">
        <is>
          <t>收到其他与经营活动有关的现金</t>
        </is>
      </c>
      <c r="B7" s="3" t="n">
        <v>3</v>
      </c>
      <c r="C7" s="15" t="n">
        <v>688014.71</v>
      </c>
      <c r="D7" s="15" t="n">
        <v>10961296.81</v>
      </c>
      <c r="E7" s="15" t="n">
        <v>6273844.65</v>
      </c>
      <c r="F7" s="15" t="n">
        <v>13945464.75</v>
      </c>
      <c r="G7" s="15" t="n">
        <v>31868620.92</v>
      </c>
    </row>
    <row r="8">
      <c r="A8" s="6" t="inlineStr">
        <is>
          <t>经营活动现金流入小计</t>
        </is>
      </c>
      <c r="B8" s="3" t="n">
        <v>4</v>
      </c>
      <c r="C8" s="16" t="n">
        <v>-401300.34</v>
      </c>
      <c r="D8" s="16" t="n">
        <v>4741745.27</v>
      </c>
      <c r="E8" s="16" t="n">
        <v>5179920.83</v>
      </c>
      <c r="F8" s="16" t="n">
        <v>3511046.97</v>
      </c>
      <c r="G8" s="16" t="n">
        <v>13031412.73</v>
      </c>
    </row>
    <row r="9">
      <c r="A9" s="4" t="inlineStr">
        <is>
          <t>购买商品、接受劳务支付的现金</t>
        </is>
      </c>
      <c r="B9" s="3" t="n">
        <v>5</v>
      </c>
      <c r="C9" s="15" t="n">
        <v>-2409406.62</v>
      </c>
      <c r="D9" s="15" t="n">
        <v>-2135841.46</v>
      </c>
      <c r="E9" s="15" t="n">
        <v>-6296294.76</v>
      </c>
      <c r="F9" s="15" t="n">
        <v>-3421808.23</v>
      </c>
      <c r="G9" s="15" t="n">
        <v>-14263351.07</v>
      </c>
    </row>
    <row r="10">
      <c r="A10" s="4" t="inlineStr">
        <is>
          <t>支付给职工以及为职工支付的现金</t>
        </is>
      </c>
      <c r="B10" s="3" t="n">
        <v>6</v>
      </c>
      <c r="C10" s="15" t="n">
        <v>-2880703.42</v>
      </c>
      <c r="D10" s="15" t="n">
        <v>-2297475.76</v>
      </c>
      <c r="E10" s="15" t="n">
        <v>-13029745.19</v>
      </c>
      <c r="F10" s="15" t="n">
        <v>-9769813.67</v>
      </c>
      <c r="G10" s="15" t="n">
        <v>-27977738.04</v>
      </c>
    </row>
    <row r="11">
      <c r="A11" s="4" t="inlineStr">
        <is>
          <t>支付的各项税费</t>
        </is>
      </c>
      <c r="B11" s="3" t="n">
        <v>7</v>
      </c>
      <c r="C11" s="15" t="n">
        <v>-1933116.56</v>
      </c>
      <c r="D11" s="15" t="n">
        <v>-11878786.48</v>
      </c>
      <c r="E11" s="15" t="n">
        <v>-7422412.68</v>
      </c>
      <c r="F11" s="15" t="n">
        <v>-6704605.93</v>
      </c>
      <c r="G11" s="15" t="n">
        <v>-27938921.65</v>
      </c>
    </row>
    <row r="12">
      <c r="A12" s="4" t="inlineStr">
        <is>
          <t>支付其他与经营活动有关的现金</t>
        </is>
      </c>
      <c r="B12" s="3" t="n">
        <v>8</v>
      </c>
      <c r="C12" s="15" t="n">
        <v>-9010064.51</v>
      </c>
      <c r="D12" s="15" t="n">
        <v>-10513526.67</v>
      </c>
      <c r="E12" s="15" t="n">
        <v>-11310884.69</v>
      </c>
      <c r="F12" s="15" t="n">
        <v>-7126958.39</v>
      </c>
      <c r="G12" s="15" t="n">
        <v>-37961434.26</v>
      </c>
    </row>
    <row r="13">
      <c r="A13" s="6" t="inlineStr">
        <is>
          <t>经营活动现金流出小计</t>
        </is>
      </c>
      <c r="B13" s="3" t="n">
        <v>9</v>
      </c>
      <c r="C13" s="16" t="n">
        <v>-734169.28</v>
      </c>
      <c r="D13" s="16" t="n">
        <v>871739.08</v>
      </c>
      <c r="E13" s="16" t="n">
        <v>3303185.95</v>
      </c>
      <c r="F13" s="16" t="n">
        <v>-1482570.4</v>
      </c>
      <c r="G13" s="16" t="n">
        <v>1958185.35</v>
      </c>
    </row>
    <row r="14">
      <c r="A14" s="6" t="inlineStr">
        <is>
          <t>经营活动产生的现金流量净额</t>
        </is>
      </c>
      <c r="B14" s="3" t="n">
        <v>10</v>
      </c>
      <c r="C14" s="16" t="n">
        <v>-169525.83</v>
      </c>
      <c r="D14" s="16" t="n">
        <v>-206089.14</v>
      </c>
      <c r="E14" s="16" t="n">
        <v>2219305.02</v>
      </c>
      <c r="F14" s="16" t="n">
        <v>5177452.62</v>
      </c>
      <c r="G14" s="16" t="n">
        <v>7021142.67</v>
      </c>
    </row>
    <row r="15">
      <c r="A15" s="6" t="inlineStr">
        <is>
          <t>二、投资活动产生的现金流量</t>
        </is>
      </c>
    </row>
    <row r="16">
      <c r="A16" s="4" t="inlineStr">
        <is>
          <t>收回投资收到的现金</t>
        </is>
      </c>
      <c r="B16" s="3" t="n">
        <v>11</v>
      </c>
      <c r="C16" s="15" t="n">
        <v>8523132.960000001</v>
      </c>
      <c r="D16" s="15" t="n">
        <v>13361328.5</v>
      </c>
      <c r="E16" s="15" t="n">
        <v>661322.9</v>
      </c>
      <c r="F16" s="15" t="n">
        <v>11622883.57</v>
      </c>
      <c r="G16" s="15" t="n">
        <v>34168667.93</v>
      </c>
    </row>
    <row r="17">
      <c r="A17" s="4" t="inlineStr">
        <is>
          <t>取得投资收益收到的现金</t>
        </is>
      </c>
      <c r="B17" s="3" t="n">
        <v>12</v>
      </c>
      <c r="C17" s="15" t="n">
        <v>4028628.97</v>
      </c>
      <c r="D17" s="15" t="n">
        <v>10015053.92</v>
      </c>
      <c r="E17" s="15" t="n">
        <v>4561310.51</v>
      </c>
      <c r="F17" s="15" t="n">
        <v>14869528.87</v>
      </c>
      <c r="G17" s="15" t="n">
        <v>33474522.27</v>
      </c>
    </row>
    <row r="18">
      <c r="A18" s="4" t="inlineStr">
        <is>
          <t>处置固定资产、无形资产收到的现金净额</t>
        </is>
      </c>
      <c r="B18" s="3" t="n">
        <v>13</v>
      </c>
      <c r="C18" s="15" t="n">
        <v>2776148.18</v>
      </c>
      <c r="D18" s="15" t="n">
        <v>6976106.88</v>
      </c>
      <c r="E18" s="15" t="n">
        <v>4818795.74</v>
      </c>
      <c r="F18" s="15" t="n">
        <v>3604265.51</v>
      </c>
      <c r="G18" s="15" t="n">
        <v>18175316.31</v>
      </c>
    </row>
    <row r="19">
      <c r="A19" s="6" t="inlineStr">
        <is>
          <t>投资活动现金流入小计</t>
        </is>
      </c>
      <c r="B19" s="3" t="n">
        <v>14</v>
      </c>
      <c r="C19" s="16" t="n">
        <v>6380259.61</v>
      </c>
      <c r="D19" s="16" t="n">
        <v>-534423.08</v>
      </c>
      <c r="E19" s="16" t="n">
        <v>-1264357.29</v>
      </c>
      <c r="F19" s="16" t="n">
        <v>3774172.78</v>
      </c>
      <c r="G19" s="16" t="n">
        <v>8355652.02</v>
      </c>
    </row>
    <row r="20">
      <c r="A20" s="4" t="inlineStr">
        <is>
          <t>购建固定资产、无形资产支付的现金</t>
        </is>
      </c>
      <c r="B20" s="3" t="n">
        <v>15</v>
      </c>
      <c r="C20" s="15" t="n">
        <v>-8933396.27</v>
      </c>
      <c r="D20" s="15" t="n">
        <v>-6687576.41</v>
      </c>
      <c r="E20" s="15" t="n">
        <v>-7604100.2</v>
      </c>
      <c r="F20" s="15" t="n">
        <v>-5405804.75</v>
      </c>
      <c r="G20" s="15" t="n">
        <v>-28630877.63</v>
      </c>
    </row>
    <row r="21">
      <c r="A21" s="4" t="inlineStr">
        <is>
          <t>投资支付的现金</t>
        </is>
      </c>
      <c r="B21" s="3" t="n">
        <v>16</v>
      </c>
      <c r="C21" s="15" t="n">
        <v>-6503914.31</v>
      </c>
      <c r="D21" s="15" t="n">
        <v>-12140825.35</v>
      </c>
      <c r="E21" s="15" t="n">
        <v>-2242045.55</v>
      </c>
      <c r="F21" s="15" t="n">
        <v>-9089033.83</v>
      </c>
      <c r="G21" s="15" t="n">
        <v>-29975819.04</v>
      </c>
    </row>
    <row r="22">
      <c r="A22" s="6" t="inlineStr">
        <is>
          <t>投资活动现金流出小计</t>
        </is>
      </c>
      <c r="B22" s="3" t="n">
        <v>17</v>
      </c>
      <c r="C22" s="16" t="n">
        <v>6419958.1</v>
      </c>
      <c r="D22" s="16" t="n">
        <v>3766078.68</v>
      </c>
      <c r="E22" s="16" t="n">
        <v>-2377823.39</v>
      </c>
      <c r="F22" s="16" t="n">
        <v>2151232.91</v>
      </c>
      <c r="G22" s="16" t="n">
        <v>9959446.300000001</v>
      </c>
    </row>
    <row r="23">
      <c r="A23" s="6" t="inlineStr">
        <is>
          <t>投资活动产生的现金流量净额</t>
        </is>
      </c>
      <c r="B23" s="3" t="n">
        <v>18</v>
      </c>
      <c r="C23" s="16" t="n">
        <v>1902270.89</v>
      </c>
      <c r="D23" s="16" t="n">
        <v>3430530.12</v>
      </c>
      <c r="E23" s="16" t="n">
        <v>5519301.56</v>
      </c>
      <c r="F23" s="16" t="n">
        <v>3924167.71</v>
      </c>
      <c r="G23" s="16" t="n">
        <v>14776270.28</v>
      </c>
    </row>
    <row r="24">
      <c r="A24" s="6" t="inlineStr">
        <is>
          <t>三、筹资活动产生的现金流量</t>
        </is>
      </c>
    </row>
    <row r="25">
      <c r="A25" s="4" t="inlineStr">
        <is>
          <t>吸收投资收到的现金</t>
        </is>
      </c>
      <c r="B25" s="3" t="n">
        <v>19</v>
      </c>
      <c r="C25" s="15" t="n">
        <v>4719949.87</v>
      </c>
      <c r="D25" s="15" t="n">
        <v>14086188.77</v>
      </c>
      <c r="E25" s="15" t="n">
        <v>11376899.39</v>
      </c>
      <c r="F25" s="15" t="n">
        <v>8180996.09</v>
      </c>
      <c r="G25" s="15" t="n">
        <v>38364034.12</v>
      </c>
    </row>
    <row r="26">
      <c r="A26" s="4" t="inlineStr">
        <is>
          <t>取得借款收到的现金</t>
        </is>
      </c>
      <c r="B26" s="3" t="n">
        <v>20</v>
      </c>
      <c r="C26" s="15" t="n">
        <v>5292641.06</v>
      </c>
      <c r="D26" s="15" t="n">
        <v>10069454.51</v>
      </c>
      <c r="E26" s="15" t="n">
        <v>9185007.220000001</v>
      </c>
      <c r="F26" s="15" t="n">
        <v>14830067.02</v>
      </c>
      <c r="G26" s="15" t="n">
        <v>39377169.81</v>
      </c>
    </row>
    <row r="27">
      <c r="A27" s="6" t="inlineStr">
        <is>
          <t>筹资活动现金流入小计</t>
        </is>
      </c>
      <c r="B27" s="3" t="n">
        <v>21</v>
      </c>
      <c r="C27" s="16" t="n">
        <v>4032666.46</v>
      </c>
      <c r="D27" s="16" t="n">
        <v>1364056.2</v>
      </c>
      <c r="E27" s="16" t="n">
        <v>1197424.32</v>
      </c>
      <c r="F27" s="16" t="n">
        <v>4568344.55</v>
      </c>
      <c r="G27" s="16" t="n">
        <v>11162491.53</v>
      </c>
    </row>
    <row r="28">
      <c r="A28" s="4" t="inlineStr">
        <is>
          <t>偿还债务支付的现金</t>
        </is>
      </c>
      <c r="B28" s="3" t="n">
        <v>22</v>
      </c>
      <c r="C28" s="15" t="n">
        <v>-3354743.69</v>
      </c>
      <c r="D28" s="15" t="n">
        <v>-9251360</v>
      </c>
      <c r="E28" s="15" t="n">
        <v>-9690588.470000001</v>
      </c>
      <c r="F28" s="15" t="n">
        <v>-1818580.03</v>
      </c>
      <c r="G28" s="15" t="n">
        <v>-24115272.19</v>
      </c>
    </row>
    <row r="29">
      <c r="A29" s="4" t="inlineStr">
        <is>
          <t>分配股利、利润或偿付利息支付的现金</t>
        </is>
      </c>
      <c r="B29" s="3" t="n">
        <v>23</v>
      </c>
      <c r="C29" s="15" t="n">
        <v>-5107989.8</v>
      </c>
      <c r="D29" s="15" t="n">
        <v>-8876554.52</v>
      </c>
      <c r="E29" s="15" t="n">
        <v>-11018095.21</v>
      </c>
      <c r="F29" s="15" t="n">
        <v>-6680993.51</v>
      </c>
      <c r="G29" s="15" t="n">
        <v>-31683633.04</v>
      </c>
    </row>
    <row r="30">
      <c r="A30" s="6" t="inlineStr">
        <is>
          <t>筹资活动现金流出小计</t>
        </is>
      </c>
      <c r="B30" s="3" t="n">
        <v>24</v>
      </c>
      <c r="C30" s="16" t="n">
        <v>4194645.73</v>
      </c>
      <c r="D30" s="16" t="n">
        <v>1854065.52</v>
      </c>
      <c r="E30" s="16" t="n">
        <v>-2202750.35</v>
      </c>
      <c r="F30" s="16" t="n">
        <v>-438194.5</v>
      </c>
      <c r="G30" s="16" t="n">
        <v>3407766.4</v>
      </c>
    </row>
    <row r="31">
      <c r="A31" s="6" t="inlineStr">
        <is>
          <t>筹资活动产生的现金流量净额</t>
        </is>
      </c>
      <c r="B31" s="3" t="n">
        <v>25</v>
      </c>
      <c r="C31" s="16" t="n">
        <v>-1047169.76</v>
      </c>
      <c r="D31" s="16" t="n">
        <v>5749320.67</v>
      </c>
      <c r="E31" s="16" t="n">
        <v>-518734.16</v>
      </c>
      <c r="F31" s="16" t="n">
        <v>7210066.21</v>
      </c>
      <c r="G31" s="16" t="n">
        <v>11393482.96</v>
      </c>
    </row>
    <row r="32">
      <c r="A32" s="4" t="inlineStr">
        <is>
          <t>四、汇率变动对现金的影响</t>
        </is>
      </c>
      <c r="B32" s="3" t="n">
        <v>26</v>
      </c>
      <c r="C32" s="15" t="n">
        <v>468291.48</v>
      </c>
      <c r="D32" s="15" t="n">
        <v>-71323.50999999999</v>
      </c>
      <c r="E32" s="15" t="n">
        <v>29319.45</v>
      </c>
      <c r="F32" s="15" t="n">
        <v>116740.34</v>
      </c>
      <c r="G32" s="15" t="n">
        <v>543027.76</v>
      </c>
    </row>
    <row r="33">
      <c r="A33" s="6" t="inlineStr">
        <is>
          <t>五、现金及现金等价物净增加额</t>
        </is>
      </c>
      <c r="B33" s="3" t="n">
        <v>27</v>
      </c>
      <c r="C33" s="16" t="n">
        <v>130972.92</v>
      </c>
      <c r="D33" s="16" t="n">
        <v>7128234.94</v>
      </c>
      <c r="E33" s="16" t="n">
        <v>2766659.63</v>
      </c>
      <c r="F33" s="16" t="n">
        <v>3066390.06</v>
      </c>
      <c r="G33" s="16" t="n">
        <v>13092257.55</v>
      </c>
    </row>
    <row r="34">
      <c r="A34" s="4" t="inlineStr">
        <is>
          <t>加：期初现金及现金等价物余额</t>
        </is>
      </c>
      <c r="B34" s="3" t="n">
        <v>28</v>
      </c>
      <c r="C34" s="15" t="n">
        <v>135659.23</v>
      </c>
      <c r="D34" s="15" t="n">
        <v>72166.11</v>
      </c>
      <c r="E34" s="15" t="n">
        <v>-279051.58</v>
      </c>
      <c r="F34" s="15" t="n">
        <v>-43185.8</v>
      </c>
      <c r="G34" s="15" t="n">
        <v>-114412.04</v>
      </c>
    </row>
    <row r="35">
      <c r="A35" s="6" t="inlineStr">
        <is>
          <t>六、期末现金及现金等价物余额</t>
        </is>
      </c>
      <c r="B35" s="3" t="n">
        <v>29</v>
      </c>
      <c r="C35" s="16" t="n">
        <v>6613567.39</v>
      </c>
      <c r="D35" s="16" t="n">
        <v>2191395.42</v>
      </c>
      <c r="E35" s="16" t="n">
        <v>6674791.88</v>
      </c>
      <c r="F35" s="16" t="n">
        <v>4228836.82</v>
      </c>
      <c r="G35" s="16" t="n">
        <v>19708591.51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P5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</cols>
  <sheetData>
    <row r="1">
      <c r="B1" s="2" t="inlineStr">
        <is>
          <t>华东</t>
        </is>
      </c>
      <c r="Z1" s="2" t="inlineStr">
        <is>
          <t>华北</t>
        </is>
      </c>
      <c r="AX1" s="2" t="inlineStr">
        <is>
          <t>华南</t>
        </is>
      </c>
      <c r="BV1" s="2" t="inlineStr">
        <is>
          <t>西南</t>
        </is>
      </c>
    </row>
    <row r="2">
      <c r="B2" s="2" t="inlineStr">
        <is>
          <t>Q1</t>
        </is>
      </c>
      <c r="H2" s="2" t="inlineStr">
        <is>
          <t>Q2</t>
        </is>
      </c>
      <c r="N2" s="2" t="inlineStr">
        <is>
          <t>Q3</t>
        </is>
      </c>
      <c r="T2" s="2" t="inlineStr">
        <is>
          <t>Q4</t>
        </is>
      </c>
      <c r="Z2" s="2" t="inlineStr">
        <is>
          <t>Q1</t>
        </is>
      </c>
      <c r="AF2" s="2" t="inlineStr">
        <is>
          <t>Q2</t>
        </is>
      </c>
      <c r="AL2" s="2" t="inlineStr">
        <is>
          <t>Q3</t>
        </is>
      </c>
      <c r="AR2" s="2" t="inlineStr">
        <is>
          <t>Q4</t>
        </is>
      </c>
      <c r="AX2" s="2" t="inlineStr">
        <is>
          <t>Q1</t>
        </is>
      </c>
      <c r="BD2" s="2" t="inlineStr">
        <is>
          <t>Q2</t>
        </is>
      </c>
      <c r="BJ2" s="2" t="inlineStr">
        <is>
          <t>Q3</t>
        </is>
      </c>
      <c r="BP2" s="2" t="inlineStr">
        <is>
          <t>Q4</t>
        </is>
      </c>
      <c r="BV2" s="2" t="inlineStr">
        <is>
          <t>Q1</t>
        </is>
      </c>
      <c r="CB2" s="2" t="inlineStr">
        <is>
          <t>Q2</t>
        </is>
      </c>
      <c r="CH2" s="2" t="inlineStr">
        <is>
          <t>Q3</t>
        </is>
      </c>
      <c r="CN2" s="2" t="inlineStr">
        <is>
          <t>Q4</t>
        </is>
      </c>
      <c r="CT2" s="2" t="inlineStr">
        <is>
          <t>Q1</t>
        </is>
      </c>
      <c r="CZ2" s="2" t="inlineStr">
        <is>
          <t>Q2</t>
        </is>
      </c>
      <c r="DF2" s="2" t="inlineStr">
        <is>
          <t>Q3</t>
        </is>
      </c>
    </row>
    <row r="3">
      <c r="A3" s="2" t="inlineStr">
        <is>
          <t>产品</t>
        </is>
      </c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费用</t>
        </is>
      </c>
      <c r="F3" s="2" t="inlineStr">
        <is>
          <t>净利</t>
        </is>
      </c>
      <c r="G3" s="2" t="inlineStr">
        <is>
          <t>预算</t>
        </is>
      </c>
      <c r="H3" s="2" t="inlineStr">
        <is>
          <t>收入</t>
        </is>
      </c>
      <c r="I3" s="2" t="inlineStr">
        <is>
          <t>成本</t>
        </is>
      </c>
      <c r="J3" s="2" t="inlineStr">
        <is>
          <t>毛利</t>
        </is>
      </c>
      <c r="K3" s="2" t="inlineStr">
        <is>
          <t>费用</t>
        </is>
      </c>
      <c r="L3" s="2" t="inlineStr">
        <is>
          <t>净利</t>
        </is>
      </c>
      <c r="M3" s="2" t="inlineStr">
        <is>
          <t>预算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费用</t>
        </is>
      </c>
      <c r="R3" s="2" t="inlineStr">
        <is>
          <t>净利</t>
        </is>
      </c>
      <c r="S3" s="2" t="inlineStr">
        <is>
          <t>预算</t>
        </is>
      </c>
      <c r="T3" s="2" t="inlineStr">
        <is>
          <t>收入</t>
        </is>
      </c>
      <c r="U3" s="2" t="inlineStr">
        <is>
          <t>成本</t>
        </is>
      </c>
      <c r="V3" s="2" t="inlineStr">
        <is>
          <t>毛利</t>
        </is>
      </c>
      <c r="W3" s="2" t="inlineStr">
        <is>
          <t>费用</t>
        </is>
      </c>
      <c r="X3" s="2" t="inlineStr">
        <is>
          <t>净利</t>
        </is>
      </c>
      <c r="Y3" s="2" t="inlineStr">
        <is>
          <t>预算</t>
        </is>
      </c>
      <c r="Z3" s="2" t="inlineStr">
        <is>
          <t>收入</t>
        </is>
      </c>
      <c r="AA3" s="2" t="inlineStr">
        <is>
          <t>成本</t>
        </is>
      </c>
      <c r="AB3" s="2" t="inlineStr">
        <is>
          <t>毛利</t>
        </is>
      </c>
      <c r="AC3" s="2" t="inlineStr">
        <is>
          <t>费用</t>
        </is>
      </c>
      <c r="AD3" s="2" t="inlineStr">
        <is>
          <t>净利</t>
        </is>
      </c>
      <c r="AE3" s="2" t="inlineStr">
        <is>
          <t>预算</t>
        </is>
      </c>
      <c r="AF3" s="2" t="inlineStr">
        <is>
          <t>收入</t>
        </is>
      </c>
      <c r="AG3" s="2" t="inlineStr">
        <is>
          <t>成本</t>
        </is>
      </c>
      <c r="AH3" s="2" t="inlineStr">
        <is>
          <t>毛利</t>
        </is>
      </c>
      <c r="AI3" s="2" t="inlineStr">
        <is>
          <t>费用</t>
        </is>
      </c>
      <c r="AJ3" s="2" t="inlineStr">
        <is>
          <t>净利</t>
        </is>
      </c>
      <c r="AK3" s="2" t="inlineStr">
        <is>
          <t>预算</t>
        </is>
      </c>
      <c r="AL3" s="2" t="inlineStr">
        <is>
          <t>收入</t>
        </is>
      </c>
      <c r="AM3" s="2" t="inlineStr">
        <is>
          <t>成本</t>
        </is>
      </c>
      <c r="AN3" s="2" t="inlineStr">
        <is>
          <t>毛利</t>
        </is>
      </c>
      <c r="AO3" s="2" t="inlineStr">
        <is>
          <t>费用</t>
        </is>
      </c>
      <c r="AP3" s="2" t="inlineStr">
        <is>
          <t>净利</t>
        </is>
      </c>
      <c r="AQ3" s="2" t="inlineStr">
        <is>
          <t>预算</t>
        </is>
      </c>
      <c r="AR3" s="2" t="inlineStr">
        <is>
          <t>收入</t>
        </is>
      </c>
      <c r="AS3" s="2" t="inlineStr">
        <is>
          <t>成本</t>
        </is>
      </c>
      <c r="AT3" s="2" t="inlineStr">
        <is>
          <t>毛利</t>
        </is>
      </c>
      <c r="AU3" s="2" t="inlineStr">
        <is>
          <t>费用</t>
        </is>
      </c>
      <c r="AV3" s="2" t="inlineStr">
        <is>
          <t>净利</t>
        </is>
      </c>
      <c r="AW3" s="2" t="inlineStr">
        <is>
          <t>预算</t>
        </is>
      </c>
      <c r="AX3" s="2" t="inlineStr">
        <is>
          <t>收入</t>
        </is>
      </c>
      <c r="AY3" s="2" t="inlineStr">
        <is>
          <t>成本</t>
        </is>
      </c>
      <c r="AZ3" s="2" t="inlineStr">
        <is>
          <t>毛利</t>
        </is>
      </c>
      <c r="BA3" s="2" t="inlineStr">
        <is>
          <t>费用</t>
        </is>
      </c>
      <c r="BB3" s="2" t="inlineStr">
        <is>
          <t>净利</t>
        </is>
      </c>
      <c r="BC3" s="2" t="inlineStr">
        <is>
          <t>预算</t>
        </is>
      </c>
      <c r="BD3" s="2" t="inlineStr">
        <is>
          <t>收入</t>
        </is>
      </c>
      <c r="BE3" s="2" t="inlineStr">
        <is>
          <t>成本</t>
        </is>
      </c>
      <c r="BF3" s="2" t="inlineStr">
        <is>
          <t>毛利</t>
        </is>
      </c>
      <c r="BG3" s="2" t="inlineStr">
        <is>
          <t>费用</t>
        </is>
      </c>
      <c r="BH3" s="2" t="inlineStr">
        <is>
          <t>净利</t>
        </is>
      </c>
      <c r="BI3" s="2" t="inlineStr">
        <is>
          <t>预算</t>
        </is>
      </c>
      <c r="BJ3" s="2" t="inlineStr">
        <is>
          <t>收入</t>
        </is>
      </c>
      <c r="BK3" s="2" t="inlineStr">
        <is>
          <t>成本</t>
        </is>
      </c>
      <c r="BL3" s="2" t="inlineStr">
        <is>
          <t>毛利</t>
        </is>
      </c>
      <c r="BM3" s="2" t="inlineStr">
        <is>
          <t>费用</t>
        </is>
      </c>
      <c r="BN3" s="2" t="inlineStr">
        <is>
          <t>净利</t>
        </is>
      </c>
      <c r="BO3" s="2" t="inlineStr">
        <is>
          <t>预算</t>
        </is>
      </c>
      <c r="BP3" s="2" t="inlineStr">
        <is>
          <t>收入</t>
        </is>
      </c>
      <c r="BQ3" s="2" t="inlineStr">
        <is>
          <t>成本</t>
        </is>
      </c>
      <c r="BR3" s="2" t="inlineStr">
        <is>
          <t>毛利</t>
        </is>
      </c>
      <c r="BS3" s="2" t="inlineStr">
        <is>
          <t>费用</t>
        </is>
      </c>
      <c r="BT3" s="2" t="inlineStr">
        <is>
          <t>净利</t>
        </is>
      </c>
      <c r="BU3" s="2" t="inlineStr">
        <is>
          <t>预算</t>
        </is>
      </c>
      <c r="BV3" s="2" t="inlineStr">
        <is>
          <t>收入</t>
        </is>
      </c>
      <c r="BW3" s="2" t="inlineStr">
        <is>
          <t>成本</t>
        </is>
      </c>
      <c r="BX3" s="2" t="inlineStr">
        <is>
          <t>毛利</t>
        </is>
      </c>
      <c r="BY3" s="2" t="inlineStr">
        <is>
          <t>费用</t>
        </is>
      </c>
      <c r="BZ3" s="2" t="inlineStr">
        <is>
          <t>净利</t>
        </is>
      </c>
      <c r="CA3" s="2" t="inlineStr">
        <is>
          <t>预算</t>
        </is>
      </c>
      <c r="CB3" s="2" t="inlineStr">
        <is>
          <t>收入</t>
        </is>
      </c>
      <c r="CC3" s="2" t="inlineStr">
        <is>
          <t>成本</t>
        </is>
      </c>
      <c r="CD3" s="2" t="inlineStr">
        <is>
          <t>毛利</t>
        </is>
      </c>
      <c r="CE3" s="2" t="inlineStr">
        <is>
          <t>费用</t>
        </is>
      </c>
      <c r="CF3" s="2" t="inlineStr">
        <is>
          <t>净利</t>
        </is>
      </c>
      <c r="CG3" s="2" t="inlineStr">
        <is>
          <t>预算</t>
        </is>
      </c>
      <c r="CH3" s="2" t="inlineStr">
        <is>
          <t>收入</t>
        </is>
      </c>
      <c r="CI3" s="2" t="inlineStr">
        <is>
          <t>成本</t>
        </is>
      </c>
      <c r="CJ3" s="2" t="inlineStr">
        <is>
          <t>毛利</t>
        </is>
      </c>
      <c r="CK3" s="2" t="inlineStr">
        <is>
          <t>费用</t>
        </is>
      </c>
      <c r="CL3" s="2" t="inlineStr">
        <is>
          <t>净利</t>
        </is>
      </c>
      <c r="CM3" s="2" t="inlineStr">
        <is>
          <t>预算</t>
        </is>
      </c>
      <c r="CN3" s="2" t="inlineStr">
        <is>
          <t>收入</t>
        </is>
      </c>
      <c r="CO3" s="2" t="inlineStr">
        <is>
          <t>成本</t>
        </is>
      </c>
      <c r="CP3" s="2" t="inlineStr">
        <is>
          <t>毛利</t>
        </is>
      </c>
      <c r="CQ3" s="2" t="inlineStr">
        <is>
          <t>费用</t>
        </is>
      </c>
      <c r="CR3" s="2" t="inlineStr">
        <is>
          <t>净利</t>
        </is>
      </c>
      <c r="CS3" s="2" t="inlineStr">
        <is>
          <t>预算</t>
        </is>
      </c>
      <c r="CT3" s="2" t="inlineStr">
        <is>
          <t>收入</t>
        </is>
      </c>
      <c r="CU3" s="2" t="inlineStr">
        <is>
          <t>成本</t>
        </is>
      </c>
      <c r="CV3" s="2" t="inlineStr">
        <is>
          <t>毛利</t>
        </is>
      </c>
      <c r="CW3" s="2" t="inlineStr">
        <is>
          <t>费用</t>
        </is>
      </c>
      <c r="CX3" s="2" t="inlineStr">
        <is>
          <t>净利</t>
        </is>
      </c>
      <c r="CY3" s="2" t="inlineStr">
        <is>
          <t>预算</t>
        </is>
      </c>
      <c r="CZ3" s="2" t="inlineStr">
        <is>
          <t>收入</t>
        </is>
      </c>
      <c r="DA3" s="2" t="inlineStr">
        <is>
          <t>成本</t>
        </is>
      </c>
      <c r="DB3" s="2" t="inlineStr">
        <is>
          <t>毛利</t>
        </is>
      </c>
      <c r="DC3" s="2" t="inlineStr">
        <is>
          <t>费用</t>
        </is>
      </c>
      <c r="DD3" s="2" t="inlineStr">
        <is>
          <t>净利</t>
        </is>
      </c>
      <c r="DE3" s="2" t="inlineStr">
        <is>
          <t>预算</t>
        </is>
      </c>
      <c r="DF3" s="2" t="inlineStr">
        <is>
          <t>收入</t>
        </is>
      </c>
      <c r="DG3" s="2" t="inlineStr">
        <is>
          <t>成本</t>
        </is>
      </c>
      <c r="DH3" s="2" t="inlineStr">
        <is>
          <t>毛利</t>
        </is>
      </c>
      <c r="DI3" s="2" t="inlineStr">
        <is>
          <t>费用</t>
        </is>
      </c>
      <c r="DJ3" s="2" t="inlineStr">
        <is>
          <t>净利</t>
        </is>
      </c>
      <c r="DK3" s="2" t="inlineStr">
        <is>
          <t>预算</t>
        </is>
      </c>
      <c r="DL3" s="2" t="inlineStr">
        <is>
          <t>收入</t>
        </is>
      </c>
      <c r="DM3" s="2" t="inlineStr">
        <is>
          <t>成本</t>
        </is>
      </c>
      <c r="DN3" s="2" t="inlineStr">
        <is>
          <t>毛利</t>
        </is>
      </c>
      <c r="DO3" s="2" t="inlineStr">
        <is>
          <t>费用</t>
        </is>
      </c>
      <c r="DP3" s="2" t="inlineStr">
        <is>
          <t>净利</t>
        </is>
      </c>
    </row>
    <row r="4">
      <c r="A4" s="4" t="inlineStr">
        <is>
          <t>数控机床</t>
        </is>
      </c>
      <c r="B4" s="15" t="n">
        <v>3461033.2</v>
      </c>
      <c r="C4" s="15" t="n">
        <v>1641996.36</v>
      </c>
      <c r="D4" s="15" t="n">
        <v>143199.41</v>
      </c>
      <c r="E4" s="15" t="n">
        <v>153939.42</v>
      </c>
      <c r="F4" s="15" t="n">
        <v>163710.61</v>
      </c>
      <c r="G4" s="15" t="n">
        <v>360675.33</v>
      </c>
      <c r="H4" s="15" t="n">
        <v>2078452.12</v>
      </c>
      <c r="I4" s="15" t="n">
        <v>1829783.29</v>
      </c>
      <c r="J4" s="15" t="n">
        <v>1321651.36</v>
      </c>
      <c r="K4" s="15" t="n">
        <v>172877.51</v>
      </c>
      <c r="L4" s="15" t="n">
        <v>309805.67</v>
      </c>
      <c r="M4" s="15" t="n">
        <v>1201757.11</v>
      </c>
      <c r="N4" s="15" t="n">
        <v>396332.96</v>
      </c>
      <c r="O4" s="15" t="n">
        <v>1658997.86</v>
      </c>
      <c r="P4" s="15" t="n">
        <v>63287.84</v>
      </c>
      <c r="Q4" s="15" t="n">
        <v>137995.75</v>
      </c>
      <c r="R4" s="15" t="n">
        <v>378726.7</v>
      </c>
      <c r="S4" s="15" t="n">
        <v>1426283.23</v>
      </c>
      <c r="T4" s="15" t="n">
        <v>3653117.2</v>
      </c>
      <c r="U4" s="15" t="n">
        <v>1575272.2</v>
      </c>
      <c r="V4" s="15" t="n">
        <v>657181.48</v>
      </c>
      <c r="W4" s="15" t="n">
        <v>271069.01</v>
      </c>
      <c r="X4" s="15" t="n">
        <v>-109919.98</v>
      </c>
      <c r="Y4" s="15" t="n">
        <v>2090584.67</v>
      </c>
      <c r="Z4" s="15" t="n">
        <v>954763.6800000001</v>
      </c>
      <c r="AA4" s="15" t="n">
        <v>748106.51</v>
      </c>
      <c r="AB4" s="15" t="n">
        <v>677400.97</v>
      </c>
      <c r="AC4" s="15" t="n">
        <v>44699.16</v>
      </c>
      <c r="AD4" s="15" t="n">
        <v>245066.42</v>
      </c>
      <c r="AE4" s="15" t="n">
        <v>1846004.79</v>
      </c>
      <c r="AF4" s="15" t="n">
        <v>2739876.14</v>
      </c>
      <c r="AG4" s="15" t="n">
        <v>1055978.16</v>
      </c>
      <c r="AH4" s="15" t="n">
        <v>241444.22</v>
      </c>
      <c r="AI4" s="15" t="n">
        <v>236761.42</v>
      </c>
      <c r="AJ4" s="15" t="n">
        <v>824856.28</v>
      </c>
      <c r="AK4" s="15" t="n">
        <v>343188.42</v>
      </c>
      <c r="AL4" s="15" t="n">
        <v>2944395.58</v>
      </c>
      <c r="AM4" s="15" t="n">
        <v>591572.97</v>
      </c>
      <c r="AN4" s="15" t="n">
        <v>546559.35</v>
      </c>
      <c r="AO4" s="15" t="n">
        <v>129684.46</v>
      </c>
      <c r="AP4" s="15" t="n">
        <v>1004862.15</v>
      </c>
      <c r="AQ4" s="15" t="n">
        <v>1259235.14</v>
      </c>
      <c r="AR4" s="15" t="n">
        <v>678599.48</v>
      </c>
      <c r="AS4" s="15" t="n">
        <v>812998.26</v>
      </c>
      <c r="AT4" s="15" t="n">
        <v>912511.5699999999</v>
      </c>
      <c r="AU4" s="15" t="n">
        <v>164972.87</v>
      </c>
      <c r="AV4" s="15" t="n">
        <v>1074260.28</v>
      </c>
      <c r="AW4" s="15" t="n">
        <v>1449378.82</v>
      </c>
      <c r="AX4" s="15" t="n">
        <v>887121.0600000001</v>
      </c>
      <c r="AY4" s="15" t="n">
        <v>1639514.61</v>
      </c>
      <c r="AZ4" s="15" t="n">
        <v>672777.33</v>
      </c>
      <c r="BA4" s="15" t="n">
        <v>241855.76</v>
      </c>
      <c r="BB4" s="15" t="n">
        <v>189752.62</v>
      </c>
      <c r="BC4" s="15" t="n">
        <v>1120257.75</v>
      </c>
      <c r="BD4" s="15" t="n">
        <v>2418179.84</v>
      </c>
      <c r="BE4" s="15" t="n">
        <v>64987.73</v>
      </c>
      <c r="BF4" s="15" t="n">
        <v>897229.02</v>
      </c>
      <c r="BG4" s="15" t="n">
        <v>144363.6</v>
      </c>
      <c r="BH4" s="15" t="n">
        <v>911510.3199999999</v>
      </c>
      <c r="BI4" s="15" t="n">
        <v>960885.42</v>
      </c>
      <c r="BJ4" s="15" t="n">
        <v>1500191.92</v>
      </c>
      <c r="BK4" s="15" t="n">
        <v>1879491.16</v>
      </c>
      <c r="BL4" s="15" t="n">
        <v>1050222.45</v>
      </c>
      <c r="BM4" s="15" t="n">
        <v>85767.46000000001</v>
      </c>
      <c r="BN4" s="15" t="n">
        <v>479105</v>
      </c>
      <c r="BO4" s="15" t="n">
        <v>1674485.56</v>
      </c>
      <c r="BP4" s="15" t="n">
        <v>931425.6800000001</v>
      </c>
      <c r="BQ4" s="15" t="n">
        <v>174009.27</v>
      </c>
      <c r="BR4" s="15" t="n">
        <v>1185516.04</v>
      </c>
      <c r="BS4" s="15" t="n">
        <v>43687.6</v>
      </c>
      <c r="BT4" s="15" t="n">
        <v>740573.76</v>
      </c>
      <c r="BU4" s="15" t="n">
        <v>2373040.97</v>
      </c>
      <c r="BV4" s="15" t="n">
        <v>3784039.17</v>
      </c>
      <c r="BW4" s="15" t="n">
        <v>2258914.41</v>
      </c>
      <c r="BX4" s="15" t="n">
        <v>618188.36</v>
      </c>
      <c r="BY4" s="15" t="n">
        <v>155408.9</v>
      </c>
      <c r="BZ4" s="15" t="n">
        <v>768738.97</v>
      </c>
      <c r="CA4" s="15" t="n">
        <v>3115245.17</v>
      </c>
      <c r="CB4" s="15" t="n">
        <v>1455622.13</v>
      </c>
      <c r="CC4" s="15" t="n">
        <v>966506.6899999999</v>
      </c>
      <c r="CD4" s="15" t="n">
        <v>1274851.49</v>
      </c>
      <c r="CE4" s="15" t="n">
        <v>88316</v>
      </c>
      <c r="CF4" s="15" t="n">
        <v>798088.55</v>
      </c>
      <c r="CG4" s="15" t="n">
        <v>646943.25</v>
      </c>
      <c r="CH4" s="15" t="n">
        <v>3792528.57</v>
      </c>
      <c r="CI4" s="15" t="n">
        <v>528995.98</v>
      </c>
      <c r="CJ4" s="15" t="n">
        <v>1470308.7</v>
      </c>
      <c r="CK4" s="15" t="n">
        <v>185190.88</v>
      </c>
      <c r="CL4" s="15" t="n">
        <v>607421.16</v>
      </c>
      <c r="CM4" s="15" t="n">
        <v>1940549.54</v>
      </c>
      <c r="CN4" s="15" t="n">
        <v>336022.46</v>
      </c>
      <c r="CO4" s="15" t="n">
        <v>1618034.72</v>
      </c>
      <c r="CP4" s="15" t="n">
        <v>24060.03</v>
      </c>
      <c r="CQ4" s="15" t="n">
        <v>45646.98</v>
      </c>
      <c r="CR4" s="15" t="n">
        <v>8425.629999999999</v>
      </c>
      <c r="CS4" s="15" t="n">
        <v>1955660.75</v>
      </c>
      <c r="CT4" s="15" t="n">
        <v>1265265.7</v>
      </c>
      <c r="CU4" s="15" t="n">
        <v>1269622.43</v>
      </c>
      <c r="CV4" s="15" t="n">
        <v>643787.35</v>
      </c>
      <c r="CW4" s="15" t="n">
        <v>388313.06</v>
      </c>
      <c r="CX4" s="15" t="n">
        <v>-128848.72</v>
      </c>
      <c r="CY4" s="15" t="n">
        <v>1451257.11</v>
      </c>
      <c r="CZ4" s="15" t="n">
        <v>3906557.61</v>
      </c>
      <c r="DA4" s="15" t="n">
        <v>1802320.86</v>
      </c>
      <c r="DB4" s="15" t="n">
        <v>670746.9399999999</v>
      </c>
      <c r="DC4" s="15" t="n">
        <v>127249.06</v>
      </c>
      <c r="DD4" s="15" t="n">
        <v>867418.53</v>
      </c>
      <c r="DE4" s="15" t="n">
        <v>2489851.05</v>
      </c>
      <c r="DF4" s="15" t="n">
        <v>2265872.31</v>
      </c>
      <c r="DG4" s="15" t="n">
        <v>1391038.37</v>
      </c>
      <c r="DH4" s="15" t="n">
        <v>1110307.18</v>
      </c>
      <c r="DI4" s="15" t="n">
        <v>268473.64</v>
      </c>
      <c r="DJ4" s="15" t="n">
        <v>539173.33</v>
      </c>
      <c r="DK4" s="15" t="n">
        <v>1989622.26</v>
      </c>
      <c r="DL4" s="15" t="n">
        <v>2549995.64</v>
      </c>
      <c r="DM4" s="15" t="n">
        <v>705132.6800000001</v>
      </c>
      <c r="DN4" s="15" t="n">
        <v>783200.66</v>
      </c>
      <c r="DO4" s="15" t="n">
        <v>176852.23</v>
      </c>
      <c r="DP4" s="15" t="n">
        <v>-80739.73</v>
      </c>
    </row>
    <row r="5">
      <c r="A5" s="4" t="inlineStr">
        <is>
          <t>精密轴承</t>
        </is>
      </c>
      <c r="B5" s="15" t="n">
        <v>3279074.99</v>
      </c>
      <c r="C5" s="15" t="n">
        <v>1625945.75</v>
      </c>
      <c r="D5" s="15" t="n">
        <v>965560.67</v>
      </c>
      <c r="E5" s="15" t="n">
        <v>202294.35</v>
      </c>
      <c r="F5" s="15" t="n">
        <v>1089101.74</v>
      </c>
      <c r="G5" s="15" t="n">
        <v>981705.6</v>
      </c>
      <c r="H5" s="15" t="n">
        <v>3755823.23</v>
      </c>
      <c r="I5" s="15" t="n">
        <v>1711470.55</v>
      </c>
      <c r="J5" s="15" t="n">
        <v>1064379.59</v>
      </c>
      <c r="K5" s="15" t="n">
        <v>258292.24</v>
      </c>
      <c r="L5" s="15" t="n">
        <v>600548.91</v>
      </c>
      <c r="M5" s="15" t="n">
        <v>109406.05</v>
      </c>
      <c r="N5" s="15" t="n">
        <v>1452272.43</v>
      </c>
      <c r="O5" s="15" t="n">
        <v>1202461.34</v>
      </c>
      <c r="P5" s="15" t="n">
        <v>407128.9</v>
      </c>
      <c r="Q5" s="15" t="n">
        <v>114584.86</v>
      </c>
      <c r="R5" s="15" t="n">
        <v>432047.53</v>
      </c>
      <c r="S5" s="15" t="n">
        <v>1866097.34</v>
      </c>
      <c r="T5" s="15" t="n">
        <v>1256576.47</v>
      </c>
      <c r="U5" s="15" t="n">
        <v>2198119.8</v>
      </c>
      <c r="V5" s="15" t="n">
        <v>1271755.72</v>
      </c>
      <c r="W5" s="15" t="n">
        <v>277957.13</v>
      </c>
      <c r="X5" s="15" t="n">
        <v>1157201.2</v>
      </c>
      <c r="Y5" s="15" t="n">
        <v>1756066.07</v>
      </c>
      <c r="Z5" s="15" t="n">
        <v>3091004.97</v>
      </c>
      <c r="AA5" s="15" t="n">
        <v>2122894.65</v>
      </c>
      <c r="AB5" s="15" t="n">
        <v>1194813.27</v>
      </c>
      <c r="AC5" s="15" t="n">
        <v>316260.62</v>
      </c>
      <c r="AD5" s="15" t="n">
        <v>1124872.88</v>
      </c>
      <c r="AE5" s="15" t="n">
        <v>1085024.87</v>
      </c>
      <c r="AF5" s="15" t="n">
        <v>2044599.93</v>
      </c>
      <c r="AG5" s="15" t="n">
        <v>1394755.23</v>
      </c>
      <c r="AH5" s="15" t="n">
        <v>1060142.54</v>
      </c>
      <c r="AI5" s="15" t="n">
        <v>160484.5</v>
      </c>
      <c r="AJ5" s="15" t="n">
        <v>308887.91</v>
      </c>
      <c r="AK5" s="15" t="n">
        <v>3160380.12</v>
      </c>
      <c r="AL5" s="15" t="n">
        <v>2248253.17</v>
      </c>
      <c r="AM5" s="15" t="n">
        <v>1088764.83</v>
      </c>
      <c r="AN5" s="15" t="n">
        <v>1281374.6</v>
      </c>
      <c r="AO5" s="15" t="n">
        <v>126753.62</v>
      </c>
      <c r="AP5" s="15" t="n">
        <v>451129.52</v>
      </c>
      <c r="AQ5" s="15" t="n">
        <v>348030.32</v>
      </c>
      <c r="AR5" s="15" t="n">
        <v>2152367.41</v>
      </c>
      <c r="AS5" s="15" t="n">
        <v>1820588.53</v>
      </c>
      <c r="AT5" s="15" t="n">
        <v>811891.66</v>
      </c>
      <c r="AU5" s="15" t="n">
        <v>390852.46</v>
      </c>
      <c r="AV5" s="15" t="n">
        <v>211876.93</v>
      </c>
      <c r="AW5" s="15" t="n">
        <v>2620743.83</v>
      </c>
      <c r="AX5" s="15" t="n">
        <v>1470659.93</v>
      </c>
      <c r="AY5" s="15" t="n">
        <v>1473853.37</v>
      </c>
      <c r="AZ5" s="15" t="n">
        <v>654790.27</v>
      </c>
      <c r="BA5" s="15" t="n">
        <v>133013.26</v>
      </c>
      <c r="BB5" s="15" t="n">
        <v>131477.7</v>
      </c>
      <c r="BC5" s="15" t="n">
        <v>191248.83</v>
      </c>
      <c r="BD5" s="15" t="n">
        <v>698351.15</v>
      </c>
      <c r="BE5" s="15" t="n">
        <v>808566.53</v>
      </c>
      <c r="BF5" s="15" t="n">
        <v>253278.42</v>
      </c>
      <c r="BG5" s="15" t="n">
        <v>25670.89</v>
      </c>
      <c r="BH5" s="15" t="n">
        <v>1010380.32</v>
      </c>
      <c r="BI5" s="15" t="n">
        <v>2086482.92</v>
      </c>
      <c r="BJ5" s="15" t="n">
        <v>3328496.89</v>
      </c>
      <c r="BK5" s="15" t="n">
        <v>965125.95</v>
      </c>
      <c r="BL5" s="15" t="n">
        <v>638957.52</v>
      </c>
      <c r="BM5" s="15" t="n">
        <v>246437.88</v>
      </c>
      <c r="BN5" s="15" t="n">
        <v>710100.9</v>
      </c>
      <c r="BO5" s="15" t="n">
        <v>895722.75</v>
      </c>
      <c r="BP5" s="15" t="n">
        <v>951382.0699999999</v>
      </c>
      <c r="BQ5" s="15" t="n">
        <v>1869690.97</v>
      </c>
      <c r="BR5" s="15" t="n">
        <v>383795.89</v>
      </c>
      <c r="BS5" s="15" t="n">
        <v>106445.04</v>
      </c>
      <c r="BT5" s="15" t="n">
        <v>391752.51</v>
      </c>
      <c r="BU5" s="15" t="n">
        <v>1098806.73</v>
      </c>
      <c r="BV5" s="15" t="n">
        <v>3987244.07</v>
      </c>
      <c r="BW5" s="15" t="n">
        <v>487035.35</v>
      </c>
      <c r="BX5" s="15" t="n">
        <v>177762.76</v>
      </c>
      <c r="BY5" s="15" t="n">
        <v>147422.35</v>
      </c>
      <c r="BZ5" s="15" t="n">
        <v>-116216.7</v>
      </c>
      <c r="CA5" s="15" t="n">
        <v>801381.8199999999</v>
      </c>
      <c r="CB5" s="15" t="n">
        <v>1851343.79</v>
      </c>
      <c r="CC5" s="15" t="n">
        <v>60016.46</v>
      </c>
      <c r="CD5" s="15" t="n">
        <v>880708.1899999999</v>
      </c>
      <c r="CE5" s="15" t="n">
        <v>90154.17</v>
      </c>
      <c r="CF5" s="15" t="n">
        <v>1020182.71</v>
      </c>
      <c r="CG5" s="15" t="n">
        <v>1379889.24</v>
      </c>
      <c r="CH5" s="15" t="n">
        <v>1219690.58</v>
      </c>
      <c r="CI5" s="15" t="n">
        <v>1052695.78</v>
      </c>
      <c r="CJ5" s="15" t="n">
        <v>1449061.14</v>
      </c>
      <c r="CK5" s="15" t="n">
        <v>238262.95</v>
      </c>
      <c r="CL5" s="15" t="n">
        <v>-80306.41</v>
      </c>
      <c r="CM5" s="15" t="n">
        <v>1559682</v>
      </c>
      <c r="CN5" s="15" t="n">
        <v>1097463.55</v>
      </c>
      <c r="CO5" s="15" t="n">
        <v>697633.37</v>
      </c>
      <c r="CP5" s="15" t="n">
        <v>697615.1800000001</v>
      </c>
      <c r="CQ5" s="15" t="n">
        <v>366290.4</v>
      </c>
      <c r="CR5" s="15" t="n">
        <v>6634.92</v>
      </c>
      <c r="CS5" s="15" t="n">
        <v>2389900.83</v>
      </c>
      <c r="CT5" s="15" t="n">
        <v>401120.83</v>
      </c>
      <c r="CU5" s="15" t="n">
        <v>238662.02</v>
      </c>
      <c r="CV5" s="15" t="n">
        <v>297032.19</v>
      </c>
      <c r="CW5" s="15" t="n">
        <v>326495.95</v>
      </c>
      <c r="CX5" s="15" t="n">
        <v>-99779.56</v>
      </c>
      <c r="CY5" s="15" t="n">
        <v>2430296.24</v>
      </c>
      <c r="CZ5" s="15" t="n">
        <v>2929936.21</v>
      </c>
      <c r="DA5" s="15" t="n">
        <v>1967579.86</v>
      </c>
      <c r="DB5" s="15" t="n">
        <v>657615.72</v>
      </c>
      <c r="DC5" s="15" t="n">
        <v>130699.8</v>
      </c>
      <c r="DD5" s="15" t="n">
        <v>317561.06</v>
      </c>
      <c r="DE5" s="15" t="n">
        <v>2537210.68</v>
      </c>
      <c r="DF5" s="15" t="n">
        <v>2863829.73</v>
      </c>
      <c r="DG5" s="15" t="n">
        <v>1720170.96</v>
      </c>
      <c r="DH5" s="15" t="n">
        <v>1127824.59</v>
      </c>
      <c r="DI5" s="15" t="n">
        <v>258281.66</v>
      </c>
      <c r="DJ5" s="15" t="n">
        <v>1067999.52</v>
      </c>
      <c r="DK5" s="15" t="n">
        <v>203283.75</v>
      </c>
      <c r="DL5" s="15" t="n">
        <v>3168289.28</v>
      </c>
      <c r="DM5" s="15" t="n">
        <v>759945.49</v>
      </c>
      <c r="DN5" s="15" t="n">
        <v>513147.86</v>
      </c>
      <c r="DO5" s="15" t="n">
        <v>244053.71</v>
      </c>
      <c r="DP5" s="15" t="n">
        <v>132205.93</v>
      </c>
    </row>
    <row r="6">
      <c r="A6" s="4" t="inlineStr">
        <is>
          <t>液压件</t>
        </is>
      </c>
      <c r="B6" s="15" t="n">
        <v>1541402.87</v>
      </c>
      <c r="C6" s="15" t="n">
        <v>2035657.39</v>
      </c>
      <c r="D6" s="15" t="n">
        <v>674918.45</v>
      </c>
      <c r="E6" s="15" t="n">
        <v>288328.09</v>
      </c>
      <c r="F6" s="15" t="n">
        <v>385486.06</v>
      </c>
      <c r="G6" s="15" t="n">
        <v>378908.28</v>
      </c>
      <c r="H6" s="15" t="n">
        <v>955824.1800000001</v>
      </c>
      <c r="I6" s="15" t="n">
        <v>786046.63</v>
      </c>
      <c r="J6" s="15" t="n">
        <v>1202745.73</v>
      </c>
      <c r="K6" s="15" t="n">
        <v>308436.69</v>
      </c>
      <c r="L6" s="15" t="n">
        <v>-124759.55</v>
      </c>
      <c r="M6" s="15" t="n">
        <v>1902075.3</v>
      </c>
      <c r="N6" s="15" t="n">
        <v>3158785.15</v>
      </c>
      <c r="O6" s="15" t="n">
        <v>1181476.62</v>
      </c>
      <c r="P6" s="15" t="n">
        <v>1267072.41</v>
      </c>
      <c r="Q6" s="15" t="n">
        <v>12532.19</v>
      </c>
      <c r="R6" s="15" t="n">
        <v>1188464.69</v>
      </c>
      <c r="S6" s="15" t="n">
        <v>2837094.4</v>
      </c>
      <c r="T6" s="15" t="n">
        <v>348833.26</v>
      </c>
      <c r="U6" s="15" t="n">
        <v>2060293.98</v>
      </c>
      <c r="V6" s="15" t="n">
        <v>1300064.49</v>
      </c>
      <c r="W6" s="15" t="n">
        <v>343611.04</v>
      </c>
      <c r="X6" s="15" t="n">
        <v>-31239.42</v>
      </c>
      <c r="Y6" s="15" t="n">
        <v>1763640.56</v>
      </c>
      <c r="Z6" s="15" t="n">
        <v>3651984.95</v>
      </c>
      <c r="AA6" s="15" t="n">
        <v>1362618.82</v>
      </c>
      <c r="AB6" s="15" t="n">
        <v>625470.79</v>
      </c>
      <c r="AC6" s="15" t="n">
        <v>366417.74</v>
      </c>
      <c r="AD6" s="15" t="n">
        <v>939450.5600000001</v>
      </c>
      <c r="AE6" s="15" t="n">
        <v>1938504.55</v>
      </c>
      <c r="AF6" s="15" t="n">
        <v>2461735.08</v>
      </c>
      <c r="AG6" s="15" t="n">
        <v>1860745.96</v>
      </c>
      <c r="AH6" s="15" t="n">
        <v>199642.27</v>
      </c>
      <c r="AI6" s="15" t="n">
        <v>366032.14</v>
      </c>
      <c r="AJ6" s="15" t="n">
        <v>690642.35</v>
      </c>
      <c r="AK6" s="15" t="n">
        <v>2334537.28</v>
      </c>
      <c r="AL6" s="15" t="n">
        <v>221833.62</v>
      </c>
      <c r="AM6" s="15" t="n">
        <v>885880.35</v>
      </c>
      <c r="AN6" s="15" t="n">
        <v>207369.6</v>
      </c>
      <c r="AO6" s="15" t="n">
        <v>45196.44</v>
      </c>
      <c r="AP6" s="15" t="n">
        <v>945651.38</v>
      </c>
      <c r="AQ6" s="15" t="n">
        <v>2605914.27</v>
      </c>
      <c r="AR6" s="15" t="n">
        <v>952635.97</v>
      </c>
      <c r="AS6" s="15" t="n">
        <v>2232306.9</v>
      </c>
      <c r="AT6" s="15" t="n">
        <v>668266.21</v>
      </c>
      <c r="AU6" s="15" t="n">
        <v>179704.7</v>
      </c>
      <c r="AV6" s="15" t="n">
        <v>522266.2</v>
      </c>
      <c r="AW6" s="15" t="n">
        <v>2556973.78</v>
      </c>
      <c r="AX6" s="15" t="n">
        <v>2010424.12</v>
      </c>
      <c r="AY6" s="15" t="n">
        <v>1184079.9</v>
      </c>
      <c r="AZ6" s="15" t="n">
        <v>865448.42</v>
      </c>
      <c r="BA6" s="15" t="n">
        <v>259668.07</v>
      </c>
      <c r="BB6" s="15" t="n">
        <v>670034.8</v>
      </c>
      <c r="BC6" s="15" t="n">
        <v>526883.46</v>
      </c>
      <c r="BD6" s="15" t="n">
        <v>3414703.93</v>
      </c>
      <c r="BE6" s="15" t="n">
        <v>1711182.27</v>
      </c>
      <c r="BF6" s="15" t="n">
        <v>1205922.3</v>
      </c>
      <c r="BG6" s="15" t="n">
        <v>379508.21</v>
      </c>
      <c r="BH6" s="15" t="n">
        <v>995469.91</v>
      </c>
      <c r="BI6" s="15" t="n">
        <v>2908892.21</v>
      </c>
      <c r="BJ6" s="15" t="n">
        <v>3820547.61</v>
      </c>
      <c r="BK6" s="15" t="n">
        <v>2041255.63</v>
      </c>
      <c r="BL6" s="15" t="n">
        <v>1582938.51</v>
      </c>
      <c r="BM6" s="15" t="n">
        <v>14770.85</v>
      </c>
      <c r="BN6" s="15" t="n">
        <v>1089036.33</v>
      </c>
      <c r="BO6" s="15" t="n">
        <v>2265455.39</v>
      </c>
      <c r="BP6" s="15" t="n">
        <v>2432637.27</v>
      </c>
      <c r="BQ6" s="15" t="n">
        <v>244931.45</v>
      </c>
      <c r="BR6" s="15" t="n">
        <v>1541136.86</v>
      </c>
      <c r="BS6" s="15" t="n">
        <v>94241.27</v>
      </c>
      <c r="BT6" s="15" t="n">
        <v>945381.37</v>
      </c>
      <c r="BU6" s="15" t="n">
        <v>296772.03</v>
      </c>
      <c r="BV6" s="15" t="n">
        <v>843276.01</v>
      </c>
      <c r="BW6" s="15" t="n">
        <v>1403898.58</v>
      </c>
      <c r="BX6" s="15" t="n">
        <v>274498.32</v>
      </c>
      <c r="BY6" s="15" t="n">
        <v>60829.5</v>
      </c>
      <c r="BZ6" s="15" t="n">
        <v>605051.13</v>
      </c>
      <c r="CA6" s="15" t="n">
        <v>3018151.11</v>
      </c>
      <c r="CB6" s="15" t="n">
        <v>3104942.45</v>
      </c>
      <c r="CC6" s="15" t="n">
        <v>671718.55</v>
      </c>
      <c r="CD6" s="15" t="n">
        <v>1070508.9</v>
      </c>
      <c r="CE6" s="15" t="n">
        <v>377918.36</v>
      </c>
      <c r="CF6" s="15" t="n">
        <v>964507.5</v>
      </c>
      <c r="CG6" s="15" t="n">
        <v>1563009.52</v>
      </c>
      <c r="CH6" s="15" t="n">
        <v>2730792.1</v>
      </c>
      <c r="CI6" s="15" t="n">
        <v>2248610.65</v>
      </c>
      <c r="CJ6" s="15" t="n">
        <v>762356.49</v>
      </c>
      <c r="CK6" s="15" t="n">
        <v>150380.46</v>
      </c>
      <c r="CL6" s="15" t="n">
        <v>595713</v>
      </c>
      <c r="CM6" s="15" t="n">
        <v>1272479.11</v>
      </c>
      <c r="CN6" s="15" t="n">
        <v>2888084.23</v>
      </c>
      <c r="CO6" s="15" t="n">
        <v>647493.3199999999</v>
      </c>
      <c r="CP6" s="15" t="n">
        <v>26937.6</v>
      </c>
      <c r="CQ6" s="15" t="n">
        <v>164575.2</v>
      </c>
      <c r="CR6" s="15" t="n">
        <v>-67121.14</v>
      </c>
      <c r="CS6" s="15" t="n">
        <v>2943284.26</v>
      </c>
      <c r="CT6" s="15" t="n">
        <v>3793253.01</v>
      </c>
      <c r="CU6" s="15" t="n">
        <v>474448.39</v>
      </c>
      <c r="CV6" s="15" t="n">
        <v>672590.09</v>
      </c>
      <c r="CW6" s="15" t="n">
        <v>390724.43</v>
      </c>
      <c r="CX6" s="15" t="n">
        <v>18579.17</v>
      </c>
      <c r="CY6" s="15" t="n">
        <v>166939.15</v>
      </c>
      <c r="CZ6" s="15" t="n">
        <v>979846.47</v>
      </c>
      <c r="DA6" s="15" t="n">
        <v>188051.16</v>
      </c>
      <c r="DB6" s="15" t="n">
        <v>631114.24</v>
      </c>
      <c r="DC6" s="15" t="n">
        <v>398683.24</v>
      </c>
      <c r="DD6" s="15" t="n">
        <v>344013.7</v>
      </c>
      <c r="DE6" s="15" t="n">
        <v>294282.87</v>
      </c>
      <c r="DF6" s="15" t="n">
        <v>1326563.5</v>
      </c>
      <c r="DG6" s="15" t="n">
        <v>1632716.98</v>
      </c>
      <c r="DH6" s="15" t="n">
        <v>282141.04</v>
      </c>
      <c r="DI6" s="15" t="n">
        <v>54208.83</v>
      </c>
      <c r="DJ6" s="15" t="n">
        <v>427005.44</v>
      </c>
      <c r="DK6" s="15" t="n">
        <v>2671466.05</v>
      </c>
      <c r="DL6" s="15" t="n">
        <v>328811.76</v>
      </c>
      <c r="DM6" s="15" t="n">
        <v>240555.39</v>
      </c>
      <c r="DN6" s="15" t="n">
        <v>208359.07</v>
      </c>
      <c r="DO6" s="15" t="n">
        <v>294107</v>
      </c>
      <c r="DP6" s="15" t="n">
        <v>1014332.26</v>
      </c>
    </row>
    <row r="7">
      <c r="A7" s="4" t="inlineStr">
        <is>
          <t>气动元件</t>
        </is>
      </c>
      <c r="B7" s="15" t="n">
        <v>2864985.96</v>
      </c>
      <c r="C7" s="15" t="n">
        <v>1882356.63</v>
      </c>
      <c r="D7" s="15" t="n">
        <v>1401685.73</v>
      </c>
      <c r="E7" s="15" t="n">
        <v>248915.81</v>
      </c>
      <c r="F7" s="15" t="n">
        <v>667832.75</v>
      </c>
      <c r="G7" s="15" t="n">
        <v>759100.6800000001</v>
      </c>
      <c r="H7" s="15" t="n">
        <v>312406.17</v>
      </c>
      <c r="I7" s="15" t="n">
        <v>811332.48</v>
      </c>
      <c r="J7" s="15" t="n">
        <v>940606.95</v>
      </c>
      <c r="K7" s="15" t="n">
        <v>300251.67</v>
      </c>
      <c r="L7" s="15" t="n">
        <v>885821.21</v>
      </c>
      <c r="M7" s="15" t="n">
        <v>1885417.52</v>
      </c>
      <c r="N7" s="15" t="n">
        <v>3667879.35</v>
      </c>
      <c r="O7" s="15" t="n">
        <v>188103.04</v>
      </c>
      <c r="P7" s="15" t="n">
        <v>1264240.24</v>
      </c>
      <c r="Q7" s="15" t="n">
        <v>94695.39999999999</v>
      </c>
      <c r="R7" s="15" t="n">
        <v>915369.47</v>
      </c>
      <c r="S7" s="15" t="n">
        <v>2622957.56</v>
      </c>
      <c r="T7" s="15" t="n">
        <v>1416107.06</v>
      </c>
      <c r="U7" s="15" t="n">
        <v>1060476.75</v>
      </c>
      <c r="V7" s="15" t="n">
        <v>1058438.95</v>
      </c>
      <c r="W7" s="15" t="n">
        <v>205918.94</v>
      </c>
      <c r="X7" s="15" t="n">
        <v>663209.4399999999</v>
      </c>
      <c r="Y7" s="15" t="n">
        <v>2717994.76</v>
      </c>
      <c r="Z7" s="15" t="n">
        <v>493385.51</v>
      </c>
      <c r="AA7" s="15" t="n">
        <v>95425.42</v>
      </c>
      <c r="AB7" s="15" t="n">
        <v>938959.4300000001</v>
      </c>
      <c r="AC7" s="15" t="n">
        <v>159666.01</v>
      </c>
      <c r="AD7" s="15" t="n">
        <v>-13477.1</v>
      </c>
      <c r="AE7" s="15" t="n">
        <v>2456172.21</v>
      </c>
      <c r="AF7" s="15" t="n">
        <v>3451897.58</v>
      </c>
      <c r="AG7" s="15" t="n">
        <v>161842.16</v>
      </c>
      <c r="AH7" s="15" t="n">
        <v>472520.3</v>
      </c>
      <c r="AI7" s="15" t="n">
        <v>20089.88</v>
      </c>
      <c r="AJ7" s="15" t="n">
        <v>62057.14</v>
      </c>
      <c r="AK7" s="15" t="n">
        <v>268160.47</v>
      </c>
      <c r="AL7" s="15" t="n">
        <v>3037774.77</v>
      </c>
      <c r="AM7" s="15" t="n">
        <v>2029673.89</v>
      </c>
      <c r="AN7" s="15" t="n">
        <v>1271488.73</v>
      </c>
      <c r="AO7" s="15" t="n">
        <v>10307.22</v>
      </c>
      <c r="AP7" s="15" t="n">
        <v>6530.84</v>
      </c>
      <c r="AQ7" s="15" t="n">
        <v>2528969.3</v>
      </c>
      <c r="AR7" s="15" t="n">
        <v>3121818.31</v>
      </c>
      <c r="AS7" s="15" t="n">
        <v>2262230.99</v>
      </c>
      <c r="AT7" s="15" t="n">
        <v>1425691.57</v>
      </c>
      <c r="AU7" s="15" t="n">
        <v>309322.3</v>
      </c>
      <c r="AV7" s="15" t="n">
        <v>184314.73</v>
      </c>
      <c r="AW7" s="15" t="n">
        <v>2407066.29</v>
      </c>
      <c r="AX7" s="15" t="n">
        <v>3244510.17</v>
      </c>
      <c r="AY7" s="15" t="n">
        <v>2023291.47</v>
      </c>
      <c r="AZ7" s="15" t="n">
        <v>1404285.36</v>
      </c>
      <c r="BA7" s="15" t="n">
        <v>282975.94</v>
      </c>
      <c r="BB7" s="15" t="n">
        <v>780837.02</v>
      </c>
      <c r="BC7" s="15" t="n">
        <v>1630630.11</v>
      </c>
      <c r="BD7" s="15" t="n">
        <v>480650.88</v>
      </c>
      <c r="BE7" s="15" t="n">
        <v>137707.76</v>
      </c>
      <c r="BF7" s="15" t="n">
        <v>1242682.01</v>
      </c>
      <c r="BG7" s="15" t="n">
        <v>337585.85</v>
      </c>
      <c r="BH7" s="15" t="n">
        <v>211518.19</v>
      </c>
      <c r="BI7" s="15" t="n">
        <v>1832462.49</v>
      </c>
      <c r="BJ7" s="15" t="n">
        <v>1113359.38</v>
      </c>
      <c r="BK7" s="15" t="n">
        <v>1379324.01</v>
      </c>
      <c r="BL7" s="15" t="n">
        <v>574196.72</v>
      </c>
      <c r="BM7" s="15" t="n">
        <v>329528.96</v>
      </c>
      <c r="BN7" s="15" t="n">
        <v>-144285.37</v>
      </c>
      <c r="BO7" s="15" t="n">
        <v>2196807.76</v>
      </c>
      <c r="BP7" s="15" t="n">
        <v>3410605.31</v>
      </c>
      <c r="BQ7" s="15" t="n">
        <v>829845.3199999999</v>
      </c>
      <c r="BR7" s="15" t="n">
        <v>1455351.76</v>
      </c>
      <c r="BS7" s="15" t="n">
        <v>204588.88</v>
      </c>
      <c r="BT7" s="15" t="n">
        <v>403000.44</v>
      </c>
      <c r="BU7" s="15" t="n">
        <v>477020.4</v>
      </c>
      <c r="BV7" s="15" t="n">
        <v>3783085.03</v>
      </c>
      <c r="BW7" s="15" t="n">
        <v>664872.48</v>
      </c>
      <c r="BX7" s="15" t="n">
        <v>647025.62</v>
      </c>
      <c r="BY7" s="15" t="n">
        <v>240895.44</v>
      </c>
      <c r="BZ7" s="15" t="n">
        <v>139796.47</v>
      </c>
      <c r="CA7" s="15" t="n">
        <v>2002793.24</v>
      </c>
      <c r="CB7" s="15" t="n">
        <v>2221817.59</v>
      </c>
      <c r="CC7" s="15" t="n">
        <v>2007428.72</v>
      </c>
      <c r="CD7" s="15" t="n">
        <v>921253.78</v>
      </c>
      <c r="CE7" s="15" t="n">
        <v>23923.66</v>
      </c>
      <c r="CF7" s="15" t="n">
        <v>190732.55</v>
      </c>
      <c r="CG7" s="15" t="n">
        <v>1971906.66</v>
      </c>
      <c r="CH7" s="15" t="n">
        <v>1154784.06</v>
      </c>
      <c r="CI7" s="15" t="n">
        <v>765475.48</v>
      </c>
      <c r="CJ7" s="15" t="n">
        <v>1069606.45</v>
      </c>
      <c r="CK7" s="15" t="n">
        <v>265906.7</v>
      </c>
      <c r="CL7" s="15" t="n">
        <v>234884</v>
      </c>
      <c r="CM7" s="15" t="n">
        <v>1190095.92</v>
      </c>
      <c r="CN7" s="15" t="n">
        <v>3725257.84</v>
      </c>
      <c r="CO7" s="15" t="n">
        <v>2392503.94</v>
      </c>
      <c r="CP7" s="15" t="n">
        <v>717811.15</v>
      </c>
      <c r="CQ7" s="15" t="n">
        <v>176982.75</v>
      </c>
      <c r="CR7" s="15" t="n">
        <v>270026.64</v>
      </c>
      <c r="CS7" s="15" t="n">
        <v>661516.47</v>
      </c>
      <c r="CT7" s="15" t="n">
        <v>3063495.2</v>
      </c>
      <c r="CU7" s="15" t="n">
        <v>1303154.26</v>
      </c>
      <c r="CV7" s="15" t="n">
        <v>735356.74</v>
      </c>
      <c r="CW7" s="15" t="n">
        <v>303077.72</v>
      </c>
      <c r="CX7" s="15" t="n">
        <v>662554.79</v>
      </c>
      <c r="CY7" s="15" t="n">
        <v>2817838.35</v>
      </c>
      <c r="CZ7" s="15" t="n">
        <v>3241174.67</v>
      </c>
      <c r="DA7" s="15" t="n">
        <v>507230.57</v>
      </c>
      <c r="DB7" s="15" t="n">
        <v>167630.33</v>
      </c>
      <c r="DC7" s="15" t="n">
        <v>375756.71</v>
      </c>
      <c r="DD7" s="15" t="n">
        <v>1155380.62</v>
      </c>
      <c r="DE7" s="15" t="n">
        <v>1617477.38</v>
      </c>
      <c r="DF7" s="15" t="n">
        <v>2135790.66</v>
      </c>
      <c r="DG7" s="15" t="n">
        <v>1529794.69</v>
      </c>
      <c r="DH7" s="15" t="n">
        <v>211565.05</v>
      </c>
      <c r="DI7" s="15" t="n">
        <v>395777.57</v>
      </c>
      <c r="DJ7" s="15" t="n">
        <v>754322.65</v>
      </c>
      <c r="DK7" s="15" t="n">
        <v>1241018.74</v>
      </c>
      <c r="DL7" s="15" t="n">
        <v>2113510.37</v>
      </c>
      <c r="DM7" s="15" t="n">
        <v>1417923.12</v>
      </c>
      <c r="DN7" s="15" t="n">
        <v>38689.48</v>
      </c>
      <c r="DO7" s="15" t="n">
        <v>386706.11</v>
      </c>
      <c r="DP7" s="15" t="n">
        <v>1148224.81</v>
      </c>
    </row>
    <row r="8">
      <c r="A8" s="4" t="inlineStr">
        <is>
          <t>模具</t>
        </is>
      </c>
      <c r="B8" s="15" t="n">
        <v>1598688.38</v>
      </c>
      <c r="C8" s="15" t="n">
        <v>1479780.73</v>
      </c>
      <c r="D8" s="15" t="n">
        <v>722448.77</v>
      </c>
      <c r="E8" s="15" t="n">
        <v>160129.12</v>
      </c>
      <c r="F8" s="15" t="n">
        <v>4505.19</v>
      </c>
      <c r="G8" s="15" t="n">
        <v>1287760.28</v>
      </c>
      <c r="H8" s="15" t="n">
        <v>617453.74</v>
      </c>
      <c r="I8" s="15" t="n">
        <v>1739465.17</v>
      </c>
      <c r="J8" s="15" t="n">
        <v>648043.71</v>
      </c>
      <c r="K8" s="15" t="n">
        <v>11088.17</v>
      </c>
      <c r="L8" s="15" t="n">
        <v>97911.73</v>
      </c>
      <c r="M8" s="15" t="n">
        <v>1935452.26</v>
      </c>
      <c r="N8" s="15" t="n">
        <v>579700.87</v>
      </c>
      <c r="O8" s="15" t="n">
        <v>1948213</v>
      </c>
      <c r="P8" s="15" t="n">
        <v>649632.6800000001</v>
      </c>
      <c r="Q8" s="15" t="n">
        <v>222969.52</v>
      </c>
      <c r="R8" s="15" t="n">
        <v>1087785.75</v>
      </c>
      <c r="S8" s="15" t="n">
        <v>3193483.05</v>
      </c>
      <c r="T8" s="15" t="n">
        <v>2726480.91</v>
      </c>
      <c r="U8" s="15" t="n">
        <v>1184290.84</v>
      </c>
      <c r="V8" s="15" t="n">
        <v>88820.92</v>
      </c>
      <c r="W8" s="15" t="n">
        <v>163166.94</v>
      </c>
      <c r="X8" s="15" t="n">
        <v>354731.33</v>
      </c>
      <c r="Y8" s="15" t="n">
        <v>2695690.88</v>
      </c>
      <c r="Z8" s="15" t="n">
        <v>3004365.16</v>
      </c>
      <c r="AA8" s="15" t="n">
        <v>1980215.16</v>
      </c>
      <c r="AB8" s="15" t="n">
        <v>483838.19</v>
      </c>
      <c r="AC8" s="15" t="n">
        <v>69989.74000000001</v>
      </c>
      <c r="AD8" s="15" t="n">
        <v>1059710.49</v>
      </c>
      <c r="AE8" s="15" t="n">
        <v>2641352.45</v>
      </c>
      <c r="AF8" s="15" t="n">
        <v>2029182.17</v>
      </c>
      <c r="AG8" s="15" t="n">
        <v>358785.93</v>
      </c>
      <c r="AH8" s="15" t="n">
        <v>153391.32</v>
      </c>
      <c r="AI8" s="15" t="n">
        <v>375622.13</v>
      </c>
      <c r="AJ8" s="15" t="n">
        <v>278313.58</v>
      </c>
      <c r="AK8" s="15" t="n">
        <v>921747.46</v>
      </c>
      <c r="AL8" s="15" t="n">
        <v>3847213.92</v>
      </c>
      <c r="AM8" s="15" t="n">
        <v>848156.92</v>
      </c>
      <c r="AN8" s="15" t="n">
        <v>557048.61</v>
      </c>
      <c r="AO8" s="15" t="n">
        <v>299166.45</v>
      </c>
      <c r="AP8" s="15" t="n">
        <v>970353.5600000001</v>
      </c>
      <c r="AQ8" s="15" t="n">
        <v>66156.50999999999</v>
      </c>
      <c r="AR8" s="15" t="n">
        <v>1338434.02</v>
      </c>
      <c r="AS8" s="15" t="n">
        <v>2016429.73</v>
      </c>
      <c r="AT8" s="15" t="n">
        <v>1342894.17</v>
      </c>
      <c r="AU8" s="15" t="n">
        <v>129088.72</v>
      </c>
      <c r="AV8" s="15" t="n">
        <v>371051.36</v>
      </c>
      <c r="AW8" s="15" t="n">
        <v>260059.12</v>
      </c>
      <c r="AX8" s="15" t="n">
        <v>784631</v>
      </c>
      <c r="AY8" s="15" t="n">
        <v>899342.9399999999</v>
      </c>
      <c r="AZ8" s="15" t="n">
        <v>1361172.21</v>
      </c>
      <c r="BA8" s="15" t="n">
        <v>141075.85</v>
      </c>
      <c r="BB8" s="15" t="n">
        <v>44270.32</v>
      </c>
      <c r="BC8" s="15" t="n">
        <v>2026939.77</v>
      </c>
      <c r="BD8" s="15" t="n">
        <v>3640115.27</v>
      </c>
      <c r="BE8" s="15" t="n">
        <v>2157965.26</v>
      </c>
      <c r="BF8" s="15" t="n">
        <v>539445.39</v>
      </c>
      <c r="BG8" s="15" t="n">
        <v>308876.49</v>
      </c>
      <c r="BH8" s="15" t="n">
        <v>96248.23</v>
      </c>
      <c r="BI8" s="15" t="n">
        <v>437268.74</v>
      </c>
      <c r="BJ8" s="15" t="n">
        <v>1147004.81</v>
      </c>
      <c r="BK8" s="15" t="n">
        <v>2208410.94</v>
      </c>
      <c r="BL8" s="15" t="n">
        <v>42386.7</v>
      </c>
      <c r="BM8" s="15" t="n">
        <v>248146.87</v>
      </c>
      <c r="BN8" s="15" t="n">
        <v>967876.6</v>
      </c>
      <c r="BO8" s="15" t="n">
        <v>785077.84</v>
      </c>
      <c r="BP8" s="15" t="n">
        <v>2682416.05</v>
      </c>
      <c r="BQ8" s="15" t="n">
        <v>617655.34</v>
      </c>
      <c r="BR8" s="15" t="n">
        <v>216970.6</v>
      </c>
      <c r="BS8" s="15" t="n">
        <v>289388.76</v>
      </c>
      <c r="BT8" s="15" t="n">
        <v>8068.19</v>
      </c>
      <c r="BU8" s="15" t="n">
        <v>1959810.96</v>
      </c>
      <c r="BV8" s="15" t="n">
        <v>3542110.9</v>
      </c>
      <c r="BW8" s="15" t="n">
        <v>2215031.2</v>
      </c>
      <c r="BX8" s="15" t="n">
        <v>932585.13</v>
      </c>
      <c r="BY8" s="15" t="n">
        <v>367235.54</v>
      </c>
      <c r="BZ8" s="15" t="n">
        <v>1049184.02</v>
      </c>
      <c r="CA8" s="15" t="n">
        <v>773428.4</v>
      </c>
      <c r="CB8" s="15" t="n">
        <v>507291.2</v>
      </c>
      <c r="CC8" s="15" t="n">
        <v>1963434.71</v>
      </c>
      <c r="CD8" s="15" t="n">
        <v>1455497.07</v>
      </c>
      <c r="CE8" s="15" t="n">
        <v>259144.69</v>
      </c>
      <c r="CF8" s="15" t="n">
        <v>-57857.42</v>
      </c>
      <c r="CG8" s="15" t="n">
        <v>2767607.04</v>
      </c>
      <c r="CH8" s="15" t="n">
        <v>3245186.52</v>
      </c>
      <c r="CI8" s="15" t="n">
        <v>1313960.37</v>
      </c>
      <c r="CJ8" s="15" t="n">
        <v>1267388.66</v>
      </c>
      <c r="CK8" s="15" t="n">
        <v>208701.53</v>
      </c>
      <c r="CL8" s="15" t="n">
        <v>200725.29</v>
      </c>
      <c r="CM8" s="15" t="n">
        <v>2908144.32</v>
      </c>
      <c r="CN8" s="15" t="n">
        <v>3443827.11</v>
      </c>
      <c r="CO8" s="15" t="n">
        <v>1649509.55</v>
      </c>
      <c r="CP8" s="15" t="n">
        <v>1022117.41</v>
      </c>
      <c r="CQ8" s="15" t="n">
        <v>351372.74</v>
      </c>
      <c r="CR8" s="15" t="n">
        <v>495130.28</v>
      </c>
      <c r="CS8" s="15" t="n">
        <v>2453817.33</v>
      </c>
      <c r="CT8" s="15" t="n">
        <v>672431.28</v>
      </c>
      <c r="CU8" s="15" t="n">
        <v>2103344.17</v>
      </c>
      <c r="CV8" s="15" t="n">
        <v>87489.75999999999</v>
      </c>
      <c r="CW8" s="15" t="n">
        <v>66246.3</v>
      </c>
      <c r="CX8" s="15" t="n">
        <v>1102039.57</v>
      </c>
      <c r="CY8" s="15" t="n">
        <v>1403335.72</v>
      </c>
      <c r="CZ8" s="15" t="n">
        <v>2161142.41</v>
      </c>
      <c r="DA8" s="15" t="n">
        <v>584458.3100000001</v>
      </c>
      <c r="DB8" s="15" t="n">
        <v>359745.04</v>
      </c>
      <c r="DC8" s="15" t="n">
        <v>252101.86</v>
      </c>
      <c r="DD8" s="15" t="n">
        <v>609555.38</v>
      </c>
      <c r="DE8" s="15" t="n">
        <v>2201045.19</v>
      </c>
      <c r="DF8" s="15" t="n">
        <v>3003695.93</v>
      </c>
      <c r="DG8" s="15" t="n">
        <v>238065.96</v>
      </c>
      <c r="DH8" s="15" t="n">
        <v>188734.06</v>
      </c>
      <c r="DI8" s="15" t="n">
        <v>14073.09</v>
      </c>
      <c r="DJ8" s="15" t="n">
        <v>-102016.86</v>
      </c>
      <c r="DK8" s="15" t="n">
        <v>2199824.06</v>
      </c>
      <c r="DL8" s="15" t="n">
        <v>1580836.05</v>
      </c>
      <c r="DM8" s="15" t="n">
        <v>2074284.15</v>
      </c>
      <c r="DN8" s="15" t="n">
        <v>273597.78</v>
      </c>
      <c r="DO8" s="15" t="n">
        <v>168092.76</v>
      </c>
      <c r="DP8" s="15" t="n">
        <v>1190996.13</v>
      </c>
    </row>
    <row r="9">
      <c r="A9" s="4" t="inlineStr">
        <is>
          <t>工装夹具</t>
        </is>
      </c>
      <c r="B9" s="15" t="n">
        <v>2115727.69</v>
      </c>
      <c r="C9" s="15" t="n">
        <v>1498130.43</v>
      </c>
      <c r="D9" s="15" t="n">
        <v>1291963.64</v>
      </c>
      <c r="E9" s="15" t="n">
        <v>325821.2</v>
      </c>
      <c r="F9" s="15" t="n">
        <v>763824.46</v>
      </c>
      <c r="G9" s="15" t="n">
        <v>1198046.25</v>
      </c>
      <c r="H9" s="15" t="n">
        <v>1936007.83</v>
      </c>
      <c r="I9" s="15" t="n">
        <v>2335093.66</v>
      </c>
      <c r="J9" s="15" t="n">
        <v>1245662.19</v>
      </c>
      <c r="K9" s="15" t="n">
        <v>349409.73</v>
      </c>
      <c r="L9" s="15" t="n">
        <v>1018904.82</v>
      </c>
      <c r="M9" s="15" t="n">
        <v>1371748.09</v>
      </c>
      <c r="N9" s="15" t="n">
        <v>3087598.82</v>
      </c>
      <c r="O9" s="15" t="n">
        <v>754794.05</v>
      </c>
      <c r="P9" s="15" t="n">
        <v>843922.6800000001</v>
      </c>
      <c r="Q9" s="15" t="n">
        <v>217009.09</v>
      </c>
      <c r="R9" s="15" t="n">
        <v>105773.48</v>
      </c>
      <c r="S9" s="15" t="n">
        <v>2438564.79</v>
      </c>
      <c r="T9" s="15" t="n">
        <v>2016442.39</v>
      </c>
      <c r="U9" s="15" t="n">
        <v>1521448.66</v>
      </c>
      <c r="V9" s="15" t="n">
        <v>514274.47</v>
      </c>
      <c r="W9" s="15" t="n">
        <v>123807.64</v>
      </c>
      <c r="X9" s="15" t="n">
        <v>92524</v>
      </c>
      <c r="Y9" s="15" t="n">
        <v>2069141.39</v>
      </c>
      <c r="Z9" s="15" t="n">
        <v>874188.48</v>
      </c>
      <c r="AA9" s="15" t="n">
        <v>322608.01</v>
      </c>
      <c r="AB9" s="15" t="n">
        <v>1440073.53</v>
      </c>
      <c r="AC9" s="15" t="n">
        <v>388238.92</v>
      </c>
      <c r="AD9" s="15" t="n">
        <v>764206.13</v>
      </c>
      <c r="AE9" s="15" t="n">
        <v>2438664.05</v>
      </c>
      <c r="AF9" s="15" t="n">
        <v>2249871.28</v>
      </c>
      <c r="AG9" s="15" t="n">
        <v>826791.1899999999</v>
      </c>
      <c r="AH9" s="15" t="n">
        <v>1576089.32</v>
      </c>
      <c r="AI9" s="15" t="n">
        <v>106692.01</v>
      </c>
      <c r="AJ9" s="15" t="n">
        <v>337111.78</v>
      </c>
      <c r="AK9" s="15" t="n">
        <v>1801403.36</v>
      </c>
      <c r="AL9" s="15" t="n">
        <v>2146888.05</v>
      </c>
      <c r="AM9" s="15" t="n">
        <v>1249364.95</v>
      </c>
      <c r="AN9" s="15" t="n">
        <v>763215.6899999999</v>
      </c>
      <c r="AO9" s="15" t="n">
        <v>10789.22</v>
      </c>
      <c r="AP9" s="15" t="n">
        <v>196314.27</v>
      </c>
      <c r="AQ9" s="15" t="n">
        <v>1308082.9</v>
      </c>
      <c r="AR9" s="15" t="n">
        <v>1785780.85</v>
      </c>
      <c r="AS9" s="15" t="n">
        <v>2200272.15</v>
      </c>
      <c r="AT9" s="15" t="n">
        <v>1138408.63</v>
      </c>
      <c r="AU9" s="15" t="n">
        <v>216652.55</v>
      </c>
      <c r="AV9" s="15" t="n">
        <v>574856.47</v>
      </c>
      <c r="AW9" s="15" t="n">
        <v>3105508.83</v>
      </c>
      <c r="AX9" s="15" t="n">
        <v>1252974.05</v>
      </c>
      <c r="AY9" s="15" t="n">
        <v>1710321.27</v>
      </c>
      <c r="AZ9" s="15" t="n">
        <v>1327228.29</v>
      </c>
      <c r="BA9" s="15" t="n">
        <v>183124.47</v>
      </c>
      <c r="BB9" s="15" t="n">
        <v>823224.14</v>
      </c>
      <c r="BC9" s="15" t="n">
        <v>469741.72</v>
      </c>
      <c r="BD9" s="15" t="n">
        <v>2533013.58</v>
      </c>
      <c r="BE9" s="15" t="n">
        <v>785130.77</v>
      </c>
      <c r="BF9" s="15" t="n">
        <v>130452.25</v>
      </c>
      <c r="BG9" s="15" t="n">
        <v>338065.53</v>
      </c>
      <c r="BH9" s="15" t="n">
        <v>132601.46</v>
      </c>
      <c r="BI9" s="15" t="n">
        <v>2921854.83</v>
      </c>
      <c r="BJ9" s="15" t="n">
        <v>2257345.7</v>
      </c>
      <c r="BK9" s="15" t="n">
        <v>1469024.88</v>
      </c>
      <c r="BL9" s="15" t="n">
        <v>178713.16</v>
      </c>
      <c r="BM9" s="15" t="n">
        <v>312637.15</v>
      </c>
      <c r="BN9" s="15" t="n">
        <v>804713.17</v>
      </c>
      <c r="BO9" s="15" t="n">
        <v>1306271.33</v>
      </c>
      <c r="BP9" s="15" t="n">
        <v>453504.6</v>
      </c>
      <c r="BQ9" s="15" t="n">
        <v>1588183.14</v>
      </c>
      <c r="BR9" s="15" t="n">
        <v>777531.26</v>
      </c>
      <c r="BS9" s="15" t="n">
        <v>123849.43</v>
      </c>
      <c r="BT9" s="15" t="n">
        <v>1061929.96</v>
      </c>
      <c r="BU9" s="15" t="n">
        <v>321777.68</v>
      </c>
      <c r="BV9" s="15" t="n">
        <v>3178180.87</v>
      </c>
      <c r="BW9" s="15" t="n">
        <v>667347.6</v>
      </c>
      <c r="BX9" s="15" t="n">
        <v>22007.55</v>
      </c>
      <c r="BY9" s="15" t="n">
        <v>329063.15</v>
      </c>
      <c r="BZ9" s="15" t="n">
        <v>-139293.65</v>
      </c>
      <c r="CA9" s="15" t="n">
        <v>1279794.95</v>
      </c>
      <c r="CB9" s="15" t="n">
        <v>1167262.76</v>
      </c>
      <c r="CC9" s="15" t="n">
        <v>721038.63</v>
      </c>
      <c r="CD9" s="15" t="n">
        <v>241461.2</v>
      </c>
      <c r="CE9" s="15" t="n">
        <v>317073.84</v>
      </c>
      <c r="CF9" s="15" t="n">
        <v>652603.2</v>
      </c>
      <c r="CG9" s="15" t="n">
        <v>2984787.82</v>
      </c>
      <c r="CH9" s="15" t="n">
        <v>1461906.71</v>
      </c>
      <c r="CI9" s="15" t="n">
        <v>1133120.64</v>
      </c>
      <c r="CJ9" s="15" t="n">
        <v>445613.96</v>
      </c>
      <c r="CK9" s="15" t="n">
        <v>88258.74000000001</v>
      </c>
      <c r="CL9" s="15" t="n">
        <v>-65986.55</v>
      </c>
      <c r="CM9" s="15" t="n">
        <v>2559304.63</v>
      </c>
      <c r="CN9" s="15" t="n">
        <v>3412799.07</v>
      </c>
      <c r="CO9" s="15" t="n">
        <v>275402.38</v>
      </c>
      <c r="CP9" s="15" t="n">
        <v>210011.3</v>
      </c>
      <c r="CQ9" s="15" t="n">
        <v>341706.97</v>
      </c>
      <c r="CR9" s="15" t="n">
        <v>148423.04</v>
      </c>
      <c r="CS9" s="15" t="n">
        <v>2631405.03</v>
      </c>
      <c r="CT9" s="15" t="n">
        <v>3557682.9</v>
      </c>
      <c r="CU9" s="15" t="n">
        <v>1895474.84</v>
      </c>
      <c r="CV9" s="15" t="n">
        <v>1493613.63</v>
      </c>
      <c r="CW9" s="15" t="n">
        <v>72534.03999999999</v>
      </c>
      <c r="CX9" s="15" t="n">
        <v>427705.02</v>
      </c>
      <c r="CY9" s="15" t="n">
        <v>1993468.26</v>
      </c>
      <c r="CZ9" s="15" t="n">
        <v>191682.44</v>
      </c>
      <c r="DA9" s="15" t="n">
        <v>107154.09</v>
      </c>
      <c r="DB9" s="15" t="n">
        <v>88401.64999999999</v>
      </c>
      <c r="DC9" s="15" t="n">
        <v>88760.56</v>
      </c>
      <c r="DD9" s="15" t="n">
        <v>701125.78</v>
      </c>
      <c r="DE9" s="15" t="n">
        <v>773634.8199999999</v>
      </c>
      <c r="DF9" s="15" t="n">
        <v>1261989.48</v>
      </c>
      <c r="DG9" s="15" t="n">
        <v>1458377.59</v>
      </c>
      <c r="DH9" s="15" t="n">
        <v>593045.78</v>
      </c>
      <c r="DI9" s="15" t="n">
        <v>286884.22</v>
      </c>
      <c r="DJ9" s="15" t="n">
        <v>793381.66</v>
      </c>
      <c r="DK9" s="15" t="n">
        <v>2615835.15</v>
      </c>
      <c r="DL9" s="15" t="n">
        <v>2890409.34</v>
      </c>
      <c r="DM9" s="15" t="n">
        <v>1522466.2</v>
      </c>
      <c r="DN9" s="15" t="n">
        <v>1178120.18</v>
      </c>
      <c r="DO9" s="15" t="n">
        <v>213209.23</v>
      </c>
      <c r="DP9" s="15" t="n">
        <v>-34444.4</v>
      </c>
    </row>
    <row r="10">
      <c r="A10" s="4" t="inlineStr">
        <is>
          <t>其他产品A</t>
        </is>
      </c>
      <c r="B10" s="15" t="n">
        <v>3735758.57</v>
      </c>
      <c r="C10" s="15" t="n">
        <v>1251601.6</v>
      </c>
      <c r="D10" s="15" t="n">
        <v>101040.76</v>
      </c>
      <c r="E10" s="15" t="n">
        <v>286537.44</v>
      </c>
      <c r="F10" s="15" t="n">
        <v>1105324.62</v>
      </c>
      <c r="G10" s="15" t="n">
        <v>2831992.58</v>
      </c>
      <c r="H10" s="15" t="n">
        <v>533166.1899999999</v>
      </c>
      <c r="I10" s="15" t="n">
        <v>1394961.15</v>
      </c>
      <c r="J10" s="15" t="n">
        <v>259059.08</v>
      </c>
      <c r="K10" s="15" t="n">
        <v>245945.74</v>
      </c>
      <c r="L10" s="15" t="n">
        <v>135596.52</v>
      </c>
      <c r="M10" s="15" t="n">
        <v>1434761.09</v>
      </c>
      <c r="N10" s="15" t="n">
        <v>3679781.9</v>
      </c>
      <c r="O10" s="15" t="n">
        <v>1259207.26</v>
      </c>
      <c r="P10" s="15" t="n">
        <v>793814.02</v>
      </c>
      <c r="Q10" s="15" t="n">
        <v>121078.69</v>
      </c>
      <c r="R10" s="15" t="n">
        <v>1019780.21</v>
      </c>
      <c r="S10" s="15" t="n">
        <v>3051284.89</v>
      </c>
      <c r="T10" s="15" t="n">
        <v>905771.91</v>
      </c>
      <c r="U10" s="15" t="n">
        <v>324418.57</v>
      </c>
      <c r="V10" s="15" t="n">
        <v>281128.54</v>
      </c>
      <c r="W10" s="15" t="n">
        <v>97811.82000000001</v>
      </c>
      <c r="X10" s="15" t="n">
        <v>658831.45</v>
      </c>
      <c r="Y10" s="15" t="n">
        <v>892025.25</v>
      </c>
      <c r="Z10" s="15" t="n">
        <v>240552.36</v>
      </c>
      <c r="AA10" s="15" t="n">
        <v>2117359.16</v>
      </c>
      <c r="AB10" s="15" t="n">
        <v>37827.64</v>
      </c>
      <c r="AC10" s="15" t="n">
        <v>184583.83</v>
      </c>
      <c r="AD10" s="15" t="n">
        <v>772636.76</v>
      </c>
      <c r="AE10" s="15" t="n">
        <v>3139037.56</v>
      </c>
      <c r="AF10" s="15" t="n">
        <v>2948796.47</v>
      </c>
      <c r="AG10" s="15" t="n">
        <v>2113946.39</v>
      </c>
      <c r="AH10" s="15" t="n">
        <v>1406577.4</v>
      </c>
      <c r="AI10" s="15" t="n">
        <v>213941.28</v>
      </c>
      <c r="AJ10" s="15" t="n">
        <v>924675.9</v>
      </c>
      <c r="AK10" s="15" t="n">
        <v>1806284.93</v>
      </c>
      <c r="AL10" s="15" t="n">
        <v>1293843.51</v>
      </c>
      <c r="AM10" s="15" t="n">
        <v>1157200.01</v>
      </c>
      <c r="AN10" s="15" t="n">
        <v>1375868.23</v>
      </c>
      <c r="AO10" s="15" t="n">
        <v>108288.62</v>
      </c>
      <c r="AP10" s="15" t="n">
        <v>464297.93</v>
      </c>
      <c r="AQ10" s="15" t="n">
        <v>757620.7</v>
      </c>
      <c r="AR10" s="15" t="n">
        <v>1589184.06</v>
      </c>
      <c r="AS10" s="15" t="n">
        <v>2069845.77</v>
      </c>
      <c r="AT10" s="15" t="n">
        <v>1571511.74</v>
      </c>
      <c r="AU10" s="15" t="n">
        <v>146474.88</v>
      </c>
      <c r="AV10" s="15" t="n">
        <v>-142970.47</v>
      </c>
      <c r="AW10" s="15" t="n">
        <v>2172051.24</v>
      </c>
      <c r="AX10" s="15" t="n">
        <v>1841180.62</v>
      </c>
      <c r="AY10" s="15" t="n">
        <v>2311459.05</v>
      </c>
      <c r="AZ10" s="15" t="n">
        <v>236571.68</v>
      </c>
      <c r="BA10" s="15" t="n">
        <v>343084.47</v>
      </c>
      <c r="BB10" s="15" t="n">
        <v>587489.03</v>
      </c>
      <c r="BC10" s="15" t="n">
        <v>548998.42</v>
      </c>
      <c r="BD10" s="15" t="n">
        <v>3472587.81</v>
      </c>
      <c r="BE10" s="15" t="n">
        <v>473677.65</v>
      </c>
      <c r="BF10" s="15" t="n">
        <v>1104905.22</v>
      </c>
      <c r="BG10" s="15" t="n">
        <v>219196.3</v>
      </c>
      <c r="BH10" s="15" t="n">
        <v>4454.25</v>
      </c>
      <c r="BI10" s="15" t="n">
        <v>2663723.75</v>
      </c>
      <c r="BJ10" s="15" t="n">
        <v>913104.46</v>
      </c>
      <c r="BK10" s="15" t="n">
        <v>2062248.84</v>
      </c>
      <c r="BL10" s="15" t="n">
        <v>673895.5600000001</v>
      </c>
      <c r="BM10" s="15" t="n">
        <v>383687.64</v>
      </c>
      <c r="BN10" s="15" t="n">
        <v>64444.93</v>
      </c>
      <c r="BO10" s="15" t="n">
        <v>1806352.19</v>
      </c>
      <c r="BP10" s="15" t="n">
        <v>1105429.39</v>
      </c>
      <c r="BQ10" s="15" t="n">
        <v>1083736</v>
      </c>
      <c r="BR10" s="15" t="n">
        <v>691832.1</v>
      </c>
      <c r="BS10" s="15" t="n">
        <v>285659.45</v>
      </c>
      <c r="BT10" s="15" t="n">
        <v>133071.47</v>
      </c>
      <c r="BU10" s="15" t="n">
        <v>709986.12</v>
      </c>
      <c r="BV10" s="15" t="n">
        <v>3413911.09</v>
      </c>
      <c r="BW10" s="15" t="n">
        <v>2179641.91</v>
      </c>
      <c r="BX10" s="15" t="n">
        <v>1159525.3</v>
      </c>
      <c r="BY10" s="15" t="n">
        <v>149180.05</v>
      </c>
      <c r="BZ10" s="15" t="n">
        <v>637272.13</v>
      </c>
      <c r="CA10" s="15" t="n">
        <v>2693621.41</v>
      </c>
      <c r="CB10" s="15" t="n">
        <v>2314087.24</v>
      </c>
      <c r="CC10" s="15" t="n">
        <v>1605629.55</v>
      </c>
      <c r="CD10" s="15" t="n">
        <v>74107.45</v>
      </c>
      <c r="CE10" s="15" t="n">
        <v>165700.16</v>
      </c>
      <c r="CF10" s="15" t="n">
        <v>737780.73</v>
      </c>
      <c r="CG10" s="15" t="n">
        <v>1309282.36</v>
      </c>
      <c r="CH10" s="15" t="n">
        <v>3558781.7</v>
      </c>
      <c r="CI10" s="15" t="n">
        <v>1325325.54</v>
      </c>
      <c r="CJ10" s="15" t="n">
        <v>1581842.71</v>
      </c>
      <c r="CK10" s="15" t="n">
        <v>45044.29</v>
      </c>
      <c r="CL10" s="15" t="n">
        <v>115243.02</v>
      </c>
      <c r="CM10" s="15" t="n">
        <v>2113162.23</v>
      </c>
      <c r="CN10" s="15" t="n">
        <v>1117325.68</v>
      </c>
      <c r="CO10" s="15" t="n">
        <v>2396427.96</v>
      </c>
      <c r="CP10" s="15" t="n">
        <v>841344.98</v>
      </c>
      <c r="CQ10" s="15" t="n">
        <v>292985.65</v>
      </c>
      <c r="CR10" s="15" t="n">
        <v>626458.14</v>
      </c>
      <c r="CS10" s="15" t="n">
        <v>3198953.05</v>
      </c>
      <c r="CT10" s="15" t="n">
        <v>438963.59</v>
      </c>
      <c r="CU10" s="15" t="n">
        <v>2321411.86</v>
      </c>
      <c r="CV10" s="15" t="n">
        <v>1057992.95</v>
      </c>
      <c r="CW10" s="15" t="n">
        <v>392727.2</v>
      </c>
      <c r="CX10" s="15" t="n">
        <v>925739.01</v>
      </c>
      <c r="CY10" s="15" t="n">
        <v>1166254.32</v>
      </c>
      <c r="CZ10" s="15" t="n">
        <v>683759.35</v>
      </c>
      <c r="DA10" s="15" t="n">
        <v>662785.24</v>
      </c>
      <c r="DB10" s="15" t="n">
        <v>203469.11</v>
      </c>
      <c r="DC10" s="15" t="n">
        <v>350183.93</v>
      </c>
      <c r="DD10" s="15" t="n">
        <v>859131.61</v>
      </c>
      <c r="DE10" s="15" t="n">
        <v>1530652.46</v>
      </c>
      <c r="DF10" s="15" t="n">
        <v>2754260.6</v>
      </c>
      <c r="DG10" s="15" t="n">
        <v>1162471.01</v>
      </c>
      <c r="DH10" s="15" t="n">
        <v>1136712.68</v>
      </c>
      <c r="DI10" s="15" t="n">
        <v>128316.45</v>
      </c>
      <c r="DJ10" s="15" t="n">
        <v>806037.03</v>
      </c>
      <c r="DK10" s="15" t="n">
        <v>3005464.71</v>
      </c>
      <c r="DL10" s="15" t="n">
        <v>3173995.62</v>
      </c>
      <c r="DM10" s="15" t="n">
        <v>641692.48</v>
      </c>
      <c r="DN10" s="15" t="n">
        <v>1520309.76</v>
      </c>
      <c r="DO10" s="15" t="n">
        <v>45180.21</v>
      </c>
      <c r="DP10" s="15" t="n">
        <v>777444.5</v>
      </c>
    </row>
    <row r="11">
      <c r="A11" s="4" t="inlineStr">
        <is>
          <t>其他产品B</t>
        </is>
      </c>
      <c r="B11" s="15" t="n">
        <v>2928316.69</v>
      </c>
      <c r="C11" s="15" t="n">
        <v>1410711.65</v>
      </c>
      <c r="D11" s="15" t="n">
        <v>1482334.66</v>
      </c>
      <c r="E11" s="15" t="n">
        <v>297340.32</v>
      </c>
      <c r="F11" s="15" t="n">
        <v>955564.14</v>
      </c>
      <c r="G11" s="15" t="n">
        <v>2593154.14</v>
      </c>
      <c r="H11" s="15" t="n">
        <v>2862220.52</v>
      </c>
      <c r="I11" s="15" t="n">
        <v>1395028.38</v>
      </c>
      <c r="J11" s="15" t="n">
        <v>424686.21</v>
      </c>
      <c r="K11" s="15" t="n">
        <v>36714.59</v>
      </c>
      <c r="L11" s="15" t="n">
        <v>175571.75</v>
      </c>
      <c r="M11" s="15" t="n">
        <v>1863462.79</v>
      </c>
      <c r="N11" s="15" t="n">
        <v>853547.58</v>
      </c>
      <c r="O11" s="15" t="n">
        <v>293551.82</v>
      </c>
      <c r="P11" s="15" t="n">
        <v>1224690.81</v>
      </c>
      <c r="Q11" s="15" t="n">
        <v>168764.36</v>
      </c>
      <c r="R11" s="15" t="n">
        <v>1077042.33</v>
      </c>
      <c r="S11" s="15" t="n">
        <v>1299198.42</v>
      </c>
      <c r="T11" s="15" t="n">
        <v>2338706.21</v>
      </c>
      <c r="U11" s="15" t="n">
        <v>464929.85</v>
      </c>
      <c r="V11" s="15" t="n">
        <v>649202.5699999999</v>
      </c>
      <c r="W11" s="15" t="n">
        <v>175646.53</v>
      </c>
      <c r="X11" s="15" t="n">
        <v>509624.42</v>
      </c>
      <c r="Y11" s="15" t="n">
        <v>1594731.82</v>
      </c>
      <c r="Z11" s="15" t="n">
        <v>2306387.65</v>
      </c>
      <c r="AA11" s="15" t="n">
        <v>896789.85</v>
      </c>
      <c r="AB11" s="15" t="n">
        <v>901455.0600000001</v>
      </c>
      <c r="AC11" s="15" t="n">
        <v>36185.82</v>
      </c>
      <c r="AD11" s="15" t="n">
        <v>973490.83</v>
      </c>
      <c r="AE11" s="15" t="n">
        <v>1031764.61</v>
      </c>
      <c r="AF11" s="15" t="n">
        <v>1983262.99</v>
      </c>
      <c r="AG11" s="15" t="n">
        <v>2396283.27</v>
      </c>
      <c r="AH11" s="15" t="n">
        <v>131590.42</v>
      </c>
      <c r="AI11" s="15" t="n">
        <v>143650.03</v>
      </c>
      <c r="AJ11" s="15" t="n">
        <v>893224.48</v>
      </c>
      <c r="AK11" s="15" t="n">
        <v>3187068.53</v>
      </c>
      <c r="AL11" s="15" t="n">
        <v>172068.4</v>
      </c>
      <c r="AM11" s="15" t="n">
        <v>1336251.09</v>
      </c>
      <c r="AN11" s="15" t="n">
        <v>878361.41</v>
      </c>
      <c r="AO11" s="15" t="n">
        <v>124729.81</v>
      </c>
      <c r="AP11" s="15" t="n">
        <v>428000.11</v>
      </c>
      <c r="AQ11" s="15" t="n">
        <v>1604995.45</v>
      </c>
      <c r="AR11" s="15" t="n">
        <v>590687.02</v>
      </c>
      <c r="AS11" s="15" t="n">
        <v>519538.38</v>
      </c>
      <c r="AT11" s="15" t="n">
        <v>977380.46</v>
      </c>
      <c r="AU11" s="15" t="n">
        <v>274394.13</v>
      </c>
      <c r="AV11" s="15" t="n">
        <v>506411.57</v>
      </c>
      <c r="AW11" s="15" t="n">
        <v>1337348.68</v>
      </c>
      <c r="AX11" s="15" t="n">
        <v>1504212.24</v>
      </c>
      <c r="AY11" s="15" t="n">
        <v>112840.89</v>
      </c>
      <c r="AZ11" s="15" t="n">
        <v>164859.35</v>
      </c>
      <c r="BA11" s="15" t="n">
        <v>40143.04</v>
      </c>
      <c r="BB11" s="15" t="n">
        <v>669313.8</v>
      </c>
      <c r="BC11" s="15" t="n">
        <v>1112403.3</v>
      </c>
      <c r="BD11" s="15" t="n">
        <v>2140704.09</v>
      </c>
      <c r="BE11" s="15" t="n">
        <v>48523.56</v>
      </c>
      <c r="BF11" s="15" t="n">
        <v>464365.22</v>
      </c>
      <c r="BG11" s="15" t="n">
        <v>301758.44</v>
      </c>
      <c r="BH11" s="15" t="n">
        <v>401269.48</v>
      </c>
      <c r="BI11" s="15" t="n">
        <v>851494.3</v>
      </c>
      <c r="BJ11" s="15" t="n">
        <v>2504420.39</v>
      </c>
      <c r="BK11" s="15" t="n">
        <v>1831146.89</v>
      </c>
      <c r="BL11" s="15" t="n">
        <v>430292.84</v>
      </c>
      <c r="BM11" s="15" t="n">
        <v>237330.22</v>
      </c>
      <c r="BN11" s="15" t="n">
        <v>-142637.87</v>
      </c>
      <c r="BO11" s="15" t="n">
        <v>71952.23</v>
      </c>
      <c r="BP11" s="15" t="n">
        <v>2926399.16</v>
      </c>
      <c r="BQ11" s="15" t="n">
        <v>2284189.8</v>
      </c>
      <c r="BR11" s="15" t="n">
        <v>170042.11</v>
      </c>
      <c r="BS11" s="15" t="n">
        <v>374037.5</v>
      </c>
      <c r="BT11" s="15" t="n">
        <v>897178.85</v>
      </c>
      <c r="BU11" s="15" t="n">
        <v>2909702.88</v>
      </c>
      <c r="BV11" s="15" t="n">
        <v>1060350</v>
      </c>
      <c r="BW11" s="15" t="n">
        <v>1130553.36</v>
      </c>
      <c r="BX11" s="15" t="n">
        <v>975270.55</v>
      </c>
      <c r="BY11" s="15" t="n">
        <v>130251.54</v>
      </c>
      <c r="BZ11" s="15" t="n">
        <v>695223.17</v>
      </c>
      <c r="CA11" s="15" t="n">
        <v>2575095.06</v>
      </c>
      <c r="CB11" s="15" t="n">
        <v>2442924.02</v>
      </c>
      <c r="CC11" s="15" t="n">
        <v>2295853.62</v>
      </c>
      <c r="CD11" s="15" t="n">
        <v>558721.24</v>
      </c>
      <c r="CE11" s="15" t="n">
        <v>363048.59</v>
      </c>
      <c r="CF11" s="15" t="n">
        <v>144873.58</v>
      </c>
      <c r="CG11" s="15" t="n">
        <v>2138403.01</v>
      </c>
      <c r="CH11" s="15" t="n">
        <v>184903.99</v>
      </c>
      <c r="CI11" s="15" t="n">
        <v>1116253.4</v>
      </c>
      <c r="CJ11" s="15" t="n">
        <v>1502752.3</v>
      </c>
      <c r="CK11" s="15" t="n">
        <v>157308.9</v>
      </c>
      <c r="CL11" s="15" t="n">
        <v>746177.14</v>
      </c>
      <c r="CM11" s="15" t="n">
        <v>1277959.69</v>
      </c>
      <c r="CN11" s="15" t="n">
        <v>791508.37</v>
      </c>
      <c r="CO11" s="15" t="n">
        <v>134010.56</v>
      </c>
      <c r="CP11" s="15" t="n">
        <v>1086125.87</v>
      </c>
      <c r="CQ11" s="15" t="n">
        <v>54323.21</v>
      </c>
      <c r="CR11" s="15" t="n">
        <v>929310.35</v>
      </c>
      <c r="CS11" s="15" t="n">
        <v>2452614.21</v>
      </c>
      <c r="CT11" s="15" t="n">
        <v>1875631.38</v>
      </c>
      <c r="CU11" s="15" t="n">
        <v>1064883.44</v>
      </c>
      <c r="CV11" s="15" t="n">
        <v>370374.04</v>
      </c>
      <c r="CW11" s="15" t="n">
        <v>75992.8</v>
      </c>
      <c r="CX11" s="15" t="n">
        <v>334813.46</v>
      </c>
      <c r="CY11" s="15" t="n">
        <v>2567903.58</v>
      </c>
      <c r="CZ11" s="15" t="n">
        <v>2305046.18</v>
      </c>
      <c r="DA11" s="15" t="n">
        <v>1080132.18</v>
      </c>
      <c r="DB11" s="15" t="n">
        <v>266638.73</v>
      </c>
      <c r="DC11" s="15" t="n">
        <v>112647.3</v>
      </c>
      <c r="DD11" s="15" t="n">
        <v>333777.99</v>
      </c>
      <c r="DE11" s="15" t="n">
        <v>3150384.62</v>
      </c>
      <c r="DF11" s="15" t="n">
        <v>485948.59</v>
      </c>
      <c r="DG11" s="15" t="n">
        <v>2033676.37</v>
      </c>
      <c r="DH11" s="15" t="n">
        <v>1038637.06</v>
      </c>
      <c r="DI11" s="15" t="n">
        <v>149869.46</v>
      </c>
      <c r="DJ11" s="15" t="n">
        <v>767552.79</v>
      </c>
      <c r="DK11" s="15" t="n">
        <v>2002244.02</v>
      </c>
      <c r="DL11" s="15" t="n">
        <v>695266.73</v>
      </c>
      <c r="DM11" s="15" t="n">
        <v>2109395.57</v>
      </c>
      <c r="DN11" s="15" t="n">
        <v>755577.6800000001</v>
      </c>
      <c r="DO11" s="15" t="n">
        <v>54469.64</v>
      </c>
      <c r="DP11" s="15" t="n">
        <v>766555.1</v>
      </c>
    </row>
    <row r="12">
      <c r="A12" s="4" t="inlineStr">
        <is>
          <t>其他产品C</t>
        </is>
      </c>
      <c r="B12" s="15" t="n">
        <v>1288357.5</v>
      </c>
      <c r="C12" s="15" t="n">
        <v>1502891.89</v>
      </c>
      <c r="D12" s="15" t="n">
        <v>1336322.33</v>
      </c>
      <c r="E12" s="15" t="n">
        <v>190885.56</v>
      </c>
      <c r="F12" s="15" t="n">
        <v>518827</v>
      </c>
      <c r="G12" s="15" t="n">
        <v>2025098.83</v>
      </c>
      <c r="H12" s="15" t="n">
        <v>796918.15</v>
      </c>
      <c r="I12" s="15" t="n">
        <v>2015902.01</v>
      </c>
      <c r="J12" s="15" t="n">
        <v>671314.73</v>
      </c>
      <c r="K12" s="15" t="n">
        <v>328325.26</v>
      </c>
      <c r="L12" s="15" t="n">
        <v>637284.48</v>
      </c>
      <c r="M12" s="15" t="n">
        <v>1657014.11</v>
      </c>
      <c r="N12" s="15" t="n">
        <v>1672699.55</v>
      </c>
      <c r="O12" s="15" t="n">
        <v>1345891.65</v>
      </c>
      <c r="P12" s="15" t="n">
        <v>865088.54</v>
      </c>
      <c r="Q12" s="15" t="n">
        <v>259213.57</v>
      </c>
      <c r="R12" s="15" t="n">
        <v>588403.9399999999</v>
      </c>
      <c r="S12" s="15" t="n">
        <v>2429562.34</v>
      </c>
      <c r="T12" s="15" t="n">
        <v>216938.91</v>
      </c>
      <c r="U12" s="15" t="n">
        <v>1826553.44</v>
      </c>
      <c r="V12" s="15" t="n">
        <v>559347.48</v>
      </c>
      <c r="W12" s="15" t="n">
        <v>245140.49</v>
      </c>
      <c r="X12" s="15" t="n">
        <v>112634.52</v>
      </c>
      <c r="Y12" s="15" t="n">
        <v>1151467.28</v>
      </c>
      <c r="Z12" s="15" t="n">
        <v>1563728.76</v>
      </c>
      <c r="AA12" s="15" t="n">
        <v>2325268.82</v>
      </c>
      <c r="AB12" s="15" t="n">
        <v>1381396.01</v>
      </c>
      <c r="AC12" s="15" t="n">
        <v>328600.4</v>
      </c>
      <c r="AD12" s="15" t="n">
        <v>969605.5600000001</v>
      </c>
      <c r="AE12" s="15" t="n">
        <v>983923.64</v>
      </c>
      <c r="AF12" s="15" t="n">
        <v>913149.5</v>
      </c>
      <c r="AG12" s="15" t="n">
        <v>1687017.28</v>
      </c>
      <c r="AH12" s="15" t="n">
        <v>324162.95</v>
      </c>
      <c r="AI12" s="15" t="n">
        <v>343314.37</v>
      </c>
      <c r="AJ12" s="15" t="n">
        <v>212377.05</v>
      </c>
      <c r="AK12" s="15" t="n">
        <v>2835308.53</v>
      </c>
      <c r="AL12" s="15" t="n">
        <v>280156.57</v>
      </c>
      <c r="AM12" s="15" t="n">
        <v>948060.5699999999</v>
      </c>
      <c r="AN12" s="15" t="n">
        <v>254203.05</v>
      </c>
      <c r="AO12" s="15" t="n">
        <v>163080.43</v>
      </c>
      <c r="AP12" s="15" t="n">
        <v>510200.72</v>
      </c>
      <c r="AQ12" s="15" t="n">
        <v>1394595.66</v>
      </c>
      <c r="AR12" s="15" t="n">
        <v>3223536.95</v>
      </c>
      <c r="AS12" s="15" t="n">
        <v>2104835.08</v>
      </c>
      <c r="AT12" s="15" t="n">
        <v>957732.36</v>
      </c>
      <c r="AU12" s="15" t="n">
        <v>324922.3</v>
      </c>
      <c r="AV12" s="15" t="n">
        <v>925954.8</v>
      </c>
      <c r="AW12" s="15" t="n">
        <v>2370063.51</v>
      </c>
      <c r="AX12" s="15" t="n">
        <v>2111510.97</v>
      </c>
      <c r="AY12" s="15" t="n">
        <v>1590494.87</v>
      </c>
      <c r="AZ12" s="15" t="n">
        <v>629397.65</v>
      </c>
      <c r="BA12" s="15" t="n">
        <v>250656.03</v>
      </c>
      <c r="BB12" s="15" t="n">
        <v>954200.1</v>
      </c>
      <c r="BC12" s="15" t="n">
        <v>2049129.53</v>
      </c>
      <c r="BD12" s="15" t="n">
        <v>3891992.08</v>
      </c>
      <c r="BE12" s="15" t="n">
        <v>1799255.83</v>
      </c>
      <c r="BF12" s="15" t="n">
        <v>568610.83</v>
      </c>
      <c r="BG12" s="15" t="n">
        <v>338048.04</v>
      </c>
      <c r="BH12" s="15" t="n">
        <v>940441.98</v>
      </c>
      <c r="BI12" s="15" t="n">
        <v>812291.64</v>
      </c>
      <c r="BJ12" s="15" t="n">
        <v>3426381.57</v>
      </c>
      <c r="BK12" s="15" t="n">
        <v>2181556.59</v>
      </c>
      <c r="BL12" s="15" t="n">
        <v>1383838.44</v>
      </c>
      <c r="BM12" s="15" t="n">
        <v>261927.6</v>
      </c>
      <c r="BN12" s="15" t="n">
        <v>814985.51</v>
      </c>
      <c r="BO12" s="15" t="n">
        <v>470765.67</v>
      </c>
      <c r="BP12" s="15" t="n">
        <v>172190.16</v>
      </c>
      <c r="BQ12" s="15" t="n">
        <v>905409.5</v>
      </c>
      <c r="BR12" s="15" t="n">
        <v>717210.73</v>
      </c>
      <c r="BS12" s="15" t="n">
        <v>74504</v>
      </c>
      <c r="BT12" s="15" t="n">
        <v>720536.72</v>
      </c>
      <c r="BU12" s="15" t="n">
        <v>1817520.1</v>
      </c>
      <c r="BV12" s="15" t="n">
        <v>1149743.17</v>
      </c>
      <c r="BW12" s="15" t="n">
        <v>2004275.11</v>
      </c>
      <c r="BX12" s="15" t="n">
        <v>846361.8</v>
      </c>
      <c r="BY12" s="15" t="n">
        <v>164158.6</v>
      </c>
      <c r="BZ12" s="15" t="n">
        <v>1034753.15</v>
      </c>
      <c r="CA12" s="15" t="n">
        <v>2076317.15</v>
      </c>
      <c r="CB12" s="15" t="n">
        <v>1094097.17</v>
      </c>
      <c r="CC12" s="15" t="n">
        <v>2111948.83</v>
      </c>
      <c r="CD12" s="15" t="n">
        <v>391445.03</v>
      </c>
      <c r="CE12" s="15" t="n">
        <v>323453.97</v>
      </c>
      <c r="CF12" s="15" t="n">
        <v>315180.78</v>
      </c>
      <c r="CG12" s="15" t="n">
        <v>1801236.25</v>
      </c>
      <c r="CH12" s="15" t="n">
        <v>3772048.11</v>
      </c>
      <c r="CI12" s="15" t="n">
        <v>1865748.49</v>
      </c>
      <c r="CJ12" s="15" t="n">
        <v>779550.46</v>
      </c>
      <c r="CK12" s="15" t="n">
        <v>10858.22</v>
      </c>
      <c r="CL12" s="15" t="n">
        <v>152218.01</v>
      </c>
      <c r="CM12" s="15" t="n">
        <v>741100.62</v>
      </c>
      <c r="CN12" s="15" t="n">
        <v>2939236.84</v>
      </c>
      <c r="CO12" s="15" t="n">
        <v>922646.4</v>
      </c>
      <c r="CP12" s="15" t="n">
        <v>654215.11</v>
      </c>
      <c r="CQ12" s="15" t="n">
        <v>81887.66</v>
      </c>
      <c r="CR12" s="15" t="n">
        <v>821397.1800000001</v>
      </c>
      <c r="CS12" s="15" t="n">
        <v>443034.62</v>
      </c>
      <c r="CT12" s="15" t="n">
        <v>1675760.4</v>
      </c>
      <c r="CU12" s="15" t="n">
        <v>941230.48</v>
      </c>
      <c r="CV12" s="15" t="n">
        <v>1562012.31</v>
      </c>
      <c r="CW12" s="15" t="n">
        <v>213745.77</v>
      </c>
      <c r="CX12" s="15" t="n">
        <v>787413.3100000001</v>
      </c>
      <c r="CY12" s="15" t="n">
        <v>931719.51</v>
      </c>
      <c r="CZ12" s="15" t="n">
        <v>3140748.47</v>
      </c>
      <c r="DA12" s="15" t="n">
        <v>1164538.08</v>
      </c>
      <c r="DB12" s="15" t="n">
        <v>742419.3199999999</v>
      </c>
      <c r="DC12" s="15" t="n">
        <v>29702.13</v>
      </c>
      <c r="DD12" s="15" t="n">
        <v>931986.49</v>
      </c>
      <c r="DE12" s="15" t="n">
        <v>925887.02</v>
      </c>
      <c r="DF12" s="15" t="n">
        <v>1458852.73</v>
      </c>
      <c r="DG12" s="15" t="n">
        <v>1745463.61</v>
      </c>
      <c r="DH12" s="15" t="n">
        <v>627936.95</v>
      </c>
      <c r="DI12" s="15" t="n">
        <v>77257.74000000001</v>
      </c>
      <c r="DJ12" s="15" t="n">
        <v>1185631.91</v>
      </c>
      <c r="DK12" s="15" t="n">
        <v>871732.71</v>
      </c>
      <c r="DL12" s="15" t="n">
        <v>194911.23</v>
      </c>
      <c r="DM12" s="15" t="n">
        <v>291102.17</v>
      </c>
      <c r="DN12" s="15" t="n">
        <v>1286630.3</v>
      </c>
      <c r="DO12" s="15" t="n">
        <v>352763.81</v>
      </c>
      <c r="DP12" s="15" t="n">
        <v>394351.38</v>
      </c>
    </row>
    <row r="13">
      <c r="A13" s="4" t="inlineStr">
        <is>
          <t>数控机床</t>
        </is>
      </c>
      <c r="B13" s="15" t="n">
        <v>2104779.12</v>
      </c>
      <c r="C13" s="15" t="n">
        <v>2092709.55</v>
      </c>
      <c r="D13" s="15" t="n">
        <v>731897.73</v>
      </c>
      <c r="E13" s="15" t="n">
        <v>235918.95</v>
      </c>
      <c r="F13" s="15" t="n">
        <v>120126.61</v>
      </c>
      <c r="G13" s="15" t="n">
        <v>2857713.93</v>
      </c>
      <c r="H13" s="15" t="n">
        <v>3704139.06</v>
      </c>
      <c r="I13" s="15" t="n">
        <v>1147040.45</v>
      </c>
      <c r="J13" s="15" t="n">
        <v>1041986.59</v>
      </c>
      <c r="K13" s="15" t="n">
        <v>112459.33</v>
      </c>
      <c r="L13" s="15" t="n">
        <v>1177491.59</v>
      </c>
      <c r="M13" s="15" t="n">
        <v>2537308.73</v>
      </c>
      <c r="N13" s="15" t="n">
        <v>3611157.5</v>
      </c>
      <c r="O13" s="15" t="n">
        <v>2079584.68</v>
      </c>
      <c r="P13" s="15" t="n">
        <v>1196978.11</v>
      </c>
      <c r="Q13" s="15" t="n">
        <v>105074.89</v>
      </c>
      <c r="R13" s="15" t="n">
        <v>997039.8</v>
      </c>
      <c r="S13" s="15" t="n">
        <v>3048353.57</v>
      </c>
      <c r="T13" s="15" t="n">
        <v>3621441.5</v>
      </c>
      <c r="U13" s="15" t="n">
        <v>510323.27</v>
      </c>
      <c r="V13" s="15" t="n">
        <v>1257523.97</v>
      </c>
      <c r="W13" s="15" t="n">
        <v>250777.81</v>
      </c>
      <c r="X13" s="15" t="n">
        <v>199660.59</v>
      </c>
      <c r="Y13" s="15" t="n">
        <v>1116674.71</v>
      </c>
      <c r="Z13" s="15" t="n">
        <v>654815.49</v>
      </c>
      <c r="AA13" s="15" t="n">
        <v>174268.85</v>
      </c>
      <c r="AB13" s="15" t="n">
        <v>1528604.57</v>
      </c>
      <c r="AC13" s="15" t="n">
        <v>233621.9</v>
      </c>
      <c r="AD13" s="15" t="n">
        <v>952700</v>
      </c>
      <c r="AE13" s="15" t="n">
        <v>282942.35</v>
      </c>
      <c r="AF13" s="15" t="n">
        <v>3518333.05</v>
      </c>
      <c r="AG13" s="15" t="n">
        <v>97740.81</v>
      </c>
      <c r="AH13" s="15" t="n">
        <v>1011203.94</v>
      </c>
      <c r="AI13" s="15" t="n">
        <v>178994.57</v>
      </c>
      <c r="AJ13" s="15" t="n">
        <v>496796.67</v>
      </c>
      <c r="AK13" s="15" t="n">
        <v>1736491.27</v>
      </c>
      <c r="AL13" s="15" t="n">
        <v>2753681.34</v>
      </c>
      <c r="AM13" s="15" t="n">
        <v>1450555.2</v>
      </c>
      <c r="AN13" s="15" t="n">
        <v>198135.74</v>
      </c>
      <c r="AO13" s="15" t="n">
        <v>125219.64</v>
      </c>
      <c r="AP13" s="15" t="n">
        <v>544137.6899999999</v>
      </c>
      <c r="AQ13" s="15" t="n">
        <v>1920195.59</v>
      </c>
      <c r="AR13" s="15" t="n">
        <v>1889016.74</v>
      </c>
      <c r="AS13" s="15" t="n">
        <v>1378718.02</v>
      </c>
      <c r="AT13" s="15" t="n">
        <v>759422.9300000001</v>
      </c>
      <c r="AU13" s="15" t="n">
        <v>211200.9</v>
      </c>
      <c r="AV13" s="15" t="n">
        <v>1194349.15</v>
      </c>
      <c r="AW13" s="15" t="n">
        <v>2770499.98</v>
      </c>
      <c r="AX13" s="15" t="n">
        <v>165173.54</v>
      </c>
      <c r="AY13" s="15" t="n">
        <v>253082.77</v>
      </c>
      <c r="AZ13" s="15" t="n">
        <v>414552.07</v>
      </c>
      <c r="BA13" s="15" t="n">
        <v>356663.02</v>
      </c>
      <c r="BB13" s="15" t="n">
        <v>448174.61</v>
      </c>
      <c r="BC13" s="15" t="n">
        <v>2119023.16</v>
      </c>
      <c r="BD13" s="15" t="n">
        <v>1136799.21</v>
      </c>
      <c r="BE13" s="15" t="n">
        <v>2274121.82</v>
      </c>
      <c r="BF13" s="15" t="n">
        <v>852518.1899999999</v>
      </c>
      <c r="BG13" s="15" t="n">
        <v>90466.41</v>
      </c>
      <c r="BH13" s="15" t="n">
        <v>304295.13</v>
      </c>
      <c r="BI13" s="15" t="n">
        <v>3030145.1</v>
      </c>
      <c r="BJ13" s="15" t="n">
        <v>3652236.3</v>
      </c>
      <c r="BK13" s="15" t="n">
        <v>1620738.75</v>
      </c>
      <c r="BL13" s="15" t="n">
        <v>1233357.87</v>
      </c>
      <c r="BM13" s="15" t="n">
        <v>277013.12</v>
      </c>
      <c r="BN13" s="15" t="n">
        <v>397456.35</v>
      </c>
      <c r="BO13" s="15" t="n">
        <v>646447.67</v>
      </c>
      <c r="BP13" s="15" t="n">
        <v>1911981.33</v>
      </c>
      <c r="BQ13" s="15" t="n">
        <v>1756020.44</v>
      </c>
      <c r="BR13" s="15" t="n">
        <v>1379376.37</v>
      </c>
      <c r="BS13" s="15" t="n">
        <v>192385.51</v>
      </c>
      <c r="BT13" s="15" t="n">
        <v>428489.89</v>
      </c>
      <c r="BU13" s="15" t="n">
        <v>1539316.38</v>
      </c>
      <c r="BV13" s="15" t="n">
        <v>1965070.63</v>
      </c>
      <c r="BW13" s="15" t="n">
        <v>1545068.99</v>
      </c>
      <c r="BX13" s="15" t="n">
        <v>1464255.19</v>
      </c>
      <c r="BY13" s="15" t="n">
        <v>220366.59</v>
      </c>
      <c r="BZ13" s="15" t="n">
        <v>1121572.72</v>
      </c>
      <c r="CA13" s="15" t="n">
        <v>3016354.8</v>
      </c>
      <c r="CB13" s="15" t="n">
        <v>2430879.75</v>
      </c>
      <c r="CC13" s="15" t="n">
        <v>610493.51</v>
      </c>
      <c r="CD13" s="15" t="n">
        <v>1154546.65</v>
      </c>
      <c r="CE13" s="15" t="n">
        <v>369596.68</v>
      </c>
      <c r="CF13" s="15" t="n">
        <v>1013265.7</v>
      </c>
      <c r="CG13" s="15" t="n">
        <v>1851474.04</v>
      </c>
      <c r="CH13" s="15" t="n">
        <v>579313.89</v>
      </c>
      <c r="CI13" s="15" t="n">
        <v>1205146.98</v>
      </c>
      <c r="CJ13" s="15" t="n">
        <v>417628.92</v>
      </c>
      <c r="CK13" s="15" t="n">
        <v>242502.89</v>
      </c>
      <c r="CL13" s="15" t="n">
        <v>640019.58</v>
      </c>
      <c r="CM13" s="15" t="n">
        <v>3091471.07</v>
      </c>
      <c r="CN13" s="15" t="n">
        <v>3843017.57</v>
      </c>
      <c r="CO13" s="15" t="n">
        <v>288971.91</v>
      </c>
      <c r="CP13" s="15" t="n">
        <v>1182488.24</v>
      </c>
      <c r="CQ13" s="15" t="n">
        <v>89183.75</v>
      </c>
      <c r="CR13" s="15" t="n">
        <v>1082190.68</v>
      </c>
      <c r="CS13" s="15" t="n">
        <v>1626447.38</v>
      </c>
      <c r="CT13" s="15" t="n">
        <v>3745882.43</v>
      </c>
      <c r="CU13" s="15" t="n">
        <v>1096743.31</v>
      </c>
      <c r="CV13" s="15" t="n">
        <v>545794.3199999999</v>
      </c>
      <c r="CW13" s="15" t="n">
        <v>279822.04</v>
      </c>
      <c r="CX13" s="15" t="n">
        <v>898761.97</v>
      </c>
      <c r="CY13" s="15" t="n">
        <v>100715.59</v>
      </c>
      <c r="CZ13" s="15" t="n">
        <v>2348816.12</v>
      </c>
      <c r="DA13" s="15" t="n">
        <v>1831979.39</v>
      </c>
      <c r="DB13" s="15" t="n">
        <v>1010702.11</v>
      </c>
      <c r="DC13" s="15" t="n">
        <v>303503.53</v>
      </c>
      <c r="DD13" s="15" t="n">
        <v>989230.27</v>
      </c>
      <c r="DE13" s="15" t="n">
        <v>1203513.23</v>
      </c>
      <c r="DF13" s="15" t="n">
        <v>3554874.95</v>
      </c>
      <c r="DG13" s="15" t="n">
        <v>1973511.53</v>
      </c>
      <c r="DH13" s="15" t="n">
        <v>439447.76</v>
      </c>
      <c r="DI13" s="15" t="n">
        <v>202415.52</v>
      </c>
      <c r="DJ13" s="15" t="n">
        <v>1153240.38</v>
      </c>
      <c r="DK13" s="15" t="n">
        <v>1718899.49</v>
      </c>
      <c r="DL13" s="15" t="n">
        <v>3064499.19</v>
      </c>
      <c r="DM13" s="15" t="n">
        <v>1649077.8</v>
      </c>
      <c r="DN13" s="15" t="n">
        <v>493402.89</v>
      </c>
      <c r="DO13" s="15" t="n">
        <v>216115.96</v>
      </c>
      <c r="DP13" s="15" t="n">
        <v>205710.28</v>
      </c>
    </row>
    <row r="14">
      <c r="A14" s="4" t="inlineStr">
        <is>
          <t>精密轴承</t>
        </is>
      </c>
      <c r="B14" s="15" t="n">
        <v>3878422.11</v>
      </c>
      <c r="C14" s="15" t="n">
        <v>1942608.01</v>
      </c>
      <c r="D14" s="15" t="n">
        <v>377148.88</v>
      </c>
      <c r="E14" s="15" t="n">
        <v>210877.49</v>
      </c>
      <c r="F14" s="15" t="n">
        <v>885527.26</v>
      </c>
      <c r="G14" s="15" t="n">
        <v>1514212.26</v>
      </c>
      <c r="H14" s="15" t="n">
        <v>1776809.28</v>
      </c>
      <c r="I14" s="15" t="n">
        <v>2084994.57</v>
      </c>
      <c r="J14" s="15" t="n">
        <v>1061335.69</v>
      </c>
      <c r="K14" s="15" t="n">
        <v>278519.17</v>
      </c>
      <c r="L14" s="15" t="n">
        <v>-150155.13</v>
      </c>
      <c r="M14" s="15" t="n">
        <v>976745.35</v>
      </c>
      <c r="N14" s="15" t="n">
        <v>1108294.93</v>
      </c>
      <c r="O14" s="15" t="n">
        <v>352104.68</v>
      </c>
      <c r="P14" s="15" t="n">
        <v>308569.2</v>
      </c>
      <c r="Q14" s="15" t="n">
        <v>30640.25</v>
      </c>
      <c r="R14" s="15" t="n">
        <v>-146548.38</v>
      </c>
      <c r="S14" s="15" t="n">
        <v>433057.3</v>
      </c>
      <c r="T14" s="15" t="n">
        <v>1850610.05</v>
      </c>
      <c r="U14" s="15" t="n">
        <v>2092205.45</v>
      </c>
      <c r="V14" s="15" t="n">
        <v>817583.3199999999</v>
      </c>
      <c r="W14" s="15" t="n">
        <v>318409.38</v>
      </c>
      <c r="X14" s="15" t="n">
        <v>908790.09</v>
      </c>
      <c r="Y14" s="15" t="n">
        <v>2584053.94</v>
      </c>
      <c r="Z14" s="15" t="n">
        <v>1084809.02</v>
      </c>
      <c r="AA14" s="15" t="n">
        <v>1786967.98</v>
      </c>
      <c r="AB14" s="15" t="n">
        <v>147008.03</v>
      </c>
      <c r="AC14" s="15" t="n">
        <v>201039.57</v>
      </c>
      <c r="AD14" s="15" t="n">
        <v>546190.08</v>
      </c>
      <c r="AE14" s="15" t="n">
        <v>2403809.24</v>
      </c>
      <c r="AF14" s="15" t="n">
        <v>2050097.04</v>
      </c>
      <c r="AG14" s="15" t="n">
        <v>675936.9399999999</v>
      </c>
      <c r="AH14" s="15" t="n">
        <v>429570.44</v>
      </c>
      <c r="AI14" s="15" t="n">
        <v>112723.28</v>
      </c>
      <c r="AJ14" s="15" t="n">
        <v>-103361.41</v>
      </c>
      <c r="AK14" s="15" t="n">
        <v>1826332.38</v>
      </c>
      <c r="AL14" s="15" t="n">
        <v>2324340.97</v>
      </c>
      <c r="AM14" s="15" t="n">
        <v>789940.16</v>
      </c>
      <c r="AN14" s="15" t="n">
        <v>1192015.96</v>
      </c>
      <c r="AO14" s="15" t="n">
        <v>92519.92999999999</v>
      </c>
      <c r="AP14" s="15" t="n">
        <v>111868.05</v>
      </c>
      <c r="AQ14" s="15" t="n">
        <v>647892.97</v>
      </c>
      <c r="AR14" s="15" t="n">
        <v>2532417.11</v>
      </c>
      <c r="AS14" s="15" t="n">
        <v>1132666.29</v>
      </c>
      <c r="AT14" s="15" t="n">
        <v>1421744.18</v>
      </c>
      <c r="AU14" s="15" t="n">
        <v>178799.81</v>
      </c>
      <c r="AV14" s="15" t="n">
        <v>988848.66</v>
      </c>
      <c r="AW14" s="15" t="n">
        <v>2650725.82</v>
      </c>
      <c r="AX14" s="15" t="n">
        <v>685699.13</v>
      </c>
      <c r="AY14" s="15" t="n">
        <v>1504626.01</v>
      </c>
      <c r="AZ14" s="15" t="n">
        <v>1253480.85</v>
      </c>
      <c r="BA14" s="15" t="n">
        <v>56685.58</v>
      </c>
      <c r="BB14" s="15" t="n">
        <v>331780.13</v>
      </c>
      <c r="BC14" s="15" t="n">
        <v>712282.1899999999</v>
      </c>
      <c r="BD14" s="15" t="n">
        <v>3655357.14</v>
      </c>
      <c r="BE14" s="15" t="n">
        <v>136821.29</v>
      </c>
      <c r="BF14" s="15" t="n">
        <v>222440.49</v>
      </c>
      <c r="BG14" s="15" t="n">
        <v>379451.75</v>
      </c>
      <c r="BH14" s="15" t="n">
        <v>735419.1899999999</v>
      </c>
      <c r="BI14" s="15" t="n">
        <v>1325316.28</v>
      </c>
      <c r="BJ14" s="15" t="n">
        <v>847667.87</v>
      </c>
      <c r="BK14" s="15" t="n">
        <v>98170.00999999999</v>
      </c>
      <c r="BL14" s="15" t="n">
        <v>967029.17</v>
      </c>
      <c r="BM14" s="15" t="n">
        <v>357480.89</v>
      </c>
      <c r="BN14" s="15" t="n">
        <v>1077946.11</v>
      </c>
      <c r="BO14" s="15" t="n">
        <v>1187366.78</v>
      </c>
      <c r="BP14" s="15" t="n">
        <v>3860161.12</v>
      </c>
      <c r="BQ14" s="15" t="n">
        <v>877372.1800000001</v>
      </c>
      <c r="BR14" s="15" t="n">
        <v>1550980.15</v>
      </c>
      <c r="BS14" s="15" t="n">
        <v>391560.83</v>
      </c>
      <c r="BT14" s="15" t="n">
        <v>-120081.81</v>
      </c>
      <c r="BU14" s="15" t="n">
        <v>1936951.29</v>
      </c>
      <c r="BV14" s="15" t="n">
        <v>2405220.92</v>
      </c>
      <c r="BW14" s="15" t="n">
        <v>1937234.32</v>
      </c>
      <c r="BX14" s="15" t="n">
        <v>451882.75</v>
      </c>
      <c r="BY14" s="15" t="n">
        <v>319581.26</v>
      </c>
      <c r="BZ14" s="15" t="n">
        <v>-78234.92</v>
      </c>
      <c r="CA14" s="15" t="n">
        <v>628481.77</v>
      </c>
      <c r="CB14" s="15" t="n">
        <v>1894611.92</v>
      </c>
      <c r="CC14" s="15" t="n">
        <v>2222168.65</v>
      </c>
      <c r="CD14" s="15" t="n">
        <v>56797.52</v>
      </c>
      <c r="CE14" s="15" t="n">
        <v>65220.04</v>
      </c>
      <c r="CF14" s="15" t="n">
        <v>1165570.07</v>
      </c>
      <c r="CG14" s="15" t="n">
        <v>1974632.97</v>
      </c>
      <c r="CH14" s="15" t="n">
        <v>922807.2</v>
      </c>
      <c r="CI14" s="15" t="n">
        <v>1361418.41</v>
      </c>
      <c r="CJ14" s="15" t="n">
        <v>1475474.52</v>
      </c>
      <c r="CK14" s="15" t="n">
        <v>9716.629999999999</v>
      </c>
      <c r="CL14" s="15" t="n">
        <v>237400.45</v>
      </c>
      <c r="CM14" s="15" t="n">
        <v>692698.74</v>
      </c>
      <c r="CN14" s="15" t="n">
        <v>2684060.88</v>
      </c>
      <c r="CO14" s="15" t="n">
        <v>1298558.54</v>
      </c>
      <c r="CP14" s="15" t="n">
        <v>1124456.76</v>
      </c>
      <c r="CQ14" s="15" t="n">
        <v>305160.9</v>
      </c>
      <c r="CR14" s="15" t="n">
        <v>782300.27</v>
      </c>
      <c r="CS14" s="15" t="n">
        <v>1269821.64</v>
      </c>
      <c r="CT14" s="15" t="n">
        <v>2107341.12</v>
      </c>
      <c r="CU14" s="15" t="n">
        <v>1947822.66</v>
      </c>
      <c r="CV14" s="15" t="n">
        <v>103858.94</v>
      </c>
      <c r="CW14" s="15" t="n">
        <v>215111.44</v>
      </c>
      <c r="CX14" s="15" t="n">
        <v>9246.4</v>
      </c>
      <c r="CY14" s="15" t="n">
        <v>2237618.84</v>
      </c>
      <c r="CZ14" s="15" t="n">
        <v>2301132.59</v>
      </c>
      <c r="DA14" s="15" t="n">
        <v>2188431.99</v>
      </c>
      <c r="DB14" s="15" t="n">
        <v>104570.54</v>
      </c>
      <c r="DC14" s="15" t="n">
        <v>384608.57</v>
      </c>
      <c r="DD14" s="15" t="n">
        <v>244357.55</v>
      </c>
      <c r="DE14" s="15" t="n">
        <v>966807.29</v>
      </c>
      <c r="DF14" s="15" t="n">
        <v>1837286.84</v>
      </c>
      <c r="DG14" s="15" t="n">
        <v>2200599.46</v>
      </c>
      <c r="DH14" s="15" t="n">
        <v>584522.29</v>
      </c>
      <c r="DI14" s="15" t="n">
        <v>304542.97</v>
      </c>
      <c r="DJ14" s="15" t="n">
        <v>500162.32</v>
      </c>
      <c r="DK14" s="15" t="n">
        <v>1466014.33</v>
      </c>
      <c r="DL14" s="15" t="n">
        <v>881928.24</v>
      </c>
      <c r="DM14" s="15" t="n">
        <v>1956291.8</v>
      </c>
      <c r="DN14" s="15" t="n">
        <v>1506816.68</v>
      </c>
      <c r="DO14" s="15" t="n">
        <v>66941.48</v>
      </c>
      <c r="DP14" s="15" t="n">
        <v>970197.67</v>
      </c>
    </row>
    <row r="15">
      <c r="A15" s="4" t="inlineStr">
        <is>
          <t>液压件</t>
        </is>
      </c>
      <c r="B15" s="15" t="n">
        <v>1371672.16</v>
      </c>
      <c r="C15" s="15" t="n">
        <v>1647146.23</v>
      </c>
      <c r="D15" s="15" t="n">
        <v>390936.24</v>
      </c>
      <c r="E15" s="15" t="n">
        <v>333307.95</v>
      </c>
      <c r="F15" s="15" t="n">
        <v>349656.92</v>
      </c>
      <c r="G15" s="15" t="n">
        <v>329448.96</v>
      </c>
      <c r="H15" s="15" t="n">
        <v>694711.05</v>
      </c>
      <c r="I15" s="15" t="n">
        <v>389838.86</v>
      </c>
      <c r="J15" s="15" t="n">
        <v>1090730.17</v>
      </c>
      <c r="K15" s="15" t="n">
        <v>307757.99</v>
      </c>
      <c r="L15" s="15" t="n">
        <v>1023662.1</v>
      </c>
      <c r="M15" s="15" t="n">
        <v>1433148.72</v>
      </c>
      <c r="N15" s="15" t="n">
        <v>1155992.23</v>
      </c>
      <c r="O15" s="15" t="n">
        <v>357297.71</v>
      </c>
      <c r="P15" s="15" t="n">
        <v>578376.72</v>
      </c>
      <c r="Q15" s="15" t="n">
        <v>383022.17</v>
      </c>
      <c r="R15" s="15" t="n">
        <v>526042.85</v>
      </c>
      <c r="S15" s="15" t="n">
        <v>643112.27</v>
      </c>
      <c r="T15" s="15" t="n">
        <v>1500359.07</v>
      </c>
      <c r="U15" s="15" t="n">
        <v>1568618.05</v>
      </c>
      <c r="V15" s="15" t="n">
        <v>1101928.83</v>
      </c>
      <c r="W15" s="15" t="n">
        <v>311410.05</v>
      </c>
      <c r="X15" s="15" t="n">
        <v>905481.77</v>
      </c>
      <c r="Y15" s="15" t="n">
        <v>2138098.28</v>
      </c>
      <c r="Z15" s="15" t="n">
        <v>390721.93</v>
      </c>
      <c r="AA15" s="15" t="n">
        <v>2177180.23</v>
      </c>
      <c r="AB15" s="15" t="n">
        <v>953329.83</v>
      </c>
      <c r="AC15" s="15" t="n">
        <v>103521.92</v>
      </c>
      <c r="AD15" s="15" t="n">
        <v>1114129.93</v>
      </c>
      <c r="AE15" s="15" t="n">
        <v>452655.45</v>
      </c>
      <c r="AF15" s="15" t="n">
        <v>1739029.9</v>
      </c>
      <c r="AG15" s="15" t="n">
        <v>1757244.87</v>
      </c>
      <c r="AH15" s="15" t="n">
        <v>1331621.35</v>
      </c>
      <c r="AI15" s="15" t="n">
        <v>136711.16</v>
      </c>
      <c r="AJ15" s="15" t="n">
        <v>252530.69</v>
      </c>
      <c r="AK15" s="15" t="n">
        <v>2390100.59</v>
      </c>
      <c r="AL15" s="15" t="n">
        <v>1857651.91</v>
      </c>
      <c r="AM15" s="15" t="n">
        <v>290994.76</v>
      </c>
      <c r="AN15" s="15" t="n">
        <v>1281944.25</v>
      </c>
      <c r="AO15" s="15" t="n">
        <v>13838.04</v>
      </c>
      <c r="AP15" s="15" t="n">
        <v>803706.0600000001</v>
      </c>
      <c r="AQ15" s="15" t="n">
        <v>986520.85</v>
      </c>
      <c r="AR15" s="15" t="n">
        <v>2253273.55</v>
      </c>
      <c r="AS15" s="15" t="n">
        <v>1424398.9</v>
      </c>
      <c r="AT15" s="15" t="n">
        <v>198363.82</v>
      </c>
      <c r="AU15" s="15" t="n">
        <v>287494.93</v>
      </c>
      <c r="AV15" s="15" t="n">
        <v>282462.65</v>
      </c>
      <c r="AW15" s="15" t="n">
        <v>159487.97</v>
      </c>
      <c r="AX15" s="15" t="n">
        <v>2322665.73</v>
      </c>
      <c r="AY15" s="15" t="n">
        <v>1587165.45</v>
      </c>
      <c r="AZ15" s="15" t="n">
        <v>472361.23</v>
      </c>
      <c r="BA15" s="15" t="n">
        <v>287043.39</v>
      </c>
      <c r="BB15" s="15" t="n">
        <v>-104143.35</v>
      </c>
      <c r="BC15" s="15" t="n">
        <v>2941123.31</v>
      </c>
      <c r="BD15" s="15" t="n">
        <v>184907.76</v>
      </c>
      <c r="BE15" s="15" t="n">
        <v>2241890.37</v>
      </c>
      <c r="BF15" s="15" t="n">
        <v>670149.71</v>
      </c>
      <c r="BG15" s="15" t="n">
        <v>372670.09</v>
      </c>
      <c r="BH15" s="15" t="n">
        <v>311470.88</v>
      </c>
      <c r="BI15" s="15" t="n">
        <v>1168802.68</v>
      </c>
      <c r="BJ15" s="15" t="n">
        <v>2815254.92</v>
      </c>
      <c r="BK15" s="15" t="n">
        <v>1867483.69</v>
      </c>
      <c r="BL15" s="15" t="n">
        <v>349162.83</v>
      </c>
      <c r="BM15" s="15" t="n">
        <v>345489.54</v>
      </c>
      <c r="BN15" s="15" t="n">
        <v>531292.77</v>
      </c>
      <c r="BO15" s="15" t="n">
        <v>307990.23</v>
      </c>
      <c r="BP15" s="15" t="n">
        <v>323051.93</v>
      </c>
      <c r="BQ15" s="15" t="n">
        <v>1827599.11</v>
      </c>
      <c r="BR15" s="15" t="n">
        <v>228421.25</v>
      </c>
      <c r="BS15" s="15" t="n">
        <v>67797.02</v>
      </c>
      <c r="BT15" s="15" t="n">
        <v>436549.43</v>
      </c>
      <c r="BU15" s="15" t="n">
        <v>1098050.17</v>
      </c>
      <c r="BV15" s="15" t="n">
        <v>1832350.26</v>
      </c>
      <c r="BW15" s="15" t="n">
        <v>2015128.79</v>
      </c>
      <c r="BX15" s="15" t="n">
        <v>1010095.3</v>
      </c>
      <c r="BY15" s="15" t="n">
        <v>374038.52</v>
      </c>
      <c r="BZ15" s="15" t="n">
        <v>209252.78</v>
      </c>
      <c r="CA15" s="15" t="n">
        <v>1865393.4</v>
      </c>
      <c r="CB15" s="15" t="n">
        <v>785285.08</v>
      </c>
      <c r="CC15" s="15" t="n">
        <v>715666.58</v>
      </c>
      <c r="CD15" s="15" t="n">
        <v>1137534.38</v>
      </c>
      <c r="CE15" s="15" t="n">
        <v>57466.88</v>
      </c>
      <c r="CF15" s="15" t="n">
        <v>539467.58</v>
      </c>
      <c r="CG15" s="15" t="n">
        <v>529334.62</v>
      </c>
      <c r="CH15" s="15" t="n">
        <v>1210755.6</v>
      </c>
      <c r="CI15" s="15" t="n">
        <v>1428140.98</v>
      </c>
      <c r="CJ15" s="15" t="n">
        <v>1301289.83</v>
      </c>
      <c r="CK15" s="15" t="n">
        <v>197150.78</v>
      </c>
      <c r="CL15" s="15" t="n">
        <v>479114.54</v>
      </c>
      <c r="CM15" s="15" t="n">
        <v>184853.54</v>
      </c>
      <c r="CN15" s="15" t="n">
        <v>2014362.47</v>
      </c>
      <c r="CO15" s="15" t="n">
        <v>1719554.27</v>
      </c>
      <c r="CP15" s="15" t="n">
        <v>1400678.68</v>
      </c>
      <c r="CQ15" s="15" t="n">
        <v>357941.26</v>
      </c>
      <c r="CR15" s="15" t="n">
        <v>655789.77</v>
      </c>
      <c r="CS15" s="15" t="n">
        <v>955277.8199999999</v>
      </c>
      <c r="CT15" s="15" t="n">
        <v>3341940.93</v>
      </c>
      <c r="CU15" s="15" t="n">
        <v>1386736.37</v>
      </c>
      <c r="CV15" s="15" t="n">
        <v>1183743.17</v>
      </c>
      <c r="CW15" s="15" t="n">
        <v>189043.29</v>
      </c>
      <c r="CX15" s="15" t="n">
        <v>200606.2</v>
      </c>
      <c r="CY15" s="15" t="n">
        <v>2320752.82</v>
      </c>
      <c r="CZ15" s="15" t="n">
        <v>3579036.95</v>
      </c>
      <c r="DA15" s="15" t="n">
        <v>1074358.44</v>
      </c>
      <c r="DB15" s="15" t="n">
        <v>225993.78</v>
      </c>
      <c r="DC15" s="15" t="n">
        <v>273675.81</v>
      </c>
      <c r="DD15" s="15" t="n">
        <v>303650.02</v>
      </c>
      <c r="DE15" s="15" t="n">
        <v>1386681.76</v>
      </c>
      <c r="DF15" s="15" t="n">
        <v>3394180.89</v>
      </c>
      <c r="DG15" s="15" t="n">
        <v>324155.04</v>
      </c>
      <c r="DH15" s="15" t="n">
        <v>538549.11</v>
      </c>
      <c r="DI15" s="15" t="n">
        <v>237760.36</v>
      </c>
      <c r="DJ15" s="15" t="n">
        <v>307168.26</v>
      </c>
      <c r="DK15" s="15" t="n">
        <v>157679.25</v>
      </c>
      <c r="DL15" s="15" t="n">
        <v>741523.55</v>
      </c>
      <c r="DM15" s="15" t="n">
        <v>1107348.19</v>
      </c>
      <c r="DN15" s="15" t="n">
        <v>723654.36</v>
      </c>
      <c r="DO15" s="15" t="n">
        <v>252633.59</v>
      </c>
      <c r="DP15" s="15" t="n">
        <v>916079.3199999999</v>
      </c>
    </row>
    <row r="16">
      <c r="A16" s="4" t="inlineStr">
        <is>
          <t>气动元件</t>
        </is>
      </c>
      <c r="B16" s="15" t="n">
        <v>1552368.08</v>
      </c>
      <c r="C16" s="15" t="n">
        <v>339471.39</v>
      </c>
      <c r="D16" s="15" t="n">
        <v>261305.59</v>
      </c>
      <c r="E16" s="15" t="n">
        <v>312116.81</v>
      </c>
      <c r="F16" s="15" t="n">
        <v>48139.16</v>
      </c>
      <c r="G16" s="15" t="n">
        <v>526639.34</v>
      </c>
      <c r="H16" s="15" t="n">
        <v>1972087.83</v>
      </c>
      <c r="I16" s="15" t="n">
        <v>895771.02</v>
      </c>
      <c r="J16" s="15" t="n">
        <v>1291546.56</v>
      </c>
      <c r="K16" s="15" t="n">
        <v>377230.21</v>
      </c>
      <c r="L16" s="15" t="n">
        <v>951168.75</v>
      </c>
      <c r="M16" s="15" t="n">
        <v>3038294.08</v>
      </c>
      <c r="N16" s="15" t="n">
        <v>2798248.62</v>
      </c>
      <c r="O16" s="15" t="n">
        <v>523005.84</v>
      </c>
      <c r="P16" s="15" t="n">
        <v>179498.85</v>
      </c>
      <c r="Q16" s="15" t="n">
        <v>363309.6</v>
      </c>
      <c r="R16" s="15" t="n">
        <v>706278.52</v>
      </c>
      <c r="S16" s="15" t="n">
        <v>218997.78</v>
      </c>
      <c r="T16" s="15" t="n">
        <v>1408820.52</v>
      </c>
      <c r="U16" s="15" t="n">
        <v>2306819.12</v>
      </c>
      <c r="V16" s="15" t="n">
        <v>548841.74</v>
      </c>
      <c r="W16" s="15" t="n">
        <v>102338.58</v>
      </c>
      <c r="X16" s="15" t="n">
        <v>234114.47</v>
      </c>
      <c r="Y16" s="15" t="n">
        <v>1179307.13</v>
      </c>
      <c r="Z16" s="15" t="n">
        <v>3856629.61</v>
      </c>
      <c r="AA16" s="15" t="n">
        <v>2135941.37</v>
      </c>
      <c r="AB16" s="15" t="n">
        <v>591832.36</v>
      </c>
      <c r="AC16" s="15" t="n">
        <v>178575.47</v>
      </c>
      <c r="AD16" s="15" t="n">
        <v>94778.82000000001</v>
      </c>
      <c r="AE16" s="15" t="n">
        <v>449809.59</v>
      </c>
      <c r="AF16" s="15" t="n">
        <v>3969042.68</v>
      </c>
      <c r="AG16" s="15" t="n">
        <v>2297244.51</v>
      </c>
      <c r="AH16" s="15" t="n">
        <v>1067082.04</v>
      </c>
      <c r="AI16" s="15" t="n">
        <v>87786.63</v>
      </c>
      <c r="AJ16" s="15" t="n">
        <v>920291.51</v>
      </c>
      <c r="AK16" s="15" t="n">
        <v>2973557.24</v>
      </c>
      <c r="AL16" s="15" t="n">
        <v>1975925.07</v>
      </c>
      <c r="AM16" s="15" t="n">
        <v>2330709.54</v>
      </c>
      <c r="AN16" s="15" t="n">
        <v>1226635.11</v>
      </c>
      <c r="AO16" s="15" t="n">
        <v>170586.4</v>
      </c>
      <c r="AP16" s="15" t="n">
        <v>-86602.82000000001</v>
      </c>
      <c r="AQ16" s="15" t="n">
        <v>2636687.17</v>
      </c>
      <c r="AR16" s="15" t="n">
        <v>2482024.91</v>
      </c>
      <c r="AS16" s="15" t="n">
        <v>1832292.08</v>
      </c>
      <c r="AT16" s="15" t="n">
        <v>493611.18</v>
      </c>
      <c r="AU16" s="15" t="n">
        <v>322984.89</v>
      </c>
      <c r="AV16" s="15" t="n">
        <v>629519.6800000001</v>
      </c>
      <c r="AW16" s="15" t="n">
        <v>157983.7</v>
      </c>
      <c r="AX16" s="15" t="n">
        <v>1716110.69</v>
      </c>
      <c r="AY16" s="15" t="n">
        <v>1735652.58</v>
      </c>
      <c r="AZ16" s="15" t="n">
        <v>481225.73</v>
      </c>
      <c r="BA16" s="15" t="n">
        <v>39147.42</v>
      </c>
      <c r="BB16" s="15" t="n">
        <v>-39239.58</v>
      </c>
      <c r="BC16" s="15" t="n">
        <v>2920010.68</v>
      </c>
      <c r="BD16" s="15" t="n">
        <v>2747530.75</v>
      </c>
      <c r="BE16" s="15" t="n">
        <v>1363133.55</v>
      </c>
      <c r="BF16" s="15" t="n">
        <v>1229278.6</v>
      </c>
      <c r="BG16" s="15" t="n">
        <v>44647.97</v>
      </c>
      <c r="BH16" s="15" t="n">
        <v>816748.3</v>
      </c>
      <c r="BI16" s="15" t="n">
        <v>1496498.55</v>
      </c>
      <c r="BJ16" s="15" t="n">
        <v>987533.28</v>
      </c>
      <c r="BK16" s="15" t="n">
        <v>967559.1899999999</v>
      </c>
      <c r="BL16" s="15" t="n">
        <v>623805.41</v>
      </c>
      <c r="BM16" s="15" t="n">
        <v>26120.53</v>
      </c>
      <c r="BN16" s="15" t="n">
        <v>1115856.04</v>
      </c>
      <c r="BO16" s="15" t="n">
        <v>2201652.97</v>
      </c>
      <c r="BP16" s="15" t="n">
        <v>1030873.77</v>
      </c>
      <c r="BQ16" s="15" t="n">
        <v>209269.89</v>
      </c>
      <c r="BR16" s="15" t="n">
        <v>1093073.21</v>
      </c>
      <c r="BS16" s="15" t="n">
        <v>22130.35</v>
      </c>
      <c r="BT16" s="15" t="n">
        <v>623025.0699999999</v>
      </c>
      <c r="BU16" s="15" t="n">
        <v>3085591.56</v>
      </c>
      <c r="BV16" s="15" t="n">
        <v>2109200.97</v>
      </c>
      <c r="BW16" s="15" t="n">
        <v>1238538.6</v>
      </c>
      <c r="BX16" s="15" t="n">
        <v>570812.8199999999</v>
      </c>
      <c r="BY16" s="15" t="n">
        <v>274252.97</v>
      </c>
      <c r="BZ16" s="15" t="n">
        <v>1172145.52</v>
      </c>
      <c r="CA16" s="15" t="n">
        <v>168779.81</v>
      </c>
      <c r="CB16" s="15" t="n">
        <v>1537477.74</v>
      </c>
      <c r="CC16" s="15" t="n">
        <v>1841333.48</v>
      </c>
      <c r="CD16" s="15" t="n">
        <v>327895.21</v>
      </c>
      <c r="CE16" s="15" t="n">
        <v>38685.33</v>
      </c>
      <c r="CF16" s="15" t="n">
        <v>-13083.46</v>
      </c>
      <c r="CG16" s="15" t="n">
        <v>2702062.84</v>
      </c>
      <c r="CH16" s="15" t="n">
        <v>758989.26</v>
      </c>
      <c r="CI16" s="15" t="n">
        <v>428467.52</v>
      </c>
      <c r="CJ16" s="15" t="n">
        <v>467496.18</v>
      </c>
      <c r="CK16" s="15" t="n">
        <v>20927.5</v>
      </c>
      <c r="CL16" s="15" t="n">
        <v>803100.96</v>
      </c>
      <c r="CM16" s="15" t="n">
        <v>2215209.51</v>
      </c>
      <c r="CN16" s="15" t="n">
        <v>2955585.48</v>
      </c>
      <c r="CO16" s="15" t="n">
        <v>1712310.14</v>
      </c>
      <c r="CP16" s="15" t="n">
        <v>1505642.72</v>
      </c>
      <c r="CQ16" s="15" t="n">
        <v>177904.2</v>
      </c>
      <c r="CR16" s="15" t="n">
        <v>519692.95</v>
      </c>
      <c r="CS16" s="15" t="n">
        <v>197483.55</v>
      </c>
      <c r="CT16" s="15" t="n">
        <v>3645816.46</v>
      </c>
      <c r="CU16" s="15" t="n">
        <v>1613701.55</v>
      </c>
      <c r="CV16" s="15" t="n">
        <v>1424926.38</v>
      </c>
      <c r="CW16" s="15" t="n">
        <v>220990.53</v>
      </c>
      <c r="CX16" s="15" t="n">
        <v>705342.85</v>
      </c>
      <c r="CY16" s="15" t="n">
        <v>1690831.26</v>
      </c>
      <c r="CZ16" s="15" t="n">
        <v>3779056.97</v>
      </c>
      <c r="DA16" s="15" t="n">
        <v>2386553.51</v>
      </c>
      <c r="DB16" s="15" t="n">
        <v>115449.72</v>
      </c>
      <c r="DC16" s="15" t="n">
        <v>216659.95</v>
      </c>
      <c r="DD16" s="15" t="n">
        <v>127306.86</v>
      </c>
      <c r="DE16" s="15" t="n">
        <v>995875.5600000001</v>
      </c>
      <c r="DF16" s="15" t="n">
        <v>3814159.06</v>
      </c>
      <c r="DG16" s="15" t="n">
        <v>1105917.1</v>
      </c>
      <c r="DH16" s="15" t="n">
        <v>173354.06</v>
      </c>
      <c r="DI16" s="15" t="n">
        <v>304321.04</v>
      </c>
      <c r="DJ16" s="15" t="n">
        <v>891177.77</v>
      </c>
      <c r="DK16" s="15" t="n">
        <v>1419620.41</v>
      </c>
      <c r="DL16" s="15" t="n">
        <v>1053986.16</v>
      </c>
      <c r="DM16" s="15" t="n">
        <v>2122393.86</v>
      </c>
      <c r="DN16" s="15" t="n">
        <v>1410994.05</v>
      </c>
      <c r="DO16" s="15" t="n">
        <v>323318.82</v>
      </c>
      <c r="DP16" s="15" t="n">
        <v>845241.6</v>
      </c>
    </row>
    <row r="17">
      <c r="A17" s="4" t="inlineStr">
        <is>
          <t>模具</t>
        </is>
      </c>
      <c r="B17" s="15" t="n">
        <v>2211216.22</v>
      </c>
      <c r="C17" s="15" t="n">
        <v>751195.4300000001</v>
      </c>
      <c r="D17" s="15" t="n">
        <v>1123785.44</v>
      </c>
      <c r="E17" s="15" t="n">
        <v>80752.92</v>
      </c>
      <c r="F17" s="15" t="n">
        <v>93433.16</v>
      </c>
      <c r="G17" s="15" t="n">
        <v>2465940.26</v>
      </c>
      <c r="H17" s="15" t="n">
        <v>1785062.05</v>
      </c>
      <c r="I17" s="15" t="n">
        <v>1178687.89</v>
      </c>
      <c r="J17" s="15" t="n">
        <v>251856.49</v>
      </c>
      <c r="K17" s="15" t="n">
        <v>327939.45</v>
      </c>
      <c r="L17" s="15" t="n">
        <v>257457.55</v>
      </c>
      <c r="M17" s="15" t="n">
        <v>2724041.61</v>
      </c>
      <c r="N17" s="15" t="n">
        <v>1090016.15</v>
      </c>
      <c r="O17" s="15" t="n">
        <v>1572670.23</v>
      </c>
      <c r="P17" s="15" t="n">
        <v>323493.04</v>
      </c>
      <c r="Q17" s="15" t="n">
        <v>276215.81</v>
      </c>
      <c r="R17" s="15" t="n">
        <v>66377.14</v>
      </c>
      <c r="S17" s="15" t="n">
        <v>1616021.14</v>
      </c>
      <c r="T17" s="15" t="n">
        <v>3296089.36</v>
      </c>
      <c r="U17" s="15" t="n">
        <v>1004005.86</v>
      </c>
      <c r="V17" s="15" t="n">
        <v>716671.79</v>
      </c>
      <c r="W17" s="15" t="n">
        <v>315679.07</v>
      </c>
      <c r="X17" s="15" t="n">
        <v>285075.99</v>
      </c>
      <c r="Y17" s="15" t="n">
        <v>355410.82</v>
      </c>
      <c r="Z17" s="15" t="n">
        <v>2796781.71</v>
      </c>
      <c r="AA17" s="15" t="n">
        <v>1163721.78</v>
      </c>
      <c r="AB17" s="15" t="n">
        <v>1322465.48</v>
      </c>
      <c r="AC17" s="15" t="n">
        <v>126522.26</v>
      </c>
      <c r="AD17" s="15" t="n">
        <v>668762.13</v>
      </c>
      <c r="AE17" s="15" t="n">
        <v>593246.21</v>
      </c>
      <c r="AF17" s="15" t="n">
        <v>1601627.83</v>
      </c>
      <c r="AG17" s="15" t="n">
        <v>1096672.56</v>
      </c>
      <c r="AH17" s="15" t="n">
        <v>155886.35</v>
      </c>
      <c r="AI17" s="15" t="n">
        <v>373447.5</v>
      </c>
      <c r="AJ17" s="15" t="n">
        <v>189851.65</v>
      </c>
      <c r="AK17" s="15" t="n">
        <v>2621243.24</v>
      </c>
      <c r="AL17" s="15" t="n">
        <v>931528.48</v>
      </c>
      <c r="AM17" s="15" t="n">
        <v>1913534.76</v>
      </c>
      <c r="AN17" s="15" t="n">
        <v>992701.55</v>
      </c>
      <c r="AO17" s="15" t="n">
        <v>139304.1</v>
      </c>
      <c r="AP17" s="15" t="n">
        <v>-35082.01</v>
      </c>
      <c r="AQ17" s="15" t="n">
        <v>1089586.33</v>
      </c>
      <c r="AR17" s="15" t="n">
        <v>3247698.01</v>
      </c>
      <c r="AS17" s="15" t="n">
        <v>996738.85</v>
      </c>
      <c r="AT17" s="15" t="n">
        <v>1051293.66</v>
      </c>
      <c r="AU17" s="15" t="n">
        <v>84825.81</v>
      </c>
      <c r="AV17" s="15" t="n">
        <v>219642.29</v>
      </c>
      <c r="AW17" s="15" t="n">
        <v>3016695.71</v>
      </c>
      <c r="AX17" s="15" t="n">
        <v>2536292.65</v>
      </c>
      <c r="AY17" s="15" t="n">
        <v>1911345.55</v>
      </c>
      <c r="AZ17" s="15" t="n">
        <v>940004.23</v>
      </c>
      <c r="BA17" s="15" t="n">
        <v>12354.8</v>
      </c>
      <c r="BB17" s="15" t="n">
        <v>595506.27</v>
      </c>
      <c r="BC17" s="15" t="n">
        <v>1836925.83</v>
      </c>
      <c r="BD17" s="15" t="n">
        <v>1550122.97</v>
      </c>
      <c r="BE17" s="15" t="n">
        <v>1848861.52</v>
      </c>
      <c r="BF17" s="15" t="n">
        <v>949213.46</v>
      </c>
      <c r="BG17" s="15" t="n">
        <v>161065.36</v>
      </c>
      <c r="BH17" s="15" t="n">
        <v>748033.8199999999</v>
      </c>
      <c r="BI17" s="15" t="n">
        <v>2597326.78</v>
      </c>
      <c r="BJ17" s="15" t="n">
        <v>330395.62</v>
      </c>
      <c r="BK17" s="15" t="n">
        <v>2158624.69</v>
      </c>
      <c r="BL17" s="15" t="n">
        <v>1063480.51</v>
      </c>
      <c r="BM17" s="15" t="n">
        <v>218807.6</v>
      </c>
      <c r="BN17" s="15" t="n">
        <v>982103.77</v>
      </c>
      <c r="BO17" s="15" t="n">
        <v>1872024.74</v>
      </c>
      <c r="BP17" s="15" t="n">
        <v>3179429.15</v>
      </c>
      <c r="BQ17" s="15" t="n">
        <v>619520.08</v>
      </c>
      <c r="BR17" s="15" t="n">
        <v>1239023.77</v>
      </c>
      <c r="BS17" s="15" t="n">
        <v>255016.67</v>
      </c>
      <c r="BT17" s="15" t="n">
        <v>1038192.93</v>
      </c>
      <c r="BU17" s="15" t="n">
        <v>491757.9</v>
      </c>
      <c r="BV17" s="15" t="n">
        <v>1584137.98</v>
      </c>
      <c r="BW17" s="15" t="n">
        <v>1201997.85</v>
      </c>
      <c r="BX17" s="15" t="n">
        <v>310210.28</v>
      </c>
      <c r="BY17" s="15" t="n">
        <v>28561.39</v>
      </c>
      <c r="BZ17" s="15" t="n">
        <v>476086.14</v>
      </c>
      <c r="CA17" s="15" t="n">
        <v>786546.3199999999</v>
      </c>
      <c r="CB17" s="15" t="n">
        <v>2851450.04</v>
      </c>
      <c r="CC17" s="15" t="n">
        <v>1867361.19</v>
      </c>
      <c r="CD17" s="15" t="n">
        <v>100322.27</v>
      </c>
      <c r="CE17" s="15" t="n">
        <v>159628</v>
      </c>
      <c r="CF17" s="15" t="n">
        <v>808726.04</v>
      </c>
      <c r="CG17" s="15" t="n">
        <v>702968.23</v>
      </c>
      <c r="CH17" s="15" t="n">
        <v>1701601.03</v>
      </c>
      <c r="CI17" s="15" t="n">
        <v>2211646</v>
      </c>
      <c r="CJ17" s="15" t="n">
        <v>1135641.05</v>
      </c>
      <c r="CK17" s="15" t="n">
        <v>395828.61</v>
      </c>
      <c r="CL17" s="15" t="n">
        <v>1150579.29</v>
      </c>
      <c r="CM17" s="15" t="n">
        <v>1618742.21</v>
      </c>
      <c r="CN17" s="15" t="n">
        <v>1038861.55</v>
      </c>
      <c r="CO17" s="15" t="n">
        <v>2231225.92</v>
      </c>
      <c r="CP17" s="15" t="n">
        <v>1262962.16</v>
      </c>
      <c r="CQ17" s="15" t="n">
        <v>136520.34</v>
      </c>
      <c r="CR17" s="15" t="n">
        <v>363657.35</v>
      </c>
      <c r="CS17" s="15" t="n">
        <v>2573060.11</v>
      </c>
      <c r="CT17" s="15" t="n">
        <v>3566735.27</v>
      </c>
      <c r="CU17" s="15" t="n">
        <v>1637433.43</v>
      </c>
      <c r="CV17" s="15" t="n">
        <v>727779.35</v>
      </c>
      <c r="CW17" s="15" t="n">
        <v>164562.64</v>
      </c>
      <c r="CX17" s="15" t="n">
        <v>954446.51</v>
      </c>
      <c r="CY17" s="15" t="n">
        <v>2936749.6</v>
      </c>
      <c r="CZ17" s="15" t="n">
        <v>3925119.7</v>
      </c>
      <c r="DA17" s="15" t="n">
        <v>1989986.9</v>
      </c>
      <c r="DB17" s="15" t="n">
        <v>745233.65</v>
      </c>
      <c r="DC17" s="15" t="n">
        <v>159066.22</v>
      </c>
      <c r="DD17" s="15" t="n">
        <v>760721.87</v>
      </c>
      <c r="DE17" s="15" t="n">
        <v>233694.4</v>
      </c>
      <c r="DF17" s="15" t="n">
        <v>1462041.98</v>
      </c>
      <c r="DG17" s="15" t="n">
        <v>205828.27</v>
      </c>
      <c r="DH17" s="15" t="n">
        <v>1179860.91</v>
      </c>
      <c r="DI17" s="15" t="n">
        <v>367293.09</v>
      </c>
      <c r="DJ17" s="15" t="n">
        <v>706593.84</v>
      </c>
      <c r="DK17" s="15" t="n">
        <v>1566073.48</v>
      </c>
      <c r="DL17" s="15" t="n">
        <v>1743448.39</v>
      </c>
      <c r="DM17" s="15" t="n">
        <v>1551275.18</v>
      </c>
      <c r="DN17" s="15" t="n">
        <v>1505972.41</v>
      </c>
      <c r="DO17" s="15" t="n">
        <v>111475.32</v>
      </c>
      <c r="DP17" s="15" t="n">
        <v>1156636.68</v>
      </c>
    </row>
    <row r="18">
      <c r="A18" s="4" t="inlineStr">
        <is>
          <t>工装夹具</t>
        </is>
      </c>
      <c r="B18" s="15" t="n">
        <v>3668714.71</v>
      </c>
      <c r="C18" s="15" t="n">
        <v>437511.94</v>
      </c>
      <c r="D18" s="15" t="n">
        <v>73690.81</v>
      </c>
      <c r="E18" s="15" t="n">
        <v>169146.05</v>
      </c>
      <c r="F18" s="15" t="n">
        <v>187289.67</v>
      </c>
      <c r="G18" s="15" t="n">
        <v>1426256.63</v>
      </c>
      <c r="H18" s="15" t="n">
        <v>836100.98</v>
      </c>
      <c r="I18" s="15" t="n">
        <v>639082.04</v>
      </c>
      <c r="J18" s="15" t="n">
        <v>417060.58</v>
      </c>
      <c r="K18" s="15" t="n">
        <v>24585.9</v>
      </c>
      <c r="L18" s="15" t="n">
        <v>236901.49</v>
      </c>
      <c r="M18" s="15" t="n">
        <v>339278.5</v>
      </c>
      <c r="N18" s="15" t="n">
        <v>2765190.5</v>
      </c>
      <c r="O18" s="15" t="n">
        <v>1062402.96</v>
      </c>
      <c r="P18" s="15" t="n">
        <v>412095.04</v>
      </c>
      <c r="Q18" s="15" t="n">
        <v>288420.67</v>
      </c>
      <c r="R18" s="15" t="n">
        <v>1017024.06</v>
      </c>
      <c r="S18" s="15" t="n">
        <v>494535.3</v>
      </c>
      <c r="T18" s="15" t="n">
        <v>1058276.37</v>
      </c>
      <c r="U18" s="15" t="n">
        <v>242797.54</v>
      </c>
      <c r="V18" s="15" t="n">
        <v>925911.17</v>
      </c>
      <c r="W18" s="15" t="n">
        <v>232086.47</v>
      </c>
      <c r="X18" s="15" t="n">
        <v>557646.5600000001</v>
      </c>
      <c r="Y18" s="15" t="n">
        <v>2167220.71</v>
      </c>
      <c r="Z18" s="15" t="n">
        <v>2656996.89</v>
      </c>
      <c r="AA18" s="15" t="n">
        <v>1940105.32</v>
      </c>
      <c r="AB18" s="15" t="n">
        <v>663615.1</v>
      </c>
      <c r="AC18" s="15" t="n">
        <v>253921.01</v>
      </c>
      <c r="AD18" s="15" t="n">
        <v>160188.11</v>
      </c>
      <c r="AE18" s="15" t="n">
        <v>1056853.98</v>
      </c>
      <c r="AF18" s="15" t="n">
        <v>3420692.89</v>
      </c>
      <c r="AG18" s="15" t="n">
        <v>799474.6</v>
      </c>
      <c r="AH18" s="15" t="n">
        <v>876782.11</v>
      </c>
      <c r="AI18" s="15" t="n">
        <v>253355.92</v>
      </c>
      <c r="AJ18" s="15" t="n">
        <v>1184891.65</v>
      </c>
      <c r="AK18" s="15" t="n">
        <v>2925415.29</v>
      </c>
      <c r="AL18" s="15" t="n">
        <v>3345186.22</v>
      </c>
      <c r="AM18" s="15" t="n">
        <v>1716914.39</v>
      </c>
      <c r="AN18" s="15" t="n">
        <v>809115.5699999999</v>
      </c>
      <c r="AO18" s="15" t="n">
        <v>372218.33</v>
      </c>
      <c r="AP18" s="15" t="n">
        <v>1062698.18</v>
      </c>
      <c r="AQ18" s="15" t="n">
        <v>1352132.7</v>
      </c>
      <c r="AR18" s="15" t="n">
        <v>3980804.79</v>
      </c>
      <c r="AS18" s="15" t="n">
        <v>485864.26</v>
      </c>
      <c r="AT18" s="15" t="n">
        <v>792110.11</v>
      </c>
      <c r="AU18" s="15" t="n">
        <v>239689.19</v>
      </c>
      <c r="AV18" s="15" t="n">
        <v>814663.7</v>
      </c>
      <c r="AW18" s="15" t="n">
        <v>2508246.81</v>
      </c>
      <c r="AX18" s="15" t="n">
        <v>585118.3100000001</v>
      </c>
      <c r="AY18" s="15" t="n">
        <v>528878.72</v>
      </c>
      <c r="AZ18" s="15" t="n">
        <v>167729.07</v>
      </c>
      <c r="BA18" s="15" t="n">
        <v>165667</v>
      </c>
      <c r="BB18" s="15" t="n">
        <v>1091326.17</v>
      </c>
      <c r="BC18" s="15" t="n">
        <v>2397136.57</v>
      </c>
      <c r="BD18" s="15" t="n">
        <v>2061194.55</v>
      </c>
      <c r="BE18" s="15" t="n">
        <v>2330716.6</v>
      </c>
      <c r="BF18" s="15" t="n">
        <v>1182898.84</v>
      </c>
      <c r="BG18" s="15" t="n">
        <v>200497.69</v>
      </c>
      <c r="BH18" s="15" t="n">
        <v>-108101.97</v>
      </c>
      <c r="BI18" s="15" t="n">
        <v>537853.6800000001</v>
      </c>
      <c r="BJ18" s="15" t="n">
        <v>2444304.35</v>
      </c>
      <c r="BK18" s="15" t="n">
        <v>1291607.88</v>
      </c>
      <c r="BL18" s="15" t="n">
        <v>569721.62</v>
      </c>
      <c r="BM18" s="15" t="n">
        <v>360870.75</v>
      </c>
      <c r="BN18" s="15" t="n">
        <v>729866.84</v>
      </c>
      <c r="BO18" s="15" t="n">
        <v>2677726.27</v>
      </c>
      <c r="BP18" s="15" t="n">
        <v>1238250.65</v>
      </c>
      <c r="BQ18" s="15" t="n">
        <v>2004589.77</v>
      </c>
      <c r="BR18" s="15" t="n">
        <v>659783.85</v>
      </c>
      <c r="BS18" s="15" t="n">
        <v>250308.76</v>
      </c>
      <c r="BT18" s="15" t="n">
        <v>-131535.74</v>
      </c>
      <c r="BU18" s="15" t="n">
        <v>2720959.37</v>
      </c>
      <c r="BV18" s="15" t="n">
        <v>1934479.62</v>
      </c>
      <c r="BW18" s="15" t="n">
        <v>1702139.22</v>
      </c>
      <c r="BX18" s="15" t="n">
        <v>572533.9300000001</v>
      </c>
      <c r="BY18" s="15" t="n">
        <v>251211.16</v>
      </c>
      <c r="BZ18" s="15" t="n">
        <v>-29871.78</v>
      </c>
      <c r="CA18" s="15" t="n">
        <v>418569.47</v>
      </c>
      <c r="CB18" s="15" t="n">
        <v>1216532.71</v>
      </c>
      <c r="CC18" s="15" t="n">
        <v>792478.6</v>
      </c>
      <c r="CD18" s="15" t="n">
        <v>1568497.39</v>
      </c>
      <c r="CE18" s="15" t="n">
        <v>330079.38</v>
      </c>
      <c r="CF18" s="15" t="n">
        <v>-99143.78</v>
      </c>
      <c r="CG18" s="15" t="n">
        <v>3018664.91</v>
      </c>
      <c r="CH18" s="15" t="n">
        <v>104457.21</v>
      </c>
      <c r="CI18" s="15" t="n">
        <v>1186320.97</v>
      </c>
      <c r="CJ18" s="15" t="n">
        <v>1174812.04</v>
      </c>
      <c r="CK18" s="15" t="n">
        <v>298868.73</v>
      </c>
      <c r="CL18" s="15" t="n">
        <v>338141.33</v>
      </c>
      <c r="CM18" s="15" t="n">
        <v>756508.12</v>
      </c>
      <c r="CN18" s="15" t="n">
        <v>1758178.31</v>
      </c>
      <c r="CO18" s="15" t="n">
        <v>73494.55</v>
      </c>
      <c r="CP18" s="15" t="n">
        <v>1205854.25</v>
      </c>
      <c r="CQ18" s="15" t="n">
        <v>359672.08</v>
      </c>
      <c r="CR18" s="15" t="n">
        <v>1170566.82</v>
      </c>
      <c r="CS18" s="15" t="n">
        <v>404992.84</v>
      </c>
      <c r="CT18" s="15" t="n">
        <v>2235057.87</v>
      </c>
      <c r="CU18" s="15" t="n">
        <v>1119981.35</v>
      </c>
      <c r="CV18" s="15" t="n">
        <v>553217.12</v>
      </c>
      <c r="CW18" s="15" t="n">
        <v>374858.09</v>
      </c>
      <c r="CX18" s="15" t="n">
        <v>959424.27</v>
      </c>
      <c r="CY18" s="15" t="n">
        <v>409684.69</v>
      </c>
      <c r="CZ18" s="15" t="n">
        <v>3993502.7</v>
      </c>
      <c r="DA18" s="15" t="n">
        <v>610614.3199999999</v>
      </c>
      <c r="DB18" s="15" t="n">
        <v>1337646.53</v>
      </c>
      <c r="DC18" s="15" t="n">
        <v>25141.04</v>
      </c>
      <c r="DD18" s="15" t="n">
        <v>174327.61</v>
      </c>
      <c r="DE18" s="15" t="n">
        <v>1975671.49</v>
      </c>
      <c r="DF18" s="15" t="n">
        <v>1818401.24</v>
      </c>
      <c r="DG18" s="15" t="n">
        <v>633438.0699999999</v>
      </c>
      <c r="DH18" s="15" t="n">
        <v>153789.94</v>
      </c>
      <c r="DI18" s="15" t="n">
        <v>170196.96</v>
      </c>
      <c r="DJ18" s="15" t="n">
        <v>399277.61</v>
      </c>
      <c r="DK18" s="15" t="n">
        <v>1312577.85</v>
      </c>
      <c r="DL18" s="15" t="n">
        <v>249484.11</v>
      </c>
      <c r="DM18" s="15" t="n">
        <v>569353.16</v>
      </c>
      <c r="DN18" s="15" t="n">
        <v>652302.59</v>
      </c>
      <c r="DO18" s="15" t="n">
        <v>362496.65</v>
      </c>
      <c r="DP18" s="15" t="n">
        <v>1156509.65</v>
      </c>
    </row>
    <row r="19">
      <c r="A19" s="4" t="inlineStr">
        <is>
          <t>其他产品A</t>
        </is>
      </c>
      <c r="B19" s="15" t="n">
        <v>1411830.12</v>
      </c>
      <c r="C19" s="15" t="n">
        <v>100145.39</v>
      </c>
      <c r="D19" s="15" t="n">
        <v>1224330.51</v>
      </c>
      <c r="E19" s="15" t="n">
        <v>106214.31</v>
      </c>
      <c r="F19" s="15" t="n">
        <v>283174.01</v>
      </c>
      <c r="G19" s="15" t="n">
        <v>1125134.92</v>
      </c>
      <c r="H19" s="15" t="n">
        <v>1730266.67</v>
      </c>
      <c r="I19" s="15" t="n">
        <v>2259295.24</v>
      </c>
      <c r="J19" s="15" t="n">
        <v>1432487.89</v>
      </c>
      <c r="K19" s="15" t="n">
        <v>272385.25</v>
      </c>
      <c r="L19" s="15" t="n">
        <v>391048.2</v>
      </c>
      <c r="M19" s="15" t="n">
        <v>2860205.41</v>
      </c>
      <c r="N19" s="15" t="n">
        <v>3009767.76</v>
      </c>
      <c r="O19" s="15" t="n">
        <v>386625.43</v>
      </c>
      <c r="P19" s="15" t="n">
        <v>1162852.8</v>
      </c>
      <c r="Q19" s="15" t="n">
        <v>52191.97</v>
      </c>
      <c r="R19" s="15" t="n">
        <v>-149523.06</v>
      </c>
      <c r="S19" s="15" t="n">
        <v>3075075.49</v>
      </c>
      <c r="T19" s="15" t="n">
        <v>3621408.06</v>
      </c>
      <c r="U19" s="15" t="n">
        <v>2036518.92</v>
      </c>
      <c r="V19" s="15" t="n">
        <v>1469327.89</v>
      </c>
      <c r="W19" s="15" t="n">
        <v>369934.88</v>
      </c>
      <c r="X19" s="15" t="n">
        <v>587808.4300000001</v>
      </c>
      <c r="Y19" s="15" t="n">
        <v>194674.89</v>
      </c>
      <c r="Z19" s="15" t="n">
        <v>2349865.42</v>
      </c>
      <c r="AA19" s="15" t="n">
        <v>798774.39</v>
      </c>
      <c r="AB19" s="15" t="n">
        <v>1531781.09</v>
      </c>
      <c r="AC19" s="15" t="n">
        <v>310859.75</v>
      </c>
      <c r="AD19" s="15" t="n">
        <v>1161200.9</v>
      </c>
      <c r="AE19" s="15" t="n">
        <v>325006.43</v>
      </c>
      <c r="AF19" s="15" t="n">
        <v>2128396.13</v>
      </c>
      <c r="AG19" s="15" t="n">
        <v>2045770.23</v>
      </c>
      <c r="AH19" s="15" t="n">
        <v>734565.75</v>
      </c>
      <c r="AI19" s="15" t="n">
        <v>277757.17</v>
      </c>
      <c r="AJ19" s="15" t="n">
        <v>115548.83</v>
      </c>
      <c r="AK19" s="15" t="n">
        <v>629195.8100000001</v>
      </c>
      <c r="AL19" s="15" t="n">
        <v>1024437.6</v>
      </c>
      <c r="AM19" s="15" t="n">
        <v>1928278.49</v>
      </c>
      <c r="AN19" s="15" t="n">
        <v>313195.33</v>
      </c>
      <c r="AO19" s="15" t="n">
        <v>322957.44</v>
      </c>
      <c r="AP19" s="15" t="n">
        <v>873927.33</v>
      </c>
      <c r="AQ19" s="15" t="n">
        <v>2946119.99</v>
      </c>
      <c r="AR19" s="15" t="n">
        <v>145456.19</v>
      </c>
      <c r="AS19" s="15" t="n">
        <v>2082571.66</v>
      </c>
      <c r="AT19" s="15" t="n">
        <v>447867.06</v>
      </c>
      <c r="AU19" s="15" t="n">
        <v>118495.43</v>
      </c>
      <c r="AV19" s="15" t="n">
        <v>632555.8199999999</v>
      </c>
      <c r="AW19" s="15" t="n">
        <v>1066490.65</v>
      </c>
      <c r="AX19" s="15" t="n">
        <v>401050.57</v>
      </c>
      <c r="AY19" s="15" t="n">
        <v>2095718.95</v>
      </c>
      <c r="AZ19" s="15" t="n">
        <v>540061.74</v>
      </c>
      <c r="BA19" s="15" t="n">
        <v>328538.2</v>
      </c>
      <c r="BB19" s="15" t="n">
        <v>1059082.89</v>
      </c>
      <c r="BC19" s="15" t="n">
        <v>1888153.74</v>
      </c>
      <c r="BD19" s="15" t="n">
        <v>818314.24</v>
      </c>
      <c r="BE19" s="15" t="n">
        <v>2072333.87</v>
      </c>
      <c r="BF19" s="15" t="n">
        <v>1134721.74</v>
      </c>
      <c r="BG19" s="15" t="n">
        <v>97063.24000000001</v>
      </c>
      <c r="BH19" s="15" t="n">
        <v>41151.69</v>
      </c>
      <c r="BI19" s="15" t="n">
        <v>617935.42</v>
      </c>
      <c r="BJ19" s="15" t="n">
        <v>2758944.21</v>
      </c>
      <c r="BK19" s="15" t="n">
        <v>1017646.93</v>
      </c>
      <c r="BL19" s="15" t="n">
        <v>852859.83</v>
      </c>
      <c r="BM19" s="15" t="n">
        <v>139056.58</v>
      </c>
      <c r="BN19" s="15" t="n">
        <v>1103240.12</v>
      </c>
      <c r="BO19" s="15" t="n">
        <v>1101757.65</v>
      </c>
      <c r="BP19" s="15" t="n">
        <v>512645.75</v>
      </c>
      <c r="BQ19" s="15" t="n">
        <v>105741.2</v>
      </c>
      <c r="BR19" s="15" t="n">
        <v>1157658.71</v>
      </c>
      <c r="BS19" s="15" t="n">
        <v>127398.17</v>
      </c>
      <c r="BT19" s="15" t="n">
        <v>1004423.83</v>
      </c>
      <c r="BU19" s="15" t="n">
        <v>2110069.35</v>
      </c>
      <c r="BV19" s="15" t="n">
        <v>333989.53</v>
      </c>
      <c r="BW19" s="15" t="n">
        <v>1718143.12</v>
      </c>
      <c r="BX19" s="15" t="n">
        <v>878286.9300000001</v>
      </c>
      <c r="BY19" s="15" t="n">
        <v>20848.64</v>
      </c>
      <c r="BZ19" s="15" t="n">
        <v>269845.54</v>
      </c>
      <c r="CA19" s="15" t="n">
        <v>220497.64</v>
      </c>
      <c r="CB19" s="15" t="n">
        <v>947721.6800000001</v>
      </c>
      <c r="CC19" s="15" t="n">
        <v>716986.86</v>
      </c>
      <c r="CD19" s="15" t="n">
        <v>1243108.01</v>
      </c>
      <c r="CE19" s="15" t="n">
        <v>291574.76</v>
      </c>
      <c r="CF19" s="15" t="n">
        <v>145007.8</v>
      </c>
      <c r="CG19" s="15" t="n">
        <v>1370606.9</v>
      </c>
      <c r="CH19" s="15" t="n">
        <v>3074695.59</v>
      </c>
      <c r="CI19" s="15" t="n">
        <v>63319.02</v>
      </c>
      <c r="CJ19" s="15" t="n">
        <v>779478.39</v>
      </c>
      <c r="CK19" s="15" t="n">
        <v>310720.45</v>
      </c>
      <c r="CL19" s="15" t="n">
        <v>791867.61</v>
      </c>
      <c r="CM19" s="15" t="n">
        <v>670840.42</v>
      </c>
      <c r="CN19" s="15" t="n">
        <v>2826184.35</v>
      </c>
      <c r="CO19" s="15" t="n">
        <v>172503.59</v>
      </c>
      <c r="CP19" s="15" t="n">
        <v>930980.04</v>
      </c>
      <c r="CQ19" s="15" t="n">
        <v>219781.63</v>
      </c>
      <c r="CR19" s="15" t="n">
        <v>223259.36</v>
      </c>
      <c r="CS19" s="15" t="n">
        <v>1336025.67</v>
      </c>
      <c r="CT19" s="15" t="n">
        <v>3964147.11</v>
      </c>
      <c r="CU19" s="15" t="n">
        <v>596691.61</v>
      </c>
      <c r="CV19" s="15" t="n">
        <v>1487656.62</v>
      </c>
      <c r="CW19" s="15" t="n">
        <v>20937.9</v>
      </c>
      <c r="CX19" s="15" t="n">
        <v>719593.1800000001</v>
      </c>
      <c r="CY19" s="15" t="n">
        <v>364717.7</v>
      </c>
      <c r="CZ19" s="15" t="n">
        <v>1892694.64</v>
      </c>
      <c r="DA19" s="15" t="n">
        <v>1996524.64</v>
      </c>
      <c r="DB19" s="15" t="n">
        <v>1198758.4</v>
      </c>
      <c r="DC19" s="15" t="n">
        <v>180807.76</v>
      </c>
      <c r="DD19" s="15" t="n">
        <v>-8605.98</v>
      </c>
      <c r="DE19" s="15" t="n">
        <v>640823.8199999999</v>
      </c>
      <c r="DF19" s="15" t="n">
        <v>2838753.61</v>
      </c>
      <c r="DG19" s="15" t="n">
        <v>2103233.88</v>
      </c>
      <c r="DH19" s="15" t="n">
        <v>284673.31</v>
      </c>
      <c r="DI19" s="15" t="n">
        <v>360220.88</v>
      </c>
      <c r="DJ19" s="15" t="n">
        <v>975156.95</v>
      </c>
      <c r="DK19" s="15" t="n">
        <v>766384.88</v>
      </c>
      <c r="DL19" s="15" t="n">
        <v>911704.4300000001</v>
      </c>
      <c r="DM19" s="15" t="n">
        <v>2191052.1</v>
      </c>
      <c r="DN19" s="15" t="n">
        <v>1314494.3</v>
      </c>
      <c r="DO19" s="15" t="n">
        <v>299981.22</v>
      </c>
      <c r="DP19" s="15" t="n">
        <v>-34152.99</v>
      </c>
    </row>
    <row r="20">
      <c r="A20" s="4" t="inlineStr">
        <is>
          <t>其他产品B</t>
        </is>
      </c>
      <c r="B20" s="15" t="n">
        <v>2596419.71</v>
      </c>
      <c r="C20" s="15" t="n">
        <v>2039790.86</v>
      </c>
      <c r="D20" s="15" t="n">
        <v>608593.4399999999</v>
      </c>
      <c r="E20" s="15" t="n">
        <v>215440.96</v>
      </c>
      <c r="F20" s="15" t="n">
        <v>457458.15</v>
      </c>
      <c r="G20" s="15" t="n">
        <v>1961688.07</v>
      </c>
      <c r="H20" s="15" t="n">
        <v>1549904.91</v>
      </c>
      <c r="I20" s="15" t="n">
        <v>882033.24</v>
      </c>
      <c r="J20" s="15" t="n">
        <v>165519.7</v>
      </c>
      <c r="K20" s="15" t="n">
        <v>381121.18</v>
      </c>
      <c r="L20" s="15" t="n">
        <v>161986.36</v>
      </c>
      <c r="M20" s="15" t="n">
        <v>2226028.01</v>
      </c>
      <c r="N20" s="15" t="n">
        <v>2286193.38</v>
      </c>
      <c r="O20" s="15" t="n">
        <v>119798.58</v>
      </c>
      <c r="P20" s="15" t="n">
        <v>1127088.72</v>
      </c>
      <c r="Q20" s="15" t="n">
        <v>392564.44</v>
      </c>
      <c r="R20" s="15" t="n">
        <v>772458.5</v>
      </c>
      <c r="S20" s="15" t="n">
        <v>2325397.4</v>
      </c>
      <c r="T20" s="15" t="n">
        <v>3578521.45</v>
      </c>
      <c r="U20" s="15" t="n">
        <v>1434884.85</v>
      </c>
      <c r="V20" s="15" t="n">
        <v>1242731.88</v>
      </c>
      <c r="W20" s="15" t="n">
        <v>245777.64</v>
      </c>
      <c r="X20" s="15" t="n">
        <v>585546.87</v>
      </c>
      <c r="Y20" s="15" t="n">
        <v>839685.6</v>
      </c>
      <c r="Z20" s="15" t="n">
        <v>2629803.34</v>
      </c>
      <c r="AA20" s="15" t="n">
        <v>1196072.58</v>
      </c>
      <c r="AB20" s="15" t="n">
        <v>351621.65</v>
      </c>
      <c r="AC20" s="15" t="n">
        <v>356630.88</v>
      </c>
      <c r="AD20" s="15" t="n">
        <v>231030.48</v>
      </c>
      <c r="AE20" s="15" t="n">
        <v>1630644.15</v>
      </c>
      <c r="AF20" s="15" t="n">
        <v>2114998.14</v>
      </c>
      <c r="AG20" s="15" t="n">
        <v>1725887.97</v>
      </c>
      <c r="AH20" s="15" t="n">
        <v>424196.8</v>
      </c>
      <c r="AI20" s="15" t="n">
        <v>125591.18</v>
      </c>
      <c r="AJ20" s="15" t="n">
        <v>364561.64</v>
      </c>
      <c r="AK20" s="15" t="n">
        <v>2272394.28</v>
      </c>
      <c r="AL20" s="15" t="n">
        <v>3221618.77</v>
      </c>
      <c r="AM20" s="15" t="n">
        <v>744227.95</v>
      </c>
      <c r="AN20" s="15" t="n">
        <v>1588541.72</v>
      </c>
      <c r="AO20" s="15" t="n">
        <v>147137.76</v>
      </c>
      <c r="AP20" s="15" t="n">
        <v>42969.2</v>
      </c>
      <c r="AQ20" s="15" t="n">
        <v>2384799.34</v>
      </c>
      <c r="AR20" s="15" t="n">
        <v>2318060.81</v>
      </c>
      <c r="AS20" s="15" t="n">
        <v>2238642.72</v>
      </c>
      <c r="AT20" s="15" t="n">
        <v>599875.59</v>
      </c>
      <c r="AU20" s="15" t="n">
        <v>16410.07</v>
      </c>
      <c r="AV20" s="15" t="n">
        <v>516549.65</v>
      </c>
      <c r="AW20" s="15" t="n">
        <v>3013398.53</v>
      </c>
      <c r="AX20" s="15" t="n">
        <v>1578214.43</v>
      </c>
      <c r="AY20" s="15" t="n">
        <v>915114.65</v>
      </c>
      <c r="AZ20" s="15" t="n">
        <v>929254.1</v>
      </c>
      <c r="BA20" s="15" t="n">
        <v>161647.38</v>
      </c>
      <c r="BB20" s="15" t="n">
        <v>1022313.92</v>
      </c>
      <c r="BC20" s="15" t="n">
        <v>1534702.01</v>
      </c>
      <c r="BD20" s="15" t="n">
        <v>3532485.99</v>
      </c>
      <c r="BE20" s="15" t="n">
        <v>801434.78</v>
      </c>
      <c r="BF20" s="15" t="n">
        <v>249172.58</v>
      </c>
      <c r="BG20" s="15" t="n">
        <v>377182.46</v>
      </c>
      <c r="BH20" s="15" t="n">
        <v>87911.41</v>
      </c>
      <c r="BI20" s="15" t="n">
        <v>411028.03</v>
      </c>
      <c r="BJ20" s="15" t="n">
        <v>2673621.13</v>
      </c>
      <c r="BK20" s="15" t="n">
        <v>424590.92</v>
      </c>
      <c r="BL20" s="15" t="n">
        <v>57293.85</v>
      </c>
      <c r="BM20" s="15" t="n">
        <v>58438.8</v>
      </c>
      <c r="BN20" s="15" t="n">
        <v>1107957.93</v>
      </c>
      <c r="BO20" s="15" t="n">
        <v>2044634.74</v>
      </c>
      <c r="BP20" s="15" t="n">
        <v>1581457.96</v>
      </c>
      <c r="BQ20" s="15" t="n">
        <v>1787578.86</v>
      </c>
      <c r="BR20" s="15" t="n">
        <v>1535779.59</v>
      </c>
      <c r="BS20" s="15" t="n">
        <v>55542.17</v>
      </c>
      <c r="BT20" s="15" t="n">
        <v>433109.6</v>
      </c>
      <c r="BU20" s="15" t="n">
        <v>2763283.69</v>
      </c>
      <c r="BV20" s="15" t="n">
        <v>158272.08</v>
      </c>
      <c r="BW20" s="15" t="n">
        <v>324454.37</v>
      </c>
      <c r="BX20" s="15" t="n">
        <v>1583937.17</v>
      </c>
      <c r="BY20" s="15" t="n">
        <v>355371.25</v>
      </c>
      <c r="BZ20" s="15" t="n">
        <v>911608.53</v>
      </c>
      <c r="CA20" s="15" t="n">
        <v>1431312.62</v>
      </c>
      <c r="CB20" s="15" t="n">
        <v>92652.85000000001</v>
      </c>
      <c r="CC20" s="15" t="n">
        <v>1575278.41</v>
      </c>
      <c r="CD20" s="15" t="n">
        <v>949874.55</v>
      </c>
      <c r="CE20" s="15" t="n">
        <v>338972.24</v>
      </c>
      <c r="CF20" s="15" t="n">
        <v>-155256.09</v>
      </c>
      <c r="CG20" s="15" t="n">
        <v>1806823.07</v>
      </c>
      <c r="CH20" s="15" t="n">
        <v>2642427.59</v>
      </c>
      <c r="CI20" s="15" t="n">
        <v>163150.71</v>
      </c>
      <c r="CJ20" s="15" t="n">
        <v>1397813.98</v>
      </c>
      <c r="CK20" s="15" t="n">
        <v>397908.16</v>
      </c>
      <c r="CL20" s="15" t="n">
        <v>519448.03</v>
      </c>
      <c r="CM20" s="15" t="n">
        <v>1337894.43</v>
      </c>
      <c r="CN20" s="15" t="n">
        <v>738906.6899999999</v>
      </c>
      <c r="CO20" s="15" t="n">
        <v>104737.79</v>
      </c>
      <c r="CP20" s="15" t="n">
        <v>1487641.67</v>
      </c>
      <c r="CQ20" s="15" t="n">
        <v>322488.4</v>
      </c>
      <c r="CR20" s="15" t="n">
        <v>747090.66</v>
      </c>
      <c r="CS20" s="15" t="n">
        <v>1706896.49</v>
      </c>
      <c r="CT20" s="15" t="n">
        <v>1902561.36</v>
      </c>
      <c r="CU20" s="15" t="n">
        <v>1202708.52</v>
      </c>
      <c r="CV20" s="15" t="n">
        <v>801290.08</v>
      </c>
      <c r="CW20" s="15" t="n">
        <v>27502.98</v>
      </c>
      <c r="CX20" s="15" t="n">
        <v>217441.1</v>
      </c>
      <c r="CY20" s="15" t="n">
        <v>1910067.8</v>
      </c>
      <c r="CZ20" s="15" t="n">
        <v>605796.11</v>
      </c>
      <c r="DA20" s="15" t="n">
        <v>955159.76</v>
      </c>
      <c r="DB20" s="15" t="n">
        <v>221036.4</v>
      </c>
      <c r="DC20" s="15" t="n">
        <v>383868.42</v>
      </c>
      <c r="DD20" s="15" t="n">
        <v>-16953.54</v>
      </c>
      <c r="DE20" s="15" t="n">
        <v>1117230.47</v>
      </c>
      <c r="DF20" s="15" t="n">
        <v>2618119.82</v>
      </c>
      <c r="DG20" s="15" t="n">
        <v>1865880.33</v>
      </c>
      <c r="DH20" s="15" t="n">
        <v>966238.42</v>
      </c>
      <c r="DI20" s="15" t="n">
        <v>165283.03</v>
      </c>
      <c r="DJ20" s="15" t="n">
        <v>430259.2</v>
      </c>
      <c r="DK20" s="15" t="n">
        <v>3087544.54</v>
      </c>
      <c r="DL20" s="15" t="n">
        <v>1842424.72</v>
      </c>
      <c r="DM20" s="15" t="n">
        <v>1543260.27</v>
      </c>
      <c r="DN20" s="15" t="n">
        <v>1539420.05</v>
      </c>
      <c r="DO20" s="15" t="n">
        <v>149910.66</v>
      </c>
      <c r="DP20" s="15" t="n">
        <v>785695.1</v>
      </c>
    </row>
    <row r="21">
      <c r="A21" s="4" t="inlineStr">
        <is>
          <t>其他产品C</t>
        </is>
      </c>
      <c r="B21" s="15" t="n">
        <v>2286688.52</v>
      </c>
      <c r="C21" s="15" t="n">
        <v>311585.28</v>
      </c>
      <c r="D21" s="15" t="n">
        <v>955062.1</v>
      </c>
      <c r="E21" s="15" t="n">
        <v>73557.53999999999</v>
      </c>
      <c r="F21" s="15" t="n">
        <v>-109790.38</v>
      </c>
      <c r="G21" s="15" t="n">
        <v>2777645.7</v>
      </c>
      <c r="H21" s="15" t="n">
        <v>3614188.74</v>
      </c>
      <c r="I21" s="15" t="n">
        <v>330537.41</v>
      </c>
      <c r="J21" s="15" t="n">
        <v>340169.22</v>
      </c>
      <c r="K21" s="15" t="n">
        <v>165297.14</v>
      </c>
      <c r="L21" s="15" t="n">
        <v>1003456.62</v>
      </c>
      <c r="M21" s="15" t="n">
        <v>2351188.02</v>
      </c>
      <c r="N21" s="15" t="n">
        <v>2310220.06</v>
      </c>
      <c r="O21" s="15" t="n">
        <v>1785016.36</v>
      </c>
      <c r="P21" s="15" t="n">
        <v>743948.85</v>
      </c>
      <c r="Q21" s="15" t="n">
        <v>118665.16</v>
      </c>
      <c r="R21" s="15" t="n">
        <v>561679.6899999999</v>
      </c>
      <c r="S21" s="15" t="n">
        <v>2165806.97</v>
      </c>
      <c r="T21" s="15" t="n">
        <v>764855.52</v>
      </c>
      <c r="U21" s="15" t="n">
        <v>153566.65</v>
      </c>
      <c r="V21" s="15" t="n">
        <v>801646.74</v>
      </c>
      <c r="W21" s="15" t="n">
        <v>49489.53</v>
      </c>
      <c r="X21" s="15" t="n">
        <v>475086.8</v>
      </c>
      <c r="Y21" s="15" t="n">
        <v>897184.49</v>
      </c>
      <c r="Z21" s="15" t="n">
        <v>3257056.47</v>
      </c>
      <c r="AA21" s="15" t="n">
        <v>1282661.74</v>
      </c>
      <c r="AB21" s="15" t="n">
        <v>1028116.09</v>
      </c>
      <c r="AC21" s="15" t="n">
        <v>82141.60000000001</v>
      </c>
      <c r="AD21" s="15" t="n">
        <v>576222.25</v>
      </c>
      <c r="AE21" s="15" t="n">
        <v>1791925.74</v>
      </c>
      <c r="AF21" s="15" t="n">
        <v>2944825.65</v>
      </c>
      <c r="AG21" s="15" t="n">
        <v>1200631.42</v>
      </c>
      <c r="AH21" s="15" t="n">
        <v>802673.85</v>
      </c>
      <c r="AI21" s="15" t="n">
        <v>207760.07</v>
      </c>
      <c r="AJ21" s="15" t="n">
        <v>1123666.35</v>
      </c>
      <c r="AK21" s="15" t="n">
        <v>948831.71</v>
      </c>
      <c r="AL21" s="15" t="n">
        <v>1848417.19</v>
      </c>
      <c r="AM21" s="15" t="n">
        <v>609558.97</v>
      </c>
      <c r="AN21" s="15" t="n">
        <v>1383493.18</v>
      </c>
      <c r="AO21" s="15" t="n">
        <v>248773.75</v>
      </c>
      <c r="AP21" s="15" t="n">
        <v>687213.9399999999</v>
      </c>
      <c r="AQ21" s="15" t="n">
        <v>2190503.11</v>
      </c>
      <c r="AR21" s="15" t="n">
        <v>1385722.14</v>
      </c>
      <c r="AS21" s="15" t="n">
        <v>1341755.49</v>
      </c>
      <c r="AT21" s="15" t="n">
        <v>358397.68</v>
      </c>
      <c r="AU21" s="15" t="n">
        <v>100197.06</v>
      </c>
      <c r="AV21" s="15" t="n">
        <v>365814.88</v>
      </c>
      <c r="AW21" s="15" t="n">
        <v>1878768.35</v>
      </c>
      <c r="AX21" s="15" t="n">
        <v>1921129.05</v>
      </c>
      <c r="AY21" s="15" t="n">
        <v>340108.38</v>
      </c>
      <c r="AZ21" s="15" t="n">
        <v>571458.02</v>
      </c>
      <c r="BA21" s="15" t="n">
        <v>311024.34</v>
      </c>
      <c r="BB21" s="15" t="n">
        <v>985600.62</v>
      </c>
      <c r="BC21" s="15" t="n">
        <v>1982084.37</v>
      </c>
      <c r="BD21" s="15" t="n">
        <v>321401.46</v>
      </c>
      <c r="BE21" s="15" t="n">
        <v>941680.38</v>
      </c>
      <c r="BF21" s="15" t="n">
        <v>418609.56</v>
      </c>
      <c r="BG21" s="15" t="n">
        <v>259041.52</v>
      </c>
      <c r="BH21" s="15" t="n">
        <v>7400.65</v>
      </c>
      <c r="BI21" s="15" t="n">
        <v>1260458.13</v>
      </c>
      <c r="BJ21" s="15" t="n">
        <v>2004337.8</v>
      </c>
      <c r="BK21" s="15" t="n">
        <v>1405881.74</v>
      </c>
      <c r="BL21" s="15" t="n">
        <v>916658.11</v>
      </c>
      <c r="BM21" s="15" t="n">
        <v>385168.44</v>
      </c>
      <c r="BN21" s="15" t="n">
        <v>622266.58</v>
      </c>
      <c r="BO21" s="15" t="n">
        <v>725127.97</v>
      </c>
      <c r="BP21" s="15" t="n">
        <v>1016783.93</v>
      </c>
      <c r="BQ21" s="15" t="n">
        <v>136368.67</v>
      </c>
      <c r="BR21" s="15" t="n">
        <v>1009347.95</v>
      </c>
      <c r="BS21" s="15" t="n">
        <v>104163.75</v>
      </c>
      <c r="BT21" s="15" t="n">
        <v>594953.75</v>
      </c>
      <c r="BU21" s="15" t="n">
        <v>1810160.48</v>
      </c>
      <c r="BV21" s="15" t="n">
        <v>235253.77</v>
      </c>
      <c r="BW21" s="15" t="n">
        <v>1556558.93</v>
      </c>
      <c r="BX21" s="15" t="n">
        <v>856105.11</v>
      </c>
      <c r="BY21" s="15" t="n">
        <v>210115.04</v>
      </c>
      <c r="BZ21" s="15" t="n">
        <v>843739.4399999999</v>
      </c>
      <c r="CA21" s="15" t="n">
        <v>2519260.04</v>
      </c>
      <c r="CB21" s="15" t="n">
        <v>1545731.31</v>
      </c>
      <c r="CC21" s="15" t="n">
        <v>601711.92</v>
      </c>
      <c r="CD21" s="15" t="n">
        <v>1351474.61</v>
      </c>
      <c r="CE21" s="15" t="n">
        <v>77750.92</v>
      </c>
      <c r="CF21" s="15" t="n">
        <v>777782.48</v>
      </c>
      <c r="CG21" s="15" t="n">
        <v>231033.66</v>
      </c>
      <c r="CH21" s="15" t="n">
        <v>2425033.83</v>
      </c>
      <c r="CI21" s="15" t="n">
        <v>698953.16</v>
      </c>
      <c r="CJ21" s="15" t="n">
        <v>885395.17</v>
      </c>
      <c r="CK21" s="15" t="n">
        <v>200456.2</v>
      </c>
      <c r="CL21" s="15" t="n">
        <v>492874.1</v>
      </c>
      <c r="CM21" s="15" t="n">
        <v>452519.32</v>
      </c>
      <c r="CN21" s="15" t="n">
        <v>810282.5</v>
      </c>
      <c r="CO21" s="15" t="n">
        <v>418777.74</v>
      </c>
      <c r="CP21" s="15" t="n">
        <v>951970.22</v>
      </c>
      <c r="CQ21" s="15" t="n">
        <v>268465.71</v>
      </c>
      <c r="CR21" s="15" t="n">
        <v>107876.3</v>
      </c>
      <c r="CS21" s="15" t="n">
        <v>2403482.95</v>
      </c>
      <c r="CT21" s="15" t="n">
        <v>559104.38</v>
      </c>
      <c r="CU21" s="15" t="n">
        <v>590743.45</v>
      </c>
      <c r="CV21" s="15" t="n">
        <v>1558110.33</v>
      </c>
      <c r="CW21" s="15" t="n">
        <v>321852.27</v>
      </c>
      <c r="CX21" s="15" t="n">
        <v>26925.06</v>
      </c>
      <c r="CY21" s="15" t="n">
        <v>757144.77</v>
      </c>
      <c r="CZ21" s="15" t="n">
        <v>1806745.09</v>
      </c>
      <c r="DA21" s="15" t="n">
        <v>1130131.79</v>
      </c>
      <c r="DB21" s="15" t="n">
        <v>699498.3100000001</v>
      </c>
      <c r="DC21" s="15" t="n">
        <v>363020.86</v>
      </c>
      <c r="DD21" s="15" t="n">
        <v>-149018.16</v>
      </c>
      <c r="DE21" s="15" t="n">
        <v>830109.37</v>
      </c>
      <c r="DF21" s="15" t="n">
        <v>2632008.74</v>
      </c>
      <c r="DG21" s="15" t="n">
        <v>1660672.54</v>
      </c>
      <c r="DH21" s="15" t="n">
        <v>1300807.97</v>
      </c>
      <c r="DI21" s="15" t="n">
        <v>180235.82</v>
      </c>
      <c r="DJ21" s="15" t="n">
        <v>977636.98</v>
      </c>
      <c r="DK21" s="15" t="n">
        <v>2084117.84</v>
      </c>
      <c r="DL21" s="15" t="n">
        <v>297485.24</v>
      </c>
      <c r="DM21" s="15" t="n">
        <v>813944.73</v>
      </c>
      <c r="DN21" s="15" t="n">
        <v>780051.15</v>
      </c>
      <c r="DO21" s="15" t="n">
        <v>266785.36</v>
      </c>
      <c r="DP21" s="15" t="n">
        <v>825687.9399999999</v>
      </c>
    </row>
    <row r="22">
      <c r="A22" s="4" t="inlineStr">
        <is>
          <t>数控机床</t>
        </is>
      </c>
      <c r="B22" s="15" t="n">
        <v>3141420.82</v>
      </c>
      <c r="C22" s="15" t="n">
        <v>1371103.29</v>
      </c>
      <c r="D22" s="15" t="n">
        <v>742549.34</v>
      </c>
      <c r="E22" s="15" t="n">
        <v>87905.28</v>
      </c>
      <c r="F22" s="15" t="n">
        <v>1083894.5</v>
      </c>
      <c r="G22" s="15" t="n">
        <v>2162979.15</v>
      </c>
      <c r="H22" s="15" t="n">
        <v>909797.01</v>
      </c>
      <c r="I22" s="15" t="n">
        <v>1555018.22</v>
      </c>
      <c r="J22" s="15" t="n">
        <v>342931.02</v>
      </c>
      <c r="K22" s="15" t="n">
        <v>105072.95</v>
      </c>
      <c r="L22" s="15" t="n">
        <v>1097989.73</v>
      </c>
      <c r="M22" s="15" t="n">
        <v>303877.08</v>
      </c>
      <c r="N22" s="15" t="n">
        <v>2784541.85</v>
      </c>
      <c r="O22" s="15" t="n">
        <v>1212131.11</v>
      </c>
      <c r="P22" s="15" t="n">
        <v>66145.63</v>
      </c>
      <c r="Q22" s="15" t="n">
        <v>238343.31</v>
      </c>
      <c r="R22" s="15" t="n">
        <v>1063906.95</v>
      </c>
      <c r="S22" s="15" t="n">
        <v>1504763.89</v>
      </c>
      <c r="T22" s="15" t="n">
        <v>276642.22</v>
      </c>
      <c r="U22" s="15" t="n">
        <v>686977.03</v>
      </c>
      <c r="V22" s="15" t="n">
        <v>70868.87</v>
      </c>
      <c r="W22" s="15" t="n">
        <v>316589.33</v>
      </c>
      <c r="X22" s="15" t="n">
        <v>357527.74</v>
      </c>
      <c r="Y22" s="15" t="n">
        <v>2264937.26</v>
      </c>
      <c r="Z22" s="15" t="n">
        <v>1542786.68</v>
      </c>
      <c r="AA22" s="15" t="n">
        <v>1561869.67</v>
      </c>
      <c r="AB22" s="15" t="n">
        <v>1587029.14</v>
      </c>
      <c r="AC22" s="15" t="n">
        <v>81089.7</v>
      </c>
      <c r="AD22" s="15" t="n">
        <v>672063.39</v>
      </c>
      <c r="AE22" s="15" t="n">
        <v>682040.1800000001</v>
      </c>
      <c r="AF22" s="15" t="n">
        <v>2340342.19</v>
      </c>
      <c r="AG22" s="15" t="n">
        <v>1005115</v>
      </c>
      <c r="AH22" s="15" t="n">
        <v>614066.8</v>
      </c>
      <c r="AI22" s="15" t="n">
        <v>332099.19</v>
      </c>
      <c r="AJ22" s="15" t="n">
        <v>466432.16</v>
      </c>
      <c r="AK22" s="15" t="n">
        <v>78939.42999999999</v>
      </c>
      <c r="AL22" s="15" t="n">
        <v>2121748.47</v>
      </c>
      <c r="AM22" s="15" t="n">
        <v>789875.74</v>
      </c>
      <c r="AN22" s="15" t="n">
        <v>42251.17</v>
      </c>
      <c r="AO22" s="15" t="n">
        <v>232470.98</v>
      </c>
      <c r="AP22" s="15" t="n">
        <v>210295.5</v>
      </c>
      <c r="AQ22" s="15" t="n">
        <v>2491297.63</v>
      </c>
      <c r="AR22" s="15" t="n">
        <v>2350502.1</v>
      </c>
      <c r="AS22" s="15" t="n">
        <v>2202125.32</v>
      </c>
      <c r="AT22" s="15" t="n">
        <v>437379.58</v>
      </c>
      <c r="AU22" s="15" t="n">
        <v>49612.81</v>
      </c>
      <c r="AV22" s="15" t="n">
        <v>908755.16</v>
      </c>
      <c r="AW22" s="15" t="n">
        <v>275551.08</v>
      </c>
      <c r="AX22" s="15" t="n">
        <v>1255380.47</v>
      </c>
      <c r="AY22" s="15" t="n">
        <v>2066268.74</v>
      </c>
      <c r="AZ22" s="15" t="n">
        <v>1250762.55</v>
      </c>
      <c r="BA22" s="15" t="n">
        <v>240457.8</v>
      </c>
      <c r="BB22" s="15" t="n">
        <v>194201.87</v>
      </c>
      <c r="BC22" s="15" t="n">
        <v>669095.5600000001</v>
      </c>
      <c r="BD22" s="15" t="n">
        <v>1171348.02</v>
      </c>
      <c r="BE22" s="15" t="n">
        <v>1422829.38</v>
      </c>
      <c r="BF22" s="15" t="n">
        <v>197735.64</v>
      </c>
      <c r="BG22" s="15" t="n">
        <v>383427.84</v>
      </c>
      <c r="BH22" s="15" t="n">
        <v>-14746.26</v>
      </c>
      <c r="BI22" s="15" t="n">
        <v>1709056.2</v>
      </c>
      <c r="BJ22" s="15" t="n">
        <v>358334.13</v>
      </c>
      <c r="BK22" s="15" t="n">
        <v>1331480.54</v>
      </c>
      <c r="BL22" s="15" t="n">
        <v>1030353.39</v>
      </c>
      <c r="BM22" s="15" t="n">
        <v>170938.3</v>
      </c>
      <c r="BN22" s="15" t="n">
        <v>1055364.57</v>
      </c>
      <c r="BO22" s="15" t="n">
        <v>2016008.71</v>
      </c>
      <c r="BP22" s="15" t="n">
        <v>525407.37</v>
      </c>
      <c r="BQ22" s="15" t="n">
        <v>2304474.01</v>
      </c>
      <c r="BR22" s="15" t="n">
        <v>1224054.75</v>
      </c>
      <c r="BS22" s="15" t="n">
        <v>346162.61</v>
      </c>
      <c r="BT22" s="15" t="n">
        <v>637264.17</v>
      </c>
      <c r="BU22" s="15" t="n">
        <v>1223413.46</v>
      </c>
      <c r="BV22" s="15" t="n">
        <v>3886831.99</v>
      </c>
      <c r="BW22" s="15" t="n">
        <v>802896.79</v>
      </c>
      <c r="BX22" s="15" t="n">
        <v>853412.29</v>
      </c>
      <c r="BY22" s="15" t="n">
        <v>320257.24</v>
      </c>
      <c r="BZ22" s="15" t="n">
        <v>1047324.97</v>
      </c>
      <c r="CA22" s="15" t="n">
        <v>307240.38</v>
      </c>
      <c r="CB22" s="15" t="n">
        <v>429477.87</v>
      </c>
      <c r="CC22" s="15" t="n">
        <v>1733536.26</v>
      </c>
      <c r="CD22" s="15" t="n">
        <v>75532.62</v>
      </c>
      <c r="CE22" s="15" t="n">
        <v>81951.64999999999</v>
      </c>
      <c r="CF22" s="15" t="n">
        <v>462955.57</v>
      </c>
      <c r="CG22" s="15" t="n">
        <v>1304669.33</v>
      </c>
      <c r="CH22" s="15" t="n">
        <v>2600660.67</v>
      </c>
      <c r="CI22" s="15" t="n">
        <v>2095767.56</v>
      </c>
      <c r="CJ22" s="15" t="n">
        <v>1341991.88</v>
      </c>
      <c r="CK22" s="15" t="n">
        <v>120226.6</v>
      </c>
      <c r="CL22" s="15" t="n">
        <v>1108908.74</v>
      </c>
      <c r="CM22" s="15" t="n">
        <v>2218796.17</v>
      </c>
      <c r="CN22" s="15" t="n">
        <v>1586645.21</v>
      </c>
      <c r="CO22" s="15" t="n">
        <v>758040.42</v>
      </c>
      <c r="CP22" s="15" t="n">
        <v>1506239.04</v>
      </c>
      <c r="CQ22" s="15" t="n">
        <v>364167.86</v>
      </c>
      <c r="CR22" s="15" t="n">
        <v>226011.99</v>
      </c>
      <c r="CS22" s="15" t="n">
        <v>3165951.58</v>
      </c>
      <c r="CT22" s="15" t="n">
        <v>92726.25</v>
      </c>
      <c r="CU22" s="15" t="n">
        <v>466347.2</v>
      </c>
      <c r="CV22" s="15" t="n">
        <v>211529.96</v>
      </c>
      <c r="CW22" s="15" t="n">
        <v>98361.83</v>
      </c>
      <c r="CX22" s="15" t="n">
        <v>804306.34</v>
      </c>
      <c r="CY22" s="15" t="n">
        <v>2550994.48</v>
      </c>
      <c r="CZ22" s="15" t="n">
        <v>2522095.4</v>
      </c>
      <c r="DA22" s="15" t="n">
        <v>1684442.94</v>
      </c>
      <c r="DB22" s="15" t="n">
        <v>244232.26</v>
      </c>
      <c r="DC22" s="15" t="n">
        <v>105983.76</v>
      </c>
      <c r="DD22" s="15" t="n">
        <v>226907.47</v>
      </c>
      <c r="DE22" s="15" t="n">
        <v>1601240.32</v>
      </c>
      <c r="DF22" s="15" t="n">
        <v>3451578.16</v>
      </c>
      <c r="DG22" s="15" t="n">
        <v>1813762.18</v>
      </c>
      <c r="DH22" s="15" t="n">
        <v>405854.19</v>
      </c>
      <c r="DI22" s="15" t="n">
        <v>123680.7</v>
      </c>
      <c r="DJ22" s="15" t="n">
        <v>215624.98</v>
      </c>
      <c r="DK22" s="15" t="n">
        <v>1265166.06</v>
      </c>
      <c r="DL22" s="15" t="n">
        <v>323270.99</v>
      </c>
      <c r="DM22" s="15" t="n">
        <v>2286353.58</v>
      </c>
      <c r="DN22" s="15" t="n">
        <v>1004768.45</v>
      </c>
      <c r="DO22" s="15" t="n">
        <v>141484.19</v>
      </c>
      <c r="DP22" s="15" t="n">
        <v>1099608.32</v>
      </c>
    </row>
    <row r="23">
      <c r="A23" s="4" t="inlineStr">
        <is>
          <t>精密轴承</t>
        </is>
      </c>
      <c r="B23" s="15" t="n">
        <v>1931354.95</v>
      </c>
      <c r="C23" s="15" t="n">
        <v>164629.49</v>
      </c>
      <c r="D23" s="15" t="n">
        <v>1064593.95</v>
      </c>
      <c r="E23" s="15" t="n">
        <v>171511.27</v>
      </c>
      <c r="F23" s="15" t="n">
        <v>922704.54</v>
      </c>
      <c r="G23" s="15" t="n">
        <v>847483.65</v>
      </c>
      <c r="H23" s="15" t="n">
        <v>2317067.34</v>
      </c>
      <c r="I23" s="15" t="n">
        <v>2054804.04</v>
      </c>
      <c r="J23" s="15" t="n">
        <v>137954.92</v>
      </c>
      <c r="K23" s="15" t="n">
        <v>181066.78</v>
      </c>
      <c r="L23" s="15" t="n">
        <v>1193489.2</v>
      </c>
      <c r="M23" s="15" t="n">
        <v>1185027.11</v>
      </c>
      <c r="N23" s="15" t="n">
        <v>1613437</v>
      </c>
      <c r="O23" s="15" t="n">
        <v>841322.6</v>
      </c>
      <c r="P23" s="15" t="n">
        <v>134100.86</v>
      </c>
      <c r="Q23" s="15" t="n">
        <v>255903.49</v>
      </c>
      <c r="R23" s="15" t="n">
        <v>843869.4399999999</v>
      </c>
      <c r="S23" s="15" t="n">
        <v>2385307.18</v>
      </c>
      <c r="T23" s="15" t="n">
        <v>81783.86</v>
      </c>
      <c r="U23" s="15" t="n">
        <v>448914.83</v>
      </c>
      <c r="V23" s="15" t="n">
        <v>477047.25</v>
      </c>
      <c r="W23" s="15" t="n">
        <v>49824.07</v>
      </c>
      <c r="X23" s="15" t="n">
        <v>299617.29</v>
      </c>
      <c r="Y23" s="15" t="n">
        <v>275288.05</v>
      </c>
      <c r="Z23" s="15" t="n">
        <v>2097213.72</v>
      </c>
      <c r="AA23" s="15" t="n">
        <v>2177609.13</v>
      </c>
      <c r="AB23" s="15" t="n">
        <v>550496.97</v>
      </c>
      <c r="AC23" s="15" t="n">
        <v>107212.4</v>
      </c>
      <c r="AD23" s="15" t="n">
        <v>968801.48</v>
      </c>
      <c r="AE23" s="15" t="n">
        <v>1722259.05</v>
      </c>
      <c r="AF23" s="15" t="n">
        <v>3820735.73</v>
      </c>
      <c r="AG23" s="15" t="n">
        <v>837745.3199999999</v>
      </c>
      <c r="AH23" s="15" t="n">
        <v>209004.72</v>
      </c>
      <c r="AI23" s="15" t="n">
        <v>93586.11</v>
      </c>
      <c r="AJ23" s="15" t="n">
        <v>108000.04</v>
      </c>
      <c r="AK23" s="15" t="n">
        <v>1293518.2</v>
      </c>
      <c r="AL23" s="15" t="n">
        <v>2944811.45</v>
      </c>
      <c r="AM23" s="15" t="n">
        <v>77007.3</v>
      </c>
      <c r="AN23" s="15" t="n">
        <v>836335.54</v>
      </c>
      <c r="AO23" s="15" t="n">
        <v>392365.37</v>
      </c>
      <c r="AP23" s="15" t="n">
        <v>652303.89</v>
      </c>
      <c r="AQ23" s="15" t="n">
        <v>2952329.03</v>
      </c>
      <c r="AR23" s="15" t="n">
        <v>1368657.56</v>
      </c>
      <c r="AS23" s="15" t="n">
        <v>1061934.2</v>
      </c>
      <c r="AT23" s="15" t="n">
        <v>1218284.29</v>
      </c>
      <c r="AU23" s="15" t="n">
        <v>133241.83</v>
      </c>
      <c r="AV23" s="15" t="n">
        <v>-1460.95</v>
      </c>
      <c r="AW23" s="15" t="n">
        <v>2092355.43</v>
      </c>
      <c r="AX23" s="15" t="n">
        <v>467703.31</v>
      </c>
      <c r="AY23" s="15" t="n">
        <v>925790.7</v>
      </c>
      <c r="AZ23" s="15" t="n">
        <v>765935.24</v>
      </c>
      <c r="BA23" s="15" t="n">
        <v>74810.67999999999</v>
      </c>
      <c r="BB23" s="15" t="n">
        <v>-79019.49000000001</v>
      </c>
      <c r="BC23" s="15" t="n">
        <v>1096350.34</v>
      </c>
      <c r="BD23" s="15" t="n">
        <v>2971879.88</v>
      </c>
      <c r="BE23" s="15" t="n">
        <v>763049.73</v>
      </c>
      <c r="BF23" s="15" t="n">
        <v>298397.84</v>
      </c>
      <c r="BG23" s="15" t="n">
        <v>41572.59</v>
      </c>
      <c r="BH23" s="15" t="n">
        <v>635459.01</v>
      </c>
      <c r="BI23" s="15" t="n">
        <v>428225.15</v>
      </c>
      <c r="BJ23" s="15" t="n">
        <v>2767448.95</v>
      </c>
      <c r="BK23" s="15" t="n">
        <v>1577763.98</v>
      </c>
      <c r="BL23" s="15" t="n">
        <v>269491.3</v>
      </c>
      <c r="BM23" s="15" t="n">
        <v>236495.56</v>
      </c>
      <c r="BN23" s="15" t="n">
        <v>666341.8100000001</v>
      </c>
      <c r="BO23" s="15" t="n">
        <v>1643845.2</v>
      </c>
      <c r="BP23" s="15" t="n">
        <v>1217557.23</v>
      </c>
      <c r="BQ23" s="15" t="n">
        <v>716541.1899999999</v>
      </c>
      <c r="BR23" s="15" t="n">
        <v>1205710.16</v>
      </c>
      <c r="BS23" s="15" t="n">
        <v>92828.45</v>
      </c>
      <c r="BT23" s="15" t="n">
        <v>537991.99</v>
      </c>
      <c r="BU23" s="15" t="n">
        <v>1198658.18</v>
      </c>
      <c r="BV23" s="15" t="n">
        <v>2836827.65</v>
      </c>
      <c r="BW23" s="15" t="n">
        <v>2167811.73</v>
      </c>
      <c r="BX23" s="15" t="n">
        <v>936432.15</v>
      </c>
      <c r="BY23" s="15" t="n">
        <v>235551.2</v>
      </c>
      <c r="BZ23" s="15" t="n">
        <v>226933.29</v>
      </c>
      <c r="CA23" s="15" t="n">
        <v>592128.87</v>
      </c>
      <c r="CB23" s="15" t="n">
        <v>1340073.94</v>
      </c>
      <c r="CC23" s="15" t="n">
        <v>61457.15</v>
      </c>
      <c r="CD23" s="15" t="n">
        <v>207198.76</v>
      </c>
      <c r="CE23" s="15" t="n">
        <v>71617.66</v>
      </c>
      <c r="CF23" s="15" t="n">
        <v>806419.25</v>
      </c>
      <c r="CG23" s="15" t="n">
        <v>402915.78</v>
      </c>
      <c r="CH23" s="15" t="n">
        <v>1263725.42</v>
      </c>
      <c r="CI23" s="15" t="n">
        <v>149038.34</v>
      </c>
      <c r="CJ23" s="15" t="n">
        <v>97799.53999999999</v>
      </c>
      <c r="CK23" s="15" t="n">
        <v>361651.15</v>
      </c>
      <c r="CL23" s="15" t="n">
        <v>719378.88</v>
      </c>
      <c r="CM23" s="15" t="n">
        <v>2264973.02</v>
      </c>
      <c r="CN23" s="15" t="n">
        <v>1788492.01</v>
      </c>
      <c r="CO23" s="15" t="n">
        <v>2352237.15</v>
      </c>
      <c r="CP23" s="15" t="n">
        <v>829367.79</v>
      </c>
      <c r="CQ23" s="15" t="n">
        <v>212064.21</v>
      </c>
      <c r="CR23" s="15" t="n">
        <v>388413.98</v>
      </c>
      <c r="CS23" s="15" t="n">
        <v>2021620.77</v>
      </c>
      <c r="CT23" s="15" t="n">
        <v>2211535.79</v>
      </c>
      <c r="CU23" s="15" t="n">
        <v>1673306.57</v>
      </c>
      <c r="CV23" s="15" t="n">
        <v>248650.85</v>
      </c>
      <c r="CW23" s="15" t="n">
        <v>81154.17</v>
      </c>
      <c r="CX23" s="15" t="n">
        <v>927034.29</v>
      </c>
      <c r="CY23" s="15" t="n">
        <v>454821.66</v>
      </c>
      <c r="CZ23" s="15" t="n">
        <v>2675331.32</v>
      </c>
      <c r="DA23" s="15" t="n">
        <v>1123010.13</v>
      </c>
      <c r="DB23" s="15" t="n">
        <v>1074151.23</v>
      </c>
      <c r="DC23" s="15" t="n">
        <v>380174.11</v>
      </c>
      <c r="DD23" s="15" t="n">
        <v>1134238.98</v>
      </c>
      <c r="DE23" s="15" t="n">
        <v>2927609.8</v>
      </c>
      <c r="DF23" s="15" t="n">
        <v>1303711.1</v>
      </c>
      <c r="DG23" s="15" t="n">
        <v>690356.3</v>
      </c>
      <c r="DH23" s="15" t="n">
        <v>1028594.74</v>
      </c>
      <c r="DI23" s="15" t="n">
        <v>56511.6</v>
      </c>
      <c r="DJ23" s="15" t="n">
        <v>1076047.64</v>
      </c>
      <c r="DK23" s="15" t="n">
        <v>1046680.72</v>
      </c>
      <c r="DL23" s="15" t="n">
        <v>3199915.28</v>
      </c>
      <c r="DM23" s="15" t="n">
        <v>1739847.82</v>
      </c>
      <c r="DN23" s="15" t="n">
        <v>902638.38</v>
      </c>
      <c r="DO23" s="15" t="n">
        <v>17971.07</v>
      </c>
      <c r="DP23" s="15" t="n">
        <v>-30659.62</v>
      </c>
    </row>
    <row r="24">
      <c r="A24" s="4" t="inlineStr">
        <is>
          <t>液压件</t>
        </is>
      </c>
      <c r="B24" s="15" t="n">
        <v>827497.34</v>
      </c>
      <c r="C24" s="15" t="n">
        <v>1264883.35</v>
      </c>
      <c r="D24" s="15" t="n">
        <v>1414147.65</v>
      </c>
      <c r="E24" s="15" t="n">
        <v>93349.49000000001</v>
      </c>
      <c r="F24" s="15" t="n">
        <v>328653.34</v>
      </c>
      <c r="G24" s="15" t="n">
        <v>2663183.72</v>
      </c>
      <c r="H24" s="15" t="n">
        <v>2171791.36</v>
      </c>
      <c r="I24" s="15" t="n">
        <v>449781.36</v>
      </c>
      <c r="J24" s="15" t="n">
        <v>1543996.67</v>
      </c>
      <c r="K24" s="15" t="n">
        <v>121609.33</v>
      </c>
      <c r="L24" s="15" t="n">
        <v>578676.28</v>
      </c>
      <c r="M24" s="15" t="n">
        <v>2993294.23</v>
      </c>
      <c r="N24" s="15" t="n">
        <v>3893556.15</v>
      </c>
      <c r="O24" s="15" t="n">
        <v>1758529.77</v>
      </c>
      <c r="P24" s="15" t="n">
        <v>249721.53</v>
      </c>
      <c r="Q24" s="15" t="n">
        <v>292798.84</v>
      </c>
      <c r="R24" s="15" t="n">
        <v>839295.5</v>
      </c>
      <c r="S24" s="15" t="n">
        <v>853638.5</v>
      </c>
      <c r="T24" s="15" t="n">
        <v>762689.05</v>
      </c>
      <c r="U24" s="15" t="n">
        <v>972490.4399999999</v>
      </c>
      <c r="V24" s="15" t="n">
        <v>1336471.22</v>
      </c>
      <c r="W24" s="15" t="n">
        <v>254854.91</v>
      </c>
      <c r="X24" s="15" t="n">
        <v>1198737.99</v>
      </c>
      <c r="Y24" s="15" t="n">
        <v>559796.5600000001</v>
      </c>
      <c r="Z24" s="15" t="n">
        <v>3980364.92</v>
      </c>
      <c r="AA24" s="15" t="n">
        <v>784492.87</v>
      </c>
      <c r="AB24" s="15" t="n">
        <v>1500673.29</v>
      </c>
      <c r="AC24" s="15" t="n">
        <v>387269.85</v>
      </c>
      <c r="AD24" s="15" t="n">
        <v>1038362.64</v>
      </c>
      <c r="AE24" s="15" t="n">
        <v>562391.9</v>
      </c>
      <c r="AF24" s="15" t="n">
        <v>2184633.67</v>
      </c>
      <c r="AG24" s="15" t="n">
        <v>1085258.84</v>
      </c>
      <c r="AH24" s="15" t="n">
        <v>78337.63</v>
      </c>
      <c r="AI24" s="15" t="n">
        <v>183689.91</v>
      </c>
      <c r="AJ24" s="15" t="n">
        <v>363416.61</v>
      </c>
      <c r="AK24" s="15" t="n">
        <v>1039097.73</v>
      </c>
      <c r="AL24" s="15" t="n">
        <v>607692.97</v>
      </c>
      <c r="AM24" s="15" t="n">
        <v>2208817.97</v>
      </c>
      <c r="AN24" s="15" t="n">
        <v>329478.41</v>
      </c>
      <c r="AO24" s="15" t="n">
        <v>397199.28</v>
      </c>
      <c r="AP24" s="15" t="n">
        <v>1109771.34</v>
      </c>
      <c r="AQ24" s="15" t="n">
        <v>2135883.04</v>
      </c>
      <c r="AR24" s="15" t="n">
        <v>3025073.82</v>
      </c>
      <c r="AS24" s="15" t="n">
        <v>1208696.23</v>
      </c>
      <c r="AT24" s="15" t="n">
        <v>1134429.46</v>
      </c>
      <c r="AU24" s="15" t="n">
        <v>360710.26</v>
      </c>
      <c r="AV24" s="15" t="n">
        <v>803326.47</v>
      </c>
      <c r="AW24" s="15" t="n">
        <v>2917618.97</v>
      </c>
      <c r="AX24" s="15" t="n">
        <v>1265345.01</v>
      </c>
      <c r="AY24" s="15" t="n">
        <v>2332594.25</v>
      </c>
      <c r="AZ24" s="15" t="n">
        <v>1126067.22</v>
      </c>
      <c r="BA24" s="15" t="n">
        <v>359110.55</v>
      </c>
      <c r="BB24" s="15" t="n">
        <v>518921.17</v>
      </c>
      <c r="BC24" s="15" t="n">
        <v>2771177.31</v>
      </c>
      <c r="BD24" s="15" t="n">
        <v>374151.94</v>
      </c>
      <c r="BE24" s="15" t="n">
        <v>1103627.74</v>
      </c>
      <c r="BF24" s="15" t="n">
        <v>551457.4300000001</v>
      </c>
      <c r="BG24" s="15" t="n">
        <v>319048.75</v>
      </c>
      <c r="BH24" s="15" t="n">
        <v>986259.34</v>
      </c>
      <c r="BI24" s="15" t="n">
        <v>226316.33</v>
      </c>
      <c r="BJ24" s="15" t="n">
        <v>1025119.76</v>
      </c>
      <c r="BK24" s="15" t="n">
        <v>562295.21</v>
      </c>
      <c r="BL24" s="15" t="n">
        <v>72700.16</v>
      </c>
      <c r="BM24" s="15" t="n">
        <v>318220.03</v>
      </c>
      <c r="BN24" s="15" t="n">
        <v>1002084.01</v>
      </c>
      <c r="BO24" s="15" t="n">
        <v>122549.25</v>
      </c>
      <c r="BP24" s="15" t="n">
        <v>2718999.85</v>
      </c>
      <c r="BQ24" s="15" t="n">
        <v>1938764.18</v>
      </c>
      <c r="BR24" s="15" t="n">
        <v>963781.08</v>
      </c>
      <c r="BS24" s="15" t="n">
        <v>346273.95</v>
      </c>
      <c r="BT24" s="15" t="n">
        <v>1154479.58</v>
      </c>
      <c r="BU24" s="15" t="n">
        <v>517593.8</v>
      </c>
      <c r="BV24" s="15" t="n">
        <v>3209252.91</v>
      </c>
      <c r="BW24" s="15" t="n">
        <v>1939776.92</v>
      </c>
      <c r="BX24" s="15" t="n">
        <v>233909.56</v>
      </c>
      <c r="BY24" s="15" t="n">
        <v>116391.65</v>
      </c>
      <c r="BZ24" s="15" t="n">
        <v>427874.38</v>
      </c>
      <c r="CA24" s="15" t="n">
        <v>971369.25</v>
      </c>
      <c r="CB24" s="15" t="n">
        <v>333747.38</v>
      </c>
      <c r="CC24" s="15" t="n">
        <v>1800102.17</v>
      </c>
      <c r="CD24" s="15" t="n">
        <v>1071619.52</v>
      </c>
      <c r="CE24" s="15" t="n">
        <v>216485.02</v>
      </c>
      <c r="CF24" s="15" t="n">
        <v>752440.16</v>
      </c>
      <c r="CG24" s="15" t="n">
        <v>1925303.21</v>
      </c>
      <c r="CH24" s="15" t="n">
        <v>1982752.72</v>
      </c>
      <c r="CI24" s="15" t="n">
        <v>2033095.55</v>
      </c>
      <c r="CJ24" s="15" t="n">
        <v>1207889.89</v>
      </c>
      <c r="CK24" s="15" t="n">
        <v>381772.98</v>
      </c>
      <c r="CL24" s="15" t="n">
        <v>805025.36</v>
      </c>
      <c r="CM24" s="15" t="n">
        <v>797615.61</v>
      </c>
      <c r="CN24" s="15" t="n">
        <v>2239559.13</v>
      </c>
      <c r="CO24" s="15" t="n">
        <v>1692791.33</v>
      </c>
      <c r="CP24" s="15" t="n">
        <v>363736.22</v>
      </c>
      <c r="CQ24" s="15" t="n">
        <v>265765.21</v>
      </c>
      <c r="CR24" s="15" t="n">
        <v>934715.5</v>
      </c>
      <c r="CS24" s="15" t="n">
        <v>594797.75</v>
      </c>
      <c r="CT24" s="15" t="n">
        <v>3717390.19</v>
      </c>
      <c r="CU24" s="15" t="n">
        <v>1404064.84</v>
      </c>
      <c r="CV24" s="15" t="n">
        <v>1454011.68</v>
      </c>
      <c r="CW24" s="15" t="n">
        <v>262056.85</v>
      </c>
      <c r="CX24" s="15" t="n">
        <v>1159535.04</v>
      </c>
      <c r="CY24" s="15" t="n">
        <v>2028886.89</v>
      </c>
      <c r="CZ24" s="15" t="n">
        <v>3126099.91</v>
      </c>
      <c r="DA24" s="15" t="n">
        <v>1128555.84</v>
      </c>
      <c r="DB24" s="15" t="n">
        <v>1047041.37</v>
      </c>
      <c r="DC24" s="15" t="n">
        <v>210261.36</v>
      </c>
      <c r="DD24" s="15" t="n">
        <v>490221.51</v>
      </c>
      <c r="DE24" s="15" t="n">
        <v>3149193.32</v>
      </c>
      <c r="DF24" s="15" t="n">
        <v>3680967.38</v>
      </c>
      <c r="DG24" s="15" t="n">
        <v>692911.85</v>
      </c>
      <c r="DH24" s="15" t="n">
        <v>1046730.19</v>
      </c>
      <c r="DI24" s="15" t="n">
        <v>99041.66</v>
      </c>
      <c r="DJ24" s="15" t="n">
        <v>1069150.46</v>
      </c>
      <c r="DK24" s="15" t="n">
        <v>1495923.52</v>
      </c>
      <c r="DL24" s="15" t="n">
        <v>2629719.84</v>
      </c>
      <c r="DM24" s="15" t="n">
        <v>233980.26</v>
      </c>
      <c r="DN24" s="15" t="n">
        <v>988886.51</v>
      </c>
      <c r="DO24" s="15" t="n">
        <v>151948.57</v>
      </c>
      <c r="DP24" s="15" t="n">
        <v>159959.95</v>
      </c>
    </row>
    <row r="25">
      <c r="A25" s="4" t="inlineStr">
        <is>
          <t>气动元件</t>
        </is>
      </c>
      <c r="B25" s="15" t="n">
        <v>3296825.09</v>
      </c>
      <c r="C25" s="15" t="n">
        <v>1754299.52</v>
      </c>
      <c r="D25" s="15" t="n">
        <v>1095800.37</v>
      </c>
      <c r="E25" s="15" t="n">
        <v>240522.96</v>
      </c>
      <c r="F25" s="15" t="n">
        <v>757268.47</v>
      </c>
      <c r="G25" s="15" t="n">
        <v>2104910.9</v>
      </c>
      <c r="H25" s="15" t="n">
        <v>1329494.06</v>
      </c>
      <c r="I25" s="15" t="n">
        <v>782909.29</v>
      </c>
      <c r="J25" s="15" t="n">
        <v>756645.5600000001</v>
      </c>
      <c r="K25" s="15" t="n">
        <v>30355.12</v>
      </c>
      <c r="L25" s="15" t="n">
        <v>-150702.3</v>
      </c>
      <c r="M25" s="15" t="n">
        <v>1535671.3</v>
      </c>
      <c r="N25" s="15" t="n">
        <v>3430321.28</v>
      </c>
      <c r="O25" s="15" t="n">
        <v>1589598.15</v>
      </c>
      <c r="P25" s="15" t="n">
        <v>801059.27</v>
      </c>
      <c r="Q25" s="15" t="n">
        <v>154982.85</v>
      </c>
      <c r="R25" s="15" t="n">
        <v>823571.39</v>
      </c>
      <c r="S25" s="15" t="n">
        <v>1793750.55</v>
      </c>
      <c r="T25" s="15" t="n">
        <v>3115360.3</v>
      </c>
      <c r="U25" s="15" t="n">
        <v>747797.62</v>
      </c>
      <c r="V25" s="15" t="n">
        <v>463563.36</v>
      </c>
      <c r="W25" s="15" t="n">
        <v>234524.52</v>
      </c>
      <c r="X25" s="15" t="n">
        <v>672260.12</v>
      </c>
      <c r="Y25" s="15" t="n">
        <v>2926990.42</v>
      </c>
      <c r="Z25" s="15" t="n">
        <v>855453.49</v>
      </c>
      <c r="AA25" s="15" t="n">
        <v>862975.3</v>
      </c>
      <c r="AB25" s="15" t="n">
        <v>614569.5</v>
      </c>
      <c r="AC25" s="15" t="n">
        <v>171130.25</v>
      </c>
      <c r="AD25" s="15" t="n">
        <v>1143140.78</v>
      </c>
      <c r="AE25" s="15" t="n">
        <v>456770.71</v>
      </c>
      <c r="AF25" s="15" t="n">
        <v>357115.46</v>
      </c>
      <c r="AG25" s="15" t="n">
        <v>1334153.69</v>
      </c>
      <c r="AH25" s="15" t="n">
        <v>34191.84</v>
      </c>
      <c r="AI25" s="15" t="n">
        <v>135539.17</v>
      </c>
      <c r="AJ25" s="15" t="n">
        <v>627169.35</v>
      </c>
      <c r="AK25" s="15" t="n">
        <v>292800.41</v>
      </c>
      <c r="AL25" s="15" t="n">
        <v>3142078.02</v>
      </c>
      <c r="AM25" s="15" t="n">
        <v>652945.65</v>
      </c>
      <c r="AN25" s="15" t="n">
        <v>458686.23</v>
      </c>
      <c r="AO25" s="15" t="n">
        <v>148726.29</v>
      </c>
      <c r="AP25" s="15" t="n">
        <v>857623.49</v>
      </c>
      <c r="AQ25" s="15" t="n">
        <v>574802.1800000001</v>
      </c>
      <c r="AR25" s="15" t="n">
        <v>1533486.23</v>
      </c>
      <c r="AS25" s="15" t="n">
        <v>830771.23</v>
      </c>
      <c r="AT25" s="15" t="n">
        <v>175701.45</v>
      </c>
      <c r="AU25" s="15" t="n">
        <v>328315.63</v>
      </c>
      <c r="AV25" s="15" t="n">
        <v>961276.13</v>
      </c>
      <c r="AW25" s="15" t="n">
        <v>2284231.66</v>
      </c>
      <c r="AX25" s="15" t="n">
        <v>2990584.38</v>
      </c>
      <c r="AY25" s="15" t="n">
        <v>1488208.83</v>
      </c>
      <c r="AZ25" s="15" t="n">
        <v>572013.71</v>
      </c>
      <c r="BA25" s="15" t="n">
        <v>45736.83</v>
      </c>
      <c r="BB25" s="15" t="n">
        <v>402319.91</v>
      </c>
      <c r="BC25" s="15" t="n">
        <v>2132026.34</v>
      </c>
      <c r="BD25" s="15" t="n">
        <v>1469198.07</v>
      </c>
      <c r="BE25" s="15" t="n">
        <v>2213531.03</v>
      </c>
      <c r="BF25" s="15" t="n">
        <v>1131134.95</v>
      </c>
      <c r="BG25" s="15" t="n">
        <v>367358.6</v>
      </c>
      <c r="BH25" s="15" t="n">
        <v>-124762.82</v>
      </c>
      <c r="BI25" s="15" t="n">
        <v>1352021.1</v>
      </c>
      <c r="BJ25" s="15" t="n">
        <v>1289800.01</v>
      </c>
      <c r="BK25" s="15" t="n">
        <v>300262.94</v>
      </c>
      <c r="BL25" s="15" t="n">
        <v>380941.74</v>
      </c>
      <c r="BM25" s="15" t="n">
        <v>345340.43</v>
      </c>
      <c r="BN25" s="15" t="n">
        <v>1107103.73</v>
      </c>
      <c r="BO25" s="15" t="n">
        <v>783330.6800000001</v>
      </c>
      <c r="BP25" s="15" t="n">
        <v>3044734.48</v>
      </c>
      <c r="BQ25" s="15" t="n">
        <v>1774684.64</v>
      </c>
      <c r="BR25" s="15" t="n">
        <v>31549.21</v>
      </c>
      <c r="BS25" s="15" t="n">
        <v>342572.81</v>
      </c>
      <c r="BT25" s="15" t="n">
        <v>838205.5699999999</v>
      </c>
      <c r="BU25" s="15" t="n">
        <v>853672.49</v>
      </c>
      <c r="BV25" s="15" t="n">
        <v>2005646.33</v>
      </c>
      <c r="BW25" s="15" t="n">
        <v>1216068.01</v>
      </c>
      <c r="BX25" s="15" t="n">
        <v>1475781.15</v>
      </c>
      <c r="BY25" s="15" t="n">
        <v>63806.11</v>
      </c>
      <c r="BZ25" s="15" t="n">
        <v>162670.73</v>
      </c>
      <c r="CA25" s="15" t="n">
        <v>485190.49</v>
      </c>
      <c r="CB25" s="15" t="n">
        <v>3475396.72</v>
      </c>
      <c r="CC25" s="15" t="n">
        <v>1193105.14</v>
      </c>
      <c r="CD25" s="15" t="n">
        <v>811687.88</v>
      </c>
      <c r="CE25" s="15" t="n">
        <v>325457.61</v>
      </c>
      <c r="CF25" s="15" t="n">
        <v>1020990.24</v>
      </c>
      <c r="CG25" s="15" t="n">
        <v>3067624.19</v>
      </c>
      <c r="CH25" s="15" t="n">
        <v>3972743.85</v>
      </c>
      <c r="CI25" s="15" t="n">
        <v>515394.22</v>
      </c>
      <c r="CJ25" s="15" t="n">
        <v>1530057.08</v>
      </c>
      <c r="CK25" s="15" t="n">
        <v>273944.45</v>
      </c>
      <c r="CL25" s="15" t="n">
        <v>134411.88</v>
      </c>
      <c r="CM25" s="15" t="n">
        <v>2652882.35</v>
      </c>
      <c r="CN25" s="15" t="n">
        <v>519184.56</v>
      </c>
      <c r="CO25" s="15" t="n">
        <v>1261524.95</v>
      </c>
      <c r="CP25" s="15" t="n">
        <v>715095.73</v>
      </c>
      <c r="CQ25" s="15" t="n">
        <v>355642.45</v>
      </c>
      <c r="CR25" s="15" t="n">
        <v>1027556.52</v>
      </c>
      <c r="CS25" s="15" t="n">
        <v>2623000.1</v>
      </c>
      <c r="CT25" s="15" t="n">
        <v>2643057.34</v>
      </c>
      <c r="CU25" s="15" t="n">
        <v>1389116.85</v>
      </c>
      <c r="CV25" s="15" t="n">
        <v>380414.12</v>
      </c>
      <c r="CW25" s="15" t="n">
        <v>378257.31</v>
      </c>
      <c r="CX25" s="15" t="n">
        <v>257802.12</v>
      </c>
      <c r="CY25" s="15" t="n">
        <v>1453625.23</v>
      </c>
      <c r="CZ25" s="15" t="n">
        <v>2753402.33</v>
      </c>
      <c r="DA25" s="15" t="n">
        <v>1809947.5</v>
      </c>
      <c r="DB25" s="15" t="n">
        <v>1405684.29</v>
      </c>
      <c r="DC25" s="15" t="n">
        <v>382053.36</v>
      </c>
      <c r="DD25" s="15" t="n">
        <v>3207.11</v>
      </c>
      <c r="DE25" s="15" t="n">
        <v>2896303.31</v>
      </c>
      <c r="DF25" s="15" t="n">
        <v>1809644.4</v>
      </c>
      <c r="DG25" s="15" t="n">
        <v>793992.6899999999</v>
      </c>
      <c r="DH25" s="15" t="n">
        <v>936849.17</v>
      </c>
      <c r="DI25" s="15" t="n">
        <v>103713.98</v>
      </c>
      <c r="DJ25" s="15" t="n">
        <v>1005015.73</v>
      </c>
      <c r="DK25" s="15" t="n">
        <v>2858639.43</v>
      </c>
      <c r="DL25" s="15" t="n">
        <v>932433.36</v>
      </c>
      <c r="DM25" s="15" t="n">
        <v>254222.25</v>
      </c>
      <c r="DN25" s="15" t="n">
        <v>976419.65</v>
      </c>
      <c r="DO25" s="15" t="n">
        <v>381956.78</v>
      </c>
      <c r="DP25" s="15" t="n">
        <v>164503.52</v>
      </c>
    </row>
    <row r="26">
      <c r="A26" s="4" t="inlineStr">
        <is>
          <t>模具</t>
        </is>
      </c>
      <c r="B26" s="15" t="n">
        <v>3953056.93</v>
      </c>
      <c r="C26" s="15" t="n">
        <v>2159309.52</v>
      </c>
      <c r="D26" s="15" t="n">
        <v>1594157.58</v>
      </c>
      <c r="E26" s="15" t="n">
        <v>205516.49</v>
      </c>
      <c r="F26" s="15" t="n">
        <v>60284.54</v>
      </c>
      <c r="G26" s="15" t="n">
        <v>818953.78</v>
      </c>
      <c r="H26" s="15" t="n">
        <v>3280332.2</v>
      </c>
      <c r="I26" s="15" t="n">
        <v>1769671.74</v>
      </c>
      <c r="J26" s="15" t="n">
        <v>545577.54</v>
      </c>
      <c r="K26" s="15" t="n">
        <v>388664.17</v>
      </c>
      <c r="L26" s="15" t="n">
        <v>1048523.39</v>
      </c>
      <c r="M26" s="15" t="n">
        <v>2175569.54</v>
      </c>
      <c r="N26" s="15" t="n">
        <v>183279.99</v>
      </c>
      <c r="O26" s="15" t="n">
        <v>600429.28</v>
      </c>
      <c r="P26" s="15" t="n">
        <v>1485602.28</v>
      </c>
      <c r="Q26" s="15" t="n">
        <v>45445.72</v>
      </c>
      <c r="R26" s="15" t="n">
        <v>929586.4399999999</v>
      </c>
      <c r="S26" s="15" t="n">
        <v>827472.47</v>
      </c>
      <c r="T26" s="15" t="n">
        <v>1716528.35</v>
      </c>
      <c r="U26" s="15" t="n">
        <v>1334877.16</v>
      </c>
      <c r="V26" s="15" t="n">
        <v>605601.28</v>
      </c>
      <c r="W26" s="15" t="n">
        <v>44330.38</v>
      </c>
      <c r="X26" s="15" t="n">
        <v>-109089.04</v>
      </c>
      <c r="Y26" s="15" t="n">
        <v>203653.57</v>
      </c>
      <c r="Z26" s="15" t="n">
        <v>345471.34</v>
      </c>
      <c r="AA26" s="15" t="n">
        <v>408011.08</v>
      </c>
      <c r="AB26" s="15" t="n">
        <v>136071.53</v>
      </c>
      <c r="AC26" s="15" t="n">
        <v>107108.22</v>
      </c>
      <c r="AD26" s="15" t="n">
        <v>579803.78</v>
      </c>
      <c r="AE26" s="15" t="n">
        <v>1468110.64</v>
      </c>
      <c r="AF26" s="15" t="n">
        <v>608086.61</v>
      </c>
      <c r="AG26" s="15" t="n">
        <v>663731.6</v>
      </c>
      <c r="AH26" s="15" t="n">
        <v>685488.23</v>
      </c>
      <c r="AI26" s="15" t="n">
        <v>174447.85</v>
      </c>
      <c r="AJ26" s="15" t="n">
        <v>588207.8</v>
      </c>
      <c r="AK26" s="15" t="n">
        <v>1735358.94</v>
      </c>
      <c r="AL26" s="15" t="n">
        <v>2594795.58</v>
      </c>
      <c r="AM26" s="15" t="n">
        <v>1535253.94</v>
      </c>
      <c r="AN26" s="15" t="n">
        <v>307007.36</v>
      </c>
      <c r="AO26" s="15" t="n">
        <v>33178.5</v>
      </c>
      <c r="AP26" s="15" t="n">
        <v>612305.9300000001</v>
      </c>
      <c r="AQ26" s="15" t="n">
        <v>1863883.15</v>
      </c>
      <c r="AR26" s="15" t="n">
        <v>3458565.67</v>
      </c>
      <c r="AS26" s="15" t="n">
        <v>2056693.43</v>
      </c>
      <c r="AT26" s="15" t="n">
        <v>348045.13</v>
      </c>
      <c r="AU26" s="15" t="n">
        <v>58316.8</v>
      </c>
      <c r="AV26" s="15" t="n">
        <v>-131984.19</v>
      </c>
      <c r="AW26" s="15" t="n">
        <v>652652.02</v>
      </c>
      <c r="AX26" s="15" t="n">
        <v>1300640.25</v>
      </c>
      <c r="AY26" s="15" t="n">
        <v>1213593.69</v>
      </c>
      <c r="AZ26" s="15" t="n">
        <v>353463.53</v>
      </c>
      <c r="BA26" s="15" t="n">
        <v>88332.87</v>
      </c>
      <c r="BB26" s="15" t="n">
        <v>255392.09</v>
      </c>
      <c r="BC26" s="15" t="n">
        <v>391628.92</v>
      </c>
      <c r="BD26" s="15" t="n">
        <v>1692525.18</v>
      </c>
      <c r="BE26" s="15" t="n">
        <v>204039.6</v>
      </c>
      <c r="BF26" s="15" t="n">
        <v>87255.41</v>
      </c>
      <c r="BG26" s="15" t="n">
        <v>16157.79</v>
      </c>
      <c r="BH26" s="15" t="n">
        <v>987099.4399999999</v>
      </c>
      <c r="BI26" s="15" t="n">
        <v>70097.28999999999</v>
      </c>
      <c r="BJ26" s="15" t="n">
        <v>126988.74</v>
      </c>
      <c r="BK26" s="15" t="n">
        <v>735480.0699999999</v>
      </c>
      <c r="BL26" s="15" t="n">
        <v>331655.85</v>
      </c>
      <c r="BM26" s="15" t="n">
        <v>99889.86</v>
      </c>
      <c r="BN26" s="15" t="n">
        <v>338286.19</v>
      </c>
      <c r="BO26" s="15" t="n">
        <v>3074694.63</v>
      </c>
      <c r="BP26" s="15" t="n">
        <v>1864442.79</v>
      </c>
      <c r="BQ26" s="15" t="n">
        <v>761741.38</v>
      </c>
      <c r="BR26" s="15" t="n">
        <v>90963</v>
      </c>
      <c r="BS26" s="15" t="n">
        <v>193164.46</v>
      </c>
      <c r="BT26" s="15" t="n">
        <v>1167049.23</v>
      </c>
      <c r="BU26" s="15" t="n">
        <v>524180.43</v>
      </c>
      <c r="BV26" s="15" t="n">
        <v>2749362.41</v>
      </c>
      <c r="BW26" s="15" t="n">
        <v>1645043.89</v>
      </c>
      <c r="BX26" s="15" t="n">
        <v>961324.88</v>
      </c>
      <c r="BY26" s="15" t="n">
        <v>148077.56</v>
      </c>
      <c r="BZ26" s="15" t="n">
        <v>866827.96</v>
      </c>
      <c r="CA26" s="15" t="n">
        <v>3185973.32</v>
      </c>
      <c r="CB26" s="15" t="n">
        <v>1899871.3</v>
      </c>
      <c r="CC26" s="15" t="n">
        <v>1593114.89</v>
      </c>
      <c r="CD26" s="15" t="n">
        <v>790768.1800000001</v>
      </c>
      <c r="CE26" s="15" t="n">
        <v>319605.07</v>
      </c>
      <c r="CF26" s="15" t="n">
        <v>-55612.98</v>
      </c>
      <c r="CG26" s="15" t="n">
        <v>1703295.76</v>
      </c>
      <c r="CH26" s="15" t="n">
        <v>3075948.96</v>
      </c>
      <c r="CI26" s="15" t="n">
        <v>2144154.88</v>
      </c>
      <c r="CJ26" s="15" t="n">
        <v>901934.8</v>
      </c>
      <c r="CK26" s="15" t="n">
        <v>236165.47</v>
      </c>
      <c r="CL26" s="15" t="n">
        <v>515671.28</v>
      </c>
      <c r="CM26" s="15" t="n">
        <v>1800484.34</v>
      </c>
      <c r="CN26" s="15" t="n">
        <v>3408050.2</v>
      </c>
      <c r="CO26" s="15" t="n">
        <v>1115702.72</v>
      </c>
      <c r="CP26" s="15" t="n">
        <v>686854.61</v>
      </c>
      <c r="CQ26" s="15" t="n">
        <v>296335.58</v>
      </c>
      <c r="CR26" s="15" t="n">
        <v>1088241.6</v>
      </c>
      <c r="CS26" s="15" t="n">
        <v>2775913.1</v>
      </c>
      <c r="CT26" s="15" t="n">
        <v>933531.29</v>
      </c>
      <c r="CU26" s="15" t="n">
        <v>1177860.77</v>
      </c>
      <c r="CV26" s="15" t="n">
        <v>1055550.34</v>
      </c>
      <c r="CW26" s="15" t="n">
        <v>58486.73</v>
      </c>
      <c r="CX26" s="15" t="n">
        <v>129793.08</v>
      </c>
      <c r="CY26" s="15" t="n">
        <v>1748172.47</v>
      </c>
      <c r="CZ26" s="15" t="n">
        <v>2169481.85</v>
      </c>
      <c r="DA26" s="15" t="n">
        <v>1397485.25</v>
      </c>
      <c r="DB26" s="15" t="n">
        <v>989722.99</v>
      </c>
      <c r="DC26" s="15" t="n">
        <v>260143.44</v>
      </c>
      <c r="DD26" s="15" t="n">
        <v>927838.63</v>
      </c>
      <c r="DE26" s="15" t="n">
        <v>194833.12</v>
      </c>
      <c r="DF26" s="15" t="n">
        <v>2066181.16</v>
      </c>
      <c r="DG26" s="15" t="n">
        <v>576787.62</v>
      </c>
      <c r="DH26" s="15" t="n">
        <v>451458.62</v>
      </c>
      <c r="DI26" s="15" t="n">
        <v>53828.36</v>
      </c>
      <c r="DJ26" s="15" t="n">
        <v>183961.23</v>
      </c>
      <c r="DK26" s="15" t="n">
        <v>1135202.99</v>
      </c>
      <c r="DL26" s="15" t="n">
        <v>2045062.22</v>
      </c>
      <c r="DM26" s="15" t="n">
        <v>2233931.68</v>
      </c>
      <c r="DN26" s="15" t="n">
        <v>1296644.7</v>
      </c>
      <c r="DO26" s="15" t="n">
        <v>41121.78</v>
      </c>
      <c r="DP26" s="15" t="n">
        <v>841700.58</v>
      </c>
    </row>
    <row r="27">
      <c r="A27" s="4" t="inlineStr">
        <is>
          <t>工装夹具</t>
        </is>
      </c>
      <c r="B27" s="15" t="n">
        <v>1868480.33</v>
      </c>
      <c r="C27" s="15" t="n">
        <v>1751298.73</v>
      </c>
      <c r="D27" s="15" t="n">
        <v>460390.17</v>
      </c>
      <c r="E27" s="15" t="n">
        <v>219111.97</v>
      </c>
      <c r="F27" s="15" t="n">
        <v>1062406.55</v>
      </c>
      <c r="G27" s="15" t="n">
        <v>160027.68</v>
      </c>
      <c r="H27" s="15" t="n">
        <v>3850414.36</v>
      </c>
      <c r="I27" s="15" t="n">
        <v>1409194.02</v>
      </c>
      <c r="J27" s="15" t="n">
        <v>653939.74</v>
      </c>
      <c r="K27" s="15" t="n">
        <v>130185.78</v>
      </c>
      <c r="L27" s="15" t="n">
        <v>761176.6800000001</v>
      </c>
      <c r="M27" s="15" t="n">
        <v>841649.8</v>
      </c>
      <c r="N27" s="15" t="n">
        <v>2564031.94</v>
      </c>
      <c r="O27" s="15" t="n">
        <v>299530.81</v>
      </c>
      <c r="P27" s="15" t="n">
        <v>1404174.47</v>
      </c>
      <c r="Q27" s="15" t="n">
        <v>323504.27</v>
      </c>
      <c r="R27" s="15" t="n">
        <v>533598.33</v>
      </c>
      <c r="S27" s="15" t="n">
        <v>2007744.31</v>
      </c>
      <c r="T27" s="15" t="n">
        <v>3636116.83</v>
      </c>
      <c r="U27" s="15" t="n">
        <v>297413.3</v>
      </c>
      <c r="V27" s="15" t="n">
        <v>1575383.7</v>
      </c>
      <c r="W27" s="15" t="n">
        <v>257923.55</v>
      </c>
      <c r="X27" s="15" t="n">
        <v>164259.33</v>
      </c>
      <c r="Y27" s="15" t="n">
        <v>1291109.34</v>
      </c>
      <c r="Z27" s="15" t="n">
        <v>629619.74</v>
      </c>
      <c r="AA27" s="15" t="n">
        <v>898711.6</v>
      </c>
      <c r="AB27" s="15" t="n">
        <v>457821.44</v>
      </c>
      <c r="AC27" s="15" t="n">
        <v>127821.25</v>
      </c>
      <c r="AD27" s="15" t="n">
        <v>100050.33</v>
      </c>
      <c r="AE27" s="15" t="n">
        <v>802647.99</v>
      </c>
      <c r="AF27" s="15" t="n">
        <v>796185.0699999999</v>
      </c>
      <c r="AG27" s="15" t="n">
        <v>238865.24</v>
      </c>
      <c r="AH27" s="15" t="n">
        <v>908648.64</v>
      </c>
      <c r="AI27" s="15" t="n">
        <v>106651.71</v>
      </c>
      <c r="AJ27" s="15" t="n">
        <v>1122691.25</v>
      </c>
      <c r="AK27" s="15" t="n">
        <v>778706.25</v>
      </c>
      <c r="AL27" s="15" t="n">
        <v>1310932.61</v>
      </c>
      <c r="AM27" s="15" t="n">
        <v>1036960.89</v>
      </c>
      <c r="AN27" s="15" t="n">
        <v>738441.2</v>
      </c>
      <c r="AO27" s="15" t="n">
        <v>62986.83</v>
      </c>
      <c r="AP27" s="15" t="n">
        <v>-85821.89999999999</v>
      </c>
      <c r="AQ27" s="15" t="n">
        <v>1532465.97</v>
      </c>
      <c r="AR27" s="15" t="n">
        <v>2568758.92</v>
      </c>
      <c r="AS27" s="15" t="n">
        <v>1853696.86</v>
      </c>
      <c r="AT27" s="15" t="n">
        <v>328396.2</v>
      </c>
      <c r="AU27" s="15" t="n">
        <v>227097.46</v>
      </c>
      <c r="AV27" s="15" t="n">
        <v>219582.78</v>
      </c>
      <c r="AW27" s="15" t="n">
        <v>237012.55</v>
      </c>
      <c r="AX27" s="15" t="n">
        <v>3589682.38</v>
      </c>
      <c r="AY27" s="15" t="n">
        <v>892465.3</v>
      </c>
      <c r="AZ27" s="15" t="n">
        <v>1043827.32</v>
      </c>
      <c r="BA27" s="15" t="n">
        <v>289843.48</v>
      </c>
      <c r="BB27" s="15" t="n">
        <v>867835.8100000001</v>
      </c>
      <c r="BC27" s="15" t="n">
        <v>2176941.78</v>
      </c>
      <c r="BD27" s="15" t="n">
        <v>1126561.87</v>
      </c>
      <c r="BE27" s="15" t="n">
        <v>2251753.27</v>
      </c>
      <c r="BF27" s="15" t="n">
        <v>1361480.11</v>
      </c>
      <c r="BG27" s="15" t="n">
        <v>184468.83</v>
      </c>
      <c r="BH27" s="15" t="n">
        <v>1117127.81</v>
      </c>
      <c r="BI27" s="15" t="n">
        <v>1682641.97</v>
      </c>
      <c r="BJ27" s="15" t="n">
        <v>2406447.4</v>
      </c>
      <c r="BK27" s="15" t="n">
        <v>1019798.7</v>
      </c>
      <c r="BL27" s="15" t="n">
        <v>757286.8</v>
      </c>
      <c r="BM27" s="15" t="n">
        <v>387332.89</v>
      </c>
      <c r="BN27" s="15" t="n">
        <v>1029357.15</v>
      </c>
      <c r="BO27" s="15" t="n">
        <v>1751314.23</v>
      </c>
      <c r="BP27" s="15" t="n">
        <v>3225775.02</v>
      </c>
      <c r="BQ27" s="15" t="n">
        <v>2228606.57</v>
      </c>
      <c r="BR27" s="15" t="n">
        <v>276952.03</v>
      </c>
      <c r="BS27" s="15" t="n">
        <v>288596.46</v>
      </c>
      <c r="BT27" s="15" t="n">
        <v>832688.66</v>
      </c>
      <c r="BU27" s="15" t="n">
        <v>3121457.52</v>
      </c>
      <c r="BV27" s="15" t="n">
        <v>3212303.91</v>
      </c>
      <c r="BW27" s="15" t="n">
        <v>1840896.69</v>
      </c>
      <c r="BX27" s="15" t="n">
        <v>65553.22</v>
      </c>
      <c r="BY27" s="15" t="n">
        <v>23170.08</v>
      </c>
      <c r="BZ27" s="15" t="n">
        <v>900291.37</v>
      </c>
      <c r="CA27" s="15" t="n">
        <v>2193771.52</v>
      </c>
      <c r="CB27" s="15" t="n">
        <v>115863.49</v>
      </c>
      <c r="CC27" s="15" t="n">
        <v>700049.22</v>
      </c>
      <c r="CD27" s="15" t="n">
        <v>1234141.14</v>
      </c>
      <c r="CE27" s="15" t="n">
        <v>250471.74</v>
      </c>
      <c r="CF27" s="15" t="n">
        <v>512506.35</v>
      </c>
      <c r="CG27" s="15" t="n">
        <v>3105613.92</v>
      </c>
      <c r="CH27" s="15" t="n">
        <v>3949693.54</v>
      </c>
      <c r="CI27" s="15" t="n">
        <v>1887948.76</v>
      </c>
      <c r="CJ27" s="15" t="n">
        <v>483351.54</v>
      </c>
      <c r="CK27" s="15" t="n">
        <v>49414.81</v>
      </c>
      <c r="CL27" s="15" t="n">
        <v>443286.61</v>
      </c>
      <c r="CM27" s="15" t="n">
        <v>2160938.22</v>
      </c>
      <c r="CN27" s="15" t="n">
        <v>2186666.26</v>
      </c>
      <c r="CO27" s="15" t="n">
        <v>84747.97</v>
      </c>
      <c r="CP27" s="15" t="n">
        <v>1510639.75</v>
      </c>
      <c r="CQ27" s="15" t="n">
        <v>45153.12</v>
      </c>
      <c r="CR27" s="15" t="n">
        <v>1047303.55</v>
      </c>
      <c r="CS27" s="15" t="n">
        <v>3051241.66</v>
      </c>
      <c r="CT27" s="15" t="n">
        <v>3943439.02</v>
      </c>
      <c r="CU27" s="15" t="n">
        <v>1346190.56</v>
      </c>
      <c r="CV27" s="15" t="n">
        <v>663626.08</v>
      </c>
      <c r="CW27" s="15" t="n">
        <v>40072.94</v>
      </c>
      <c r="CX27" s="15" t="n">
        <v>409076.39</v>
      </c>
      <c r="CY27" s="15" t="n">
        <v>3046449.3</v>
      </c>
      <c r="CZ27" s="15" t="n">
        <v>663824.72</v>
      </c>
      <c r="DA27" s="15" t="n">
        <v>1067365.45</v>
      </c>
      <c r="DB27" s="15" t="n">
        <v>1235032.01</v>
      </c>
      <c r="DC27" s="15" t="n">
        <v>125842.65</v>
      </c>
      <c r="DD27" s="15" t="n">
        <v>1128215.02</v>
      </c>
      <c r="DE27" s="15" t="n">
        <v>1624364.2</v>
      </c>
      <c r="DF27" s="15" t="n">
        <v>2807160.18</v>
      </c>
      <c r="DG27" s="15" t="n">
        <v>1372060.65</v>
      </c>
      <c r="DH27" s="15" t="n">
        <v>672454.08</v>
      </c>
      <c r="DI27" s="15" t="n">
        <v>40208.38</v>
      </c>
      <c r="DJ27" s="15" t="n">
        <v>935077.97</v>
      </c>
      <c r="DK27" s="15" t="n">
        <v>3136220.25</v>
      </c>
      <c r="DL27" s="15" t="n">
        <v>2048156.25</v>
      </c>
      <c r="DM27" s="15" t="n">
        <v>1144505.26</v>
      </c>
      <c r="DN27" s="15" t="n">
        <v>37827.11</v>
      </c>
      <c r="DO27" s="15" t="n">
        <v>102937.5</v>
      </c>
      <c r="DP27" s="15" t="n">
        <v>283767.5</v>
      </c>
    </row>
    <row r="28">
      <c r="A28" s="4" t="inlineStr">
        <is>
          <t>其他产品A</t>
        </is>
      </c>
      <c r="B28" s="15" t="n">
        <v>3124107.73</v>
      </c>
      <c r="C28" s="15" t="n">
        <v>1677790.51</v>
      </c>
      <c r="D28" s="15" t="n">
        <v>1060827.74</v>
      </c>
      <c r="E28" s="15" t="n">
        <v>95858.50999999999</v>
      </c>
      <c r="F28" s="15" t="n">
        <v>866415.84</v>
      </c>
      <c r="G28" s="15" t="n">
        <v>1517789.47</v>
      </c>
      <c r="H28" s="15" t="n">
        <v>607646.87</v>
      </c>
      <c r="I28" s="15" t="n">
        <v>2023932.71</v>
      </c>
      <c r="J28" s="15" t="n">
        <v>1060500.72</v>
      </c>
      <c r="K28" s="15" t="n">
        <v>310889.7</v>
      </c>
      <c r="L28" s="15" t="n">
        <v>610160.77</v>
      </c>
      <c r="M28" s="15" t="n">
        <v>1988137.94</v>
      </c>
      <c r="N28" s="15" t="n">
        <v>1972907.65</v>
      </c>
      <c r="O28" s="15" t="n">
        <v>2146318.26</v>
      </c>
      <c r="P28" s="15" t="n">
        <v>967539.27</v>
      </c>
      <c r="Q28" s="15" t="n">
        <v>325862.91</v>
      </c>
      <c r="R28" s="15" t="n">
        <v>-78615.03</v>
      </c>
      <c r="S28" s="15" t="n">
        <v>734444.26</v>
      </c>
      <c r="T28" s="15" t="n">
        <v>3121131.08</v>
      </c>
      <c r="U28" s="15" t="n">
        <v>661359.4300000001</v>
      </c>
      <c r="V28" s="15" t="n">
        <v>1537442</v>
      </c>
      <c r="W28" s="15" t="n">
        <v>209263.15</v>
      </c>
      <c r="X28" s="15" t="n">
        <v>-22502.87</v>
      </c>
      <c r="Y28" s="15" t="n">
        <v>1519221.52</v>
      </c>
      <c r="Z28" s="15" t="n">
        <v>2527364.38</v>
      </c>
      <c r="AA28" s="15" t="n">
        <v>2113880.24</v>
      </c>
      <c r="AB28" s="15" t="n">
        <v>808334.46</v>
      </c>
      <c r="AC28" s="15" t="n">
        <v>239236.66</v>
      </c>
      <c r="AD28" s="15" t="n">
        <v>34115.76</v>
      </c>
      <c r="AE28" s="15" t="n">
        <v>1330766.21</v>
      </c>
      <c r="AF28" s="15" t="n">
        <v>2328552.67</v>
      </c>
      <c r="AG28" s="15" t="n">
        <v>715097.29</v>
      </c>
      <c r="AH28" s="15" t="n">
        <v>51372.7</v>
      </c>
      <c r="AI28" s="15" t="n">
        <v>343188.67</v>
      </c>
      <c r="AJ28" s="15" t="n">
        <v>4848.29</v>
      </c>
      <c r="AK28" s="15" t="n">
        <v>2977630.24</v>
      </c>
      <c r="AL28" s="15" t="n">
        <v>2745941.51</v>
      </c>
      <c r="AM28" s="15" t="n">
        <v>187209.83</v>
      </c>
      <c r="AN28" s="15" t="n">
        <v>826465.61</v>
      </c>
      <c r="AO28" s="15" t="n">
        <v>308979.09</v>
      </c>
      <c r="AP28" s="15" t="n">
        <v>232240.77</v>
      </c>
      <c r="AQ28" s="15" t="n">
        <v>490180.48</v>
      </c>
      <c r="AR28" s="15" t="n">
        <v>408252.34</v>
      </c>
      <c r="AS28" s="15" t="n">
        <v>669605.17</v>
      </c>
      <c r="AT28" s="15" t="n">
        <v>581920.6</v>
      </c>
      <c r="AU28" s="15" t="n">
        <v>156550.53</v>
      </c>
      <c r="AV28" s="15" t="n">
        <v>345356.38</v>
      </c>
      <c r="AW28" s="15" t="n">
        <v>1663687.89</v>
      </c>
      <c r="AX28" s="15" t="n">
        <v>568817.85</v>
      </c>
      <c r="AY28" s="15" t="n">
        <v>1138661.02</v>
      </c>
      <c r="AZ28" s="15" t="n">
        <v>957968.95</v>
      </c>
      <c r="BA28" s="15" t="n">
        <v>359834.36</v>
      </c>
      <c r="BB28" s="15" t="n">
        <v>485496.18</v>
      </c>
      <c r="BC28" s="15" t="n">
        <v>131655.9</v>
      </c>
      <c r="BD28" s="15" t="n">
        <v>1143210.73</v>
      </c>
      <c r="BE28" s="15" t="n">
        <v>2173098.86</v>
      </c>
      <c r="BF28" s="15" t="n">
        <v>745105.95</v>
      </c>
      <c r="BG28" s="15" t="n">
        <v>85541.7</v>
      </c>
      <c r="BH28" s="15" t="n">
        <v>986311.21</v>
      </c>
      <c r="BI28" s="15" t="n">
        <v>1174456.74</v>
      </c>
      <c r="BJ28" s="15" t="n">
        <v>1574825.39</v>
      </c>
      <c r="BK28" s="15" t="n">
        <v>1653546.95</v>
      </c>
      <c r="BL28" s="15" t="n">
        <v>484892.58</v>
      </c>
      <c r="BM28" s="15" t="n">
        <v>389221.92</v>
      </c>
      <c r="BN28" s="15" t="n">
        <v>919768.8</v>
      </c>
      <c r="BO28" s="15" t="n">
        <v>2516491.08</v>
      </c>
      <c r="BP28" s="15" t="n">
        <v>1375966.53</v>
      </c>
      <c r="BQ28" s="15" t="n">
        <v>941624.8100000001</v>
      </c>
      <c r="BR28" s="15" t="n">
        <v>515280.64</v>
      </c>
      <c r="BS28" s="15" t="n">
        <v>351132.97</v>
      </c>
      <c r="BT28" s="15" t="n">
        <v>753585.3100000001</v>
      </c>
      <c r="BU28" s="15" t="n">
        <v>708463.1899999999</v>
      </c>
      <c r="BV28" s="15" t="n">
        <v>366314.81</v>
      </c>
      <c r="BW28" s="15" t="n">
        <v>839582.35</v>
      </c>
      <c r="BX28" s="15" t="n">
        <v>189005.63</v>
      </c>
      <c r="BY28" s="15" t="n">
        <v>34052.9</v>
      </c>
      <c r="BZ28" s="15" t="n">
        <v>644946.78</v>
      </c>
      <c r="CA28" s="15" t="n">
        <v>2949612.77</v>
      </c>
      <c r="CB28" s="15" t="n">
        <v>185914.48</v>
      </c>
      <c r="CC28" s="15" t="n">
        <v>371420.32</v>
      </c>
      <c r="CD28" s="15" t="n">
        <v>616622.38</v>
      </c>
      <c r="CE28" s="15" t="n">
        <v>199609.68</v>
      </c>
      <c r="CF28" s="15" t="n">
        <v>177071.36</v>
      </c>
      <c r="CG28" s="15" t="n">
        <v>1324707.28</v>
      </c>
      <c r="CH28" s="15" t="n">
        <v>2365585.73</v>
      </c>
      <c r="CI28" s="15" t="n">
        <v>172086.99</v>
      </c>
      <c r="CJ28" s="15" t="n">
        <v>68348.95</v>
      </c>
      <c r="CK28" s="15" t="n">
        <v>349488.16</v>
      </c>
      <c r="CL28" s="15" t="n">
        <v>80089.25</v>
      </c>
      <c r="CM28" s="15" t="n">
        <v>3130289.24</v>
      </c>
      <c r="CN28" s="15" t="n">
        <v>1292424.54</v>
      </c>
      <c r="CO28" s="15" t="n">
        <v>433610.82</v>
      </c>
      <c r="CP28" s="15" t="n">
        <v>1385540.98</v>
      </c>
      <c r="CQ28" s="15" t="n">
        <v>315396.9</v>
      </c>
      <c r="CR28" s="15" t="n">
        <v>435324.87</v>
      </c>
      <c r="CS28" s="15" t="n">
        <v>3157139.88</v>
      </c>
      <c r="CT28" s="15" t="n">
        <v>1037828.54</v>
      </c>
      <c r="CU28" s="15" t="n">
        <v>1821691.03</v>
      </c>
      <c r="CV28" s="15" t="n">
        <v>1309022.6</v>
      </c>
      <c r="CW28" s="15" t="n">
        <v>227730.95</v>
      </c>
      <c r="CX28" s="15" t="n">
        <v>750893.63</v>
      </c>
      <c r="CY28" s="15" t="n">
        <v>1054859.73</v>
      </c>
      <c r="CZ28" s="15" t="n">
        <v>1743726.81</v>
      </c>
      <c r="DA28" s="15" t="n">
        <v>338927.26</v>
      </c>
      <c r="DB28" s="15" t="n">
        <v>664421.77</v>
      </c>
      <c r="DC28" s="15" t="n">
        <v>385621.7</v>
      </c>
      <c r="DD28" s="15" t="n">
        <v>265231.33</v>
      </c>
      <c r="DE28" s="15" t="n">
        <v>2461307.36</v>
      </c>
      <c r="DF28" s="15" t="n">
        <v>2317831.64</v>
      </c>
      <c r="DG28" s="15" t="n">
        <v>1485329.91</v>
      </c>
      <c r="DH28" s="15" t="n">
        <v>443893.33</v>
      </c>
      <c r="DI28" s="15" t="n">
        <v>63534.27</v>
      </c>
      <c r="DJ28" s="15" t="n">
        <v>917264.4300000001</v>
      </c>
      <c r="DK28" s="15" t="n">
        <v>331410.27</v>
      </c>
      <c r="DL28" s="15" t="n">
        <v>1158831.64</v>
      </c>
      <c r="DM28" s="15" t="n">
        <v>1993177.13</v>
      </c>
      <c r="DN28" s="15" t="n">
        <v>514300.37</v>
      </c>
      <c r="DO28" s="15" t="n">
        <v>179926.62</v>
      </c>
      <c r="DP28" s="15" t="n">
        <v>892611.4399999999</v>
      </c>
    </row>
    <row r="29">
      <c r="A29" s="4" t="inlineStr">
        <is>
          <t>其他产品B</t>
        </is>
      </c>
      <c r="B29" s="15" t="n">
        <v>3521342.38</v>
      </c>
      <c r="C29" s="15" t="n">
        <v>1307061.18</v>
      </c>
      <c r="D29" s="15" t="n">
        <v>260290.47</v>
      </c>
      <c r="E29" s="15" t="n">
        <v>215747.36</v>
      </c>
      <c r="F29" s="15" t="n">
        <v>818977.84</v>
      </c>
      <c r="G29" s="15" t="n">
        <v>2023579.88</v>
      </c>
      <c r="H29" s="15" t="n">
        <v>315303.21</v>
      </c>
      <c r="I29" s="15" t="n">
        <v>298408.94</v>
      </c>
      <c r="J29" s="15" t="n">
        <v>1364798.78</v>
      </c>
      <c r="K29" s="15" t="n">
        <v>235567.57</v>
      </c>
      <c r="L29" s="15" t="n">
        <v>998854.71</v>
      </c>
      <c r="M29" s="15" t="n">
        <v>1039122.83</v>
      </c>
      <c r="N29" s="15" t="n">
        <v>203085.82</v>
      </c>
      <c r="O29" s="15" t="n">
        <v>1927417.95</v>
      </c>
      <c r="P29" s="15" t="n">
        <v>227569.19</v>
      </c>
      <c r="Q29" s="15" t="n">
        <v>144156.27</v>
      </c>
      <c r="R29" s="15" t="n">
        <v>343795.84</v>
      </c>
      <c r="S29" s="15" t="n">
        <v>785248.23</v>
      </c>
      <c r="T29" s="15" t="n">
        <v>1443426.64</v>
      </c>
      <c r="U29" s="15" t="n">
        <v>179626.08</v>
      </c>
      <c r="V29" s="15" t="n">
        <v>342706.64</v>
      </c>
      <c r="W29" s="15" t="n">
        <v>270507.94</v>
      </c>
      <c r="X29" s="15" t="n">
        <v>1108812.87</v>
      </c>
      <c r="Y29" s="15" t="n">
        <v>1109101.49</v>
      </c>
      <c r="Z29" s="15" t="n">
        <v>2607770.68</v>
      </c>
      <c r="AA29" s="15" t="n">
        <v>1242776.99</v>
      </c>
      <c r="AB29" s="15" t="n">
        <v>63931.57</v>
      </c>
      <c r="AC29" s="15" t="n">
        <v>18983.2</v>
      </c>
      <c r="AD29" s="15" t="n">
        <v>935976.4300000001</v>
      </c>
      <c r="AE29" s="15" t="n">
        <v>1055453.46</v>
      </c>
      <c r="AF29" s="15" t="n">
        <v>3501605.02</v>
      </c>
      <c r="AG29" s="15" t="n">
        <v>1732200.04</v>
      </c>
      <c r="AH29" s="15" t="n">
        <v>821432.74</v>
      </c>
      <c r="AI29" s="15" t="n">
        <v>237676.45</v>
      </c>
      <c r="AJ29" s="15" t="n">
        <v>1040226.74</v>
      </c>
      <c r="AK29" s="15" t="n">
        <v>2041097.84</v>
      </c>
      <c r="AL29" s="15" t="n">
        <v>1848174.31</v>
      </c>
      <c r="AM29" s="15" t="n">
        <v>546197.3</v>
      </c>
      <c r="AN29" s="15" t="n">
        <v>426647.32</v>
      </c>
      <c r="AO29" s="15" t="n">
        <v>317653.56</v>
      </c>
      <c r="AP29" s="15" t="n">
        <v>240778.89</v>
      </c>
      <c r="AQ29" s="15" t="n">
        <v>476414.84</v>
      </c>
      <c r="AR29" s="15" t="n">
        <v>788869.71</v>
      </c>
      <c r="AS29" s="15" t="n">
        <v>1703206.31</v>
      </c>
      <c r="AT29" s="15" t="n">
        <v>765803.89</v>
      </c>
      <c r="AU29" s="15" t="n">
        <v>199553.53</v>
      </c>
      <c r="AV29" s="15" t="n">
        <v>184232.33</v>
      </c>
      <c r="AW29" s="15" t="n">
        <v>2505705.18</v>
      </c>
      <c r="AX29" s="15" t="n">
        <v>1152013.07</v>
      </c>
      <c r="AY29" s="15" t="n">
        <v>966499.15</v>
      </c>
      <c r="AZ29" s="15" t="n">
        <v>1274208.71</v>
      </c>
      <c r="BA29" s="15" t="n">
        <v>104150.56</v>
      </c>
      <c r="BB29" s="15" t="n">
        <v>256322.03</v>
      </c>
      <c r="BC29" s="15" t="n">
        <v>949329.46</v>
      </c>
      <c r="BD29" s="15" t="n">
        <v>287249.2</v>
      </c>
      <c r="BE29" s="15" t="n">
        <v>1070557.97</v>
      </c>
      <c r="BF29" s="15" t="n">
        <v>628266.85</v>
      </c>
      <c r="BG29" s="15" t="n">
        <v>216572.52</v>
      </c>
      <c r="BH29" s="15" t="n">
        <v>535006.41</v>
      </c>
      <c r="BI29" s="15" t="n">
        <v>489607.69</v>
      </c>
      <c r="BJ29" s="15" t="n">
        <v>1246793.46</v>
      </c>
      <c r="BK29" s="15" t="n">
        <v>1069685.86</v>
      </c>
      <c r="BL29" s="15" t="n">
        <v>1537086.8</v>
      </c>
      <c r="BM29" s="15" t="n">
        <v>271265.5</v>
      </c>
      <c r="BN29" s="15" t="n">
        <v>335250.04</v>
      </c>
      <c r="BO29" s="15" t="n">
        <v>1208660</v>
      </c>
      <c r="BP29" s="15" t="n">
        <v>894939.34</v>
      </c>
      <c r="BQ29" s="15" t="n">
        <v>1136122.29</v>
      </c>
      <c r="BR29" s="15" t="n">
        <v>376945.99</v>
      </c>
      <c r="BS29" s="15" t="n">
        <v>355299.31</v>
      </c>
      <c r="BT29" s="15" t="n">
        <v>1196653.73</v>
      </c>
      <c r="BU29" s="15" t="n">
        <v>1166731.24</v>
      </c>
      <c r="BV29" s="15" t="n">
        <v>2634221.86</v>
      </c>
      <c r="BW29" s="15" t="n">
        <v>730676.27</v>
      </c>
      <c r="BX29" s="15" t="n">
        <v>1290268.29</v>
      </c>
      <c r="BY29" s="15" t="n">
        <v>16113.5</v>
      </c>
      <c r="BZ29" s="15" t="n">
        <v>-23080.85</v>
      </c>
      <c r="CA29" s="15" t="n">
        <v>444344.78</v>
      </c>
      <c r="CB29" s="15" t="n">
        <v>3552935.65</v>
      </c>
      <c r="CC29" s="15" t="n">
        <v>645793.02</v>
      </c>
      <c r="CD29" s="15" t="n">
        <v>756976.9300000001</v>
      </c>
      <c r="CE29" s="15" t="n">
        <v>345005.6</v>
      </c>
      <c r="CF29" s="15" t="n">
        <v>184462.4</v>
      </c>
      <c r="CG29" s="15" t="n">
        <v>3130264.7</v>
      </c>
      <c r="CH29" s="15" t="n">
        <v>2946064.76</v>
      </c>
      <c r="CI29" s="15" t="n">
        <v>1466378.88</v>
      </c>
      <c r="CJ29" s="15" t="n">
        <v>84941.10000000001</v>
      </c>
      <c r="CK29" s="15" t="n">
        <v>304221.1</v>
      </c>
      <c r="CL29" s="15" t="n">
        <v>-77792.66</v>
      </c>
      <c r="CM29" s="15" t="n">
        <v>2678990.01</v>
      </c>
      <c r="CN29" s="15" t="n">
        <v>2488825.48</v>
      </c>
      <c r="CO29" s="15" t="n">
        <v>2367610.54</v>
      </c>
      <c r="CP29" s="15" t="n">
        <v>368523.56</v>
      </c>
      <c r="CQ29" s="15" t="n">
        <v>338223.65</v>
      </c>
      <c r="CR29" s="15" t="n">
        <v>850715.4399999999</v>
      </c>
      <c r="CS29" s="15" t="n">
        <v>1533952.08</v>
      </c>
      <c r="CT29" s="15" t="n">
        <v>1806212.04</v>
      </c>
      <c r="CU29" s="15" t="n">
        <v>385097.9</v>
      </c>
      <c r="CV29" s="15" t="n">
        <v>1524283.46</v>
      </c>
      <c r="CW29" s="15" t="n">
        <v>149343.02</v>
      </c>
      <c r="CX29" s="15" t="n">
        <v>1115783.18</v>
      </c>
      <c r="CY29" s="15" t="n">
        <v>2554026.25</v>
      </c>
      <c r="CZ29" s="15" t="n">
        <v>2850113.33</v>
      </c>
      <c r="DA29" s="15" t="n">
        <v>745717.84</v>
      </c>
      <c r="DB29" s="15" t="n">
        <v>213010.3</v>
      </c>
      <c r="DC29" s="15" t="n">
        <v>162542.81</v>
      </c>
      <c r="DD29" s="15" t="n">
        <v>-82790.49000000001</v>
      </c>
      <c r="DE29" s="15" t="n">
        <v>476999.39</v>
      </c>
      <c r="DF29" s="15" t="n">
        <v>310172.28</v>
      </c>
      <c r="DG29" s="15" t="n">
        <v>1988945.49</v>
      </c>
      <c r="DH29" s="15" t="n">
        <v>1203238.69</v>
      </c>
      <c r="DI29" s="15" t="n">
        <v>391583.54</v>
      </c>
      <c r="DJ29" s="15" t="n">
        <v>896701.6800000001</v>
      </c>
      <c r="DK29" s="15" t="n">
        <v>995852.76</v>
      </c>
      <c r="DL29" s="15" t="n">
        <v>2722027.31</v>
      </c>
      <c r="DM29" s="15" t="n">
        <v>1453288.69</v>
      </c>
      <c r="DN29" s="15" t="n">
        <v>1496124.44</v>
      </c>
      <c r="DO29" s="15" t="n">
        <v>109393.41</v>
      </c>
      <c r="DP29" s="15" t="n">
        <v>203715.1</v>
      </c>
    </row>
    <row r="30">
      <c r="A30" s="4" t="inlineStr">
        <is>
          <t>其他产品C</t>
        </is>
      </c>
      <c r="B30" s="15" t="n">
        <v>685854.88</v>
      </c>
      <c r="C30" s="15" t="n">
        <v>1357618.99</v>
      </c>
      <c r="D30" s="15" t="n">
        <v>582260.33</v>
      </c>
      <c r="E30" s="15" t="n">
        <v>276786.19</v>
      </c>
      <c r="F30" s="15" t="n">
        <v>170204.91</v>
      </c>
      <c r="G30" s="15" t="n">
        <v>348765.65</v>
      </c>
      <c r="H30" s="15" t="n">
        <v>3416560.23</v>
      </c>
      <c r="I30" s="15" t="n">
        <v>1439279.35</v>
      </c>
      <c r="J30" s="15" t="n">
        <v>435119</v>
      </c>
      <c r="K30" s="15" t="n">
        <v>170342.67</v>
      </c>
      <c r="L30" s="15" t="n">
        <v>197086.27</v>
      </c>
      <c r="M30" s="15" t="n">
        <v>2969366.21</v>
      </c>
      <c r="N30" s="15" t="n">
        <v>1280673.29</v>
      </c>
      <c r="O30" s="15" t="n">
        <v>1691223.1</v>
      </c>
      <c r="P30" s="15" t="n">
        <v>1435027.97</v>
      </c>
      <c r="Q30" s="15" t="n">
        <v>286811.74</v>
      </c>
      <c r="R30" s="15" t="n">
        <v>321493.23</v>
      </c>
      <c r="S30" s="15" t="n">
        <v>1495329.27</v>
      </c>
      <c r="T30" s="15" t="n">
        <v>2067729.98</v>
      </c>
      <c r="U30" s="15" t="n">
        <v>320772.36</v>
      </c>
      <c r="V30" s="15" t="n">
        <v>726622.5699999999</v>
      </c>
      <c r="W30" s="15" t="n">
        <v>83673.89999999999</v>
      </c>
      <c r="X30" s="15" t="n">
        <v>-11495.32</v>
      </c>
      <c r="Y30" s="15" t="n">
        <v>2289401.42</v>
      </c>
      <c r="Z30" s="15" t="n">
        <v>1208555.73</v>
      </c>
      <c r="AA30" s="15" t="n">
        <v>1759974.23</v>
      </c>
      <c r="AB30" s="15" t="n">
        <v>1059456.03</v>
      </c>
      <c r="AC30" s="15" t="n">
        <v>64341.16</v>
      </c>
      <c r="AD30" s="15" t="n">
        <v>831912.59</v>
      </c>
      <c r="AE30" s="15" t="n">
        <v>1723206.28</v>
      </c>
      <c r="AF30" s="15" t="n">
        <v>600273.21</v>
      </c>
      <c r="AG30" s="15" t="n">
        <v>389194.64</v>
      </c>
      <c r="AH30" s="15" t="n">
        <v>1097515.78</v>
      </c>
      <c r="AI30" s="15" t="n">
        <v>361676.12</v>
      </c>
      <c r="AJ30" s="15" t="n">
        <v>59505.89</v>
      </c>
      <c r="AK30" s="15" t="n">
        <v>1944663.3</v>
      </c>
      <c r="AL30" s="15" t="n">
        <v>897980.71</v>
      </c>
      <c r="AM30" s="15" t="n">
        <v>2076592.94</v>
      </c>
      <c r="AN30" s="15" t="n">
        <v>1464134.27</v>
      </c>
      <c r="AO30" s="15" t="n">
        <v>194512.43</v>
      </c>
      <c r="AP30" s="15" t="n">
        <v>-20787.63</v>
      </c>
      <c r="AQ30" s="15" t="n">
        <v>1345542.09</v>
      </c>
      <c r="AR30" s="15" t="n">
        <v>3277549.01</v>
      </c>
      <c r="AS30" s="15" t="n">
        <v>1719077.39</v>
      </c>
      <c r="AT30" s="15" t="n">
        <v>1230049.77</v>
      </c>
      <c r="AU30" s="15" t="n">
        <v>116494.97</v>
      </c>
      <c r="AV30" s="15" t="n">
        <v>-105008.5</v>
      </c>
      <c r="AW30" s="15" t="n">
        <v>2348265.36</v>
      </c>
      <c r="AX30" s="15" t="n">
        <v>1606599.67</v>
      </c>
      <c r="AY30" s="15" t="n">
        <v>1609210.61</v>
      </c>
      <c r="AZ30" s="15" t="n">
        <v>173289.8</v>
      </c>
      <c r="BA30" s="15" t="n">
        <v>72041.25999999999</v>
      </c>
      <c r="BB30" s="15" t="n">
        <v>353771.45</v>
      </c>
      <c r="BC30" s="15" t="n">
        <v>1646554.14</v>
      </c>
      <c r="BD30" s="15" t="n">
        <v>3831446.85</v>
      </c>
      <c r="BE30" s="15" t="n">
        <v>2317265.83</v>
      </c>
      <c r="BF30" s="15" t="n">
        <v>570740.59</v>
      </c>
      <c r="BG30" s="15" t="n">
        <v>375587.54</v>
      </c>
      <c r="BH30" s="15" t="n">
        <v>801995.3100000001</v>
      </c>
      <c r="BI30" s="15" t="n">
        <v>2587404.3</v>
      </c>
      <c r="BJ30" s="15" t="n">
        <v>2165036.24</v>
      </c>
      <c r="BK30" s="15" t="n">
        <v>1466493.63</v>
      </c>
      <c r="BL30" s="15" t="n">
        <v>75971.91</v>
      </c>
      <c r="BM30" s="15" t="n">
        <v>311778.41</v>
      </c>
      <c r="BN30" s="15" t="n">
        <v>237056.9</v>
      </c>
      <c r="BO30" s="15" t="n">
        <v>2059847.35</v>
      </c>
      <c r="BP30" s="15" t="n">
        <v>2383637.14</v>
      </c>
      <c r="BQ30" s="15" t="n">
        <v>447153.54</v>
      </c>
      <c r="BR30" s="15" t="n">
        <v>1514956.67</v>
      </c>
      <c r="BS30" s="15" t="n">
        <v>214148.4</v>
      </c>
      <c r="BT30" s="15" t="n">
        <v>816707.3100000001</v>
      </c>
      <c r="BU30" s="15" t="n">
        <v>486832.7</v>
      </c>
      <c r="BV30" s="15" t="n">
        <v>3136987.43</v>
      </c>
      <c r="BW30" s="15" t="n">
        <v>2164611.55</v>
      </c>
      <c r="BX30" s="15" t="n">
        <v>792743.14</v>
      </c>
      <c r="BY30" s="15" t="n">
        <v>319479.08</v>
      </c>
      <c r="BZ30" s="15" t="n">
        <v>88282.13</v>
      </c>
      <c r="CA30" s="15" t="n">
        <v>2023843.76</v>
      </c>
      <c r="CB30" s="15" t="n">
        <v>1327914.65</v>
      </c>
      <c r="CC30" s="15" t="n">
        <v>671267.7</v>
      </c>
      <c r="CD30" s="15" t="n">
        <v>1458475.4</v>
      </c>
      <c r="CE30" s="15" t="n">
        <v>97860.81</v>
      </c>
      <c r="CF30" s="15" t="n">
        <v>708701.54</v>
      </c>
      <c r="CG30" s="15" t="n">
        <v>2824449.2</v>
      </c>
      <c r="CH30" s="15" t="n">
        <v>838623.17</v>
      </c>
      <c r="CI30" s="15" t="n">
        <v>1900286.82</v>
      </c>
      <c r="CJ30" s="15" t="n">
        <v>1149275.29</v>
      </c>
      <c r="CK30" s="15" t="n">
        <v>211851.61</v>
      </c>
      <c r="CL30" s="15" t="n">
        <v>133690.1</v>
      </c>
      <c r="CM30" s="15" t="n">
        <v>1375571.21</v>
      </c>
      <c r="CN30" s="15" t="n">
        <v>3005032.79</v>
      </c>
      <c r="CO30" s="15" t="n">
        <v>488075.41</v>
      </c>
      <c r="CP30" s="15" t="n">
        <v>1322596.94</v>
      </c>
      <c r="CQ30" s="15" t="n">
        <v>143127.33</v>
      </c>
      <c r="CR30" s="15" t="n">
        <v>-104152.52</v>
      </c>
      <c r="CS30" s="15" t="n">
        <v>496621.92</v>
      </c>
      <c r="CT30" s="15" t="n">
        <v>85547.48</v>
      </c>
      <c r="CU30" s="15" t="n">
        <v>1085285.18</v>
      </c>
      <c r="CV30" s="15" t="n">
        <v>277572.31</v>
      </c>
      <c r="CW30" s="15" t="n">
        <v>108924.19</v>
      </c>
      <c r="CX30" s="15" t="n">
        <v>1055885.98</v>
      </c>
      <c r="CY30" s="15" t="n">
        <v>2029144.17</v>
      </c>
      <c r="CZ30" s="15" t="n">
        <v>3818736.56</v>
      </c>
      <c r="DA30" s="15" t="n">
        <v>1687128.04</v>
      </c>
      <c r="DB30" s="15" t="n">
        <v>626420</v>
      </c>
      <c r="DC30" s="15" t="n">
        <v>351865.72</v>
      </c>
      <c r="DD30" s="15" t="n">
        <v>746416.8100000001</v>
      </c>
      <c r="DE30" s="15" t="n">
        <v>1264014.5</v>
      </c>
      <c r="DF30" s="15" t="n">
        <v>3177089.34</v>
      </c>
      <c r="DG30" s="15" t="n">
        <v>2003254.7</v>
      </c>
      <c r="DH30" s="15" t="n">
        <v>359056.5</v>
      </c>
      <c r="DI30" s="15" t="n">
        <v>202713.59</v>
      </c>
      <c r="DJ30" s="15" t="n">
        <v>331221.4</v>
      </c>
      <c r="DK30" s="15" t="n">
        <v>1181901.34</v>
      </c>
      <c r="DL30" s="15" t="n">
        <v>1054615.39</v>
      </c>
      <c r="DM30" s="15" t="n">
        <v>2328480.34</v>
      </c>
      <c r="DN30" s="15" t="n">
        <v>580056.58</v>
      </c>
      <c r="DO30" s="15" t="n">
        <v>9686.16</v>
      </c>
      <c r="DP30" s="15" t="n">
        <v>612200.89</v>
      </c>
    </row>
    <row r="31">
      <c r="A31" s="4" t="inlineStr">
        <is>
          <t>数控机床</t>
        </is>
      </c>
      <c r="B31" s="15" t="n">
        <v>842618.01</v>
      </c>
      <c r="C31" s="15" t="n">
        <v>1355979.62</v>
      </c>
      <c r="D31" s="15" t="n">
        <v>367618.43</v>
      </c>
      <c r="E31" s="15" t="n">
        <v>268784.14</v>
      </c>
      <c r="F31" s="15" t="n">
        <v>612948.5600000001</v>
      </c>
      <c r="G31" s="15" t="n">
        <v>1197197.62</v>
      </c>
      <c r="H31" s="15" t="n">
        <v>1947133.44</v>
      </c>
      <c r="I31" s="15" t="n">
        <v>540961.54</v>
      </c>
      <c r="J31" s="15" t="n">
        <v>384975.09</v>
      </c>
      <c r="K31" s="15" t="n">
        <v>184122.52</v>
      </c>
      <c r="L31" s="15" t="n">
        <v>968258.1899999999</v>
      </c>
      <c r="M31" s="15" t="n">
        <v>778177.9399999999</v>
      </c>
      <c r="N31" s="15" t="n">
        <v>3931029.32</v>
      </c>
      <c r="O31" s="15" t="n">
        <v>1488131.42</v>
      </c>
      <c r="P31" s="15" t="n">
        <v>1582424.01</v>
      </c>
      <c r="Q31" s="15" t="n">
        <v>356522.61</v>
      </c>
      <c r="R31" s="15" t="n">
        <v>214213.66</v>
      </c>
      <c r="S31" s="15" t="n">
        <v>332551.28</v>
      </c>
      <c r="T31" s="15" t="n">
        <v>1300456.28</v>
      </c>
      <c r="U31" s="15" t="n">
        <v>847410.7</v>
      </c>
      <c r="V31" s="15" t="n">
        <v>1431657.97</v>
      </c>
      <c r="W31" s="15" t="n">
        <v>308739.7</v>
      </c>
      <c r="X31" s="15" t="n">
        <v>770734.84</v>
      </c>
      <c r="Y31" s="15" t="n">
        <v>1487331.66</v>
      </c>
      <c r="Z31" s="15" t="n">
        <v>3656799.86</v>
      </c>
      <c r="AA31" s="15" t="n">
        <v>925574.23</v>
      </c>
      <c r="AB31" s="15" t="n">
        <v>1028019.43</v>
      </c>
      <c r="AC31" s="15" t="n">
        <v>358887.75</v>
      </c>
      <c r="AD31" s="15" t="n">
        <v>-123551.52</v>
      </c>
      <c r="AE31" s="15" t="n">
        <v>532448.23</v>
      </c>
      <c r="AF31" s="15" t="n">
        <v>2212913.82</v>
      </c>
      <c r="AG31" s="15" t="n">
        <v>91599.75999999999</v>
      </c>
      <c r="AH31" s="15" t="n">
        <v>978272.95</v>
      </c>
      <c r="AI31" s="15" t="n">
        <v>193050.98</v>
      </c>
      <c r="AJ31" s="15" t="n">
        <v>75037.27</v>
      </c>
      <c r="AK31" s="15" t="n">
        <v>1822590.55</v>
      </c>
      <c r="AL31" s="15" t="n">
        <v>2542762.13</v>
      </c>
      <c r="AM31" s="15" t="n">
        <v>248840.82</v>
      </c>
      <c r="AN31" s="15" t="n">
        <v>264089.4</v>
      </c>
      <c r="AO31" s="15" t="n">
        <v>303244.35</v>
      </c>
      <c r="AP31" s="15" t="n">
        <v>550527.49</v>
      </c>
      <c r="AQ31" s="15" t="n">
        <v>2714766.04</v>
      </c>
      <c r="AR31" s="15" t="n">
        <v>3903879.61</v>
      </c>
      <c r="AS31" s="15" t="n">
        <v>864542.89</v>
      </c>
      <c r="AT31" s="15" t="n">
        <v>404572.32</v>
      </c>
      <c r="AU31" s="15" t="n">
        <v>398418.71</v>
      </c>
      <c r="AV31" s="15" t="n">
        <v>791559.76</v>
      </c>
      <c r="AW31" s="15" t="n">
        <v>1852256.24</v>
      </c>
      <c r="AX31" s="15" t="n">
        <v>3107908.88</v>
      </c>
      <c r="AY31" s="15" t="n">
        <v>357064.29</v>
      </c>
      <c r="AZ31" s="15" t="n">
        <v>348172.74</v>
      </c>
      <c r="BA31" s="15" t="n">
        <v>326641.02</v>
      </c>
      <c r="BB31" s="15" t="n">
        <v>942539.84</v>
      </c>
      <c r="BC31" s="15" t="n">
        <v>2908141.84</v>
      </c>
      <c r="BD31" s="15" t="n">
        <v>3583186.77</v>
      </c>
      <c r="BE31" s="15" t="n">
        <v>1261853.97</v>
      </c>
      <c r="BF31" s="15" t="n">
        <v>751861</v>
      </c>
      <c r="BG31" s="15" t="n">
        <v>145505.62</v>
      </c>
      <c r="BH31" s="15" t="n">
        <v>465931.87</v>
      </c>
      <c r="BI31" s="15" t="n">
        <v>1461024.52</v>
      </c>
      <c r="BJ31" s="15" t="n">
        <v>2514535.77</v>
      </c>
      <c r="BK31" s="15" t="n">
        <v>512992.18</v>
      </c>
      <c r="BL31" s="15" t="n">
        <v>327433.69</v>
      </c>
      <c r="BM31" s="15" t="n">
        <v>329068.13</v>
      </c>
      <c r="BN31" s="15" t="n">
        <v>589085.72</v>
      </c>
      <c r="BO31" s="15" t="n">
        <v>1752513.16</v>
      </c>
      <c r="BP31" s="15" t="n">
        <v>3193913.63</v>
      </c>
      <c r="BQ31" s="15" t="n">
        <v>2079479.17</v>
      </c>
      <c r="BR31" s="15" t="n">
        <v>1419407.25</v>
      </c>
      <c r="BS31" s="15" t="n">
        <v>118939.69</v>
      </c>
      <c r="BT31" s="15" t="n">
        <v>-68828.87</v>
      </c>
      <c r="BU31" s="15" t="n">
        <v>1118386.59</v>
      </c>
      <c r="BV31" s="15" t="n">
        <v>743656.05</v>
      </c>
      <c r="BW31" s="15" t="n">
        <v>1918534.34</v>
      </c>
      <c r="BX31" s="15" t="n">
        <v>459006.52</v>
      </c>
      <c r="BY31" s="15" t="n">
        <v>379152.22</v>
      </c>
      <c r="BZ31" s="15" t="n">
        <v>1108546.89</v>
      </c>
      <c r="CA31" s="15" t="n">
        <v>211640.77</v>
      </c>
      <c r="CB31" s="15" t="n">
        <v>2091888.56</v>
      </c>
      <c r="CC31" s="15" t="n">
        <v>1332802.54</v>
      </c>
      <c r="CD31" s="15" t="n">
        <v>797901.85</v>
      </c>
      <c r="CE31" s="15" t="n">
        <v>145023.04</v>
      </c>
      <c r="CF31" s="15" t="n">
        <v>792908.3100000001</v>
      </c>
      <c r="CG31" s="15" t="n">
        <v>1583687.55</v>
      </c>
      <c r="CH31" s="15" t="n">
        <v>1415446.5</v>
      </c>
      <c r="CI31" s="15" t="n">
        <v>1320925.34</v>
      </c>
      <c r="CJ31" s="15" t="n">
        <v>1519996.92</v>
      </c>
      <c r="CK31" s="15" t="n">
        <v>9915.309999999999</v>
      </c>
      <c r="CL31" s="15" t="n">
        <v>300740.16</v>
      </c>
      <c r="CM31" s="15" t="n">
        <v>2425586.39</v>
      </c>
      <c r="CN31" s="15" t="n">
        <v>1270350.24</v>
      </c>
      <c r="CO31" s="15" t="n">
        <v>149357.4</v>
      </c>
      <c r="CP31" s="15" t="n">
        <v>995883</v>
      </c>
      <c r="CQ31" s="15" t="n">
        <v>364222.86</v>
      </c>
      <c r="CR31" s="15" t="n">
        <v>79326.7</v>
      </c>
      <c r="CS31" s="15" t="n">
        <v>842065.5699999999</v>
      </c>
      <c r="CT31" s="15" t="n">
        <v>1696221.82</v>
      </c>
      <c r="CU31" s="15" t="n">
        <v>733061.63</v>
      </c>
      <c r="CV31" s="15" t="n">
        <v>639060.23</v>
      </c>
      <c r="CW31" s="15" t="n">
        <v>182562.71</v>
      </c>
      <c r="CX31" s="15" t="n">
        <v>522318.84</v>
      </c>
      <c r="CY31" s="15" t="n">
        <v>3060244.15</v>
      </c>
      <c r="CZ31" s="15" t="n">
        <v>489185.26</v>
      </c>
      <c r="DA31" s="15" t="n">
        <v>2191311.77</v>
      </c>
      <c r="DB31" s="15" t="n">
        <v>472243.63</v>
      </c>
      <c r="DC31" s="15" t="n">
        <v>278401.09</v>
      </c>
      <c r="DD31" s="15" t="n">
        <v>-106470.24</v>
      </c>
      <c r="DE31" s="15" t="n">
        <v>2551568.99</v>
      </c>
      <c r="DF31" s="15" t="n">
        <v>3681924.06</v>
      </c>
      <c r="DG31" s="15" t="n">
        <v>1579859.92</v>
      </c>
      <c r="DH31" s="15" t="n">
        <v>444298.12</v>
      </c>
      <c r="DI31" s="15" t="n">
        <v>267554.95</v>
      </c>
      <c r="DJ31" s="15" t="n">
        <v>1082094.17</v>
      </c>
      <c r="DK31" s="15" t="n">
        <v>2202686.17</v>
      </c>
      <c r="DL31" s="15" t="n">
        <v>2779997.23</v>
      </c>
      <c r="DM31" s="15" t="n">
        <v>2180475.94</v>
      </c>
      <c r="DN31" s="15" t="n">
        <v>247638.73</v>
      </c>
      <c r="DO31" s="15" t="n">
        <v>198901.62</v>
      </c>
      <c r="DP31" s="15" t="n">
        <v>365049.84</v>
      </c>
    </row>
    <row r="32">
      <c r="A32" s="4" t="inlineStr">
        <is>
          <t>精密轴承</t>
        </is>
      </c>
      <c r="B32" s="15" t="n">
        <v>2676604.24</v>
      </c>
      <c r="C32" s="15" t="n">
        <v>2233165.33</v>
      </c>
      <c r="D32" s="15" t="n">
        <v>973962.24</v>
      </c>
      <c r="E32" s="15" t="n">
        <v>86866.5</v>
      </c>
      <c r="F32" s="15" t="n">
        <v>620632.26</v>
      </c>
      <c r="G32" s="15" t="n">
        <v>962574.77</v>
      </c>
      <c r="H32" s="15" t="n">
        <v>1748919.82</v>
      </c>
      <c r="I32" s="15" t="n">
        <v>2114984.57</v>
      </c>
      <c r="J32" s="15" t="n">
        <v>1516876.22</v>
      </c>
      <c r="K32" s="15" t="n">
        <v>302845.5</v>
      </c>
      <c r="L32" s="15" t="n">
        <v>353616.66</v>
      </c>
      <c r="M32" s="15" t="n">
        <v>868100.74</v>
      </c>
      <c r="N32" s="15" t="n">
        <v>211368.09</v>
      </c>
      <c r="O32" s="15" t="n">
        <v>1355506.83</v>
      </c>
      <c r="P32" s="15" t="n">
        <v>1091194.5</v>
      </c>
      <c r="Q32" s="15" t="n">
        <v>271430.14</v>
      </c>
      <c r="R32" s="15" t="n">
        <v>785167.1800000001</v>
      </c>
      <c r="S32" s="15" t="n">
        <v>1831574.49</v>
      </c>
      <c r="T32" s="15" t="n">
        <v>2964241.3</v>
      </c>
      <c r="U32" s="15" t="n">
        <v>2082218.99</v>
      </c>
      <c r="V32" s="15" t="n">
        <v>1119213.75</v>
      </c>
      <c r="W32" s="15" t="n">
        <v>335684.37</v>
      </c>
      <c r="X32" s="15" t="n">
        <v>329466.89</v>
      </c>
      <c r="Y32" s="15" t="n">
        <v>1050790.91</v>
      </c>
      <c r="Z32" s="15" t="n">
        <v>1141273.67</v>
      </c>
      <c r="AA32" s="15" t="n">
        <v>225285.11</v>
      </c>
      <c r="AB32" s="15" t="n">
        <v>1206278.57</v>
      </c>
      <c r="AC32" s="15" t="n">
        <v>29403.74</v>
      </c>
      <c r="AD32" s="15" t="n">
        <v>718056</v>
      </c>
      <c r="AE32" s="15" t="n">
        <v>3003185.32</v>
      </c>
      <c r="AF32" s="15" t="n">
        <v>1874302.56</v>
      </c>
      <c r="AG32" s="15" t="n">
        <v>403707.54</v>
      </c>
      <c r="AH32" s="15" t="n">
        <v>695205.6800000001</v>
      </c>
      <c r="AI32" s="15" t="n">
        <v>380250.06</v>
      </c>
      <c r="AJ32" s="15" t="n">
        <v>525445.05</v>
      </c>
      <c r="AK32" s="15" t="n">
        <v>2023417.47</v>
      </c>
      <c r="AL32" s="15" t="n">
        <v>2640225.55</v>
      </c>
      <c r="AM32" s="15" t="n">
        <v>1106439.13</v>
      </c>
      <c r="AN32" s="15" t="n">
        <v>984061.85</v>
      </c>
      <c r="AO32" s="15" t="n">
        <v>132276.19</v>
      </c>
      <c r="AP32" s="15" t="n">
        <v>458139.13</v>
      </c>
      <c r="AQ32" s="15" t="n">
        <v>228279.04</v>
      </c>
      <c r="AR32" s="15" t="n">
        <v>3870699.91</v>
      </c>
      <c r="AS32" s="15" t="n">
        <v>703595.66</v>
      </c>
      <c r="AT32" s="15" t="n">
        <v>353013.6</v>
      </c>
      <c r="AU32" s="15" t="n">
        <v>338656.05</v>
      </c>
      <c r="AV32" s="15" t="n">
        <v>426377.74</v>
      </c>
      <c r="AW32" s="15" t="n">
        <v>898081.41</v>
      </c>
      <c r="AX32" s="15" t="n">
        <v>2729091.35</v>
      </c>
      <c r="AY32" s="15" t="n">
        <v>1453640.09</v>
      </c>
      <c r="AZ32" s="15" t="n">
        <v>1597374.3</v>
      </c>
      <c r="BA32" s="15" t="n">
        <v>371110.45</v>
      </c>
      <c r="BB32" s="15" t="n">
        <v>191805.13</v>
      </c>
      <c r="BC32" s="15" t="n">
        <v>838114.6800000001</v>
      </c>
      <c r="BD32" s="15" t="n">
        <v>3751074.31</v>
      </c>
      <c r="BE32" s="15" t="n">
        <v>1333560.46</v>
      </c>
      <c r="BF32" s="15" t="n">
        <v>444325.02</v>
      </c>
      <c r="BG32" s="15" t="n">
        <v>9075.24</v>
      </c>
      <c r="BH32" s="15" t="n">
        <v>-106582.55</v>
      </c>
      <c r="BI32" s="15" t="n">
        <v>2034242.72</v>
      </c>
      <c r="BJ32" s="15" t="n">
        <v>867551.71</v>
      </c>
      <c r="BK32" s="15" t="n">
        <v>858406.46</v>
      </c>
      <c r="BL32" s="15" t="n">
        <v>1286052.37</v>
      </c>
      <c r="BM32" s="15" t="n">
        <v>336497.1</v>
      </c>
      <c r="BN32" s="15" t="n">
        <v>347647.07</v>
      </c>
      <c r="BO32" s="15" t="n">
        <v>2530050.61</v>
      </c>
      <c r="BP32" s="15" t="n">
        <v>779462.21</v>
      </c>
      <c r="BQ32" s="15" t="n">
        <v>1064321.54</v>
      </c>
      <c r="BR32" s="15" t="n">
        <v>1120431.59</v>
      </c>
      <c r="BS32" s="15" t="n">
        <v>239079.63</v>
      </c>
      <c r="BT32" s="15" t="n">
        <v>869318.26</v>
      </c>
      <c r="BU32" s="15" t="n">
        <v>2678418.46</v>
      </c>
      <c r="BV32" s="15" t="n">
        <v>3111945.76</v>
      </c>
      <c r="BW32" s="15" t="n">
        <v>2259994.98</v>
      </c>
      <c r="BX32" s="15" t="n">
        <v>365392.3</v>
      </c>
      <c r="BY32" s="15" t="n">
        <v>387858.91</v>
      </c>
      <c r="BZ32" s="15" t="n">
        <v>826359.53</v>
      </c>
      <c r="CA32" s="15" t="n">
        <v>1536737.58</v>
      </c>
      <c r="CB32" s="15" t="n">
        <v>896703.77</v>
      </c>
      <c r="CC32" s="15" t="n">
        <v>853064.9300000001</v>
      </c>
      <c r="CD32" s="15" t="n">
        <v>802165.2</v>
      </c>
      <c r="CE32" s="15" t="n">
        <v>63265.47</v>
      </c>
      <c r="CF32" s="15" t="n">
        <v>369573.36</v>
      </c>
      <c r="CG32" s="15" t="n">
        <v>1581094.14</v>
      </c>
      <c r="CH32" s="15" t="n">
        <v>803597.78</v>
      </c>
      <c r="CI32" s="15" t="n">
        <v>218203.38</v>
      </c>
      <c r="CJ32" s="15" t="n">
        <v>1366573.79</v>
      </c>
      <c r="CK32" s="15" t="n">
        <v>9904.99</v>
      </c>
      <c r="CL32" s="15" t="n">
        <v>591490.6</v>
      </c>
      <c r="CM32" s="15" t="n">
        <v>1134672.67</v>
      </c>
      <c r="CN32" s="15" t="n">
        <v>2666148.37</v>
      </c>
      <c r="CO32" s="15" t="n">
        <v>2076653.43</v>
      </c>
      <c r="CP32" s="15" t="n">
        <v>568699.4300000001</v>
      </c>
      <c r="CQ32" s="15" t="n">
        <v>238095.29</v>
      </c>
      <c r="CR32" s="15" t="n">
        <v>339677.85</v>
      </c>
      <c r="CS32" s="15" t="n">
        <v>508877.68</v>
      </c>
      <c r="CT32" s="15" t="n">
        <v>1275343.75</v>
      </c>
      <c r="CU32" s="15" t="n">
        <v>848666.01</v>
      </c>
      <c r="CV32" s="15" t="n">
        <v>631162.1899999999</v>
      </c>
      <c r="CW32" s="15" t="n">
        <v>15730.62</v>
      </c>
      <c r="CX32" s="15" t="n">
        <v>629253.98</v>
      </c>
      <c r="CY32" s="15" t="n">
        <v>2524130.62</v>
      </c>
      <c r="CZ32" s="15" t="n">
        <v>3427971.98</v>
      </c>
      <c r="DA32" s="15" t="n">
        <v>2107085.95</v>
      </c>
      <c r="DB32" s="15" t="n">
        <v>544492.74</v>
      </c>
      <c r="DC32" s="15" t="n">
        <v>200513.31</v>
      </c>
      <c r="DD32" s="15" t="n">
        <v>571261.74</v>
      </c>
      <c r="DE32" s="15" t="n">
        <v>1341181.07</v>
      </c>
      <c r="DF32" s="15" t="n">
        <v>2454535.83</v>
      </c>
      <c r="DG32" s="15" t="n">
        <v>1689186.74</v>
      </c>
      <c r="DH32" s="15" t="n">
        <v>341574.34</v>
      </c>
      <c r="DI32" s="15" t="n">
        <v>87256.38</v>
      </c>
      <c r="DJ32" s="15" t="n">
        <v>1077655.79</v>
      </c>
      <c r="DK32" s="15" t="n">
        <v>293476.16</v>
      </c>
      <c r="DL32" s="15" t="n">
        <v>3648043.78</v>
      </c>
      <c r="DM32" s="15" t="n">
        <v>626332.84</v>
      </c>
      <c r="DN32" s="15" t="n">
        <v>1024806.15</v>
      </c>
      <c r="DO32" s="15" t="n">
        <v>140644.1</v>
      </c>
      <c r="DP32" s="15" t="n">
        <v>97105.47</v>
      </c>
    </row>
    <row r="33">
      <c r="A33" s="4" t="inlineStr">
        <is>
          <t>液压件</t>
        </is>
      </c>
      <c r="B33" s="15" t="n">
        <v>2386162.67</v>
      </c>
      <c r="C33" s="15" t="n">
        <v>808113</v>
      </c>
      <c r="D33" s="15" t="n">
        <v>1175925.68</v>
      </c>
      <c r="E33" s="15" t="n">
        <v>218153.36</v>
      </c>
      <c r="F33" s="15" t="n">
        <v>678484.13</v>
      </c>
      <c r="G33" s="15" t="n">
        <v>2195393.63</v>
      </c>
      <c r="H33" s="15" t="n">
        <v>3992024.46</v>
      </c>
      <c r="I33" s="15" t="n">
        <v>1091837.44</v>
      </c>
      <c r="J33" s="15" t="n">
        <v>1156681.59</v>
      </c>
      <c r="K33" s="15" t="n">
        <v>180946.75</v>
      </c>
      <c r="L33" s="15" t="n">
        <v>1152779.14</v>
      </c>
      <c r="M33" s="15" t="n">
        <v>2373247.02</v>
      </c>
      <c r="N33" s="15" t="n">
        <v>3220971.1</v>
      </c>
      <c r="O33" s="15" t="n">
        <v>1050399.36</v>
      </c>
      <c r="P33" s="15" t="n">
        <v>55432.08</v>
      </c>
      <c r="Q33" s="15" t="n">
        <v>114763.46</v>
      </c>
      <c r="R33" s="15" t="n">
        <v>353165.02</v>
      </c>
      <c r="S33" s="15" t="n">
        <v>2671788.9</v>
      </c>
      <c r="T33" s="15" t="n">
        <v>3165743.5</v>
      </c>
      <c r="U33" s="15" t="n">
        <v>630168.35</v>
      </c>
      <c r="V33" s="15" t="n">
        <v>721101.3199999999</v>
      </c>
      <c r="W33" s="15" t="n">
        <v>397203.4</v>
      </c>
      <c r="X33" s="15" t="n">
        <v>906150.34</v>
      </c>
      <c r="Y33" s="15" t="n">
        <v>2363489.7</v>
      </c>
      <c r="Z33" s="15" t="n">
        <v>391031.88</v>
      </c>
      <c r="AA33" s="15" t="n">
        <v>2088794.06</v>
      </c>
      <c r="AB33" s="15" t="n">
        <v>789310.17</v>
      </c>
      <c r="AC33" s="15" t="n">
        <v>129077.88</v>
      </c>
      <c r="AD33" s="15" t="n">
        <v>1132081.83</v>
      </c>
      <c r="AE33" s="15" t="n">
        <v>681714.4</v>
      </c>
      <c r="AF33" s="15" t="n">
        <v>2274491.83</v>
      </c>
      <c r="AG33" s="15" t="n">
        <v>241918.07</v>
      </c>
      <c r="AH33" s="15" t="n">
        <v>1169482.72</v>
      </c>
      <c r="AI33" s="15" t="n">
        <v>331762.82</v>
      </c>
      <c r="AJ33" s="15" t="n">
        <v>1068384.68</v>
      </c>
      <c r="AK33" s="15" t="n">
        <v>811501.91</v>
      </c>
      <c r="AL33" s="15" t="n">
        <v>3648866.63</v>
      </c>
      <c r="AM33" s="15" t="n">
        <v>1126231.19</v>
      </c>
      <c r="AN33" s="15" t="n">
        <v>311350.34</v>
      </c>
      <c r="AO33" s="15" t="n">
        <v>39099.62</v>
      </c>
      <c r="AP33" s="15" t="n">
        <v>326590.85</v>
      </c>
      <c r="AQ33" s="15" t="n">
        <v>1563037.39</v>
      </c>
      <c r="AR33" s="15" t="n">
        <v>1999987.6</v>
      </c>
      <c r="AS33" s="15" t="n">
        <v>756071.4399999999</v>
      </c>
      <c r="AT33" s="15" t="n">
        <v>25838.71</v>
      </c>
      <c r="AU33" s="15" t="n">
        <v>135413.5</v>
      </c>
      <c r="AV33" s="15" t="n">
        <v>1162240.48</v>
      </c>
      <c r="AW33" s="15" t="n">
        <v>2677354.4</v>
      </c>
      <c r="AX33" s="15" t="n">
        <v>1793536.78</v>
      </c>
      <c r="AY33" s="15" t="n">
        <v>334800.76</v>
      </c>
      <c r="AZ33" s="15" t="n">
        <v>252397.31</v>
      </c>
      <c r="BA33" s="15" t="n">
        <v>306042.67</v>
      </c>
      <c r="BB33" s="15" t="n">
        <v>825229.08</v>
      </c>
      <c r="BC33" s="15" t="n">
        <v>1028652.97</v>
      </c>
      <c r="BD33" s="15" t="n">
        <v>1154290.83</v>
      </c>
      <c r="BE33" s="15" t="n">
        <v>1198205.22</v>
      </c>
      <c r="BF33" s="15" t="n">
        <v>588691.51</v>
      </c>
      <c r="BG33" s="15" t="n">
        <v>99675.7</v>
      </c>
      <c r="BH33" s="15" t="n">
        <v>-73613.02</v>
      </c>
      <c r="BI33" s="15" t="n">
        <v>405281.66</v>
      </c>
      <c r="BJ33" s="15" t="n">
        <v>2957331.59</v>
      </c>
      <c r="BK33" s="15" t="n">
        <v>1231322.24</v>
      </c>
      <c r="BL33" s="15" t="n">
        <v>760679.5</v>
      </c>
      <c r="BM33" s="15" t="n">
        <v>171959.83</v>
      </c>
      <c r="BN33" s="15" t="n">
        <v>803970.77</v>
      </c>
      <c r="BO33" s="15" t="n">
        <v>2215450.87</v>
      </c>
      <c r="BP33" s="15" t="n">
        <v>754338.74</v>
      </c>
      <c r="BQ33" s="15" t="n">
        <v>1536799.29</v>
      </c>
      <c r="BR33" s="15" t="n">
        <v>231983.1</v>
      </c>
      <c r="BS33" s="15" t="n">
        <v>287792.79</v>
      </c>
      <c r="BT33" s="15" t="n">
        <v>623688.87</v>
      </c>
      <c r="BU33" s="15" t="n">
        <v>1899285.04</v>
      </c>
      <c r="BV33" s="15" t="n">
        <v>3219938.38</v>
      </c>
      <c r="BW33" s="15" t="n">
        <v>2157870.01</v>
      </c>
      <c r="BX33" s="15" t="n">
        <v>1310425.92</v>
      </c>
      <c r="BY33" s="15" t="n">
        <v>70412.3</v>
      </c>
      <c r="BZ33" s="15" t="n">
        <v>267098.83</v>
      </c>
      <c r="CA33" s="15" t="n">
        <v>2527266.78</v>
      </c>
      <c r="CB33" s="15" t="n">
        <v>136050.19</v>
      </c>
      <c r="CC33" s="15" t="n">
        <v>1691287.33</v>
      </c>
      <c r="CD33" s="15" t="n">
        <v>210711.02</v>
      </c>
      <c r="CE33" s="15" t="n">
        <v>345576.95</v>
      </c>
      <c r="CF33" s="15" t="n">
        <v>28512.59</v>
      </c>
      <c r="CG33" s="15" t="n">
        <v>2246781.76</v>
      </c>
      <c r="CH33" s="15" t="n">
        <v>1214715.86</v>
      </c>
      <c r="CI33" s="15" t="n">
        <v>690341.48</v>
      </c>
      <c r="CJ33" s="15" t="n">
        <v>826146.8100000001</v>
      </c>
      <c r="CK33" s="15" t="n">
        <v>369814.25</v>
      </c>
      <c r="CL33" s="15" t="n">
        <v>317504.74</v>
      </c>
      <c r="CM33" s="15" t="n">
        <v>1485797.56</v>
      </c>
      <c r="CN33" s="15" t="n">
        <v>3196669.16</v>
      </c>
      <c r="CO33" s="15" t="n">
        <v>215159.43</v>
      </c>
      <c r="CP33" s="15" t="n">
        <v>1330795.61</v>
      </c>
      <c r="CQ33" s="15" t="n">
        <v>269367.49</v>
      </c>
      <c r="CR33" s="15" t="n">
        <v>-9770.34</v>
      </c>
      <c r="CS33" s="15" t="n">
        <v>3045128.62</v>
      </c>
      <c r="CT33" s="15" t="n">
        <v>2627621.76</v>
      </c>
      <c r="CU33" s="15" t="n">
        <v>941455.45</v>
      </c>
      <c r="CV33" s="15" t="n">
        <v>27193.06</v>
      </c>
      <c r="CW33" s="15" t="n">
        <v>131735.08</v>
      </c>
      <c r="CX33" s="15" t="n">
        <v>585356.52</v>
      </c>
      <c r="CY33" s="15" t="n">
        <v>2691419.07</v>
      </c>
      <c r="CZ33" s="15" t="n">
        <v>2340782.62</v>
      </c>
      <c r="DA33" s="15" t="n">
        <v>2145850.13</v>
      </c>
      <c r="DB33" s="15" t="n">
        <v>652561.1</v>
      </c>
      <c r="DC33" s="15" t="n">
        <v>328966.74</v>
      </c>
      <c r="DD33" s="15" t="n">
        <v>261758.7</v>
      </c>
      <c r="DE33" s="15" t="n">
        <v>1444376.84</v>
      </c>
      <c r="DF33" s="15" t="n">
        <v>1650632.75</v>
      </c>
      <c r="DG33" s="15" t="n">
        <v>2213310.37</v>
      </c>
      <c r="DH33" s="15" t="n">
        <v>1313672.55</v>
      </c>
      <c r="DI33" s="15" t="n">
        <v>378875.27</v>
      </c>
      <c r="DJ33" s="15" t="n">
        <v>862496.23</v>
      </c>
      <c r="DK33" s="15" t="n">
        <v>1316827.46</v>
      </c>
      <c r="DL33" s="15" t="n">
        <v>1539975.58</v>
      </c>
      <c r="DM33" s="15" t="n">
        <v>1162457.93</v>
      </c>
      <c r="DN33" s="15" t="n">
        <v>701909.39</v>
      </c>
      <c r="DO33" s="15" t="n">
        <v>165141.32</v>
      </c>
      <c r="DP33" s="15" t="n">
        <v>182322.75</v>
      </c>
    </row>
    <row r="34">
      <c r="A34" s="4" t="inlineStr">
        <is>
          <t>气动元件</t>
        </is>
      </c>
      <c r="B34" s="15" t="n">
        <v>3892845.4</v>
      </c>
      <c r="C34" s="15" t="n">
        <v>158235.73</v>
      </c>
      <c r="D34" s="15" t="n">
        <v>574817.15</v>
      </c>
      <c r="E34" s="15" t="n">
        <v>11300.89</v>
      </c>
      <c r="F34" s="15" t="n">
        <v>752851.41</v>
      </c>
      <c r="G34" s="15" t="n">
        <v>2975229.09</v>
      </c>
      <c r="H34" s="15" t="n">
        <v>3411483.37</v>
      </c>
      <c r="I34" s="15" t="n">
        <v>376523.41</v>
      </c>
      <c r="J34" s="15" t="n">
        <v>706291.89</v>
      </c>
      <c r="K34" s="15" t="n">
        <v>137176.65</v>
      </c>
      <c r="L34" s="15" t="n">
        <v>276091.18</v>
      </c>
      <c r="M34" s="15" t="n">
        <v>644302.51</v>
      </c>
      <c r="N34" s="15" t="n">
        <v>2004764.86</v>
      </c>
      <c r="O34" s="15" t="n">
        <v>193878.22</v>
      </c>
      <c r="P34" s="15" t="n">
        <v>923990.51</v>
      </c>
      <c r="Q34" s="15" t="n">
        <v>218616.24</v>
      </c>
      <c r="R34" s="15" t="n">
        <v>513346.75</v>
      </c>
      <c r="S34" s="15" t="n">
        <v>485352.32</v>
      </c>
      <c r="T34" s="15" t="n">
        <v>2268581.77</v>
      </c>
      <c r="U34" s="15" t="n">
        <v>1194954.15</v>
      </c>
      <c r="V34" s="15" t="n">
        <v>243448.59</v>
      </c>
      <c r="W34" s="15" t="n">
        <v>149352.39</v>
      </c>
      <c r="X34" s="15" t="n">
        <v>846944.85</v>
      </c>
      <c r="Y34" s="15" t="n">
        <v>508506.65</v>
      </c>
      <c r="Z34" s="15" t="n">
        <v>99391.81</v>
      </c>
      <c r="AA34" s="15" t="n">
        <v>229115.73</v>
      </c>
      <c r="AB34" s="15" t="n">
        <v>1124533.22</v>
      </c>
      <c r="AC34" s="15" t="n">
        <v>149831.63</v>
      </c>
      <c r="AD34" s="15" t="n">
        <v>-104794.47</v>
      </c>
      <c r="AE34" s="15" t="n">
        <v>2856329.46</v>
      </c>
      <c r="AF34" s="15" t="n">
        <v>747057.4300000001</v>
      </c>
      <c r="AG34" s="15" t="n">
        <v>1992796.76</v>
      </c>
      <c r="AH34" s="15" t="n">
        <v>756382.51</v>
      </c>
      <c r="AI34" s="15" t="n">
        <v>274339.92</v>
      </c>
      <c r="AJ34" s="15" t="n">
        <v>717682.49</v>
      </c>
      <c r="AK34" s="15" t="n">
        <v>1418107.72</v>
      </c>
      <c r="AL34" s="15" t="n">
        <v>2767438.74</v>
      </c>
      <c r="AM34" s="15" t="n">
        <v>129616.87</v>
      </c>
      <c r="AN34" s="15" t="n">
        <v>617767.22</v>
      </c>
      <c r="AO34" s="15" t="n">
        <v>195749.46</v>
      </c>
      <c r="AP34" s="15" t="n">
        <v>255194.31</v>
      </c>
      <c r="AQ34" s="15" t="n">
        <v>2763595.36</v>
      </c>
      <c r="AR34" s="15" t="n">
        <v>1772625.78</v>
      </c>
      <c r="AS34" s="15" t="n">
        <v>1421935.51</v>
      </c>
      <c r="AT34" s="15" t="n">
        <v>405274.26</v>
      </c>
      <c r="AU34" s="15" t="n">
        <v>321639.36</v>
      </c>
      <c r="AV34" s="15" t="n">
        <v>-40700.67</v>
      </c>
      <c r="AW34" s="15" t="n">
        <v>839130.48</v>
      </c>
      <c r="AX34" s="15" t="n">
        <v>840404.15</v>
      </c>
      <c r="AY34" s="15" t="n">
        <v>1327454.61</v>
      </c>
      <c r="AZ34" s="15" t="n">
        <v>316830.89</v>
      </c>
      <c r="BA34" s="15" t="n">
        <v>230134.87</v>
      </c>
      <c r="BB34" s="15" t="n">
        <v>1060947.15</v>
      </c>
      <c r="BC34" s="15" t="n">
        <v>822330.09</v>
      </c>
      <c r="BD34" s="15" t="n">
        <v>157687.35</v>
      </c>
      <c r="BE34" s="15" t="n">
        <v>233760.85</v>
      </c>
      <c r="BF34" s="15" t="n">
        <v>1476099.72</v>
      </c>
      <c r="BG34" s="15" t="n">
        <v>321980.78</v>
      </c>
      <c r="BH34" s="15" t="n">
        <v>531301.91</v>
      </c>
      <c r="BI34" s="15" t="n">
        <v>2160679.13</v>
      </c>
      <c r="BJ34" s="15" t="n">
        <v>1649896.02</v>
      </c>
      <c r="BK34" s="15" t="n">
        <v>639744.26</v>
      </c>
      <c r="BL34" s="15" t="n">
        <v>858334.88</v>
      </c>
      <c r="BM34" s="15" t="n">
        <v>142510.15</v>
      </c>
      <c r="BN34" s="15" t="n">
        <v>517487.63</v>
      </c>
      <c r="BO34" s="15" t="n">
        <v>1229120.2</v>
      </c>
      <c r="BP34" s="15" t="n">
        <v>2810395.85</v>
      </c>
      <c r="BQ34" s="15" t="n">
        <v>884086.97</v>
      </c>
      <c r="BR34" s="15" t="n">
        <v>918108.88</v>
      </c>
      <c r="BS34" s="15" t="n">
        <v>48902.06</v>
      </c>
      <c r="BT34" s="15" t="n">
        <v>-58245.17</v>
      </c>
      <c r="BU34" s="15" t="n">
        <v>668800.58</v>
      </c>
      <c r="BV34" s="15" t="n">
        <v>2465762.12</v>
      </c>
      <c r="BW34" s="15" t="n">
        <v>2250419.02</v>
      </c>
      <c r="BX34" s="15" t="n">
        <v>564764.3</v>
      </c>
      <c r="BY34" s="15" t="n">
        <v>285344.44</v>
      </c>
      <c r="BZ34" s="15" t="n">
        <v>551664.13</v>
      </c>
      <c r="CA34" s="15" t="n">
        <v>1059307.57</v>
      </c>
      <c r="CB34" s="15" t="n">
        <v>3754840.66</v>
      </c>
      <c r="CC34" s="15" t="n">
        <v>2300383.13</v>
      </c>
      <c r="CD34" s="15" t="n">
        <v>1409436.71</v>
      </c>
      <c r="CE34" s="15" t="n">
        <v>86289.8</v>
      </c>
      <c r="CF34" s="15" t="n">
        <v>522272.68</v>
      </c>
      <c r="CG34" s="15" t="n">
        <v>2298773.72</v>
      </c>
      <c r="CH34" s="15" t="n">
        <v>428849.74</v>
      </c>
      <c r="CI34" s="15" t="n">
        <v>616092.4300000001</v>
      </c>
      <c r="CJ34" s="15" t="n">
        <v>568970.45</v>
      </c>
      <c r="CK34" s="15" t="n">
        <v>163787.35</v>
      </c>
      <c r="CL34" s="15" t="n">
        <v>416930.99</v>
      </c>
      <c r="CM34" s="15" t="n">
        <v>2000881.61</v>
      </c>
      <c r="CN34" s="15" t="n">
        <v>3895637.06</v>
      </c>
      <c r="CO34" s="15" t="n">
        <v>629985.54</v>
      </c>
      <c r="CP34" s="15" t="n">
        <v>1579420.6</v>
      </c>
      <c r="CQ34" s="15" t="n">
        <v>324691.08</v>
      </c>
      <c r="CR34" s="15" t="n">
        <v>577948.42</v>
      </c>
      <c r="CS34" s="15" t="n">
        <v>2590405.1</v>
      </c>
      <c r="CT34" s="15" t="n">
        <v>1473172.8</v>
      </c>
      <c r="CU34" s="15" t="n">
        <v>2130050.87</v>
      </c>
      <c r="CV34" s="15" t="n">
        <v>866921.97</v>
      </c>
      <c r="CW34" s="15" t="n">
        <v>268403.45</v>
      </c>
      <c r="CX34" s="15" t="n">
        <v>-67123.22</v>
      </c>
      <c r="CY34" s="15" t="n">
        <v>2112831.37</v>
      </c>
      <c r="CZ34" s="15" t="n">
        <v>3699820.73</v>
      </c>
      <c r="DA34" s="15" t="n">
        <v>817152.8199999999</v>
      </c>
      <c r="DB34" s="15" t="n">
        <v>1097106.5</v>
      </c>
      <c r="DC34" s="15" t="n">
        <v>362351.49</v>
      </c>
      <c r="DD34" s="15" t="n">
        <v>781800.8199999999</v>
      </c>
      <c r="DE34" s="15" t="n">
        <v>1945618.27</v>
      </c>
      <c r="DF34" s="15" t="n">
        <v>3019890.81</v>
      </c>
      <c r="DG34" s="15" t="n">
        <v>2383973.45</v>
      </c>
      <c r="DH34" s="15" t="n">
        <v>1243462.95</v>
      </c>
      <c r="DI34" s="15" t="n">
        <v>367121.9</v>
      </c>
      <c r="DJ34" s="15" t="n">
        <v>427744.38</v>
      </c>
      <c r="DK34" s="15" t="n">
        <v>891079.1800000001</v>
      </c>
      <c r="DL34" s="15" t="n">
        <v>1744307.42</v>
      </c>
      <c r="DM34" s="15" t="n">
        <v>1465685.17</v>
      </c>
      <c r="DN34" s="15" t="n">
        <v>1019971.84</v>
      </c>
      <c r="DO34" s="15" t="n">
        <v>172994.81</v>
      </c>
      <c r="DP34" s="15" t="n">
        <v>1130609.94</v>
      </c>
    </row>
    <row r="35">
      <c r="A35" s="4" t="inlineStr">
        <is>
          <t>模具</t>
        </is>
      </c>
      <c r="B35" s="15" t="n">
        <v>2400291.78</v>
      </c>
      <c r="C35" s="15" t="n">
        <v>973122.4300000001</v>
      </c>
      <c r="D35" s="15" t="n">
        <v>1418355.3</v>
      </c>
      <c r="E35" s="15" t="n">
        <v>374856.71</v>
      </c>
      <c r="F35" s="15" t="n">
        <v>226181.86</v>
      </c>
      <c r="G35" s="15" t="n">
        <v>1417542.11</v>
      </c>
      <c r="H35" s="15" t="n">
        <v>3451223.02</v>
      </c>
      <c r="I35" s="15" t="n">
        <v>2015471.39</v>
      </c>
      <c r="J35" s="15" t="n">
        <v>784630.27</v>
      </c>
      <c r="K35" s="15" t="n">
        <v>239223.05</v>
      </c>
      <c r="L35" s="15" t="n">
        <v>100085.46</v>
      </c>
      <c r="M35" s="15" t="n">
        <v>1573628</v>
      </c>
      <c r="N35" s="15" t="n">
        <v>2929392.43</v>
      </c>
      <c r="O35" s="15" t="n">
        <v>1473789.11</v>
      </c>
      <c r="P35" s="15" t="n">
        <v>1578779.61</v>
      </c>
      <c r="Q35" s="15" t="n">
        <v>43458.7</v>
      </c>
      <c r="R35" s="15" t="n">
        <v>1033706.99</v>
      </c>
      <c r="S35" s="15" t="n">
        <v>475180.34</v>
      </c>
      <c r="T35" s="15" t="n">
        <v>3953152.96</v>
      </c>
      <c r="U35" s="15" t="n">
        <v>1968983.41</v>
      </c>
      <c r="V35" s="15" t="n">
        <v>799213.87</v>
      </c>
      <c r="W35" s="15" t="n">
        <v>38214.7</v>
      </c>
      <c r="X35" s="15" t="n">
        <v>872242.88</v>
      </c>
      <c r="Y35" s="15" t="n">
        <v>2195461.77</v>
      </c>
      <c r="Z35" s="15" t="n">
        <v>3987487.52</v>
      </c>
      <c r="AA35" s="15" t="n">
        <v>783724.5</v>
      </c>
      <c r="AB35" s="15" t="n">
        <v>1156952.02</v>
      </c>
      <c r="AC35" s="15" t="n">
        <v>273030.07</v>
      </c>
      <c r="AD35" s="15" t="n">
        <v>13001.28</v>
      </c>
      <c r="AE35" s="15" t="n">
        <v>92312.97</v>
      </c>
      <c r="AF35" s="15" t="n">
        <v>2196903.85</v>
      </c>
      <c r="AG35" s="15" t="n">
        <v>1601281.35</v>
      </c>
      <c r="AH35" s="15" t="n">
        <v>267611.18</v>
      </c>
      <c r="AI35" s="15" t="n">
        <v>366721.93</v>
      </c>
      <c r="AJ35" s="15" t="n">
        <v>8912.040000000001</v>
      </c>
      <c r="AK35" s="15" t="n">
        <v>2762388.32</v>
      </c>
      <c r="AL35" s="15" t="n">
        <v>1512095.56</v>
      </c>
      <c r="AM35" s="15" t="n">
        <v>224944.53</v>
      </c>
      <c r="AN35" s="15" t="n">
        <v>81681.63</v>
      </c>
      <c r="AO35" s="15" t="n">
        <v>115414.36</v>
      </c>
      <c r="AP35" s="15" t="n">
        <v>318506.33</v>
      </c>
      <c r="AQ35" s="15" t="n">
        <v>2561854.49</v>
      </c>
      <c r="AR35" s="15" t="n">
        <v>752365.73</v>
      </c>
      <c r="AS35" s="15" t="n">
        <v>764762.5600000001</v>
      </c>
      <c r="AT35" s="15" t="n">
        <v>1578177.59</v>
      </c>
      <c r="AU35" s="15" t="n">
        <v>114099.48</v>
      </c>
      <c r="AV35" s="15" t="n">
        <v>776534.03</v>
      </c>
      <c r="AW35" s="15" t="n">
        <v>535981.67</v>
      </c>
      <c r="AX35" s="15" t="n">
        <v>447893.89</v>
      </c>
      <c r="AY35" s="15" t="n">
        <v>839640.16</v>
      </c>
      <c r="AZ35" s="15" t="n">
        <v>662326.36</v>
      </c>
      <c r="BA35" s="15" t="n">
        <v>255810.51</v>
      </c>
      <c r="BB35" s="15" t="n">
        <v>160717.55</v>
      </c>
      <c r="BC35" s="15" t="n">
        <v>729263.47</v>
      </c>
      <c r="BD35" s="15" t="n">
        <v>2738204.4</v>
      </c>
      <c r="BE35" s="15" t="n">
        <v>133776.39</v>
      </c>
      <c r="BF35" s="15" t="n">
        <v>262563.65</v>
      </c>
      <c r="BG35" s="15" t="n">
        <v>81935.35000000001</v>
      </c>
      <c r="BH35" s="15" t="n">
        <v>18808.11</v>
      </c>
      <c r="BI35" s="15" t="n">
        <v>466119.05</v>
      </c>
      <c r="BJ35" s="15" t="n">
        <v>1023082.82</v>
      </c>
      <c r="BK35" s="15" t="n">
        <v>1314457.91</v>
      </c>
      <c r="BL35" s="15" t="n">
        <v>1527784.69</v>
      </c>
      <c r="BM35" s="15" t="n">
        <v>13681.45</v>
      </c>
      <c r="BN35" s="15" t="n">
        <v>-87030.22</v>
      </c>
      <c r="BO35" s="15" t="n">
        <v>1614802.16</v>
      </c>
      <c r="BP35" s="15" t="n">
        <v>1308407.44</v>
      </c>
      <c r="BQ35" s="15" t="n">
        <v>2059258.7</v>
      </c>
      <c r="BR35" s="15" t="n">
        <v>1214640.59</v>
      </c>
      <c r="BS35" s="15" t="n">
        <v>336568.19</v>
      </c>
      <c r="BT35" s="15" t="n">
        <v>-70857.75999999999</v>
      </c>
      <c r="BU35" s="15" t="n">
        <v>922180.25</v>
      </c>
      <c r="BV35" s="15" t="n">
        <v>705729.86</v>
      </c>
      <c r="BW35" s="15" t="n">
        <v>379969.11</v>
      </c>
      <c r="BX35" s="15" t="n">
        <v>464402.6</v>
      </c>
      <c r="BY35" s="15" t="n">
        <v>124630.11</v>
      </c>
      <c r="BZ35" s="15" t="n">
        <v>864112.01</v>
      </c>
      <c r="CA35" s="15" t="n">
        <v>1150702.98</v>
      </c>
      <c r="CB35" s="15" t="n">
        <v>1992407.94</v>
      </c>
      <c r="CC35" s="15" t="n">
        <v>916058.6899999999</v>
      </c>
      <c r="CD35" s="15" t="n">
        <v>1219787.55</v>
      </c>
      <c r="CE35" s="15" t="n">
        <v>300286.88</v>
      </c>
      <c r="CF35" s="15" t="n">
        <v>128807.19</v>
      </c>
      <c r="CG35" s="15" t="n">
        <v>2783286.71</v>
      </c>
      <c r="CH35" s="15" t="n">
        <v>3771311.01</v>
      </c>
      <c r="CI35" s="15" t="n">
        <v>1260435.73</v>
      </c>
      <c r="CJ35" s="15" t="n">
        <v>1370270.38</v>
      </c>
      <c r="CK35" s="15" t="n">
        <v>258743.2</v>
      </c>
      <c r="CL35" s="15" t="n">
        <v>1039480.36</v>
      </c>
      <c r="CM35" s="15" t="n">
        <v>1971006.05</v>
      </c>
      <c r="CN35" s="15" t="n">
        <v>1905272.03</v>
      </c>
      <c r="CO35" s="15" t="n">
        <v>376607.04</v>
      </c>
      <c r="CP35" s="15" t="n">
        <v>443410.34</v>
      </c>
      <c r="CQ35" s="15" t="n">
        <v>126493.73</v>
      </c>
      <c r="CR35" s="15" t="n">
        <v>911319.37</v>
      </c>
      <c r="CS35" s="15" t="n">
        <v>333818.28</v>
      </c>
      <c r="CT35" s="15" t="n">
        <v>3636610.89</v>
      </c>
      <c r="CU35" s="15" t="n">
        <v>76281.95</v>
      </c>
      <c r="CV35" s="15" t="n">
        <v>782998.9</v>
      </c>
      <c r="CW35" s="15" t="n">
        <v>270355.65</v>
      </c>
      <c r="CX35" s="15" t="n">
        <v>76490.74000000001</v>
      </c>
      <c r="CY35" s="15" t="n">
        <v>2189199.37</v>
      </c>
      <c r="CZ35" s="15" t="n">
        <v>2834208.76</v>
      </c>
      <c r="DA35" s="15" t="n">
        <v>616069.52</v>
      </c>
      <c r="DB35" s="15" t="n">
        <v>1486927.62</v>
      </c>
      <c r="DC35" s="15" t="n">
        <v>304544.43</v>
      </c>
      <c r="DD35" s="15" t="n">
        <v>504989.9</v>
      </c>
      <c r="DE35" s="15" t="n">
        <v>2038424.92</v>
      </c>
      <c r="DF35" s="15" t="n">
        <v>944797.84</v>
      </c>
      <c r="DG35" s="15" t="n">
        <v>1073860.48</v>
      </c>
      <c r="DH35" s="15" t="n">
        <v>559545.7</v>
      </c>
      <c r="DI35" s="15" t="n">
        <v>180807.72</v>
      </c>
      <c r="DJ35" s="15" t="n">
        <v>-71774.64</v>
      </c>
      <c r="DK35" s="15" t="n">
        <v>463130.62</v>
      </c>
      <c r="DL35" s="15" t="n">
        <v>1479313.96</v>
      </c>
      <c r="DM35" s="15" t="n">
        <v>2275376</v>
      </c>
      <c r="DN35" s="15" t="n">
        <v>550684.3199999999</v>
      </c>
      <c r="DO35" s="15" t="n">
        <v>129513.98</v>
      </c>
      <c r="DP35" s="15" t="n">
        <v>1100383.06</v>
      </c>
    </row>
    <row r="36">
      <c r="A36" s="4" t="inlineStr">
        <is>
          <t>工装夹具</t>
        </is>
      </c>
      <c r="B36" s="15" t="n">
        <v>1209354.16</v>
      </c>
      <c r="C36" s="15" t="n">
        <v>2253257.32</v>
      </c>
      <c r="D36" s="15" t="n">
        <v>300683.57</v>
      </c>
      <c r="E36" s="15" t="n">
        <v>160736.48</v>
      </c>
      <c r="F36" s="15" t="n">
        <v>422067.33</v>
      </c>
      <c r="G36" s="15" t="n">
        <v>1128940.56</v>
      </c>
      <c r="H36" s="15" t="n">
        <v>2758697.88</v>
      </c>
      <c r="I36" s="15" t="n">
        <v>1412389.86</v>
      </c>
      <c r="J36" s="15" t="n">
        <v>1281041.25</v>
      </c>
      <c r="K36" s="15" t="n">
        <v>234223.49</v>
      </c>
      <c r="L36" s="15" t="n">
        <v>1023147.99</v>
      </c>
      <c r="M36" s="15" t="n">
        <v>1968230.86</v>
      </c>
      <c r="N36" s="15" t="n">
        <v>782589.8100000001</v>
      </c>
      <c r="O36" s="15" t="n">
        <v>1712752.09</v>
      </c>
      <c r="P36" s="15" t="n">
        <v>1334313.73</v>
      </c>
      <c r="Q36" s="15" t="n">
        <v>384994.06</v>
      </c>
      <c r="R36" s="15" t="n">
        <v>310214.23</v>
      </c>
      <c r="S36" s="15" t="n">
        <v>2992200.7</v>
      </c>
      <c r="T36" s="15" t="n">
        <v>465029.96</v>
      </c>
      <c r="U36" s="15" t="n">
        <v>2128819.7</v>
      </c>
      <c r="V36" s="15" t="n">
        <v>1331522.31</v>
      </c>
      <c r="W36" s="15" t="n">
        <v>95252.71000000001</v>
      </c>
      <c r="X36" s="15" t="n">
        <v>179402.85</v>
      </c>
      <c r="Y36" s="15" t="n">
        <v>222490.88</v>
      </c>
      <c r="Z36" s="15" t="n">
        <v>697782.2</v>
      </c>
      <c r="AA36" s="15" t="n">
        <v>1503253.22</v>
      </c>
      <c r="AB36" s="15" t="n">
        <v>1189514.03</v>
      </c>
      <c r="AC36" s="15" t="n">
        <v>389193.68</v>
      </c>
      <c r="AD36" s="15" t="n">
        <v>715886.33</v>
      </c>
      <c r="AE36" s="15" t="n">
        <v>1100643.78</v>
      </c>
      <c r="AF36" s="15" t="n">
        <v>789267.4300000001</v>
      </c>
      <c r="AG36" s="15" t="n">
        <v>725426.54</v>
      </c>
      <c r="AH36" s="15" t="n">
        <v>723197.58</v>
      </c>
      <c r="AI36" s="15" t="n">
        <v>82065.98</v>
      </c>
      <c r="AJ36" s="15" t="n">
        <v>798603.99</v>
      </c>
      <c r="AK36" s="15" t="n">
        <v>2673884.47</v>
      </c>
      <c r="AL36" s="15" t="n">
        <v>353893.41</v>
      </c>
      <c r="AM36" s="15" t="n">
        <v>357517.27</v>
      </c>
      <c r="AN36" s="15" t="n">
        <v>1385951.31</v>
      </c>
      <c r="AO36" s="15" t="n">
        <v>346903.62</v>
      </c>
      <c r="AP36" s="15" t="n">
        <v>140624.32</v>
      </c>
      <c r="AQ36" s="15" t="n">
        <v>2945854.86</v>
      </c>
      <c r="AR36" s="15" t="n">
        <v>2779531.14</v>
      </c>
      <c r="AS36" s="15" t="n">
        <v>305878.56</v>
      </c>
      <c r="AT36" s="15" t="n">
        <v>1578452.83</v>
      </c>
      <c r="AU36" s="15" t="n">
        <v>143881.86</v>
      </c>
      <c r="AV36" s="15" t="n">
        <v>169691.75</v>
      </c>
      <c r="AW36" s="15" t="n">
        <v>2249219.78</v>
      </c>
      <c r="AX36" s="15" t="n">
        <v>1501515.81</v>
      </c>
      <c r="AY36" s="15" t="n">
        <v>1134528.8</v>
      </c>
      <c r="AZ36" s="15" t="n">
        <v>1473415.89</v>
      </c>
      <c r="BA36" s="15" t="n">
        <v>379982.52</v>
      </c>
      <c r="BB36" s="15" t="n">
        <v>930776.02</v>
      </c>
      <c r="BC36" s="15" t="n">
        <v>328288.87</v>
      </c>
      <c r="BD36" s="15" t="n">
        <v>2978429.89</v>
      </c>
      <c r="BE36" s="15" t="n">
        <v>1039185.52</v>
      </c>
      <c r="BF36" s="15" t="n">
        <v>1082571.34</v>
      </c>
      <c r="BG36" s="15" t="n">
        <v>393345.47</v>
      </c>
      <c r="BH36" s="15" t="n">
        <v>-114308.85</v>
      </c>
      <c r="BI36" s="15" t="n">
        <v>2968371.89</v>
      </c>
      <c r="BJ36" s="15" t="n">
        <v>1615057.47</v>
      </c>
      <c r="BK36" s="15" t="n">
        <v>1584901.75</v>
      </c>
      <c r="BL36" s="15" t="n">
        <v>1081991.75</v>
      </c>
      <c r="BM36" s="15" t="n">
        <v>242431.68</v>
      </c>
      <c r="BN36" s="15" t="n">
        <v>-97632.91</v>
      </c>
      <c r="BO36" s="15" t="n">
        <v>2312955.5</v>
      </c>
      <c r="BP36" s="15" t="n">
        <v>3349908.11</v>
      </c>
      <c r="BQ36" s="15" t="n">
        <v>493915.11</v>
      </c>
      <c r="BR36" s="15" t="n">
        <v>413877.96</v>
      </c>
      <c r="BS36" s="15" t="n">
        <v>92511.5</v>
      </c>
      <c r="BT36" s="15" t="n">
        <v>203182.11</v>
      </c>
      <c r="BU36" s="15" t="n">
        <v>851073.51</v>
      </c>
      <c r="BV36" s="15" t="n">
        <v>3308951.65</v>
      </c>
      <c r="BW36" s="15" t="n">
        <v>1809056.95</v>
      </c>
      <c r="BX36" s="15" t="n">
        <v>908468.59</v>
      </c>
      <c r="BY36" s="15" t="n">
        <v>319397.79</v>
      </c>
      <c r="BZ36" s="15" t="n">
        <v>640005.6899999999</v>
      </c>
      <c r="CA36" s="15" t="n">
        <v>857039.79</v>
      </c>
      <c r="CB36" s="15" t="n">
        <v>692735.6899999999</v>
      </c>
      <c r="CC36" s="15" t="n">
        <v>1835866.7</v>
      </c>
      <c r="CD36" s="15" t="n">
        <v>1478463.59</v>
      </c>
      <c r="CE36" s="15" t="n">
        <v>10922.56</v>
      </c>
      <c r="CF36" s="15" t="n">
        <v>-83330.82000000001</v>
      </c>
      <c r="CG36" s="15" t="n">
        <v>2037332.2</v>
      </c>
      <c r="CH36" s="15" t="n">
        <v>727388</v>
      </c>
      <c r="CI36" s="15" t="n">
        <v>2139376.88</v>
      </c>
      <c r="CJ36" s="15" t="n">
        <v>715235.74</v>
      </c>
      <c r="CK36" s="15" t="n">
        <v>289378.82</v>
      </c>
      <c r="CL36" s="15" t="n">
        <v>165008.04</v>
      </c>
      <c r="CM36" s="15" t="n">
        <v>557012.3199999999</v>
      </c>
      <c r="CN36" s="15" t="n">
        <v>2073760.41</v>
      </c>
      <c r="CO36" s="15" t="n">
        <v>2040563.83</v>
      </c>
      <c r="CP36" s="15" t="n">
        <v>819517.16</v>
      </c>
      <c r="CQ36" s="15" t="n">
        <v>353940.65</v>
      </c>
      <c r="CR36" s="15" t="n">
        <v>446610.81</v>
      </c>
      <c r="CS36" s="15" t="n">
        <v>1774271.21</v>
      </c>
      <c r="CT36" s="15" t="n">
        <v>2701124.7</v>
      </c>
      <c r="CU36" s="15" t="n">
        <v>298308.24</v>
      </c>
      <c r="CV36" s="15" t="n">
        <v>968910.33</v>
      </c>
      <c r="CW36" s="15" t="n">
        <v>93573.32000000001</v>
      </c>
      <c r="CX36" s="15" t="n">
        <v>574953.55</v>
      </c>
      <c r="CY36" s="15" t="n">
        <v>1231009.08</v>
      </c>
      <c r="CZ36" s="15" t="n">
        <v>234809.76</v>
      </c>
      <c r="DA36" s="15" t="n">
        <v>150542.36</v>
      </c>
      <c r="DB36" s="15" t="n">
        <v>84725.74000000001</v>
      </c>
      <c r="DC36" s="15" t="n">
        <v>31518.86</v>
      </c>
      <c r="DD36" s="15" t="n">
        <v>415274.03</v>
      </c>
      <c r="DE36" s="15" t="n">
        <v>2052651.38</v>
      </c>
      <c r="DF36" s="15" t="n">
        <v>630801.6899999999</v>
      </c>
      <c r="DG36" s="15" t="n">
        <v>1258054.52</v>
      </c>
      <c r="DH36" s="15" t="n">
        <v>1378979.41</v>
      </c>
      <c r="DI36" s="15" t="n">
        <v>260992.38</v>
      </c>
      <c r="DJ36" s="15" t="n">
        <v>487148.31</v>
      </c>
      <c r="DK36" s="15" t="n">
        <v>1462481.68</v>
      </c>
      <c r="DL36" s="15" t="n">
        <v>1376365.98</v>
      </c>
      <c r="DM36" s="15" t="n">
        <v>994649.96</v>
      </c>
      <c r="DN36" s="15" t="n">
        <v>889621.6899999999</v>
      </c>
      <c r="DO36" s="15" t="n">
        <v>55273.45</v>
      </c>
      <c r="DP36" s="15" t="n">
        <v>65349.96</v>
      </c>
    </row>
    <row r="37">
      <c r="A37" s="4" t="inlineStr">
        <is>
          <t>其他产品A</t>
        </is>
      </c>
      <c r="B37" s="15" t="n">
        <v>2659634.66</v>
      </c>
      <c r="C37" s="15" t="n">
        <v>2315156.31</v>
      </c>
      <c r="D37" s="15" t="n">
        <v>1052288.47</v>
      </c>
      <c r="E37" s="15" t="n">
        <v>102601.06</v>
      </c>
      <c r="F37" s="15" t="n">
        <v>212936.06</v>
      </c>
      <c r="G37" s="15" t="n">
        <v>1384749.54</v>
      </c>
      <c r="H37" s="15" t="n">
        <v>929064.65</v>
      </c>
      <c r="I37" s="15" t="n">
        <v>480322.3</v>
      </c>
      <c r="J37" s="15" t="n">
        <v>470674.62</v>
      </c>
      <c r="K37" s="15" t="n">
        <v>156388.1</v>
      </c>
      <c r="L37" s="15" t="n">
        <v>721969.83</v>
      </c>
      <c r="M37" s="15" t="n">
        <v>3112625.68</v>
      </c>
      <c r="N37" s="15" t="n">
        <v>2706998.98</v>
      </c>
      <c r="O37" s="15" t="n">
        <v>2060537.44</v>
      </c>
      <c r="P37" s="15" t="n">
        <v>852925.3</v>
      </c>
      <c r="Q37" s="15" t="n">
        <v>375803.59</v>
      </c>
      <c r="R37" s="15" t="n">
        <v>888865.48</v>
      </c>
      <c r="S37" s="15" t="n">
        <v>1112003.43</v>
      </c>
      <c r="T37" s="15" t="n">
        <v>3014372.78</v>
      </c>
      <c r="U37" s="15" t="n">
        <v>1776360.01</v>
      </c>
      <c r="V37" s="15" t="n">
        <v>543308.72</v>
      </c>
      <c r="W37" s="15" t="n">
        <v>190491.44</v>
      </c>
      <c r="X37" s="15" t="n">
        <v>513309.27</v>
      </c>
      <c r="Y37" s="15" t="n">
        <v>1047393.68</v>
      </c>
      <c r="Z37" s="15" t="n">
        <v>3953396.39</v>
      </c>
      <c r="AA37" s="15" t="n">
        <v>207900.8</v>
      </c>
      <c r="AB37" s="15" t="n">
        <v>1583106.76</v>
      </c>
      <c r="AC37" s="15" t="n">
        <v>151648.75</v>
      </c>
      <c r="AD37" s="15" t="n">
        <v>911146.9</v>
      </c>
      <c r="AE37" s="15" t="n">
        <v>2708054.6</v>
      </c>
      <c r="AF37" s="15" t="n">
        <v>2038814.32</v>
      </c>
      <c r="AG37" s="15" t="n">
        <v>1386009.05</v>
      </c>
      <c r="AH37" s="15" t="n">
        <v>628381.99</v>
      </c>
      <c r="AI37" s="15" t="n">
        <v>283825.17</v>
      </c>
      <c r="AJ37" s="15" t="n">
        <v>610194.9399999999</v>
      </c>
      <c r="AK37" s="15" t="n">
        <v>2927541.58</v>
      </c>
      <c r="AL37" s="15" t="n">
        <v>1680881.36</v>
      </c>
      <c r="AM37" s="15" t="n">
        <v>1903890.66</v>
      </c>
      <c r="AN37" s="15" t="n">
        <v>35969.57</v>
      </c>
      <c r="AO37" s="15" t="n">
        <v>315971.3</v>
      </c>
      <c r="AP37" s="15" t="n">
        <v>711169.26</v>
      </c>
      <c r="AQ37" s="15" t="n">
        <v>2475992.4</v>
      </c>
      <c r="AR37" s="15" t="n">
        <v>3719094.25</v>
      </c>
      <c r="AS37" s="15" t="n">
        <v>1706957.58</v>
      </c>
      <c r="AT37" s="15" t="n">
        <v>725162.05</v>
      </c>
      <c r="AU37" s="15" t="n">
        <v>131392.48</v>
      </c>
      <c r="AV37" s="15" t="n">
        <v>87980.10000000001</v>
      </c>
      <c r="AW37" s="15" t="n">
        <v>2707671.64</v>
      </c>
      <c r="AX37" s="15" t="n">
        <v>2968112.75</v>
      </c>
      <c r="AY37" s="15" t="n">
        <v>1261248.82</v>
      </c>
      <c r="AZ37" s="15" t="n">
        <v>1025685.35</v>
      </c>
      <c r="BA37" s="15" t="n">
        <v>42604.07</v>
      </c>
      <c r="BB37" s="15" t="n">
        <v>606976.97</v>
      </c>
      <c r="BC37" s="15" t="n">
        <v>641060.33</v>
      </c>
      <c r="BD37" s="15" t="n">
        <v>3558222.81</v>
      </c>
      <c r="BE37" s="15" t="n">
        <v>814911.22</v>
      </c>
      <c r="BF37" s="15" t="n">
        <v>1176046.66</v>
      </c>
      <c r="BG37" s="15" t="n">
        <v>140696.5</v>
      </c>
      <c r="BH37" s="15" t="n">
        <v>492741.73</v>
      </c>
      <c r="BI37" s="15" t="n">
        <v>1907571.18</v>
      </c>
      <c r="BJ37" s="15" t="n">
        <v>1523603.25</v>
      </c>
      <c r="BK37" s="15" t="n">
        <v>1742244.97</v>
      </c>
      <c r="BL37" s="15" t="n">
        <v>733804.08</v>
      </c>
      <c r="BM37" s="15" t="n">
        <v>59141.01</v>
      </c>
      <c r="BN37" s="15" t="n">
        <v>499155.14</v>
      </c>
      <c r="BO37" s="15" t="n">
        <v>1359835.06</v>
      </c>
      <c r="BP37" s="15" t="n">
        <v>1150221.93</v>
      </c>
      <c r="BQ37" s="15" t="n">
        <v>717708.92</v>
      </c>
      <c r="BR37" s="15" t="n">
        <v>1498170.59</v>
      </c>
      <c r="BS37" s="15" t="n">
        <v>128298.9</v>
      </c>
      <c r="BT37" s="15" t="n">
        <v>-81912</v>
      </c>
      <c r="BU37" s="15" t="n">
        <v>2004643.32</v>
      </c>
      <c r="BV37" s="15" t="n">
        <v>1929707.14</v>
      </c>
      <c r="BW37" s="15" t="n">
        <v>1330129.94</v>
      </c>
      <c r="BX37" s="15" t="n">
        <v>365555.91</v>
      </c>
      <c r="BY37" s="15" t="n">
        <v>198782.4</v>
      </c>
      <c r="BZ37" s="15" t="n">
        <v>83355.48</v>
      </c>
      <c r="CA37" s="15" t="n">
        <v>1818795.03</v>
      </c>
      <c r="CB37" s="15" t="n">
        <v>557690.23</v>
      </c>
      <c r="CC37" s="15" t="n">
        <v>1506083.92</v>
      </c>
      <c r="CD37" s="15" t="n">
        <v>333300.67</v>
      </c>
      <c r="CE37" s="15" t="n">
        <v>258242.7</v>
      </c>
      <c r="CF37" s="15" t="n">
        <v>42102.65</v>
      </c>
      <c r="CG37" s="15" t="n">
        <v>2862854.83</v>
      </c>
      <c r="CH37" s="15" t="n">
        <v>2710999.12</v>
      </c>
      <c r="CI37" s="15" t="n">
        <v>1473572.65</v>
      </c>
      <c r="CJ37" s="15" t="n">
        <v>279253.82</v>
      </c>
      <c r="CK37" s="15" t="n">
        <v>258080.86</v>
      </c>
      <c r="CL37" s="15" t="n">
        <v>-115205.24</v>
      </c>
      <c r="CM37" s="15" t="n">
        <v>2310314.15</v>
      </c>
      <c r="CN37" s="15" t="n">
        <v>2720935.52</v>
      </c>
      <c r="CO37" s="15" t="n">
        <v>2268737.69</v>
      </c>
      <c r="CP37" s="15" t="n">
        <v>500089.38</v>
      </c>
      <c r="CQ37" s="15" t="n">
        <v>162496.24</v>
      </c>
      <c r="CR37" s="15" t="n">
        <v>20997.78</v>
      </c>
      <c r="CS37" s="15" t="n">
        <v>880300.4399999999</v>
      </c>
      <c r="CT37" s="15" t="n">
        <v>1886591.93</v>
      </c>
      <c r="CU37" s="15" t="n">
        <v>1065282.1</v>
      </c>
      <c r="CV37" s="15" t="n">
        <v>1039915.55</v>
      </c>
      <c r="CW37" s="15" t="n">
        <v>239925.93</v>
      </c>
      <c r="CX37" s="15" t="n">
        <v>286653.2</v>
      </c>
      <c r="CY37" s="15" t="n">
        <v>1956442.26</v>
      </c>
      <c r="CZ37" s="15" t="n">
        <v>3690899.37</v>
      </c>
      <c r="DA37" s="15" t="n">
        <v>1148354.31</v>
      </c>
      <c r="DB37" s="15" t="n">
        <v>1495189.61</v>
      </c>
      <c r="DC37" s="15" t="n">
        <v>266418.49</v>
      </c>
      <c r="DD37" s="15" t="n">
        <v>732528.6</v>
      </c>
      <c r="DE37" s="15" t="n">
        <v>2420780.31</v>
      </c>
      <c r="DF37" s="15" t="n">
        <v>1659267.79</v>
      </c>
      <c r="DG37" s="15" t="n">
        <v>1663913.52</v>
      </c>
      <c r="DH37" s="15" t="n">
        <v>54090.82</v>
      </c>
      <c r="DI37" s="15" t="n">
        <v>380746.54</v>
      </c>
      <c r="DJ37" s="15" t="n">
        <v>436090.3</v>
      </c>
      <c r="DK37" s="15" t="n">
        <v>552679.91</v>
      </c>
      <c r="DL37" s="15" t="n">
        <v>1269517.25</v>
      </c>
      <c r="DM37" s="15" t="n">
        <v>1061574.67</v>
      </c>
      <c r="DN37" s="15" t="n">
        <v>637137.02</v>
      </c>
      <c r="DO37" s="15" t="n">
        <v>246165.96</v>
      </c>
      <c r="DP37" s="15" t="n">
        <v>775452.88</v>
      </c>
    </row>
    <row r="38">
      <c r="A38" s="4" t="inlineStr">
        <is>
          <t>其他产品B</t>
        </is>
      </c>
      <c r="B38" s="15" t="n">
        <v>950165.61</v>
      </c>
      <c r="C38" s="15" t="n">
        <v>2233678.06</v>
      </c>
      <c r="D38" s="15" t="n">
        <v>1314216.27</v>
      </c>
      <c r="E38" s="15" t="n">
        <v>274562.86</v>
      </c>
      <c r="F38" s="15" t="n">
        <v>608491.84</v>
      </c>
      <c r="G38" s="15" t="n">
        <v>1033954.66</v>
      </c>
      <c r="H38" s="15" t="n">
        <v>2110718.75</v>
      </c>
      <c r="I38" s="15" t="n">
        <v>1237074.75</v>
      </c>
      <c r="J38" s="15" t="n">
        <v>1408013.5</v>
      </c>
      <c r="K38" s="15" t="n">
        <v>299414.02</v>
      </c>
      <c r="L38" s="15" t="n">
        <v>1071373.74</v>
      </c>
      <c r="M38" s="15" t="n">
        <v>115430.3</v>
      </c>
      <c r="N38" s="15" t="n">
        <v>1361758.7</v>
      </c>
      <c r="O38" s="15" t="n">
        <v>1410469.83</v>
      </c>
      <c r="P38" s="15" t="n">
        <v>545369.4399999999</v>
      </c>
      <c r="Q38" s="15" t="n">
        <v>256218.97</v>
      </c>
      <c r="R38" s="15" t="n">
        <v>64627.61</v>
      </c>
      <c r="S38" s="15" t="n">
        <v>1559006.9</v>
      </c>
      <c r="T38" s="15" t="n">
        <v>802699.5</v>
      </c>
      <c r="U38" s="15" t="n">
        <v>942519.13</v>
      </c>
      <c r="V38" s="15" t="n">
        <v>1205237.41</v>
      </c>
      <c r="W38" s="15" t="n">
        <v>65366.4</v>
      </c>
      <c r="X38" s="15" t="n">
        <v>937783.89</v>
      </c>
      <c r="Y38" s="15" t="n">
        <v>2504000.55</v>
      </c>
      <c r="Z38" s="15" t="n">
        <v>1363386.13</v>
      </c>
      <c r="AA38" s="15" t="n">
        <v>1775328.99</v>
      </c>
      <c r="AB38" s="15" t="n">
        <v>267601.94</v>
      </c>
      <c r="AC38" s="15" t="n">
        <v>104058.66</v>
      </c>
      <c r="AD38" s="15" t="n">
        <v>1125851.74</v>
      </c>
      <c r="AE38" s="15" t="n">
        <v>2315146.45</v>
      </c>
      <c r="AF38" s="15" t="n">
        <v>3537319.15</v>
      </c>
      <c r="AG38" s="15" t="n">
        <v>2216101.64</v>
      </c>
      <c r="AH38" s="15" t="n">
        <v>1314939.63</v>
      </c>
      <c r="AI38" s="15" t="n">
        <v>245449.49</v>
      </c>
      <c r="AJ38" s="15" t="n">
        <v>65279.78</v>
      </c>
      <c r="AK38" s="15" t="n">
        <v>3077518.06</v>
      </c>
      <c r="AL38" s="15" t="n">
        <v>2932409.9</v>
      </c>
      <c r="AM38" s="15" t="n">
        <v>684173.49</v>
      </c>
      <c r="AN38" s="15" t="n">
        <v>296107.8</v>
      </c>
      <c r="AO38" s="15" t="n">
        <v>314135.29</v>
      </c>
      <c r="AP38" s="15" t="n">
        <v>764714.52</v>
      </c>
      <c r="AQ38" s="15" t="n">
        <v>858396.8199999999</v>
      </c>
      <c r="AR38" s="15" t="n">
        <v>1065509.79</v>
      </c>
      <c r="AS38" s="15" t="n">
        <v>2112589.69</v>
      </c>
      <c r="AT38" s="15" t="n">
        <v>697791.01</v>
      </c>
      <c r="AU38" s="15" t="n">
        <v>163920.97</v>
      </c>
      <c r="AV38" s="15" t="n">
        <v>-97476.92999999999</v>
      </c>
      <c r="AW38" s="15" t="n">
        <v>378008</v>
      </c>
      <c r="AX38" s="15" t="n">
        <v>3829142.97</v>
      </c>
      <c r="AY38" s="15" t="n">
        <v>1458013.03</v>
      </c>
      <c r="AZ38" s="15" t="n">
        <v>1193935.59</v>
      </c>
      <c r="BA38" s="15" t="n">
        <v>42078.18</v>
      </c>
      <c r="BB38" s="15" t="n">
        <v>-94451.74000000001</v>
      </c>
      <c r="BC38" s="15" t="n">
        <v>1250751.46</v>
      </c>
      <c r="BD38" s="15" t="n">
        <v>2091751.55</v>
      </c>
      <c r="BE38" s="15" t="n">
        <v>445032.58</v>
      </c>
      <c r="BF38" s="15" t="n">
        <v>1304988.71</v>
      </c>
      <c r="BG38" s="15" t="n">
        <v>159356.44</v>
      </c>
      <c r="BH38" s="15" t="n">
        <v>844799.28</v>
      </c>
      <c r="BI38" s="15" t="n">
        <v>1694574</v>
      </c>
      <c r="BJ38" s="15" t="n">
        <v>2125367.99</v>
      </c>
      <c r="BK38" s="15" t="n">
        <v>1155498.74</v>
      </c>
      <c r="BL38" s="15" t="n">
        <v>1568071.63</v>
      </c>
      <c r="BM38" s="15" t="n">
        <v>387051.88</v>
      </c>
      <c r="BN38" s="15" t="n">
        <v>209701.23</v>
      </c>
      <c r="BO38" s="15" t="n">
        <v>849819.38</v>
      </c>
      <c r="BP38" s="15" t="n">
        <v>3585003.32</v>
      </c>
      <c r="BQ38" s="15" t="n">
        <v>647340.54</v>
      </c>
      <c r="BR38" s="15" t="n">
        <v>46106.04</v>
      </c>
      <c r="BS38" s="15" t="n">
        <v>104357.34</v>
      </c>
      <c r="BT38" s="15" t="n">
        <v>1111791.74</v>
      </c>
      <c r="BU38" s="15" t="n">
        <v>2444965.68</v>
      </c>
      <c r="BV38" s="15" t="n">
        <v>2729275.35</v>
      </c>
      <c r="BW38" s="15" t="n">
        <v>1512598.57</v>
      </c>
      <c r="BX38" s="15" t="n">
        <v>148081.44</v>
      </c>
      <c r="BY38" s="15" t="n">
        <v>383173.94</v>
      </c>
      <c r="BZ38" s="15" t="n">
        <v>685353.11</v>
      </c>
      <c r="CA38" s="15" t="n">
        <v>1080093.45</v>
      </c>
      <c r="CB38" s="15" t="n">
        <v>3216008.11</v>
      </c>
      <c r="CC38" s="15" t="n">
        <v>587896.71</v>
      </c>
      <c r="CD38" s="15" t="n">
        <v>490717.96</v>
      </c>
      <c r="CE38" s="15" t="n">
        <v>26443.59</v>
      </c>
      <c r="CF38" s="15" t="n">
        <v>603566.87</v>
      </c>
      <c r="CG38" s="15" t="n">
        <v>1758168.62</v>
      </c>
      <c r="CH38" s="15" t="n">
        <v>2805980.72</v>
      </c>
      <c r="CI38" s="15" t="n">
        <v>601508.6899999999</v>
      </c>
      <c r="CJ38" s="15" t="n">
        <v>176770.96</v>
      </c>
      <c r="CK38" s="15" t="n">
        <v>105048.99</v>
      </c>
      <c r="CL38" s="15" t="n">
        <v>-122383.34</v>
      </c>
      <c r="CM38" s="15" t="n">
        <v>1302851.8</v>
      </c>
      <c r="CN38" s="15" t="n">
        <v>2985510.23</v>
      </c>
      <c r="CO38" s="15" t="n">
        <v>677995.36</v>
      </c>
      <c r="CP38" s="15" t="n">
        <v>682591.61</v>
      </c>
      <c r="CQ38" s="15" t="n">
        <v>34701.87</v>
      </c>
      <c r="CR38" s="15" t="n">
        <v>23899.2</v>
      </c>
      <c r="CS38" s="15" t="n">
        <v>2674967.28</v>
      </c>
      <c r="CT38" s="15" t="n">
        <v>3680251.51</v>
      </c>
      <c r="CU38" s="15" t="n">
        <v>1209792.96</v>
      </c>
      <c r="CV38" s="15" t="n">
        <v>798234.37</v>
      </c>
      <c r="CW38" s="15" t="n">
        <v>388021.94</v>
      </c>
      <c r="CX38" s="15" t="n">
        <v>176875.09</v>
      </c>
      <c r="CY38" s="15" t="n">
        <v>3105078.05</v>
      </c>
      <c r="CZ38" s="15" t="n">
        <v>2240054.66</v>
      </c>
      <c r="DA38" s="15" t="n">
        <v>53547.2</v>
      </c>
      <c r="DB38" s="15" t="n">
        <v>1245018.67</v>
      </c>
      <c r="DC38" s="15" t="n">
        <v>351649.84</v>
      </c>
      <c r="DD38" s="15" t="n">
        <v>57522.44</v>
      </c>
      <c r="DE38" s="15" t="n">
        <v>2572168.22</v>
      </c>
      <c r="DF38" s="15" t="n">
        <v>380973.2</v>
      </c>
      <c r="DG38" s="15" t="n">
        <v>553824.14</v>
      </c>
      <c r="DH38" s="15" t="n">
        <v>809859.96</v>
      </c>
      <c r="DI38" s="15" t="n">
        <v>151888.91</v>
      </c>
      <c r="DJ38" s="15" t="n">
        <v>-117732.03</v>
      </c>
      <c r="DK38" s="15" t="n">
        <v>2030845.77</v>
      </c>
      <c r="DL38" s="15" t="n">
        <v>1022604.27</v>
      </c>
      <c r="DM38" s="15" t="n">
        <v>281803.31</v>
      </c>
      <c r="DN38" s="15" t="n">
        <v>256613.57</v>
      </c>
      <c r="DO38" s="15" t="n">
        <v>36692.9</v>
      </c>
      <c r="DP38" s="15" t="n">
        <v>104992.45</v>
      </c>
    </row>
    <row r="39">
      <c r="A39" s="4" t="inlineStr">
        <is>
          <t>其他产品C</t>
        </is>
      </c>
      <c r="B39" s="15" t="n">
        <v>3269659.59</v>
      </c>
      <c r="C39" s="15" t="n">
        <v>976988.2</v>
      </c>
      <c r="D39" s="15" t="n">
        <v>1219618.76</v>
      </c>
      <c r="E39" s="15" t="n">
        <v>93005.55</v>
      </c>
      <c r="F39" s="15" t="n">
        <v>-69467.61</v>
      </c>
      <c r="G39" s="15" t="n">
        <v>2472521.13</v>
      </c>
      <c r="H39" s="15" t="n">
        <v>2407096.53</v>
      </c>
      <c r="I39" s="15" t="n">
        <v>465322.78</v>
      </c>
      <c r="J39" s="15" t="n">
        <v>282051.08</v>
      </c>
      <c r="K39" s="15" t="n">
        <v>25836.61</v>
      </c>
      <c r="L39" s="15" t="n">
        <v>172392.54</v>
      </c>
      <c r="M39" s="15" t="n">
        <v>1786492.33</v>
      </c>
      <c r="N39" s="15" t="n">
        <v>3667345.93</v>
      </c>
      <c r="O39" s="15" t="n">
        <v>1186148.16</v>
      </c>
      <c r="P39" s="15" t="n">
        <v>71383.49000000001</v>
      </c>
      <c r="Q39" s="15" t="n">
        <v>52059.59</v>
      </c>
      <c r="R39" s="15" t="n">
        <v>686498.1899999999</v>
      </c>
      <c r="S39" s="15" t="n">
        <v>1959383.33</v>
      </c>
      <c r="T39" s="15" t="n">
        <v>3598457.8</v>
      </c>
      <c r="U39" s="15" t="n">
        <v>2279060.88</v>
      </c>
      <c r="V39" s="15" t="n">
        <v>170730.19</v>
      </c>
      <c r="W39" s="15" t="n">
        <v>311127.04</v>
      </c>
      <c r="X39" s="15" t="n">
        <v>500902.68</v>
      </c>
      <c r="Y39" s="15" t="n">
        <v>1068147.57</v>
      </c>
      <c r="Z39" s="15" t="n">
        <v>3623870.93</v>
      </c>
      <c r="AA39" s="15" t="n">
        <v>1688491.51</v>
      </c>
      <c r="AB39" s="15" t="n">
        <v>37766.11</v>
      </c>
      <c r="AC39" s="15" t="n">
        <v>282069.25</v>
      </c>
      <c r="AD39" s="15" t="n">
        <v>778755.6</v>
      </c>
      <c r="AE39" s="15" t="n">
        <v>2121712.51</v>
      </c>
      <c r="AF39" s="15" t="n">
        <v>2584308.66</v>
      </c>
      <c r="AG39" s="15" t="n">
        <v>1816272.08</v>
      </c>
      <c r="AH39" s="15" t="n">
        <v>141425.04</v>
      </c>
      <c r="AI39" s="15" t="n">
        <v>189462.11</v>
      </c>
      <c r="AJ39" s="15" t="n">
        <v>1021594.47</v>
      </c>
      <c r="AK39" s="15" t="n">
        <v>2707319.42</v>
      </c>
      <c r="AL39" s="15" t="n">
        <v>3543613.22</v>
      </c>
      <c r="AM39" s="15" t="n">
        <v>1978589.16</v>
      </c>
      <c r="AN39" s="15" t="n">
        <v>291875.57</v>
      </c>
      <c r="AO39" s="15" t="n">
        <v>123258.15</v>
      </c>
      <c r="AP39" s="15" t="n">
        <v>260114.11</v>
      </c>
      <c r="AQ39" s="15" t="n">
        <v>811804.22</v>
      </c>
      <c r="AR39" s="15" t="n">
        <v>3965456.02</v>
      </c>
      <c r="AS39" s="15" t="n">
        <v>1892339.56</v>
      </c>
      <c r="AT39" s="15" t="n">
        <v>824335.8</v>
      </c>
      <c r="AU39" s="15" t="n">
        <v>313021.99</v>
      </c>
      <c r="AV39" s="15" t="n">
        <v>-5323.77</v>
      </c>
      <c r="AW39" s="15" t="n">
        <v>2927623.88</v>
      </c>
      <c r="AX39" s="15" t="n">
        <v>1305455.33</v>
      </c>
      <c r="AY39" s="15" t="n">
        <v>1738576.85</v>
      </c>
      <c r="AZ39" s="15" t="n">
        <v>498240.81</v>
      </c>
      <c r="BA39" s="15" t="n">
        <v>250572.13</v>
      </c>
      <c r="BB39" s="15" t="n">
        <v>-5549.46</v>
      </c>
      <c r="BC39" s="15" t="n">
        <v>3125892.22</v>
      </c>
      <c r="BD39" s="15" t="n">
        <v>309642.93</v>
      </c>
      <c r="BE39" s="15" t="n">
        <v>1730929.92</v>
      </c>
      <c r="BF39" s="15" t="n">
        <v>891080.11</v>
      </c>
      <c r="BG39" s="15" t="n">
        <v>12231.57</v>
      </c>
      <c r="BH39" s="15" t="n">
        <v>496380.47</v>
      </c>
      <c r="BI39" s="15" t="n">
        <v>1735609.33</v>
      </c>
      <c r="BJ39" s="15" t="n">
        <v>810591.98</v>
      </c>
      <c r="BK39" s="15" t="n">
        <v>126036.41</v>
      </c>
      <c r="BL39" s="15" t="n">
        <v>419152.67</v>
      </c>
      <c r="BM39" s="15" t="n">
        <v>26262.12</v>
      </c>
      <c r="BN39" s="15" t="n">
        <v>162885.02</v>
      </c>
      <c r="BO39" s="15" t="n">
        <v>3172602.92</v>
      </c>
      <c r="BP39" s="15" t="n">
        <v>2898453.34</v>
      </c>
      <c r="BQ39" s="15" t="n">
        <v>70744.5</v>
      </c>
      <c r="BR39" s="15" t="n">
        <v>1393399.09</v>
      </c>
      <c r="BS39" s="15" t="n">
        <v>373772.07</v>
      </c>
      <c r="BT39" s="15" t="n">
        <v>114863.44</v>
      </c>
      <c r="BU39" s="15" t="n">
        <v>2030583.93</v>
      </c>
      <c r="BV39" s="15" t="n">
        <v>2306174.25</v>
      </c>
      <c r="BW39" s="15" t="n">
        <v>316203.48</v>
      </c>
      <c r="BX39" s="15" t="n">
        <v>1342402.85</v>
      </c>
      <c r="BY39" s="15" t="n">
        <v>73750.64999999999</v>
      </c>
      <c r="BZ39" s="15" t="n">
        <v>357397.77</v>
      </c>
      <c r="CA39" s="15" t="n">
        <v>2200441.52</v>
      </c>
      <c r="CB39" s="15" t="n">
        <v>178028.07</v>
      </c>
      <c r="CC39" s="15" t="n">
        <v>2073356.63</v>
      </c>
      <c r="CD39" s="15" t="n">
        <v>1394768.45</v>
      </c>
      <c r="CE39" s="15" t="n">
        <v>92160.42999999999</v>
      </c>
      <c r="CF39" s="15" t="n">
        <v>200806.13</v>
      </c>
      <c r="CG39" s="15" t="n">
        <v>302586.38</v>
      </c>
      <c r="CH39" s="15" t="n">
        <v>995070.3100000001</v>
      </c>
      <c r="CI39" s="15" t="n">
        <v>1654983.03</v>
      </c>
      <c r="CJ39" s="15" t="n">
        <v>1210543.05</v>
      </c>
      <c r="CK39" s="15" t="n">
        <v>81265.67999999999</v>
      </c>
      <c r="CL39" s="15" t="n">
        <v>453180.77</v>
      </c>
      <c r="CM39" s="15" t="n">
        <v>566316.08</v>
      </c>
      <c r="CN39" s="15" t="n">
        <v>658417.3199999999</v>
      </c>
      <c r="CO39" s="15" t="n">
        <v>2091759.24</v>
      </c>
      <c r="CP39" s="15" t="n">
        <v>1416344.38</v>
      </c>
      <c r="CQ39" s="15" t="n">
        <v>42597.07</v>
      </c>
      <c r="CR39" s="15" t="n">
        <v>-8083.7</v>
      </c>
      <c r="CS39" s="15" t="n">
        <v>1433343.69</v>
      </c>
      <c r="CT39" s="15" t="n">
        <v>2290878.07</v>
      </c>
      <c r="CU39" s="15" t="n">
        <v>1754485.71</v>
      </c>
      <c r="CV39" s="15" t="n">
        <v>278348.91</v>
      </c>
      <c r="CW39" s="15" t="n">
        <v>382190.75</v>
      </c>
      <c r="CX39" s="15" t="n">
        <v>853353.28</v>
      </c>
      <c r="CY39" s="15" t="n">
        <v>589171.1800000001</v>
      </c>
      <c r="CZ39" s="15" t="n">
        <v>1594217.15</v>
      </c>
      <c r="DA39" s="15" t="n">
        <v>1646497.41</v>
      </c>
      <c r="DB39" s="15" t="n">
        <v>176798.1</v>
      </c>
      <c r="DC39" s="15" t="n">
        <v>304923.45</v>
      </c>
      <c r="DD39" s="15" t="n">
        <v>385212.23</v>
      </c>
      <c r="DE39" s="15" t="n">
        <v>1649362.99</v>
      </c>
      <c r="DF39" s="15" t="n">
        <v>522723.88</v>
      </c>
      <c r="DG39" s="15" t="n">
        <v>1066431.03</v>
      </c>
      <c r="DH39" s="15" t="n">
        <v>1478043.45</v>
      </c>
      <c r="DI39" s="15" t="n">
        <v>319508.87</v>
      </c>
      <c r="DJ39" s="15" t="n">
        <v>849079.63</v>
      </c>
      <c r="DK39" s="15" t="n">
        <v>1354258.61</v>
      </c>
      <c r="DL39" s="15" t="n">
        <v>611941.61</v>
      </c>
      <c r="DM39" s="15" t="n">
        <v>1454032.07</v>
      </c>
      <c r="DN39" s="15" t="n">
        <v>300357.13</v>
      </c>
      <c r="DO39" s="15" t="n">
        <v>45573.47</v>
      </c>
      <c r="DP39" s="15" t="n">
        <v>96770.77</v>
      </c>
    </row>
    <row r="40">
      <c r="A40" s="4" t="inlineStr">
        <is>
          <t>数控机床</t>
        </is>
      </c>
      <c r="B40" s="15" t="n">
        <v>1636149.66</v>
      </c>
      <c r="C40" s="15" t="n">
        <v>651498.64</v>
      </c>
      <c r="D40" s="15" t="n">
        <v>284147.5</v>
      </c>
      <c r="E40" s="15" t="n">
        <v>181430</v>
      </c>
      <c r="F40" s="15" t="n">
        <v>900410.5600000001</v>
      </c>
      <c r="G40" s="15" t="n">
        <v>599102.23</v>
      </c>
      <c r="H40" s="15" t="n">
        <v>239919.83</v>
      </c>
      <c r="I40" s="15" t="n">
        <v>1396571.65</v>
      </c>
      <c r="J40" s="15" t="n">
        <v>148532.27</v>
      </c>
      <c r="K40" s="15" t="n">
        <v>276821.63</v>
      </c>
      <c r="L40" s="15" t="n">
        <v>1106254.15</v>
      </c>
      <c r="M40" s="15" t="n">
        <v>1123995.15</v>
      </c>
      <c r="N40" s="15" t="n">
        <v>2591608.59</v>
      </c>
      <c r="O40" s="15" t="n">
        <v>102462.8</v>
      </c>
      <c r="P40" s="15" t="n">
        <v>1513551.35</v>
      </c>
      <c r="Q40" s="15" t="n">
        <v>12674.85</v>
      </c>
      <c r="R40" s="15" t="n">
        <v>917039.59</v>
      </c>
      <c r="S40" s="15" t="n">
        <v>307365.14</v>
      </c>
      <c r="T40" s="15" t="n">
        <v>2125871.04</v>
      </c>
      <c r="U40" s="15" t="n">
        <v>1880928.47</v>
      </c>
      <c r="V40" s="15" t="n">
        <v>112067.42</v>
      </c>
      <c r="W40" s="15" t="n">
        <v>142345.28</v>
      </c>
      <c r="X40" s="15" t="n">
        <v>448407.85</v>
      </c>
      <c r="Y40" s="15" t="n">
        <v>2558266.35</v>
      </c>
      <c r="Z40" s="15" t="n">
        <v>90304.87</v>
      </c>
      <c r="AA40" s="15" t="n">
        <v>658244.76</v>
      </c>
      <c r="AB40" s="15" t="n">
        <v>522737.47</v>
      </c>
      <c r="AC40" s="15" t="n">
        <v>222717.42</v>
      </c>
      <c r="AD40" s="15" t="n">
        <v>401490.2</v>
      </c>
      <c r="AE40" s="15" t="n">
        <v>1598721.7</v>
      </c>
      <c r="AF40" s="15" t="n">
        <v>324156.21</v>
      </c>
      <c r="AG40" s="15" t="n">
        <v>1886485.77</v>
      </c>
      <c r="AH40" s="15" t="n">
        <v>814664.88</v>
      </c>
      <c r="AI40" s="15" t="n">
        <v>178976.26</v>
      </c>
      <c r="AJ40" s="15" t="n">
        <v>669561.4300000001</v>
      </c>
      <c r="AK40" s="15" t="n">
        <v>219266.63</v>
      </c>
      <c r="AL40" s="15" t="n">
        <v>107194.39</v>
      </c>
      <c r="AM40" s="15" t="n">
        <v>1588679.7</v>
      </c>
      <c r="AN40" s="15" t="n">
        <v>375919.35</v>
      </c>
      <c r="AO40" s="15" t="n">
        <v>17289.01</v>
      </c>
      <c r="AP40" s="15" t="n">
        <v>451328.26</v>
      </c>
      <c r="AQ40" s="15" t="n">
        <v>918878.88</v>
      </c>
      <c r="AR40" s="15" t="n">
        <v>1232932.31</v>
      </c>
      <c r="AS40" s="15" t="n">
        <v>142873.83</v>
      </c>
      <c r="AT40" s="15" t="n">
        <v>1495082.06</v>
      </c>
      <c r="AU40" s="15" t="n">
        <v>99058.72</v>
      </c>
      <c r="AV40" s="15" t="n">
        <v>285635.39</v>
      </c>
      <c r="AW40" s="15" t="n">
        <v>2873222.64</v>
      </c>
      <c r="AX40" s="15" t="n">
        <v>410106.11</v>
      </c>
      <c r="AY40" s="15" t="n">
        <v>2171315.02</v>
      </c>
      <c r="AZ40" s="15" t="n">
        <v>715915.6899999999</v>
      </c>
      <c r="BA40" s="15" t="n">
        <v>186188.47</v>
      </c>
      <c r="BB40" s="15" t="n">
        <v>649122.46</v>
      </c>
      <c r="BC40" s="15" t="n">
        <v>1452278.63</v>
      </c>
      <c r="BD40" s="15" t="n">
        <v>3725001.64</v>
      </c>
      <c r="BE40" s="15" t="n">
        <v>371506.7</v>
      </c>
      <c r="BF40" s="15" t="n">
        <v>312838.81</v>
      </c>
      <c r="BG40" s="15" t="n">
        <v>18113.1</v>
      </c>
      <c r="BH40" s="15" t="n">
        <v>991581.11</v>
      </c>
      <c r="BI40" s="15" t="n">
        <v>1779842</v>
      </c>
      <c r="BJ40" s="15" t="n">
        <v>1006131.89</v>
      </c>
      <c r="BK40" s="15" t="n">
        <v>73594.87</v>
      </c>
      <c r="BL40" s="15" t="n">
        <v>186977.03</v>
      </c>
      <c r="BM40" s="15" t="n">
        <v>302551.34</v>
      </c>
      <c r="BN40" s="15" t="n">
        <v>-74033.13</v>
      </c>
      <c r="BO40" s="15" t="n">
        <v>670118.3199999999</v>
      </c>
      <c r="BP40" s="15" t="n">
        <v>188538.48</v>
      </c>
      <c r="BQ40" s="15" t="n">
        <v>2153959.99</v>
      </c>
      <c r="BR40" s="15" t="n">
        <v>1362133.7</v>
      </c>
      <c r="BS40" s="15" t="n">
        <v>217392.09</v>
      </c>
      <c r="BT40" s="15" t="n">
        <v>-60725.44</v>
      </c>
      <c r="BU40" s="15" t="n">
        <v>2001894.25</v>
      </c>
      <c r="BV40" s="15" t="n">
        <v>234997.8</v>
      </c>
      <c r="BW40" s="15" t="n">
        <v>117313.93</v>
      </c>
      <c r="BX40" s="15" t="n">
        <v>495712.6</v>
      </c>
      <c r="BY40" s="15" t="n">
        <v>165282.06</v>
      </c>
      <c r="BZ40" s="15" t="n">
        <v>-72666.3</v>
      </c>
      <c r="CA40" s="15" t="n">
        <v>2178943.7</v>
      </c>
      <c r="CB40" s="15" t="n">
        <v>2581104.4</v>
      </c>
      <c r="CC40" s="15" t="n">
        <v>2004678.85</v>
      </c>
      <c r="CD40" s="15" t="n">
        <v>1371683.81</v>
      </c>
      <c r="CE40" s="15" t="n">
        <v>194050.52</v>
      </c>
      <c r="CF40" s="15" t="n">
        <v>-54409.74</v>
      </c>
      <c r="CG40" s="15" t="n">
        <v>342211.75</v>
      </c>
      <c r="CH40" s="15" t="n">
        <v>272173.52</v>
      </c>
      <c r="CI40" s="15" t="n">
        <v>972046.7</v>
      </c>
      <c r="CJ40" s="15" t="n">
        <v>872578.33</v>
      </c>
      <c r="CK40" s="15" t="n">
        <v>376150.86</v>
      </c>
      <c r="CL40" s="15" t="n">
        <v>1006617.96</v>
      </c>
      <c r="CM40" s="15" t="n">
        <v>1841297.67</v>
      </c>
      <c r="CN40" s="15" t="n">
        <v>3656448.02</v>
      </c>
      <c r="CO40" s="15" t="n">
        <v>1356066.34</v>
      </c>
      <c r="CP40" s="15" t="n">
        <v>1524171.64</v>
      </c>
      <c r="CQ40" s="15" t="n">
        <v>255256.07</v>
      </c>
      <c r="CR40" s="15" t="n">
        <v>-38191.79</v>
      </c>
      <c r="CS40" s="15" t="n">
        <v>2868318.58</v>
      </c>
      <c r="CT40" s="15" t="n">
        <v>3158878.99</v>
      </c>
      <c r="CU40" s="15" t="n">
        <v>646857.84</v>
      </c>
      <c r="CV40" s="15" t="n">
        <v>104720.6</v>
      </c>
      <c r="CW40" s="15" t="n">
        <v>297404.23</v>
      </c>
      <c r="CX40" s="15" t="n">
        <v>661664.35</v>
      </c>
      <c r="CY40" s="15" t="n">
        <v>1029591.9</v>
      </c>
      <c r="CZ40" s="15" t="n">
        <v>1247229.36</v>
      </c>
      <c r="DA40" s="15" t="n">
        <v>1658508.46</v>
      </c>
      <c r="DB40" s="15" t="n">
        <v>1505013.32</v>
      </c>
      <c r="DC40" s="15" t="n">
        <v>220624.22</v>
      </c>
      <c r="DD40" s="15" t="n">
        <v>734396.04</v>
      </c>
      <c r="DE40" s="15" t="n">
        <v>441794.97</v>
      </c>
      <c r="DF40" s="15" t="n">
        <v>324767.98</v>
      </c>
      <c r="DG40" s="15" t="n">
        <v>340346.63</v>
      </c>
      <c r="DH40" s="15" t="n">
        <v>1594922.27</v>
      </c>
      <c r="DI40" s="15" t="n">
        <v>379941.7</v>
      </c>
      <c r="DJ40" s="15" t="n">
        <v>213149.63</v>
      </c>
      <c r="DK40" s="15" t="n">
        <v>2913951.8</v>
      </c>
      <c r="DL40" s="15" t="n">
        <v>2818907.94</v>
      </c>
      <c r="DM40" s="15" t="n">
        <v>1223641.46</v>
      </c>
      <c r="DN40" s="15" t="n">
        <v>1117200.93</v>
      </c>
      <c r="DO40" s="15" t="n">
        <v>190171.06</v>
      </c>
      <c r="DP40" s="15" t="n">
        <v>405886.34</v>
      </c>
    </row>
    <row r="41">
      <c r="A41" s="4" t="inlineStr">
        <is>
          <t>精密轴承</t>
        </is>
      </c>
      <c r="B41" s="15" t="n">
        <v>359208.57</v>
      </c>
      <c r="C41" s="15" t="n">
        <v>2071923.55</v>
      </c>
      <c r="D41" s="15" t="n">
        <v>220726.15</v>
      </c>
      <c r="E41" s="15" t="n">
        <v>229281.78</v>
      </c>
      <c r="F41" s="15" t="n">
        <v>843399.16</v>
      </c>
      <c r="G41" s="15" t="n">
        <v>366414.78</v>
      </c>
      <c r="H41" s="15" t="n">
        <v>232921.3</v>
      </c>
      <c r="I41" s="15" t="n">
        <v>408511.13</v>
      </c>
      <c r="J41" s="15" t="n">
        <v>165778.91</v>
      </c>
      <c r="K41" s="15" t="n">
        <v>173488.91</v>
      </c>
      <c r="L41" s="15" t="n">
        <v>290304.39</v>
      </c>
      <c r="M41" s="15" t="n">
        <v>2986708.32</v>
      </c>
      <c r="N41" s="15" t="n">
        <v>1974030.2</v>
      </c>
      <c r="O41" s="15" t="n">
        <v>2276825.37</v>
      </c>
      <c r="P41" s="15" t="n">
        <v>1217277.7</v>
      </c>
      <c r="Q41" s="15" t="n">
        <v>23727.8</v>
      </c>
      <c r="R41" s="15" t="n">
        <v>1042661.66</v>
      </c>
      <c r="S41" s="15" t="n">
        <v>2150947.37</v>
      </c>
      <c r="T41" s="15" t="n">
        <v>2256065.78</v>
      </c>
      <c r="U41" s="15" t="n">
        <v>639722.1800000001</v>
      </c>
      <c r="V41" s="15" t="n">
        <v>1576518.68</v>
      </c>
      <c r="W41" s="15" t="n">
        <v>383242.82</v>
      </c>
      <c r="X41" s="15" t="n">
        <v>255253.81</v>
      </c>
      <c r="Y41" s="15" t="n">
        <v>1647057.75</v>
      </c>
      <c r="Z41" s="15" t="n">
        <v>715678.11</v>
      </c>
      <c r="AA41" s="15" t="n">
        <v>1130975.63</v>
      </c>
      <c r="AB41" s="15" t="n">
        <v>231400.06</v>
      </c>
      <c r="AC41" s="15" t="n">
        <v>345918.79</v>
      </c>
      <c r="AD41" s="15" t="n">
        <v>830798.53</v>
      </c>
      <c r="AE41" s="15" t="n">
        <v>250023.45</v>
      </c>
      <c r="AF41" s="15" t="n">
        <v>3676232.06</v>
      </c>
      <c r="AG41" s="15" t="n">
        <v>1544133.01</v>
      </c>
      <c r="AH41" s="15" t="n">
        <v>1036623.24</v>
      </c>
      <c r="AI41" s="15" t="n">
        <v>79573.77</v>
      </c>
      <c r="AJ41" s="15" t="n">
        <v>204171.3</v>
      </c>
      <c r="AK41" s="15" t="n">
        <v>1832793.23</v>
      </c>
      <c r="AL41" s="15" t="n">
        <v>1939261.27</v>
      </c>
      <c r="AM41" s="15" t="n">
        <v>602414.4300000001</v>
      </c>
      <c r="AN41" s="15" t="n">
        <v>1138665.65</v>
      </c>
      <c r="AO41" s="15" t="n">
        <v>203549.55</v>
      </c>
      <c r="AP41" s="15" t="n">
        <v>1170719.33</v>
      </c>
      <c r="AQ41" s="15" t="n">
        <v>3066145.37</v>
      </c>
      <c r="AR41" s="15" t="n">
        <v>2508044.7</v>
      </c>
      <c r="AS41" s="15" t="n">
        <v>2109310.48</v>
      </c>
      <c r="AT41" s="15" t="n">
        <v>317236.23</v>
      </c>
      <c r="AU41" s="15" t="n">
        <v>254419.27</v>
      </c>
      <c r="AV41" s="15" t="n">
        <v>301652.38</v>
      </c>
      <c r="AW41" s="15" t="n">
        <v>1546066.63</v>
      </c>
      <c r="AX41" s="15" t="n">
        <v>2763089.61</v>
      </c>
      <c r="AY41" s="15" t="n">
        <v>85388.03999999999</v>
      </c>
      <c r="AZ41" s="15" t="n">
        <v>1124843.94</v>
      </c>
      <c r="BA41" s="15" t="n">
        <v>107934.94</v>
      </c>
      <c r="BB41" s="15" t="n">
        <v>1056220.55</v>
      </c>
      <c r="BC41" s="15" t="n">
        <v>1984508.03</v>
      </c>
      <c r="BD41" s="15" t="n">
        <v>2335278.74</v>
      </c>
      <c r="BE41" s="15" t="n">
        <v>990878.92</v>
      </c>
      <c r="BF41" s="15" t="n">
        <v>687121.77</v>
      </c>
      <c r="BG41" s="15" t="n">
        <v>287836.02</v>
      </c>
      <c r="BH41" s="15" t="n">
        <v>927877.71</v>
      </c>
      <c r="BI41" s="15" t="n">
        <v>1030937.92</v>
      </c>
      <c r="BJ41" s="15" t="n">
        <v>1585766.98</v>
      </c>
      <c r="BK41" s="15" t="n">
        <v>1303298.78</v>
      </c>
      <c r="BL41" s="15" t="n">
        <v>438242.34</v>
      </c>
      <c r="BM41" s="15" t="n">
        <v>273513.01</v>
      </c>
      <c r="BN41" s="15" t="n">
        <v>177908.25</v>
      </c>
      <c r="BO41" s="15" t="n">
        <v>1811494.46</v>
      </c>
      <c r="BP41" s="15" t="n">
        <v>1330852.89</v>
      </c>
      <c r="BQ41" s="15" t="n">
        <v>1832687.6</v>
      </c>
      <c r="BR41" s="15" t="n">
        <v>1276965.97</v>
      </c>
      <c r="BS41" s="15" t="n">
        <v>143946.92</v>
      </c>
      <c r="BT41" s="15" t="n">
        <v>805753.29</v>
      </c>
      <c r="BU41" s="15" t="n">
        <v>1954413.76</v>
      </c>
      <c r="BV41" s="15" t="n">
        <v>2248048.8</v>
      </c>
      <c r="BW41" s="15" t="n">
        <v>1348319.72</v>
      </c>
      <c r="BX41" s="15" t="n">
        <v>1063837.29</v>
      </c>
      <c r="BY41" s="15" t="n">
        <v>166862.38</v>
      </c>
      <c r="BZ41" s="15" t="n">
        <v>913086.28</v>
      </c>
      <c r="CA41" s="15" t="n">
        <v>551713.53</v>
      </c>
      <c r="CB41" s="15" t="n">
        <v>1055799.24</v>
      </c>
      <c r="CC41" s="15" t="n">
        <v>2337224.07</v>
      </c>
      <c r="CD41" s="15" t="n">
        <v>1388569.03</v>
      </c>
      <c r="CE41" s="15" t="n">
        <v>333530.87</v>
      </c>
      <c r="CF41" s="15" t="n">
        <v>1005367.13</v>
      </c>
      <c r="CG41" s="15" t="n">
        <v>2870576.18</v>
      </c>
      <c r="CH41" s="15" t="n">
        <v>3761180.41</v>
      </c>
      <c r="CI41" s="15" t="n">
        <v>1531568.02</v>
      </c>
      <c r="CJ41" s="15" t="n">
        <v>105529.12</v>
      </c>
      <c r="CK41" s="15" t="n">
        <v>48909.31</v>
      </c>
      <c r="CL41" s="15" t="n">
        <v>416812.41</v>
      </c>
      <c r="CM41" s="15" t="n">
        <v>834964.33</v>
      </c>
      <c r="CN41" s="15" t="n">
        <v>3135814.19</v>
      </c>
      <c r="CO41" s="15" t="n">
        <v>322457.01</v>
      </c>
      <c r="CP41" s="15" t="n">
        <v>1110791.92</v>
      </c>
      <c r="CQ41" s="15" t="n">
        <v>60211.48</v>
      </c>
      <c r="CR41" s="15" t="n">
        <v>349182.72</v>
      </c>
      <c r="CS41" s="15" t="n">
        <v>2226941.33</v>
      </c>
      <c r="CT41" s="15" t="n">
        <v>1081269.79</v>
      </c>
      <c r="CU41" s="15" t="n">
        <v>1668610.82</v>
      </c>
      <c r="CV41" s="15" t="n">
        <v>559895.8100000001</v>
      </c>
      <c r="CW41" s="15" t="n">
        <v>389138.56</v>
      </c>
      <c r="CX41" s="15" t="n">
        <v>405219.19</v>
      </c>
      <c r="CY41" s="15" t="n">
        <v>1322011.23</v>
      </c>
      <c r="CZ41" s="15" t="n">
        <v>3214867.07</v>
      </c>
      <c r="DA41" s="15" t="n">
        <v>1290277.15</v>
      </c>
      <c r="DB41" s="15" t="n">
        <v>680630.72</v>
      </c>
      <c r="DC41" s="15" t="n">
        <v>355662.53</v>
      </c>
      <c r="DD41" s="15" t="n">
        <v>105143.25</v>
      </c>
      <c r="DE41" s="15" t="n">
        <v>1504584.58</v>
      </c>
      <c r="DF41" s="15" t="n">
        <v>1190584.48</v>
      </c>
      <c r="DG41" s="15" t="n">
        <v>674442.28</v>
      </c>
      <c r="DH41" s="15" t="n">
        <v>591102.53</v>
      </c>
      <c r="DI41" s="15" t="n">
        <v>288907.89</v>
      </c>
      <c r="DJ41" s="15" t="n">
        <v>846667.27</v>
      </c>
      <c r="DK41" s="15" t="n">
        <v>2836314.24</v>
      </c>
      <c r="DL41" s="15" t="n">
        <v>3777718.49</v>
      </c>
      <c r="DM41" s="15" t="n">
        <v>526363.34</v>
      </c>
      <c r="DN41" s="15" t="n">
        <v>1396080.28</v>
      </c>
      <c r="DO41" s="15" t="n">
        <v>374134.01</v>
      </c>
      <c r="DP41" s="15" t="n">
        <v>-45688.3</v>
      </c>
    </row>
    <row r="42">
      <c r="A42" s="4" t="inlineStr">
        <is>
          <t>液压件</t>
        </is>
      </c>
      <c r="B42" s="15" t="n">
        <v>492591.38</v>
      </c>
      <c r="C42" s="15" t="n">
        <v>846583.88</v>
      </c>
      <c r="D42" s="15" t="n">
        <v>1424823.18</v>
      </c>
      <c r="E42" s="15" t="n">
        <v>111870.85</v>
      </c>
      <c r="F42" s="15" t="n">
        <v>1188612.3</v>
      </c>
      <c r="G42" s="15" t="n">
        <v>1106562.66</v>
      </c>
      <c r="H42" s="15" t="n">
        <v>2594856.46</v>
      </c>
      <c r="I42" s="15" t="n">
        <v>440079.74</v>
      </c>
      <c r="J42" s="15" t="n">
        <v>1303714.7</v>
      </c>
      <c r="K42" s="15" t="n">
        <v>255656.37</v>
      </c>
      <c r="L42" s="15" t="n">
        <v>562810.9</v>
      </c>
      <c r="M42" s="15" t="n">
        <v>1002550.29</v>
      </c>
      <c r="N42" s="15" t="n">
        <v>3436670.36</v>
      </c>
      <c r="O42" s="15" t="n">
        <v>1854983.77</v>
      </c>
      <c r="P42" s="15" t="n">
        <v>615647.61</v>
      </c>
      <c r="Q42" s="15" t="n">
        <v>206221.5</v>
      </c>
      <c r="R42" s="15" t="n">
        <v>1062954.69</v>
      </c>
      <c r="S42" s="15" t="n">
        <v>297927.88</v>
      </c>
      <c r="T42" s="15" t="n">
        <v>2526238.53</v>
      </c>
      <c r="U42" s="15" t="n">
        <v>337334.56</v>
      </c>
      <c r="V42" s="15" t="n">
        <v>1457202.42</v>
      </c>
      <c r="W42" s="15" t="n">
        <v>115059.41</v>
      </c>
      <c r="X42" s="15" t="n">
        <v>507922.12</v>
      </c>
      <c r="Y42" s="15" t="n">
        <v>1978373.63</v>
      </c>
      <c r="Z42" s="15" t="n">
        <v>3616135.79</v>
      </c>
      <c r="AA42" s="15" t="n">
        <v>1601795.96</v>
      </c>
      <c r="AB42" s="15" t="n">
        <v>472625.03</v>
      </c>
      <c r="AC42" s="15" t="n">
        <v>237961.25</v>
      </c>
      <c r="AD42" s="15" t="n">
        <v>1034681.41</v>
      </c>
      <c r="AE42" s="15" t="n">
        <v>3170826.4</v>
      </c>
      <c r="AF42" s="15" t="n">
        <v>760235.41</v>
      </c>
      <c r="AG42" s="15" t="n">
        <v>1085060.58</v>
      </c>
      <c r="AH42" s="15" t="n">
        <v>339607.16</v>
      </c>
      <c r="AI42" s="15" t="n">
        <v>92047.81</v>
      </c>
      <c r="AJ42" s="15" t="n">
        <v>1074084.37</v>
      </c>
      <c r="AK42" s="15" t="n">
        <v>2003055</v>
      </c>
      <c r="AL42" s="15" t="n">
        <v>3538037.54</v>
      </c>
      <c r="AM42" s="15" t="n">
        <v>929193.71</v>
      </c>
      <c r="AN42" s="15" t="n">
        <v>1037913.27</v>
      </c>
      <c r="AO42" s="15" t="n">
        <v>326297</v>
      </c>
      <c r="AP42" s="15" t="n">
        <v>329781.7</v>
      </c>
      <c r="AQ42" s="15" t="n">
        <v>2742354.55</v>
      </c>
      <c r="AR42" s="15" t="n">
        <v>319728.75</v>
      </c>
      <c r="AS42" s="15" t="n">
        <v>791430.51</v>
      </c>
      <c r="AT42" s="15" t="n">
        <v>204859.32</v>
      </c>
      <c r="AU42" s="15" t="n">
        <v>152484.9</v>
      </c>
      <c r="AV42" s="15" t="n">
        <v>1123662.88</v>
      </c>
      <c r="AW42" s="15" t="n">
        <v>300123.25</v>
      </c>
      <c r="AX42" s="15" t="n">
        <v>2153806.38</v>
      </c>
      <c r="AY42" s="15" t="n">
        <v>2062798.79</v>
      </c>
      <c r="AZ42" s="15" t="n">
        <v>776489.5</v>
      </c>
      <c r="BA42" s="15" t="n">
        <v>230983.71</v>
      </c>
      <c r="BB42" s="15" t="n">
        <v>1087665.82</v>
      </c>
      <c r="BC42" s="15" t="n">
        <v>2879139.6</v>
      </c>
      <c r="BD42" s="15" t="n">
        <v>270969.33</v>
      </c>
      <c r="BE42" s="15" t="n">
        <v>2300888.22</v>
      </c>
      <c r="BF42" s="15" t="n">
        <v>1303422.97</v>
      </c>
      <c r="BG42" s="15" t="n">
        <v>226620.41</v>
      </c>
      <c r="BH42" s="15" t="n">
        <v>193702.53</v>
      </c>
      <c r="BI42" s="15" t="n">
        <v>2385111.14</v>
      </c>
      <c r="BJ42" s="15" t="n">
        <v>3990757.27</v>
      </c>
      <c r="BK42" s="15" t="n">
        <v>108472.44</v>
      </c>
      <c r="BL42" s="15" t="n">
        <v>813024.67</v>
      </c>
      <c r="BM42" s="15" t="n">
        <v>63003.1</v>
      </c>
      <c r="BN42" s="15" t="n">
        <v>390122.66</v>
      </c>
      <c r="BO42" s="15" t="n">
        <v>1004361.17</v>
      </c>
      <c r="BP42" s="15" t="n">
        <v>3804556.31</v>
      </c>
      <c r="BQ42" s="15" t="n">
        <v>1795033.71</v>
      </c>
      <c r="BR42" s="15" t="n">
        <v>863555.1</v>
      </c>
      <c r="BS42" s="15" t="n">
        <v>274777.36</v>
      </c>
      <c r="BT42" s="15" t="n">
        <v>1170731.42</v>
      </c>
      <c r="BU42" s="15" t="n">
        <v>3011117.97</v>
      </c>
      <c r="BV42" s="15" t="n">
        <v>1289470.97</v>
      </c>
      <c r="BW42" s="15" t="n">
        <v>1799715.84</v>
      </c>
      <c r="BX42" s="15" t="n">
        <v>1580653.07</v>
      </c>
      <c r="BY42" s="15" t="n">
        <v>257190.2</v>
      </c>
      <c r="BZ42" s="15" t="n">
        <v>1092445.99</v>
      </c>
      <c r="CA42" s="15" t="n">
        <v>2045652.05</v>
      </c>
      <c r="CB42" s="15" t="n">
        <v>131925.44</v>
      </c>
      <c r="CC42" s="15" t="n">
        <v>1037529.59</v>
      </c>
      <c r="CD42" s="15" t="n">
        <v>1193618.46</v>
      </c>
      <c r="CE42" s="15" t="n">
        <v>160588.54</v>
      </c>
      <c r="CF42" s="15" t="n">
        <v>826535.5699999999</v>
      </c>
      <c r="CG42" s="15" t="n">
        <v>1248215.95</v>
      </c>
      <c r="CH42" s="15" t="n">
        <v>3470482</v>
      </c>
      <c r="CI42" s="15" t="n">
        <v>1521893.88</v>
      </c>
      <c r="CJ42" s="15" t="n">
        <v>399875.38</v>
      </c>
      <c r="CK42" s="15" t="n">
        <v>182782.57</v>
      </c>
      <c r="CL42" s="15" t="n">
        <v>260935.67</v>
      </c>
      <c r="CM42" s="15" t="n">
        <v>385251.37</v>
      </c>
      <c r="CN42" s="15" t="n">
        <v>3263238.84</v>
      </c>
      <c r="CO42" s="15" t="n">
        <v>1927200.11</v>
      </c>
      <c r="CP42" s="15" t="n">
        <v>1276549.25</v>
      </c>
      <c r="CQ42" s="15" t="n">
        <v>211398.11</v>
      </c>
      <c r="CR42" s="15" t="n">
        <v>507874.93</v>
      </c>
      <c r="CS42" s="15" t="n">
        <v>3061238.71</v>
      </c>
      <c r="CT42" s="15" t="n">
        <v>2544997.83</v>
      </c>
      <c r="CU42" s="15" t="n">
        <v>955301.61</v>
      </c>
      <c r="CV42" s="15" t="n">
        <v>30183.48</v>
      </c>
      <c r="CW42" s="15" t="n">
        <v>38390.42</v>
      </c>
      <c r="CX42" s="15" t="n">
        <v>890930.84</v>
      </c>
      <c r="CY42" s="15" t="n">
        <v>1436848.85</v>
      </c>
      <c r="CZ42" s="15" t="n">
        <v>1451985.39</v>
      </c>
      <c r="DA42" s="15" t="n">
        <v>69141.46000000001</v>
      </c>
      <c r="DB42" s="15" t="n">
        <v>186250.06</v>
      </c>
      <c r="DC42" s="15" t="n">
        <v>72558.46000000001</v>
      </c>
      <c r="DD42" s="15" t="n">
        <v>-156973.37</v>
      </c>
      <c r="DE42" s="15" t="n">
        <v>2344333.62</v>
      </c>
      <c r="DF42" s="15" t="n">
        <v>828762.41</v>
      </c>
      <c r="DG42" s="15" t="n">
        <v>1024820.61</v>
      </c>
      <c r="DH42" s="15" t="n">
        <v>18610</v>
      </c>
      <c r="DI42" s="15" t="n">
        <v>107693.21</v>
      </c>
      <c r="DJ42" s="15" t="n">
        <v>-88323.62</v>
      </c>
      <c r="DK42" s="15" t="n">
        <v>2918903.01</v>
      </c>
      <c r="DL42" s="15" t="n">
        <v>1963943.3</v>
      </c>
      <c r="DM42" s="15" t="n">
        <v>1360232.17</v>
      </c>
      <c r="DN42" s="15" t="n">
        <v>1301186.74</v>
      </c>
      <c r="DO42" s="15" t="n">
        <v>220124.35</v>
      </c>
      <c r="DP42" s="15" t="n">
        <v>913315.48</v>
      </c>
    </row>
    <row r="43">
      <c r="A43" s="4" t="inlineStr">
        <is>
          <t>气动元件</t>
        </is>
      </c>
      <c r="B43" s="15" t="n">
        <v>3851981.45</v>
      </c>
      <c r="C43" s="15" t="n">
        <v>1250900.87</v>
      </c>
      <c r="D43" s="15" t="n">
        <v>375307.69</v>
      </c>
      <c r="E43" s="15" t="n">
        <v>60396.39</v>
      </c>
      <c r="F43" s="15" t="n">
        <v>1098684.39</v>
      </c>
      <c r="G43" s="15" t="n">
        <v>252404.35</v>
      </c>
      <c r="H43" s="15" t="n">
        <v>1613153.95</v>
      </c>
      <c r="I43" s="15" t="n">
        <v>236038.54</v>
      </c>
      <c r="J43" s="15" t="n">
        <v>1200092.02</v>
      </c>
      <c r="K43" s="15" t="n">
        <v>249902.91</v>
      </c>
      <c r="L43" s="15" t="n">
        <v>241685.23</v>
      </c>
      <c r="M43" s="15" t="n">
        <v>1230358.87</v>
      </c>
      <c r="N43" s="15" t="n">
        <v>3413830.49</v>
      </c>
      <c r="O43" s="15" t="n">
        <v>1502658.39</v>
      </c>
      <c r="P43" s="15" t="n">
        <v>1224370.13</v>
      </c>
      <c r="Q43" s="15" t="n">
        <v>250211.5</v>
      </c>
      <c r="R43" s="15" t="n">
        <v>947603.01</v>
      </c>
      <c r="S43" s="15" t="n">
        <v>2423689.64</v>
      </c>
      <c r="T43" s="15" t="n">
        <v>1854421.79</v>
      </c>
      <c r="U43" s="15" t="n">
        <v>2106226.66</v>
      </c>
      <c r="V43" s="15" t="n">
        <v>275659.84</v>
      </c>
      <c r="W43" s="15" t="n">
        <v>373122.59</v>
      </c>
      <c r="X43" s="15" t="n">
        <v>720370.58</v>
      </c>
      <c r="Y43" s="15" t="n">
        <v>960637.5600000001</v>
      </c>
      <c r="Z43" s="15" t="n">
        <v>1170797.1</v>
      </c>
      <c r="AA43" s="15" t="n">
        <v>682302.52</v>
      </c>
      <c r="AB43" s="15" t="n">
        <v>423702.92</v>
      </c>
      <c r="AC43" s="15" t="n">
        <v>13425.47</v>
      </c>
      <c r="AD43" s="15" t="n">
        <v>486932.46</v>
      </c>
      <c r="AE43" s="15" t="n">
        <v>2705103.15</v>
      </c>
      <c r="AF43" s="15" t="n">
        <v>744753.22</v>
      </c>
      <c r="AG43" s="15" t="n">
        <v>1707469.07</v>
      </c>
      <c r="AH43" s="15" t="n">
        <v>860684.09</v>
      </c>
      <c r="AI43" s="15" t="n">
        <v>173870.1</v>
      </c>
      <c r="AJ43" s="15" t="n">
        <v>817027.9300000001</v>
      </c>
      <c r="AK43" s="15" t="n">
        <v>1174033.69</v>
      </c>
      <c r="AL43" s="15" t="n">
        <v>1523399.13</v>
      </c>
      <c r="AM43" s="15" t="n">
        <v>1268262.36</v>
      </c>
      <c r="AN43" s="15" t="n">
        <v>1483745.41</v>
      </c>
      <c r="AO43" s="15" t="n">
        <v>134246.5</v>
      </c>
      <c r="AP43" s="15" t="n">
        <v>654605.0600000001</v>
      </c>
      <c r="AQ43" s="15" t="n">
        <v>2783352.16</v>
      </c>
      <c r="AR43" s="15" t="n">
        <v>1151181.39</v>
      </c>
      <c r="AS43" s="15" t="n">
        <v>2341872.61</v>
      </c>
      <c r="AT43" s="15" t="n">
        <v>1060961.79</v>
      </c>
      <c r="AU43" s="15" t="n">
        <v>281431.43</v>
      </c>
      <c r="AV43" s="15" t="n">
        <v>130142.51</v>
      </c>
      <c r="AW43" s="15" t="n">
        <v>2427044.04</v>
      </c>
      <c r="AX43" s="15" t="n">
        <v>1999928.48</v>
      </c>
      <c r="AY43" s="15" t="n">
        <v>1847014.75</v>
      </c>
      <c r="AZ43" s="15" t="n">
        <v>814087.34</v>
      </c>
      <c r="BA43" s="15" t="n">
        <v>240469.09</v>
      </c>
      <c r="BB43" s="15" t="n">
        <v>-120947.92</v>
      </c>
      <c r="BC43" s="15" t="n">
        <v>1049932.06</v>
      </c>
      <c r="BD43" s="15" t="n">
        <v>1953212.95</v>
      </c>
      <c r="BE43" s="15" t="n">
        <v>1151626.33</v>
      </c>
      <c r="BF43" s="15" t="n">
        <v>1316138.68</v>
      </c>
      <c r="BG43" s="15" t="n">
        <v>259394.46</v>
      </c>
      <c r="BH43" s="15" t="n">
        <v>994119.99</v>
      </c>
      <c r="BI43" s="15" t="n">
        <v>719347.27</v>
      </c>
      <c r="BJ43" s="15" t="n">
        <v>1818826.14</v>
      </c>
      <c r="BK43" s="15" t="n">
        <v>85324.07000000001</v>
      </c>
      <c r="BL43" s="15" t="n">
        <v>510022.63</v>
      </c>
      <c r="BM43" s="15" t="n">
        <v>253287.99</v>
      </c>
      <c r="BN43" s="15" t="n">
        <v>-105108.78</v>
      </c>
      <c r="BO43" s="15" t="n">
        <v>1903671.92</v>
      </c>
      <c r="BP43" s="15" t="n">
        <v>2452557.23</v>
      </c>
      <c r="BQ43" s="15" t="n">
        <v>1764403.26</v>
      </c>
      <c r="BR43" s="15" t="n">
        <v>864208.88</v>
      </c>
      <c r="BS43" s="15" t="n">
        <v>132051.93</v>
      </c>
      <c r="BT43" s="15" t="n">
        <v>889757.8199999999</v>
      </c>
      <c r="BU43" s="15" t="n">
        <v>2627077.65</v>
      </c>
      <c r="BV43" s="15" t="n">
        <v>981150.96</v>
      </c>
      <c r="BW43" s="15" t="n">
        <v>178947.16</v>
      </c>
      <c r="BX43" s="15" t="n">
        <v>390428.96</v>
      </c>
      <c r="BY43" s="15" t="n">
        <v>389449.13</v>
      </c>
      <c r="BZ43" s="15" t="n">
        <v>429764.9</v>
      </c>
      <c r="CA43" s="15" t="n">
        <v>143706.59</v>
      </c>
      <c r="CB43" s="15" t="n">
        <v>602802.05</v>
      </c>
      <c r="CC43" s="15" t="n">
        <v>884288.1</v>
      </c>
      <c r="CD43" s="15" t="n">
        <v>889637.25</v>
      </c>
      <c r="CE43" s="15" t="n">
        <v>168647.43</v>
      </c>
      <c r="CF43" s="15" t="n">
        <v>700505.98</v>
      </c>
      <c r="CG43" s="15" t="n">
        <v>1265297.62</v>
      </c>
      <c r="CH43" s="15" t="n">
        <v>2889414.13</v>
      </c>
      <c r="CI43" s="15" t="n">
        <v>2058006.68</v>
      </c>
      <c r="CJ43" s="15" t="n">
        <v>679923.76</v>
      </c>
      <c r="CK43" s="15" t="n">
        <v>148032.73</v>
      </c>
      <c r="CL43" s="15" t="n">
        <v>760058.02</v>
      </c>
      <c r="CM43" s="15" t="n">
        <v>2908984.62</v>
      </c>
      <c r="CN43" s="15" t="n">
        <v>1619759.54</v>
      </c>
      <c r="CO43" s="15" t="n">
        <v>2180686.26</v>
      </c>
      <c r="CP43" s="15" t="n">
        <v>533418.95</v>
      </c>
      <c r="CQ43" s="15" t="n">
        <v>40099.94</v>
      </c>
      <c r="CR43" s="15" t="n">
        <v>73121.85000000001</v>
      </c>
      <c r="CS43" s="15" t="n">
        <v>242565.28</v>
      </c>
      <c r="CT43" s="15" t="n">
        <v>2041602.15</v>
      </c>
      <c r="CU43" s="15" t="n">
        <v>352656</v>
      </c>
      <c r="CV43" s="15" t="n">
        <v>277668.23</v>
      </c>
      <c r="CW43" s="15" t="n">
        <v>61616.96</v>
      </c>
      <c r="CX43" s="15" t="n">
        <v>262690.01</v>
      </c>
      <c r="CY43" s="15" t="n">
        <v>2119335.23</v>
      </c>
      <c r="CZ43" s="15" t="n">
        <v>3666315.15</v>
      </c>
      <c r="DA43" s="15" t="n">
        <v>1286085.67</v>
      </c>
      <c r="DB43" s="15" t="n">
        <v>1404295.42</v>
      </c>
      <c r="DC43" s="15" t="n">
        <v>59217.06</v>
      </c>
      <c r="DD43" s="15" t="n">
        <v>217295.35</v>
      </c>
      <c r="DE43" s="15" t="n">
        <v>1890493.63</v>
      </c>
      <c r="DF43" s="15" t="n">
        <v>318670.37</v>
      </c>
      <c r="DG43" s="15" t="n">
        <v>868941.79</v>
      </c>
      <c r="DH43" s="15" t="n">
        <v>1261305.97</v>
      </c>
      <c r="DI43" s="15" t="n">
        <v>256215.38</v>
      </c>
      <c r="DJ43" s="15" t="n">
        <v>277444.44</v>
      </c>
      <c r="DK43" s="15" t="n">
        <v>1235299.22</v>
      </c>
      <c r="DL43" s="15" t="n">
        <v>1398555.27</v>
      </c>
      <c r="DM43" s="15" t="n">
        <v>1932194.67</v>
      </c>
      <c r="DN43" s="15" t="n">
        <v>1031201.06</v>
      </c>
      <c r="DO43" s="15" t="n">
        <v>192486.76</v>
      </c>
      <c r="DP43" s="15" t="n">
        <v>456293.24</v>
      </c>
    </row>
    <row r="44">
      <c r="A44" s="4" t="inlineStr">
        <is>
          <t>模具</t>
        </is>
      </c>
      <c r="B44" s="15" t="n">
        <v>2941192.79</v>
      </c>
      <c r="C44" s="15" t="n">
        <v>1437349.24</v>
      </c>
      <c r="D44" s="15" t="n">
        <v>76298.67999999999</v>
      </c>
      <c r="E44" s="15" t="n">
        <v>183326.8</v>
      </c>
      <c r="F44" s="15" t="n">
        <v>1056532.84</v>
      </c>
      <c r="G44" s="15" t="n">
        <v>2952720.38</v>
      </c>
      <c r="H44" s="15" t="n">
        <v>3712021.92</v>
      </c>
      <c r="I44" s="15" t="n">
        <v>1867133.44</v>
      </c>
      <c r="J44" s="15" t="n">
        <v>527226.1899999999</v>
      </c>
      <c r="K44" s="15" t="n">
        <v>359252.16</v>
      </c>
      <c r="L44" s="15" t="n">
        <v>500743.36</v>
      </c>
      <c r="M44" s="15" t="n">
        <v>2760063.35</v>
      </c>
      <c r="N44" s="15" t="n">
        <v>2275712.84</v>
      </c>
      <c r="O44" s="15" t="n">
        <v>1810787.63</v>
      </c>
      <c r="P44" s="15" t="n">
        <v>1167167.24</v>
      </c>
      <c r="Q44" s="15" t="n">
        <v>293148.8</v>
      </c>
      <c r="R44" s="15" t="n">
        <v>859880.35</v>
      </c>
      <c r="S44" s="15" t="n">
        <v>1099689.13</v>
      </c>
      <c r="T44" s="15" t="n">
        <v>748216.4399999999</v>
      </c>
      <c r="U44" s="15" t="n">
        <v>2266329.91</v>
      </c>
      <c r="V44" s="15" t="n">
        <v>1502126.78</v>
      </c>
      <c r="W44" s="15" t="n">
        <v>299832.36</v>
      </c>
      <c r="X44" s="15" t="n">
        <v>968051.67</v>
      </c>
      <c r="Y44" s="15" t="n">
        <v>1378952.07</v>
      </c>
      <c r="Z44" s="15" t="n">
        <v>3188988.81</v>
      </c>
      <c r="AA44" s="15" t="n">
        <v>2037091.13</v>
      </c>
      <c r="AB44" s="15" t="n">
        <v>97383.5</v>
      </c>
      <c r="AC44" s="15" t="n">
        <v>266591.28</v>
      </c>
      <c r="AD44" s="15" t="n">
        <v>935391.2</v>
      </c>
      <c r="AE44" s="15" t="n">
        <v>2487683.56</v>
      </c>
      <c r="AF44" s="15" t="n">
        <v>3420232.53</v>
      </c>
      <c r="AG44" s="15" t="n">
        <v>2051710.98</v>
      </c>
      <c r="AH44" s="15" t="n">
        <v>948957.77</v>
      </c>
      <c r="AI44" s="15" t="n">
        <v>256738.18</v>
      </c>
      <c r="AJ44" s="15" t="n">
        <v>78211.96000000001</v>
      </c>
      <c r="AK44" s="15" t="n">
        <v>922483.26</v>
      </c>
      <c r="AL44" s="15" t="n">
        <v>2767757.74</v>
      </c>
      <c r="AM44" s="15" t="n">
        <v>2041332.54</v>
      </c>
      <c r="AN44" s="15" t="n">
        <v>694117.89</v>
      </c>
      <c r="AO44" s="15" t="n">
        <v>351929.14</v>
      </c>
      <c r="AP44" s="15" t="n">
        <v>124274.78</v>
      </c>
      <c r="AQ44" s="15" t="n">
        <v>2021406.82</v>
      </c>
      <c r="AR44" s="15" t="n">
        <v>2025696</v>
      </c>
      <c r="AS44" s="15" t="n">
        <v>1644169.71</v>
      </c>
      <c r="AT44" s="15" t="n">
        <v>942324.4</v>
      </c>
      <c r="AU44" s="15" t="n">
        <v>374743.51</v>
      </c>
      <c r="AV44" s="15" t="n">
        <v>678522.4</v>
      </c>
      <c r="AW44" s="15" t="n">
        <v>509967.87</v>
      </c>
      <c r="AX44" s="15" t="n">
        <v>3294136.01</v>
      </c>
      <c r="AY44" s="15" t="n">
        <v>1611547.14</v>
      </c>
      <c r="AZ44" s="15" t="n">
        <v>553639.83</v>
      </c>
      <c r="BA44" s="15" t="n">
        <v>22914.59</v>
      </c>
      <c r="BB44" s="15" t="n">
        <v>-158746.85</v>
      </c>
      <c r="BC44" s="15" t="n">
        <v>1821008.75</v>
      </c>
      <c r="BD44" s="15" t="n">
        <v>3057663.89</v>
      </c>
      <c r="BE44" s="15" t="n">
        <v>853533.34</v>
      </c>
      <c r="BF44" s="15" t="n">
        <v>1147765.9</v>
      </c>
      <c r="BG44" s="15" t="n">
        <v>377007.18</v>
      </c>
      <c r="BH44" s="15" t="n">
        <v>224701.2</v>
      </c>
      <c r="BI44" s="15" t="n">
        <v>1364971.71</v>
      </c>
      <c r="BJ44" s="15" t="n">
        <v>2979999.12</v>
      </c>
      <c r="BK44" s="15" t="n">
        <v>1152935.64</v>
      </c>
      <c r="BL44" s="15" t="n">
        <v>523139.05</v>
      </c>
      <c r="BM44" s="15" t="n">
        <v>336165.38</v>
      </c>
      <c r="BN44" s="15" t="n">
        <v>578966.58</v>
      </c>
      <c r="BO44" s="15" t="n">
        <v>280981.85</v>
      </c>
      <c r="BP44" s="15" t="n">
        <v>3973306.75</v>
      </c>
      <c r="BQ44" s="15" t="n">
        <v>1637281.52</v>
      </c>
      <c r="BR44" s="15" t="n">
        <v>979502.54</v>
      </c>
      <c r="BS44" s="15" t="n">
        <v>196973.15</v>
      </c>
      <c r="BT44" s="15" t="n">
        <v>799388.6800000001</v>
      </c>
      <c r="BU44" s="15" t="n">
        <v>1110512.72</v>
      </c>
      <c r="BV44" s="15" t="n">
        <v>2490905.89</v>
      </c>
      <c r="BW44" s="15" t="n">
        <v>1029326.37</v>
      </c>
      <c r="BX44" s="15" t="n">
        <v>510671.98</v>
      </c>
      <c r="BY44" s="15" t="n">
        <v>291422.33</v>
      </c>
      <c r="BZ44" s="15" t="n">
        <v>857058.4399999999</v>
      </c>
      <c r="CA44" s="15" t="n">
        <v>132256.78</v>
      </c>
      <c r="CB44" s="15" t="n">
        <v>313439.09</v>
      </c>
      <c r="CC44" s="15" t="n">
        <v>881001.01</v>
      </c>
      <c r="CD44" s="15" t="n">
        <v>51516.47</v>
      </c>
      <c r="CE44" s="15" t="n">
        <v>317916.57</v>
      </c>
      <c r="CF44" s="15" t="n">
        <v>118110.64</v>
      </c>
      <c r="CG44" s="15" t="n">
        <v>2839811.46</v>
      </c>
      <c r="CH44" s="15" t="n">
        <v>378820.01</v>
      </c>
      <c r="CI44" s="15" t="n">
        <v>1287998.08</v>
      </c>
      <c r="CJ44" s="15" t="n">
        <v>805117.22</v>
      </c>
      <c r="CK44" s="15" t="n">
        <v>202442.3</v>
      </c>
      <c r="CL44" s="15" t="n">
        <v>450400.05</v>
      </c>
      <c r="CM44" s="15" t="n">
        <v>1698732.26</v>
      </c>
      <c r="CN44" s="15" t="n">
        <v>2630771.42</v>
      </c>
      <c r="CO44" s="15" t="n">
        <v>2169348.93</v>
      </c>
      <c r="CP44" s="15" t="n">
        <v>1594614.45</v>
      </c>
      <c r="CQ44" s="15" t="n">
        <v>358095.78</v>
      </c>
      <c r="CR44" s="15" t="n">
        <v>96487.62</v>
      </c>
      <c r="CS44" s="15" t="n">
        <v>749253.8100000001</v>
      </c>
      <c r="CT44" s="15" t="n">
        <v>2069747.97</v>
      </c>
      <c r="CU44" s="15" t="n">
        <v>722683.9</v>
      </c>
      <c r="CV44" s="15" t="n">
        <v>1143647.06</v>
      </c>
      <c r="CW44" s="15" t="n">
        <v>248284.66</v>
      </c>
      <c r="CX44" s="15" t="n">
        <v>494109.85</v>
      </c>
      <c r="CY44" s="15" t="n">
        <v>2586749.93</v>
      </c>
      <c r="CZ44" s="15" t="n">
        <v>3237167.45</v>
      </c>
      <c r="DA44" s="15" t="n">
        <v>161530.34</v>
      </c>
      <c r="DB44" s="15" t="n">
        <v>404410.84</v>
      </c>
      <c r="DC44" s="15" t="n">
        <v>394282.96</v>
      </c>
      <c r="DD44" s="15" t="n">
        <v>843659.72</v>
      </c>
      <c r="DE44" s="15" t="n">
        <v>2188247.39</v>
      </c>
      <c r="DF44" s="15" t="n">
        <v>319728.84</v>
      </c>
      <c r="DG44" s="15" t="n">
        <v>1965354.89</v>
      </c>
      <c r="DH44" s="15" t="n">
        <v>478330.74</v>
      </c>
      <c r="DI44" s="15" t="n">
        <v>42040.18</v>
      </c>
      <c r="DJ44" s="15" t="n">
        <v>724142.8199999999</v>
      </c>
      <c r="DK44" s="15" t="n">
        <v>847375.98</v>
      </c>
      <c r="DL44" s="15" t="n">
        <v>2638550.78</v>
      </c>
      <c r="DM44" s="15" t="n">
        <v>2082524.66</v>
      </c>
      <c r="DN44" s="15" t="n">
        <v>101886.92</v>
      </c>
      <c r="DO44" s="15" t="n">
        <v>78847.87</v>
      </c>
      <c r="DP44" s="15" t="n">
        <v>-138385.4</v>
      </c>
    </row>
    <row r="45">
      <c r="A45" s="4" t="inlineStr">
        <is>
          <t>工装夹具</t>
        </is>
      </c>
      <c r="B45" s="15" t="n">
        <v>2451175.06</v>
      </c>
      <c r="C45" s="15" t="n">
        <v>516557.28</v>
      </c>
      <c r="D45" s="15" t="n">
        <v>368468.7</v>
      </c>
      <c r="E45" s="15" t="n">
        <v>364952.89</v>
      </c>
      <c r="F45" s="15" t="n">
        <v>574790.74</v>
      </c>
      <c r="G45" s="15" t="n">
        <v>2356921.64</v>
      </c>
      <c r="H45" s="15" t="n">
        <v>2761881.65</v>
      </c>
      <c r="I45" s="15" t="n">
        <v>205146.7</v>
      </c>
      <c r="J45" s="15" t="n">
        <v>935277.36</v>
      </c>
      <c r="K45" s="15" t="n">
        <v>372481.48</v>
      </c>
      <c r="L45" s="15" t="n">
        <v>500311.13</v>
      </c>
      <c r="M45" s="15" t="n">
        <v>3126118.61</v>
      </c>
      <c r="N45" s="15" t="n">
        <v>3732662.82</v>
      </c>
      <c r="O45" s="15" t="n">
        <v>1220873.55</v>
      </c>
      <c r="P45" s="15" t="n">
        <v>740973.41</v>
      </c>
      <c r="Q45" s="15" t="n">
        <v>189800.69</v>
      </c>
      <c r="R45" s="15" t="n">
        <v>166628.62</v>
      </c>
      <c r="S45" s="15" t="n">
        <v>1368694.52</v>
      </c>
      <c r="T45" s="15" t="n">
        <v>3079759.14</v>
      </c>
      <c r="U45" s="15" t="n">
        <v>1120841.87</v>
      </c>
      <c r="V45" s="15" t="n">
        <v>508864.64</v>
      </c>
      <c r="W45" s="15" t="n">
        <v>144648.81</v>
      </c>
      <c r="X45" s="15" t="n">
        <v>289920.89</v>
      </c>
      <c r="Y45" s="15" t="n">
        <v>2841320.72</v>
      </c>
      <c r="Z45" s="15" t="n">
        <v>895467.09</v>
      </c>
      <c r="AA45" s="15" t="n">
        <v>2163657.76</v>
      </c>
      <c r="AB45" s="15" t="n">
        <v>814754.59</v>
      </c>
      <c r="AC45" s="15" t="n">
        <v>248445.19</v>
      </c>
      <c r="AD45" s="15" t="n">
        <v>936054.79</v>
      </c>
      <c r="AE45" s="15" t="n">
        <v>2246059.41</v>
      </c>
      <c r="AF45" s="15" t="n">
        <v>872006.05</v>
      </c>
      <c r="AG45" s="15" t="n">
        <v>1862610.19</v>
      </c>
      <c r="AH45" s="15" t="n">
        <v>1159516.22</v>
      </c>
      <c r="AI45" s="15" t="n">
        <v>50288.44</v>
      </c>
      <c r="AJ45" s="15" t="n">
        <v>-91290.21000000001</v>
      </c>
      <c r="AK45" s="15" t="n">
        <v>1261383.42</v>
      </c>
      <c r="AL45" s="15" t="n">
        <v>880929.5600000001</v>
      </c>
      <c r="AM45" s="15" t="n">
        <v>789195.5</v>
      </c>
      <c r="AN45" s="15" t="n">
        <v>341390.88</v>
      </c>
      <c r="AO45" s="15" t="n">
        <v>330453.42</v>
      </c>
      <c r="AP45" s="15" t="n">
        <v>570804.47</v>
      </c>
      <c r="AQ45" s="15" t="n">
        <v>2358245.85</v>
      </c>
      <c r="AR45" s="15" t="n">
        <v>610353</v>
      </c>
      <c r="AS45" s="15" t="n">
        <v>1673578.89</v>
      </c>
      <c r="AT45" s="15" t="n">
        <v>314730.14</v>
      </c>
      <c r="AU45" s="15" t="n">
        <v>378909.09</v>
      </c>
      <c r="AV45" s="15" t="n">
        <v>-48146.81</v>
      </c>
      <c r="AW45" s="15" t="n">
        <v>1209340.72</v>
      </c>
      <c r="AX45" s="15" t="n">
        <v>3001211.6</v>
      </c>
      <c r="AY45" s="15" t="n">
        <v>212247.28</v>
      </c>
      <c r="AZ45" s="15" t="n">
        <v>1558506.66</v>
      </c>
      <c r="BA45" s="15" t="n">
        <v>211848.43</v>
      </c>
      <c r="BB45" s="15" t="n">
        <v>297451.2</v>
      </c>
      <c r="BC45" s="15" t="n">
        <v>2527221.05</v>
      </c>
      <c r="BD45" s="15" t="n">
        <v>1900879.44</v>
      </c>
      <c r="BE45" s="15" t="n">
        <v>384938.51</v>
      </c>
      <c r="BF45" s="15" t="n">
        <v>412632.11</v>
      </c>
      <c r="BG45" s="15" t="n">
        <v>177408.54</v>
      </c>
      <c r="BH45" s="15" t="n">
        <v>928381.75</v>
      </c>
      <c r="BI45" s="15" t="n">
        <v>1389230.31</v>
      </c>
      <c r="BJ45" s="15" t="n">
        <v>1591188.25</v>
      </c>
      <c r="BK45" s="15" t="n">
        <v>709948.83</v>
      </c>
      <c r="BL45" s="15" t="n">
        <v>184099.82</v>
      </c>
      <c r="BM45" s="15" t="n">
        <v>255838.87</v>
      </c>
      <c r="BN45" s="15" t="n">
        <v>7682.65</v>
      </c>
      <c r="BO45" s="15" t="n">
        <v>2650882.81</v>
      </c>
      <c r="BP45" s="15" t="n">
        <v>1278381.86</v>
      </c>
      <c r="BQ45" s="15" t="n">
        <v>1240569.78</v>
      </c>
      <c r="BR45" s="15" t="n">
        <v>708175.4300000001</v>
      </c>
      <c r="BS45" s="15" t="n">
        <v>50086.07</v>
      </c>
      <c r="BT45" s="15" t="n">
        <v>1113315.15</v>
      </c>
      <c r="BU45" s="15" t="n">
        <v>3132827</v>
      </c>
      <c r="BV45" s="15" t="n">
        <v>3840000.11</v>
      </c>
      <c r="BW45" s="15" t="n">
        <v>1370969.6</v>
      </c>
      <c r="BX45" s="15" t="n">
        <v>403578.56</v>
      </c>
      <c r="BY45" s="15" t="n">
        <v>395588.33</v>
      </c>
      <c r="BZ45" s="15" t="n">
        <v>738827.45</v>
      </c>
      <c r="CA45" s="15" t="n">
        <v>1485128.31</v>
      </c>
      <c r="CB45" s="15" t="n">
        <v>3524701.06</v>
      </c>
      <c r="CC45" s="15" t="n">
        <v>2144755.45</v>
      </c>
      <c r="CD45" s="15" t="n">
        <v>734520.91</v>
      </c>
      <c r="CE45" s="15" t="n">
        <v>29376.46</v>
      </c>
      <c r="CF45" s="15" t="n">
        <v>633059.9300000001</v>
      </c>
      <c r="CG45" s="15" t="n">
        <v>232340.78</v>
      </c>
      <c r="CH45" s="15" t="n">
        <v>2301799.4</v>
      </c>
      <c r="CI45" s="15" t="n">
        <v>1988524.45</v>
      </c>
      <c r="CJ45" s="15" t="n">
        <v>1470471.08</v>
      </c>
      <c r="CK45" s="15" t="n">
        <v>143191.63</v>
      </c>
      <c r="CL45" s="15" t="n">
        <v>746706.9399999999</v>
      </c>
      <c r="CM45" s="15" t="n">
        <v>558494.27</v>
      </c>
      <c r="CN45" s="15" t="n">
        <v>2982865.82</v>
      </c>
      <c r="CO45" s="15" t="n">
        <v>1870760.67</v>
      </c>
      <c r="CP45" s="15" t="n">
        <v>588179.52</v>
      </c>
      <c r="CQ45" s="15" t="n">
        <v>251041.56</v>
      </c>
      <c r="CR45" s="15" t="n">
        <v>457372.87</v>
      </c>
      <c r="CS45" s="15" t="n">
        <v>2473735.02</v>
      </c>
      <c r="CT45" s="15" t="n">
        <v>710367.48</v>
      </c>
      <c r="CU45" s="15" t="n">
        <v>1332657.65</v>
      </c>
      <c r="CV45" s="15" t="n">
        <v>866628.5</v>
      </c>
      <c r="CW45" s="15" t="n">
        <v>216042.93</v>
      </c>
      <c r="CX45" s="15" t="n">
        <v>882454.3100000001</v>
      </c>
      <c r="CY45" s="15" t="n">
        <v>1953709.67</v>
      </c>
      <c r="CZ45" s="15" t="n">
        <v>411758.81</v>
      </c>
      <c r="DA45" s="15" t="n">
        <v>1623597.58</v>
      </c>
      <c r="DB45" s="15" t="n">
        <v>1326362.69</v>
      </c>
      <c r="DC45" s="15" t="n">
        <v>239071.75</v>
      </c>
      <c r="DD45" s="15" t="n">
        <v>1146772.7</v>
      </c>
      <c r="DE45" s="15" t="n">
        <v>2667354.6</v>
      </c>
      <c r="DF45" s="15" t="n">
        <v>1484287.08</v>
      </c>
      <c r="DG45" s="15" t="n">
        <v>242157.95</v>
      </c>
      <c r="DH45" s="15" t="n">
        <v>1091058.15</v>
      </c>
      <c r="DI45" s="15" t="n">
        <v>138854.89</v>
      </c>
      <c r="DJ45" s="15" t="n">
        <v>632033.24</v>
      </c>
      <c r="DK45" s="15" t="n">
        <v>2413303.34</v>
      </c>
      <c r="DL45" s="15" t="n">
        <v>2825532.48</v>
      </c>
      <c r="DM45" s="15" t="n">
        <v>697854.1</v>
      </c>
      <c r="DN45" s="15" t="n">
        <v>1340558.05</v>
      </c>
      <c r="DO45" s="15" t="n">
        <v>162284.82</v>
      </c>
      <c r="DP45" s="15" t="n">
        <v>1199691.36</v>
      </c>
    </row>
    <row r="46">
      <c r="A46" s="4" t="inlineStr">
        <is>
          <t>其他产品A</t>
        </is>
      </c>
      <c r="B46" s="15" t="n">
        <v>3993872.18</v>
      </c>
      <c r="C46" s="15" t="n">
        <v>1065378.73</v>
      </c>
      <c r="D46" s="15" t="n">
        <v>1231649.13</v>
      </c>
      <c r="E46" s="15" t="n">
        <v>64596.82</v>
      </c>
      <c r="F46" s="15" t="n">
        <v>961546.3199999999</v>
      </c>
      <c r="G46" s="15" t="n">
        <v>82518.23</v>
      </c>
      <c r="H46" s="15" t="n">
        <v>1090683.94</v>
      </c>
      <c r="I46" s="15" t="n">
        <v>2325993.74</v>
      </c>
      <c r="J46" s="15" t="n">
        <v>285082.03</v>
      </c>
      <c r="K46" s="15" t="n">
        <v>350224.78</v>
      </c>
      <c r="L46" s="15" t="n">
        <v>1170478.78</v>
      </c>
      <c r="M46" s="15" t="n">
        <v>2820096</v>
      </c>
      <c r="N46" s="15" t="n">
        <v>2970662.44</v>
      </c>
      <c r="O46" s="15" t="n">
        <v>931601.4</v>
      </c>
      <c r="P46" s="15" t="n">
        <v>868738.39</v>
      </c>
      <c r="Q46" s="15" t="n">
        <v>137451.62</v>
      </c>
      <c r="R46" s="15" t="n">
        <v>511446.28</v>
      </c>
      <c r="S46" s="15" t="n">
        <v>93276.06</v>
      </c>
      <c r="T46" s="15" t="n">
        <v>350975.84</v>
      </c>
      <c r="U46" s="15" t="n">
        <v>1430793.6</v>
      </c>
      <c r="V46" s="15" t="n">
        <v>1223154.44</v>
      </c>
      <c r="W46" s="15" t="n">
        <v>242853.59</v>
      </c>
      <c r="X46" s="15" t="n">
        <v>311443.85</v>
      </c>
      <c r="Y46" s="15" t="n">
        <v>205282.86</v>
      </c>
      <c r="Z46" s="15" t="n">
        <v>3581697.95</v>
      </c>
      <c r="AA46" s="15" t="n">
        <v>756566.25</v>
      </c>
      <c r="AB46" s="15" t="n">
        <v>731060.22</v>
      </c>
      <c r="AC46" s="15" t="n">
        <v>25047.29</v>
      </c>
      <c r="AD46" s="15" t="n">
        <v>1109313.16</v>
      </c>
      <c r="AE46" s="15" t="n">
        <v>2193563.69</v>
      </c>
      <c r="AF46" s="15" t="n">
        <v>975758.98</v>
      </c>
      <c r="AG46" s="15" t="n">
        <v>1200697.67</v>
      </c>
      <c r="AH46" s="15" t="n">
        <v>1217892.32</v>
      </c>
      <c r="AI46" s="15" t="n">
        <v>381597.67</v>
      </c>
      <c r="AJ46" s="15" t="n">
        <v>1069028.8</v>
      </c>
      <c r="AK46" s="15" t="n">
        <v>2393746.11</v>
      </c>
      <c r="AL46" s="15" t="n">
        <v>3637739.71</v>
      </c>
      <c r="AM46" s="15" t="n">
        <v>1688940.51</v>
      </c>
      <c r="AN46" s="15" t="n">
        <v>106756.46</v>
      </c>
      <c r="AO46" s="15" t="n">
        <v>278947.38</v>
      </c>
      <c r="AP46" s="15" t="n">
        <v>745802.64</v>
      </c>
      <c r="AQ46" s="15" t="n">
        <v>1511032.59</v>
      </c>
      <c r="AR46" s="15" t="n">
        <v>3609211.29</v>
      </c>
      <c r="AS46" s="15" t="n">
        <v>124326.98</v>
      </c>
      <c r="AT46" s="15" t="n">
        <v>1022229.24</v>
      </c>
      <c r="AU46" s="15" t="n">
        <v>102594.88</v>
      </c>
      <c r="AV46" s="15" t="n">
        <v>793432.72</v>
      </c>
      <c r="AW46" s="15" t="n">
        <v>1391649.64</v>
      </c>
      <c r="AX46" s="15" t="n">
        <v>2717849.58</v>
      </c>
      <c r="AY46" s="15" t="n">
        <v>296949.51</v>
      </c>
      <c r="AZ46" s="15" t="n">
        <v>170826.7</v>
      </c>
      <c r="BA46" s="15" t="n">
        <v>268140.07</v>
      </c>
      <c r="BB46" s="15" t="n">
        <v>-142895.48</v>
      </c>
      <c r="BC46" s="15" t="n">
        <v>1592258.36</v>
      </c>
      <c r="BD46" s="15" t="n">
        <v>2502884.87</v>
      </c>
      <c r="BE46" s="15" t="n">
        <v>1934048.83</v>
      </c>
      <c r="BF46" s="15" t="n">
        <v>1197277.38</v>
      </c>
      <c r="BG46" s="15" t="n">
        <v>159053.74</v>
      </c>
      <c r="BH46" s="15" t="n">
        <v>204744.64</v>
      </c>
      <c r="BI46" s="15" t="n">
        <v>1573769.07</v>
      </c>
      <c r="BJ46" s="15" t="n">
        <v>3384684.26</v>
      </c>
      <c r="BK46" s="15" t="n">
        <v>1195295.55</v>
      </c>
      <c r="BL46" s="15" t="n">
        <v>473112.75</v>
      </c>
      <c r="BM46" s="15" t="n">
        <v>78239.42999999999</v>
      </c>
      <c r="BN46" s="15" t="n">
        <v>523859.59</v>
      </c>
      <c r="BO46" s="15" t="n">
        <v>2954104.18</v>
      </c>
      <c r="BP46" s="15" t="n">
        <v>3505976.67</v>
      </c>
      <c r="BQ46" s="15" t="n">
        <v>2092367.86</v>
      </c>
      <c r="BR46" s="15" t="n">
        <v>1220284.64</v>
      </c>
      <c r="BS46" s="15" t="n">
        <v>303741.71</v>
      </c>
      <c r="BT46" s="15" t="n">
        <v>506244.81</v>
      </c>
      <c r="BU46" s="15" t="n">
        <v>2883618.52</v>
      </c>
      <c r="BV46" s="15" t="n">
        <v>1406725.14</v>
      </c>
      <c r="BW46" s="15" t="n">
        <v>260408.56</v>
      </c>
      <c r="BX46" s="15" t="n">
        <v>578410.09</v>
      </c>
      <c r="BY46" s="15" t="n">
        <v>28473.92</v>
      </c>
      <c r="BZ46" s="15" t="n">
        <v>1073886.73</v>
      </c>
      <c r="CA46" s="15" t="n">
        <v>1290996.13</v>
      </c>
      <c r="CB46" s="15" t="n">
        <v>3747304.75</v>
      </c>
      <c r="CC46" s="15" t="n">
        <v>213195.95</v>
      </c>
      <c r="CD46" s="15" t="n">
        <v>583981.01</v>
      </c>
      <c r="CE46" s="15" t="n">
        <v>191493.64</v>
      </c>
      <c r="CF46" s="15" t="n">
        <v>781893.38</v>
      </c>
      <c r="CG46" s="15" t="n">
        <v>1208030.57</v>
      </c>
      <c r="CH46" s="15" t="n">
        <v>1710249.13</v>
      </c>
      <c r="CI46" s="15" t="n">
        <v>1027373.03</v>
      </c>
      <c r="CJ46" s="15" t="n">
        <v>1377613.03</v>
      </c>
      <c r="CK46" s="15" t="n">
        <v>170516.53</v>
      </c>
      <c r="CL46" s="15" t="n">
        <v>1180638.62</v>
      </c>
      <c r="CM46" s="15" t="n">
        <v>2859701.75</v>
      </c>
      <c r="CN46" s="15" t="n">
        <v>3922986.32</v>
      </c>
      <c r="CO46" s="15" t="n">
        <v>1378463.27</v>
      </c>
      <c r="CP46" s="15" t="n">
        <v>682195.23</v>
      </c>
      <c r="CQ46" s="15" t="n">
        <v>300537.41</v>
      </c>
      <c r="CR46" s="15" t="n">
        <v>367693.1</v>
      </c>
      <c r="CS46" s="15" t="n">
        <v>1341393.71</v>
      </c>
      <c r="CT46" s="15" t="n">
        <v>135471.9</v>
      </c>
      <c r="CU46" s="15" t="n">
        <v>1385521.87</v>
      </c>
      <c r="CV46" s="15" t="n">
        <v>602865.39</v>
      </c>
      <c r="CW46" s="15" t="n">
        <v>54812.07</v>
      </c>
      <c r="CX46" s="15" t="n">
        <v>402116.1</v>
      </c>
      <c r="CY46" s="15" t="n">
        <v>2772308.01</v>
      </c>
      <c r="CZ46" s="15" t="n">
        <v>361265.12</v>
      </c>
      <c r="DA46" s="15" t="n">
        <v>534982.09</v>
      </c>
      <c r="DB46" s="15" t="n">
        <v>545406.4</v>
      </c>
      <c r="DC46" s="15" t="n">
        <v>393788.99</v>
      </c>
      <c r="DD46" s="15" t="n">
        <v>94817.16</v>
      </c>
      <c r="DE46" s="15" t="n">
        <v>881865.98</v>
      </c>
      <c r="DF46" s="15" t="n">
        <v>1536084.58</v>
      </c>
      <c r="DG46" s="15" t="n">
        <v>223552.55</v>
      </c>
      <c r="DH46" s="15" t="n">
        <v>251367.66</v>
      </c>
      <c r="DI46" s="15" t="n">
        <v>162811.19</v>
      </c>
      <c r="DJ46" s="15" t="n">
        <v>389563.57</v>
      </c>
      <c r="DK46" s="15" t="n">
        <v>1925087.13</v>
      </c>
      <c r="DL46" s="15" t="n">
        <v>399574.84</v>
      </c>
      <c r="DM46" s="15" t="n">
        <v>389802.85</v>
      </c>
      <c r="DN46" s="15" t="n">
        <v>1139091.99</v>
      </c>
      <c r="DO46" s="15" t="n">
        <v>362187.98</v>
      </c>
      <c r="DP46" s="15" t="n">
        <v>453427.31</v>
      </c>
    </row>
    <row r="47">
      <c r="A47" s="4" t="inlineStr">
        <is>
          <t>其他产品B</t>
        </is>
      </c>
      <c r="B47" s="15" t="n">
        <v>2977176.73</v>
      </c>
      <c r="C47" s="15" t="n">
        <v>781565.41</v>
      </c>
      <c r="D47" s="15" t="n">
        <v>1345778.45</v>
      </c>
      <c r="E47" s="15" t="n">
        <v>282289.79</v>
      </c>
      <c r="F47" s="15" t="n">
        <v>367452.52</v>
      </c>
      <c r="G47" s="15" t="n">
        <v>1588359.67</v>
      </c>
      <c r="H47" s="15" t="n">
        <v>1272356.34</v>
      </c>
      <c r="I47" s="15" t="n">
        <v>1181040.48</v>
      </c>
      <c r="J47" s="15" t="n">
        <v>1209804.21</v>
      </c>
      <c r="K47" s="15" t="n">
        <v>206927.36</v>
      </c>
      <c r="L47" s="15" t="n">
        <v>664863</v>
      </c>
      <c r="M47" s="15" t="n">
        <v>1344593.46</v>
      </c>
      <c r="N47" s="15" t="n">
        <v>856931.95</v>
      </c>
      <c r="O47" s="15" t="n">
        <v>1392529.07</v>
      </c>
      <c r="P47" s="15" t="n">
        <v>1488667.32</v>
      </c>
      <c r="Q47" s="15" t="n">
        <v>30914.41</v>
      </c>
      <c r="R47" s="15" t="n">
        <v>60369.41</v>
      </c>
      <c r="S47" s="15" t="n">
        <v>2030191.94</v>
      </c>
      <c r="T47" s="15" t="n">
        <v>1098693.43</v>
      </c>
      <c r="U47" s="15" t="n">
        <v>529844.12</v>
      </c>
      <c r="V47" s="15" t="n">
        <v>919994.38</v>
      </c>
      <c r="W47" s="15" t="n">
        <v>333665.03</v>
      </c>
      <c r="X47" s="15" t="n">
        <v>89155.33</v>
      </c>
      <c r="Y47" s="15" t="n">
        <v>2453374.13</v>
      </c>
      <c r="Z47" s="15" t="n">
        <v>3269718.14</v>
      </c>
      <c r="AA47" s="15" t="n">
        <v>1769134.07</v>
      </c>
      <c r="AB47" s="15" t="n">
        <v>684378.74</v>
      </c>
      <c r="AC47" s="15" t="n">
        <v>60193.67</v>
      </c>
      <c r="AD47" s="15" t="n">
        <v>-154118.83</v>
      </c>
      <c r="AE47" s="15" t="n">
        <v>441892.34</v>
      </c>
      <c r="AF47" s="15" t="n">
        <v>1972093.26</v>
      </c>
      <c r="AG47" s="15" t="n">
        <v>1001422.04</v>
      </c>
      <c r="AH47" s="15" t="n">
        <v>1468075.5</v>
      </c>
      <c r="AI47" s="15" t="n">
        <v>308331.21</v>
      </c>
      <c r="AJ47" s="15" t="n">
        <v>-9589.09</v>
      </c>
      <c r="AK47" s="15" t="n">
        <v>1288460.93</v>
      </c>
      <c r="AL47" s="15" t="n">
        <v>3894264.23</v>
      </c>
      <c r="AM47" s="15" t="n">
        <v>1819398.91</v>
      </c>
      <c r="AN47" s="15" t="n">
        <v>159315.25</v>
      </c>
      <c r="AO47" s="15" t="n">
        <v>331594.17</v>
      </c>
      <c r="AP47" s="15" t="n">
        <v>1012671.76</v>
      </c>
      <c r="AQ47" s="15" t="n">
        <v>828296.52</v>
      </c>
      <c r="AR47" s="15" t="n">
        <v>3985085.51</v>
      </c>
      <c r="AS47" s="15" t="n">
        <v>1580529.32</v>
      </c>
      <c r="AT47" s="15" t="n">
        <v>1341578.09</v>
      </c>
      <c r="AU47" s="15" t="n">
        <v>150225.74</v>
      </c>
      <c r="AV47" s="15" t="n">
        <v>310421.97</v>
      </c>
      <c r="AW47" s="15" t="n">
        <v>2611385.11</v>
      </c>
      <c r="AX47" s="15" t="n">
        <v>97369.50999999999</v>
      </c>
      <c r="AY47" s="15" t="n">
        <v>1901650.75</v>
      </c>
      <c r="AZ47" s="15" t="n">
        <v>291262.39</v>
      </c>
      <c r="BA47" s="15" t="n">
        <v>12731.77</v>
      </c>
      <c r="BB47" s="15" t="n">
        <v>96445.85000000001</v>
      </c>
      <c r="BC47" s="15" t="n">
        <v>1372272.52</v>
      </c>
      <c r="BD47" s="15" t="n">
        <v>887853.58</v>
      </c>
      <c r="BE47" s="15" t="n">
        <v>1781206.33</v>
      </c>
      <c r="BF47" s="15" t="n">
        <v>792686.05</v>
      </c>
      <c r="BG47" s="15" t="n">
        <v>154495.67</v>
      </c>
      <c r="BH47" s="15" t="n">
        <v>683664.76</v>
      </c>
      <c r="BI47" s="15" t="n">
        <v>971342.92</v>
      </c>
      <c r="BJ47" s="15" t="n">
        <v>3084096.46</v>
      </c>
      <c r="BK47" s="15" t="n">
        <v>1273009.3</v>
      </c>
      <c r="BL47" s="15" t="n">
        <v>1283814.07</v>
      </c>
      <c r="BM47" s="15" t="n">
        <v>8731.93</v>
      </c>
      <c r="BN47" s="15" t="n">
        <v>245237.32</v>
      </c>
      <c r="BO47" s="15" t="n">
        <v>90341.81</v>
      </c>
      <c r="BP47" s="15" t="n">
        <v>3899424.21</v>
      </c>
      <c r="BQ47" s="15" t="n">
        <v>131107.29</v>
      </c>
      <c r="BR47" s="15" t="n">
        <v>1370549.65</v>
      </c>
      <c r="BS47" s="15" t="n">
        <v>70464.13</v>
      </c>
      <c r="BT47" s="15" t="n">
        <v>116405.61</v>
      </c>
      <c r="BU47" s="15" t="n">
        <v>747652.98</v>
      </c>
      <c r="BV47" s="15" t="n">
        <v>579647.08</v>
      </c>
      <c r="BW47" s="15" t="n">
        <v>1851959.15</v>
      </c>
      <c r="BX47" s="15" t="n">
        <v>291797.71</v>
      </c>
      <c r="BY47" s="15" t="n">
        <v>182239.78</v>
      </c>
      <c r="BZ47" s="15" t="n">
        <v>1016227.79</v>
      </c>
      <c r="CA47" s="15" t="n">
        <v>3159101.32</v>
      </c>
      <c r="CB47" s="15" t="n">
        <v>891513.34</v>
      </c>
      <c r="CC47" s="15" t="n">
        <v>1915024.89</v>
      </c>
      <c r="CD47" s="15" t="n">
        <v>217682.39</v>
      </c>
      <c r="CE47" s="15" t="n">
        <v>292053.98</v>
      </c>
      <c r="CF47" s="15" t="n">
        <v>910383.28</v>
      </c>
      <c r="CG47" s="15" t="n">
        <v>2695269.49</v>
      </c>
      <c r="CH47" s="15" t="n">
        <v>396985.27</v>
      </c>
      <c r="CI47" s="15" t="n">
        <v>1357568.53</v>
      </c>
      <c r="CJ47" s="15" t="n">
        <v>1109754.98</v>
      </c>
      <c r="CK47" s="15" t="n">
        <v>67288.78</v>
      </c>
      <c r="CL47" s="15" t="n">
        <v>1152864.8</v>
      </c>
      <c r="CM47" s="15" t="n">
        <v>2681947.25</v>
      </c>
      <c r="CN47" s="15" t="n">
        <v>2196967.7</v>
      </c>
      <c r="CO47" s="15" t="n">
        <v>1663194.44</v>
      </c>
      <c r="CP47" s="15" t="n">
        <v>695959.6899999999</v>
      </c>
      <c r="CQ47" s="15" t="n">
        <v>331116.97</v>
      </c>
      <c r="CR47" s="15" t="n">
        <v>796853.33</v>
      </c>
      <c r="CS47" s="15" t="n">
        <v>1891320.99</v>
      </c>
      <c r="CT47" s="15" t="n">
        <v>2061857.06</v>
      </c>
      <c r="CU47" s="15" t="n">
        <v>2364645.18</v>
      </c>
      <c r="CV47" s="15" t="n">
        <v>1547068.39</v>
      </c>
      <c r="CW47" s="15" t="n">
        <v>267236.01</v>
      </c>
      <c r="CX47" s="15" t="n">
        <v>604567.5</v>
      </c>
      <c r="CY47" s="15" t="n">
        <v>690794.6</v>
      </c>
      <c r="CZ47" s="15" t="n">
        <v>2625796.47</v>
      </c>
      <c r="DA47" s="15" t="n">
        <v>1611199.95</v>
      </c>
      <c r="DB47" s="15" t="n">
        <v>117494.73</v>
      </c>
      <c r="DC47" s="15" t="n">
        <v>48366.09</v>
      </c>
      <c r="DD47" s="15" t="n">
        <v>731971.3199999999</v>
      </c>
      <c r="DE47" s="15" t="n">
        <v>576984.39</v>
      </c>
      <c r="DF47" s="15" t="n">
        <v>3067465.57</v>
      </c>
      <c r="DG47" s="15" t="n">
        <v>1145520.19</v>
      </c>
      <c r="DH47" s="15" t="n">
        <v>1275547.34</v>
      </c>
      <c r="DI47" s="15" t="n">
        <v>19767.85</v>
      </c>
      <c r="DJ47" s="15" t="n">
        <v>1117388.98</v>
      </c>
      <c r="DK47" s="15" t="n">
        <v>2063350.12</v>
      </c>
      <c r="DL47" s="15" t="n">
        <v>1741683.11</v>
      </c>
      <c r="DM47" s="15" t="n">
        <v>972909.78</v>
      </c>
      <c r="DN47" s="15" t="n">
        <v>637376.11</v>
      </c>
      <c r="DO47" s="15" t="n">
        <v>290256.47</v>
      </c>
      <c r="DP47" s="15" t="n">
        <v>678680.12</v>
      </c>
    </row>
    <row r="48">
      <c r="A48" s="4" t="inlineStr">
        <is>
          <t>其他产品C</t>
        </is>
      </c>
      <c r="B48" s="15" t="n">
        <v>1962232.6</v>
      </c>
      <c r="C48" s="15" t="n">
        <v>1240742.1</v>
      </c>
      <c r="D48" s="15" t="n">
        <v>1045669.73</v>
      </c>
      <c r="E48" s="15" t="n">
        <v>70079.24000000001</v>
      </c>
      <c r="F48" s="15" t="n">
        <v>1134253.55</v>
      </c>
      <c r="G48" s="15" t="n">
        <v>1087493.93</v>
      </c>
      <c r="H48" s="15" t="n">
        <v>2100452.59</v>
      </c>
      <c r="I48" s="15" t="n">
        <v>838947.74</v>
      </c>
      <c r="J48" s="15" t="n">
        <v>320911.57</v>
      </c>
      <c r="K48" s="15" t="n">
        <v>391053.68</v>
      </c>
      <c r="L48" s="15" t="n">
        <v>508216.43</v>
      </c>
      <c r="M48" s="15" t="n">
        <v>218442.87</v>
      </c>
      <c r="N48" s="15" t="n">
        <v>758287.6800000001</v>
      </c>
      <c r="O48" s="15" t="n">
        <v>1609777.46</v>
      </c>
      <c r="P48" s="15" t="n">
        <v>456477.67</v>
      </c>
      <c r="Q48" s="15" t="n">
        <v>397324.36</v>
      </c>
      <c r="R48" s="15" t="n">
        <v>972340.04</v>
      </c>
      <c r="S48" s="15" t="n">
        <v>1602420.83</v>
      </c>
      <c r="T48" s="15" t="n">
        <v>937333.97</v>
      </c>
      <c r="U48" s="15" t="n">
        <v>1536679.17</v>
      </c>
      <c r="V48" s="15" t="n">
        <v>329529.65</v>
      </c>
      <c r="W48" s="15" t="n">
        <v>298968.3</v>
      </c>
      <c r="X48" s="15" t="n">
        <v>737804.48</v>
      </c>
      <c r="Y48" s="15" t="n">
        <v>551022.0699999999</v>
      </c>
      <c r="Z48" s="15" t="n">
        <v>1063659.33</v>
      </c>
      <c r="AA48" s="15" t="n">
        <v>854618.1800000001</v>
      </c>
      <c r="AB48" s="15" t="n">
        <v>1355151.76</v>
      </c>
      <c r="AC48" s="15" t="n">
        <v>183699.79</v>
      </c>
      <c r="AD48" s="15" t="n">
        <v>776581.42</v>
      </c>
      <c r="AE48" s="15" t="n">
        <v>1364031.66</v>
      </c>
      <c r="AF48" s="15" t="n">
        <v>3335431.96</v>
      </c>
      <c r="AG48" s="15" t="n">
        <v>1416975.63</v>
      </c>
      <c r="AH48" s="15" t="n">
        <v>558208.9</v>
      </c>
      <c r="AI48" s="15" t="n">
        <v>326810.3</v>
      </c>
      <c r="AJ48" s="15" t="n">
        <v>966533.09</v>
      </c>
      <c r="AK48" s="15" t="n">
        <v>2358239.83</v>
      </c>
      <c r="AL48" s="15" t="n">
        <v>293697.25</v>
      </c>
      <c r="AM48" s="15" t="n">
        <v>995405.24</v>
      </c>
      <c r="AN48" s="15" t="n">
        <v>736363.3</v>
      </c>
      <c r="AO48" s="15" t="n">
        <v>32142.35</v>
      </c>
      <c r="AP48" s="15" t="n">
        <v>913973.47</v>
      </c>
      <c r="AQ48" s="15" t="n">
        <v>458514.02</v>
      </c>
      <c r="AR48" s="15" t="n">
        <v>3443844.24</v>
      </c>
      <c r="AS48" s="15" t="n">
        <v>984135.95</v>
      </c>
      <c r="AT48" s="15" t="n">
        <v>256392.17</v>
      </c>
      <c r="AU48" s="15" t="n">
        <v>340892.38</v>
      </c>
      <c r="AV48" s="15" t="n">
        <v>686716.04</v>
      </c>
      <c r="AW48" s="15" t="n">
        <v>2558635.26</v>
      </c>
      <c r="AX48" s="15" t="n">
        <v>2446239.24</v>
      </c>
      <c r="AY48" s="15" t="n">
        <v>1225169.77</v>
      </c>
      <c r="AZ48" s="15" t="n">
        <v>269398.14</v>
      </c>
      <c r="BA48" s="15" t="n">
        <v>291505.33</v>
      </c>
      <c r="BB48" s="15" t="n">
        <v>1140432.36</v>
      </c>
      <c r="BC48" s="15" t="n">
        <v>810238.98</v>
      </c>
      <c r="BD48" s="15" t="n">
        <v>2050916.98</v>
      </c>
      <c r="BE48" s="15" t="n">
        <v>446072.01</v>
      </c>
      <c r="BF48" s="15" t="n">
        <v>22300.72</v>
      </c>
      <c r="BG48" s="15" t="n">
        <v>287512.47</v>
      </c>
      <c r="BH48" s="15" t="n">
        <v>286088.34</v>
      </c>
      <c r="BI48" s="15" t="n">
        <v>931220.4</v>
      </c>
      <c r="BJ48" s="15" t="n">
        <v>1909875.66</v>
      </c>
      <c r="BK48" s="15" t="n">
        <v>1216124.88</v>
      </c>
      <c r="BL48" s="15" t="n">
        <v>440902.85</v>
      </c>
      <c r="BM48" s="15" t="n">
        <v>42987.43</v>
      </c>
      <c r="BN48" s="15" t="n">
        <v>383943.87</v>
      </c>
      <c r="BO48" s="15" t="n">
        <v>330240.89</v>
      </c>
      <c r="BP48" s="15" t="n">
        <v>3439904.13</v>
      </c>
      <c r="BQ48" s="15" t="n">
        <v>1083970.07</v>
      </c>
      <c r="BR48" s="15" t="n">
        <v>1345205.66</v>
      </c>
      <c r="BS48" s="15" t="n">
        <v>61965.1</v>
      </c>
      <c r="BT48" s="15" t="n">
        <v>1067027.45</v>
      </c>
      <c r="BU48" s="15" t="n">
        <v>586217.63</v>
      </c>
      <c r="BV48" s="15" t="n">
        <v>604800.41</v>
      </c>
      <c r="BW48" s="15" t="n">
        <v>2274594.29</v>
      </c>
      <c r="BX48" s="15" t="n">
        <v>1205384.17</v>
      </c>
      <c r="BY48" s="15" t="n">
        <v>50540.17</v>
      </c>
      <c r="BZ48" s="15" t="n">
        <v>611795.6899999999</v>
      </c>
      <c r="CA48" s="15" t="n">
        <v>1091947.94</v>
      </c>
      <c r="CB48" s="15" t="n">
        <v>1134062.84</v>
      </c>
      <c r="CC48" s="15" t="n">
        <v>2232925.2</v>
      </c>
      <c r="CD48" s="15" t="n">
        <v>1071593.26</v>
      </c>
      <c r="CE48" s="15" t="n">
        <v>17289.59</v>
      </c>
      <c r="CF48" s="15" t="n">
        <v>1006088.49</v>
      </c>
      <c r="CG48" s="15" t="n">
        <v>474942.2</v>
      </c>
      <c r="CH48" s="15" t="n">
        <v>1275291.28</v>
      </c>
      <c r="CI48" s="15" t="n">
        <v>2060963.38</v>
      </c>
      <c r="CJ48" s="15" t="n">
        <v>935355.52</v>
      </c>
      <c r="CK48" s="15" t="n">
        <v>124229.02</v>
      </c>
      <c r="CL48" s="15" t="n">
        <v>752428.03</v>
      </c>
      <c r="CM48" s="15" t="n">
        <v>2399318.82</v>
      </c>
      <c r="CN48" s="15" t="n">
        <v>1083618.79</v>
      </c>
      <c r="CO48" s="15" t="n">
        <v>2066896.69</v>
      </c>
      <c r="CP48" s="15" t="n">
        <v>741501.12</v>
      </c>
      <c r="CQ48" s="15" t="n">
        <v>334793.06</v>
      </c>
      <c r="CR48" s="15" t="n">
        <v>1181982.96</v>
      </c>
      <c r="CS48" s="15" t="n">
        <v>2771751.66</v>
      </c>
      <c r="CT48" s="15" t="n">
        <v>381150.96</v>
      </c>
      <c r="CU48" s="15" t="n">
        <v>2121077.75</v>
      </c>
      <c r="CV48" s="15" t="n">
        <v>1470994.23</v>
      </c>
      <c r="CW48" s="15" t="n">
        <v>218133.85</v>
      </c>
      <c r="CX48" s="15" t="n">
        <v>434223.95</v>
      </c>
      <c r="CY48" s="15" t="n">
        <v>2025047.23</v>
      </c>
      <c r="CZ48" s="15" t="n">
        <v>144506.64</v>
      </c>
      <c r="DA48" s="15" t="n">
        <v>1780955.86</v>
      </c>
      <c r="DB48" s="15" t="n">
        <v>1412440.56</v>
      </c>
      <c r="DC48" s="15" t="n">
        <v>21313.21</v>
      </c>
      <c r="DD48" s="15" t="n">
        <v>1056918.29</v>
      </c>
      <c r="DE48" s="15" t="n">
        <v>2732156.75</v>
      </c>
      <c r="DF48" s="15" t="n">
        <v>2813963.08</v>
      </c>
      <c r="DG48" s="15" t="n">
        <v>1445882.75</v>
      </c>
      <c r="DH48" s="15" t="n">
        <v>1156896.51</v>
      </c>
      <c r="DI48" s="15" t="n">
        <v>299967.2</v>
      </c>
      <c r="DJ48" s="15" t="n">
        <v>541172.92</v>
      </c>
      <c r="DK48" s="15" t="n">
        <v>508205.21</v>
      </c>
      <c r="DL48" s="15" t="n">
        <v>896485.26</v>
      </c>
      <c r="DM48" s="15" t="n">
        <v>1687263.97</v>
      </c>
      <c r="DN48" s="15" t="n">
        <v>1557190.77</v>
      </c>
      <c r="DO48" s="15" t="n">
        <v>315447.07</v>
      </c>
      <c r="DP48" s="15" t="n">
        <v>335847.3</v>
      </c>
    </row>
    <row r="49">
      <c r="A49" s="4" t="inlineStr">
        <is>
          <t>数控机床</t>
        </is>
      </c>
      <c r="B49" s="15" t="n">
        <v>3748413.92</v>
      </c>
      <c r="C49" s="15" t="n">
        <v>1438391.21</v>
      </c>
      <c r="D49" s="15" t="n">
        <v>314218.71</v>
      </c>
      <c r="E49" s="15" t="n">
        <v>324370.08</v>
      </c>
      <c r="F49" s="15" t="n">
        <v>1096208.13</v>
      </c>
      <c r="G49" s="15" t="n">
        <v>1880287.92</v>
      </c>
      <c r="H49" s="15" t="n">
        <v>1196325.76</v>
      </c>
      <c r="I49" s="15" t="n">
        <v>410759.04</v>
      </c>
      <c r="J49" s="15" t="n">
        <v>744124.5600000001</v>
      </c>
      <c r="K49" s="15" t="n">
        <v>170706.8</v>
      </c>
      <c r="L49" s="15" t="n">
        <v>-15736.97</v>
      </c>
      <c r="M49" s="15" t="n">
        <v>2494403.81</v>
      </c>
      <c r="N49" s="15" t="n">
        <v>2711710.59</v>
      </c>
      <c r="O49" s="15" t="n">
        <v>1011761.63</v>
      </c>
      <c r="P49" s="15" t="n">
        <v>1133469.61</v>
      </c>
      <c r="Q49" s="15" t="n">
        <v>201147.26</v>
      </c>
      <c r="R49" s="15" t="n">
        <v>-103440.12</v>
      </c>
      <c r="S49" s="15" t="n">
        <v>2999466.33</v>
      </c>
      <c r="T49" s="15" t="n">
        <v>612383.62</v>
      </c>
      <c r="U49" s="15" t="n">
        <v>1621349.88</v>
      </c>
      <c r="V49" s="15" t="n">
        <v>62043.37</v>
      </c>
      <c r="W49" s="15" t="n">
        <v>344303.18</v>
      </c>
      <c r="X49" s="15" t="n">
        <v>143952.74</v>
      </c>
      <c r="Y49" s="15" t="n">
        <v>2051868.55</v>
      </c>
      <c r="Z49" s="15" t="n">
        <v>921483.3199999999</v>
      </c>
      <c r="AA49" s="15" t="n">
        <v>2258453.18</v>
      </c>
      <c r="AB49" s="15" t="n">
        <v>174713.43</v>
      </c>
      <c r="AC49" s="15" t="n">
        <v>34143.05</v>
      </c>
      <c r="AD49" s="15" t="n">
        <v>-144487.08</v>
      </c>
      <c r="AE49" s="15" t="n">
        <v>2927031.34</v>
      </c>
      <c r="AF49" s="15" t="n">
        <v>2501797.41</v>
      </c>
      <c r="AG49" s="15" t="n">
        <v>979434.4</v>
      </c>
      <c r="AH49" s="15" t="n">
        <v>771149.45</v>
      </c>
      <c r="AI49" s="15" t="n">
        <v>391572.63</v>
      </c>
      <c r="AJ49" s="15" t="n">
        <v>442310.53</v>
      </c>
      <c r="AK49" s="15" t="n">
        <v>3025193.41</v>
      </c>
      <c r="AL49" s="15" t="n">
        <v>861417.03</v>
      </c>
      <c r="AM49" s="15" t="n">
        <v>1091813.53</v>
      </c>
      <c r="AN49" s="15" t="n">
        <v>483657.14</v>
      </c>
      <c r="AO49" s="15" t="n">
        <v>106086.56</v>
      </c>
      <c r="AP49" s="15" t="n">
        <v>144352.75</v>
      </c>
      <c r="AQ49" s="15" t="n">
        <v>2873282.95</v>
      </c>
      <c r="AR49" s="15" t="n">
        <v>1497461.16</v>
      </c>
      <c r="AS49" s="15" t="n">
        <v>1184046.85</v>
      </c>
      <c r="AT49" s="15" t="n">
        <v>744641</v>
      </c>
      <c r="AU49" s="15" t="n">
        <v>47451.06</v>
      </c>
      <c r="AV49" s="15" t="n">
        <v>695340.12</v>
      </c>
      <c r="AW49" s="15" t="n">
        <v>71872.5</v>
      </c>
      <c r="AX49" s="15" t="n">
        <v>1670076.92</v>
      </c>
      <c r="AY49" s="15" t="n">
        <v>2063935.26</v>
      </c>
      <c r="AZ49" s="15" t="n">
        <v>792767.66</v>
      </c>
      <c r="BA49" s="15" t="n">
        <v>120504.93</v>
      </c>
      <c r="BB49" s="15" t="n">
        <v>1012298.57</v>
      </c>
      <c r="BC49" s="15" t="n">
        <v>671715.11</v>
      </c>
      <c r="BD49" s="15" t="n">
        <v>1679510.48</v>
      </c>
      <c r="BE49" s="15" t="n">
        <v>1172999.71</v>
      </c>
      <c r="BF49" s="15" t="n">
        <v>519152.47</v>
      </c>
      <c r="BG49" s="15" t="n">
        <v>161308.64</v>
      </c>
      <c r="BH49" s="15" t="n">
        <v>452804.28</v>
      </c>
      <c r="BI49" s="15" t="n">
        <v>1948850.93</v>
      </c>
      <c r="BJ49" s="15" t="n">
        <v>377507.03</v>
      </c>
      <c r="BK49" s="15" t="n">
        <v>638957.83</v>
      </c>
      <c r="BL49" s="15" t="n">
        <v>961635.85</v>
      </c>
      <c r="BM49" s="15" t="n">
        <v>239414.68</v>
      </c>
      <c r="BN49" s="15" t="n">
        <v>850065.66</v>
      </c>
      <c r="BO49" s="15" t="n">
        <v>1135631.8</v>
      </c>
      <c r="BP49" s="15" t="n">
        <v>3951914.95</v>
      </c>
      <c r="BQ49" s="15" t="n">
        <v>2151312.59</v>
      </c>
      <c r="BR49" s="15" t="n">
        <v>1051623.06</v>
      </c>
      <c r="BS49" s="15" t="n">
        <v>202100.46</v>
      </c>
      <c r="BT49" s="15" t="n">
        <v>1155012.16</v>
      </c>
      <c r="BU49" s="15" t="n">
        <v>2317785.97</v>
      </c>
      <c r="BV49" s="15" t="n">
        <v>276306.73</v>
      </c>
      <c r="BW49" s="15" t="n">
        <v>880106.62</v>
      </c>
      <c r="BX49" s="15" t="n">
        <v>1549480.53</v>
      </c>
      <c r="BY49" s="15" t="n">
        <v>176071.97</v>
      </c>
      <c r="BZ49" s="15" t="n">
        <v>9336.25</v>
      </c>
      <c r="CA49" s="15" t="n">
        <v>2729082.22</v>
      </c>
      <c r="CB49" s="15" t="n">
        <v>1375622.15</v>
      </c>
      <c r="CC49" s="15" t="n">
        <v>2355360.07</v>
      </c>
      <c r="CD49" s="15" t="n">
        <v>232371.91</v>
      </c>
      <c r="CE49" s="15" t="n">
        <v>239200.4</v>
      </c>
      <c r="CF49" s="15" t="n">
        <v>79492.46000000001</v>
      </c>
      <c r="CG49" s="15" t="n">
        <v>2695481.02</v>
      </c>
      <c r="CH49" s="15" t="n">
        <v>1724726.72</v>
      </c>
      <c r="CI49" s="15" t="n">
        <v>791788.45</v>
      </c>
      <c r="CJ49" s="15" t="n">
        <v>1575350.99</v>
      </c>
      <c r="CK49" s="15" t="n">
        <v>312723.19</v>
      </c>
      <c r="CL49" s="15" t="n">
        <v>1056637.21</v>
      </c>
      <c r="CM49" s="15" t="n">
        <v>2216615.27</v>
      </c>
      <c r="CN49" s="15" t="n">
        <v>2289118.44</v>
      </c>
      <c r="CO49" s="15" t="n">
        <v>1260880.76</v>
      </c>
      <c r="CP49" s="15" t="n">
        <v>500474.39</v>
      </c>
      <c r="CQ49" s="15" t="n">
        <v>340971.11</v>
      </c>
      <c r="CR49" s="15" t="n">
        <v>900229.49</v>
      </c>
      <c r="CS49" s="15" t="n">
        <v>1274826.5</v>
      </c>
      <c r="CT49" s="15" t="n">
        <v>3341372.64</v>
      </c>
      <c r="CU49" s="15" t="n">
        <v>1478948.41</v>
      </c>
      <c r="CV49" s="15" t="n">
        <v>755483.6800000001</v>
      </c>
      <c r="CW49" s="15" t="n">
        <v>295459.72</v>
      </c>
      <c r="CX49" s="15" t="n">
        <v>-104395.98</v>
      </c>
      <c r="CY49" s="15" t="n">
        <v>284584.88</v>
      </c>
      <c r="CZ49" s="15" t="n">
        <v>2353235.34</v>
      </c>
      <c r="DA49" s="15" t="n">
        <v>178760.83</v>
      </c>
      <c r="DB49" s="15" t="n">
        <v>1424128.85</v>
      </c>
      <c r="DC49" s="15" t="n">
        <v>21689.48</v>
      </c>
      <c r="DD49" s="15" t="n">
        <v>125103.46</v>
      </c>
      <c r="DE49" s="15" t="n">
        <v>1652283.38</v>
      </c>
      <c r="DF49" s="15" t="n">
        <v>1335285.95</v>
      </c>
      <c r="DG49" s="15" t="n">
        <v>971132.4399999999</v>
      </c>
      <c r="DH49" s="15" t="n">
        <v>1469596.9</v>
      </c>
      <c r="DI49" s="15" t="n">
        <v>285964.83</v>
      </c>
      <c r="DJ49" s="15" t="n">
        <v>697893.63</v>
      </c>
      <c r="DK49" s="15" t="n">
        <v>2348463.47</v>
      </c>
      <c r="DL49" s="15" t="n">
        <v>1189584.4</v>
      </c>
      <c r="DM49" s="15" t="n">
        <v>2034380.06</v>
      </c>
      <c r="DN49" s="15" t="n">
        <v>1209128.16</v>
      </c>
      <c r="DO49" s="15" t="n">
        <v>98935.03</v>
      </c>
      <c r="DP49" s="15" t="n">
        <v>620283</v>
      </c>
    </row>
    <row r="50">
      <c r="A50" s="4" t="inlineStr">
        <is>
          <t>精密轴承</t>
        </is>
      </c>
      <c r="B50" s="15" t="n">
        <v>3880113.73</v>
      </c>
      <c r="C50" s="15" t="n">
        <v>1352118.7</v>
      </c>
      <c r="D50" s="15" t="n">
        <v>453650.34</v>
      </c>
      <c r="E50" s="15" t="n">
        <v>90581.8</v>
      </c>
      <c r="F50" s="15" t="n">
        <v>621152.84</v>
      </c>
      <c r="G50" s="15" t="n">
        <v>1061112.75</v>
      </c>
      <c r="H50" s="15" t="n">
        <v>2334942.25</v>
      </c>
      <c r="I50" s="15" t="n">
        <v>1218851.1</v>
      </c>
      <c r="J50" s="15" t="n">
        <v>845502.46</v>
      </c>
      <c r="K50" s="15" t="n">
        <v>64233.02</v>
      </c>
      <c r="L50" s="15" t="n">
        <v>113533.86</v>
      </c>
      <c r="M50" s="15" t="n">
        <v>105622.04</v>
      </c>
      <c r="N50" s="15" t="n">
        <v>1231668.74</v>
      </c>
      <c r="O50" s="15" t="n">
        <v>2241274.42</v>
      </c>
      <c r="P50" s="15" t="n">
        <v>873837.49</v>
      </c>
      <c r="Q50" s="15" t="n">
        <v>107222.69</v>
      </c>
      <c r="R50" s="15" t="n">
        <v>918412.52</v>
      </c>
      <c r="S50" s="15" t="n">
        <v>613249.75</v>
      </c>
      <c r="T50" s="15" t="n">
        <v>2550614.17</v>
      </c>
      <c r="U50" s="15" t="n">
        <v>291583.95</v>
      </c>
      <c r="V50" s="15" t="n">
        <v>1546896.49</v>
      </c>
      <c r="W50" s="15" t="n">
        <v>236506.44</v>
      </c>
      <c r="X50" s="15" t="n">
        <v>-103084.53</v>
      </c>
      <c r="Y50" s="15" t="n">
        <v>2433863.01</v>
      </c>
      <c r="Z50" s="15" t="n">
        <v>2436561.74</v>
      </c>
      <c r="AA50" s="15" t="n">
        <v>2070294.01</v>
      </c>
      <c r="AB50" s="15" t="n">
        <v>38810.38</v>
      </c>
      <c r="AC50" s="15" t="n">
        <v>123172.29</v>
      </c>
      <c r="AD50" s="15" t="n">
        <v>740090.87</v>
      </c>
      <c r="AE50" s="15" t="n">
        <v>950506.83</v>
      </c>
      <c r="AF50" s="15" t="n">
        <v>3316710.97</v>
      </c>
      <c r="AG50" s="15" t="n">
        <v>785383.87</v>
      </c>
      <c r="AH50" s="15" t="n">
        <v>726393.48</v>
      </c>
      <c r="AI50" s="15" t="n">
        <v>252943.32</v>
      </c>
      <c r="AJ50" s="15" t="n">
        <v>955791.77</v>
      </c>
      <c r="AK50" s="15" t="n">
        <v>177998.05</v>
      </c>
      <c r="AL50" s="15" t="n">
        <v>2758306.31</v>
      </c>
      <c r="AM50" s="15" t="n">
        <v>1836302.37</v>
      </c>
      <c r="AN50" s="15" t="n">
        <v>237003.03</v>
      </c>
      <c r="AO50" s="15" t="n">
        <v>226666.25</v>
      </c>
      <c r="AP50" s="15" t="n">
        <v>805206.35</v>
      </c>
      <c r="AQ50" s="15" t="n">
        <v>2194539.94</v>
      </c>
      <c r="AR50" s="15" t="n">
        <v>3950046.68</v>
      </c>
      <c r="AS50" s="15" t="n">
        <v>963372.27</v>
      </c>
      <c r="AT50" s="15" t="n">
        <v>697446.22</v>
      </c>
      <c r="AU50" s="15" t="n">
        <v>397547.83</v>
      </c>
      <c r="AV50" s="15" t="n">
        <v>366649.84</v>
      </c>
      <c r="AW50" s="15" t="n">
        <v>582439.3199999999</v>
      </c>
      <c r="AX50" s="15" t="n">
        <v>2933418.36</v>
      </c>
      <c r="AY50" s="15" t="n">
        <v>1405665.21</v>
      </c>
      <c r="AZ50" s="15" t="n">
        <v>523167.06</v>
      </c>
      <c r="BA50" s="15" t="n">
        <v>398178.57</v>
      </c>
      <c r="BB50" s="15" t="n">
        <v>-63394.21</v>
      </c>
      <c r="BC50" s="15" t="n">
        <v>697511.25</v>
      </c>
      <c r="BD50" s="15" t="n">
        <v>3800029.94</v>
      </c>
      <c r="BE50" s="15" t="n">
        <v>776514.03</v>
      </c>
      <c r="BF50" s="15" t="n">
        <v>1041902.46</v>
      </c>
      <c r="BG50" s="15" t="n">
        <v>229156.61</v>
      </c>
      <c r="BH50" s="15" t="n">
        <v>952624.41</v>
      </c>
      <c r="BI50" s="15" t="n">
        <v>1539126.13</v>
      </c>
      <c r="BJ50" s="15" t="n">
        <v>934040.5</v>
      </c>
      <c r="BK50" s="15" t="n">
        <v>1132590.7</v>
      </c>
      <c r="BL50" s="15" t="n">
        <v>475671.39</v>
      </c>
      <c r="BM50" s="15" t="n">
        <v>282290.82</v>
      </c>
      <c r="BN50" s="15" t="n">
        <v>104417.17</v>
      </c>
      <c r="BO50" s="15" t="n">
        <v>1719956.71</v>
      </c>
      <c r="BP50" s="15" t="n">
        <v>2081291.11</v>
      </c>
      <c r="BQ50" s="15" t="n">
        <v>1006362.48</v>
      </c>
      <c r="BR50" s="15" t="n">
        <v>271150.64</v>
      </c>
      <c r="BS50" s="15" t="n">
        <v>304441.15</v>
      </c>
      <c r="BT50" s="15" t="n">
        <v>743732.65</v>
      </c>
      <c r="BU50" s="15" t="n">
        <v>2051092.01</v>
      </c>
      <c r="BV50" s="15" t="n">
        <v>3500582.75</v>
      </c>
      <c r="BW50" s="15" t="n">
        <v>1974158.31</v>
      </c>
      <c r="BX50" s="15" t="n">
        <v>1133740.04</v>
      </c>
      <c r="BY50" s="15" t="n">
        <v>78701.33</v>
      </c>
      <c r="BZ50" s="15" t="n">
        <v>862870.35</v>
      </c>
      <c r="CA50" s="15" t="n">
        <v>824027.9399999999</v>
      </c>
      <c r="CB50" s="15" t="n">
        <v>734028.9300000001</v>
      </c>
      <c r="CC50" s="15" t="n">
        <v>58383.73</v>
      </c>
      <c r="CD50" s="15" t="n">
        <v>209894.85</v>
      </c>
      <c r="CE50" s="15" t="n">
        <v>373894.7</v>
      </c>
      <c r="CF50" s="15" t="n">
        <v>600567.01</v>
      </c>
      <c r="CG50" s="15" t="n">
        <v>1791720.91</v>
      </c>
      <c r="CH50" s="15" t="n">
        <v>539501.41</v>
      </c>
      <c r="CI50" s="15" t="n">
        <v>573114.47</v>
      </c>
      <c r="CJ50" s="15" t="n">
        <v>1389521.19</v>
      </c>
      <c r="CK50" s="15" t="n">
        <v>38450.18</v>
      </c>
      <c r="CL50" s="15" t="n">
        <v>479069.4</v>
      </c>
      <c r="CM50" s="15" t="n">
        <v>1365318.83</v>
      </c>
      <c r="CN50" s="15" t="n">
        <v>1417191.22</v>
      </c>
      <c r="CO50" s="15" t="n">
        <v>1998298.02</v>
      </c>
      <c r="CP50" s="15" t="n">
        <v>659090.84</v>
      </c>
      <c r="CQ50" s="15" t="n">
        <v>185309.28</v>
      </c>
      <c r="CR50" s="15" t="n">
        <v>-62792.73</v>
      </c>
      <c r="CS50" s="15" t="n">
        <v>492362.58</v>
      </c>
      <c r="CT50" s="15" t="n">
        <v>2841034.01</v>
      </c>
      <c r="CU50" s="15" t="n">
        <v>2103303.97</v>
      </c>
      <c r="CV50" s="15" t="n">
        <v>1069190.39</v>
      </c>
      <c r="CW50" s="15" t="n">
        <v>224647.33</v>
      </c>
      <c r="CX50" s="15" t="n">
        <v>23292.29</v>
      </c>
      <c r="CY50" s="15" t="n">
        <v>168646.57</v>
      </c>
      <c r="CZ50" s="15" t="n">
        <v>972461.84</v>
      </c>
      <c r="DA50" s="15" t="n">
        <v>2216232.04</v>
      </c>
      <c r="DB50" s="15" t="n">
        <v>856575.09</v>
      </c>
      <c r="DC50" s="15" t="n">
        <v>393165.84</v>
      </c>
      <c r="DD50" s="15" t="n">
        <v>443718.94</v>
      </c>
      <c r="DE50" s="15" t="n">
        <v>2584801.82</v>
      </c>
      <c r="DF50" s="15" t="n">
        <v>1137678.97</v>
      </c>
      <c r="DG50" s="15" t="n">
        <v>888891.04</v>
      </c>
      <c r="DH50" s="15" t="n">
        <v>1004805.27</v>
      </c>
      <c r="DI50" s="15" t="n">
        <v>363993.41</v>
      </c>
      <c r="DJ50" s="15" t="n">
        <v>163988.84</v>
      </c>
      <c r="DK50" s="15" t="n">
        <v>2685572.48</v>
      </c>
      <c r="DL50" s="15" t="n">
        <v>900119.66</v>
      </c>
      <c r="DM50" s="15" t="n">
        <v>78480.91</v>
      </c>
      <c r="DN50" s="15" t="n">
        <v>709643.4</v>
      </c>
      <c r="DO50" s="15" t="n">
        <v>215706.86</v>
      </c>
      <c r="DP50" s="15" t="n">
        <v>-9360.66</v>
      </c>
    </row>
    <row r="51">
      <c r="A51" s="4" t="inlineStr">
        <is>
          <t>液压件</t>
        </is>
      </c>
      <c r="B51" s="15" t="n">
        <v>3497901.44</v>
      </c>
      <c r="C51" s="15" t="n">
        <v>447246.55</v>
      </c>
      <c r="D51" s="15" t="n">
        <v>1219242.49</v>
      </c>
      <c r="E51" s="15" t="n">
        <v>193082.37</v>
      </c>
      <c r="F51" s="15" t="n">
        <v>1103189.06</v>
      </c>
      <c r="G51" s="15" t="n">
        <v>1249423.89</v>
      </c>
      <c r="H51" s="15" t="n">
        <v>1419086.37</v>
      </c>
      <c r="I51" s="15" t="n">
        <v>2118805.73</v>
      </c>
      <c r="J51" s="15" t="n">
        <v>117604.65</v>
      </c>
      <c r="K51" s="15" t="n">
        <v>369984.01</v>
      </c>
      <c r="L51" s="15" t="n">
        <v>223253.32</v>
      </c>
      <c r="M51" s="15" t="n">
        <v>2703030.62</v>
      </c>
      <c r="N51" s="15" t="n">
        <v>1948369.51</v>
      </c>
      <c r="O51" s="15" t="n">
        <v>656612.0600000001</v>
      </c>
      <c r="P51" s="15" t="n">
        <v>591765.54</v>
      </c>
      <c r="Q51" s="15" t="n">
        <v>280198.54</v>
      </c>
      <c r="R51" s="15" t="n">
        <v>260477.9</v>
      </c>
      <c r="S51" s="15" t="n">
        <v>781765.97</v>
      </c>
      <c r="T51" s="15" t="n">
        <v>1477084.77</v>
      </c>
      <c r="U51" s="15" t="n">
        <v>465945.9</v>
      </c>
      <c r="V51" s="15" t="n">
        <v>718349.45</v>
      </c>
      <c r="W51" s="15" t="n">
        <v>125775.76</v>
      </c>
      <c r="X51" s="15" t="n">
        <v>937196.37</v>
      </c>
      <c r="Y51" s="15" t="n">
        <v>2189965.94</v>
      </c>
      <c r="Z51" s="15" t="n">
        <v>3800607.67</v>
      </c>
      <c r="AA51" s="15" t="n">
        <v>1266825.22</v>
      </c>
      <c r="AB51" s="15" t="n">
        <v>247607.06</v>
      </c>
      <c r="AC51" s="15" t="n">
        <v>343579.1</v>
      </c>
      <c r="AD51" s="15" t="n">
        <v>29714.46</v>
      </c>
      <c r="AE51" s="15" t="n">
        <v>1378802.4</v>
      </c>
      <c r="AF51" s="15" t="n">
        <v>3387044.23</v>
      </c>
      <c r="AG51" s="15" t="n">
        <v>1467534.81</v>
      </c>
      <c r="AH51" s="15" t="n">
        <v>1547951.74</v>
      </c>
      <c r="AI51" s="15" t="n">
        <v>285220.89</v>
      </c>
      <c r="AJ51" s="15" t="n">
        <v>950265.89</v>
      </c>
      <c r="AK51" s="15" t="n">
        <v>1209581.8</v>
      </c>
      <c r="AL51" s="15" t="n">
        <v>488575.5</v>
      </c>
      <c r="AM51" s="15" t="n">
        <v>2224756.67</v>
      </c>
      <c r="AN51" s="15" t="n">
        <v>1313192.39</v>
      </c>
      <c r="AO51" s="15" t="n">
        <v>131352.33</v>
      </c>
      <c r="AP51" s="15" t="n">
        <v>428581.63</v>
      </c>
      <c r="AQ51" s="15" t="n">
        <v>2864933.22</v>
      </c>
      <c r="AR51" s="15" t="n">
        <v>3166398.13</v>
      </c>
      <c r="AS51" s="15" t="n">
        <v>1326185.25</v>
      </c>
      <c r="AT51" s="15" t="n">
        <v>561401.1</v>
      </c>
      <c r="AU51" s="15" t="n">
        <v>133348.66</v>
      </c>
      <c r="AV51" s="15" t="n">
        <v>421841.95</v>
      </c>
      <c r="AW51" s="15" t="n">
        <v>2372185.62</v>
      </c>
      <c r="AX51" s="15" t="n">
        <v>2018226.11</v>
      </c>
      <c r="AY51" s="15" t="n">
        <v>135205.61</v>
      </c>
      <c r="AZ51" s="15" t="n">
        <v>599338.61</v>
      </c>
      <c r="BA51" s="15" t="n">
        <v>267119.35</v>
      </c>
      <c r="BB51" s="15" t="n">
        <v>861232.59</v>
      </c>
      <c r="BC51" s="15" t="n">
        <v>2718375.38</v>
      </c>
      <c r="BD51" s="15" t="n">
        <v>2165665.79</v>
      </c>
      <c r="BE51" s="15" t="n">
        <v>2330745.6</v>
      </c>
      <c r="BF51" s="15" t="n">
        <v>878640.28</v>
      </c>
      <c r="BG51" s="15" t="n">
        <v>205569.9</v>
      </c>
      <c r="BH51" s="15" t="n">
        <v>124945.37</v>
      </c>
      <c r="BI51" s="15" t="n">
        <v>276341.4</v>
      </c>
      <c r="BJ51" s="15" t="n">
        <v>2364939.16</v>
      </c>
      <c r="BK51" s="15" t="n">
        <v>657584.03</v>
      </c>
      <c r="BL51" s="15" t="n">
        <v>528599.71</v>
      </c>
      <c r="BM51" s="15" t="n">
        <v>31728.71</v>
      </c>
      <c r="BN51" s="15" t="n">
        <v>872786.95</v>
      </c>
      <c r="BO51" s="15" t="n">
        <v>1067640.04</v>
      </c>
      <c r="BP51" s="15" t="n">
        <v>3816038.12</v>
      </c>
      <c r="BQ51" s="15" t="n">
        <v>169411.75</v>
      </c>
      <c r="BR51" s="15" t="n">
        <v>1476035.97</v>
      </c>
      <c r="BS51" s="15" t="n">
        <v>125284.53</v>
      </c>
      <c r="BT51" s="15" t="n">
        <v>853942.0600000001</v>
      </c>
      <c r="BU51" s="15" t="n">
        <v>1143105.66</v>
      </c>
      <c r="BV51" s="15" t="n">
        <v>874782.05</v>
      </c>
      <c r="BW51" s="15" t="n">
        <v>614937.5699999999</v>
      </c>
      <c r="BX51" s="15" t="n">
        <v>343204.89</v>
      </c>
      <c r="BY51" s="15" t="n">
        <v>219868.21</v>
      </c>
      <c r="BZ51" s="15" t="n">
        <v>44992.63</v>
      </c>
      <c r="CA51" s="15" t="n">
        <v>1006848.79</v>
      </c>
      <c r="CB51" s="15" t="n">
        <v>3888549.61</v>
      </c>
      <c r="CC51" s="15" t="n">
        <v>893698.1</v>
      </c>
      <c r="CD51" s="15" t="n">
        <v>457771.98</v>
      </c>
      <c r="CE51" s="15" t="n">
        <v>133841.14</v>
      </c>
      <c r="CF51" s="15" t="n">
        <v>-87108.71000000001</v>
      </c>
      <c r="CG51" s="15" t="n">
        <v>305880.71</v>
      </c>
      <c r="CH51" s="15" t="n">
        <v>3465215.65</v>
      </c>
      <c r="CI51" s="15" t="n">
        <v>2103153.43</v>
      </c>
      <c r="CJ51" s="15" t="n">
        <v>1160388.31</v>
      </c>
      <c r="CK51" s="15" t="n">
        <v>342466.13</v>
      </c>
      <c r="CL51" s="15" t="n">
        <v>1116451.28</v>
      </c>
      <c r="CM51" s="15" t="n">
        <v>2064667.48</v>
      </c>
      <c r="CN51" s="15" t="n">
        <v>1657519.73</v>
      </c>
      <c r="CO51" s="15" t="n">
        <v>1307294.85</v>
      </c>
      <c r="CP51" s="15" t="n">
        <v>27969.11</v>
      </c>
      <c r="CQ51" s="15" t="n">
        <v>258815.79</v>
      </c>
      <c r="CR51" s="15" t="n">
        <v>933573.7</v>
      </c>
      <c r="CS51" s="15" t="n">
        <v>3079308.79</v>
      </c>
      <c r="CT51" s="15" t="n">
        <v>3981851.3</v>
      </c>
      <c r="CU51" s="15" t="n">
        <v>1786094.16</v>
      </c>
      <c r="CV51" s="15" t="n">
        <v>1454267.22</v>
      </c>
      <c r="CW51" s="15" t="n">
        <v>189883.01</v>
      </c>
      <c r="CX51" s="15" t="n">
        <v>353449.05</v>
      </c>
      <c r="CY51" s="15" t="n">
        <v>2149730.25</v>
      </c>
      <c r="CZ51" s="15" t="n">
        <v>3009968.98</v>
      </c>
      <c r="DA51" s="15" t="n">
        <v>964536.1</v>
      </c>
      <c r="DB51" s="15" t="n">
        <v>270556.37</v>
      </c>
      <c r="DC51" s="15" t="n">
        <v>372431.78</v>
      </c>
      <c r="DD51" s="15" t="n">
        <v>535298.51</v>
      </c>
      <c r="DE51" s="15" t="n">
        <v>2045755.13</v>
      </c>
      <c r="DF51" s="15" t="n">
        <v>2353621.98</v>
      </c>
      <c r="DG51" s="15" t="n">
        <v>1136254.04</v>
      </c>
      <c r="DH51" s="15" t="n">
        <v>1181565.06</v>
      </c>
      <c r="DI51" s="15" t="n">
        <v>196709.4</v>
      </c>
      <c r="DJ51" s="15" t="n">
        <v>823741.12</v>
      </c>
      <c r="DK51" s="15" t="n">
        <v>628051.13</v>
      </c>
      <c r="DL51" s="15" t="n">
        <v>3577688.17</v>
      </c>
      <c r="DM51" s="15" t="n">
        <v>555091.0699999999</v>
      </c>
      <c r="DN51" s="15" t="n">
        <v>759518.41</v>
      </c>
      <c r="DO51" s="15" t="n">
        <v>89974.16</v>
      </c>
      <c r="DP51" s="15" t="n">
        <v>596852.5600000001</v>
      </c>
    </row>
    <row r="52">
      <c r="A52" s="4" t="inlineStr">
        <is>
          <t>气动元件</t>
        </is>
      </c>
      <c r="B52" s="15" t="n">
        <v>2633693.82</v>
      </c>
      <c r="C52" s="15" t="n">
        <v>704464.85</v>
      </c>
      <c r="D52" s="15" t="n">
        <v>903461.95</v>
      </c>
      <c r="E52" s="15" t="n">
        <v>182008.96</v>
      </c>
      <c r="F52" s="15" t="n">
        <v>1023554.88</v>
      </c>
      <c r="G52" s="15" t="n">
        <v>645479.74</v>
      </c>
      <c r="H52" s="15" t="n">
        <v>2144308.96</v>
      </c>
      <c r="I52" s="15" t="n">
        <v>1390515.99</v>
      </c>
      <c r="J52" s="15" t="n">
        <v>1390617.8</v>
      </c>
      <c r="K52" s="15" t="n">
        <v>367858.61</v>
      </c>
      <c r="L52" s="15" t="n">
        <v>923274.67</v>
      </c>
      <c r="M52" s="15" t="n">
        <v>550133.35</v>
      </c>
      <c r="N52" s="15" t="n">
        <v>2917703.72</v>
      </c>
      <c r="O52" s="15" t="n">
        <v>2285745.67</v>
      </c>
      <c r="P52" s="15" t="n">
        <v>158997.82</v>
      </c>
      <c r="Q52" s="15" t="n">
        <v>319320.74</v>
      </c>
      <c r="R52" s="15" t="n">
        <v>1149696.21</v>
      </c>
      <c r="S52" s="15" t="n">
        <v>2990387.21</v>
      </c>
      <c r="T52" s="15" t="n">
        <v>2830655.34</v>
      </c>
      <c r="U52" s="15" t="n">
        <v>376099.12</v>
      </c>
      <c r="V52" s="15" t="n">
        <v>1209809.88</v>
      </c>
      <c r="W52" s="15" t="n">
        <v>8382.74</v>
      </c>
      <c r="X52" s="15" t="n">
        <v>1117090.43</v>
      </c>
      <c r="Y52" s="15" t="n">
        <v>3196410.92</v>
      </c>
      <c r="Z52" s="15" t="n">
        <v>1615689.65</v>
      </c>
      <c r="AA52" s="15" t="n">
        <v>867713.3</v>
      </c>
      <c r="AB52" s="15" t="n">
        <v>1101361.73</v>
      </c>
      <c r="AC52" s="15" t="n">
        <v>106276.69</v>
      </c>
      <c r="AD52" s="15" t="n">
        <v>835988.6</v>
      </c>
      <c r="AE52" s="15" t="n">
        <v>2922263.3</v>
      </c>
      <c r="AF52" s="15" t="n">
        <v>1493280.66</v>
      </c>
      <c r="AG52" s="15" t="n">
        <v>851739.52</v>
      </c>
      <c r="AH52" s="15" t="n">
        <v>456676.34</v>
      </c>
      <c r="AI52" s="15" t="n">
        <v>338578.47</v>
      </c>
      <c r="AJ52" s="15" t="n">
        <v>673565.95</v>
      </c>
      <c r="AK52" s="15" t="n">
        <v>1062181.25</v>
      </c>
      <c r="AL52" s="15" t="n">
        <v>3598360.62</v>
      </c>
      <c r="AM52" s="15" t="n">
        <v>2136145.55</v>
      </c>
      <c r="AN52" s="15" t="n">
        <v>1467479.14</v>
      </c>
      <c r="AO52" s="15" t="n">
        <v>41530.97</v>
      </c>
      <c r="AP52" s="15" t="n">
        <v>881518.73</v>
      </c>
      <c r="AQ52" s="15" t="n">
        <v>224456.45</v>
      </c>
      <c r="AR52" s="15" t="n">
        <v>990390.24</v>
      </c>
      <c r="AS52" s="15" t="n">
        <v>994296.79</v>
      </c>
      <c r="AT52" s="15" t="n">
        <v>60336.28</v>
      </c>
      <c r="AU52" s="15" t="n">
        <v>362594.94</v>
      </c>
      <c r="AV52" s="15" t="n">
        <v>55578.18</v>
      </c>
      <c r="AW52" s="15" t="n">
        <v>536477.86</v>
      </c>
      <c r="AX52" s="15" t="n">
        <v>1941386.3</v>
      </c>
      <c r="AY52" s="15" t="n">
        <v>815653.95</v>
      </c>
      <c r="AZ52" s="15" t="n">
        <v>495579.12</v>
      </c>
      <c r="BA52" s="15" t="n">
        <v>248050.3</v>
      </c>
      <c r="BB52" s="15" t="n">
        <v>259358.31</v>
      </c>
      <c r="BC52" s="15" t="n">
        <v>1465093.27</v>
      </c>
      <c r="BD52" s="15" t="n">
        <v>3268230.82</v>
      </c>
      <c r="BE52" s="15" t="n">
        <v>1333752.71</v>
      </c>
      <c r="BF52" s="15" t="n">
        <v>618400.49</v>
      </c>
      <c r="BG52" s="15" t="n">
        <v>181667.3</v>
      </c>
      <c r="BH52" s="15" t="n">
        <v>420219.97</v>
      </c>
      <c r="BI52" s="15" t="n">
        <v>2551493.32</v>
      </c>
      <c r="BJ52" s="15" t="n">
        <v>2370116.16</v>
      </c>
      <c r="BK52" s="15" t="n">
        <v>1075086.1</v>
      </c>
      <c r="BL52" s="15" t="n">
        <v>236622.25</v>
      </c>
      <c r="BM52" s="15" t="n">
        <v>84321.99000000001</v>
      </c>
      <c r="BN52" s="15" t="n">
        <v>900066.52</v>
      </c>
      <c r="BO52" s="15" t="n">
        <v>2553219.41</v>
      </c>
      <c r="BP52" s="15" t="n">
        <v>313955.66</v>
      </c>
      <c r="BQ52" s="15" t="n">
        <v>1030727.4</v>
      </c>
      <c r="BR52" s="15" t="n">
        <v>1363087.48</v>
      </c>
      <c r="BS52" s="15" t="n">
        <v>167850.94</v>
      </c>
      <c r="BT52" s="15" t="n">
        <v>569295.66</v>
      </c>
      <c r="BU52" s="15" t="n">
        <v>1274291.1</v>
      </c>
      <c r="BV52" s="15" t="n">
        <v>3844829.18</v>
      </c>
      <c r="BW52" s="15" t="n">
        <v>542689.21</v>
      </c>
      <c r="BX52" s="15" t="n">
        <v>710194.26</v>
      </c>
      <c r="BY52" s="15" t="n">
        <v>27811.24</v>
      </c>
      <c r="BZ52" s="15" t="n">
        <v>764913.36</v>
      </c>
      <c r="CA52" s="15" t="n">
        <v>2648081.38</v>
      </c>
      <c r="CB52" s="15" t="n">
        <v>3777170.94</v>
      </c>
      <c r="CC52" s="15" t="n">
        <v>459221.27</v>
      </c>
      <c r="CD52" s="15" t="n">
        <v>48130.99</v>
      </c>
      <c r="CE52" s="15" t="n">
        <v>74639.39999999999</v>
      </c>
      <c r="CF52" s="15" t="n">
        <v>331640.83</v>
      </c>
      <c r="CG52" s="15" t="n">
        <v>1441839.81</v>
      </c>
      <c r="CH52" s="15" t="n">
        <v>2121007.83</v>
      </c>
      <c r="CI52" s="15" t="n">
        <v>1909429.97</v>
      </c>
      <c r="CJ52" s="15" t="n">
        <v>1029554.8</v>
      </c>
      <c r="CK52" s="15" t="n">
        <v>162863.62</v>
      </c>
      <c r="CL52" s="15" t="n">
        <v>1108755.69</v>
      </c>
      <c r="CM52" s="15" t="n">
        <v>2147494.63</v>
      </c>
      <c r="CN52" s="15" t="n">
        <v>1620292.01</v>
      </c>
      <c r="CO52" s="15" t="n">
        <v>231536.23</v>
      </c>
      <c r="CP52" s="15" t="n">
        <v>336534.11</v>
      </c>
      <c r="CQ52" s="15" t="n">
        <v>14446.93</v>
      </c>
      <c r="CR52" s="15" t="n">
        <v>593588.47</v>
      </c>
      <c r="CS52" s="15" t="n">
        <v>1279027.23</v>
      </c>
      <c r="CT52" s="15" t="n">
        <v>484260.99</v>
      </c>
      <c r="CU52" s="15" t="n">
        <v>418904.25</v>
      </c>
      <c r="CV52" s="15" t="n">
        <v>640304.35</v>
      </c>
      <c r="CW52" s="15" t="n">
        <v>357727</v>
      </c>
      <c r="CX52" s="15" t="n">
        <v>539243.34</v>
      </c>
      <c r="CY52" s="15" t="n">
        <v>108786.78</v>
      </c>
      <c r="CZ52" s="15" t="n">
        <v>3783153.83</v>
      </c>
      <c r="DA52" s="15" t="n">
        <v>1696749.01</v>
      </c>
      <c r="DB52" s="15" t="n">
        <v>657877.41</v>
      </c>
      <c r="DC52" s="15" t="n">
        <v>246596.72</v>
      </c>
      <c r="DD52" s="15" t="n">
        <v>541170.6800000001</v>
      </c>
      <c r="DE52" s="15" t="n">
        <v>2603975.8</v>
      </c>
      <c r="DF52" s="15" t="n">
        <v>3148926.75</v>
      </c>
      <c r="DG52" s="15" t="n">
        <v>1617937.2</v>
      </c>
      <c r="DH52" s="15" t="n">
        <v>461559.71</v>
      </c>
      <c r="DI52" s="15" t="n">
        <v>39648.56</v>
      </c>
      <c r="DJ52" s="15" t="n">
        <v>-37185.36</v>
      </c>
      <c r="DK52" s="15" t="n">
        <v>2594797.2</v>
      </c>
      <c r="DL52" s="15" t="n">
        <v>1019005.73</v>
      </c>
      <c r="DM52" s="15" t="n">
        <v>2054805.15</v>
      </c>
      <c r="DN52" s="15" t="n">
        <v>1136465.23</v>
      </c>
      <c r="DO52" s="15" t="n">
        <v>344511.47</v>
      </c>
      <c r="DP52" s="15" t="n">
        <v>764544.52</v>
      </c>
    </row>
    <row r="53">
      <c r="A53" s="4" t="inlineStr">
        <is>
          <t>模具</t>
        </is>
      </c>
      <c r="B53" s="15" t="n">
        <v>976653.08</v>
      </c>
      <c r="C53" s="15" t="n">
        <v>271480.65</v>
      </c>
      <c r="D53" s="15" t="n">
        <v>1145914.11</v>
      </c>
      <c r="E53" s="15" t="n">
        <v>278352.06</v>
      </c>
      <c r="F53" s="15" t="n">
        <v>367937.28</v>
      </c>
      <c r="G53" s="15" t="n">
        <v>800547.58</v>
      </c>
      <c r="H53" s="15" t="n">
        <v>1551354.13</v>
      </c>
      <c r="I53" s="15" t="n">
        <v>468828.55</v>
      </c>
      <c r="J53" s="15" t="n">
        <v>1206752.42</v>
      </c>
      <c r="K53" s="15" t="n">
        <v>64321.51</v>
      </c>
      <c r="L53" s="15" t="n">
        <v>212805.3</v>
      </c>
      <c r="M53" s="15" t="n">
        <v>2689100.95</v>
      </c>
      <c r="N53" s="15" t="n">
        <v>1279626.06</v>
      </c>
      <c r="O53" s="15" t="n">
        <v>730325.29</v>
      </c>
      <c r="P53" s="15" t="n">
        <v>20214.31</v>
      </c>
      <c r="Q53" s="15" t="n">
        <v>257179.1</v>
      </c>
      <c r="R53" s="15" t="n">
        <v>457052.14</v>
      </c>
      <c r="S53" s="15" t="n">
        <v>2929639.46</v>
      </c>
      <c r="T53" s="15" t="n">
        <v>3425863.29</v>
      </c>
      <c r="U53" s="15" t="n">
        <v>937908.53</v>
      </c>
      <c r="V53" s="15" t="n">
        <v>273940.65</v>
      </c>
      <c r="W53" s="15" t="n">
        <v>233375.38</v>
      </c>
      <c r="X53" s="15" t="n">
        <v>-56704.53</v>
      </c>
      <c r="Y53" s="15" t="n">
        <v>2690508.95</v>
      </c>
      <c r="Z53" s="15" t="n">
        <v>2564711.02</v>
      </c>
      <c r="AA53" s="15" t="n">
        <v>1250930.67</v>
      </c>
      <c r="AB53" s="15" t="n">
        <v>850845.15</v>
      </c>
      <c r="AC53" s="15" t="n">
        <v>39281.14</v>
      </c>
      <c r="AD53" s="15" t="n">
        <v>360403.66</v>
      </c>
      <c r="AE53" s="15" t="n">
        <v>3144897.28</v>
      </c>
      <c r="AF53" s="15" t="n">
        <v>1705122.32</v>
      </c>
      <c r="AG53" s="15" t="n">
        <v>150922.29</v>
      </c>
      <c r="AH53" s="15" t="n">
        <v>1061161.77</v>
      </c>
      <c r="AI53" s="15" t="n">
        <v>31572.6</v>
      </c>
      <c r="AJ53" s="15" t="n">
        <v>1018174.89</v>
      </c>
      <c r="AK53" s="15" t="n">
        <v>2858207.92</v>
      </c>
      <c r="AL53" s="15" t="n">
        <v>1241081.43</v>
      </c>
      <c r="AM53" s="15" t="n">
        <v>1438356.13</v>
      </c>
      <c r="AN53" s="15" t="n">
        <v>1025233.38</v>
      </c>
      <c r="AO53" s="15" t="n">
        <v>181341.44</v>
      </c>
      <c r="AP53" s="15" t="n">
        <v>672977.11</v>
      </c>
      <c r="AQ53" s="15" t="n">
        <v>1116129.44</v>
      </c>
      <c r="AR53" s="15" t="n">
        <v>2083560.45</v>
      </c>
      <c r="AS53" s="15" t="n">
        <v>1539644.47</v>
      </c>
      <c r="AT53" s="15" t="n">
        <v>183828.44</v>
      </c>
      <c r="AU53" s="15" t="n">
        <v>330547.98</v>
      </c>
      <c r="AV53" s="15" t="n">
        <v>356439.43</v>
      </c>
      <c r="AW53" s="15" t="n">
        <v>2637551.29</v>
      </c>
      <c r="AX53" s="15" t="n">
        <v>3613976.66</v>
      </c>
      <c r="AY53" s="15" t="n">
        <v>700577.16</v>
      </c>
      <c r="AZ53" s="15" t="n">
        <v>1543615.66</v>
      </c>
      <c r="BA53" s="15" t="n">
        <v>171233.97</v>
      </c>
      <c r="BB53" s="15" t="n">
        <v>692021.63</v>
      </c>
      <c r="BC53" s="15" t="n">
        <v>1775280.46</v>
      </c>
      <c r="BD53" s="15" t="n">
        <v>1208529.78</v>
      </c>
      <c r="BE53" s="15" t="n">
        <v>2368838.86</v>
      </c>
      <c r="BF53" s="15" t="n">
        <v>1399846.36</v>
      </c>
      <c r="BG53" s="15" t="n">
        <v>94572.75999999999</v>
      </c>
      <c r="BH53" s="15" t="n">
        <v>965686.9300000001</v>
      </c>
      <c r="BI53" s="15" t="n">
        <v>2915181.03</v>
      </c>
      <c r="BJ53" s="15" t="n">
        <v>1767848.02</v>
      </c>
      <c r="BK53" s="15" t="n">
        <v>179661.03</v>
      </c>
      <c r="BL53" s="15" t="n">
        <v>297476.63</v>
      </c>
      <c r="BM53" s="15" t="n">
        <v>275851.55</v>
      </c>
      <c r="BN53" s="15" t="n">
        <v>47911.76</v>
      </c>
      <c r="BO53" s="15" t="n">
        <v>727136.53</v>
      </c>
      <c r="BP53" s="15" t="n">
        <v>2137340.8</v>
      </c>
      <c r="BQ53" s="15" t="n">
        <v>506739.14</v>
      </c>
      <c r="BR53" s="15" t="n">
        <v>437465.58</v>
      </c>
      <c r="BS53" s="15" t="n">
        <v>107663.59</v>
      </c>
      <c r="BT53" s="15" t="n">
        <v>976223.64</v>
      </c>
      <c r="BU53" s="15" t="n">
        <v>1509429.51</v>
      </c>
      <c r="BV53" s="15" t="n">
        <v>3216991.31</v>
      </c>
      <c r="BW53" s="15" t="n">
        <v>1558546.36</v>
      </c>
      <c r="BX53" s="15" t="n">
        <v>40253.7</v>
      </c>
      <c r="BY53" s="15" t="n">
        <v>189909.46</v>
      </c>
      <c r="BZ53" s="15" t="n">
        <v>73289.50999999999</v>
      </c>
      <c r="CA53" s="15" t="n">
        <v>1681579.46</v>
      </c>
      <c r="CB53" s="15" t="n">
        <v>173994.62</v>
      </c>
      <c r="CC53" s="15" t="n">
        <v>621612.54</v>
      </c>
      <c r="CD53" s="15" t="n">
        <v>1059506.99</v>
      </c>
      <c r="CE53" s="15" t="n">
        <v>396264.06</v>
      </c>
      <c r="CF53" s="15" t="n">
        <v>708623.8100000001</v>
      </c>
      <c r="CG53" s="15" t="n">
        <v>2412955.19</v>
      </c>
      <c r="CH53" s="15" t="n">
        <v>3374891.46</v>
      </c>
      <c r="CI53" s="15" t="n">
        <v>1068112.04</v>
      </c>
      <c r="CJ53" s="15" t="n">
        <v>165348.9</v>
      </c>
      <c r="CK53" s="15" t="n">
        <v>220028.2</v>
      </c>
      <c r="CL53" s="15" t="n">
        <v>158219.56</v>
      </c>
      <c r="CM53" s="15" t="n">
        <v>761369.01</v>
      </c>
      <c r="CN53" s="15" t="n">
        <v>860865.91</v>
      </c>
      <c r="CO53" s="15" t="n">
        <v>335082.33</v>
      </c>
      <c r="CP53" s="15" t="n">
        <v>1226111.61</v>
      </c>
      <c r="CQ53" s="15" t="n">
        <v>107851.98</v>
      </c>
      <c r="CR53" s="15" t="n">
        <v>621878.97</v>
      </c>
      <c r="CS53" s="15" t="n">
        <v>1057451.53</v>
      </c>
      <c r="CT53" s="15" t="n">
        <v>1081433.34</v>
      </c>
      <c r="CU53" s="15" t="n">
        <v>1954009.81</v>
      </c>
      <c r="CV53" s="15" t="n">
        <v>286396.07</v>
      </c>
      <c r="CW53" s="15" t="n">
        <v>368291.2</v>
      </c>
      <c r="CX53" s="15" t="n">
        <v>1018258.05</v>
      </c>
      <c r="CY53" s="15" t="n">
        <v>2243520.94</v>
      </c>
      <c r="CZ53" s="15" t="n">
        <v>1227410.63</v>
      </c>
      <c r="DA53" s="15" t="n">
        <v>1831843.47</v>
      </c>
      <c r="DB53" s="15" t="n">
        <v>297592.63</v>
      </c>
      <c r="DC53" s="15" t="n">
        <v>10268.33</v>
      </c>
      <c r="DD53" s="15" t="n">
        <v>904883.79</v>
      </c>
      <c r="DE53" s="15" t="n">
        <v>1655975.66</v>
      </c>
      <c r="DF53" s="15" t="n">
        <v>2712176.6</v>
      </c>
      <c r="DG53" s="15" t="n">
        <v>1338952.19</v>
      </c>
      <c r="DH53" s="15" t="n">
        <v>580756.0600000001</v>
      </c>
      <c r="DI53" s="15" t="n">
        <v>264201.58</v>
      </c>
      <c r="DJ53" s="15" t="n">
        <v>-95320.22</v>
      </c>
      <c r="DK53" s="15" t="n">
        <v>1903294.97</v>
      </c>
      <c r="DL53" s="15" t="n">
        <v>3997678.82</v>
      </c>
      <c r="DM53" s="15" t="n">
        <v>881114.01</v>
      </c>
      <c r="DN53" s="15" t="n">
        <v>191289.65</v>
      </c>
      <c r="DO53" s="15" t="n">
        <v>180671.07</v>
      </c>
      <c r="DP53" s="15" t="n">
        <v>373767.39</v>
      </c>
    </row>
  </sheetData>
  <mergeCells count="23">
    <mergeCell ref="B2:G2"/>
    <mergeCell ref="N2:S2"/>
    <mergeCell ref="AX2:BC2"/>
    <mergeCell ref="BD2:BI2"/>
    <mergeCell ref="BP2:BU2"/>
    <mergeCell ref="CZ2:DE2"/>
    <mergeCell ref="BJ2:BO2"/>
    <mergeCell ref="B1:Y1"/>
    <mergeCell ref="H2:M2"/>
    <mergeCell ref="Z2:AE2"/>
    <mergeCell ref="T2:Y2"/>
    <mergeCell ref="AF2:AK2"/>
    <mergeCell ref="BV2:CA2"/>
    <mergeCell ref="CH2:CM2"/>
    <mergeCell ref="AR2:AW2"/>
    <mergeCell ref="CT2:CY2"/>
    <mergeCell ref="Z1:AW1"/>
    <mergeCell ref="DF2:DK2"/>
    <mergeCell ref="AL2:AQ2"/>
    <mergeCell ref="CB2:CG2"/>
    <mergeCell ref="CN2:CS2"/>
    <mergeCell ref="AX1:BU1"/>
    <mergeCell ref="BV1:CS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产品名称</t>
        </is>
      </c>
      <c r="B1" s="2" t="inlineStr">
        <is>
          <t>销售额</t>
        </is>
      </c>
      <c r="C1" s="2" t="inlineStr">
        <is>
          <t>利润率</t>
        </is>
      </c>
      <c r="D1" s="2" t="inlineStr">
        <is>
          <t>备注</t>
        </is>
      </c>
      <c r="E1" s="2" t="inlineStr">
        <is>
          <t>月份数据</t>
        </is>
      </c>
      <c r="F1" s="2" t="inlineStr">
        <is>
          <t>分类评分</t>
        </is>
      </c>
    </row>
    <row r="2">
      <c r="A2" s="4" t="inlineStr">
        <is>
          <t>数控机床</t>
        </is>
      </c>
      <c r="B2" s="15" t="n">
        <v>45593.27</v>
      </c>
      <c r="C2" s="25" t="n">
        <v>0.438</v>
      </c>
      <c r="D2" s="4" t="inlineStr">
        <is>
          <t>超预期</t>
        </is>
      </c>
      <c r="E2" s="3" t="inlineStr">
        <is>
          <t>1月</t>
        </is>
      </c>
      <c r="F2" s="4" t="n">
        <v>76.7</v>
      </c>
    </row>
    <row r="3">
      <c r="A3" s="4" t="inlineStr">
        <is>
          <t>精密轴承</t>
        </is>
      </c>
      <c r="B3" s="15" t="n">
        <v>710973.53</v>
      </c>
      <c r="C3" s="25" t="n">
        <v>0.1637</v>
      </c>
      <c r="D3" s="4" t="inlineStr">
        <is>
          <t>正常</t>
        </is>
      </c>
      <c r="E3" s="3" t="inlineStr">
        <is>
          <t>2月</t>
        </is>
      </c>
      <c r="F3" s="4" t="n">
        <v>94</v>
      </c>
    </row>
    <row r="4">
      <c r="A4" s="4" t="inlineStr">
        <is>
          <t>液压件</t>
        </is>
      </c>
      <c r="B4" s="15" t="n">
        <v>1224419.94</v>
      </c>
      <c r="C4" s="25" t="n">
        <v>0.2252</v>
      </c>
      <c r="D4" s="4" t="inlineStr">
        <is>
          <t>低于预期</t>
        </is>
      </c>
      <c r="E4" s="3" t="inlineStr">
        <is>
          <t>3月</t>
        </is>
      </c>
      <c r="F4" s="4" t="n">
        <v>99.5</v>
      </c>
    </row>
    <row r="5">
      <c r="A5" s="4" t="inlineStr">
        <is>
          <t>气动元件</t>
        </is>
      </c>
      <c r="B5" s="15" t="n">
        <v>251958.8</v>
      </c>
      <c r="C5" s="25" t="n">
        <v>0.3424</v>
      </c>
      <c r="D5" s="4" t="inlineStr">
        <is>
          <t>需关注</t>
        </is>
      </c>
      <c r="E5" s="3" t="inlineStr">
        <is>
          <t>4月</t>
        </is>
      </c>
      <c r="F5" s="4" t="n">
        <v>69.3</v>
      </c>
    </row>
    <row r="6">
      <c r="A6" s="4" t="inlineStr">
        <is>
          <t>模具</t>
        </is>
      </c>
      <c r="B6" s="15" t="n">
        <v>977223.92</v>
      </c>
      <c r="C6" s="25" t="n">
        <v>0.1226</v>
      </c>
      <c r="D6" s="4" t="inlineStr">
        <is>
          <t>低于预期</t>
        </is>
      </c>
      <c r="E6" s="3" t="inlineStr">
        <is>
          <t>5月</t>
        </is>
      </c>
      <c r="F6" s="4" t="n">
        <v>92.7</v>
      </c>
    </row>
    <row r="7">
      <c r="A7" s="4" t="inlineStr">
        <is>
          <t>工装夹具</t>
        </is>
      </c>
      <c r="B7" s="15" t="n">
        <v>1113278.73</v>
      </c>
      <c r="C7" s="4" t="inlineStr">
        <is>
          <t>N/A</t>
        </is>
      </c>
      <c r="D7" s="4" t="inlineStr">
        <is>
          <t>超预期</t>
        </is>
      </c>
      <c r="E7" s="3" t="inlineStr">
        <is>
          <t>6月</t>
        </is>
      </c>
      <c r="F7" s="4" t="n">
        <v>74.59999999999999</v>
      </c>
    </row>
    <row r="8">
      <c r="A8" s="4" t="inlineStr">
        <is>
          <t>数控机床</t>
        </is>
      </c>
      <c r="B8" s="15" t="n">
        <v>1197315.79</v>
      </c>
      <c r="C8" s="25" t="n">
        <v>0.0924</v>
      </c>
      <c r="D8" s="4" t="inlineStr"/>
      <c r="E8" s="3" t="inlineStr">
        <is>
          <t>7月</t>
        </is>
      </c>
      <c r="F8" s="4" t="n">
        <v>84</v>
      </c>
    </row>
    <row r="9">
      <c r="A9" s="4" t="inlineStr">
        <is>
          <t>精密轴承</t>
        </is>
      </c>
      <c r="B9" s="15" t="n">
        <v>1309970.75</v>
      </c>
      <c r="C9" s="25" t="n">
        <v>0.359</v>
      </c>
      <c r="D9" s="4" t="inlineStr">
        <is>
          <t>低于预期</t>
        </is>
      </c>
      <c r="E9" s="3" t="inlineStr">
        <is>
          <t>8月</t>
        </is>
      </c>
      <c r="F9" s="4" t="n">
        <v>82.40000000000001</v>
      </c>
    </row>
    <row r="10">
      <c r="A10" s="4" t="inlineStr">
        <is>
          <t>液压件</t>
        </is>
      </c>
      <c r="B10" s="15" t="n">
        <v>829092.1800000001</v>
      </c>
      <c r="C10" s="25" t="n">
        <v>0.1411</v>
      </c>
      <c r="D10" s="4" t="inlineStr">
        <is>
          <t>正常</t>
        </is>
      </c>
      <c r="E10" s="3" t="inlineStr">
        <is>
          <t>9月</t>
        </is>
      </c>
      <c r="F10" s="4" t="n">
        <v>90.3</v>
      </c>
    </row>
    <row r="11">
      <c r="A11" s="4" t="inlineStr">
        <is>
          <t>气动元件</t>
        </is>
      </c>
      <c r="B11" s="15" t="n">
        <v>1493323.67</v>
      </c>
      <c r="C11" s="25" t="n">
        <v>0.4384</v>
      </c>
      <c r="D11" s="4" t="inlineStr">
        <is>
          <t>低于预期</t>
        </is>
      </c>
      <c r="E11" s="3" t="inlineStr">
        <is>
          <t>10月</t>
        </is>
      </c>
      <c r="F11" s="4" t="n">
        <v>79.3</v>
      </c>
    </row>
    <row r="12">
      <c r="A12" s="4" t="inlineStr">
        <is>
          <t>模具</t>
        </is>
      </c>
      <c r="B12" s="15" t="n">
        <v>653056.01</v>
      </c>
      <c r="C12" s="4" t="inlineStr">
        <is>
          <t>—</t>
        </is>
      </c>
      <c r="D12" s="4" t="inlineStr"/>
      <c r="E12" s="3" t="inlineStr">
        <is>
          <t>11月</t>
        </is>
      </c>
      <c r="F12" s="4" t="n">
        <v>68.40000000000001</v>
      </c>
    </row>
    <row r="13">
      <c r="A13" s="4" t="inlineStr">
        <is>
          <t>工装夹具</t>
        </is>
      </c>
      <c r="B13" s="15" t="n">
        <v>951089.91</v>
      </c>
      <c r="C13" s="25" t="n">
        <v>0.1344</v>
      </c>
      <c r="D13" s="4" t="inlineStr">
        <is>
          <t>促销期</t>
        </is>
      </c>
      <c r="E13" s="3" t="inlineStr">
        <is>
          <t>12月</t>
        </is>
      </c>
      <c r="F13" s="4" t="n">
        <v>90.3</v>
      </c>
    </row>
    <row r="14">
      <c r="A14" s="4" t="inlineStr">
        <is>
          <t>数控机床</t>
        </is>
      </c>
      <c r="B14" s="15" t="n">
        <v>1190308.63</v>
      </c>
      <c r="C14" s="25" t="n">
        <v>0.0282</v>
      </c>
      <c r="D14" s="4" t="inlineStr">
        <is>
          <t>低于预期</t>
        </is>
      </c>
      <c r="E14" s="3" t="inlineStr">
        <is>
          <t>1月</t>
        </is>
      </c>
      <c r="F14" s="4" t="n">
        <v>99.40000000000001</v>
      </c>
    </row>
    <row r="15">
      <c r="A15" s="4" t="inlineStr">
        <is>
          <t>精密轴承</t>
        </is>
      </c>
      <c r="B15" s="15" t="n">
        <v>855469.5</v>
      </c>
      <c r="C15" s="25" t="n">
        <v>0.2954</v>
      </c>
      <c r="D15" s="4" t="inlineStr">
        <is>
          <t>需关注</t>
        </is>
      </c>
      <c r="E15" s="3" t="inlineStr">
        <is>
          <t>2月</t>
        </is>
      </c>
      <c r="F15" s="4" t="n">
        <v>71.5</v>
      </c>
    </row>
    <row r="16">
      <c r="A16" s="4" t="inlineStr">
        <is>
          <t>液压件</t>
        </is>
      </c>
      <c r="B16" s="4" t="inlineStr">
        <is>
          <t>实际净利</t>
        </is>
      </c>
      <c r="C16" s="25" t="n">
        <v>0.1969</v>
      </c>
      <c r="D16" s="4" t="inlineStr">
        <is>
          <t>低于预期</t>
        </is>
      </c>
      <c r="E16" s="3" t="inlineStr">
        <is>
          <t>3月</t>
        </is>
      </c>
      <c r="F16" s="4" t="n">
        <v>93.2</v>
      </c>
    </row>
    <row r="17">
      <c r="A17" s="4" t="inlineStr">
        <is>
          <t>气动元件</t>
        </is>
      </c>
      <c r="B17" s="15" t="n">
        <v>961621.63</v>
      </c>
      <c r="C17" s="25" t="n">
        <v>0.0401</v>
      </c>
      <c r="D17" s="4" t="n"/>
      <c r="E17" s="3" t="inlineStr">
        <is>
          <t>4月</t>
        </is>
      </c>
      <c r="F17" s="4" t="n">
        <v>92.5</v>
      </c>
    </row>
    <row r="18">
      <c r="A18" s="4" t="inlineStr">
        <is>
          <t>模具</t>
        </is>
      </c>
      <c r="B18" s="15" t="n">
        <v>559011.89</v>
      </c>
      <c r="C18" s="25" t="n">
        <v>0.0446</v>
      </c>
      <c r="D18" s="4" t="inlineStr"/>
      <c r="E18" s="3" t="inlineStr">
        <is>
          <t>5月</t>
        </is>
      </c>
      <c r="F18" s="4" t="n">
        <v>97.5</v>
      </c>
    </row>
    <row r="19">
      <c r="A19" s="4" t="inlineStr">
        <is>
          <t>工装夹具</t>
        </is>
      </c>
      <c r="B19" s="15" t="n">
        <v>837405.79</v>
      </c>
      <c r="C19" s="25" t="n">
        <v>0.2331</v>
      </c>
      <c r="D19" s="4" t="inlineStr">
        <is>
          <t>需关注</t>
        </is>
      </c>
      <c r="E19" s="3" t="inlineStr">
        <is>
          <t>6月</t>
        </is>
      </c>
      <c r="F19" s="4" t="n">
        <v>73.40000000000001</v>
      </c>
    </row>
    <row r="20">
      <c r="A20" s="4" t="inlineStr">
        <is>
          <t>数控机床</t>
        </is>
      </c>
      <c r="B20" s="15" t="n">
        <v>83261.57000000001</v>
      </c>
      <c r="C20" s="25" t="n">
        <v>0.1554</v>
      </c>
      <c r="D20" s="4" t="inlineStr">
        <is>
          <t>促销期</t>
        </is>
      </c>
      <c r="E20" s="3" t="inlineStr">
        <is>
          <t>7月</t>
        </is>
      </c>
      <c r="F20" s="4" t="n">
        <v>65</v>
      </c>
    </row>
    <row r="21">
      <c r="A21" s="4" t="inlineStr">
        <is>
          <t>精密轴承</t>
        </is>
      </c>
      <c r="B21" s="15" t="n">
        <v>369789.73</v>
      </c>
      <c r="C21" s="25" t="n">
        <v>0.2299</v>
      </c>
      <c r="D21" s="4" t="inlineStr">
        <is>
          <t>需关注</t>
        </is>
      </c>
      <c r="E21" s="3" t="inlineStr">
        <is>
          <t>8月</t>
        </is>
      </c>
      <c r="F21" s="4" t="n">
        <v>62.4</v>
      </c>
    </row>
    <row r="22">
      <c r="A22" s="4" t="inlineStr">
        <is>
          <t>液压件</t>
        </is>
      </c>
      <c r="B22" s="15" t="n">
        <v>121097.82</v>
      </c>
      <c r="C22" s="4" t="inlineStr">
        <is>
          <t>N/A</t>
        </is>
      </c>
      <c r="D22" s="4" t="inlineStr"/>
      <c r="E22" s="3" t="inlineStr">
        <is>
          <t>9月</t>
        </is>
      </c>
      <c r="F22" s="4" t="n">
        <v>71.59999999999999</v>
      </c>
    </row>
    <row r="23">
      <c r="A23" s="4" t="inlineStr">
        <is>
          <t>气动元件</t>
        </is>
      </c>
      <c r="B23" s="15" t="n">
        <v>774011.64</v>
      </c>
      <c r="C23" s="25" t="n">
        <v>0.3171</v>
      </c>
      <c r="D23" s="4" t="inlineStr">
        <is>
          <t>需关注</t>
        </is>
      </c>
      <c r="E23" s="3" t="inlineStr">
        <is>
          <t>10月</t>
        </is>
      </c>
      <c r="F23" s="4" t="n">
        <v>87.7</v>
      </c>
    </row>
    <row r="24">
      <c r="A24" s="4" t="inlineStr">
        <is>
          <t>模具</t>
        </is>
      </c>
      <c r="B24" s="15" t="n">
        <v>775798.22</v>
      </c>
      <c r="C24" s="25" t="n">
        <v>0.2283</v>
      </c>
      <c r="D24" s="4" t="inlineStr"/>
      <c r="E24" s="3" t="inlineStr">
        <is>
          <t>11月</t>
        </is>
      </c>
      <c r="F24" s="4" t="n">
        <v>94.2</v>
      </c>
    </row>
    <row r="25">
      <c r="A25" s="4" t="inlineStr">
        <is>
          <t>工装夹具</t>
        </is>
      </c>
      <c r="B25" s="15" t="n">
        <v>55421.78</v>
      </c>
      <c r="C25" s="25" t="n">
        <v>0.1062</v>
      </c>
      <c r="D25" s="4" t="inlineStr"/>
      <c r="E25" s="3" t="inlineStr">
        <is>
          <t>12月</t>
        </is>
      </c>
      <c r="F25" s="4" t="n">
        <v>74.3</v>
      </c>
    </row>
    <row r="26">
      <c r="A26" s="4" t="inlineStr">
        <is>
          <t>数控机床</t>
        </is>
      </c>
      <c r="B26" s="15" t="n">
        <v>863482.36</v>
      </c>
      <c r="C26" s="25" t="n">
        <v>0.4026</v>
      </c>
      <c r="D26" s="4" t="inlineStr"/>
      <c r="E26" s="3" t="inlineStr">
        <is>
          <t>1月</t>
        </is>
      </c>
      <c r="F26" s="4" t="n">
        <v>96.59999999999999</v>
      </c>
    </row>
    <row r="27">
      <c r="A27" s="4" t="inlineStr">
        <is>
          <t>精密轴承</t>
        </is>
      </c>
      <c r="B27" s="15" t="n">
        <v>866733.35</v>
      </c>
      <c r="C27" s="25" t="n">
        <v>0.1617</v>
      </c>
      <c r="D27" s="4" t="inlineStr">
        <is>
          <t>新产品</t>
        </is>
      </c>
      <c r="E27" s="3" t="inlineStr">
        <is>
          <t>2月</t>
        </is>
      </c>
      <c r="F27" s="4" t="inlineStr">
        <is>
          <t>优秀</t>
        </is>
      </c>
    </row>
    <row r="28">
      <c r="A28" s="4" t="inlineStr">
        <is>
          <t>液压件</t>
        </is>
      </c>
      <c r="B28" s="15" t="n">
        <v>1216726.83</v>
      </c>
      <c r="C28" s="25" t="n">
        <v>0.2259</v>
      </c>
      <c r="D28" s="4" t="inlineStr"/>
      <c r="E28" s="3" t="inlineStr">
        <is>
          <t>3月</t>
        </is>
      </c>
      <c r="F28" s="4" t="n">
        <v>84</v>
      </c>
    </row>
    <row r="29">
      <c r="A29" s="4" t="inlineStr">
        <is>
          <t>气动元件</t>
        </is>
      </c>
      <c r="B29" s="4" t="inlineStr">
        <is>
          <t>实际净利</t>
        </is>
      </c>
      <c r="C29" s="25" t="n">
        <v>0.1941</v>
      </c>
      <c r="D29" s="4" t="inlineStr">
        <is>
          <t>正常</t>
        </is>
      </c>
      <c r="E29" s="3" t="inlineStr">
        <is>
          <t>4月</t>
        </is>
      </c>
      <c r="F29" s="4" t="n">
        <v>77.7</v>
      </c>
    </row>
    <row r="30">
      <c r="A30" s="4" t="inlineStr">
        <is>
          <t>模具</t>
        </is>
      </c>
      <c r="B30" s="15" t="n">
        <v>381830.21</v>
      </c>
      <c r="C30" s="25" t="n">
        <v>0.1827</v>
      </c>
      <c r="D30" s="4" t="inlineStr">
        <is>
          <t>正常</t>
        </is>
      </c>
      <c r="E30" s="3" t="inlineStr">
        <is>
          <t>5月</t>
        </is>
      </c>
      <c r="F30" s="4" t="n">
        <v>90.7</v>
      </c>
    </row>
    <row r="31">
      <c r="A31" s="4" t="inlineStr">
        <is>
          <t>工装夹具</t>
        </is>
      </c>
      <c r="B31" s="15" t="n">
        <v>1367874.08</v>
      </c>
      <c r="C31" s="25" t="n">
        <v>0.3618</v>
      </c>
      <c r="D31" s="4" t="inlineStr"/>
      <c r="E31" s="3" t="inlineStr">
        <is>
          <t>6月</t>
        </is>
      </c>
      <c r="F31" s="4" t="n">
        <v>64.09999999999999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项目</t>
        </is>
      </c>
      <c r="B1" s="2" t="inlineStr">
        <is>
          <t>1月</t>
        </is>
      </c>
      <c r="C1" s="2" t="inlineStr">
        <is>
          <t>2月</t>
        </is>
      </c>
      <c r="D1" s="2" t="inlineStr">
        <is>
          <t>3月</t>
        </is>
      </c>
      <c r="E1" s="2" t="inlineStr">
        <is>
          <t>4月</t>
        </is>
      </c>
      <c r="F1" s="2" t="inlineStr">
        <is>
          <t>5月</t>
        </is>
      </c>
      <c r="G1" s="2" t="inlineStr">
        <is>
          <t>6月</t>
        </is>
      </c>
      <c r="H1" s="2" t="inlineStr">
        <is>
          <t>7月</t>
        </is>
      </c>
      <c r="I1" s="2" t="inlineStr">
        <is>
          <t>8月</t>
        </is>
      </c>
      <c r="J1" s="2" t="inlineStr">
        <is>
          <t>9月</t>
        </is>
      </c>
      <c r="K1" s="2" t="inlineStr">
        <is>
          <t>10月</t>
        </is>
      </c>
      <c r="L1" s="2" t="inlineStr">
        <is>
          <t>11月</t>
        </is>
      </c>
      <c r="M1" s="2" t="inlineStr">
        <is>
          <t>12月</t>
        </is>
      </c>
      <c r="N1" s="2" t="inlineStr">
        <is>
          <t>合计</t>
        </is>
      </c>
      <c r="O1" s="2" t="inlineStr">
        <is>
          <t>全零列</t>
        </is>
      </c>
    </row>
    <row r="2">
      <c r="A2" s="4" t="inlineStr">
        <is>
          <t>营业收入</t>
        </is>
      </c>
      <c r="B2" s="15" t="n">
        <v>95497.69</v>
      </c>
      <c r="C2" s="15" t="n">
        <v>325047.2</v>
      </c>
      <c r="D2" s="15" t="n">
        <v>83647.3</v>
      </c>
      <c r="E2" s="15" t="n">
        <v>1092346.9</v>
      </c>
      <c r="F2" s="15" t="n">
        <v>1458571.97</v>
      </c>
      <c r="G2" s="15" t="n">
        <v>1242483.98</v>
      </c>
      <c r="H2" s="15" t="n">
        <v>436933.09</v>
      </c>
      <c r="I2" s="15" t="n">
        <v>2029250.05</v>
      </c>
      <c r="J2" s="15" t="n">
        <v>388000.28</v>
      </c>
      <c r="K2" s="15" t="n">
        <v>1317669.9</v>
      </c>
      <c r="L2" s="15" t="n">
        <v>2270351.39</v>
      </c>
      <c r="M2" s="15" t="n">
        <v>1530347.73</v>
      </c>
      <c r="N2" s="16" t="n">
        <v>436078.26</v>
      </c>
      <c r="O2" s="15" t="n">
        <v>0</v>
      </c>
    </row>
    <row r="3">
      <c r="A3" s="4" t="inlineStr">
        <is>
          <t>营业成本</t>
        </is>
      </c>
      <c r="B3" s="15" t="n">
        <v>-158579.95</v>
      </c>
      <c r="C3" s="15" t="n">
        <v>-353595.14</v>
      </c>
      <c r="D3" s="15" t="n">
        <v>-208695.05</v>
      </c>
      <c r="E3" s="15" t="n">
        <v>-755396.61</v>
      </c>
      <c r="F3" s="15" t="n">
        <v>-212618.25</v>
      </c>
      <c r="G3" s="15" t="n">
        <v>-868718.2</v>
      </c>
      <c r="H3" s="15" t="n">
        <v>-369431.12</v>
      </c>
      <c r="I3" s="15" t="n">
        <v>-112770.01</v>
      </c>
      <c r="J3" s="15" t="n">
        <v>-73326.47</v>
      </c>
      <c r="K3" s="15" t="n">
        <v>-173936.68</v>
      </c>
      <c r="L3" s="15" t="n">
        <v>-229632.77</v>
      </c>
      <c r="M3" s="15" t="n">
        <v>-232495.73</v>
      </c>
      <c r="N3" s="16" t="n">
        <v>2971103.04</v>
      </c>
      <c r="O3" s="15" t="n">
        <v>0</v>
      </c>
    </row>
    <row r="4">
      <c r="A4" s="6" t="inlineStr">
        <is>
          <t>毛利</t>
        </is>
      </c>
      <c r="B4" s="15" t="n">
        <v>1210964.55</v>
      </c>
      <c r="C4" s="15" t="n">
        <v>2136462.04</v>
      </c>
      <c r="D4" s="15" t="n">
        <v>443618.32</v>
      </c>
      <c r="E4" s="15" t="n">
        <v>2005516.71</v>
      </c>
      <c r="F4" s="15" t="n">
        <v>2276603.62</v>
      </c>
      <c r="G4" s="15" t="n">
        <v>613686.9300000001</v>
      </c>
      <c r="H4" s="15" t="n">
        <v>1502801.37</v>
      </c>
      <c r="I4" s="15" t="n">
        <v>106503.82</v>
      </c>
      <c r="J4" s="15" t="n">
        <v>2298658.82</v>
      </c>
      <c r="K4" s="15" t="n">
        <v>1849865.26</v>
      </c>
      <c r="L4" s="15" t="n">
        <v>910319.17</v>
      </c>
      <c r="M4" s="15" t="n">
        <v>1470644.16</v>
      </c>
      <c r="N4" s="16" t="n">
        <v>1430934.56</v>
      </c>
      <c r="O4" s="15" t="n">
        <v>0</v>
      </c>
    </row>
    <row r="5">
      <c r="A5" s="4" t="n"/>
    </row>
    <row r="6">
      <c r="A6" s="4" t="inlineStr">
        <is>
          <t>管理费用</t>
        </is>
      </c>
      <c r="B6" s="15" t="n">
        <v>-1180481.25</v>
      </c>
      <c r="C6" s="15" t="n">
        <v>-98607.64999999999</v>
      </c>
      <c r="D6" s="15" t="n">
        <v>-546338.89</v>
      </c>
      <c r="E6" s="15" t="n">
        <v>-723143.5699999999</v>
      </c>
      <c r="F6" s="15" t="n">
        <v>-309756.27</v>
      </c>
      <c r="G6" s="15" t="n">
        <v>-207770.31</v>
      </c>
      <c r="H6" s="15" t="n">
        <v>-146778.7</v>
      </c>
      <c r="I6" s="15" t="n">
        <v>-1012205.95</v>
      </c>
      <c r="J6" s="15" t="n">
        <v>-617338.22</v>
      </c>
      <c r="K6" s="15" t="n">
        <v>-315057.63</v>
      </c>
      <c r="L6" s="15" t="n">
        <v>-914441.0600000001</v>
      </c>
      <c r="M6" s="15" t="n">
        <v>-260076.37</v>
      </c>
      <c r="N6" s="16" t="n">
        <v>6182468.34</v>
      </c>
      <c r="O6" s="15" t="n">
        <v>0</v>
      </c>
    </row>
    <row r="7">
      <c r="A7" s="4" t="inlineStr">
        <is>
          <t>销售费用</t>
        </is>
      </c>
      <c r="B7" s="15" t="n">
        <v>-292934.29</v>
      </c>
      <c r="C7" s="15" t="n">
        <v>-994140.21</v>
      </c>
      <c r="D7" s="15" t="n">
        <v>-75266.19</v>
      </c>
      <c r="E7" s="15" t="n">
        <v>-741035.71</v>
      </c>
      <c r="F7" s="15" t="n">
        <v>-1042954.65</v>
      </c>
      <c r="G7" s="15" t="n">
        <v>-598384.48</v>
      </c>
      <c r="H7" s="15" t="n">
        <v>-628466.85</v>
      </c>
      <c r="I7" s="15" t="n">
        <v>-36699.44</v>
      </c>
      <c r="J7" s="15" t="n">
        <v>-192311.73</v>
      </c>
      <c r="K7" s="15" t="n">
        <v>-861617.7</v>
      </c>
      <c r="L7" s="15" t="n">
        <v>-741110.8199999999</v>
      </c>
      <c r="M7" s="15" t="n">
        <v>-296983.1</v>
      </c>
      <c r="N7" s="16" t="n">
        <v>788956.23</v>
      </c>
      <c r="O7" s="15" t="n">
        <v>0</v>
      </c>
    </row>
    <row r="8">
      <c r="A8" s="4" t="inlineStr">
        <is>
          <t>财务费用</t>
        </is>
      </c>
      <c r="B8" s="15" t="n">
        <v>-238218.98</v>
      </c>
      <c r="C8" s="15" t="n">
        <v>-1164323.17</v>
      </c>
      <c r="D8" s="15" t="n">
        <v>-885867.5</v>
      </c>
      <c r="E8" s="15" t="n">
        <v>-588996.02</v>
      </c>
      <c r="F8" s="15" t="n">
        <v>-262184.02</v>
      </c>
      <c r="G8" s="15" t="n">
        <v>-1524463.04</v>
      </c>
      <c r="H8" s="15" t="n">
        <v>-1419004.3</v>
      </c>
      <c r="I8" s="15" t="n">
        <v>-816663.36</v>
      </c>
      <c r="J8" s="15" t="n">
        <v>-475667.58</v>
      </c>
      <c r="K8" s="15" t="n">
        <v>-143921.5</v>
      </c>
      <c r="L8" s="15" t="n">
        <v>-1152957.9</v>
      </c>
      <c r="M8" s="15" t="n">
        <v>-101800.58</v>
      </c>
      <c r="N8" s="16" t="n">
        <v>3915713.35</v>
      </c>
      <c r="O8" s="15" t="n">
        <v>0</v>
      </c>
    </row>
    <row r="9">
      <c r="A9" s="4" t="n"/>
    </row>
    <row r="10">
      <c r="A10" s="6" t="inlineStr">
        <is>
          <t>营业利润</t>
        </is>
      </c>
      <c r="B10" s="15" t="n">
        <v>617310.21</v>
      </c>
      <c r="C10" s="15" t="n">
        <v>653613.14</v>
      </c>
      <c r="D10" s="15" t="n">
        <v>1850618.23</v>
      </c>
      <c r="E10" s="15" t="n">
        <v>355418.17</v>
      </c>
      <c r="F10" s="15" t="n">
        <v>691761.49</v>
      </c>
      <c r="G10" s="15" t="n">
        <v>2072906.77</v>
      </c>
      <c r="H10" s="15" t="n">
        <v>1099996.61</v>
      </c>
      <c r="I10" s="15" t="n">
        <v>1369761.55</v>
      </c>
      <c r="J10" s="15" t="n">
        <v>1736193.11</v>
      </c>
      <c r="K10" s="15" t="n">
        <v>1122268.74</v>
      </c>
      <c r="L10" s="15" t="n">
        <v>2197951.41</v>
      </c>
      <c r="M10" s="15" t="n">
        <v>2262863.04</v>
      </c>
      <c r="N10" s="16" t="n">
        <v>3326266.99</v>
      </c>
      <c r="O10" s="15" t="n">
        <v>0</v>
      </c>
    </row>
    <row r="11">
      <c r="A11" s="4" t="inlineStr">
        <is>
          <t>所得税</t>
        </is>
      </c>
      <c r="B11" s="15" t="n">
        <v>-1146962.49</v>
      </c>
      <c r="C11" s="15" t="n">
        <v>-198622.19</v>
      </c>
      <c r="D11" s="15" t="n">
        <v>-1603054.52</v>
      </c>
      <c r="E11" s="15" t="n">
        <v>-262880.35</v>
      </c>
      <c r="F11" s="15" t="n">
        <v>-1293454.95</v>
      </c>
      <c r="G11" s="15" t="n">
        <v>-1059121.3</v>
      </c>
      <c r="H11" s="15" t="n">
        <v>-930667.54</v>
      </c>
      <c r="I11" s="15" t="n">
        <v>-232889.17</v>
      </c>
      <c r="J11" s="15" t="n">
        <v>-237906.21</v>
      </c>
      <c r="K11" s="15" t="n">
        <v>-250302.04</v>
      </c>
      <c r="L11" s="15" t="n">
        <v>-222491.46</v>
      </c>
      <c r="M11" s="15" t="n">
        <v>-972644.2</v>
      </c>
      <c r="N11" s="16" t="n">
        <v>4657970.99</v>
      </c>
      <c r="O11" s="15" t="n">
        <v>0</v>
      </c>
    </row>
    <row r="12">
      <c r="A12" s="6" t="inlineStr">
        <is>
          <t>净利润</t>
        </is>
      </c>
      <c r="B12" s="15" t="n">
        <v>856584.14</v>
      </c>
      <c r="C12" s="15" t="n">
        <v>933550.89</v>
      </c>
      <c r="D12" s="15" t="n">
        <v>1159262.47</v>
      </c>
      <c r="E12" s="15" t="n">
        <v>606430.5699999999</v>
      </c>
      <c r="F12" s="15" t="n">
        <v>1718284.86</v>
      </c>
      <c r="G12" s="15" t="n">
        <v>725192.6899999999</v>
      </c>
      <c r="H12" s="15" t="n">
        <v>1137300.85</v>
      </c>
      <c r="I12" s="15" t="n">
        <v>1045879.14</v>
      </c>
      <c r="J12" s="15" t="n">
        <v>367630.41</v>
      </c>
      <c r="K12" s="15" t="n">
        <v>824406.61</v>
      </c>
      <c r="L12" s="15" t="n">
        <v>1391926.21</v>
      </c>
      <c r="M12" s="15" t="n">
        <v>2332587.35</v>
      </c>
      <c r="N12" s="16" t="n">
        <v>565669.0699999999</v>
      </c>
      <c r="O12" s="15" t="n">
        <v>0</v>
      </c>
    </row>
    <row r="13">
      <c r="A13" s="4" t="n"/>
    </row>
    <row r="14">
      <c r="A14" s="4">
        <f>SUM模拟(None)</f>
        <v/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6" t="n"/>
      <c r="O14" s="15" t="n">
        <v>0</v>
      </c>
    </row>
    <row r="15">
      <c r="A15" s="4">
        <f>VLOOKUP模拟(None)</f>
        <v/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6" t="n"/>
      <c r="O15" s="15" t="n">
        <v>0</v>
      </c>
    </row>
    <row r="16">
      <c r="A16" s="4" t="inlineStr">
        <is>
          <t>正常数据</t>
        </is>
      </c>
      <c r="B16" s="15" t="n">
        <v>1986066.62</v>
      </c>
      <c r="C16" s="15" t="n">
        <v>1089680.65</v>
      </c>
      <c r="D16" s="15" t="n">
        <v>1523628.29</v>
      </c>
      <c r="E16" s="15" t="n">
        <v>672646.85</v>
      </c>
      <c r="F16" s="15" t="n">
        <v>1350052.91</v>
      </c>
      <c r="G16" s="15" t="n">
        <v>2218961.14</v>
      </c>
      <c r="H16" s="15" t="n">
        <v>301509.19</v>
      </c>
      <c r="I16" s="15" t="n">
        <v>1819383.73</v>
      </c>
      <c r="J16" s="15" t="n">
        <v>85258.38</v>
      </c>
      <c r="K16" s="15" t="n">
        <v>217134.82</v>
      </c>
      <c r="L16" s="15" t="n">
        <v>1783425.01</v>
      </c>
      <c r="M16" s="15" t="n">
        <v>164005.45</v>
      </c>
      <c r="N16" s="16" t="n">
        <v>3778676.57</v>
      </c>
      <c r="O16" s="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6" t="inlineStr">
        <is>
          <t>区域/产品</t>
        </is>
      </c>
      <c r="B1" s="2" t="inlineStr">
        <is>
          <t>2024年</t>
        </is>
      </c>
      <c r="J1" s="2" t="inlineStr">
        <is>
          <t>2025年</t>
        </is>
      </c>
      <c r="R1" s="2" t="inlineStr">
        <is>
          <t>同比变化</t>
        </is>
      </c>
    </row>
    <row r="2">
      <c r="B2" s="2" t="inlineStr">
        <is>
          <t>上半年</t>
        </is>
      </c>
      <c r="F2" s="2" t="inlineStr">
        <is>
          <t>下半年</t>
        </is>
      </c>
      <c r="J2" s="2" t="inlineStr">
        <is>
          <t>上半年</t>
        </is>
      </c>
      <c r="N2" s="2" t="inlineStr">
        <is>
          <t>下半年</t>
        </is>
      </c>
    </row>
    <row r="3"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毛利率</t>
        </is>
      </c>
      <c r="F3" s="2" t="inlineStr">
        <is>
          <t>收入</t>
        </is>
      </c>
      <c r="G3" s="2" t="inlineStr">
        <is>
          <t>成本</t>
        </is>
      </c>
      <c r="H3" s="2" t="inlineStr">
        <is>
          <t>毛利</t>
        </is>
      </c>
      <c r="I3" s="2" t="inlineStr">
        <is>
          <t>毛利率</t>
        </is>
      </c>
      <c r="J3" s="2" t="inlineStr">
        <is>
          <t>收入</t>
        </is>
      </c>
      <c r="K3" s="2" t="inlineStr">
        <is>
          <t>成本</t>
        </is>
      </c>
      <c r="L3" s="2" t="inlineStr">
        <is>
          <t>毛利</t>
        </is>
      </c>
      <c r="M3" s="2" t="inlineStr">
        <is>
          <t>毛利率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毛利率</t>
        </is>
      </c>
      <c r="R3" s="2" t="inlineStr">
        <is>
          <t>收入增长率</t>
        </is>
      </c>
      <c r="S3" s="2" t="inlineStr">
        <is>
          <t>利润增长率</t>
        </is>
      </c>
    </row>
    <row r="4">
      <c r="A4" s="4" t="inlineStr">
        <is>
          <t>数控机床</t>
        </is>
      </c>
      <c r="B4" s="15" t="n">
        <v>1595510.28</v>
      </c>
      <c r="C4" s="15" t="n">
        <v>982894.88</v>
      </c>
      <c r="D4" s="15" t="n">
        <v>465241.46</v>
      </c>
      <c r="E4" s="25" t="n">
        <v>0.2385</v>
      </c>
      <c r="F4" s="15" t="n">
        <v>495803.41</v>
      </c>
      <c r="G4" s="15" t="n">
        <v>364309.51</v>
      </c>
      <c r="H4" s="15" t="n">
        <v>149470.78</v>
      </c>
      <c r="I4" s="25" t="n">
        <v>0.2647</v>
      </c>
      <c r="J4" s="15" t="n">
        <v>1889667.37</v>
      </c>
      <c r="K4" s="15" t="n">
        <v>1261802.85</v>
      </c>
      <c r="L4" s="15" t="n">
        <v>666892.5699999999</v>
      </c>
      <c r="M4" s="25" t="n">
        <v>0.4057</v>
      </c>
      <c r="N4" s="15" t="n">
        <v>580234.84</v>
      </c>
      <c r="O4" s="15" t="n">
        <v>388665.42</v>
      </c>
      <c r="P4" s="15" t="n">
        <v>157112.57</v>
      </c>
      <c r="Q4" s="25" t="n">
        <v>0.2937</v>
      </c>
      <c r="R4" s="27" t="n">
        <v>0.181</v>
      </c>
      <c r="S4" s="27" t="n">
        <v>0.3376</v>
      </c>
    </row>
    <row r="5">
      <c r="A5" s="4" t="inlineStr">
        <is>
          <t>精密轴承</t>
        </is>
      </c>
      <c r="B5" s="15" t="n">
        <v>2304754.18</v>
      </c>
      <c r="C5" s="15" t="n">
        <v>1707707.44</v>
      </c>
      <c r="D5" s="15" t="n">
        <v>813894</v>
      </c>
      <c r="E5" s="25" t="n">
        <v>0.2167</v>
      </c>
      <c r="F5" s="15" t="n">
        <v>1588068.29</v>
      </c>
      <c r="G5" s="15" t="n">
        <v>892443</v>
      </c>
      <c r="H5" s="15" t="n">
        <v>492030.7</v>
      </c>
      <c r="I5" s="25" t="n">
        <v>0.2469</v>
      </c>
      <c r="J5" s="15" t="n">
        <v>2688223.83</v>
      </c>
      <c r="K5" s="15" t="n">
        <v>1794104.03</v>
      </c>
      <c r="L5" s="15" t="n">
        <v>835576.34</v>
      </c>
      <c r="M5" s="25" t="n">
        <v>0.2887</v>
      </c>
      <c r="N5" s="15" t="n">
        <v>1715345.79</v>
      </c>
      <c r="O5" s="15" t="n">
        <v>1188373.39</v>
      </c>
      <c r="P5" s="15" t="n">
        <v>752987.61</v>
      </c>
      <c r="Q5" s="25" t="n">
        <v>0.3075</v>
      </c>
      <c r="R5" s="27" t="n">
        <v>0.1312</v>
      </c>
      <c r="S5" s="27" t="n">
        <v>0.3453</v>
      </c>
    </row>
    <row r="6">
      <c r="A6" s="4" t="inlineStr">
        <is>
          <t>液压件</t>
        </is>
      </c>
      <c r="B6" s="15" t="n">
        <v>1746347.33</v>
      </c>
      <c r="C6" s="15" t="n">
        <v>995279.1800000001</v>
      </c>
      <c r="D6" s="15" t="n">
        <v>547627.51</v>
      </c>
      <c r="E6" s="25" t="n">
        <v>0.4117</v>
      </c>
      <c r="F6" s="15" t="n">
        <v>2689623.01</v>
      </c>
      <c r="G6" s="15" t="n">
        <v>1729345.95</v>
      </c>
      <c r="H6" s="15" t="n">
        <v>1130900.7</v>
      </c>
      <c r="I6" s="25" t="n">
        <v>0.3941</v>
      </c>
      <c r="J6" s="15" t="n">
        <v>1414559.32</v>
      </c>
      <c r="K6" s="15" t="n">
        <v>778176.74</v>
      </c>
      <c r="L6" s="15" t="n">
        <v>605290.16</v>
      </c>
      <c r="M6" s="25" t="n">
        <v>0.2389</v>
      </c>
      <c r="N6" s="15" t="n">
        <v>3434771.11</v>
      </c>
      <c r="O6" s="15" t="n">
        <v>2196797.54</v>
      </c>
      <c r="P6" s="15" t="n">
        <v>863582.49</v>
      </c>
      <c r="Q6" s="25" t="n">
        <v>0.3837</v>
      </c>
      <c r="R6" s="27" t="n">
        <v>0.09320000000000001</v>
      </c>
      <c r="S6" s="27" t="n">
        <v>0.075</v>
      </c>
    </row>
    <row r="7">
      <c r="A7" s="4" t="inlineStr">
        <is>
          <t>气动元件</t>
        </is>
      </c>
      <c r="B7" s="15" t="n">
        <v>1683580.39</v>
      </c>
      <c r="C7" s="15" t="n">
        <v>1063080.78</v>
      </c>
      <c r="D7" s="15" t="n">
        <v>623719.64</v>
      </c>
      <c r="E7" s="25" t="n">
        <v>0.4332</v>
      </c>
      <c r="F7" s="15" t="n">
        <v>3012438.6</v>
      </c>
      <c r="G7" s="15" t="n">
        <v>1758029.04</v>
      </c>
      <c r="H7" s="15" t="n">
        <v>823102.35</v>
      </c>
      <c r="I7" s="25" t="n">
        <v>0.2087</v>
      </c>
      <c r="J7" s="15" t="n">
        <v>1479264.58</v>
      </c>
      <c r="K7" s="15" t="n">
        <v>1032006.74</v>
      </c>
      <c r="L7" s="15" t="n">
        <v>573359.76</v>
      </c>
      <c r="M7" s="25" t="n">
        <v>0.4377</v>
      </c>
      <c r="N7" s="15" t="n">
        <v>2727249.87</v>
      </c>
      <c r="O7" s="15" t="n">
        <v>1716131.1</v>
      </c>
      <c r="P7" s="15" t="n">
        <v>690529.27</v>
      </c>
      <c r="Q7" s="25" t="n">
        <v>0.258</v>
      </c>
      <c r="R7" s="27" t="n">
        <v>-0.1042</v>
      </c>
      <c r="S7" s="27" t="n">
        <v>-0.2466</v>
      </c>
    </row>
    <row r="8">
      <c r="A8" s="4" t="inlineStr">
        <is>
          <t>模具</t>
        </is>
      </c>
      <c r="B8" s="15" t="n">
        <v>1901441.8</v>
      </c>
      <c r="C8" s="15" t="n">
        <v>1167588.88</v>
      </c>
      <c r="D8" s="15" t="n">
        <v>553114.52</v>
      </c>
      <c r="E8" s="25" t="n">
        <v>0.2877</v>
      </c>
      <c r="F8" s="15" t="n">
        <v>1366518.19</v>
      </c>
      <c r="G8" s="15" t="n">
        <v>932819.09</v>
      </c>
      <c r="H8" s="15" t="n">
        <v>564431.26</v>
      </c>
      <c r="I8" s="25" t="n">
        <v>0.4276</v>
      </c>
      <c r="J8" s="15" t="n">
        <v>2461254.18</v>
      </c>
      <c r="K8" s="15" t="n">
        <v>1470628</v>
      </c>
      <c r="L8" s="15" t="n">
        <v>1093037.22</v>
      </c>
      <c r="M8" s="25" t="n">
        <v>0.356</v>
      </c>
      <c r="N8" s="15" t="n">
        <v>1232711.73</v>
      </c>
      <c r="O8" s="15" t="n">
        <v>922240.38</v>
      </c>
      <c r="P8" s="15" t="n">
        <v>498894.44</v>
      </c>
      <c r="Q8" s="25" t="n">
        <v>0.4163</v>
      </c>
      <c r="R8" s="27" t="n">
        <v>0.1304</v>
      </c>
      <c r="S8" s="27" t="n">
        <v>-0.1762</v>
      </c>
    </row>
    <row r="9">
      <c r="A9" s="4" t="inlineStr">
        <is>
          <t>工装夹具</t>
        </is>
      </c>
      <c r="B9" s="15" t="n">
        <v>2698653.22</v>
      </c>
      <c r="C9" s="15" t="n">
        <v>1634056.64</v>
      </c>
      <c r="D9" s="15" t="n">
        <v>1033616.55</v>
      </c>
      <c r="E9" s="25" t="n">
        <v>0.3753</v>
      </c>
      <c r="F9" s="15" t="n">
        <v>1683500.91</v>
      </c>
      <c r="G9" s="15" t="n">
        <v>1244123.19</v>
      </c>
      <c r="H9" s="15" t="n">
        <v>589030.34</v>
      </c>
      <c r="I9" s="25" t="n">
        <v>0.3086</v>
      </c>
      <c r="J9" s="15" t="n">
        <v>2596538.66</v>
      </c>
      <c r="K9" s="15" t="n">
        <v>1466150.42</v>
      </c>
      <c r="L9" s="15" t="n">
        <v>882745.4</v>
      </c>
      <c r="M9" s="25" t="n">
        <v>0.203</v>
      </c>
      <c r="N9" s="15" t="n">
        <v>2164674.77</v>
      </c>
      <c r="O9" s="15" t="n">
        <v>1430425.98</v>
      </c>
      <c r="P9" s="15" t="n">
        <v>944758.47</v>
      </c>
      <c r="Q9" s="25" t="n">
        <v>0.444</v>
      </c>
      <c r="R9" s="27" t="n">
        <v>0.08649999999999999</v>
      </c>
      <c r="S9" s="27" t="n">
        <v>0.1154</v>
      </c>
    </row>
    <row r="10">
      <c r="A10" s="4" t="inlineStr">
        <is>
          <t>江苏区域</t>
        </is>
      </c>
      <c r="B10" s="15" t="n">
        <v>3257928.25</v>
      </c>
      <c r="C10" s="15" t="n">
        <v>2438822.08</v>
      </c>
      <c r="D10" s="15" t="n">
        <v>1239458.86</v>
      </c>
      <c r="E10" s="25" t="n">
        <v>0.2913</v>
      </c>
      <c r="F10" s="15" t="n">
        <v>2713845.73</v>
      </c>
      <c r="G10" s="15" t="n">
        <v>1762765.44</v>
      </c>
      <c r="H10" s="15" t="n">
        <v>1023570.28</v>
      </c>
      <c r="I10" s="25" t="n">
        <v>0.4392</v>
      </c>
      <c r="J10" s="15" t="n">
        <v>3670899.84</v>
      </c>
      <c r="K10" s="15" t="n">
        <v>2476311.56</v>
      </c>
      <c r="L10" s="15" t="n">
        <v>1377702.24</v>
      </c>
      <c r="M10" s="25" t="n">
        <v>0.3405</v>
      </c>
      <c r="N10" s="15" t="n">
        <v>2352067.16</v>
      </c>
      <c r="O10" s="15" t="n">
        <v>1543709.95</v>
      </c>
      <c r="P10" s="15" t="n">
        <v>640005.17</v>
      </c>
      <c r="Q10" s="25" t="n">
        <v>0.2667</v>
      </c>
      <c r="R10" s="27" t="n">
        <v>0.0086</v>
      </c>
      <c r="S10" s="27" t="n">
        <v>-0.2259</v>
      </c>
    </row>
    <row r="11">
      <c r="A11" s="4" t="inlineStr">
        <is>
          <t>浙江区域</t>
        </is>
      </c>
      <c r="B11" s="15" t="n">
        <v>2703667</v>
      </c>
      <c r="C11" s="15" t="n">
        <v>1588180.66</v>
      </c>
      <c r="D11" s="15" t="n">
        <v>856785.54</v>
      </c>
      <c r="E11" s="25" t="n">
        <v>0.2157</v>
      </c>
      <c r="F11" s="15" t="n">
        <v>2943648.54</v>
      </c>
      <c r="G11" s="15" t="n">
        <v>1670457.26</v>
      </c>
      <c r="H11" s="15" t="n">
        <v>853458.8199999999</v>
      </c>
      <c r="I11" s="25" t="n">
        <v>0.4379</v>
      </c>
      <c r="J11" s="15" t="n">
        <v>3423893.48</v>
      </c>
      <c r="K11" s="15" t="n">
        <v>2480648.96</v>
      </c>
      <c r="L11" s="15" t="n">
        <v>1234836.82</v>
      </c>
      <c r="M11" s="25" t="n">
        <v>0.438</v>
      </c>
      <c r="N11" s="15" t="n">
        <v>2942424</v>
      </c>
      <c r="O11" s="15" t="n">
        <v>1662796.92</v>
      </c>
      <c r="P11" s="15" t="n">
        <v>979809.41</v>
      </c>
      <c r="Q11" s="25" t="n">
        <v>0.3187</v>
      </c>
      <c r="R11" s="27" t="n">
        <v>0.1273</v>
      </c>
      <c r="S11" s="27" t="n">
        <v>0.1168</v>
      </c>
    </row>
    <row r="12">
      <c r="A12" s="4" t="inlineStr">
        <is>
          <t>广东区域</t>
        </is>
      </c>
      <c r="B12" s="15" t="n">
        <v>2139162.48</v>
      </c>
      <c r="C12" s="15" t="n">
        <v>1354892.84</v>
      </c>
      <c r="D12" s="15" t="n">
        <v>924469.16</v>
      </c>
      <c r="E12" s="25" t="n">
        <v>0.2693</v>
      </c>
      <c r="F12" s="15" t="n">
        <v>2796002.84</v>
      </c>
      <c r="G12" s="15" t="n">
        <v>1748456.34</v>
      </c>
      <c r="H12" s="15" t="n">
        <v>1079344.54</v>
      </c>
      <c r="I12" s="25" t="n">
        <v>0.4346</v>
      </c>
      <c r="J12" s="15" t="n">
        <v>2068816.89</v>
      </c>
      <c r="K12" s="15" t="n">
        <v>1470735.26</v>
      </c>
      <c r="L12" s="15" t="n">
        <v>752416.03</v>
      </c>
      <c r="M12" s="25" t="n">
        <v>0.2838</v>
      </c>
      <c r="N12" s="15" t="n">
        <v>2925336.19</v>
      </c>
      <c r="O12" s="15" t="n">
        <v>1697378.58</v>
      </c>
      <c r="P12" s="15" t="n">
        <v>1233826.43</v>
      </c>
      <c r="Q12" s="25" t="n">
        <v>0.4117</v>
      </c>
      <c r="R12" s="27" t="n">
        <v>0.012</v>
      </c>
      <c r="S12" s="27" t="n">
        <v>0.3327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产品月度销售汇总（含公式）</t>
        </is>
      </c>
    </row>
    <row r="2">
      <c r="A2" s="2" t="inlineStr">
        <is>
          <t>产品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合计</t>
        </is>
      </c>
    </row>
    <row r="3">
      <c r="A3" s="4" t="inlineStr">
        <is>
          <t>数控机床</t>
        </is>
      </c>
      <c r="B3" s="15" t="n">
        <v>456326.43</v>
      </c>
      <c r="C3" s="15" t="n">
        <v>398201.22</v>
      </c>
      <c r="D3" s="15" t="n">
        <v>67606.75</v>
      </c>
      <c r="E3" s="15" t="n">
        <v>354428.57</v>
      </c>
      <c r="F3" s="15" t="n">
        <v>92651.2</v>
      </c>
      <c r="G3" s="15" t="n">
        <v>495303.81</v>
      </c>
      <c r="H3" s="15" t="n">
        <v>98245</v>
      </c>
      <c r="I3" s="15" t="n">
        <v>287611.47</v>
      </c>
      <c r="J3" s="15" t="n">
        <v>98663.21000000001</v>
      </c>
      <c r="K3" s="15" t="n">
        <v>312286.48</v>
      </c>
      <c r="L3" s="15" t="n">
        <v>249227.83</v>
      </c>
      <c r="M3" s="15" t="n">
        <v>326940.6</v>
      </c>
      <c r="N3" s="15">
        <f>SUM(B3:M3)</f>
        <v/>
      </c>
    </row>
    <row r="4">
      <c r="A4" s="4" t="inlineStr">
        <is>
          <t>精密轴承</t>
        </is>
      </c>
      <c r="B4" s="15" t="n">
        <v>290859.84</v>
      </c>
      <c r="C4" s="15" t="n">
        <v>69602.10000000001</v>
      </c>
      <c r="D4" s="15" t="n">
        <v>428031.99</v>
      </c>
      <c r="E4" s="15" t="n">
        <v>320490.84</v>
      </c>
      <c r="F4" s="15" t="n">
        <v>485346.9</v>
      </c>
      <c r="G4" s="15" t="n">
        <v>162981.63</v>
      </c>
      <c r="H4" s="15" t="n">
        <v>251346.77</v>
      </c>
      <c r="I4" s="15" t="n">
        <v>405917.26</v>
      </c>
      <c r="J4" s="15" t="n">
        <v>185918.35</v>
      </c>
      <c r="K4" s="15" t="n">
        <v>349711.83</v>
      </c>
      <c r="L4" s="15" t="n">
        <v>462791.38</v>
      </c>
      <c r="M4" s="15" t="n">
        <v>341546.75</v>
      </c>
      <c r="N4" s="15">
        <f>SUM(B4:M4)</f>
        <v/>
      </c>
    </row>
    <row r="5">
      <c r="A5" s="4" t="inlineStr">
        <is>
          <t>液压件</t>
        </is>
      </c>
      <c r="B5" s="15" t="n">
        <v>418433.12</v>
      </c>
      <c r="C5" s="15" t="n">
        <v>446767.4</v>
      </c>
      <c r="D5" s="15" t="n">
        <v>414273.8</v>
      </c>
      <c r="E5" s="15" t="n">
        <v>452408.71</v>
      </c>
      <c r="F5" s="15" t="n">
        <v>281896.89</v>
      </c>
      <c r="G5" s="15" t="n">
        <v>269390.09</v>
      </c>
      <c r="H5" s="15" t="n">
        <v>466678.74</v>
      </c>
      <c r="I5" s="15" t="n">
        <v>162382.57</v>
      </c>
      <c r="J5" s="15" t="n">
        <v>377522.69</v>
      </c>
      <c r="K5" s="15" t="n">
        <v>284538.04</v>
      </c>
      <c r="L5" s="15" t="n">
        <v>58152.8</v>
      </c>
      <c r="M5" s="15" t="n">
        <v>281743.28</v>
      </c>
      <c r="N5" s="15">
        <f>SUM(B5:M5)</f>
        <v/>
      </c>
    </row>
    <row r="6">
      <c r="A6" s="4" t="inlineStr">
        <is>
          <t>气动元件</t>
        </is>
      </c>
      <c r="B6" s="15" t="n">
        <v>412892.83</v>
      </c>
      <c r="C6" s="15" t="n">
        <v>323611.41</v>
      </c>
      <c r="D6" s="15" t="n">
        <v>55363.52</v>
      </c>
      <c r="E6" s="15" t="n">
        <v>433743.66</v>
      </c>
      <c r="F6" s="15" t="n">
        <v>459085.3</v>
      </c>
      <c r="G6" s="15" t="n">
        <v>278540.58</v>
      </c>
      <c r="H6" s="15" t="n">
        <v>295927.71</v>
      </c>
      <c r="I6" s="15" t="n">
        <v>170496.82</v>
      </c>
      <c r="J6" s="15" t="n">
        <v>136665.59</v>
      </c>
      <c r="K6" s="15" t="n">
        <v>177178.84</v>
      </c>
      <c r="L6" s="15" t="n">
        <v>427709.01</v>
      </c>
      <c r="M6" s="15" t="n">
        <v>202962.32</v>
      </c>
      <c r="N6" s="15">
        <f>SUM(B6:M6)</f>
        <v/>
      </c>
    </row>
    <row r="7">
      <c r="A7" s="4" t="inlineStr">
        <is>
          <t>模具</t>
        </is>
      </c>
      <c r="B7" s="15" t="n">
        <v>64999.1</v>
      </c>
      <c r="C7" s="15" t="n">
        <v>427481.98</v>
      </c>
      <c r="D7" s="15" t="n">
        <v>100537.67</v>
      </c>
      <c r="E7" s="15" t="n">
        <v>374770.67</v>
      </c>
      <c r="F7" s="15" t="n">
        <v>71701.10000000001</v>
      </c>
      <c r="G7" s="15" t="n">
        <v>219494.71</v>
      </c>
      <c r="H7" s="15" t="n">
        <v>476992.33</v>
      </c>
      <c r="I7" s="15" t="n">
        <v>149610.26</v>
      </c>
      <c r="J7" s="15" t="n">
        <v>480738.28</v>
      </c>
      <c r="K7" s="15" t="n">
        <v>283195.95</v>
      </c>
      <c r="L7" s="15" t="n">
        <v>420620.84</v>
      </c>
      <c r="M7" s="15" t="n">
        <v>244452.63</v>
      </c>
      <c r="N7" s="15">
        <f>SUM(B7:M7)</f>
        <v/>
      </c>
    </row>
    <row r="8">
      <c r="A8" s="4" t="inlineStr">
        <is>
          <t>工装夹具</t>
        </is>
      </c>
      <c r="B8" s="15" t="n">
        <v>410905.57</v>
      </c>
      <c r="C8" s="15" t="n">
        <v>315634.53</v>
      </c>
      <c r="D8" s="15" t="n">
        <v>335643.65</v>
      </c>
      <c r="E8" s="15" t="n">
        <v>482643.72</v>
      </c>
      <c r="F8" s="15" t="n">
        <v>400052.02</v>
      </c>
      <c r="G8" s="15" t="n">
        <v>499842.52</v>
      </c>
      <c r="H8" s="15" t="n">
        <v>93746.00999999999</v>
      </c>
      <c r="I8" s="15" t="n">
        <v>365744.9</v>
      </c>
      <c r="J8" s="15" t="n">
        <v>305778.04</v>
      </c>
      <c r="K8" s="15" t="n">
        <v>238108.86</v>
      </c>
      <c r="L8" s="15" t="n">
        <v>450368.75</v>
      </c>
      <c r="M8" s="15" t="n">
        <v>482360.88</v>
      </c>
      <c r="N8" s="15">
        <f>SUM(B8:M8)</f>
        <v/>
      </c>
    </row>
    <row r="9">
      <c r="A9" s="6" t="inlineStr">
        <is>
          <t>月度合计</t>
        </is>
      </c>
      <c r="B9" s="15">
        <f>SUM(B3:B8)</f>
        <v/>
      </c>
      <c r="C9" s="15">
        <f>SUM(C3:C8)</f>
        <v/>
      </c>
      <c r="D9" s="15">
        <f>SUM(D3:D8)</f>
        <v/>
      </c>
      <c r="E9" s="15">
        <f>SUM(E3:E8)</f>
        <v/>
      </c>
      <c r="F9" s="15">
        <f>SUM(F3:F8)</f>
        <v/>
      </c>
      <c r="G9" s="15">
        <f>SUM(G3:G8)</f>
        <v/>
      </c>
      <c r="H9" s="15">
        <f>SUM(H3:H8)</f>
        <v/>
      </c>
      <c r="I9" s="15">
        <f>SUM(I3:I8)</f>
        <v/>
      </c>
      <c r="J9" s="15">
        <f>SUM(J3:J8)</f>
        <v/>
      </c>
      <c r="K9" s="15">
        <f>SUM(K3:K8)</f>
        <v/>
      </c>
      <c r="L9" s="15">
        <f>SUM(L3:L8)</f>
        <v/>
      </c>
      <c r="M9" s="15">
        <f>SUM(M3:M8)</f>
        <v/>
      </c>
      <c r="N9" s="15">
        <f>SUM(N3:N8)</f>
        <v/>
      </c>
    </row>
    <row r="10">
      <c r="A10" s="6" t="inlineStr">
        <is>
          <t>月度平均</t>
        </is>
      </c>
      <c r="B10" s="15">
        <f>AVERAGE(B3:B8)</f>
        <v/>
      </c>
      <c r="C10" s="15">
        <f>AVERAGE(C3:C8)</f>
        <v/>
      </c>
      <c r="D10" s="15">
        <f>AVERAGE(D3:D8)</f>
        <v/>
      </c>
      <c r="E10" s="15">
        <f>AVERAGE(E3:E8)</f>
        <v/>
      </c>
      <c r="F10" s="15">
        <f>AVERAGE(F3:F8)</f>
        <v/>
      </c>
      <c r="G10" s="15">
        <f>AVERAGE(G3:G8)</f>
        <v/>
      </c>
      <c r="H10" s="15">
        <f>AVERAGE(H3:H8)</f>
        <v/>
      </c>
      <c r="I10" s="15">
        <f>AVERAGE(I3:I8)</f>
        <v/>
      </c>
      <c r="J10" s="15">
        <f>AVERAGE(J3:J8)</f>
        <v/>
      </c>
      <c r="K10" s="15">
        <f>AVERAGE(K3:K8)</f>
        <v/>
      </c>
      <c r="L10" s="15">
        <f>AVERAGE(L3:L8)</f>
        <v/>
      </c>
      <c r="M10" s="15">
        <f>AVERAGE(M3:M8)</f>
        <v/>
      </c>
      <c r="N10" s="15">
        <f>AVERAGE(N3:N8)</f>
        <v/>
      </c>
    </row>
    <row r="11">
      <c r="A11" s="6" t="inlineStr">
        <is>
          <t>达标状态</t>
        </is>
      </c>
      <c r="B11" s="4">
        <f>IF(B9&gt;1000000,"达标","未达标")</f>
        <v/>
      </c>
      <c r="C11" s="4">
        <f>IF(C9&gt;1000000,"达标","未达标")</f>
        <v/>
      </c>
      <c r="D11" s="4">
        <f>IF(D9&gt;1000000,"达标","未达标")</f>
        <v/>
      </c>
      <c r="E11" s="4">
        <f>IF(E9&gt;1000000,"达标","未达标")</f>
        <v/>
      </c>
      <c r="F11" s="4">
        <f>IF(F9&gt;1000000,"达标","未达标")</f>
        <v/>
      </c>
      <c r="G11" s="4">
        <f>IF(G9&gt;1000000,"达标","未达标")</f>
        <v/>
      </c>
      <c r="H11" s="4">
        <f>IF(H9&gt;1000000,"达标","未达标")</f>
        <v/>
      </c>
      <c r="I11" s="4">
        <f>IF(I9&gt;1000000,"达标","未达标")</f>
        <v/>
      </c>
      <c r="J11" s="4">
        <f>IF(J9&gt;1000000,"达标","未达标")</f>
        <v/>
      </c>
      <c r="K11" s="4">
        <f>IF(K9&gt;1000000,"达标","未达标")</f>
        <v/>
      </c>
      <c r="L11" s="4">
        <f>IF(L9&gt;1000000,"达标","未达标")</f>
        <v/>
      </c>
      <c r="M11" s="4">
        <f>IF(M9&gt;1000000,"达标","未达标")</f>
        <v/>
      </c>
    </row>
    <row r="12">
      <c r="A12" s="6" t="inlineStr">
        <is>
          <t>占年度比例</t>
        </is>
      </c>
      <c r="B12" s="25">
        <f>B9/N9</f>
        <v/>
      </c>
      <c r="C12" s="25">
        <f>C9/N9</f>
        <v/>
      </c>
      <c r="D12" s="25">
        <f>D9/N9</f>
        <v/>
      </c>
      <c r="E12" s="25">
        <f>E9/N9</f>
        <v/>
      </c>
      <c r="F12" s="25">
        <f>F9/N9</f>
        <v/>
      </c>
      <c r="G12" s="25">
        <f>G9/N9</f>
        <v/>
      </c>
      <c r="H12" s="25">
        <f>H9/N9</f>
        <v/>
      </c>
      <c r="I12" s="25">
        <f>I9/N9</f>
        <v/>
      </c>
      <c r="J12" s="25">
        <f>J9/N9</f>
        <v/>
      </c>
      <c r="K12" s="25">
        <f>K9/N9</f>
        <v/>
      </c>
      <c r="L12" s="25">
        <f>L9/N9</f>
        <v/>
      </c>
      <c r="M12" s="25">
        <f>M9/N9</f>
        <v/>
      </c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  <c r="H1" s="2" t="inlineStr">
        <is>
          <t>Q1</t>
        </is>
      </c>
      <c r="I1" s="2" t="inlineStr">
        <is>
          <t>Q2</t>
        </is>
      </c>
      <c r="J1" s="2" t="inlineStr">
        <is>
          <t>Q3</t>
        </is>
      </c>
      <c r="K1" s="2" t="inlineStr">
        <is>
          <t>Q4</t>
        </is>
      </c>
    </row>
    <row r="2">
      <c r="A2" s="4" t="inlineStr">
        <is>
          <t>营业收入(万元)</t>
        </is>
      </c>
      <c r="B2" s="7" t="n">
        <v>8525.6</v>
      </c>
      <c r="C2" s="7" t="n">
        <v>14388.1</v>
      </c>
      <c r="D2" s="7" t="n">
        <v>14160.7</v>
      </c>
      <c r="E2" s="7" t="n">
        <v>14340</v>
      </c>
      <c r="F2" s="7" t="n">
        <v>14739.5</v>
      </c>
      <c r="G2" s="7" t="n">
        <v>13806.2</v>
      </c>
      <c r="H2" s="7" t="n">
        <v>4659.98</v>
      </c>
      <c r="I2" s="7" t="n">
        <v>3616.99</v>
      </c>
      <c r="J2" s="7" t="n">
        <v>4609.75</v>
      </c>
      <c r="K2" s="7" t="n">
        <v>4147.73</v>
      </c>
    </row>
    <row r="3">
      <c r="A3" s="4" t="inlineStr">
        <is>
          <t>营业成本(万元)</t>
        </is>
      </c>
      <c r="B3" s="7" t="n">
        <v>8878.9</v>
      </c>
      <c r="C3" s="7" t="n">
        <v>5720.9</v>
      </c>
      <c r="D3" s="7" t="n">
        <v>5573.8</v>
      </c>
      <c r="E3" s="7" t="n">
        <v>8528.299999999999</v>
      </c>
      <c r="F3" s="7" t="n">
        <v>8620.4</v>
      </c>
      <c r="G3" s="7" t="n">
        <v>6733.6</v>
      </c>
      <c r="H3" s="7" t="n">
        <v>1920.94</v>
      </c>
      <c r="I3" s="7" t="n">
        <v>2169.64</v>
      </c>
      <c r="J3" s="7" t="n">
        <v>2288.52</v>
      </c>
      <c r="K3" s="7" t="n">
        <v>1713.4</v>
      </c>
    </row>
    <row r="4">
      <c r="A4" s="4" t="inlineStr">
        <is>
          <t>毛利(万元)</t>
        </is>
      </c>
      <c r="B4" s="7" t="n">
        <v>3571.1</v>
      </c>
      <c r="C4" s="7" t="n">
        <v>2570.4</v>
      </c>
      <c r="D4" s="7" t="n">
        <v>4332</v>
      </c>
      <c r="E4" s="7" t="n">
        <v>2154.7</v>
      </c>
      <c r="F4" s="7" t="n">
        <v>4454.7</v>
      </c>
      <c r="G4" s="7" t="n">
        <v>2802.4</v>
      </c>
      <c r="H4" s="7" t="n">
        <v>666.11</v>
      </c>
      <c r="I4" s="7" t="n">
        <v>789.1900000000001</v>
      </c>
      <c r="J4" s="7" t="n">
        <v>610.3200000000001</v>
      </c>
      <c r="K4" s="7" t="n">
        <v>874.01</v>
      </c>
    </row>
    <row r="5">
      <c r="A5" s="4" t="inlineStr">
        <is>
          <t>毛利率</t>
        </is>
      </c>
      <c r="B5" s="25" t="n">
        <v>0.3273</v>
      </c>
      <c r="C5" s="25" t="n">
        <v>0.34</v>
      </c>
      <c r="D5" s="25" t="n">
        <v>0.4098</v>
      </c>
      <c r="E5" s="25" t="n">
        <v>0.3462</v>
      </c>
      <c r="F5" s="25" t="n">
        <v>0.3726</v>
      </c>
      <c r="G5" s="25" t="n">
        <v>0.2803</v>
      </c>
      <c r="H5" s="25" t="n">
        <v>0.08</v>
      </c>
      <c r="I5" s="25" t="n">
        <v>0.09</v>
      </c>
      <c r="J5" s="25" t="n">
        <v>0.06</v>
      </c>
      <c r="K5" s="25" t="n">
        <v>0.07000000000000001</v>
      </c>
    </row>
    <row r="6">
      <c r="A6" s="4" t="inlineStr">
        <is>
          <t>净利润(万元)</t>
        </is>
      </c>
      <c r="B6" s="7" t="n">
        <v>427.2</v>
      </c>
      <c r="C6" s="7" t="n">
        <v>592.7</v>
      </c>
      <c r="D6" s="7" t="n">
        <v>307.6</v>
      </c>
      <c r="E6" s="7" t="n">
        <v>1283.8</v>
      </c>
      <c r="F6" s="7" t="n">
        <v>300.8</v>
      </c>
      <c r="G6" s="7" t="n">
        <v>681</v>
      </c>
      <c r="H6" s="7" t="n">
        <v>226.55</v>
      </c>
      <c r="I6" s="7" t="n">
        <v>139.89</v>
      </c>
      <c r="J6" s="7" t="n">
        <v>158.6</v>
      </c>
      <c r="K6" s="7" t="n">
        <v>163.91</v>
      </c>
    </row>
    <row r="7">
      <c r="A7" s="4" t="inlineStr">
        <is>
          <t>净利率</t>
        </is>
      </c>
      <c r="B7" s="25" t="n">
        <v>0.1169</v>
      </c>
      <c r="C7" s="25" t="n">
        <v>0.0612</v>
      </c>
      <c r="D7" s="25" t="n">
        <v>0.0819</v>
      </c>
      <c r="E7" s="25" t="n">
        <v>0.0801</v>
      </c>
      <c r="F7" s="25" t="n">
        <v>0.1124</v>
      </c>
      <c r="G7" s="25" t="n">
        <v>0.0895</v>
      </c>
      <c r="H7" s="25" t="n">
        <v>0.03</v>
      </c>
      <c r="I7" s="25" t="n">
        <v>0.02</v>
      </c>
      <c r="J7" s="25" t="n">
        <v>0.02</v>
      </c>
      <c r="K7" s="25" t="n">
        <v>0.03</v>
      </c>
    </row>
    <row r="8">
      <c r="A8" s="4" t="inlineStr">
        <is>
          <t>员工数</t>
        </is>
      </c>
      <c r="B8" s="7" t="n">
        <v>322</v>
      </c>
      <c r="C8" s="7" t="n">
        <v>629</v>
      </c>
      <c r="D8" s="7" t="n">
        <v>600</v>
      </c>
      <c r="E8" s="7" t="n">
        <v>562</v>
      </c>
      <c r="F8" s="7" t="n">
        <v>702</v>
      </c>
      <c r="G8" s="7" t="n">
        <v>724</v>
      </c>
      <c r="H8" s="7" t="n">
        <v>200.72</v>
      </c>
      <c r="I8" s="7" t="n">
        <v>183.12</v>
      </c>
      <c r="J8" s="7" t="n">
        <v>204.07</v>
      </c>
      <c r="K8" s="7" t="n">
        <v>200.18</v>
      </c>
    </row>
    <row r="9">
      <c r="A9" s="4" t="inlineStr">
        <is>
          <t>人均产值(万元)</t>
        </is>
      </c>
      <c r="B9" s="7" t="n">
        <v>30.8</v>
      </c>
      <c r="C9" s="7" t="n">
        <v>20.3</v>
      </c>
      <c r="D9" s="7" t="n">
        <v>22.1</v>
      </c>
      <c r="E9" s="7" t="n">
        <v>29.4</v>
      </c>
      <c r="F9" s="7" t="n">
        <v>23.6</v>
      </c>
      <c r="G9" s="7" t="n">
        <v>16.4</v>
      </c>
      <c r="H9" s="7" t="n">
        <v>4.73</v>
      </c>
      <c r="I9" s="7" t="n">
        <v>3.32</v>
      </c>
      <c r="J9" s="7" t="n">
        <v>4.79</v>
      </c>
      <c r="K9" s="7" t="n">
        <v>4.2</v>
      </c>
    </row>
    <row r="10">
      <c r="A10" s="4" t="inlineStr">
        <is>
          <t>研发费用(万元)</t>
        </is>
      </c>
      <c r="B10" s="7" t="n">
        <v>852.7</v>
      </c>
      <c r="C10" s="7" t="n">
        <v>1252</v>
      </c>
      <c r="D10" s="7" t="n">
        <v>1513.1</v>
      </c>
      <c r="E10" s="7" t="n">
        <v>1094.1</v>
      </c>
      <c r="F10" s="7" t="n">
        <v>1473.9</v>
      </c>
      <c r="G10" s="7" t="n">
        <v>1096.9</v>
      </c>
      <c r="H10" s="7" t="n">
        <v>320.28</v>
      </c>
      <c r="I10" s="7" t="n">
        <v>248.63</v>
      </c>
      <c r="J10" s="7" t="n">
        <v>328.68</v>
      </c>
      <c r="K10" s="7" t="n">
        <v>317.76</v>
      </c>
    </row>
    <row r="11">
      <c r="A11" s="4" t="inlineStr">
        <is>
          <t>研发占比</t>
        </is>
      </c>
      <c r="B11" s="25" t="n">
        <v>0.0617</v>
      </c>
      <c r="C11" s="25" t="n">
        <v>0.0776</v>
      </c>
      <c r="D11" s="25" t="n">
        <v>0.043</v>
      </c>
      <c r="E11" s="25" t="n">
        <v>0.09520000000000001</v>
      </c>
      <c r="F11" s="25" t="n">
        <v>0.1139</v>
      </c>
      <c r="G11" s="25" t="n">
        <v>0.109</v>
      </c>
      <c r="H11" s="25" t="n">
        <v>0.04</v>
      </c>
      <c r="I11" s="25" t="n">
        <v>0.04</v>
      </c>
      <c r="J11" s="25" t="n">
        <v>0.03</v>
      </c>
      <c r="K11" s="25" t="n">
        <v>0.02</v>
      </c>
    </row>
    <row r="12">
      <c r="A12" s="4" t="inlineStr">
        <is>
          <t>资产总额(万元)</t>
        </is>
      </c>
      <c r="B12" s="7" t="n">
        <v>17601.2</v>
      </c>
      <c r="C12" s="7" t="n">
        <v>45507.5</v>
      </c>
      <c r="D12" s="7" t="n">
        <v>40754.5</v>
      </c>
      <c r="E12" s="7" t="n">
        <v>43880.8</v>
      </c>
      <c r="F12" s="7" t="n">
        <v>10918.7</v>
      </c>
      <c r="G12" s="7" t="n">
        <v>49847</v>
      </c>
      <c r="H12" s="7" t="n">
        <v>11763.84</v>
      </c>
      <c r="I12" s="7" t="n">
        <v>13998.58</v>
      </c>
      <c r="J12" s="7" t="n">
        <v>10589.3</v>
      </c>
      <c r="K12" s="7" t="n">
        <v>11270.54</v>
      </c>
    </row>
    <row r="13">
      <c r="A13" s="4" t="inlineStr">
        <is>
          <t>负债率</t>
        </is>
      </c>
      <c r="B13" s="25" t="n">
        <v>0.6973</v>
      </c>
      <c r="C13" s="25" t="n">
        <v>0.6573</v>
      </c>
      <c r="D13" s="25" t="n">
        <v>0.6916</v>
      </c>
      <c r="E13" s="25" t="n">
        <v>0.521</v>
      </c>
      <c r="F13" s="25" t="n">
        <v>0.4957</v>
      </c>
      <c r="G13" s="25" t="n">
        <v>0.4019</v>
      </c>
      <c r="H13" s="25" t="n">
        <v>0.1</v>
      </c>
      <c r="I13" s="25" t="n">
        <v>0.13</v>
      </c>
      <c r="J13" s="25" t="n">
        <v>0.09</v>
      </c>
      <c r="K13" s="2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2026-02-20T00:52:12Z</dcterms:created>
  <dcterms:modified xmlns:dcterms="http://purl.org/dc/terms/" xmlns:xsi="http://www.w3.org/2001/XMLSchema-instance" xsi:type="dcterms:W3CDTF">2026-02-20T00:52:13Z</dcterms:modified>
</cp:coreProperties>
</file>