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销售1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分部利润表" sheetId="5" state="visible" r:id="rId5"/>
    <sheet xmlns:r="http://schemas.openxmlformats.org/officeDocument/2006/relationships" name="2025年浙江分部利润表" sheetId="6" state="visible" r:id="rId6"/>
    <sheet xmlns:r="http://schemas.openxmlformats.org/officeDocument/2006/relationships" name="2025年上海分部利润表" sheetId="7" state="visible" r:id="rId7"/>
    <sheet xmlns:r="http://schemas.openxmlformats.org/officeDocument/2006/relationships" name="2025年赣皖区域利润表" sheetId="8" state="visible" r:id="rId8"/>
    <sheet xmlns:r="http://schemas.openxmlformats.org/officeDocument/2006/relationships" name="2025年安徽省区利润表" sheetId="9" state="visible" r:id="rId9"/>
    <sheet xmlns:r="http://schemas.openxmlformats.org/officeDocument/2006/relationships" name="2025年江西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销售1中心经营口径报表索引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2025年销售1中心利润表</t>
        </is>
      </c>
      <c r="C4" s="5" t="inlineStr">
        <is>
          <t>编制规则同2025年销售1中心利润表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编制规则同2025年销售1中心利润表</t>
        </is>
      </c>
    </row>
    <row r="6">
      <c r="A6" s="3" t="n">
        <v>4</v>
      </c>
      <c r="B6" s="4" t="inlineStr">
        <is>
          <t>2025年江苏分部利润表</t>
        </is>
      </c>
      <c r="C6" s="5" t="inlineStr">
        <is>
          <t>编制规则同2025年销售1中心利润表</t>
        </is>
      </c>
    </row>
    <row r="7">
      <c r="A7" s="3" t="n">
        <v>5</v>
      </c>
      <c r="B7" s="4" t="inlineStr">
        <is>
          <t>2025年浙江分部利润表</t>
        </is>
      </c>
      <c r="C7" s="5" t="inlineStr">
        <is>
          <t>编制规则同2025年销售1中心利润表</t>
        </is>
      </c>
    </row>
    <row r="8">
      <c r="A8" s="3" t="n">
        <v>6</v>
      </c>
      <c r="B8" s="4" t="inlineStr">
        <is>
          <t>2025年上海分部利润表</t>
        </is>
      </c>
      <c r="C8" s="5" t="inlineStr">
        <is>
          <t>编制规则同2025年销售1中心利润表</t>
        </is>
      </c>
    </row>
    <row r="9">
      <c r="A9" s="3" t="n">
        <v>7</v>
      </c>
      <c r="B9" s="4" t="inlineStr">
        <is>
          <t>2025年赣皖区域利润表</t>
        </is>
      </c>
      <c r="C9" s="5" t="inlineStr">
        <is>
          <t>编制规则同2025年销售1中心利润表</t>
        </is>
      </c>
    </row>
    <row r="10">
      <c r="A10" s="3" t="n">
        <v>8</v>
      </c>
      <c r="B10" s="4" t="inlineStr">
        <is>
          <t>2025年安徽省区利润表</t>
        </is>
      </c>
      <c r="C10" s="5" t="inlineStr">
        <is>
          <t>编制规则同2025年销售1中心利润表</t>
        </is>
      </c>
    </row>
    <row r="11">
      <c r="A11" s="3" t="n">
        <v>9</v>
      </c>
      <c r="B11" s="4" t="inlineStr">
        <is>
          <t>2025年江西省区利润表</t>
        </is>
      </c>
      <c r="C11" s="5" t="inlineStr">
        <is>
          <t>编制规则同2025年销售1中心利润表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销售1中心2025年各分部及区域收入&amp;净利简表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江苏分部</t>
        </is>
      </c>
      <c r="B4" s="7" t="n">
        <v>1430368.1</v>
      </c>
      <c r="C4" s="7" t="n">
        <v>769410.5</v>
      </c>
      <c r="D4" s="7" t="n">
        <v>1227857.6</v>
      </c>
      <c r="E4" s="7" t="n">
        <v>1578785.5</v>
      </c>
      <c r="F4" s="7" t="n">
        <v>1247771.3</v>
      </c>
      <c r="G4" s="7" t="n">
        <v>1466235.1</v>
      </c>
      <c r="H4" s="7" t="n">
        <v>1547893</v>
      </c>
      <c r="I4" s="7" t="n">
        <v>1256083.8</v>
      </c>
      <c r="J4" s="7" t="n">
        <v>1749690.7</v>
      </c>
      <c r="K4" s="7" t="n">
        <v>1802751.4</v>
      </c>
      <c r="L4" s="7" t="n">
        <v>767346.8</v>
      </c>
      <c r="M4" s="7" t="n">
        <v>699328.3</v>
      </c>
      <c r="N4" s="7" t="n">
        <v>1503667.7</v>
      </c>
      <c r="O4" s="7" t="n">
        <v>1698434.3</v>
      </c>
      <c r="P4" s="7" t="n">
        <v>2156861.5</v>
      </c>
      <c r="Q4" s="7" t="n">
        <v>1475151.9</v>
      </c>
      <c r="R4" s="7" t="n">
        <v>935344.2</v>
      </c>
      <c r="S4" s="7" t="n">
        <v>1523129.2</v>
      </c>
      <c r="T4" s="7" t="n">
        <v>1601224.6</v>
      </c>
      <c r="U4" s="7" t="n">
        <v>2291409.5</v>
      </c>
      <c r="V4" s="7" t="n">
        <v>2150724.3</v>
      </c>
      <c r="W4" s="7" t="n">
        <v>1588182.4</v>
      </c>
      <c r="X4" s="7" t="n">
        <v>2537927.7</v>
      </c>
      <c r="Y4" s="7" t="n">
        <v>2489169.5</v>
      </c>
      <c r="Z4" s="7" t="n">
        <v>1518250.2</v>
      </c>
      <c r="AA4" s="7" t="n">
        <v>0</v>
      </c>
      <c r="AB4" s="7" t="n">
        <v>0</v>
      </c>
      <c r="AC4" s="7" t="n">
        <v>1504228.9</v>
      </c>
      <c r="AD4" s="7" t="n">
        <v>3635027.6</v>
      </c>
      <c r="AE4" s="7" t="n">
        <v>3650761.2</v>
      </c>
      <c r="AF4" s="7" t="n">
        <v>1832801.9</v>
      </c>
      <c r="AG4" s="7" t="n">
        <v>1543657.5</v>
      </c>
      <c r="AH4" s="7" t="n">
        <v>2308101</v>
      </c>
      <c r="AI4" s="7" t="n">
        <v>1598549.6</v>
      </c>
      <c r="AJ4" s="7" t="n">
        <v>69650.8</v>
      </c>
      <c r="AK4" s="7" t="n">
        <v>93687.2</v>
      </c>
    </row>
    <row r="5">
      <c r="A5" s="6" t="inlineStr">
        <is>
          <t>浙江分部</t>
        </is>
      </c>
      <c r="B5" s="7" t="n">
        <v>1404569.8</v>
      </c>
      <c r="C5" s="7" t="n">
        <v>1120684</v>
      </c>
      <c r="D5" s="7" t="n">
        <v>1104251.9</v>
      </c>
      <c r="E5" s="7" t="n">
        <v>1586376.7</v>
      </c>
      <c r="F5" s="7" t="n">
        <v>156455.1</v>
      </c>
      <c r="G5" s="7" t="n">
        <v>165030.8</v>
      </c>
      <c r="H5" s="7" t="n">
        <v>1541707.7</v>
      </c>
      <c r="I5" s="7" t="n">
        <v>1253109.3</v>
      </c>
      <c r="J5" s="7" t="n">
        <v>1871999</v>
      </c>
      <c r="K5" s="7" t="n">
        <v>1275648.8</v>
      </c>
      <c r="L5" s="7" t="n">
        <v>906595.7</v>
      </c>
      <c r="M5" s="7" t="n">
        <v>951538.7000000001</v>
      </c>
      <c r="N5" s="7" t="n">
        <v>1239586.1</v>
      </c>
      <c r="O5" s="7" t="n">
        <v>1717843.1</v>
      </c>
      <c r="P5" s="7" t="n">
        <v>2084000.4</v>
      </c>
      <c r="Q5" s="7" t="n">
        <v>1422523.8</v>
      </c>
      <c r="R5" s="7" t="n">
        <v>1036058.6</v>
      </c>
      <c r="S5" s="7" t="n">
        <v>1719240.9</v>
      </c>
      <c r="T5" s="7" t="n">
        <v>1472431.6</v>
      </c>
      <c r="U5" s="7" t="n">
        <v>876470.4</v>
      </c>
      <c r="V5" s="7" t="n">
        <v>1370313.9</v>
      </c>
      <c r="W5" s="7" t="n">
        <v>1345949.9</v>
      </c>
      <c r="X5" s="7" t="n">
        <v>1122986.9</v>
      </c>
      <c r="Y5" s="7" t="n">
        <v>1542645</v>
      </c>
      <c r="Z5" s="7" t="n">
        <v>1551222.4</v>
      </c>
      <c r="AA5" s="7" t="n">
        <v>1223735.8</v>
      </c>
      <c r="AB5" s="7" t="n">
        <v>1202710.6</v>
      </c>
      <c r="AC5" s="7" t="n">
        <v>1522640.4</v>
      </c>
      <c r="AD5" s="7" t="n">
        <v>2102599</v>
      </c>
      <c r="AE5" s="7" t="n">
        <v>2404613.3</v>
      </c>
      <c r="AF5" s="7" t="n">
        <v>1489361.5</v>
      </c>
      <c r="AG5" s="7" t="n">
        <v>1847045.5</v>
      </c>
      <c r="AH5" s="7" t="n">
        <v>1916783.1</v>
      </c>
      <c r="AI5" s="7" t="n">
        <v>1298990.6</v>
      </c>
      <c r="AJ5" s="7" t="n">
        <v>568775.2</v>
      </c>
      <c r="AK5" s="7" t="n">
        <v>658391.7</v>
      </c>
    </row>
    <row r="6">
      <c r="A6" s="6" t="inlineStr">
        <is>
          <t>上海分部</t>
        </is>
      </c>
      <c r="B6" s="7" t="n">
        <v>1398404</v>
      </c>
      <c r="C6" s="7" t="n">
        <v>337685.3</v>
      </c>
      <c r="D6" s="7" t="n">
        <v>515083.4</v>
      </c>
      <c r="E6" s="7" t="n">
        <v>1432454.5</v>
      </c>
      <c r="F6" s="7" t="n">
        <v>1044438.8</v>
      </c>
      <c r="G6" s="7" t="n">
        <v>1403719.8</v>
      </c>
      <c r="H6" s="7" t="n">
        <v>1397882.7</v>
      </c>
      <c r="I6" s="7" t="n">
        <v>1852114.3</v>
      </c>
      <c r="J6" s="7" t="n">
        <v>2467591.9</v>
      </c>
      <c r="K6" s="7" t="n">
        <v>1594961.4</v>
      </c>
      <c r="L6" s="7" t="n">
        <v>1112208.6</v>
      </c>
      <c r="M6" s="7" t="n">
        <v>1782743.5</v>
      </c>
      <c r="N6" s="7" t="n">
        <v>1702102.9</v>
      </c>
      <c r="O6" s="7" t="n">
        <v>1295216.9</v>
      </c>
      <c r="P6" s="7" t="n">
        <v>1599205.4</v>
      </c>
      <c r="Q6" s="7" t="n">
        <v>1428935.1</v>
      </c>
      <c r="R6" s="7" t="n">
        <v>3520308.3</v>
      </c>
      <c r="S6" s="7" t="n">
        <v>3531079.7</v>
      </c>
      <c r="T6" s="7" t="n">
        <v>1443721.5</v>
      </c>
      <c r="U6" s="7" t="n">
        <v>1266869.3</v>
      </c>
      <c r="V6" s="7" t="n">
        <v>1529007.2</v>
      </c>
      <c r="W6" s="7" t="n">
        <v>1570503.3</v>
      </c>
      <c r="X6" s="7" t="n">
        <v>853272.8</v>
      </c>
      <c r="Y6" s="7" t="n">
        <v>1301854</v>
      </c>
      <c r="Z6" s="7" t="n">
        <v>1684301</v>
      </c>
      <c r="AA6" s="7" t="n">
        <v>2436821.8</v>
      </c>
      <c r="AB6" s="7" t="n">
        <v>2315108.6</v>
      </c>
      <c r="AC6" s="7" t="n">
        <v>1803607</v>
      </c>
      <c r="AD6" s="7" t="n">
        <v>1547466.1</v>
      </c>
      <c r="AE6" s="7" t="n">
        <v>1722527.4</v>
      </c>
      <c r="AF6" s="7" t="n">
        <v>1589646.6</v>
      </c>
      <c r="AG6" s="7" t="n">
        <v>0</v>
      </c>
      <c r="AH6" s="7" t="n">
        <v>0</v>
      </c>
      <c r="AI6" s="7" t="n">
        <v>1475256.2</v>
      </c>
      <c r="AJ6" s="7" t="n">
        <v>658603.2</v>
      </c>
      <c r="AK6" s="7" t="n">
        <v>767882.2</v>
      </c>
    </row>
    <row r="7">
      <c r="A7" s="6" t="inlineStr">
        <is>
          <t>赣皖区域</t>
        </is>
      </c>
      <c r="B7" s="7" t="n">
        <v>1213109.7</v>
      </c>
      <c r="C7" s="7" t="n">
        <v>498522.5</v>
      </c>
      <c r="D7" s="7" t="n">
        <v>691461.7000000001</v>
      </c>
      <c r="E7" s="7" t="n">
        <v>1348553.9</v>
      </c>
      <c r="F7" s="7" t="n">
        <v>326489.6</v>
      </c>
      <c r="G7" s="7" t="n">
        <v>486000.6</v>
      </c>
      <c r="H7" s="7" t="n">
        <v>1332158.8</v>
      </c>
      <c r="I7" s="7" t="n">
        <v>688462</v>
      </c>
      <c r="J7" s="7" t="n">
        <v>845133.3</v>
      </c>
      <c r="K7" s="7" t="n">
        <v>1409387.6</v>
      </c>
      <c r="L7" s="7" t="n">
        <v>1200823.4</v>
      </c>
      <c r="M7" s="7" t="n">
        <v>1323360.2</v>
      </c>
      <c r="N7" s="7" t="n">
        <v>1409607.9</v>
      </c>
      <c r="O7" s="7" t="n">
        <v>1073041.2</v>
      </c>
      <c r="P7" s="7" t="n">
        <v>1489751.3</v>
      </c>
      <c r="Q7" s="7" t="n">
        <v>1412285.5</v>
      </c>
      <c r="R7" s="7" t="n">
        <v>1510636.8</v>
      </c>
      <c r="S7" s="7" t="n">
        <v>1868943.6</v>
      </c>
      <c r="T7" s="7" t="n">
        <v>1228961.8</v>
      </c>
      <c r="U7" s="7" t="n">
        <v>2201033.6</v>
      </c>
      <c r="V7" s="7" t="n">
        <v>2361153.7</v>
      </c>
      <c r="W7" s="7" t="n">
        <v>1204733.9</v>
      </c>
      <c r="X7" s="7" t="n">
        <v>1267624</v>
      </c>
      <c r="Y7" s="7" t="n">
        <v>1972013.4</v>
      </c>
      <c r="Z7" s="7" t="n">
        <v>1358502.7</v>
      </c>
      <c r="AA7" s="7" t="n">
        <v>1160927</v>
      </c>
      <c r="AB7" s="7" t="n">
        <v>1067688.7</v>
      </c>
      <c r="AC7" s="7" t="n">
        <v>1374062.7</v>
      </c>
      <c r="AD7" s="7" t="n">
        <v>855799.4</v>
      </c>
      <c r="AE7" s="7" t="n">
        <v>1350182.8</v>
      </c>
      <c r="AF7" s="7" t="n">
        <v>1417273</v>
      </c>
      <c r="AG7" s="7" t="n">
        <v>886181.2</v>
      </c>
      <c r="AH7" s="7" t="n">
        <v>1026825.8</v>
      </c>
      <c r="AI7" s="7" t="n">
        <v>1097354.8</v>
      </c>
      <c r="AJ7" s="7" t="n">
        <v>696350.7</v>
      </c>
      <c r="AK7" s="7" t="n">
        <v>815720</v>
      </c>
    </row>
    <row r="8">
      <c r="A8" s="6" t="inlineStr">
        <is>
          <t>销售1总监费用</t>
        </is>
      </c>
      <c r="B8" s="7" t="n">
        <v>0</v>
      </c>
      <c r="C8" s="7" t="n">
        <v>20856.7</v>
      </c>
      <c r="D8" s="7" t="n">
        <v>19061.7</v>
      </c>
      <c r="E8" s="7" t="n">
        <v>0</v>
      </c>
      <c r="F8" s="7" t="n">
        <v>13597</v>
      </c>
      <c r="G8" s="7" t="n">
        <v>15502.6</v>
      </c>
      <c r="H8" s="7" t="n">
        <v>0</v>
      </c>
      <c r="I8" s="7" t="n">
        <v>10406.8</v>
      </c>
      <c r="J8" s="7" t="n">
        <v>13086.6</v>
      </c>
      <c r="K8" s="7" t="n">
        <v>0</v>
      </c>
      <c r="L8" s="7" t="n">
        <v>36556.8</v>
      </c>
      <c r="M8" s="7" t="n">
        <v>43777.1</v>
      </c>
      <c r="N8" s="7" t="n">
        <v>0</v>
      </c>
      <c r="O8" s="7" t="n">
        <v>12891.5</v>
      </c>
      <c r="P8" s="7" t="n">
        <v>14045.6</v>
      </c>
      <c r="Q8" s="7" t="n">
        <v>0</v>
      </c>
      <c r="R8" s="7" t="n">
        <v>44531.4</v>
      </c>
      <c r="S8" s="7" t="n">
        <v>40835</v>
      </c>
      <c r="T8" s="7" t="n">
        <v>0</v>
      </c>
      <c r="U8" s="7" t="n">
        <v>31547.7</v>
      </c>
      <c r="V8" s="7" t="n">
        <v>43404.8</v>
      </c>
      <c r="W8" s="7" t="n">
        <v>0</v>
      </c>
      <c r="X8" s="7" t="n">
        <v>27576.7</v>
      </c>
      <c r="Y8" s="7" t="n">
        <v>45347.3</v>
      </c>
      <c r="Z8" s="7" t="n">
        <v>0</v>
      </c>
      <c r="AA8" s="7" t="n">
        <v>11443.8</v>
      </c>
      <c r="AB8" s="7" t="n">
        <v>11509.9</v>
      </c>
      <c r="AC8" s="7" t="n">
        <v>0</v>
      </c>
      <c r="AD8" s="7" t="n">
        <v>18128.7</v>
      </c>
      <c r="AE8" s="7" t="n">
        <v>23470.6</v>
      </c>
      <c r="AF8" s="7" t="n">
        <v>0</v>
      </c>
      <c r="AG8" s="7" t="n">
        <v>39289.2</v>
      </c>
      <c r="AH8" s="7" t="n">
        <v>40652.3</v>
      </c>
      <c r="AI8" s="7" t="n">
        <v>0</v>
      </c>
      <c r="AJ8" s="7" t="n">
        <v>13933.1</v>
      </c>
      <c r="AK8" s="7" t="n">
        <v>15242</v>
      </c>
    </row>
    <row r="9">
      <c r="A9" s="6" t="inlineStr">
        <is>
          <t>合计</t>
        </is>
      </c>
      <c r="B9" s="8" t="n">
        <v>5446451.6</v>
      </c>
      <c r="C9" s="8" t="n">
        <v>2747159</v>
      </c>
      <c r="D9" s="8" t="n">
        <v>3557716.3</v>
      </c>
      <c r="E9" s="8" t="n">
        <v>5946170.6</v>
      </c>
      <c r="F9" s="8" t="n">
        <v>2788751.8</v>
      </c>
      <c r="G9" s="8" t="n">
        <v>3536488.9</v>
      </c>
      <c r="H9" s="8" t="n">
        <v>5819642.2</v>
      </c>
      <c r="I9" s="8" t="n">
        <v>5060176.2</v>
      </c>
      <c r="J9" s="8" t="n">
        <v>6947501.5</v>
      </c>
      <c r="K9" s="8" t="n">
        <v>6082749.2</v>
      </c>
      <c r="L9" s="8" t="n">
        <v>4023531.3</v>
      </c>
      <c r="M9" s="8" t="n">
        <v>4800747.8</v>
      </c>
      <c r="N9" s="8" t="n">
        <v>5854964.6</v>
      </c>
      <c r="O9" s="8" t="n">
        <v>5797427</v>
      </c>
      <c r="P9" s="8" t="n">
        <v>7343864.2</v>
      </c>
      <c r="Q9" s="8" t="n">
        <v>5738896.3</v>
      </c>
      <c r="R9" s="8" t="n">
        <v>7046879.3</v>
      </c>
      <c r="S9" s="8" t="n">
        <v>8683228.4</v>
      </c>
      <c r="T9" s="8" t="n">
        <v>5746339.5</v>
      </c>
      <c r="U9" s="8" t="n">
        <v>6667330.5</v>
      </c>
      <c r="V9" s="8" t="n">
        <v>7454603.9</v>
      </c>
      <c r="W9" s="8" t="n">
        <v>5709369.5</v>
      </c>
      <c r="X9" s="8" t="n">
        <v>5809388.1</v>
      </c>
      <c r="Y9" s="8" t="n">
        <v>7351029.2</v>
      </c>
      <c r="Z9" s="8" t="n">
        <v>6112276.3</v>
      </c>
      <c r="AA9" s="8" t="n">
        <v>4832928.4</v>
      </c>
      <c r="AB9" s="8" t="n">
        <v>4597017.8</v>
      </c>
      <c r="AC9" s="8" t="n">
        <v>6204539</v>
      </c>
      <c r="AD9" s="8" t="n">
        <v>8159020.8</v>
      </c>
      <c r="AE9" s="8" t="n">
        <v>9151555.300000001</v>
      </c>
      <c r="AF9" s="8" t="n">
        <v>6329083</v>
      </c>
      <c r="AG9" s="8" t="n">
        <v>4316173.4</v>
      </c>
      <c r="AH9" s="8" t="n">
        <v>5292362.2</v>
      </c>
      <c r="AI9" s="8" t="n">
        <v>5470151.2</v>
      </c>
      <c r="AJ9" s="8" t="n">
        <v>2007313</v>
      </c>
      <c r="AK9" s="8" t="n">
        <v>2350923.1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江苏分部</t>
        </is>
      </c>
      <c r="B13" s="7" t="n">
        <v>99512.10000000001</v>
      </c>
      <c r="C13" s="7" t="n">
        <v>165700.3</v>
      </c>
      <c r="D13" s="7" t="n">
        <v>130318.6</v>
      </c>
      <c r="E13" s="7" t="n">
        <v>125528.1</v>
      </c>
      <c r="F13" s="7" t="n">
        <v>135889.5</v>
      </c>
      <c r="G13" s="7" t="n">
        <v>110015.3</v>
      </c>
      <c r="H13" s="7" t="n">
        <v>174771.2</v>
      </c>
      <c r="I13" s="7" t="n">
        <v>36501.9</v>
      </c>
      <c r="J13" s="7" t="n">
        <v>43845.2</v>
      </c>
      <c r="K13" s="7" t="n">
        <v>116288.3</v>
      </c>
      <c r="L13" s="7" t="n">
        <v>45653</v>
      </c>
      <c r="M13" s="7" t="n">
        <v>83869.2</v>
      </c>
      <c r="N13" s="7" t="n">
        <v>158427.8</v>
      </c>
      <c r="O13" s="7" t="n">
        <v>233738.9</v>
      </c>
      <c r="P13" s="7" t="n">
        <v>223456.8</v>
      </c>
      <c r="Q13" s="7" t="n">
        <v>131703.2</v>
      </c>
      <c r="R13" s="7" t="n">
        <v>233874.5</v>
      </c>
      <c r="S13" s="7" t="n">
        <v>178053.2</v>
      </c>
      <c r="T13" s="7" t="n">
        <v>129104.3</v>
      </c>
      <c r="U13" s="7" t="n">
        <v>163540.7</v>
      </c>
      <c r="V13" s="7" t="n">
        <v>242250.5</v>
      </c>
      <c r="W13" s="7" t="n">
        <v>172497.9</v>
      </c>
      <c r="X13" s="7" t="n">
        <v>333905</v>
      </c>
      <c r="Y13" s="7" t="n">
        <v>261038.1</v>
      </c>
      <c r="Z13" s="7" t="n">
        <v>175592.6</v>
      </c>
      <c r="AA13" s="7" t="n">
        <v>0</v>
      </c>
      <c r="AB13" s="7" t="n">
        <v>0</v>
      </c>
      <c r="AC13" s="7" t="n">
        <v>139886.4</v>
      </c>
      <c r="AD13" s="7" t="n">
        <v>299219.3</v>
      </c>
      <c r="AE13" s="7" t="n">
        <v>250311.2</v>
      </c>
      <c r="AF13" s="7" t="n">
        <v>153095.1</v>
      </c>
      <c r="AG13" s="7" t="n">
        <v>108077.5</v>
      </c>
      <c r="AH13" s="7" t="n">
        <v>95497.10000000001</v>
      </c>
      <c r="AI13" s="7" t="n">
        <v>107321.7</v>
      </c>
      <c r="AJ13" s="7" t="n">
        <v>7385</v>
      </c>
      <c r="AK13" s="7" t="n">
        <v>5631</v>
      </c>
    </row>
    <row r="14">
      <c r="A14" s="6" t="inlineStr">
        <is>
          <t>浙江分部</t>
        </is>
      </c>
      <c r="B14" s="7" t="n">
        <v>100110.6</v>
      </c>
      <c r="C14" s="7" t="n">
        <v>24818.1</v>
      </c>
      <c r="D14" s="7" t="n">
        <v>44074</v>
      </c>
      <c r="E14" s="7" t="n">
        <v>64382.1</v>
      </c>
      <c r="F14" s="7" t="n">
        <v>4726.6</v>
      </c>
      <c r="G14" s="7" t="n">
        <v>3703.7</v>
      </c>
      <c r="H14" s="7" t="n">
        <v>105323.2</v>
      </c>
      <c r="I14" s="7" t="n">
        <v>79750.3</v>
      </c>
      <c r="J14" s="7" t="n">
        <v>83274.5</v>
      </c>
      <c r="K14" s="7" t="n">
        <v>106371.3</v>
      </c>
      <c r="L14" s="7" t="n">
        <v>50972.2</v>
      </c>
      <c r="M14" s="7" t="n">
        <v>64241.8</v>
      </c>
      <c r="N14" s="7" t="n">
        <v>69931.7</v>
      </c>
      <c r="O14" s="7" t="n">
        <v>118966</v>
      </c>
      <c r="P14" s="7" t="n">
        <v>218765.4</v>
      </c>
      <c r="Q14" s="7" t="n">
        <v>87428.10000000001</v>
      </c>
      <c r="R14" s="7" t="n">
        <v>32809.1</v>
      </c>
      <c r="S14" s="7" t="n">
        <v>46905.7</v>
      </c>
      <c r="T14" s="7" t="n">
        <v>73737.89999999999</v>
      </c>
      <c r="U14" s="7" t="n">
        <v>45627.2</v>
      </c>
      <c r="V14" s="7" t="n">
        <v>84197.7</v>
      </c>
      <c r="W14" s="7" t="n">
        <v>116692.5</v>
      </c>
      <c r="X14" s="7" t="n">
        <v>183476.2</v>
      </c>
      <c r="Y14" s="7" t="n">
        <v>128003.3</v>
      </c>
      <c r="Z14" s="7" t="n">
        <v>92525.7</v>
      </c>
      <c r="AA14" s="7" t="n">
        <v>48168.9</v>
      </c>
      <c r="AB14" s="7" t="n">
        <v>47439.1</v>
      </c>
      <c r="AC14" s="7" t="n">
        <v>66835.7</v>
      </c>
      <c r="AD14" s="7" t="n">
        <v>320963.3</v>
      </c>
      <c r="AE14" s="7" t="n">
        <v>215538.5</v>
      </c>
      <c r="AF14" s="7" t="n">
        <v>77764.39999999999</v>
      </c>
      <c r="AG14" s="7" t="n">
        <v>138824.3</v>
      </c>
      <c r="AH14" s="7" t="n">
        <v>133097</v>
      </c>
      <c r="AI14" s="7" t="n">
        <v>110671.2</v>
      </c>
      <c r="AJ14" s="7" t="n">
        <v>22020.6</v>
      </c>
      <c r="AK14" s="7" t="n">
        <v>29231.6</v>
      </c>
    </row>
    <row r="15">
      <c r="A15" s="6" t="inlineStr">
        <is>
          <t>上海分部</t>
        </is>
      </c>
      <c r="B15" s="7" t="n">
        <v>97285.10000000001</v>
      </c>
      <c r="C15" s="7" t="n">
        <v>19400.4</v>
      </c>
      <c r="D15" s="7" t="n">
        <v>15479.6</v>
      </c>
      <c r="E15" s="7" t="n">
        <v>119696.2</v>
      </c>
      <c r="F15" s="7" t="n">
        <v>38234</v>
      </c>
      <c r="G15" s="7" t="n">
        <v>55323.1</v>
      </c>
      <c r="H15" s="7" t="n">
        <v>102167.5</v>
      </c>
      <c r="I15" s="7" t="n">
        <v>90398.3</v>
      </c>
      <c r="J15" s="7" t="n">
        <v>105485.4</v>
      </c>
      <c r="K15" s="7" t="n">
        <v>96024.3</v>
      </c>
      <c r="L15" s="7" t="n">
        <v>86642.10000000001</v>
      </c>
      <c r="M15" s="7" t="n">
        <v>67644.7</v>
      </c>
      <c r="N15" s="7" t="n">
        <v>94326.5</v>
      </c>
      <c r="O15" s="7" t="n">
        <v>46774.1</v>
      </c>
      <c r="P15" s="7" t="n">
        <v>34246.7</v>
      </c>
      <c r="Q15" s="7" t="n">
        <v>79295.10000000001</v>
      </c>
      <c r="R15" s="7" t="n">
        <v>215659</v>
      </c>
      <c r="S15" s="7" t="n">
        <v>259229</v>
      </c>
      <c r="T15" s="7" t="n">
        <v>71489.7</v>
      </c>
      <c r="U15" s="7" t="n">
        <v>45288.5</v>
      </c>
      <c r="V15" s="7" t="n">
        <v>72522.5</v>
      </c>
      <c r="W15" s="7" t="n">
        <v>123707.5</v>
      </c>
      <c r="X15" s="7" t="n">
        <v>132699.4</v>
      </c>
      <c r="Y15" s="7" t="n">
        <v>152876.1</v>
      </c>
      <c r="Z15" s="7" t="n">
        <v>96513.39999999999</v>
      </c>
      <c r="AA15" s="7" t="n">
        <v>242341.5</v>
      </c>
      <c r="AB15" s="7" t="n">
        <v>174410.8</v>
      </c>
      <c r="AC15" s="7" t="n">
        <v>116726.2</v>
      </c>
      <c r="AD15" s="7" t="n">
        <v>192193.7</v>
      </c>
      <c r="AE15" s="7" t="n">
        <v>154582.6</v>
      </c>
      <c r="AF15" s="7" t="n">
        <v>91992.8</v>
      </c>
      <c r="AG15" s="7" t="n">
        <v>0</v>
      </c>
      <c r="AH15" s="7" t="n">
        <v>0</v>
      </c>
      <c r="AI15" s="7" t="n">
        <v>72822.39999999999</v>
      </c>
      <c r="AJ15" s="7" t="n">
        <v>72744.89999999999</v>
      </c>
      <c r="AK15" s="7" t="n">
        <v>82045.2</v>
      </c>
    </row>
    <row r="16">
      <c r="A16" s="6" t="inlineStr">
        <is>
          <t>赣皖区域</t>
        </is>
      </c>
      <c r="B16" s="7" t="n">
        <v>72140.89999999999</v>
      </c>
      <c r="C16" s="7" t="n">
        <v>27352.8</v>
      </c>
      <c r="D16" s="7" t="n">
        <v>18560.3</v>
      </c>
      <c r="E16" s="7" t="n">
        <v>116767.3</v>
      </c>
      <c r="F16" s="7" t="n">
        <v>40241.1</v>
      </c>
      <c r="G16" s="7" t="n">
        <v>40394.5</v>
      </c>
      <c r="H16" s="7" t="n">
        <v>86857.3</v>
      </c>
      <c r="I16" s="7" t="n">
        <v>94498.89999999999</v>
      </c>
      <c r="J16" s="7" t="n">
        <v>94733.5</v>
      </c>
      <c r="K16" s="7" t="n">
        <v>91704.10000000001</v>
      </c>
      <c r="L16" s="7" t="n">
        <v>225699.9</v>
      </c>
      <c r="M16" s="7" t="n">
        <v>158462.6</v>
      </c>
      <c r="N16" s="7" t="n">
        <v>78064.8</v>
      </c>
      <c r="O16" s="7" t="n">
        <v>143763.4</v>
      </c>
      <c r="P16" s="7" t="n">
        <v>141044.6</v>
      </c>
      <c r="Q16" s="7" t="n">
        <v>101003.9</v>
      </c>
      <c r="R16" s="7" t="n">
        <v>154167.4</v>
      </c>
      <c r="S16" s="7" t="n">
        <v>118485.7</v>
      </c>
      <c r="T16" s="7" t="n">
        <v>103071.9</v>
      </c>
      <c r="U16" s="7" t="n">
        <v>86468.7</v>
      </c>
      <c r="V16" s="7" t="n">
        <v>70467</v>
      </c>
      <c r="W16" s="7" t="n">
        <v>116551.8</v>
      </c>
      <c r="X16" s="7" t="n">
        <v>95185</v>
      </c>
      <c r="Y16" s="7" t="n">
        <v>164416.2</v>
      </c>
      <c r="Z16" s="7" t="n">
        <v>79517.2</v>
      </c>
      <c r="AA16" s="7" t="n">
        <v>126250.9</v>
      </c>
      <c r="AB16" s="7" t="n">
        <v>114518.1</v>
      </c>
      <c r="AC16" s="7" t="n">
        <v>74102.7</v>
      </c>
      <c r="AD16" s="7" t="n">
        <v>114922.6</v>
      </c>
      <c r="AE16" s="7" t="n">
        <v>86908.39999999999</v>
      </c>
      <c r="AF16" s="7" t="n">
        <v>121211</v>
      </c>
      <c r="AG16" s="7" t="n">
        <v>95972.8</v>
      </c>
      <c r="AH16" s="7" t="n">
        <v>91798.3</v>
      </c>
      <c r="AI16" s="7" t="n">
        <v>106271.4</v>
      </c>
      <c r="AJ16" s="7" t="n">
        <v>73916</v>
      </c>
      <c r="AK16" s="7" t="n">
        <v>90008.5</v>
      </c>
    </row>
    <row r="17">
      <c r="A17" s="6" t="inlineStr">
        <is>
          <t>销售1总监费用</t>
        </is>
      </c>
      <c r="B17" s="7" t="n">
        <v>-26156.8</v>
      </c>
      <c r="C17" s="7" t="n">
        <v>-11057.1</v>
      </c>
      <c r="D17" s="7" t="n">
        <v>-19061.7</v>
      </c>
      <c r="E17" s="7" t="n">
        <v>-24409.2</v>
      </c>
      <c r="F17" s="7" t="n">
        <v>-17997.3</v>
      </c>
      <c r="G17" s="7" t="n">
        <v>-15502.6</v>
      </c>
      <c r="H17" s="7" t="n">
        <v>-29861.2</v>
      </c>
      <c r="I17" s="7" t="n">
        <v>-10554.3</v>
      </c>
      <c r="J17" s="7" t="n">
        <v>-13086.6</v>
      </c>
      <c r="K17" s="7" t="n">
        <v>-29370.3</v>
      </c>
      <c r="L17" s="7" t="n">
        <v>-48269.6</v>
      </c>
      <c r="M17" s="7" t="n">
        <v>-43777.1</v>
      </c>
      <c r="N17" s="7" t="n">
        <v>-29679.5</v>
      </c>
      <c r="O17" s="7" t="n">
        <v>-13007.9</v>
      </c>
      <c r="P17" s="7" t="n">
        <v>-14045.6</v>
      </c>
      <c r="Q17" s="7" t="n">
        <v>-24436</v>
      </c>
      <c r="R17" s="7" t="n">
        <v>-48584</v>
      </c>
      <c r="S17" s="7" t="n">
        <v>-40835</v>
      </c>
      <c r="T17" s="7" t="n">
        <v>-26653.4</v>
      </c>
      <c r="U17" s="7" t="n">
        <v>-36961.2</v>
      </c>
      <c r="V17" s="7" t="n">
        <v>-43404.8</v>
      </c>
      <c r="W17" s="7" t="n">
        <v>-26434.9</v>
      </c>
      <c r="X17" s="7" t="n">
        <v>-24594.3</v>
      </c>
      <c r="Y17" s="7" t="n">
        <v>-45347.3</v>
      </c>
      <c r="Z17" s="7" t="n">
        <v>-28598.4</v>
      </c>
      <c r="AA17" s="7" t="n">
        <v>-15769</v>
      </c>
      <c r="AB17" s="7" t="n">
        <v>-11509.9</v>
      </c>
      <c r="AC17" s="7" t="n">
        <v>-25022.6</v>
      </c>
      <c r="AD17" s="7" t="n">
        <v>-20010.1</v>
      </c>
      <c r="AE17" s="7" t="n">
        <v>-23470.6</v>
      </c>
      <c r="AF17" s="7" t="n">
        <v>-26706.6</v>
      </c>
      <c r="AG17" s="7" t="n">
        <v>-60903.3</v>
      </c>
      <c r="AH17" s="7" t="n">
        <v>-40652.3</v>
      </c>
      <c r="AI17" s="7" t="n">
        <v>-25408.8</v>
      </c>
      <c r="AJ17" s="7" t="n">
        <v>-11805.8</v>
      </c>
      <c r="AK17" s="7" t="n">
        <v>-15242</v>
      </c>
    </row>
    <row r="18">
      <c r="A18" s="6" t="inlineStr">
        <is>
          <t>合计</t>
        </is>
      </c>
      <c r="B18" s="8" t="n">
        <v>342891.9</v>
      </c>
      <c r="C18" s="8" t="n">
        <v>226214.5</v>
      </c>
      <c r="D18" s="8" t="n">
        <v>189370.8</v>
      </c>
      <c r="E18" s="8" t="n">
        <v>401964.5</v>
      </c>
      <c r="F18" s="8" t="n">
        <v>201093.9</v>
      </c>
      <c r="G18" s="8" t="n">
        <v>193934</v>
      </c>
      <c r="H18" s="8" t="n">
        <v>439258</v>
      </c>
      <c r="I18" s="8" t="n">
        <v>290595.1</v>
      </c>
      <c r="J18" s="8" t="n">
        <v>314252</v>
      </c>
      <c r="K18" s="8" t="n">
        <v>381017.7</v>
      </c>
      <c r="L18" s="8" t="n">
        <v>360697.6</v>
      </c>
      <c r="M18" s="8" t="n">
        <v>330441.2</v>
      </c>
      <c r="N18" s="8" t="n">
        <v>371071.3</v>
      </c>
      <c r="O18" s="8" t="n">
        <v>530234.5</v>
      </c>
      <c r="P18" s="8" t="n">
        <v>603467.9</v>
      </c>
      <c r="Q18" s="8" t="n">
        <v>374994.3</v>
      </c>
      <c r="R18" s="8" t="n">
        <v>587926</v>
      </c>
      <c r="S18" s="8" t="n">
        <v>561838.6</v>
      </c>
      <c r="T18" s="8" t="n">
        <v>350750.4</v>
      </c>
      <c r="U18" s="8" t="n">
        <v>303963.9</v>
      </c>
      <c r="V18" s="8" t="n">
        <v>426032.9</v>
      </c>
      <c r="W18" s="8" t="n">
        <v>503014.8</v>
      </c>
      <c r="X18" s="8" t="n">
        <v>720671.3</v>
      </c>
      <c r="Y18" s="8" t="n">
        <v>660986.4</v>
      </c>
      <c r="Z18" s="8" t="n">
        <v>415550.5</v>
      </c>
      <c r="AA18" s="8" t="n">
        <v>400992.3</v>
      </c>
      <c r="AB18" s="8" t="n">
        <v>324858.1</v>
      </c>
      <c r="AC18" s="8" t="n">
        <v>372528.4</v>
      </c>
      <c r="AD18" s="8" t="n">
        <v>907288.8</v>
      </c>
      <c r="AE18" s="8" t="n">
        <v>683870.1</v>
      </c>
      <c r="AF18" s="8" t="n">
        <v>417356.7</v>
      </c>
      <c r="AG18" s="8" t="n">
        <v>281971.3</v>
      </c>
      <c r="AH18" s="8" t="n">
        <v>279740.1</v>
      </c>
      <c r="AI18" s="8" t="n">
        <v>371677.9</v>
      </c>
      <c r="AJ18" s="8" t="n">
        <v>164260.7</v>
      </c>
      <c r="AK18" s="8" t="n">
        <v>191674.3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宁波味觉销售1中心利润表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6334635.6</v>
      </c>
      <c r="D6" s="7" t="n">
        <v>3438666.8</v>
      </c>
      <c r="E6" s="7" t="n">
        <v>5804769.6</v>
      </c>
      <c r="F6" s="7" t="n">
        <v>3473848.1</v>
      </c>
      <c r="G6" s="7" t="n">
        <v>5955241.6</v>
      </c>
      <c r="H6" s="7" t="n">
        <v>6905468.9</v>
      </c>
      <c r="I6" s="7" t="n">
        <v>5558130.6</v>
      </c>
      <c r="J6" s="7" t="n">
        <v>4685172.9</v>
      </c>
      <c r="K6" s="7" t="n">
        <v>6440901.8</v>
      </c>
      <c r="L6" s="7" t="n">
        <v>7286416.3</v>
      </c>
      <c r="M6" s="7" t="n">
        <v>5840295.2</v>
      </c>
      <c r="N6" s="7" t="n">
        <v>8522091.1</v>
      </c>
      <c r="O6" s="7" t="n">
        <v>6487749.2</v>
      </c>
      <c r="P6" s="7" t="n">
        <v>7337035.5</v>
      </c>
      <c r="Q6" s="7" t="n">
        <v>5661365</v>
      </c>
      <c r="R6" s="7" t="n">
        <v>7232045.7</v>
      </c>
      <c r="S6" s="7" t="n">
        <v>6685854</v>
      </c>
      <c r="T6" s="7" t="n">
        <v>4560675.9</v>
      </c>
      <c r="U6" s="7" t="n">
        <v>6751837.1</v>
      </c>
      <c r="V6" s="7" t="n">
        <v>9065194.300000001</v>
      </c>
      <c r="W6" s="7" t="n">
        <v>5827321.9</v>
      </c>
      <c r="X6" s="7" t="n">
        <v>5177409.7</v>
      </c>
      <c r="Y6" s="7" t="n">
        <v>5509149.2</v>
      </c>
      <c r="Z6" s="7" t="n">
        <v>2335431.7</v>
      </c>
      <c r="AA6" s="8" t="n">
        <v>72857250.8</v>
      </c>
      <c r="AB6" s="8" t="n">
        <v>70019456.90000001</v>
      </c>
    </row>
    <row r="7">
      <c r="A7" s="4" t="inlineStr">
        <is>
          <t>中式汤底</t>
        </is>
      </c>
      <c r="D7" s="7" t="n">
        <v>772910.2</v>
      </c>
      <c r="F7" s="7" t="n">
        <v>650417.2</v>
      </c>
      <c r="H7" s="7" t="n">
        <v>1230105.6</v>
      </c>
      <c r="J7" s="7" t="n">
        <v>821418.8999999999</v>
      </c>
      <c r="L7" s="7" t="n">
        <v>1053798.2</v>
      </c>
      <c r="N7" s="7" t="n">
        <v>1368773.1</v>
      </c>
      <c r="P7" s="7" t="n">
        <v>442964</v>
      </c>
      <c r="R7" s="7" t="n">
        <v>1257555.3</v>
      </c>
      <c r="T7" s="7" t="n">
        <v>1262193.5</v>
      </c>
      <c r="V7" s="7" t="n">
        <v>220655</v>
      </c>
      <c r="X7" s="7" t="n">
        <v>577511.7</v>
      </c>
      <c r="Z7" s="7" t="n">
        <v>0</v>
      </c>
      <c r="AB7" s="7" t="n">
        <v>9658302.699999999</v>
      </c>
    </row>
    <row r="8">
      <c r="A8" s="4" t="inlineStr">
        <is>
          <t>酱料</t>
        </is>
      </c>
      <c r="D8" s="7" t="n">
        <v>95636.8</v>
      </c>
      <c r="F8" s="7" t="n">
        <v>494931.8</v>
      </c>
      <c r="H8" s="7" t="n">
        <v>643474.3999999999</v>
      </c>
      <c r="J8" s="7" t="n">
        <v>0</v>
      </c>
      <c r="L8" s="7" t="n">
        <v>983449</v>
      </c>
      <c r="N8" s="7" t="n">
        <v>1134137.9</v>
      </c>
      <c r="P8" s="7" t="n">
        <v>1570170.9</v>
      </c>
      <c r="R8" s="7" t="n">
        <v>687975.3</v>
      </c>
      <c r="T8" s="7" t="n">
        <v>168370.5</v>
      </c>
      <c r="V8" s="7" t="n">
        <v>1159049.1</v>
      </c>
      <c r="X8" s="7" t="n">
        <v>537451.7</v>
      </c>
      <c r="Z8" s="7" t="n">
        <v>472767.7</v>
      </c>
      <c r="AB8" s="7" t="n">
        <v>7947415.1</v>
      </c>
    </row>
    <row r="9">
      <c r="A9" s="4" t="inlineStr">
        <is>
          <t>川味底料</t>
        </is>
      </c>
      <c r="D9" s="7" t="n">
        <v>521445.2</v>
      </c>
      <c r="F9" s="7" t="n">
        <v>460752.4</v>
      </c>
      <c r="H9" s="7" t="n">
        <v>603265.6000000001</v>
      </c>
      <c r="J9" s="7" t="n">
        <v>0</v>
      </c>
      <c r="L9" s="7" t="n">
        <v>940530.8999999999</v>
      </c>
      <c r="N9" s="7" t="n">
        <v>805891.8</v>
      </c>
      <c r="P9" s="7" t="n">
        <v>1536103.5</v>
      </c>
      <c r="R9" s="7" t="n">
        <v>1299274.7</v>
      </c>
      <c r="T9" s="7" t="n">
        <v>378621.9</v>
      </c>
      <c r="V9" s="7" t="n">
        <v>302451.7</v>
      </c>
      <c r="X9" s="7" t="n">
        <v>453403.2</v>
      </c>
      <c r="Z9" s="7" t="n">
        <v>482437.5</v>
      </c>
      <c r="AB9" s="7" t="n">
        <v>7784178.4</v>
      </c>
    </row>
    <row r="10">
      <c r="A10" s="4" t="inlineStr">
        <is>
          <t>调味汁</t>
        </is>
      </c>
      <c r="D10" s="7" t="n">
        <v>140501.7</v>
      </c>
      <c r="F10" s="7" t="n">
        <v>685254.3999999999</v>
      </c>
      <c r="H10" s="7" t="n">
        <v>1549053</v>
      </c>
      <c r="J10" s="7" t="n">
        <v>1137848.3</v>
      </c>
      <c r="L10" s="7" t="n">
        <v>1745683.6</v>
      </c>
      <c r="N10" s="7" t="n">
        <v>1348175.2</v>
      </c>
      <c r="P10" s="7" t="n">
        <v>828466.2</v>
      </c>
      <c r="R10" s="7" t="n">
        <v>1037771.7</v>
      </c>
      <c r="T10" s="7" t="n">
        <v>819528.9</v>
      </c>
      <c r="V10" s="7" t="n">
        <v>2233826.1</v>
      </c>
      <c r="X10" s="7" t="n">
        <v>1330511.6</v>
      </c>
      <c r="Z10" s="7" t="n">
        <v>595125.8</v>
      </c>
      <c r="AB10" s="7" t="n">
        <v>13451746.5</v>
      </c>
    </row>
    <row r="11">
      <c r="A11" s="4" t="inlineStr">
        <is>
          <t>复合调味粉</t>
        </is>
      </c>
      <c r="D11" s="7" t="n">
        <v>1076987.6</v>
      </c>
      <c r="F11" s="7" t="n">
        <v>603669.6</v>
      </c>
      <c r="H11" s="7" t="n">
        <v>305342.5</v>
      </c>
      <c r="J11" s="7" t="n">
        <v>1270957.1</v>
      </c>
      <c r="L11" s="7" t="n">
        <v>608780.6</v>
      </c>
      <c r="N11" s="7" t="n">
        <v>1048510.4</v>
      </c>
      <c r="P11" s="7" t="n">
        <v>1788789.1</v>
      </c>
      <c r="R11" s="7" t="n">
        <v>1181936.2</v>
      </c>
      <c r="T11" s="7" t="n">
        <v>304518.8</v>
      </c>
      <c r="V11" s="7" t="n">
        <v>1480465.6</v>
      </c>
      <c r="X11" s="7" t="n">
        <v>912770.4</v>
      </c>
      <c r="Z11" s="7" t="n">
        <v>158509.6</v>
      </c>
      <c r="AB11" s="7" t="n">
        <v>10741237.5</v>
      </c>
    </row>
    <row r="12">
      <c r="A12" s="4" t="inlineStr">
        <is>
          <t>团餐</t>
        </is>
      </c>
      <c r="D12" s="7" t="n">
        <v>337924.6</v>
      </c>
      <c r="F12" s="7" t="n">
        <v>556611.6</v>
      </c>
      <c r="H12" s="7" t="n">
        <v>1297672.9</v>
      </c>
      <c r="J12" s="7" t="n">
        <v>1140468.3</v>
      </c>
      <c r="L12" s="7" t="n">
        <v>583674.1</v>
      </c>
      <c r="N12" s="7" t="n">
        <v>1544176.1</v>
      </c>
      <c r="P12" s="7" t="n">
        <v>533231.9</v>
      </c>
      <c r="R12" s="7" t="n">
        <v>477668.5</v>
      </c>
      <c r="T12" s="7" t="n">
        <v>1237436.6</v>
      </c>
      <c r="V12" s="7" t="n">
        <v>1765019.7</v>
      </c>
      <c r="X12" s="7" t="n">
        <v>348549.8</v>
      </c>
      <c r="Z12" s="7" t="n">
        <v>316522.1</v>
      </c>
      <c r="AB12" s="7" t="n">
        <v>10138956.2</v>
      </c>
    </row>
    <row r="13">
      <c r="A13" s="4" t="inlineStr">
        <is>
          <t>预制菜</t>
        </is>
      </c>
      <c r="D13" s="7" t="n">
        <v>593248.5</v>
      </c>
      <c r="F13" s="7" t="n">
        <v>69349.3</v>
      </c>
      <c r="H13" s="7" t="n">
        <v>1305500.9</v>
      </c>
      <c r="J13" s="7" t="n">
        <v>386278.1</v>
      </c>
      <c r="L13" s="7" t="n">
        <v>1413902.2</v>
      </c>
      <c r="N13" s="7" t="n">
        <v>1392728.9</v>
      </c>
      <c r="P13" s="7" t="n">
        <v>711473.5</v>
      </c>
      <c r="R13" s="7" t="n">
        <v>1363500.2</v>
      </c>
      <c r="T13" s="7" t="n">
        <v>414837.7</v>
      </c>
      <c r="V13" s="7" t="n">
        <v>1966617.5</v>
      </c>
      <c r="X13" s="7" t="n">
        <v>1091511.5</v>
      </c>
      <c r="Z13" s="7" t="n">
        <v>310318.4</v>
      </c>
      <c r="AB13" s="7" t="n">
        <v>11019266.7</v>
      </c>
    </row>
    <row r="14">
      <c r="A14" s="4" t="inlineStr">
        <is>
          <t>返利</t>
        </is>
      </c>
      <c r="D14" s="7" t="n">
        <v>-104746.1</v>
      </c>
      <c r="F14" s="7" t="n">
        <v>-101961</v>
      </c>
      <c r="H14" s="7" t="n">
        <v>-79751.5</v>
      </c>
      <c r="J14" s="7" t="n">
        <v>-108222.3</v>
      </c>
      <c r="L14" s="7" t="n">
        <v>-126558.3</v>
      </c>
      <c r="N14" s="7" t="n">
        <v>-224891.7</v>
      </c>
      <c r="P14" s="7" t="n">
        <v>-174816.9</v>
      </c>
      <c r="R14" s="7" t="n">
        <v>-212272.3</v>
      </c>
      <c r="T14" s="7" t="n">
        <v>-58949.4</v>
      </c>
      <c r="V14" s="7" t="n">
        <v>-202200.4</v>
      </c>
      <c r="X14" s="7" t="n">
        <v>-134581.6</v>
      </c>
      <c r="Z14" s="7" t="n">
        <v>-24982.4</v>
      </c>
      <c r="AB14" s="7" t="n">
        <v>-1553933.9</v>
      </c>
    </row>
    <row r="15">
      <c r="A15" s="4" t="inlineStr">
        <is>
          <t>其他</t>
        </is>
      </c>
      <c r="D15" s="7" t="n">
        <v>4758.3</v>
      </c>
      <c r="F15" s="7" t="n">
        <v>54822.8</v>
      </c>
      <c r="H15" s="7" t="n">
        <v>50805.5</v>
      </c>
      <c r="J15" s="7" t="n">
        <v>36424.5</v>
      </c>
      <c r="L15" s="7" t="n">
        <v>83156</v>
      </c>
      <c r="N15" s="7" t="n">
        <v>104589.4</v>
      </c>
      <c r="P15" s="7" t="n">
        <v>100653.3</v>
      </c>
      <c r="R15" s="7" t="n">
        <v>138636.1</v>
      </c>
      <c r="T15" s="7" t="n">
        <v>34117.4</v>
      </c>
      <c r="V15" s="7" t="n">
        <v>139310</v>
      </c>
      <c r="X15" s="7" t="n">
        <v>60281.4</v>
      </c>
      <c r="Z15" s="7" t="n">
        <v>24733</v>
      </c>
      <c r="AB15" s="7" t="n">
        <v>832287.7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3803296.9</v>
      </c>
      <c r="D16" s="7" t="n">
        <v>2446838.6</v>
      </c>
      <c r="E16" s="7" t="n">
        <v>4572638.7</v>
      </c>
      <c r="F16" s="7" t="n">
        <v>2385537.2</v>
      </c>
      <c r="G16" s="7" t="n">
        <v>4054040.5</v>
      </c>
      <c r="H16" s="7" t="n">
        <v>4722725.2</v>
      </c>
      <c r="I16" s="7" t="n">
        <v>3604603.5</v>
      </c>
      <c r="J16" s="7" t="n">
        <v>3241779.4</v>
      </c>
      <c r="K16" s="7" t="n">
        <v>4495018.7</v>
      </c>
      <c r="L16" s="7" t="n">
        <v>5091578.5</v>
      </c>
      <c r="M16" s="7" t="n">
        <v>4006290.6</v>
      </c>
      <c r="N16" s="7" t="n">
        <v>5956187</v>
      </c>
      <c r="O16" s="7" t="n">
        <v>4550932.9</v>
      </c>
      <c r="P16" s="7" t="n">
        <v>5158682.7</v>
      </c>
      <c r="Q16" s="7" t="n">
        <v>3997838.1</v>
      </c>
      <c r="R16" s="7" t="n">
        <v>5134560.2</v>
      </c>
      <c r="S16" s="7" t="n">
        <v>3562110.3</v>
      </c>
      <c r="T16" s="7" t="n">
        <v>3009591.6</v>
      </c>
      <c r="U16" s="7" t="n">
        <v>4286621.5</v>
      </c>
      <c r="V16" s="7" t="n">
        <v>6281870.6</v>
      </c>
      <c r="W16" s="7" t="n">
        <v>4486110.6</v>
      </c>
      <c r="X16" s="7" t="n">
        <v>3702613.6</v>
      </c>
      <c r="Y16" s="7" t="n">
        <v>3844770.9</v>
      </c>
      <c r="Z16" s="7" t="n">
        <v>1645290.1</v>
      </c>
      <c r="AA16" s="8" t="n">
        <v>49264273.2</v>
      </c>
      <c r="AB16" s="8" t="n">
        <v>48777254.7</v>
      </c>
    </row>
    <row r="17">
      <c r="A17" s="4" t="inlineStr">
        <is>
          <t>中式汤底</t>
        </is>
      </c>
      <c r="D17" s="7" t="n">
        <v>490845.4</v>
      </c>
      <c r="F17" s="7" t="n">
        <v>414725.9</v>
      </c>
      <c r="H17" s="7" t="n">
        <v>782655.4</v>
      </c>
      <c r="J17" s="7" t="n">
        <v>536783.5</v>
      </c>
      <c r="L17" s="7" t="n">
        <v>677239.1</v>
      </c>
      <c r="N17" s="7" t="n">
        <v>874402.8999999999</v>
      </c>
      <c r="P17" s="7" t="n">
        <v>268260.3</v>
      </c>
      <c r="R17" s="7" t="n">
        <v>790093.2</v>
      </c>
      <c r="T17" s="7" t="n">
        <v>805320.5</v>
      </c>
      <c r="V17" s="7" t="n">
        <v>125637.9</v>
      </c>
      <c r="X17" s="7" t="n">
        <v>354336</v>
      </c>
      <c r="Z17" s="7" t="n">
        <v>0</v>
      </c>
      <c r="AB17" s="7" t="n">
        <v>6120300.1</v>
      </c>
    </row>
    <row r="18">
      <c r="A18" s="4" t="inlineStr">
        <is>
          <t>酱料</t>
        </is>
      </c>
      <c r="D18" s="7" t="n">
        <v>60845.1</v>
      </c>
      <c r="F18" s="7" t="n">
        <v>314505.1</v>
      </c>
      <c r="H18" s="7" t="n">
        <v>416118.1</v>
      </c>
      <c r="J18" s="7" t="n">
        <v>0</v>
      </c>
      <c r="L18" s="7" t="n">
        <v>636581.2</v>
      </c>
      <c r="N18" s="7" t="n">
        <v>733517.9000000001</v>
      </c>
      <c r="P18" s="7" t="n">
        <v>1011010.8</v>
      </c>
      <c r="R18" s="7" t="n">
        <v>447044.6</v>
      </c>
      <c r="T18" s="7" t="n">
        <v>116931.4</v>
      </c>
      <c r="V18" s="7" t="n">
        <v>736604</v>
      </c>
      <c r="X18" s="7" t="n">
        <v>341845.5</v>
      </c>
      <c r="Z18" s="7" t="n">
        <v>307645.4</v>
      </c>
      <c r="AB18" s="7" t="n">
        <v>5122649.1</v>
      </c>
    </row>
    <row r="19">
      <c r="A19" s="4" t="inlineStr">
        <is>
          <t>川味底料</t>
        </is>
      </c>
      <c r="D19" s="7" t="n">
        <v>337754.7</v>
      </c>
      <c r="F19" s="7" t="n">
        <v>291825.7</v>
      </c>
      <c r="H19" s="7" t="n">
        <v>407593.8</v>
      </c>
      <c r="J19" s="7" t="n">
        <v>0</v>
      </c>
      <c r="L19" s="7" t="n">
        <v>612817</v>
      </c>
      <c r="N19" s="7" t="n">
        <v>524884.5</v>
      </c>
      <c r="P19" s="7" t="n">
        <v>1010713.2</v>
      </c>
      <c r="R19" s="7" t="n">
        <v>866267.6000000001</v>
      </c>
      <c r="T19" s="7" t="n">
        <v>239287.4</v>
      </c>
      <c r="V19" s="7" t="n">
        <v>191970.8</v>
      </c>
      <c r="X19" s="7" t="n">
        <v>301965.2</v>
      </c>
      <c r="Z19" s="7" t="n">
        <v>313738.4</v>
      </c>
      <c r="AB19" s="7" t="n">
        <v>5098818.3</v>
      </c>
    </row>
    <row r="20">
      <c r="A20" s="4" t="inlineStr">
        <is>
          <t>调味汁</t>
        </is>
      </c>
      <c r="D20" s="7" t="n">
        <v>95675.5</v>
      </c>
      <c r="F20" s="7" t="n">
        <v>447090.7</v>
      </c>
      <c r="H20" s="7" t="n">
        <v>995811.7000000001</v>
      </c>
      <c r="J20" s="7" t="n">
        <v>741614.4999999999</v>
      </c>
      <c r="L20" s="7" t="n">
        <v>1111717.8</v>
      </c>
      <c r="N20" s="7" t="n">
        <v>867576.3</v>
      </c>
      <c r="P20" s="7" t="n">
        <v>564141.9</v>
      </c>
      <c r="R20" s="7" t="n">
        <v>667707.4</v>
      </c>
      <c r="T20" s="7" t="n">
        <v>517863.5</v>
      </c>
      <c r="V20" s="7" t="n">
        <v>1448065.9</v>
      </c>
      <c r="X20" s="7" t="n">
        <v>875879.2999999999</v>
      </c>
      <c r="Z20" s="7" t="n">
        <v>378065.6</v>
      </c>
      <c r="AB20" s="7" t="n">
        <v>8711210.1</v>
      </c>
    </row>
    <row r="21">
      <c r="A21" s="4" t="inlineStr">
        <is>
          <t>复合调味粉</t>
        </is>
      </c>
      <c r="D21" s="7" t="n">
        <v>715895.2999999999</v>
      </c>
      <c r="F21" s="7" t="n">
        <v>400432.8</v>
      </c>
      <c r="H21" s="7" t="n">
        <v>192462.7</v>
      </c>
      <c r="J21" s="7" t="n">
        <v>854159.2</v>
      </c>
      <c r="L21" s="7" t="n">
        <v>391444.5</v>
      </c>
      <c r="N21" s="7" t="n">
        <v>663460.4</v>
      </c>
      <c r="P21" s="7" t="n">
        <v>1219918</v>
      </c>
      <c r="R21" s="7" t="n">
        <v>791673</v>
      </c>
      <c r="T21" s="7" t="n">
        <v>191496</v>
      </c>
      <c r="V21" s="7" t="n">
        <v>1004706.6</v>
      </c>
      <c r="X21" s="7" t="n">
        <v>617053.3</v>
      </c>
      <c r="Z21" s="7" t="n">
        <v>92073.8</v>
      </c>
      <c r="AB21" s="7" t="n">
        <v>7134775.6</v>
      </c>
    </row>
    <row r="22">
      <c r="A22" s="4" t="inlineStr">
        <is>
          <t>团餐</t>
        </is>
      </c>
      <c r="D22" s="7" t="n">
        <v>222230.7</v>
      </c>
      <c r="F22" s="7" t="n">
        <v>336295.4</v>
      </c>
      <c r="H22" s="7" t="n">
        <v>810101.4</v>
      </c>
      <c r="J22" s="7" t="n">
        <v>710563.2</v>
      </c>
      <c r="L22" s="7" t="n">
        <v>375826.7</v>
      </c>
      <c r="N22" s="7" t="n">
        <v>967651.6000000001</v>
      </c>
      <c r="P22" s="7" t="n">
        <v>343347</v>
      </c>
      <c r="R22" s="7" t="n">
        <v>307569.8</v>
      </c>
      <c r="T22" s="7" t="n">
        <v>764182.2</v>
      </c>
      <c r="V22" s="7" t="n">
        <v>1117500.4</v>
      </c>
      <c r="X22" s="7" t="n">
        <v>222525.3</v>
      </c>
      <c r="Z22" s="7" t="n">
        <v>206410</v>
      </c>
      <c r="AB22" s="7" t="n">
        <v>6384203.7</v>
      </c>
    </row>
    <row r="23">
      <c r="A23" s="4" t="inlineStr">
        <is>
          <t>预制菜</t>
        </is>
      </c>
      <c r="D23" s="7" t="n">
        <v>410563.7</v>
      </c>
      <c r="F23" s="7" t="n">
        <v>41629</v>
      </c>
      <c r="H23" s="7" t="n">
        <v>927366.5</v>
      </c>
      <c r="J23" s="7" t="n">
        <v>287329.4</v>
      </c>
      <c r="L23" s="7" t="n">
        <v>977584.8999999999</v>
      </c>
      <c r="N23" s="7" t="n">
        <v>1022457.5</v>
      </c>
      <c r="P23" s="7" t="n">
        <v>507026.3</v>
      </c>
      <c r="R23" s="7" t="n">
        <v>994988.8999999999</v>
      </c>
      <c r="T23" s="7" t="n">
        <v>246789.1</v>
      </c>
      <c r="V23" s="7" t="n">
        <v>1403544.9</v>
      </c>
      <c r="X23" s="7" t="n">
        <v>813663.8999999999</v>
      </c>
      <c r="Z23" s="7" t="n">
        <v>230827.5</v>
      </c>
      <c r="AB23" s="7" t="n">
        <v>7863771.6</v>
      </c>
    </row>
    <row r="24">
      <c r="A24" s="4" t="inlineStr">
        <is>
          <t>其他</t>
        </is>
      </c>
      <c r="D24" s="7" t="n">
        <v>16216.5</v>
      </c>
      <c r="F24" s="7" t="n">
        <v>2917.7</v>
      </c>
      <c r="H24" s="7" t="n">
        <v>49143.6</v>
      </c>
      <c r="J24" s="7" t="n">
        <v>55805.4</v>
      </c>
      <c r="L24" s="7" t="n">
        <v>81444.89999999999</v>
      </c>
      <c r="N24" s="7" t="n">
        <v>80490.7</v>
      </c>
      <c r="P24" s="7" t="n">
        <v>91330.7</v>
      </c>
      <c r="R24" s="7" t="n">
        <v>62052.6</v>
      </c>
      <c r="T24" s="7" t="n">
        <v>45746.6</v>
      </c>
      <c r="V24" s="7" t="n">
        <v>61335.9</v>
      </c>
      <c r="X24" s="7" t="n">
        <v>8561.6</v>
      </c>
      <c r="Z24" s="7" t="n">
        <v>6145</v>
      </c>
      <c r="AB24" s="7" t="n">
        <v>561191.2</v>
      </c>
    </row>
    <row r="25">
      <c r="A25" s="4" t="inlineStr">
        <is>
          <t>运费</t>
        </is>
      </c>
      <c r="D25" s="7" t="n">
        <v>113028.2</v>
      </c>
      <c r="F25" s="7" t="n">
        <v>139032.6</v>
      </c>
      <c r="H25" s="7" t="n">
        <v>190615.6</v>
      </c>
      <c r="J25" s="7" t="n">
        <v>111329.6</v>
      </c>
      <c r="L25" s="7" t="n">
        <v>308367.3</v>
      </c>
      <c r="N25" s="7" t="n">
        <v>302235.9</v>
      </c>
      <c r="P25" s="7" t="n">
        <v>234265.2</v>
      </c>
      <c r="R25" s="7" t="n">
        <v>269215.7</v>
      </c>
      <c r="T25" s="7" t="n">
        <v>127721.5</v>
      </c>
      <c r="V25" s="7" t="n">
        <v>253840.1</v>
      </c>
      <c r="X25" s="7" t="n">
        <v>175345.1</v>
      </c>
      <c r="Z25" s="7" t="n">
        <v>116529.4</v>
      </c>
      <c r="AB25" s="7" t="n">
        <v>2341526.2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2531338.7</v>
      </c>
      <c r="D26" s="7" t="n">
        <v>991828.2</v>
      </c>
      <c r="E26" s="7" t="n">
        <v>1232130.9</v>
      </c>
      <c r="F26" s="7" t="n">
        <v>1088310.9</v>
      </c>
      <c r="G26" s="7" t="n">
        <v>1901201.1</v>
      </c>
      <c r="H26" s="7" t="n">
        <v>2182743.7</v>
      </c>
      <c r="I26" s="7" t="n">
        <v>1953527.1</v>
      </c>
      <c r="J26" s="7" t="n">
        <v>1443393.5</v>
      </c>
      <c r="K26" s="7" t="n">
        <v>1945883.1</v>
      </c>
      <c r="L26" s="7" t="n">
        <v>2194837.8</v>
      </c>
      <c r="M26" s="7" t="n">
        <v>1834004.6</v>
      </c>
      <c r="N26" s="7" t="n">
        <v>2565904.1</v>
      </c>
      <c r="O26" s="7" t="n">
        <v>1936816.3</v>
      </c>
      <c r="P26" s="7" t="n">
        <v>2178352.8</v>
      </c>
      <c r="Q26" s="7" t="n">
        <v>1663526.9</v>
      </c>
      <c r="R26" s="7" t="n">
        <v>2097485.5</v>
      </c>
      <c r="S26" s="7" t="n">
        <v>3123743.7</v>
      </c>
      <c r="T26" s="7" t="n">
        <v>1551084.3</v>
      </c>
      <c r="U26" s="7" t="n">
        <v>2465215.6</v>
      </c>
      <c r="V26" s="7" t="n">
        <v>2783323.7</v>
      </c>
      <c r="W26" s="7" t="n">
        <v>1341211.3</v>
      </c>
      <c r="X26" s="7" t="n">
        <v>1474796.1</v>
      </c>
      <c r="Y26" s="7" t="n">
        <v>1664378.3</v>
      </c>
      <c r="Z26" s="7" t="n">
        <v>690141.6</v>
      </c>
      <c r="AA26" s="8" t="n">
        <v>23592977.6</v>
      </c>
      <c r="AB26" s="8" t="n">
        <v>21242202.2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40</v>
      </c>
      <c r="D27" s="13" t="n">
        <v>28.8</v>
      </c>
      <c r="E27" s="13" t="n">
        <v>21.2</v>
      </c>
      <c r="F27" s="13" t="n">
        <v>31.3</v>
      </c>
      <c r="G27" s="13" t="n">
        <v>31.9</v>
      </c>
      <c r="H27" s="13" t="n">
        <v>31.6</v>
      </c>
      <c r="I27" s="13" t="n">
        <v>35.1</v>
      </c>
      <c r="J27" s="13" t="n">
        <v>30.8</v>
      </c>
      <c r="K27" s="13" t="n">
        <v>30.2</v>
      </c>
      <c r="L27" s="13" t="n">
        <v>30.1</v>
      </c>
      <c r="M27" s="13" t="n">
        <v>31.4</v>
      </c>
      <c r="N27" s="13" t="n">
        <v>30.1</v>
      </c>
      <c r="O27" s="13" t="n">
        <v>29.9</v>
      </c>
      <c r="P27" s="13" t="n">
        <v>29.7</v>
      </c>
      <c r="Q27" s="13" t="n">
        <v>29.4</v>
      </c>
      <c r="R27" s="13" t="n">
        <v>29</v>
      </c>
      <c r="S27" s="13" t="n">
        <v>46.7</v>
      </c>
      <c r="T27" s="13" t="n">
        <v>34</v>
      </c>
      <c r="U27" s="13" t="n">
        <v>36.5</v>
      </c>
      <c r="V27" s="13" t="n">
        <v>30.7</v>
      </c>
      <c r="W27" s="13" t="n">
        <v>23</v>
      </c>
      <c r="X27" s="13" t="n">
        <v>28.5</v>
      </c>
      <c r="Y27" s="13" t="n">
        <v>30.2</v>
      </c>
      <c r="Z27" s="13" t="n">
        <v>29.6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58003.1</v>
      </c>
      <c r="D28" s="7" t="n">
        <v>21968.8</v>
      </c>
      <c r="E28" s="7" t="n">
        <v>62207.3</v>
      </c>
      <c r="F28" s="7" t="n">
        <v>44825.6</v>
      </c>
      <c r="G28" s="7" t="n">
        <v>63142.8</v>
      </c>
      <c r="H28" s="7" t="n">
        <v>36342.4</v>
      </c>
      <c r="I28" s="7" t="n">
        <v>50199</v>
      </c>
      <c r="J28" s="7" t="n">
        <v>49382.7</v>
      </c>
      <c r="K28" s="7" t="n">
        <v>65716.39999999999</v>
      </c>
      <c r="L28" s="7" t="n">
        <v>63312.5</v>
      </c>
      <c r="M28" s="7" t="n">
        <v>60017.3</v>
      </c>
      <c r="N28" s="7" t="n">
        <v>111099.2</v>
      </c>
      <c r="O28" s="7" t="n">
        <v>56695.6</v>
      </c>
      <c r="P28" s="7" t="n">
        <v>77159.7</v>
      </c>
      <c r="Q28" s="7" t="n">
        <v>60669.5</v>
      </c>
      <c r="R28" s="7" t="n">
        <v>80416.60000000001</v>
      </c>
      <c r="S28" s="7" t="n">
        <v>54874.5</v>
      </c>
      <c r="T28" s="7" t="n">
        <v>26735.4</v>
      </c>
      <c r="U28" s="7" t="n">
        <v>64085.9</v>
      </c>
      <c r="V28" s="7" t="n">
        <v>73363.8</v>
      </c>
      <c r="W28" s="7" t="n">
        <v>62398.9</v>
      </c>
      <c r="X28" s="7" t="n">
        <v>77640.2</v>
      </c>
      <c r="Y28" s="7" t="n">
        <v>59973.3</v>
      </c>
      <c r="Z28" s="7" t="n">
        <v>28465.9</v>
      </c>
      <c r="AA28" s="8" t="n">
        <v>717983.6</v>
      </c>
      <c r="AB28" s="8" t="n">
        <v>690712.8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1028752.8</v>
      </c>
      <c r="D29" s="7" t="n">
        <v>437723.3</v>
      </c>
      <c r="E29" s="7" t="n">
        <v>1015234.2</v>
      </c>
      <c r="F29" s="7" t="n">
        <v>850883.3</v>
      </c>
      <c r="G29" s="7" t="n">
        <v>850962.9</v>
      </c>
      <c r="H29" s="7" t="n">
        <v>1138661.7</v>
      </c>
      <c r="I29" s="7" t="n">
        <v>957046.2</v>
      </c>
      <c r="J29" s="7" t="n">
        <v>1108544</v>
      </c>
      <c r="K29" s="7" t="n">
        <v>933808.2</v>
      </c>
      <c r="L29" s="7" t="n">
        <v>789205.8</v>
      </c>
      <c r="M29" s="7" t="n">
        <v>816351.2</v>
      </c>
      <c r="N29" s="7" t="n">
        <v>1010926</v>
      </c>
      <c r="O29" s="7" t="n">
        <v>865372</v>
      </c>
      <c r="P29" s="7" t="n">
        <v>902105.5</v>
      </c>
      <c r="Q29" s="7" t="n">
        <v>929017.1</v>
      </c>
      <c r="R29" s="7" t="n">
        <v>901825.7</v>
      </c>
      <c r="S29" s="7" t="n">
        <v>920489.4</v>
      </c>
      <c r="T29" s="7" t="n">
        <v>676800.3</v>
      </c>
      <c r="U29" s="7" t="n">
        <v>828344.8</v>
      </c>
      <c r="V29" s="7" t="n">
        <v>1871054.5</v>
      </c>
      <c r="W29" s="7" t="n">
        <v>1041633.7</v>
      </c>
      <c r="X29" s="7" t="n">
        <v>786466.5</v>
      </c>
      <c r="Y29" s="7" t="n">
        <v>824359.9</v>
      </c>
      <c r="Z29" s="7" t="n">
        <v>563155.7</v>
      </c>
      <c r="AA29" s="8" t="n">
        <v>11011372.4</v>
      </c>
      <c r="AB29" s="8" t="n">
        <v>11037352.3</v>
      </c>
    </row>
    <row r="30">
      <c r="A30" s="4" t="inlineStr">
        <is>
          <t>职工薪酬</t>
        </is>
      </c>
      <c r="D30" s="7" t="n">
        <v>215393.8</v>
      </c>
      <c r="F30" s="7" t="n">
        <v>460819.4</v>
      </c>
      <c r="H30" s="7" t="n">
        <v>556556</v>
      </c>
      <c r="J30" s="7" t="n">
        <v>594821.6</v>
      </c>
      <c r="L30" s="7" t="n">
        <v>353193.6</v>
      </c>
      <c r="N30" s="7" t="n">
        <v>606645.1</v>
      </c>
      <c r="P30" s="7" t="n">
        <v>466797</v>
      </c>
      <c r="R30" s="7" t="n">
        <v>542127.6</v>
      </c>
      <c r="T30" s="7" t="n">
        <v>382423.1</v>
      </c>
      <c r="V30" s="7" t="n">
        <v>893370.2</v>
      </c>
      <c r="X30" s="7" t="n">
        <v>327685.5</v>
      </c>
      <c r="Z30" s="7" t="n">
        <v>243601.7</v>
      </c>
      <c r="AB30" s="7" t="n">
        <v>5643434.6</v>
      </c>
    </row>
    <row r="31">
      <c r="A31" s="4" t="inlineStr">
        <is>
          <t>工资</t>
        </is>
      </c>
      <c r="D31" s="7" t="n">
        <v>124744.8</v>
      </c>
      <c r="F31" s="7" t="n">
        <v>276552.7</v>
      </c>
      <c r="H31" s="7" t="n">
        <v>341196.4</v>
      </c>
      <c r="J31" s="7" t="n">
        <v>357937.2</v>
      </c>
      <c r="L31" s="7" t="n">
        <v>206883.1</v>
      </c>
      <c r="N31" s="7" t="n">
        <v>386372.9</v>
      </c>
      <c r="P31" s="7" t="n">
        <v>267862.2</v>
      </c>
      <c r="R31" s="7" t="n">
        <v>320007.3</v>
      </c>
      <c r="T31" s="7" t="n">
        <v>225576.4</v>
      </c>
      <c r="V31" s="7" t="n">
        <v>493094.1</v>
      </c>
      <c r="X31" s="7" t="n">
        <v>175488.3</v>
      </c>
      <c r="Z31" s="7" t="n">
        <v>124336</v>
      </c>
      <c r="AB31" s="7" t="n">
        <v>3300051.4</v>
      </c>
    </row>
    <row r="32">
      <c r="A32" s="4" t="inlineStr">
        <is>
          <t>奖金及提成</t>
        </is>
      </c>
      <c r="D32" s="7" t="n">
        <v>42186.2</v>
      </c>
      <c r="F32" s="7" t="n">
        <v>84284.3</v>
      </c>
      <c r="H32" s="7" t="n">
        <v>93645.10000000001</v>
      </c>
      <c r="J32" s="7" t="n">
        <v>117948.7</v>
      </c>
      <c r="L32" s="7" t="n">
        <v>70045.89999999999</v>
      </c>
      <c r="N32" s="7" t="n">
        <v>114337.5</v>
      </c>
      <c r="P32" s="7" t="n">
        <v>102886.9</v>
      </c>
      <c r="R32" s="7" t="n">
        <v>109704.1</v>
      </c>
      <c r="T32" s="7" t="n">
        <v>86984</v>
      </c>
      <c r="V32" s="7" t="n">
        <v>145654.1</v>
      </c>
      <c r="X32" s="7" t="n">
        <v>72537.7</v>
      </c>
      <c r="Z32" s="7" t="n">
        <v>58398.7</v>
      </c>
      <c r="AB32" s="7" t="n">
        <v>1098613.2</v>
      </c>
    </row>
    <row r="33">
      <c r="A33" s="4" t="inlineStr">
        <is>
          <t>社保</t>
        </is>
      </c>
      <c r="D33" s="7" t="n">
        <v>31217.4</v>
      </c>
      <c r="F33" s="7" t="n">
        <v>66701.3</v>
      </c>
      <c r="H33" s="7" t="n">
        <v>78383.89999999999</v>
      </c>
      <c r="J33" s="7" t="n">
        <v>75270.3</v>
      </c>
      <c r="L33" s="7" t="n">
        <v>47862.9</v>
      </c>
      <c r="N33" s="7" t="n">
        <v>70694.2</v>
      </c>
      <c r="P33" s="7" t="n">
        <v>67152</v>
      </c>
      <c r="R33" s="7" t="n">
        <v>77140.5</v>
      </c>
      <c r="T33" s="7" t="n">
        <v>45966.2</v>
      </c>
      <c r="V33" s="7" t="n">
        <v>182492.9</v>
      </c>
      <c r="X33" s="7" t="n">
        <v>50070.8</v>
      </c>
      <c r="Z33" s="7" t="n">
        <v>40387.8</v>
      </c>
      <c r="AB33" s="7" t="n">
        <v>833340.2</v>
      </c>
    </row>
    <row r="34">
      <c r="A34" s="4" t="inlineStr">
        <is>
          <t>养老</t>
        </is>
      </c>
      <c r="D34" s="7" t="n">
        <v>1471.8</v>
      </c>
      <c r="F34" s="7" t="n">
        <v>3732.1</v>
      </c>
      <c r="H34" s="7" t="n">
        <v>4308.9</v>
      </c>
      <c r="J34" s="7" t="n">
        <v>4236.4</v>
      </c>
      <c r="L34" s="7" t="n">
        <v>2987.4</v>
      </c>
      <c r="N34" s="7" t="n">
        <v>3389.6</v>
      </c>
      <c r="P34" s="7" t="n">
        <v>2439.6</v>
      </c>
      <c r="R34" s="7" t="n">
        <v>4328.8</v>
      </c>
      <c r="T34" s="7" t="n">
        <v>2572.2</v>
      </c>
      <c r="V34" s="7" t="n">
        <v>9072.4</v>
      </c>
      <c r="X34" s="7" t="n">
        <v>2470</v>
      </c>
      <c r="Z34" s="7" t="n">
        <v>1945</v>
      </c>
      <c r="AB34" s="7" t="n">
        <v>42954.2</v>
      </c>
    </row>
    <row r="35">
      <c r="A35" s="4" t="inlineStr">
        <is>
          <t>医疗</t>
        </is>
      </c>
      <c r="D35" s="7" t="n">
        <v>144.6</v>
      </c>
      <c r="F35" s="7" t="n">
        <v>346.7</v>
      </c>
      <c r="H35" s="7" t="n">
        <v>412.3</v>
      </c>
      <c r="J35" s="7" t="n">
        <v>360.9</v>
      </c>
      <c r="L35" s="7" t="n">
        <v>267.3</v>
      </c>
      <c r="N35" s="7" t="n">
        <v>404.8</v>
      </c>
      <c r="P35" s="7" t="n">
        <v>286.6</v>
      </c>
      <c r="R35" s="7" t="n">
        <v>367.5</v>
      </c>
      <c r="T35" s="7" t="n">
        <v>254.9</v>
      </c>
      <c r="V35" s="7" t="n">
        <v>718.3</v>
      </c>
      <c r="X35" s="7" t="n">
        <v>239.7</v>
      </c>
      <c r="Z35" s="7" t="n">
        <v>175.5</v>
      </c>
      <c r="AB35" s="7" t="n">
        <v>3979.1</v>
      </c>
    </row>
    <row r="36">
      <c r="A36" s="4" t="inlineStr">
        <is>
          <t>工伤</t>
        </is>
      </c>
      <c r="D36" s="7" t="n">
        <v>1337</v>
      </c>
      <c r="F36" s="7" t="n">
        <v>3283.5</v>
      </c>
      <c r="H36" s="7" t="n">
        <v>3168.5</v>
      </c>
      <c r="J36" s="7" t="n">
        <v>4156</v>
      </c>
      <c r="L36" s="7" t="n">
        <v>3419.5</v>
      </c>
      <c r="N36" s="7" t="n">
        <v>3280.8</v>
      </c>
      <c r="P36" s="7" t="n">
        <v>4363.4</v>
      </c>
      <c r="R36" s="7" t="n">
        <v>3737.5</v>
      </c>
      <c r="T36" s="7" t="n">
        <v>1952.1</v>
      </c>
      <c r="V36" s="7" t="n">
        <v>8991.4</v>
      </c>
      <c r="X36" s="7" t="n">
        <v>2753.8</v>
      </c>
      <c r="Z36" s="7" t="n">
        <v>2478.6</v>
      </c>
      <c r="AB36" s="7" t="n">
        <v>42922.1</v>
      </c>
    </row>
    <row r="37">
      <c r="A37" s="4" t="inlineStr">
        <is>
          <t>失业</t>
        </is>
      </c>
      <c r="D37" s="7" t="n">
        <v>1229.6</v>
      </c>
      <c r="F37" s="7" t="n">
        <v>2181.4</v>
      </c>
      <c r="H37" s="7" t="n">
        <v>2074.7</v>
      </c>
      <c r="J37" s="7" t="n">
        <v>2478.4</v>
      </c>
      <c r="L37" s="7" t="n">
        <v>1754.9</v>
      </c>
      <c r="N37" s="7" t="n">
        <v>1634.6</v>
      </c>
      <c r="P37" s="7" t="n">
        <v>1569</v>
      </c>
      <c r="R37" s="7" t="n">
        <v>1804.3</v>
      </c>
      <c r="T37" s="7" t="n">
        <v>1481.2</v>
      </c>
      <c r="V37" s="7" t="n">
        <v>4052.9</v>
      </c>
      <c r="X37" s="7" t="n">
        <v>1860.2</v>
      </c>
      <c r="Z37" s="7" t="n">
        <v>1263.8</v>
      </c>
      <c r="AB37" s="7" t="n">
        <v>23385</v>
      </c>
    </row>
    <row r="38">
      <c r="A38" s="4" t="inlineStr">
        <is>
          <t>生育</t>
        </is>
      </c>
      <c r="D38" s="7" t="n">
        <v>1005.2</v>
      </c>
      <c r="F38" s="7" t="n">
        <v>1459.4</v>
      </c>
      <c r="H38" s="7" t="n">
        <v>3169.7</v>
      </c>
      <c r="J38" s="7" t="n">
        <v>2726.4</v>
      </c>
      <c r="L38" s="7" t="n">
        <v>1492.8</v>
      </c>
      <c r="N38" s="7" t="n">
        <v>1960.6</v>
      </c>
      <c r="P38" s="7" t="n">
        <v>2322.2</v>
      </c>
      <c r="R38" s="7" t="n">
        <v>1977.1</v>
      </c>
      <c r="T38" s="7" t="n">
        <v>1637.8</v>
      </c>
      <c r="V38" s="7" t="n">
        <v>3540.5</v>
      </c>
      <c r="X38" s="7" t="n">
        <v>2011.8</v>
      </c>
      <c r="Z38" s="7" t="n">
        <v>1115.5</v>
      </c>
      <c r="AB38" s="7" t="n">
        <v>24419</v>
      </c>
    </row>
    <row r="39">
      <c r="A39" s="4" t="inlineStr">
        <is>
          <t>公积金</t>
        </is>
      </c>
      <c r="D39" s="7" t="n">
        <v>2490.9</v>
      </c>
      <c r="F39" s="7" t="n">
        <v>3948.4</v>
      </c>
      <c r="H39" s="7" t="n">
        <v>5926.9</v>
      </c>
      <c r="J39" s="7" t="n">
        <v>5560.2</v>
      </c>
      <c r="L39" s="7" t="n">
        <v>3880.5</v>
      </c>
      <c r="N39" s="7" t="n">
        <v>3198.1</v>
      </c>
      <c r="P39" s="7" t="n">
        <v>3925.1</v>
      </c>
      <c r="R39" s="7" t="n">
        <v>5101.3</v>
      </c>
      <c r="T39" s="7" t="n">
        <v>3498</v>
      </c>
      <c r="V39" s="7" t="n">
        <v>9636.9</v>
      </c>
      <c r="X39" s="7" t="n">
        <v>3636.8</v>
      </c>
      <c r="Z39" s="7" t="n">
        <v>2818.8</v>
      </c>
      <c r="AB39" s="7" t="n">
        <v>53621.9</v>
      </c>
    </row>
    <row r="40">
      <c r="A40" s="4" t="inlineStr">
        <is>
          <t>工会经费</t>
        </is>
      </c>
      <c r="D40" s="7" t="n">
        <v>1343.8</v>
      </c>
      <c r="F40" s="7" t="n">
        <v>3507.9</v>
      </c>
      <c r="H40" s="7" t="n">
        <v>4670</v>
      </c>
      <c r="J40" s="7" t="n">
        <v>5110</v>
      </c>
      <c r="L40" s="7" t="n">
        <v>2381.6</v>
      </c>
      <c r="N40" s="7" t="n">
        <v>4287.6</v>
      </c>
      <c r="P40" s="7" t="n">
        <v>2481.6</v>
      </c>
      <c r="R40" s="7" t="n">
        <v>4378.7</v>
      </c>
      <c r="T40" s="7" t="n">
        <v>1983.5</v>
      </c>
      <c r="V40" s="7" t="n">
        <v>5092.9</v>
      </c>
      <c r="X40" s="7" t="n">
        <v>2672.9</v>
      </c>
      <c r="Z40" s="7" t="n">
        <v>1704.2</v>
      </c>
      <c r="AB40" s="7" t="n">
        <v>39614.7</v>
      </c>
    </row>
    <row r="41">
      <c r="A41" s="4" t="inlineStr">
        <is>
          <t>职工教育经费</t>
        </is>
      </c>
      <c r="D41" s="7" t="n">
        <v>1875.4</v>
      </c>
      <c r="F41" s="7" t="n">
        <v>4488.3</v>
      </c>
      <c r="H41" s="7" t="n">
        <v>6456.6</v>
      </c>
      <c r="J41" s="7" t="n">
        <v>6142.1</v>
      </c>
      <c r="L41" s="7" t="n">
        <v>4079.1</v>
      </c>
      <c r="N41" s="7" t="n">
        <v>3375.2</v>
      </c>
      <c r="P41" s="7" t="n">
        <v>3197.6</v>
      </c>
      <c r="R41" s="7" t="n">
        <v>3366.3</v>
      </c>
      <c r="T41" s="7" t="n">
        <v>2742.8</v>
      </c>
      <c r="V41" s="7" t="n">
        <v>9296.5</v>
      </c>
      <c r="X41" s="7" t="n">
        <v>3615.5</v>
      </c>
      <c r="Z41" s="7" t="n">
        <v>2264.9</v>
      </c>
      <c r="AB41" s="7" t="n">
        <v>50900.3</v>
      </c>
    </row>
    <row r="42">
      <c r="A42" s="4" t="inlineStr">
        <is>
          <t>福利费</t>
        </is>
      </c>
      <c r="D42" s="7" t="n">
        <v>11535.3</v>
      </c>
      <c r="F42" s="7" t="n">
        <v>21336.5</v>
      </c>
      <c r="H42" s="7" t="n">
        <v>26277.1</v>
      </c>
      <c r="J42" s="7" t="n">
        <v>26853.1</v>
      </c>
      <c r="L42" s="7" t="n">
        <v>18060.5</v>
      </c>
      <c r="N42" s="7" t="n">
        <v>24379.6</v>
      </c>
      <c r="P42" s="7" t="n">
        <v>19291.6</v>
      </c>
      <c r="R42" s="7" t="n">
        <v>22429.4</v>
      </c>
      <c r="T42" s="7" t="n">
        <v>15672.2</v>
      </c>
      <c r="V42" s="7" t="n">
        <v>48102.8</v>
      </c>
      <c r="X42" s="7" t="n">
        <v>19663.5</v>
      </c>
      <c r="Z42" s="7" t="n">
        <v>13691.3</v>
      </c>
      <c r="AB42" s="7" t="n">
        <v>267292.9</v>
      </c>
    </row>
    <row r="43">
      <c r="A43" s="4" t="inlineStr">
        <is>
          <t>职工房租</t>
        </is>
      </c>
      <c r="D43" s="7" t="n">
        <v>828.6</v>
      </c>
      <c r="F43" s="7" t="n">
        <v>1102.3</v>
      </c>
      <c r="H43" s="7" t="n">
        <v>1466.4</v>
      </c>
      <c r="J43" s="7" t="n">
        <v>1347.5</v>
      </c>
      <c r="L43" s="7" t="n">
        <v>1306.8</v>
      </c>
      <c r="N43" s="7" t="n">
        <v>1327</v>
      </c>
      <c r="P43" s="7" t="n">
        <v>1209.5</v>
      </c>
      <c r="R43" s="7" t="n">
        <v>1675.8</v>
      </c>
      <c r="T43" s="7" t="n">
        <v>1174.9</v>
      </c>
      <c r="V43" s="7" t="n">
        <v>2383.9</v>
      </c>
      <c r="X43" s="7" t="n">
        <v>896.6</v>
      </c>
      <c r="Z43" s="7" t="n">
        <v>918.4</v>
      </c>
      <c r="AB43" s="7" t="n">
        <v>15637.7</v>
      </c>
    </row>
    <row r="44">
      <c r="A44" s="4" t="inlineStr">
        <is>
          <t>水电物业费</t>
        </is>
      </c>
      <c r="D44" s="7" t="n">
        <v>1403.8</v>
      </c>
      <c r="F44" s="7" t="n">
        <v>2523.2</v>
      </c>
      <c r="H44" s="7" t="n">
        <v>3608.3</v>
      </c>
      <c r="J44" s="7" t="n">
        <v>3264.5</v>
      </c>
      <c r="L44" s="7" t="n">
        <v>1717.9</v>
      </c>
      <c r="N44" s="7" t="n">
        <v>2196.3</v>
      </c>
      <c r="P44" s="7" t="n">
        <v>2534.6</v>
      </c>
      <c r="R44" s="7" t="n">
        <v>2038.4</v>
      </c>
      <c r="T44" s="7" t="n">
        <v>1626.8</v>
      </c>
      <c r="V44" s="7" t="n">
        <v>3977.8</v>
      </c>
      <c r="X44" s="7" t="n">
        <v>1933.6</v>
      </c>
      <c r="Z44" s="7" t="n">
        <v>1151.5</v>
      </c>
      <c r="AB44" s="7" t="n">
        <v>27976.7</v>
      </c>
    </row>
    <row r="45">
      <c r="A45" s="4" t="inlineStr">
        <is>
          <t>员工餐</t>
        </is>
      </c>
      <c r="D45" s="7" t="n">
        <v>1947.5</v>
      </c>
      <c r="F45" s="7" t="n">
        <v>3358.7</v>
      </c>
      <c r="H45" s="7" t="n">
        <v>3146.2</v>
      </c>
      <c r="J45" s="7" t="n">
        <v>4186.7</v>
      </c>
      <c r="L45" s="7" t="n">
        <v>2932.4</v>
      </c>
      <c r="N45" s="7" t="n">
        <v>3018.6</v>
      </c>
      <c r="P45" s="7" t="n">
        <v>3510.6</v>
      </c>
      <c r="R45" s="7" t="n">
        <v>3244.3</v>
      </c>
      <c r="T45" s="7" t="n">
        <v>2588.1</v>
      </c>
      <c r="V45" s="7" t="n">
        <v>4833.7</v>
      </c>
      <c r="X45" s="7" t="n">
        <v>2633</v>
      </c>
      <c r="Z45" s="7" t="n">
        <v>2248.3</v>
      </c>
      <c r="AB45" s="7" t="n">
        <v>37648.1</v>
      </c>
    </row>
    <row r="46">
      <c r="A46" s="4" t="inlineStr">
        <is>
          <t>节日礼品</t>
        </is>
      </c>
      <c r="D46" s="7" t="n">
        <v>335.5</v>
      </c>
      <c r="F46" s="7" t="n">
        <v>394.4</v>
      </c>
      <c r="H46" s="7" t="n">
        <v>773.4</v>
      </c>
      <c r="J46" s="7" t="n">
        <v>919</v>
      </c>
      <c r="L46" s="7" t="n">
        <v>491.3</v>
      </c>
      <c r="N46" s="7" t="n">
        <v>840.5</v>
      </c>
      <c r="P46" s="7" t="n">
        <v>729.8</v>
      </c>
      <c r="R46" s="7" t="n">
        <v>586.5</v>
      </c>
      <c r="T46" s="7" t="n">
        <v>365.8</v>
      </c>
      <c r="V46" s="7" t="n">
        <v>1577</v>
      </c>
      <c r="X46" s="7" t="n">
        <v>462.9</v>
      </c>
      <c r="Z46" s="7" t="n">
        <v>403.8</v>
      </c>
      <c r="AB46" s="7" t="n">
        <v>7879.9</v>
      </c>
    </row>
    <row r="47">
      <c r="A47" s="4" t="inlineStr">
        <is>
          <t>生日礼品</t>
        </is>
      </c>
      <c r="D47" s="7" t="n">
        <v>1964.1</v>
      </c>
      <c r="F47" s="7" t="n">
        <v>5291.2</v>
      </c>
      <c r="H47" s="7" t="n">
        <v>6922.2</v>
      </c>
      <c r="J47" s="7" t="n">
        <v>7483.5</v>
      </c>
      <c r="L47" s="7" t="n">
        <v>5929.7</v>
      </c>
      <c r="N47" s="7" t="n">
        <v>7511</v>
      </c>
      <c r="P47" s="7" t="n">
        <v>4323.7</v>
      </c>
      <c r="R47" s="7" t="n">
        <v>6600.6</v>
      </c>
      <c r="T47" s="7" t="n">
        <v>3245.6</v>
      </c>
      <c r="V47" s="7" t="n">
        <v>13944.4</v>
      </c>
      <c r="X47" s="7" t="n">
        <v>6079.1</v>
      </c>
      <c r="Z47" s="7" t="n">
        <v>3145.6</v>
      </c>
      <c r="AB47" s="7" t="n">
        <v>72440.7</v>
      </c>
    </row>
    <row r="48">
      <c r="A48" s="4" t="inlineStr">
        <is>
          <t>体检</t>
        </is>
      </c>
      <c r="D48" s="7" t="n">
        <v>1794.4</v>
      </c>
      <c r="F48" s="7" t="n">
        <v>3530.4</v>
      </c>
      <c r="H48" s="7" t="n">
        <v>4644.4</v>
      </c>
      <c r="J48" s="7" t="n">
        <v>4415</v>
      </c>
      <c r="L48" s="7" t="n">
        <v>1808.8</v>
      </c>
      <c r="N48" s="7" t="n">
        <v>3417.8</v>
      </c>
      <c r="P48" s="7" t="n">
        <v>2240</v>
      </c>
      <c r="R48" s="7" t="n">
        <v>3778.5</v>
      </c>
      <c r="T48" s="7" t="n">
        <v>1914.3</v>
      </c>
      <c r="V48" s="7" t="n">
        <v>7861.6</v>
      </c>
      <c r="X48" s="7" t="n">
        <v>2621.1</v>
      </c>
      <c r="Z48" s="7" t="n">
        <v>1822.7</v>
      </c>
      <c r="AB48" s="7" t="n">
        <v>39849</v>
      </c>
    </row>
    <row r="49">
      <c r="A49" s="4" t="inlineStr">
        <is>
          <t>其他福利支出</t>
        </is>
      </c>
      <c r="D49" s="7" t="n">
        <v>3261.4</v>
      </c>
      <c r="F49" s="7" t="n">
        <v>5136.3</v>
      </c>
      <c r="H49" s="7" t="n">
        <v>5716.2</v>
      </c>
      <c r="J49" s="7" t="n">
        <v>5236.9</v>
      </c>
      <c r="L49" s="7" t="n">
        <v>3873.6</v>
      </c>
      <c r="N49" s="7" t="n">
        <v>6068.4</v>
      </c>
      <c r="P49" s="7" t="n">
        <v>4743.4</v>
      </c>
      <c r="R49" s="7" t="n">
        <v>4505.3</v>
      </c>
      <c r="T49" s="7" t="n">
        <v>4756.7</v>
      </c>
      <c r="V49" s="7" t="n">
        <v>13524.4</v>
      </c>
      <c r="X49" s="7" t="n">
        <v>5037.2</v>
      </c>
      <c r="Z49" s="7" t="n">
        <v>4001</v>
      </c>
      <c r="AB49" s="7" t="n">
        <v>65860.8</v>
      </c>
    </row>
    <row r="50">
      <c r="A50" s="4" t="inlineStr">
        <is>
          <t>招聘费</t>
        </is>
      </c>
      <c r="D50" s="7" t="n">
        <v>611.4</v>
      </c>
      <c r="F50" s="7" t="n">
        <v>1212.5</v>
      </c>
      <c r="H50" s="7" t="n">
        <v>1567.4</v>
      </c>
      <c r="J50" s="7" t="n">
        <v>1287.4</v>
      </c>
      <c r="L50" s="7" t="n">
        <v>683</v>
      </c>
      <c r="N50" s="7" t="n">
        <v>1281.5</v>
      </c>
      <c r="P50" s="7" t="n">
        <v>841.8</v>
      </c>
      <c r="R50" s="7" t="n">
        <v>814</v>
      </c>
      <c r="T50" s="7" t="n">
        <v>696.4</v>
      </c>
      <c r="V50" s="7" t="n">
        <v>1827.7</v>
      </c>
      <c r="X50" s="7" t="n">
        <v>775.2</v>
      </c>
      <c r="Z50" s="7" t="n">
        <v>545.2</v>
      </c>
      <c r="AB50" s="7" t="n">
        <v>12143.5</v>
      </c>
    </row>
    <row r="51">
      <c r="A51" s="4" t="inlineStr">
        <is>
          <t>办公费</t>
        </is>
      </c>
      <c r="D51" s="7" t="n">
        <v>15131.1</v>
      </c>
      <c r="F51" s="7" t="n">
        <v>32480.5</v>
      </c>
      <c r="H51" s="7" t="n">
        <v>30100.6</v>
      </c>
      <c r="J51" s="7" t="n">
        <v>37703.7</v>
      </c>
      <c r="L51" s="7" t="n">
        <v>16735.8</v>
      </c>
      <c r="N51" s="7" t="n">
        <v>33124.3</v>
      </c>
      <c r="P51" s="7" t="n">
        <v>30193.3</v>
      </c>
      <c r="R51" s="7" t="n">
        <v>19946.8</v>
      </c>
      <c r="T51" s="7" t="n">
        <v>15653.1</v>
      </c>
      <c r="V51" s="7" t="n">
        <v>49625.1</v>
      </c>
      <c r="X51" s="7" t="n">
        <v>22255</v>
      </c>
      <c r="Z51" s="7" t="n">
        <v>16920.2</v>
      </c>
      <c r="AB51" s="7" t="n">
        <v>319869.5</v>
      </c>
    </row>
    <row r="52">
      <c r="A52" s="4" t="inlineStr">
        <is>
          <t>市内交通费</t>
        </is>
      </c>
      <c r="D52" s="7" t="n">
        <v>2883.1</v>
      </c>
      <c r="F52" s="7" t="n">
        <v>4427.9</v>
      </c>
      <c r="H52" s="7" t="n">
        <v>5149.3</v>
      </c>
      <c r="J52" s="7" t="n">
        <v>8131.3</v>
      </c>
      <c r="L52" s="7" t="n">
        <v>4062.7</v>
      </c>
      <c r="N52" s="7" t="n">
        <v>6341.9</v>
      </c>
      <c r="P52" s="7" t="n">
        <v>4402.7</v>
      </c>
      <c r="R52" s="7" t="n">
        <v>4129.6</v>
      </c>
      <c r="T52" s="7" t="n">
        <v>3145.9</v>
      </c>
      <c r="V52" s="7" t="n">
        <v>12614.8</v>
      </c>
      <c r="X52" s="7" t="n">
        <v>4909.1</v>
      </c>
      <c r="Z52" s="7" t="n">
        <v>3138.6</v>
      </c>
      <c r="AB52" s="7" t="n">
        <v>63336.9</v>
      </c>
    </row>
    <row r="53">
      <c r="A53" s="4" t="inlineStr">
        <is>
          <t>差旅费</t>
        </is>
      </c>
      <c r="D53" s="7" t="n">
        <v>27039.2</v>
      </c>
      <c r="F53" s="7" t="n">
        <v>50159.4</v>
      </c>
      <c r="H53" s="7" t="n">
        <v>69857.60000000001</v>
      </c>
      <c r="J53" s="7" t="n">
        <v>73061.3</v>
      </c>
      <c r="L53" s="7" t="n">
        <v>39352</v>
      </c>
      <c r="N53" s="7" t="n">
        <v>51465</v>
      </c>
      <c r="P53" s="7" t="n">
        <v>62399.2</v>
      </c>
      <c r="R53" s="7" t="n">
        <v>66223.60000000001</v>
      </c>
      <c r="T53" s="7" t="n">
        <v>30420.4</v>
      </c>
      <c r="V53" s="7" t="n">
        <v>108676.3</v>
      </c>
      <c r="X53" s="7" t="n">
        <v>52957.2</v>
      </c>
      <c r="Z53" s="7" t="n">
        <v>25236</v>
      </c>
      <c r="AB53" s="7" t="n">
        <v>656847.2</v>
      </c>
    </row>
    <row r="54">
      <c r="A54" s="4" t="inlineStr">
        <is>
          <t>交通费</t>
        </is>
      </c>
      <c r="D54" s="7" t="n">
        <v>1193.5</v>
      </c>
      <c r="F54" s="7" t="n">
        <v>3237.8</v>
      </c>
      <c r="H54" s="7" t="n">
        <v>4226.3</v>
      </c>
      <c r="J54" s="7" t="n">
        <v>4279.9</v>
      </c>
      <c r="L54" s="7" t="n">
        <v>2306.3</v>
      </c>
      <c r="N54" s="7" t="n">
        <v>3354.2</v>
      </c>
      <c r="P54" s="7" t="n">
        <v>3378</v>
      </c>
      <c r="R54" s="7" t="n">
        <v>2568.1</v>
      </c>
      <c r="T54" s="7" t="n">
        <v>2061.2</v>
      </c>
      <c r="V54" s="7" t="n">
        <v>7267.2</v>
      </c>
      <c r="X54" s="7" t="n">
        <v>2195.4</v>
      </c>
      <c r="Z54" s="7" t="n">
        <v>2096.3</v>
      </c>
      <c r="AB54" s="7" t="n">
        <v>38164.2</v>
      </c>
    </row>
    <row r="55">
      <c r="A55" s="4" t="inlineStr">
        <is>
          <t>住宿费</t>
        </is>
      </c>
      <c r="D55" s="7" t="n">
        <v>2256.3</v>
      </c>
      <c r="F55" s="7" t="n">
        <v>4548</v>
      </c>
      <c r="H55" s="7" t="n">
        <v>5881.7</v>
      </c>
      <c r="J55" s="7" t="n">
        <v>4318.6</v>
      </c>
      <c r="L55" s="7" t="n">
        <v>4090.6</v>
      </c>
      <c r="N55" s="7" t="n">
        <v>6348</v>
      </c>
      <c r="P55" s="7" t="n">
        <v>5424.6</v>
      </c>
      <c r="R55" s="7" t="n">
        <v>4483.7</v>
      </c>
      <c r="T55" s="7" t="n">
        <v>4270.5</v>
      </c>
      <c r="V55" s="7" t="n">
        <v>11385.3</v>
      </c>
      <c r="X55" s="7" t="n">
        <v>4366.5</v>
      </c>
      <c r="Z55" s="7" t="n">
        <v>2171.6</v>
      </c>
      <c r="AB55" s="7" t="n">
        <v>59545.4</v>
      </c>
    </row>
    <row r="56">
      <c r="A56" s="4" t="inlineStr">
        <is>
          <t>餐补</t>
        </is>
      </c>
      <c r="D56" s="7" t="n">
        <v>730.1</v>
      </c>
      <c r="F56" s="7" t="n">
        <v>2492.2</v>
      </c>
      <c r="H56" s="7" t="n">
        <v>3243.2</v>
      </c>
      <c r="J56" s="7" t="n">
        <v>1856.8</v>
      </c>
      <c r="L56" s="7" t="n">
        <v>2247</v>
      </c>
      <c r="N56" s="7" t="n">
        <v>1642.2</v>
      </c>
      <c r="P56" s="7" t="n">
        <v>1926.6</v>
      </c>
      <c r="R56" s="7" t="n">
        <v>2366.2</v>
      </c>
      <c r="T56" s="7" t="n">
        <v>1772.9</v>
      </c>
      <c r="V56" s="7" t="n">
        <v>5440.3</v>
      </c>
      <c r="X56" s="7" t="n">
        <v>1932.3</v>
      </c>
      <c r="Z56" s="7" t="n">
        <v>1211.5</v>
      </c>
      <c r="AB56" s="7" t="n">
        <v>26861.3</v>
      </c>
    </row>
    <row r="57">
      <c r="A57" s="4" t="inlineStr">
        <is>
          <t>交通补助</t>
        </is>
      </c>
      <c r="D57" s="7" t="n">
        <v>2648.9</v>
      </c>
      <c r="F57" s="7" t="n">
        <v>6768.3</v>
      </c>
      <c r="H57" s="7" t="n">
        <v>9222.6</v>
      </c>
      <c r="J57" s="7" t="n">
        <v>6678.7</v>
      </c>
      <c r="L57" s="7" t="n">
        <v>5701.5</v>
      </c>
      <c r="N57" s="7" t="n">
        <v>7220.6</v>
      </c>
      <c r="P57" s="7" t="n">
        <v>6011.7</v>
      </c>
      <c r="R57" s="7" t="n">
        <v>6412.2</v>
      </c>
      <c r="T57" s="7" t="n">
        <v>4003.9</v>
      </c>
      <c r="V57" s="7" t="n">
        <v>9831.5</v>
      </c>
      <c r="X57" s="7" t="n">
        <v>5234.8</v>
      </c>
      <c r="Z57" s="7" t="n">
        <v>3729.9</v>
      </c>
      <c r="AB57" s="7" t="n">
        <v>73464.60000000001</v>
      </c>
    </row>
    <row r="58">
      <c r="A58" s="4" t="inlineStr">
        <is>
          <t>通讯补助</t>
        </is>
      </c>
      <c r="D58" s="7" t="n">
        <v>1741.6</v>
      </c>
      <c r="F58" s="7" t="n">
        <v>2851.3</v>
      </c>
      <c r="H58" s="7" t="n">
        <v>3878.4</v>
      </c>
      <c r="J58" s="7" t="n">
        <v>4650.8</v>
      </c>
      <c r="L58" s="7" t="n">
        <v>4158.9</v>
      </c>
      <c r="N58" s="7" t="n">
        <v>4953.7</v>
      </c>
      <c r="P58" s="7" t="n">
        <v>4388.1</v>
      </c>
      <c r="R58" s="7" t="n">
        <v>5139.4</v>
      </c>
      <c r="T58" s="7" t="n">
        <v>2740.9</v>
      </c>
      <c r="V58" s="7" t="n">
        <v>8105.9</v>
      </c>
      <c r="X58" s="7" t="n">
        <v>3248.4</v>
      </c>
      <c r="Z58" s="7" t="n">
        <v>3393.3</v>
      </c>
      <c r="AB58" s="7" t="n">
        <v>49250.7</v>
      </c>
    </row>
    <row r="59">
      <c r="A59" s="4" t="inlineStr">
        <is>
          <t>招待费</t>
        </is>
      </c>
      <c r="D59" s="7" t="n">
        <v>19872.9</v>
      </c>
      <c r="F59" s="7" t="n">
        <v>26129.2</v>
      </c>
      <c r="H59" s="7" t="n">
        <v>54003.9</v>
      </c>
      <c r="J59" s="7" t="n">
        <v>42193.2</v>
      </c>
      <c r="L59" s="7" t="n">
        <v>36607.5</v>
      </c>
      <c r="N59" s="7" t="n">
        <v>49747.8</v>
      </c>
      <c r="P59" s="7" t="n">
        <v>25597.7</v>
      </c>
      <c r="R59" s="7" t="n">
        <v>29711.5</v>
      </c>
      <c r="T59" s="7" t="n">
        <v>20589.3</v>
      </c>
      <c r="V59" s="7" t="n">
        <v>53897.3</v>
      </c>
      <c r="X59" s="7" t="n">
        <v>33304.4</v>
      </c>
      <c r="Z59" s="7" t="n">
        <v>25273.8</v>
      </c>
      <c r="AB59" s="7" t="n">
        <v>416928.5</v>
      </c>
    </row>
    <row r="60">
      <c r="A60" s="4" t="inlineStr">
        <is>
          <t>通讯费</t>
        </is>
      </c>
      <c r="D60" s="7" t="n">
        <v>159.9</v>
      </c>
      <c r="F60" s="7" t="n">
        <v>255.7</v>
      </c>
      <c r="H60" s="7" t="n">
        <v>305.5</v>
      </c>
      <c r="J60" s="7" t="n">
        <v>293.8</v>
      </c>
      <c r="L60" s="7" t="n">
        <v>306.9</v>
      </c>
      <c r="N60" s="7" t="n">
        <v>236.8</v>
      </c>
      <c r="P60" s="7" t="n">
        <v>288.6</v>
      </c>
      <c r="R60" s="7" t="n">
        <v>251.5</v>
      </c>
      <c r="T60" s="7" t="n">
        <v>257</v>
      </c>
      <c r="V60" s="7" t="n">
        <v>680.2</v>
      </c>
      <c r="X60" s="7" t="n">
        <v>223.8</v>
      </c>
      <c r="Z60" s="7" t="n">
        <v>190.3</v>
      </c>
      <c r="AB60" s="7" t="n">
        <v>3450</v>
      </c>
    </row>
    <row r="61">
      <c r="A61" s="4" t="inlineStr">
        <is>
          <t>网络费</t>
        </is>
      </c>
      <c r="D61" s="7" t="n">
        <v>1722.7</v>
      </c>
      <c r="F61" s="7" t="n">
        <v>3306.1</v>
      </c>
      <c r="H61" s="7" t="n">
        <v>3946.7</v>
      </c>
      <c r="J61" s="7" t="n">
        <v>5358.7</v>
      </c>
      <c r="L61" s="7" t="n">
        <v>2897.9</v>
      </c>
      <c r="N61" s="7" t="n">
        <v>3924.6</v>
      </c>
      <c r="P61" s="7" t="n">
        <v>2930.3</v>
      </c>
      <c r="R61" s="7" t="n">
        <v>5047.4</v>
      </c>
      <c r="T61" s="7" t="n">
        <v>3664.7</v>
      </c>
      <c r="V61" s="7" t="n">
        <v>10289.1</v>
      </c>
      <c r="X61" s="7" t="n">
        <v>3730.5</v>
      </c>
      <c r="Z61" s="7" t="n">
        <v>2375.1</v>
      </c>
      <c r="AB61" s="7" t="n">
        <v>49193.8</v>
      </c>
    </row>
    <row r="62">
      <c r="A62" s="4" t="inlineStr">
        <is>
          <t>修理费</t>
        </is>
      </c>
      <c r="D62" s="7" t="n">
        <v>1825.7</v>
      </c>
      <c r="F62" s="7" t="n">
        <v>3498</v>
      </c>
      <c r="H62" s="7" t="n">
        <v>4081.1</v>
      </c>
      <c r="J62" s="7" t="n">
        <v>4220.5</v>
      </c>
      <c r="L62" s="7" t="n">
        <v>2285.9</v>
      </c>
      <c r="N62" s="7" t="n">
        <v>3120.5</v>
      </c>
      <c r="P62" s="7" t="n">
        <v>2314.8</v>
      </c>
      <c r="R62" s="7" t="n">
        <v>2713.7</v>
      </c>
      <c r="T62" s="7" t="n">
        <v>2535.3</v>
      </c>
      <c r="V62" s="7" t="n">
        <v>5984.3</v>
      </c>
      <c r="X62" s="7" t="n">
        <v>3091.7</v>
      </c>
      <c r="Z62" s="7" t="n">
        <v>1611.4</v>
      </c>
      <c r="AB62" s="7" t="n">
        <v>37282.9</v>
      </c>
    </row>
    <row r="63">
      <c r="A63" s="4" t="inlineStr">
        <is>
          <t>车辆费</t>
        </is>
      </c>
      <c r="D63" s="7" t="n">
        <v>2403.6</v>
      </c>
      <c r="F63" s="7" t="n">
        <v>4930.4</v>
      </c>
      <c r="H63" s="7" t="n">
        <v>5481</v>
      </c>
      <c r="J63" s="7" t="n">
        <v>6587.1</v>
      </c>
      <c r="L63" s="7" t="n">
        <v>3787.7</v>
      </c>
      <c r="N63" s="7" t="n">
        <v>3660.8</v>
      </c>
      <c r="P63" s="7" t="n">
        <v>3539.9</v>
      </c>
      <c r="R63" s="7" t="n">
        <v>3439.5</v>
      </c>
      <c r="T63" s="7" t="n">
        <v>3416.7</v>
      </c>
      <c r="V63" s="7" t="n">
        <v>10880.7</v>
      </c>
      <c r="X63" s="7" t="n">
        <v>4409.1</v>
      </c>
      <c r="Z63" s="7" t="n">
        <v>1974</v>
      </c>
      <c r="AB63" s="7" t="n">
        <v>54510.5</v>
      </c>
    </row>
    <row r="64">
      <c r="A64" s="4" t="inlineStr">
        <is>
          <t>租赁费</t>
        </is>
      </c>
      <c r="D64" s="7" t="n">
        <v>24835.3</v>
      </c>
      <c r="F64" s="7" t="n">
        <v>34643.2</v>
      </c>
      <c r="H64" s="7" t="n">
        <v>49023.8</v>
      </c>
      <c r="J64" s="7" t="n">
        <v>61202.9</v>
      </c>
      <c r="L64" s="7" t="n">
        <v>41897.1</v>
      </c>
      <c r="N64" s="7" t="n">
        <v>61877.4</v>
      </c>
      <c r="P64" s="7" t="n">
        <v>36666</v>
      </c>
      <c r="R64" s="7" t="n">
        <v>52171.4</v>
      </c>
      <c r="T64" s="7" t="n">
        <v>38394.3</v>
      </c>
      <c r="V64" s="7" t="n">
        <v>96856.10000000001</v>
      </c>
      <c r="X64" s="7" t="n">
        <v>38837.2</v>
      </c>
      <c r="Z64" s="7" t="n">
        <v>34399.9</v>
      </c>
      <c r="AB64" s="7" t="n">
        <v>570804.6</v>
      </c>
    </row>
    <row r="65">
      <c r="A65" s="4" t="inlineStr">
        <is>
          <t>能源费</t>
        </is>
      </c>
      <c r="D65" s="7" t="n">
        <v>7120.1</v>
      </c>
      <c r="F65" s="7" t="n">
        <v>13651.9</v>
      </c>
      <c r="H65" s="7" t="n">
        <v>14729.3</v>
      </c>
      <c r="J65" s="7" t="n">
        <v>14927.1</v>
      </c>
      <c r="L65" s="7" t="n">
        <v>13130.7</v>
      </c>
      <c r="N65" s="7" t="n">
        <v>18079.3</v>
      </c>
      <c r="P65" s="7" t="n">
        <v>14465.7</v>
      </c>
      <c r="R65" s="7" t="n">
        <v>13209.4</v>
      </c>
      <c r="T65" s="7" t="n">
        <v>10923.2</v>
      </c>
      <c r="V65" s="7" t="n">
        <v>29205.7</v>
      </c>
      <c r="X65" s="7" t="n">
        <v>12083.5</v>
      </c>
      <c r="Z65" s="7" t="n">
        <v>9826.1</v>
      </c>
      <c r="AB65" s="7" t="n">
        <v>171352</v>
      </c>
    </row>
    <row r="66">
      <c r="A66" s="4" t="inlineStr">
        <is>
          <t>水费</t>
        </is>
      </c>
      <c r="D66" s="7" t="n">
        <v>1846.6</v>
      </c>
      <c r="F66" s="7" t="n">
        <v>2859.8</v>
      </c>
      <c r="H66" s="7" t="n">
        <v>4205.4</v>
      </c>
      <c r="J66" s="7" t="n">
        <v>3674.3</v>
      </c>
      <c r="L66" s="7" t="n">
        <v>2448.3</v>
      </c>
      <c r="N66" s="7" t="n">
        <v>3687.9</v>
      </c>
      <c r="P66" s="7" t="n">
        <v>3260.5</v>
      </c>
      <c r="R66" s="7" t="n">
        <v>2478.5</v>
      </c>
      <c r="T66" s="7" t="n">
        <v>3157.7</v>
      </c>
      <c r="V66" s="7" t="n">
        <v>6649.6</v>
      </c>
      <c r="X66" s="7" t="n">
        <v>3427.5</v>
      </c>
      <c r="Z66" s="7" t="n">
        <v>2545.6</v>
      </c>
      <c r="AB66" s="7" t="n">
        <v>40241.7</v>
      </c>
    </row>
    <row r="67">
      <c r="A67" s="4" t="inlineStr">
        <is>
          <t>电费</t>
        </is>
      </c>
      <c r="D67" s="7" t="n">
        <v>1009.1</v>
      </c>
      <c r="F67" s="7" t="n">
        <v>2146</v>
      </c>
      <c r="H67" s="7" t="n">
        <v>2305</v>
      </c>
      <c r="J67" s="7" t="n">
        <v>2122.2</v>
      </c>
      <c r="L67" s="7" t="n">
        <v>1643.1</v>
      </c>
      <c r="N67" s="7" t="n">
        <v>3098.4</v>
      </c>
      <c r="P67" s="7" t="n">
        <v>2297</v>
      </c>
      <c r="R67" s="7" t="n">
        <v>2083.8</v>
      </c>
      <c r="T67" s="7" t="n">
        <v>1302.1</v>
      </c>
      <c r="V67" s="7" t="n">
        <v>4084</v>
      </c>
      <c r="X67" s="7" t="n">
        <v>1774</v>
      </c>
      <c r="Z67" s="7" t="n">
        <v>1642.8</v>
      </c>
      <c r="AB67" s="7" t="n">
        <v>25507.5</v>
      </c>
    </row>
    <row r="68">
      <c r="A68" s="4" t="inlineStr">
        <is>
          <t>燃气费</t>
        </is>
      </c>
      <c r="D68" s="7" t="n">
        <v>1566.1</v>
      </c>
      <c r="F68" s="7" t="n">
        <v>3094.9</v>
      </c>
      <c r="H68" s="7" t="n">
        <v>3185.3</v>
      </c>
      <c r="J68" s="7" t="n">
        <v>4329.8</v>
      </c>
      <c r="L68" s="7" t="n">
        <v>3307.2</v>
      </c>
      <c r="N68" s="7" t="n">
        <v>3591.3</v>
      </c>
      <c r="P68" s="7" t="n">
        <v>2936.9</v>
      </c>
      <c r="R68" s="7" t="n">
        <v>2364.9</v>
      </c>
      <c r="T68" s="7" t="n">
        <v>2608.1</v>
      </c>
      <c r="V68" s="7" t="n">
        <v>4910.4</v>
      </c>
      <c r="X68" s="7" t="n">
        <v>2915.4</v>
      </c>
      <c r="Z68" s="7" t="n">
        <v>1830.9</v>
      </c>
      <c r="AB68" s="7" t="n">
        <v>36641.2</v>
      </c>
    </row>
    <row r="69">
      <c r="A69" s="4" t="inlineStr">
        <is>
          <t>蒸汽费</t>
        </is>
      </c>
      <c r="D69" s="7" t="n">
        <v>2698.3</v>
      </c>
      <c r="F69" s="7" t="n">
        <v>5551.2</v>
      </c>
      <c r="H69" s="7" t="n">
        <v>5033.6</v>
      </c>
      <c r="J69" s="7" t="n">
        <v>4800.8</v>
      </c>
      <c r="L69" s="7" t="n">
        <v>5732.1</v>
      </c>
      <c r="N69" s="7" t="n">
        <v>7701.7</v>
      </c>
      <c r="P69" s="7" t="n">
        <v>5971.3</v>
      </c>
      <c r="R69" s="7" t="n">
        <v>6282.2</v>
      </c>
      <c r="T69" s="7" t="n">
        <v>3855.3</v>
      </c>
      <c r="V69" s="7" t="n">
        <v>13561.7</v>
      </c>
      <c r="X69" s="7" t="n">
        <v>3966.6</v>
      </c>
      <c r="Z69" s="7" t="n">
        <v>3806.8</v>
      </c>
      <c r="AB69" s="7" t="n">
        <v>68961.60000000001</v>
      </c>
    </row>
    <row r="70">
      <c r="A70" s="4" t="inlineStr">
        <is>
          <t>物业费</t>
        </is>
      </c>
      <c r="D70" s="7" t="n">
        <v>26.3</v>
      </c>
      <c r="F70" s="7" t="n">
        <v>47.1</v>
      </c>
      <c r="H70" s="7" t="n">
        <v>73.09999999999999</v>
      </c>
      <c r="J70" s="7" t="n">
        <v>73.09999999999999</v>
      </c>
      <c r="L70" s="7" t="n">
        <v>50.6</v>
      </c>
      <c r="N70" s="7" t="n">
        <v>60</v>
      </c>
      <c r="P70" s="7" t="n">
        <v>53.7</v>
      </c>
      <c r="R70" s="7" t="n">
        <v>38.1</v>
      </c>
      <c r="T70" s="7" t="n">
        <v>41.8</v>
      </c>
      <c r="V70" s="7" t="n">
        <v>79.3</v>
      </c>
      <c r="X70" s="7" t="n">
        <v>48</v>
      </c>
      <c r="Z70" s="7" t="n">
        <v>29.2</v>
      </c>
      <c r="AB70" s="7" t="n">
        <v>620.3</v>
      </c>
    </row>
    <row r="71">
      <c r="A71" s="4" t="inlineStr">
        <is>
          <t>劳动保护费</t>
        </is>
      </c>
      <c r="D71" s="7" t="n">
        <v>1992.8</v>
      </c>
      <c r="F71" s="7" t="n">
        <v>6478.7</v>
      </c>
      <c r="H71" s="7" t="n">
        <v>8060.6</v>
      </c>
      <c r="J71" s="7" t="n">
        <v>8410.700000000001</v>
      </c>
      <c r="L71" s="7" t="n">
        <v>6302.3</v>
      </c>
      <c r="N71" s="7" t="n">
        <v>4951.9</v>
      </c>
      <c r="P71" s="7" t="n">
        <v>4381.7</v>
      </c>
      <c r="R71" s="7" t="n">
        <v>4562.7</v>
      </c>
      <c r="T71" s="7" t="n">
        <v>3536.2</v>
      </c>
      <c r="V71" s="7" t="n">
        <v>12183.3</v>
      </c>
      <c r="X71" s="7" t="n">
        <v>5994.4</v>
      </c>
      <c r="Z71" s="7" t="n">
        <v>3105.7</v>
      </c>
      <c r="AB71" s="7" t="n">
        <v>69961</v>
      </c>
    </row>
    <row r="72">
      <c r="A72" s="4" t="inlineStr">
        <is>
          <t>顾问费</t>
        </is>
      </c>
      <c r="D72" s="7" t="n">
        <v>1052.4</v>
      </c>
      <c r="F72" s="7" t="n">
        <v>2089.6</v>
      </c>
      <c r="H72" s="7" t="n">
        <v>3079.1</v>
      </c>
      <c r="J72" s="7" t="n">
        <v>3733.7</v>
      </c>
      <c r="L72" s="7" t="n">
        <v>1716.1</v>
      </c>
      <c r="N72" s="7" t="n">
        <v>2921.6</v>
      </c>
      <c r="P72" s="7" t="n">
        <v>2837.9</v>
      </c>
      <c r="R72" s="7" t="n">
        <v>2563.6</v>
      </c>
      <c r="T72" s="7" t="n">
        <v>2140</v>
      </c>
      <c r="V72" s="7" t="n">
        <v>5628.1</v>
      </c>
      <c r="X72" s="7" t="n">
        <v>1547.6</v>
      </c>
      <c r="Z72" s="7" t="n">
        <v>1359.5</v>
      </c>
      <c r="AB72" s="7" t="n">
        <v>30669.2</v>
      </c>
    </row>
    <row r="73">
      <c r="A73" s="4" t="inlineStr">
        <is>
          <t>快递费</t>
        </is>
      </c>
      <c r="D73" s="7" t="n">
        <v>1163.9</v>
      </c>
      <c r="F73" s="7" t="n">
        <v>2176.2</v>
      </c>
      <c r="H73" s="7" t="n">
        <v>3313.1</v>
      </c>
      <c r="J73" s="7" t="n">
        <v>4017.3</v>
      </c>
      <c r="L73" s="7" t="n">
        <v>2746.9</v>
      </c>
      <c r="N73" s="7" t="n">
        <v>4289</v>
      </c>
      <c r="P73" s="7" t="n">
        <v>3398.7</v>
      </c>
      <c r="R73" s="7" t="n">
        <v>3970.4</v>
      </c>
      <c r="T73" s="7" t="n">
        <v>1857.4</v>
      </c>
      <c r="V73" s="7" t="n">
        <v>6895.8</v>
      </c>
      <c r="X73" s="7" t="n">
        <v>2068</v>
      </c>
      <c r="Z73" s="7" t="n">
        <v>1687.6</v>
      </c>
      <c r="AB73" s="7" t="n">
        <v>37584.3</v>
      </c>
    </row>
    <row r="74">
      <c r="A74" s="4" t="inlineStr">
        <is>
          <t>诉讼费</t>
        </is>
      </c>
      <c r="D74" s="7" t="n">
        <v>3071.2</v>
      </c>
      <c r="F74" s="7" t="n">
        <v>4772.5</v>
      </c>
      <c r="H74" s="7" t="n">
        <v>4718.4</v>
      </c>
      <c r="J74" s="7" t="n">
        <v>4698.8</v>
      </c>
      <c r="L74" s="7" t="n">
        <v>5639.8</v>
      </c>
      <c r="N74" s="7" t="n">
        <v>7133.5</v>
      </c>
      <c r="P74" s="7" t="n">
        <v>5331</v>
      </c>
      <c r="R74" s="7" t="n">
        <v>3694.9</v>
      </c>
      <c r="T74" s="7" t="n">
        <v>4843.9</v>
      </c>
      <c r="V74" s="7" t="n">
        <v>9465.5</v>
      </c>
      <c r="X74" s="7" t="n">
        <v>5716.6</v>
      </c>
      <c r="Z74" s="7" t="n">
        <v>3373.2</v>
      </c>
      <c r="AB74" s="7" t="n">
        <v>62459.3</v>
      </c>
    </row>
    <row r="75">
      <c r="A75" s="4" t="inlineStr">
        <is>
          <t>会员费</t>
        </is>
      </c>
      <c r="D75" s="7" t="n">
        <v>2434.8</v>
      </c>
      <c r="F75" s="7" t="n">
        <v>3941.1</v>
      </c>
      <c r="H75" s="7" t="n">
        <v>4191.1</v>
      </c>
      <c r="J75" s="7" t="n">
        <v>4360.8</v>
      </c>
      <c r="L75" s="7" t="n">
        <v>3286.8</v>
      </c>
      <c r="N75" s="7" t="n">
        <v>5988</v>
      </c>
      <c r="P75" s="7" t="n">
        <v>4154</v>
      </c>
      <c r="R75" s="7" t="n">
        <v>5506.9</v>
      </c>
      <c r="T75" s="7" t="n">
        <v>3001.5</v>
      </c>
      <c r="V75" s="7" t="n">
        <v>10645.1</v>
      </c>
      <c r="X75" s="7" t="n">
        <v>3041.4</v>
      </c>
      <c r="Z75" s="7" t="n">
        <v>3592.1</v>
      </c>
      <c r="AB75" s="7" t="n">
        <v>54143.6</v>
      </c>
    </row>
    <row r="76">
      <c r="A76" s="4" t="inlineStr">
        <is>
          <t>广告宣传费</t>
        </is>
      </c>
      <c r="D76" s="7" t="n">
        <v>14897.9</v>
      </c>
      <c r="F76" s="7" t="n">
        <v>25538.6</v>
      </c>
      <c r="H76" s="7" t="n">
        <v>43881.5</v>
      </c>
      <c r="J76" s="7" t="n">
        <v>24350.9</v>
      </c>
      <c r="L76" s="7" t="n">
        <v>22782.5</v>
      </c>
      <c r="N76" s="7" t="n">
        <v>36490.5</v>
      </c>
      <c r="P76" s="7" t="n">
        <v>24474.7</v>
      </c>
      <c r="R76" s="7" t="n">
        <v>31421.5</v>
      </c>
      <c r="T76" s="7" t="n">
        <v>25845.3</v>
      </c>
      <c r="V76" s="7" t="n">
        <v>52652.7</v>
      </c>
      <c r="X76" s="7" t="n">
        <v>27466.5</v>
      </c>
      <c r="Z76" s="7" t="n">
        <v>12126.6</v>
      </c>
      <c r="AB76" s="7" t="n">
        <v>341929.2</v>
      </c>
    </row>
    <row r="77">
      <c r="A77" s="4" t="inlineStr">
        <is>
          <t>会务费</t>
        </is>
      </c>
      <c r="D77" s="7" t="n">
        <v>1016.4</v>
      </c>
      <c r="F77" s="7" t="n">
        <v>1516.4</v>
      </c>
      <c r="H77" s="7" t="n">
        <v>1864.3</v>
      </c>
      <c r="J77" s="7" t="n">
        <v>2512.7</v>
      </c>
      <c r="L77" s="7" t="n">
        <v>1356.7</v>
      </c>
      <c r="N77" s="7" t="n">
        <v>2007.2</v>
      </c>
      <c r="P77" s="7" t="n">
        <v>1772.7</v>
      </c>
      <c r="R77" s="7" t="n">
        <v>1214.6</v>
      </c>
      <c r="T77" s="7" t="n">
        <v>1299.4</v>
      </c>
      <c r="V77" s="7" t="n">
        <v>3953.2</v>
      </c>
      <c r="X77" s="7" t="n">
        <v>1589.8</v>
      </c>
      <c r="Z77" s="7" t="n">
        <v>756.2</v>
      </c>
      <c r="AB77" s="7" t="n">
        <v>20859.6</v>
      </c>
    </row>
    <row r="78">
      <c r="A78" s="4" t="inlineStr">
        <is>
          <t>装修费</t>
        </is>
      </c>
      <c r="D78" s="7" t="n">
        <v>498.9</v>
      </c>
      <c r="F78" s="7" t="n">
        <v>929.6</v>
      </c>
      <c r="H78" s="7" t="n">
        <v>1317.1</v>
      </c>
      <c r="J78" s="7" t="n">
        <v>997.7</v>
      </c>
      <c r="L78" s="7" t="n">
        <v>609.7</v>
      </c>
      <c r="N78" s="7" t="n">
        <v>718.8</v>
      </c>
      <c r="P78" s="7" t="n">
        <v>807.3</v>
      </c>
      <c r="R78" s="7" t="n">
        <v>835.3</v>
      </c>
      <c r="T78" s="7" t="n">
        <v>589.9</v>
      </c>
      <c r="V78" s="7" t="n">
        <v>1475</v>
      </c>
      <c r="X78" s="7" t="n">
        <v>646.2</v>
      </c>
      <c r="Z78" s="7" t="n">
        <v>552</v>
      </c>
      <c r="AB78" s="7" t="n">
        <v>9977.5</v>
      </c>
    </row>
    <row r="79">
      <c r="A79" s="4" t="inlineStr">
        <is>
          <t>推广费</t>
        </is>
      </c>
      <c r="D79" s="7" t="n">
        <v>1504.4</v>
      </c>
      <c r="F79" s="7" t="n">
        <v>2215.4</v>
      </c>
      <c r="H79" s="7" t="n">
        <v>3779</v>
      </c>
      <c r="J79" s="7" t="n">
        <v>3047.9</v>
      </c>
      <c r="L79" s="7" t="n">
        <v>3039.7</v>
      </c>
      <c r="N79" s="7" t="n">
        <v>3290</v>
      </c>
      <c r="P79" s="7" t="n">
        <v>3055.6</v>
      </c>
      <c r="R79" s="7" t="n">
        <v>2870.8</v>
      </c>
      <c r="T79" s="7" t="n">
        <v>2296.2</v>
      </c>
      <c r="V79" s="7" t="n">
        <v>5110.2</v>
      </c>
      <c r="X79" s="7" t="n">
        <v>3549.4</v>
      </c>
      <c r="Z79" s="7" t="n">
        <v>2546.6</v>
      </c>
      <c r="AB79" s="7" t="n">
        <v>36305.2</v>
      </c>
    </row>
    <row r="80">
      <c r="A80" s="4" t="inlineStr">
        <is>
          <t>展会费</t>
        </is>
      </c>
      <c r="D80" s="7" t="n">
        <v>2928.9</v>
      </c>
      <c r="F80" s="7" t="n">
        <v>4375.8</v>
      </c>
      <c r="H80" s="7" t="n">
        <v>6781</v>
      </c>
      <c r="J80" s="7" t="n">
        <v>5569.7</v>
      </c>
      <c r="L80" s="7" t="n">
        <v>4458.1</v>
      </c>
      <c r="N80" s="7" t="n">
        <v>6457.6</v>
      </c>
      <c r="P80" s="7" t="n">
        <v>4270.1</v>
      </c>
      <c r="R80" s="7" t="n">
        <v>5557.8</v>
      </c>
      <c r="T80" s="7" t="n">
        <v>4135.7</v>
      </c>
      <c r="V80" s="7" t="n">
        <v>11887.9</v>
      </c>
      <c r="X80" s="7" t="n">
        <v>3764</v>
      </c>
      <c r="Z80" s="7" t="n">
        <v>3074.1</v>
      </c>
      <c r="AB80" s="7" t="n">
        <v>63260.7</v>
      </c>
    </row>
    <row r="81">
      <c r="A81" s="4" t="inlineStr">
        <is>
          <t>设计费</t>
        </is>
      </c>
      <c r="D81" s="7" t="n">
        <v>760.9</v>
      </c>
      <c r="F81" s="7" t="n">
        <v>1453.3</v>
      </c>
      <c r="H81" s="7" t="n">
        <v>1504.9</v>
      </c>
      <c r="J81" s="7" t="n">
        <v>1369.8</v>
      </c>
      <c r="L81" s="7" t="n">
        <v>1126.6</v>
      </c>
      <c r="N81" s="7" t="n">
        <v>2074.9</v>
      </c>
      <c r="P81" s="7" t="n">
        <v>1311.8</v>
      </c>
      <c r="R81" s="7" t="n">
        <v>1563.4</v>
      </c>
      <c r="T81" s="7" t="n">
        <v>1294</v>
      </c>
      <c r="V81" s="7" t="n">
        <v>2716</v>
      </c>
      <c r="X81" s="7" t="n">
        <v>1145.6</v>
      </c>
      <c r="Z81" s="7" t="n">
        <v>1083</v>
      </c>
      <c r="AB81" s="7" t="n">
        <v>17404.2</v>
      </c>
    </row>
    <row r="82">
      <c r="A82" s="4" t="inlineStr">
        <is>
          <t>折旧费</t>
        </is>
      </c>
      <c r="D82" s="7" t="n">
        <v>21285.7</v>
      </c>
      <c r="F82" s="7" t="n">
        <v>43719.6</v>
      </c>
      <c r="H82" s="7" t="n">
        <v>35602.5</v>
      </c>
      <c r="J82" s="7" t="n">
        <v>39570.5</v>
      </c>
      <c r="L82" s="7" t="n">
        <v>40040.1</v>
      </c>
      <c r="N82" s="7" t="n">
        <v>33179</v>
      </c>
      <c r="P82" s="7" t="n">
        <v>32061.2</v>
      </c>
      <c r="R82" s="7" t="n">
        <v>46128.2</v>
      </c>
      <c r="T82" s="7" t="n">
        <v>34685.6</v>
      </c>
      <c r="V82" s="7" t="n">
        <v>65477.1</v>
      </c>
      <c r="X82" s="7" t="n">
        <v>35138.5</v>
      </c>
      <c r="Z82" s="7" t="n">
        <v>22404.7</v>
      </c>
      <c r="AB82" s="7" t="n">
        <v>449292.7</v>
      </c>
    </row>
    <row r="83">
      <c r="A83" s="4" t="inlineStr">
        <is>
          <t>认证费</t>
        </is>
      </c>
      <c r="D83" s="7" t="n">
        <v>1397.5</v>
      </c>
      <c r="F83" s="7" t="n">
        <v>2974.2</v>
      </c>
      <c r="H83" s="7" t="n">
        <v>5116.4</v>
      </c>
      <c r="J83" s="7" t="n">
        <v>3917.2</v>
      </c>
      <c r="L83" s="7" t="n">
        <v>2289.8</v>
      </c>
      <c r="N83" s="7" t="n">
        <v>3963.8</v>
      </c>
      <c r="P83" s="7" t="n">
        <v>3595.1</v>
      </c>
      <c r="R83" s="7" t="n">
        <v>3498.8</v>
      </c>
      <c r="T83" s="7" t="n">
        <v>2834.4</v>
      </c>
      <c r="V83" s="7" t="n">
        <v>7278</v>
      </c>
      <c r="X83" s="7" t="n">
        <v>3777.1</v>
      </c>
      <c r="Z83" s="7" t="n">
        <v>2077.7</v>
      </c>
      <c r="AB83" s="7" t="n">
        <v>42720</v>
      </c>
    </row>
    <row r="84">
      <c r="A84" s="4" t="inlineStr">
        <is>
          <t>样品费</t>
        </is>
      </c>
      <c r="D84" s="7" t="n">
        <v>9849</v>
      </c>
      <c r="F84" s="7" t="n">
        <v>16389.3</v>
      </c>
      <c r="H84" s="7" t="n">
        <v>19922</v>
      </c>
      <c r="J84" s="7" t="n">
        <v>24736.1</v>
      </c>
      <c r="L84" s="7" t="n">
        <v>18804.9</v>
      </c>
      <c r="N84" s="7" t="n">
        <v>23805.2</v>
      </c>
      <c r="P84" s="7" t="n">
        <v>17058.5</v>
      </c>
      <c r="R84" s="7" t="n">
        <v>18029</v>
      </c>
      <c r="T84" s="7" t="n">
        <v>14618.9</v>
      </c>
      <c r="V84" s="7" t="n">
        <v>31628.8</v>
      </c>
      <c r="X84" s="7" t="n">
        <v>17226.7</v>
      </c>
      <c r="Z84" s="7" t="n">
        <v>12717.7</v>
      </c>
      <c r="AB84" s="7" t="n">
        <v>224786.1</v>
      </c>
    </row>
    <row r="85">
      <c r="A85" s="4" t="inlineStr">
        <is>
          <t>劳务费</t>
        </is>
      </c>
      <c r="D85" s="7" t="n">
        <v>1685.9</v>
      </c>
      <c r="F85" s="7" t="n">
        <v>5698.9</v>
      </c>
      <c r="H85" s="7" t="n">
        <v>5818.3</v>
      </c>
      <c r="J85" s="7" t="n">
        <v>5394.5</v>
      </c>
      <c r="L85" s="7" t="n">
        <v>4099.8</v>
      </c>
      <c r="N85" s="7" t="n">
        <v>6550.2</v>
      </c>
      <c r="P85" s="7" t="n">
        <v>5204.6</v>
      </c>
      <c r="R85" s="7" t="n">
        <v>4788.5</v>
      </c>
      <c r="T85" s="7" t="n">
        <v>4112.8</v>
      </c>
      <c r="V85" s="7" t="n">
        <v>8865.4</v>
      </c>
      <c r="X85" s="7" t="n">
        <v>5035.1</v>
      </c>
      <c r="Z85" s="7" t="n">
        <v>2978.4</v>
      </c>
      <c r="AB85" s="7" t="n">
        <v>60232.4</v>
      </c>
    </row>
    <row r="86">
      <c r="A86" s="4" t="inlineStr">
        <is>
          <t>销售佣金</t>
        </is>
      </c>
      <c r="D86" s="7" t="n">
        <v>1375.6</v>
      </c>
      <c r="F86" s="7" t="n">
        <v>4135.4</v>
      </c>
      <c r="H86" s="7" t="n">
        <v>5215.6</v>
      </c>
      <c r="J86" s="7" t="n">
        <v>4235.5</v>
      </c>
      <c r="L86" s="7" t="n">
        <v>3594</v>
      </c>
      <c r="N86" s="7" t="n">
        <v>3073.8</v>
      </c>
      <c r="P86" s="7" t="n">
        <v>4870.5</v>
      </c>
      <c r="R86" s="7" t="n">
        <v>4175.8</v>
      </c>
      <c r="T86" s="7" t="n">
        <v>2661.7</v>
      </c>
      <c r="V86" s="7" t="n">
        <v>9017.1</v>
      </c>
      <c r="X86" s="7" t="n">
        <v>4210.9</v>
      </c>
      <c r="Z86" s="7" t="n">
        <v>2258.4</v>
      </c>
      <c r="AB86" s="7" t="n">
        <v>48824.3</v>
      </c>
    </row>
    <row r="87">
      <c r="A87" s="4" t="inlineStr">
        <is>
          <t>检测费</t>
        </is>
      </c>
      <c r="D87" s="7" t="n">
        <v>25.9</v>
      </c>
      <c r="F87" s="7" t="n">
        <v>59.2</v>
      </c>
      <c r="H87" s="7" t="n">
        <v>79.59999999999999</v>
      </c>
      <c r="J87" s="7" t="n">
        <v>80.40000000000001</v>
      </c>
      <c r="L87" s="7" t="n">
        <v>57.1</v>
      </c>
      <c r="N87" s="7" t="n">
        <v>67.59999999999999</v>
      </c>
      <c r="P87" s="7" t="n">
        <v>58.3</v>
      </c>
      <c r="R87" s="7" t="n">
        <v>72.59999999999999</v>
      </c>
      <c r="T87" s="7" t="n">
        <v>49.3</v>
      </c>
      <c r="V87" s="7" t="n">
        <v>129.4</v>
      </c>
      <c r="X87" s="7" t="n">
        <v>49.3</v>
      </c>
      <c r="Z87" s="7" t="n">
        <v>27.8</v>
      </c>
      <c r="AB87" s="7" t="n">
        <v>756.5</v>
      </c>
    </row>
    <row r="88">
      <c r="A88" s="4" t="inlineStr">
        <is>
          <t>质量赔偿</t>
        </is>
      </c>
      <c r="D88" s="7" t="n">
        <v>285</v>
      </c>
      <c r="F88" s="7" t="n">
        <v>744.9</v>
      </c>
      <c r="H88" s="7" t="n">
        <v>600.8</v>
      </c>
      <c r="J88" s="7" t="n">
        <v>960.9</v>
      </c>
      <c r="L88" s="7" t="n">
        <v>424.7</v>
      </c>
      <c r="N88" s="7" t="n">
        <v>614.8</v>
      </c>
      <c r="P88" s="7" t="n">
        <v>601.9</v>
      </c>
      <c r="R88" s="7" t="n">
        <v>509.5</v>
      </c>
      <c r="T88" s="7" t="n">
        <v>459.2</v>
      </c>
      <c r="V88" s="7" t="n">
        <v>1264.4</v>
      </c>
      <c r="X88" s="7" t="n">
        <v>519.2</v>
      </c>
      <c r="Z88" s="7" t="n">
        <v>431.7</v>
      </c>
      <c r="AB88" s="7" t="n">
        <v>7417</v>
      </c>
    </row>
    <row r="89">
      <c r="A89" s="4" t="inlineStr">
        <is>
          <t>保险费</t>
        </is>
      </c>
      <c r="D89" s="7" t="n">
        <v>805.7</v>
      </c>
      <c r="F89" s="7" t="n">
        <v>2110.5</v>
      </c>
      <c r="H89" s="7" t="n">
        <v>1831.2</v>
      </c>
      <c r="J89" s="7" t="n">
        <v>2803.9</v>
      </c>
      <c r="L89" s="7" t="n">
        <v>1796.9</v>
      </c>
      <c r="N89" s="7" t="n">
        <v>2338.7</v>
      </c>
      <c r="P89" s="7" t="n">
        <v>1506.6</v>
      </c>
      <c r="R89" s="7" t="n">
        <v>2433.5</v>
      </c>
      <c r="T89" s="7" t="n">
        <v>1197.9</v>
      </c>
      <c r="V89" s="7" t="n">
        <v>3148.5</v>
      </c>
      <c r="X89" s="7" t="n">
        <v>1309.3</v>
      </c>
      <c r="Z89" s="7" t="n">
        <v>1220</v>
      </c>
      <c r="AB89" s="7" t="n">
        <v>22502.7</v>
      </c>
    </row>
    <row r="90">
      <c r="A90" s="4" t="inlineStr">
        <is>
          <t>清洁费</t>
        </is>
      </c>
      <c r="D90" s="7" t="n">
        <v>2308.5</v>
      </c>
      <c r="F90" s="7" t="n">
        <v>5043.1</v>
      </c>
      <c r="H90" s="7" t="n">
        <v>5801.6</v>
      </c>
      <c r="J90" s="7" t="n">
        <v>7554.4</v>
      </c>
      <c r="L90" s="7" t="n">
        <v>4758.2</v>
      </c>
      <c r="N90" s="7" t="n">
        <v>4558.9</v>
      </c>
      <c r="P90" s="7" t="n">
        <v>6057.9</v>
      </c>
      <c r="R90" s="7" t="n">
        <v>4638.6</v>
      </c>
      <c r="T90" s="7" t="n">
        <v>4489</v>
      </c>
      <c r="V90" s="7" t="n">
        <v>10975.2</v>
      </c>
      <c r="X90" s="7" t="n">
        <v>5550.1</v>
      </c>
      <c r="Z90" s="7" t="n">
        <v>2914.6</v>
      </c>
      <c r="AB90" s="7" t="n">
        <v>64650.1</v>
      </c>
    </row>
    <row r="91">
      <c r="A91" s="4" t="inlineStr">
        <is>
          <t>低值易耗品</t>
        </is>
      </c>
      <c r="D91" s="7" t="n">
        <v>2559.4</v>
      </c>
      <c r="F91" s="7" t="n">
        <v>3095.9</v>
      </c>
      <c r="H91" s="7" t="n">
        <v>4275.1</v>
      </c>
      <c r="J91" s="7" t="n">
        <v>6689.3</v>
      </c>
      <c r="L91" s="7" t="n">
        <v>3162.1</v>
      </c>
      <c r="N91" s="7" t="n">
        <v>4466.5</v>
      </c>
      <c r="P91" s="7" t="n">
        <v>4337</v>
      </c>
      <c r="R91" s="7" t="n">
        <v>3814.6</v>
      </c>
      <c r="T91" s="7" t="n">
        <v>4065.3</v>
      </c>
      <c r="V91" s="7" t="n">
        <v>9383.9</v>
      </c>
      <c r="X91" s="7" t="n">
        <v>4203.7</v>
      </c>
      <c r="Z91" s="7" t="n">
        <v>2939.8</v>
      </c>
      <c r="AB91" s="7" t="n">
        <v>52992.6</v>
      </c>
    </row>
    <row r="92">
      <c r="A92" s="4" t="inlineStr">
        <is>
          <t>物料消耗</t>
        </is>
      </c>
      <c r="D92" s="7" t="n">
        <v>1846.2</v>
      </c>
      <c r="F92" s="7" t="n">
        <v>3099.6</v>
      </c>
      <c r="H92" s="7" t="n">
        <v>5510.7</v>
      </c>
      <c r="J92" s="7" t="n">
        <v>4756.6</v>
      </c>
      <c r="L92" s="7" t="n">
        <v>3759.1</v>
      </c>
      <c r="N92" s="7" t="n">
        <v>4553.2</v>
      </c>
      <c r="P92" s="7" t="n">
        <v>3176.7</v>
      </c>
      <c r="R92" s="7" t="n">
        <v>3863.4</v>
      </c>
      <c r="T92" s="7" t="n">
        <v>2037.1</v>
      </c>
      <c r="V92" s="7" t="n">
        <v>5853</v>
      </c>
      <c r="X92" s="7" t="n">
        <v>2429.8</v>
      </c>
      <c r="Z92" s="7" t="n">
        <v>1993.8</v>
      </c>
      <c r="AB92" s="7" t="n">
        <v>42879.2</v>
      </c>
    </row>
    <row r="93">
      <c r="A93" s="4" t="inlineStr">
        <is>
          <t>盘盈盘亏</t>
        </is>
      </c>
      <c r="D93" s="7" t="n">
        <v>586.4</v>
      </c>
      <c r="F93" s="7" t="n">
        <v>1027.9</v>
      </c>
      <c r="H93" s="7" t="n">
        <v>1299.7</v>
      </c>
      <c r="J93" s="7" t="n">
        <v>1041.5</v>
      </c>
      <c r="L93" s="7" t="n">
        <v>881.2</v>
      </c>
      <c r="N93" s="7" t="n">
        <v>984.6</v>
      </c>
      <c r="P93" s="7" t="n">
        <v>1170.8</v>
      </c>
      <c r="R93" s="7" t="n">
        <v>1208.1</v>
      </c>
      <c r="T93" s="7" t="n">
        <v>883.2</v>
      </c>
      <c r="V93" s="7" t="n">
        <v>2919.4</v>
      </c>
      <c r="X93" s="7" t="n">
        <v>975.1</v>
      </c>
      <c r="Z93" s="7" t="n">
        <v>671.8</v>
      </c>
      <c r="AB93" s="7" t="n">
        <v>13649.7</v>
      </c>
    </row>
    <row r="94">
      <c r="A94" s="4" t="inlineStr">
        <is>
          <t>平台服务费</t>
        </is>
      </c>
      <c r="D94" s="7" t="n">
        <v>357.9</v>
      </c>
      <c r="F94" s="7" t="n">
        <v>759.8</v>
      </c>
      <c r="H94" s="7" t="n">
        <v>767</v>
      </c>
      <c r="J94" s="7" t="n">
        <v>933.6</v>
      </c>
      <c r="L94" s="7" t="n">
        <v>512.4</v>
      </c>
      <c r="N94" s="7" t="n">
        <v>727.2</v>
      </c>
      <c r="P94" s="7" t="n">
        <v>986.9</v>
      </c>
      <c r="R94" s="7" t="n">
        <v>1060.6</v>
      </c>
      <c r="T94" s="7" t="n">
        <v>624.7</v>
      </c>
      <c r="V94" s="7" t="n">
        <v>1716.1</v>
      </c>
      <c r="X94" s="7" t="n">
        <v>803.7</v>
      </c>
      <c r="Z94" s="7" t="n">
        <v>491.9</v>
      </c>
      <c r="AB94" s="7" t="n">
        <v>9741.799999999999</v>
      </c>
    </row>
    <row r="95">
      <c r="A95" s="4" t="inlineStr">
        <is>
          <t>无形资产摊销</t>
        </is>
      </c>
      <c r="D95" s="7" t="n">
        <v>2394.4</v>
      </c>
      <c r="F95" s="7" t="n">
        <v>3512.8</v>
      </c>
      <c r="H95" s="7" t="n">
        <v>4505.9</v>
      </c>
      <c r="J95" s="7" t="n">
        <v>7061.6</v>
      </c>
      <c r="L95" s="7" t="n">
        <v>3804.3</v>
      </c>
      <c r="N95" s="7" t="n">
        <v>4815.5</v>
      </c>
      <c r="P95" s="7" t="n">
        <v>5080.4</v>
      </c>
      <c r="R95" s="7" t="n">
        <v>3978</v>
      </c>
      <c r="T95" s="7" t="n">
        <v>3632</v>
      </c>
      <c r="V95" s="7" t="n">
        <v>11804.3</v>
      </c>
      <c r="X95" s="7" t="n">
        <v>5022.5</v>
      </c>
      <c r="Z95" s="7" t="n">
        <v>3194.1</v>
      </c>
      <c r="AB95" s="7" t="n">
        <v>58805.8</v>
      </c>
    </row>
    <row r="96">
      <c r="A96" s="4" t="inlineStr">
        <is>
          <t>研发材料</t>
        </is>
      </c>
      <c r="D96" s="7" t="n">
        <v>249.7</v>
      </c>
      <c r="F96" s="7" t="n">
        <v>735.9</v>
      </c>
      <c r="H96" s="7" t="n">
        <v>1009.3</v>
      </c>
      <c r="J96" s="7" t="n">
        <v>757.2</v>
      </c>
      <c r="L96" s="7" t="n">
        <v>699.3</v>
      </c>
      <c r="N96" s="7" t="n">
        <v>544.1</v>
      </c>
      <c r="P96" s="7" t="n">
        <v>757.7</v>
      </c>
      <c r="R96" s="7" t="n">
        <v>688.1</v>
      </c>
      <c r="T96" s="7" t="n">
        <v>650.1</v>
      </c>
      <c r="V96" s="7" t="n">
        <v>1057.7</v>
      </c>
      <c r="X96" s="7" t="n">
        <v>699.5</v>
      </c>
      <c r="Z96" s="7" t="n">
        <v>481.1</v>
      </c>
      <c r="AB96" s="7" t="n">
        <v>8329.700000000001</v>
      </c>
    </row>
    <row r="97">
      <c r="A97" s="4" t="inlineStr">
        <is>
          <t>项目名称</t>
        </is>
      </c>
      <c r="D97" s="7" t="n">
        <v>1110.5</v>
      </c>
      <c r="F97" s="7" t="n">
        <v>1611</v>
      </c>
      <c r="H97" s="7" t="n">
        <v>2020.9</v>
      </c>
      <c r="J97" s="7" t="n">
        <v>2575.3</v>
      </c>
      <c r="L97" s="7" t="n">
        <v>1484.4</v>
      </c>
      <c r="N97" s="7" t="n">
        <v>2558.4</v>
      </c>
      <c r="P97" s="7" t="n">
        <v>2052.3</v>
      </c>
      <c r="R97" s="7" t="n">
        <v>1482.7</v>
      </c>
      <c r="T97" s="7" t="n">
        <v>1567.6</v>
      </c>
      <c r="V97" s="7" t="n">
        <v>3845.3</v>
      </c>
      <c r="X97" s="7" t="n">
        <v>1397.7</v>
      </c>
      <c r="Z97" s="7" t="n">
        <v>1238.4</v>
      </c>
      <c r="AB97" s="7" t="n">
        <v>22944.5</v>
      </c>
    </row>
    <row r="98">
      <c r="A98" s="4" t="inlineStr">
        <is>
          <t>研发费</t>
        </is>
      </c>
      <c r="D98" s="7" t="n">
        <v>1452.3</v>
      </c>
      <c r="F98" s="7" t="n">
        <v>2766.4</v>
      </c>
      <c r="H98" s="7" t="n">
        <v>3893</v>
      </c>
      <c r="J98" s="7" t="n">
        <v>3790.9</v>
      </c>
      <c r="L98" s="7" t="n">
        <v>2408.9</v>
      </c>
      <c r="N98" s="7" t="n">
        <v>3819.2</v>
      </c>
      <c r="P98" s="7" t="n">
        <v>3251.5</v>
      </c>
      <c r="R98" s="7" t="n">
        <v>3829</v>
      </c>
      <c r="T98" s="7" t="n">
        <v>2511.1</v>
      </c>
      <c r="V98" s="7" t="n">
        <v>8714.1</v>
      </c>
      <c r="X98" s="7" t="n">
        <v>2850.8</v>
      </c>
      <c r="Z98" s="7" t="n">
        <v>2010.5</v>
      </c>
      <c r="AB98" s="7" t="n">
        <v>41297.7</v>
      </c>
    </row>
    <row r="99">
      <c r="A99" s="4" t="inlineStr">
        <is>
          <t>残保金</t>
        </is>
      </c>
      <c r="D99" s="7" t="n">
        <v>3180.2</v>
      </c>
      <c r="F99" s="7" t="n">
        <v>5302.4</v>
      </c>
      <c r="H99" s="7" t="n">
        <v>4850.6</v>
      </c>
      <c r="J99" s="7" t="n">
        <v>7968.8</v>
      </c>
      <c r="L99" s="7" t="n">
        <v>5201.5</v>
      </c>
      <c r="N99" s="7" t="n">
        <v>7116.9</v>
      </c>
      <c r="P99" s="7" t="n">
        <v>6575.3</v>
      </c>
      <c r="R99" s="7" t="n">
        <v>6191.4</v>
      </c>
      <c r="T99" s="7" t="n">
        <v>2955.4</v>
      </c>
      <c r="V99" s="7" t="n">
        <v>12839.5</v>
      </c>
      <c r="X99" s="7" t="n">
        <v>3760.3</v>
      </c>
      <c r="Z99" s="7" t="n">
        <v>3570.4</v>
      </c>
      <c r="AB99" s="7" t="n">
        <v>69512.7</v>
      </c>
    </row>
    <row r="100">
      <c r="A100" s="4" t="inlineStr">
        <is>
          <t>环保费</t>
        </is>
      </c>
      <c r="D100" s="7" t="n">
        <v>2751.1</v>
      </c>
      <c r="F100" s="7" t="n">
        <v>5111.4</v>
      </c>
      <c r="H100" s="7" t="n">
        <v>6146.8</v>
      </c>
      <c r="J100" s="7" t="n">
        <v>6302.1</v>
      </c>
      <c r="L100" s="7" t="n">
        <v>3692.5</v>
      </c>
      <c r="N100" s="7" t="n">
        <v>5209.4</v>
      </c>
      <c r="P100" s="7" t="n">
        <v>4759.7</v>
      </c>
      <c r="R100" s="7" t="n">
        <v>5292.1</v>
      </c>
      <c r="T100" s="7" t="n">
        <v>4515.4</v>
      </c>
      <c r="V100" s="7" t="n">
        <v>7683.1</v>
      </c>
      <c r="X100" s="7" t="n">
        <v>4312.6</v>
      </c>
      <c r="Z100" s="7" t="n">
        <v>2652.3</v>
      </c>
      <c r="AB100" s="7" t="n">
        <v>58428.5</v>
      </c>
    </row>
    <row r="101">
      <c r="A101" s="4" t="inlineStr">
        <is>
          <t>报废损失</t>
        </is>
      </c>
      <c r="D101" s="7" t="n">
        <v>2476.5</v>
      </c>
      <c r="F101" s="7" t="n">
        <v>6635.7</v>
      </c>
      <c r="H101" s="7" t="n">
        <v>6266.8</v>
      </c>
      <c r="J101" s="7" t="n">
        <v>4774.6</v>
      </c>
      <c r="L101" s="7" t="n">
        <v>5642.7</v>
      </c>
      <c r="N101" s="7" t="n">
        <v>7073.7</v>
      </c>
      <c r="P101" s="7" t="n">
        <v>6306.3</v>
      </c>
      <c r="R101" s="7" t="n">
        <v>5399.1</v>
      </c>
      <c r="T101" s="7" t="n">
        <v>4564.8</v>
      </c>
      <c r="V101" s="7" t="n">
        <v>10510.9</v>
      </c>
      <c r="X101" s="7" t="n">
        <v>3563.7</v>
      </c>
      <c r="Z101" s="7" t="n">
        <v>3529.1</v>
      </c>
      <c r="AB101" s="7" t="n">
        <v>66743.89999999999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268359.2</v>
      </c>
      <c r="D102" s="7" t="n">
        <v>140612.2</v>
      </c>
      <c r="E102" s="7" t="n">
        <v>330973.5</v>
      </c>
      <c r="F102" s="7" t="n">
        <v>178841.2</v>
      </c>
      <c r="G102" s="7" t="n">
        <v>301299.6</v>
      </c>
      <c r="H102" s="7" t="n">
        <v>280310.8</v>
      </c>
      <c r="I102" s="7" t="n">
        <v>270615.8</v>
      </c>
      <c r="J102" s="7" t="n">
        <v>203462.3</v>
      </c>
      <c r="K102" s="7" t="n">
        <v>337722.7</v>
      </c>
      <c r="L102" s="7" t="n">
        <v>520375.3</v>
      </c>
      <c r="M102" s="7" t="n">
        <v>299625.5</v>
      </c>
      <c r="N102" s="7" t="n">
        <v>399581.7</v>
      </c>
      <c r="O102" s="7" t="n">
        <v>259310</v>
      </c>
      <c r="P102" s="7" t="n">
        <v>432127</v>
      </c>
      <c r="Q102" s="7" t="n">
        <v>346907.4</v>
      </c>
      <c r="R102" s="7" t="n">
        <v>421679.7</v>
      </c>
      <c r="S102" s="7" t="n">
        <v>277760.1</v>
      </c>
      <c r="T102" s="7" t="n">
        <v>247493.7</v>
      </c>
      <c r="U102" s="7" t="n">
        <v>322253.8</v>
      </c>
      <c r="V102" s="7" t="n">
        <v>427759.2</v>
      </c>
      <c r="W102" s="7" t="n">
        <v>271318.1</v>
      </c>
      <c r="X102" s="7" t="n">
        <v>332014.8</v>
      </c>
      <c r="Y102" s="7" t="n">
        <v>318722.5</v>
      </c>
      <c r="Z102" s="7" t="n">
        <v>75715.8</v>
      </c>
      <c r="AA102" s="8" t="n">
        <v>3604868.2</v>
      </c>
      <c r="AB102" s="8" t="n">
        <v>3659973.7</v>
      </c>
    </row>
    <row r="103">
      <c r="A103" s="4" t="inlineStr">
        <is>
          <t>职工薪酬</t>
        </is>
      </c>
      <c r="D103" s="7" t="n">
        <v>72665.39999999999</v>
      </c>
      <c r="F103" s="7" t="n">
        <v>97378.8</v>
      </c>
      <c r="H103" s="7" t="n">
        <v>112647.9</v>
      </c>
      <c r="J103" s="7" t="n">
        <v>110547.7</v>
      </c>
      <c r="L103" s="7" t="n">
        <v>224857.8</v>
      </c>
      <c r="N103" s="7" t="n">
        <v>191478.3</v>
      </c>
      <c r="P103" s="7" t="n">
        <v>254170.6</v>
      </c>
      <c r="R103" s="7" t="n">
        <v>167437.6</v>
      </c>
      <c r="T103" s="7" t="n">
        <v>140588.1</v>
      </c>
      <c r="V103" s="7" t="n">
        <v>259030.9</v>
      </c>
      <c r="X103" s="7" t="n">
        <v>201292.2</v>
      </c>
      <c r="Z103" s="7" t="n">
        <v>39165.9</v>
      </c>
      <c r="AB103" s="7" t="n">
        <v>1871261.2</v>
      </c>
    </row>
    <row r="104">
      <c r="A104" s="4" t="inlineStr">
        <is>
          <t>工资</t>
        </is>
      </c>
      <c r="D104" s="7" t="n">
        <v>46119</v>
      </c>
      <c r="F104" s="7" t="n">
        <v>60209.7</v>
      </c>
      <c r="H104" s="7" t="n">
        <v>58920.1</v>
      </c>
      <c r="J104" s="7" t="n">
        <v>60189.3</v>
      </c>
      <c r="L104" s="7" t="n">
        <v>121708.5</v>
      </c>
      <c r="N104" s="7" t="n">
        <v>100180.9</v>
      </c>
      <c r="P104" s="7" t="n">
        <v>143637.7</v>
      </c>
      <c r="R104" s="7" t="n">
        <v>89257.60000000001</v>
      </c>
      <c r="T104" s="7" t="n">
        <v>82961.7</v>
      </c>
      <c r="V104" s="7" t="n">
        <v>152744.1</v>
      </c>
      <c r="X104" s="7" t="n">
        <v>128777.9</v>
      </c>
      <c r="Z104" s="7" t="n">
        <v>21656</v>
      </c>
      <c r="AB104" s="7" t="n">
        <v>1066362.5</v>
      </c>
    </row>
    <row r="105">
      <c r="A105" s="4" t="inlineStr">
        <is>
          <t>奖金及提成</t>
        </is>
      </c>
      <c r="D105" s="7" t="n">
        <v>10958</v>
      </c>
      <c r="F105" s="7" t="n">
        <v>13278.9</v>
      </c>
      <c r="H105" s="7" t="n">
        <v>26064.5</v>
      </c>
      <c r="J105" s="7" t="n">
        <v>23163.3</v>
      </c>
      <c r="L105" s="7" t="n">
        <v>39624.3</v>
      </c>
      <c r="N105" s="7" t="n">
        <v>35483.3</v>
      </c>
      <c r="P105" s="7" t="n">
        <v>53090.8</v>
      </c>
      <c r="R105" s="7" t="n">
        <v>32987.1</v>
      </c>
      <c r="T105" s="7" t="n">
        <v>28810.2</v>
      </c>
      <c r="V105" s="7" t="n">
        <v>49273.4</v>
      </c>
      <c r="X105" s="7" t="n">
        <v>25893.4</v>
      </c>
      <c r="Z105" s="7" t="n">
        <v>9811</v>
      </c>
      <c r="AB105" s="7" t="n">
        <v>348438.2</v>
      </c>
    </row>
    <row r="106">
      <c r="A106" s="4" t="inlineStr">
        <is>
          <t>社保</t>
        </is>
      </c>
      <c r="D106" s="7" t="n">
        <v>8838.5</v>
      </c>
      <c r="F106" s="7" t="n">
        <v>14569.2</v>
      </c>
      <c r="H106" s="7" t="n">
        <v>15811.4</v>
      </c>
      <c r="J106" s="7" t="n">
        <v>17742.1</v>
      </c>
      <c r="L106" s="7" t="n">
        <v>40133.8</v>
      </c>
      <c r="N106" s="7" t="n">
        <v>36232.8</v>
      </c>
      <c r="P106" s="7" t="n">
        <v>37226.8</v>
      </c>
      <c r="R106" s="7" t="n">
        <v>26678</v>
      </c>
      <c r="T106" s="7" t="n">
        <v>18750.6</v>
      </c>
      <c r="V106" s="7" t="n">
        <v>38051.4</v>
      </c>
      <c r="X106" s="7" t="n">
        <v>32297.8</v>
      </c>
      <c r="Z106" s="7" t="n">
        <v>4555.1</v>
      </c>
      <c r="AB106" s="7" t="n">
        <v>290887.5</v>
      </c>
    </row>
    <row r="107">
      <c r="A107" s="4" t="inlineStr">
        <is>
          <t>养老</t>
        </is>
      </c>
      <c r="D107" s="7" t="n">
        <v>106.7</v>
      </c>
      <c r="F107" s="7" t="n">
        <v>124.2</v>
      </c>
      <c r="H107" s="7" t="n">
        <v>171.8</v>
      </c>
      <c r="J107" s="7" t="n">
        <v>171.3</v>
      </c>
      <c r="L107" s="7" t="n">
        <v>304.7</v>
      </c>
      <c r="N107" s="7" t="n">
        <v>206.4</v>
      </c>
      <c r="P107" s="7" t="n">
        <v>246.6</v>
      </c>
      <c r="R107" s="7" t="n">
        <v>208.5</v>
      </c>
      <c r="T107" s="7" t="n">
        <v>168.3</v>
      </c>
      <c r="V107" s="7" t="n">
        <v>298.7</v>
      </c>
      <c r="X107" s="7" t="n">
        <v>232.8</v>
      </c>
      <c r="Z107" s="7" t="n">
        <v>58.2</v>
      </c>
      <c r="AB107" s="7" t="n">
        <v>2298.2</v>
      </c>
    </row>
    <row r="108">
      <c r="A108" s="4" t="inlineStr">
        <is>
          <t>医疗</t>
        </is>
      </c>
      <c r="D108" s="7" t="n">
        <v>769.5</v>
      </c>
      <c r="F108" s="7" t="n">
        <v>886.7</v>
      </c>
      <c r="H108" s="7" t="n">
        <v>1118.1</v>
      </c>
      <c r="J108" s="7" t="n">
        <v>931</v>
      </c>
      <c r="L108" s="7" t="n">
        <v>2369.6</v>
      </c>
      <c r="N108" s="7" t="n">
        <v>2078.2</v>
      </c>
      <c r="P108" s="7" t="n">
        <v>1716.5</v>
      </c>
      <c r="R108" s="7" t="n">
        <v>1399</v>
      </c>
      <c r="T108" s="7" t="n">
        <v>1388.1</v>
      </c>
      <c r="V108" s="7" t="n">
        <v>2465.1</v>
      </c>
      <c r="X108" s="7" t="n">
        <v>1498.7</v>
      </c>
      <c r="Z108" s="7" t="n">
        <v>263.2</v>
      </c>
      <c r="AB108" s="7" t="n">
        <v>16883.7</v>
      </c>
    </row>
    <row r="109">
      <c r="A109" s="4" t="inlineStr">
        <is>
          <t>工伤</t>
        </is>
      </c>
      <c r="D109" s="7" t="n">
        <v>486.6</v>
      </c>
      <c r="F109" s="7" t="n">
        <v>595.8</v>
      </c>
      <c r="H109" s="7" t="n">
        <v>1181.5</v>
      </c>
      <c r="J109" s="7" t="n">
        <v>861.2</v>
      </c>
      <c r="L109" s="7" t="n">
        <v>2148.6</v>
      </c>
      <c r="N109" s="7" t="n">
        <v>1020</v>
      </c>
      <c r="P109" s="7" t="n">
        <v>1722.1</v>
      </c>
      <c r="R109" s="7" t="n">
        <v>1438.1</v>
      </c>
      <c r="T109" s="7" t="n">
        <v>745.3</v>
      </c>
      <c r="V109" s="7" t="n">
        <v>1555.1</v>
      </c>
      <c r="X109" s="7" t="n">
        <v>1259.1</v>
      </c>
      <c r="Z109" s="7" t="n">
        <v>315.7</v>
      </c>
      <c r="AB109" s="7" t="n">
        <v>13329.1</v>
      </c>
    </row>
    <row r="110">
      <c r="A110" s="4" t="inlineStr">
        <is>
          <t>失业</t>
        </is>
      </c>
      <c r="D110" s="7" t="n">
        <v>504.3</v>
      </c>
      <c r="F110" s="7" t="n">
        <v>669</v>
      </c>
      <c r="H110" s="7" t="n">
        <v>1214</v>
      </c>
      <c r="J110" s="7" t="n">
        <v>744</v>
      </c>
      <c r="L110" s="7" t="n">
        <v>1935.5</v>
      </c>
      <c r="N110" s="7" t="n">
        <v>2368.9</v>
      </c>
      <c r="P110" s="7" t="n">
        <v>2191.6</v>
      </c>
      <c r="R110" s="7" t="n">
        <v>2294.5</v>
      </c>
      <c r="T110" s="7" t="n">
        <v>1251</v>
      </c>
      <c r="V110" s="7" t="n">
        <v>2051.2</v>
      </c>
      <c r="X110" s="7" t="n">
        <v>1880.3</v>
      </c>
      <c r="Z110" s="7" t="n">
        <v>286.7</v>
      </c>
      <c r="AB110" s="7" t="n">
        <v>17391</v>
      </c>
    </row>
    <row r="111">
      <c r="A111" s="4" t="inlineStr">
        <is>
          <t>生育</t>
        </is>
      </c>
      <c r="D111" s="7" t="n">
        <v>529.2</v>
      </c>
      <c r="F111" s="7" t="n">
        <v>545.2</v>
      </c>
      <c r="H111" s="7" t="n">
        <v>873.8</v>
      </c>
      <c r="J111" s="7" t="n">
        <v>720.7</v>
      </c>
      <c r="L111" s="7" t="n">
        <v>1504.9</v>
      </c>
      <c r="N111" s="7" t="n">
        <v>1665.8</v>
      </c>
      <c r="P111" s="7" t="n">
        <v>1553.6</v>
      </c>
      <c r="R111" s="7" t="n">
        <v>1386.4</v>
      </c>
      <c r="T111" s="7" t="n">
        <v>941</v>
      </c>
      <c r="V111" s="7" t="n">
        <v>1807.1</v>
      </c>
      <c r="X111" s="7" t="n">
        <v>1295.1</v>
      </c>
      <c r="Z111" s="7" t="n">
        <v>197</v>
      </c>
      <c r="AB111" s="7" t="n">
        <v>13019.8</v>
      </c>
    </row>
    <row r="112">
      <c r="A112" s="4" t="inlineStr">
        <is>
          <t>公积金</t>
        </is>
      </c>
      <c r="D112" s="7" t="n">
        <v>733.1</v>
      </c>
      <c r="F112" s="7" t="n">
        <v>989.7</v>
      </c>
      <c r="H112" s="7" t="n">
        <v>943.6</v>
      </c>
      <c r="J112" s="7" t="n">
        <v>700.7</v>
      </c>
      <c r="L112" s="7" t="n">
        <v>2290.4</v>
      </c>
      <c r="N112" s="7" t="n">
        <v>1779.5</v>
      </c>
      <c r="P112" s="7" t="n">
        <v>2109.1</v>
      </c>
      <c r="R112" s="7" t="n">
        <v>1710.9</v>
      </c>
      <c r="T112" s="7" t="n">
        <v>1298.3</v>
      </c>
      <c r="V112" s="7" t="n">
        <v>2242.8</v>
      </c>
      <c r="X112" s="7" t="n">
        <v>1173.8</v>
      </c>
      <c r="Z112" s="7" t="n">
        <v>390.2</v>
      </c>
      <c r="AB112" s="7" t="n">
        <v>16362.1</v>
      </c>
    </row>
    <row r="113">
      <c r="A113" s="4" t="inlineStr">
        <is>
          <t>工会经费</t>
        </is>
      </c>
      <c r="D113" s="7" t="n">
        <v>516.4</v>
      </c>
      <c r="F113" s="7" t="n">
        <v>1046.3</v>
      </c>
      <c r="H113" s="7" t="n">
        <v>1307.2</v>
      </c>
      <c r="J113" s="7" t="n">
        <v>1094.8</v>
      </c>
      <c r="L113" s="7" t="n">
        <v>2710.8</v>
      </c>
      <c r="N113" s="7" t="n">
        <v>1470.8</v>
      </c>
      <c r="P113" s="7" t="n">
        <v>1542.8</v>
      </c>
      <c r="R113" s="7" t="n">
        <v>2266.9</v>
      </c>
      <c r="T113" s="7" t="n">
        <v>980.5</v>
      </c>
      <c r="V113" s="7" t="n">
        <v>2423.9</v>
      </c>
      <c r="X113" s="7" t="n">
        <v>1776</v>
      </c>
      <c r="Z113" s="7" t="n">
        <v>249.9</v>
      </c>
      <c r="AB113" s="7" t="n">
        <v>17386.3</v>
      </c>
    </row>
    <row r="114">
      <c r="A114" s="4" t="inlineStr">
        <is>
          <t>职工教育经费</t>
        </is>
      </c>
      <c r="D114" s="7" t="n">
        <v>642.4</v>
      </c>
      <c r="F114" s="7" t="n">
        <v>698.8</v>
      </c>
      <c r="H114" s="7" t="n">
        <v>1672.5</v>
      </c>
      <c r="J114" s="7" t="n">
        <v>1126.4</v>
      </c>
      <c r="L114" s="7" t="n">
        <v>2055.2</v>
      </c>
      <c r="N114" s="7" t="n">
        <v>2057.9</v>
      </c>
      <c r="P114" s="7" t="n">
        <v>2095.1</v>
      </c>
      <c r="R114" s="7" t="n">
        <v>2231.2</v>
      </c>
      <c r="T114" s="7" t="n">
        <v>1362.4</v>
      </c>
      <c r="V114" s="7" t="n">
        <v>2084.2</v>
      </c>
      <c r="X114" s="7" t="n">
        <v>1499</v>
      </c>
      <c r="Z114" s="7" t="n">
        <v>305.3</v>
      </c>
      <c r="AB114" s="7" t="n">
        <v>17830.4</v>
      </c>
    </row>
    <row r="115">
      <c r="A115" s="4" t="inlineStr">
        <is>
          <t>福利费</t>
        </is>
      </c>
      <c r="D115" s="7" t="n">
        <v>4858</v>
      </c>
      <c r="F115" s="7" t="n">
        <v>6586.2</v>
      </c>
      <c r="H115" s="7" t="n">
        <v>7928.6</v>
      </c>
      <c r="J115" s="7" t="n">
        <v>6531.1</v>
      </c>
      <c r="L115" s="7" t="n">
        <v>16334.8</v>
      </c>
      <c r="N115" s="7" t="n">
        <v>14273.1</v>
      </c>
      <c r="P115" s="7" t="n">
        <v>14468.3</v>
      </c>
      <c r="R115" s="7" t="n">
        <v>12305.9</v>
      </c>
      <c r="T115" s="7" t="n">
        <v>6424.4</v>
      </c>
      <c r="V115" s="7" t="n">
        <v>12211.1</v>
      </c>
      <c r="X115" s="7" t="n">
        <v>9874.299999999999</v>
      </c>
      <c r="Z115" s="7" t="n">
        <v>2198.4</v>
      </c>
      <c r="AB115" s="7" t="n">
        <v>113994.2</v>
      </c>
    </row>
    <row r="116">
      <c r="A116" s="4" t="inlineStr">
        <is>
          <t>职工房租</t>
        </is>
      </c>
      <c r="D116" s="7" t="n">
        <v>636.4</v>
      </c>
      <c r="F116" s="7" t="n">
        <v>742</v>
      </c>
      <c r="H116" s="7" t="n">
        <v>967.1</v>
      </c>
      <c r="J116" s="7" t="n">
        <v>658.8</v>
      </c>
      <c r="L116" s="7" t="n">
        <v>1791.7</v>
      </c>
      <c r="N116" s="7" t="n">
        <v>1640.1</v>
      </c>
      <c r="P116" s="7" t="n">
        <v>1351.6</v>
      </c>
      <c r="R116" s="7" t="n">
        <v>1141.6</v>
      </c>
      <c r="T116" s="7" t="n">
        <v>828.8</v>
      </c>
      <c r="V116" s="7" t="n">
        <v>1552.7</v>
      </c>
      <c r="X116" s="7" t="n">
        <v>1493.9</v>
      </c>
      <c r="Z116" s="7" t="n">
        <v>221.7</v>
      </c>
      <c r="AB116" s="7" t="n">
        <v>13026.4</v>
      </c>
    </row>
    <row r="117">
      <c r="A117" s="4" t="inlineStr">
        <is>
          <t>水电物业费</t>
        </is>
      </c>
      <c r="D117" s="7" t="n">
        <v>955.9</v>
      </c>
      <c r="F117" s="7" t="n">
        <v>1200.3</v>
      </c>
      <c r="H117" s="7" t="n">
        <v>1096.1</v>
      </c>
      <c r="J117" s="7" t="n">
        <v>1050.7</v>
      </c>
      <c r="L117" s="7" t="n">
        <v>2386.1</v>
      </c>
      <c r="N117" s="7" t="n">
        <v>2543.6</v>
      </c>
      <c r="P117" s="7" t="n">
        <v>2043</v>
      </c>
      <c r="R117" s="7" t="n">
        <v>2294.9</v>
      </c>
      <c r="T117" s="7" t="n">
        <v>920</v>
      </c>
      <c r="V117" s="7" t="n">
        <v>1851</v>
      </c>
      <c r="X117" s="7" t="n">
        <v>1818.2</v>
      </c>
      <c r="Z117" s="7" t="n">
        <v>352.4</v>
      </c>
      <c r="AB117" s="7" t="n">
        <v>18512.2</v>
      </c>
    </row>
    <row r="118">
      <c r="A118" s="4" t="inlineStr">
        <is>
          <t>员工餐</t>
        </is>
      </c>
      <c r="D118" s="7" t="n">
        <v>561.7</v>
      </c>
      <c r="F118" s="7" t="n">
        <v>770.5</v>
      </c>
      <c r="H118" s="7" t="n">
        <v>1140.1</v>
      </c>
      <c r="J118" s="7" t="n">
        <v>966.7</v>
      </c>
      <c r="L118" s="7" t="n">
        <v>1736.6</v>
      </c>
      <c r="N118" s="7" t="n">
        <v>2023.7</v>
      </c>
      <c r="P118" s="7" t="n">
        <v>2040.3</v>
      </c>
      <c r="R118" s="7" t="n">
        <v>1458.6</v>
      </c>
      <c r="T118" s="7" t="n">
        <v>711.3</v>
      </c>
      <c r="V118" s="7" t="n">
        <v>1652.4</v>
      </c>
      <c r="X118" s="7" t="n">
        <v>1138.6</v>
      </c>
      <c r="Z118" s="7" t="n">
        <v>280.7</v>
      </c>
      <c r="AB118" s="7" t="n">
        <v>14481.2</v>
      </c>
    </row>
    <row r="119">
      <c r="A119" s="4" t="inlineStr">
        <is>
          <t>节日礼品</t>
        </is>
      </c>
      <c r="D119" s="7" t="n">
        <v>949.3</v>
      </c>
      <c r="F119" s="7" t="n">
        <v>1251</v>
      </c>
      <c r="H119" s="7" t="n">
        <v>1081.6</v>
      </c>
      <c r="J119" s="7" t="n">
        <v>1225.9</v>
      </c>
      <c r="L119" s="7" t="n">
        <v>3464.8</v>
      </c>
      <c r="N119" s="7" t="n">
        <v>2499.8</v>
      </c>
      <c r="P119" s="7" t="n">
        <v>1813.7</v>
      </c>
      <c r="R119" s="7" t="n">
        <v>2363</v>
      </c>
      <c r="T119" s="7" t="n">
        <v>1148.5</v>
      </c>
      <c r="V119" s="7" t="n">
        <v>2343.7</v>
      </c>
      <c r="X119" s="7" t="n">
        <v>1345.2</v>
      </c>
      <c r="Z119" s="7" t="n">
        <v>541.1</v>
      </c>
      <c r="AB119" s="7" t="n">
        <v>20027.6</v>
      </c>
    </row>
    <row r="120">
      <c r="A120" s="4" t="inlineStr">
        <is>
          <t>生日礼品</t>
        </is>
      </c>
      <c r="D120" s="7" t="n">
        <v>495.9</v>
      </c>
      <c r="F120" s="7" t="n">
        <v>1045.5</v>
      </c>
      <c r="H120" s="7" t="n">
        <v>1619.9</v>
      </c>
      <c r="J120" s="7" t="n">
        <v>960.7</v>
      </c>
      <c r="L120" s="7" t="n">
        <v>2721</v>
      </c>
      <c r="N120" s="7" t="n">
        <v>1722</v>
      </c>
      <c r="P120" s="7" t="n">
        <v>2590.7</v>
      </c>
      <c r="R120" s="7" t="n">
        <v>1477.7</v>
      </c>
      <c r="T120" s="7" t="n">
        <v>874.7</v>
      </c>
      <c r="V120" s="7" t="n">
        <v>1557.2</v>
      </c>
      <c r="X120" s="7" t="n">
        <v>1846.8</v>
      </c>
      <c r="Z120" s="7" t="n">
        <v>263.2</v>
      </c>
      <c r="AB120" s="7" t="n">
        <v>17175.3</v>
      </c>
    </row>
    <row r="121">
      <c r="A121" s="4" t="inlineStr">
        <is>
          <t>体检</t>
        </is>
      </c>
      <c r="D121" s="7" t="n">
        <v>503.1</v>
      </c>
      <c r="F121" s="7" t="n">
        <v>851.4</v>
      </c>
      <c r="H121" s="7" t="n">
        <v>878.9</v>
      </c>
      <c r="J121" s="7" t="n">
        <v>648.9</v>
      </c>
      <c r="L121" s="7" t="n">
        <v>1722.5</v>
      </c>
      <c r="N121" s="7" t="n">
        <v>1756.3</v>
      </c>
      <c r="P121" s="7" t="n">
        <v>1802.8</v>
      </c>
      <c r="R121" s="7" t="n">
        <v>1791.8</v>
      </c>
      <c r="T121" s="7" t="n">
        <v>820.9</v>
      </c>
      <c r="V121" s="7" t="n">
        <v>1374.8</v>
      </c>
      <c r="X121" s="7" t="n">
        <v>920.8</v>
      </c>
      <c r="Z121" s="7" t="n">
        <v>231.6</v>
      </c>
      <c r="AB121" s="7" t="n">
        <v>13303.8</v>
      </c>
    </row>
    <row r="122">
      <c r="A122" s="4" t="inlineStr">
        <is>
          <t>其他福利支出</t>
        </is>
      </c>
      <c r="D122" s="7" t="n">
        <v>755.7</v>
      </c>
      <c r="F122" s="7" t="n">
        <v>725.5</v>
      </c>
      <c r="H122" s="7" t="n">
        <v>1144.9</v>
      </c>
      <c r="J122" s="7" t="n">
        <v>1019.4</v>
      </c>
      <c r="L122" s="7" t="n">
        <v>2512.1</v>
      </c>
      <c r="N122" s="7" t="n">
        <v>2087.6</v>
      </c>
      <c r="P122" s="7" t="n">
        <v>2826.2</v>
      </c>
      <c r="R122" s="7" t="n">
        <v>1778.3</v>
      </c>
      <c r="T122" s="7" t="n">
        <v>1120.2</v>
      </c>
      <c r="V122" s="7" t="n">
        <v>1879.3</v>
      </c>
      <c r="X122" s="7" t="n">
        <v>1310.8</v>
      </c>
      <c r="Z122" s="7" t="n">
        <v>307.7</v>
      </c>
      <c r="AB122" s="7" t="n">
        <v>17467.7</v>
      </c>
    </row>
    <row r="123">
      <c r="A123" s="4" t="inlineStr">
        <is>
          <t>招聘费</t>
        </is>
      </c>
      <c r="D123" s="7" t="n">
        <v>756.5</v>
      </c>
      <c r="F123" s="7" t="n">
        <v>899.6</v>
      </c>
      <c r="H123" s="7" t="n">
        <v>913.2</v>
      </c>
      <c r="J123" s="7" t="n">
        <v>1099.8</v>
      </c>
      <c r="L123" s="7" t="n">
        <v>2099.1</v>
      </c>
      <c r="N123" s="7" t="n">
        <v>1356.7</v>
      </c>
      <c r="P123" s="7" t="n">
        <v>1650.3</v>
      </c>
      <c r="R123" s="7" t="n">
        <v>1732.8</v>
      </c>
      <c r="T123" s="7" t="n">
        <v>1122.4</v>
      </c>
      <c r="V123" s="7" t="n">
        <v>2128.9</v>
      </c>
      <c r="X123" s="7" t="n">
        <v>1278.7</v>
      </c>
      <c r="Z123" s="7" t="n">
        <v>440.9</v>
      </c>
      <c r="AB123" s="7" t="n">
        <v>15478.9</v>
      </c>
    </row>
    <row r="124">
      <c r="A124" s="4" t="inlineStr">
        <is>
          <t>办公费</t>
        </is>
      </c>
      <c r="D124" s="7" t="n">
        <v>3031.5</v>
      </c>
      <c r="F124" s="7" t="n">
        <v>5057.5</v>
      </c>
      <c r="H124" s="7" t="n">
        <v>8168.2</v>
      </c>
      <c r="J124" s="7" t="n">
        <v>7012.4</v>
      </c>
      <c r="L124" s="7" t="n">
        <v>13268.2</v>
      </c>
      <c r="N124" s="7" t="n">
        <v>11714.4</v>
      </c>
      <c r="P124" s="7" t="n">
        <v>15327.6</v>
      </c>
      <c r="R124" s="7" t="n">
        <v>9916.299999999999</v>
      </c>
      <c r="T124" s="7" t="n">
        <v>5250.6</v>
      </c>
      <c r="V124" s="7" t="n">
        <v>15376.5</v>
      </c>
      <c r="X124" s="7" t="n">
        <v>12844.4</v>
      </c>
      <c r="Z124" s="7" t="n">
        <v>1768.2</v>
      </c>
      <c r="AB124" s="7" t="n">
        <v>108735.8</v>
      </c>
    </row>
    <row r="125">
      <c r="A125" s="4" t="inlineStr">
        <is>
          <t>市内交通费</t>
        </is>
      </c>
      <c r="D125" s="7" t="n">
        <v>701.2</v>
      </c>
      <c r="F125" s="7" t="n">
        <v>1041.5</v>
      </c>
      <c r="H125" s="7" t="n">
        <v>1645.4</v>
      </c>
      <c r="J125" s="7" t="n">
        <v>1153.2</v>
      </c>
      <c r="L125" s="7" t="n">
        <v>2403.9</v>
      </c>
      <c r="N125" s="7" t="n">
        <v>2563.2</v>
      </c>
      <c r="P125" s="7" t="n">
        <v>1664.3</v>
      </c>
      <c r="R125" s="7" t="n">
        <v>1682.4</v>
      </c>
      <c r="T125" s="7" t="n">
        <v>1659.6</v>
      </c>
      <c r="V125" s="7" t="n">
        <v>2232</v>
      </c>
      <c r="X125" s="7" t="n">
        <v>1393.9</v>
      </c>
      <c r="Z125" s="7" t="n">
        <v>508.3</v>
      </c>
      <c r="AB125" s="7" t="n">
        <v>18648.9</v>
      </c>
    </row>
    <row r="126">
      <c r="A126" s="4" t="inlineStr">
        <is>
          <t>差旅费</t>
        </is>
      </c>
      <c r="D126" s="7" t="n">
        <v>10103.9</v>
      </c>
      <c r="F126" s="7" t="n">
        <v>9645.9</v>
      </c>
      <c r="H126" s="7" t="n">
        <v>12203.9</v>
      </c>
      <c r="J126" s="7" t="n">
        <v>11922</v>
      </c>
      <c r="L126" s="7" t="n">
        <v>25002.8</v>
      </c>
      <c r="N126" s="7" t="n">
        <v>25037.7</v>
      </c>
      <c r="P126" s="7" t="n">
        <v>30931.9</v>
      </c>
      <c r="R126" s="7" t="n">
        <v>23706.8</v>
      </c>
      <c r="T126" s="7" t="n">
        <v>10657.4</v>
      </c>
      <c r="V126" s="7" t="n">
        <v>28486.9</v>
      </c>
      <c r="X126" s="7" t="n">
        <v>16010.1</v>
      </c>
      <c r="Z126" s="7" t="n">
        <v>3765.3</v>
      </c>
      <c r="AB126" s="7" t="n">
        <v>207474.6</v>
      </c>
    </row>
    <row r="127">
      <c r="A127" s="4" t="inlineStr">
        <is>
          <t>交通费</t>
        </is>
      </c>
      <c r="D127" s="7" t="n">
        <v>149.8</v>
      </c>
      <c r="F127" s="7" t="n">
        <v>270</v>
      </c>
      <c r="H127" s="7" t="n">
        <v>248</v>
      </c>
      <c r="J127" s="7" t="n">
        <v>267.5</v>
      </c>
      <c r="L127" s="7" t="n">
        <v>541.2</v>
      </c>
      <c r="N127" s="7" t="n">
        <v>430.1</v>
      </c>
      <c r="P127" s="7" t="n">
        <v>502.3</v>
      </c>
      <c r="R127" s="7" t="n">
        <v>533.2</v>
      </c>
      <c r="T127" s="7" t="n">
        <v>223.7</v>
      </c>
      <c r="V127" s="7" t="n">
        <v>455.6</v>
      </c>
      <c r="X127" s="7" t="n">
        <v>318.8</v>
      </c>
      <c r="Z127" s="7" t="n">
        <v>76.2</v>
      </c>
      <c r="AB127" s="7" t="n">
        <v>4016.4</v>
      </c>
    </row>
    <row r="128">
      <c r="A128" s="4" t="inlineStr">
        <is>
          <t>住宿费</t>
        </is>
      </c>
      <c r="D128" s="7" t="n">
        <v>828.3</v>
      </c>
      <c r="F128" s="7" t="n">
        <v>1118.8</v>
      </c>
      <c r="H128" s="7" t="n">
        <v>1920.9</v>
      </c>
      <c r="J128" s="7" t="n">
        <v>1389.1</v>
      </c>
      <c r="L128" s="7" t="n">
        <v>3905.1</v>
      </c>
      <c r="N128" s="7" t="n">
        <v>2710.1</v>
      </c>
      <c r="P128" s="7" t="n">
        <v>2294.9</v>
      </c>
      <c r="R128" s="7" t="n">
        <v>2511.5</v>
      </c>
      <c r="T128" s="7" t="n">
        <v>1422.5</v>
      </c>
      <c r="V128" s="7" t="n">
        <v>3095.8</v>
      </c>
      <c r="X128" s="7" t="n">
        <v>1928.8</v>
      </c>
      <c r="Z128" s="7" t="n">
        <v>409.8</v>
      </c>
      <c r="AB128" s="7" t="n">
        <v>23535.6</v>
      </c>
    </row>
    <row r="129">
      <c r="A129" s="4" t="inlineStr">
        <is>
          <t>餐补</t>
        </is>
      </c>
      <c r="D129" s="7" t="n">
        <v>147.8</v>
      </c>
      <c r="F129" s="7" t="n">
        <v>175.3</v>
      </c>
      <c r="H129" s="7" t="n">
        <v>409</v>
      </c>
      <c r="J129" s="7" t="n">
        <v>280</v>
      </c>
      <c r="L129" s="7" t="n">
        <v>451.1</v>
      </c>
      <c r="N129" s="7" t="n">
        <v>610.1</v>
      </c>
      <c r="P129" s="7" t="n">
        <v>518.5</v>
      </c>
      <c r="R129" s="7" t="n">
        <v>576.8</v>
      </c>
      <c r="T129" s="7" t="n">
        <v>379.3</v>
      </c>
      <c r="V129" s="7" t="n">
        <v>647.8</v>
      </c>
      <c r="X129" s="7" t="n">
        <v>297.6</v>
      </c>
      <c r="Z129" s="7" t="n">
        <v>97.7</v>
      </c>
      <c r="AB129" s="7" t="n">
        <v>4591</v>
      </c>
    </row>
    <row r="130">
      <c r="A130" s="4" t="inlineStr">
        <is>
          <t>交通补助</t>
        </is>
      </c>
      <c r="D130" s="7" t="n">
        <v>292.4</v>
      </c>
      <c r="F130" s="7" t="n">
        <v>390.8</v>
      </c>
      <c r="H130" s="7" t="n">
        <v>359.4</v>
      </c>
      <c r="J130" s="7" t="n">
        <v>461.5</v>
      </c>
      <c r="L130" s="7" t="n">
        <v>756.4</v>
      </c>
      <c r="N130" s="7" t="n">
        <v>843.5</v>
      </c>
      <c r="P130" s="7" t="n">
        <v>890</v>
      </c>
      <c r="R130" s="7" t="n">
        <v>672.8</v>
      </c>
      <c r="T130" s="7" t="n">
        <v>520.6</v>
      </c>
      <c r="V130" s="7" t="n">
        <v>902.5</v>
      </c>
      <c r="X130" s="7" t="n">
        <v>467.5</v>
      </c>
      <c r="Z130" s="7" t="n">
        <v>139.7</v>
      </c>
      <c r="AB130" s="7" t="n">
        <v>6697.1</v>
      </c>
    </row>
    <row r="131">
      <c r="A131" s="4" t="inlineStr">
        <is>
          <t>通讯补助</t>
        </is>
      </c>
      <c r="D131" s="7" t="n">
        <v>831.5</v>
      </c>
      <c r="F131" s="7" t="n">
        <v>1180.3</v>
      </c>
      <c r="H131" s="7" t="n">
        <v>1062.4</v>
      </c>
      <c r="J131" s="7" t="n">
        <v>1205.1</v>
      </c>
      <c r="L131" s="7" t="n">
        <v>3489.8</v>
      </c>
      <c r="N131" s="7" t="n">
        <v>2193.1</v>
      </c>
      <c r="P131" s="7" t="n">
        <v>2371</v>
      </c>
      <c r="R131" s="7" t="n">
        <v>1812.3</v>
      </c>
      <c r="T131" s="7" t="n">
        <v>1691.5</v>
      </c>
      <c r="V131" s="7" t="n">
        <v>2779.2</v>
      </c>
      <c r="X131" s="7" t="n">
        <v>1747.1</v>
      </c>
      <c r="Z131" s="7" t="n">
        <v>354.4</v>
      </c>
      <c r="AB131" s="7" t="n">
        <v>20717.7</v>
      </c>
    </row>
    <row r="132">
      <c r="A132" s="4" t="inlineStr">
        <is>
          <t>招待费</t>
        </is>
      </c>
      <c r="D132" s="7" t="n">
        <v>5592.2</v>
      </c>
      <c r="F132" s="7" t="n">
        <v>5395</v>
      </c>
      <c r="H132" s="7" t="n">
        <v>9413.700000000001</v>
      </c>
      <c r="J132" s="7" t="n">
        <v>6765.4</v>
      </c>
      <c r="L132" s="7" t="n">
        <v>21145.3</v>
      </c>
      <c r="N132" s="7" t="n">
        <v>11194.8</v>
      </c>
      <c r="P132" s="7" t="n">
        <v>21619.1</v>
      </c>
      <c r="R132" s="7" t="n">
        <v>13845.9</v>
      </c>
      <c r="T132" s="7" t="n">
        <v>7704.9</v>
      </c>
      <c r="V132" s="7" t="n">
        <v>19337.5</v>
      </c>
      <c r="X132" s="7" t="n">
        <v>16617.6</v>
      </c>
      <c r="Z132" s="7" t="n">
        <v>3654.3</v>
      </c>
      <c r="AB132" s="7" t="n">
        <v>142285.7</v>
      </c>
    </row>
    <row r="133">
      <c r="A133" s="4" t="inlineStr">
        <is>
          <t>通讯费</t>
        </is>
      </c>
      <c r="D133" s="7" t="n">
        <v>212.8</v>
      </c>
      <c r="F133" s="7" t="n">
        <v>399.2</v>
      </c>
      <c r="H133" s="7" t="n">
        <v>743.7</v>
      </c>
      <c r="J133" s="7" t="n">
        <v>502.8</v>
      </c>
      <c r="L133" s="7" t="n">
        <v>1333.7</v>
      </c>
      <c r="N133" s="7" t="n">
        <v>1031.4</v>
      </c>
      <c r="P133" s="7" t="n">
        <v>1170.3</v>
      </c>
      <c r="R133" s="7" t="n">
        <v>826.9</v>
      </c>
      <c r="T133" s="7" t="n">
        <v>664.4</v>
      </c>
      <c r="V133" s="7" t="n">
        <v>850.8</v>
      </c>
      <c r="X133" s="7" t="n">
        <v>535.9</v>
      </c>
      <c r="Z133" s="7" t="n">
        <v>141.6</v>
      </c>
      <c r="AB133" s="7" t="n">
        <v>8413.5</v>
      </c>
    </row>
    <row r="134">
      <c r="A134" s="4" t="inlineStr">
        <is>
          <t>网络费</t>
        </is>
      </c>
      <c r="D134" s="7" t="n">
        <v>100</v>
      </c>
      <c r="F134" s="7" t="n">
        <v>203.1</v>
      </c>
      <c r="H134" s="7" t="n">
        <v>294.7</v>
      </c>
      <c r="J134" s="7" t="n">
        <v>232.4</v>
      </c>
      <c r="L134" s="7" t="n">
        <v>507.3</v>
      </c>
      <c r="N134" s="7" t="n">
        <v>287.6</v>
      </c>
      <c r="P134" s="7" t="n">
        <v>495.4</v>
      </c>
      <c r="R134" s="7" t="n">
        <v>421.1</v>
      </c>
      <c r="T134" s="7" t="n">
        <v>278.4</v>
      </c>
      <c r="V134" s="7" t="n">
        <v>448.7</v>
      </c>
      <c r="X134" s="7" t="n">
        <v>247.7</v>
      </c>
      <c r="Z134" s="7" t="n">
        <v>71.40000000000001</v>
      </c>
      <c r="AB134" s="7" t="n">
        <v>3587.8</v>
      </c>
    </row>
    <row r="135">
      <c r="A135" s="4" t="inlineStr">
        <is>
          <t>修理费</t>
        </is>
      </c>
      <c r="D135" s="7" t="n">
        <v>142.9</v>
      </c>
      <c r="F135" s="7" t="n">
        <v>228.9</v>
      </c>
      <c r="H135" s="7" t="n">
        <v>250.2</v>
      </c>
      <c r="J135" s="7" t="n">
        <v>266.1</v>
      </c>
      <c r="L135" s="7" t="n">
        <v>759.5</v>
      </c>
      <c r="N135" s="7" t="n">
        <v>583.2</v>
      </c>
      <c r="P135" s="7" t="n">
        <v>464.6</v>
      </c>
      <c r="R135" s="7" t="n">
        <v>628.7</v>
      </c>
      <c r="T135" s="7" t="n">
        <v>364</v>
      </c>
      <c r="V135" s="7" t="n">
        <v>353.9</v>
      </c>
      <c r="X135" s="7" t="n">
        <v>405.2</v>
      </c>
      <c r="Z135" s="7" t="n">
        <v>109.1</v>
      </c>
      <c r="AB135" s="7" t="n">
        <v>4556.3</v>
      </c>
    </row>
    <row r="136">
      <c r="A136" s="4" t="inlineStr">
        <is>
          <t>车辆费</t>
        </is>
      </c>
      <c r="D136" s="7" t="n">
        <v>742.7</v>
      </c>
      <c r="F136" s="7" t="n">
        <v>1179.3</v>
      </c>
      <c r="H136" s="7" t="n">
        <v>2244.4</v>
      </c>
      <c r="J136" s="7" t="n">
        <v>1012.5</v>
      </c>
      <c r="L136" s="7" t="n">
        <v>3787.5</v>
      </c>
      <c r="N136" s="7" t="n">
        <v>2136.6</v>
      </c>
      <c r="P136" s="7" t="n">
        <v>3535.1</v>
      </c>
      <c r="R136" s="7" t="n">
        <v>2142.2</v>
      </c>
      <c r="T136" s="7" t="n">
        <v>1933.2</v>
      </c>
      <c r="V136" s="7" t="n">
        <v>2044.2</v>
      </c>
      <c r="X136" s="7" t="n">
        <v>2370.6</v>
      </c>
      <c r="Z136" s="7" t="n">
        <v>520.5</v>
      </c>
      <c r="AB136" s="7" t="n">
        <v>23648.8</v>
      </c>
    </row>
    <row r="137">
      <c r="A137" s="4" t="inlineStr">
        <is>
          <t>租赁费</t>
        </is>
      </c>
      <c r="D137" s="7" t="n">
        <v>8661.700000000001</v>
      </c>
      <c r="F137" s="7" t="n">
        <v>8655.700000000001</v>
      </c>
      <c r="H137" s="7" t="n">
        <v>12041.1</v>
      </c>
      <c r="J137" s="7" t="n">
        <v>8644.299999999999</v>
      </c>
      <c r="L137" s="7" t="n">
        <v>19271.5</v>
      </c>
      <c r="N137" s="7" t="n">
        <v>17062</v>
      </c>
      <c r="P137" s="7" t="n">
        <v>16525</v>
      </c>
      <c r="R137" s="7" t="n">
        <v>14775</v>
      </c>
      <c r="T137" s="7" t="n">
        <v>11527.8</v>
      </c>
      <c r="V137" s="7" t="n">
        <v>24372.7</v>
      </c>
      <c r="X137" s="7" t="n">
        <v>21273.2</v>
      </c>
      <c r="Z137" s="7" t="n">
        <v>4659.3</v>
      </c>
      <c r="AB137" s="7" t="n">
        <v>167469.3</v>
      </c>
    </row>
    <row r="138">
      <c r="A138" s="4" t="inlineStr">
        <is>
          <t>能源费</t>
        </is>
      </c>
      <c r="D138" s="7" t="n">
        <v>1206.6</v>
      </c>
      <c r="F138" s="7" t="n">
        <v>1797.1</v>
      </c>
      <c r="H138" s="7" t="n">
        <v>2059.4</v>
      </c>
      <c r="J138" s="7" t="n">
        <v>1519.4</v>
      </c>
      <c r="L138" s="7" t="n">
        <v>4355.2</v>
      </c>
      <c r="N138" s="7" t="n">
        <v>3144.8</v>
      </c>
      <c r="P138" s="7" t="n">
        <v>4498</v>
      </c>
      <c r="R138" s="7" t="n">
        <v>3948.4</v>
      </c>
      <c r="T138" s="7" t="n">
        <v>2516.6</v>
      </c>
      <c r="V138" s="7" t="n">
        <v>3537.6</v>
      </c>
      <c r="X138" s="7" t="n">
        <v>2728.9</v>
      </c>
      <c r="Z138" s="7" t="n">
        <v>564.4</v>
      </c>
      <c r="AB138" s="7" t="n">
        <v>31876.4</v>
      </c>
    </row>
    <row r="139">
      <c r="A139" s="4" t="inlineStr">
        <is>
          <t>水费</t>
        </is>
      </c>
      <c r="D139" s="7" t="n">
        <v>373.5</v>
      </c>
      <c r="F139" s="7" t="n">
        <v>278.3</v>
      </c>
      <c r="H139" s="7" t="n">
        <v>469.9</v>
      </c>
      <c r="J139" s="7" t="n">
        <v>393.5</v>
      </c>
      <c r="L139" s="7" t="n">
        <v>1238.9</v>
      </c>
      <c r="N139" s="7" t="n">
        <v>858.7</v>
      </c>
      <c r="P139" s="7" t="n">
        <v>1118.9</v>
      </c>
      <c r="R139" s="7" t="n">
        <v>666.1</v>
      </c>
      <c r="T139" s="7" t="n">
        <v>546.4</v>
      </c>
      <c r="V139" s="7" t="n">
        <v>955</v>
      </c>
      <c r="X139" s="7" t="n">
        <v>686.7</v>
      </c>
      <c r="Z139" s="7" t="n">
        <v>113.7</v>
      </c>
      <c r="AB139" s="7" t="n">
        <v>7699.6</v>
      </c>
    </row>
    <row r="140">
      <c r="A140" s="4" t="inlineStr">
        <is>
          <t>电费</t>
        </is>
      </c>
      <c r="D140" s="7" t="n">
        <v>694.3</v>
      </c>
      <c r="F140" s="7" t="n">
        <v>1363.7</v>
      </c>
      <c r="H140" s="7" t="n">
        <v>1375.9</v>
      </c>
      <c r="J140" s="7" t="n">
        <v>956.6</v>
      </c>
      <c r="L140" s="7" t="n">
        <v>2647.7</v>
      </c>
      <c r="N140" s="7" t="n">
        <v>2010.1</v>
      </c>
      <c r="P140" s="7" t="n">
        <v>2986.5</v>
      </c>
      <c r="R140" s="7" t="n">
        <v>2953.1</v>
      </c>
      <c r="T140" s="7" t="n">
        <v>1740.5</v>
      </c>
      <c r="V140" s="7" t="n">
        <v>2271.2</v>
      </c>
      <c r="X140" s="7" t="n">
        <v>1782.9</v>
      </c>
      <c r="Z140" s="7" t="n">
        <v>394.2</v>
      </c>
      <c r="AB140" s="7" t="n">
        <v>21176.7</v>
      </c>
    </row>
    <row r="141">
      <c r="A141" s="4" t="inlineStr">
        <is>
          <t>燃气费</t>
        </is>
      </c>
      <c r="D141" s="7" t="n">
        <v>47.7</v>
      </c>
      <c r="F141" s="7" t="n">
        <v>70.09999999999999</v>
      </c>
      <c r="H141" s="7" t="n">
        <v>72.3</v>
      </c>
      <c r="J141" s="7" t="n">
        <v>60.7</v>
      </c>
      <c r="L141" s="7" t="n">
        <v>162</v>
      </c>
      <c r="N141" s="7" t="n">
        <v>114</v>
      </c>
      <c r="P141" s="7" t="n">
        <v>154.3</v>
      </c>
      <c r="R141" s="7" t="n">
        <v>145.5</v>
      </c>
      <c r="T141" s="7" t="n">
        <v>66</v>
      </c>
      <c r="V141" s="7" t="n">
        <v>99.59999999999999</v>
      </c>
      <c r="X141" s="7" t="n">
        <v>86.7</v>
      </c>
      <c r="Z141" s="7" t="n">
        <v>21.6</v>
      </c>
      <c r="AB141" s="7" t="n">
        <v>1100.5</v>
      </c>
    </row>
    <row r="142">
      <c r="A142" s="4" t="inlineStr">
        <is>
          <t>蒸汽费</t>
        </is>
      </c>
      <c r="D142" s="7" t="n">
        <v>91.09999999999999</v>
      </c>
      <c r="F142" s="7" t="n">
        <v>85</v>
      </c>
      <c r="H142" s="7" t="n">
        <v>141.3</v>
      </c>
      <c r="J142" s="7" t="n">
        <v>108.6</v>
      </c>
      <c r="L142" s="7" t="n">
        <v>306.6</v>
      </c>
      <c r="N142" s="7" t="n">
        <v>162</v>
      </c>
      <c r="P142" s="7" t="n">
        <v>238.3</v>
      </c>
      <c r="R142" s="7" t="n">
        <v>183.7</v>
      </c>
      <c r="T142" s="7" t="n">
        <v>163.7</v>
      </c>
      <c r="V142" s="7" t="n">
        <v>211.8</v>
      </c>
      <c r="X142" s="7" t="n">
        <v>172.6</v>
      </c>
      <c r="Z142" s="7" t="n">
        <v>34.9</v>
      </c>
      <c r="AB142" s="7" t="n">
        <v>1899.6</v>
      </c>
    </row>
    <row r="143">
      <c r="A143" s="4" t="inlineStr">
        <is>
          <t>物业费</t>
        </is>
      </c>
      <c r="D143" s="7" t="n">
        <v>358.4</v>
      </c>
      <c r="F143" s="7" t="n">
        <v>469.7</v>
      </c>
      <c r="H143" s="7" t="n">
        <v>630</v>
      </c>
      <c r="J143" s="7" t="n">
        <v>714.4</v>
      </c>
      <c r="L143" s="7" t="n">
        <v>1746.4</v>
      </c>
      <c r="N143" s="7" t="n">
        <v>915.6</v>
      </c>
      <c r="P143" s="7" t="n">
        <v>1194.3</v>
      </c>
      <c r="R143" s="7" t="n">
        <v>1317.9</v>
      </c>
      <c r="T143" s="7" t="n">
        <v>967.9</v>
      </c>
      <c r="V143" s="7" t="n">
        <v>1374.7</v>
      </c>
      <c r="X143" s="7" t="n">
        <v>1045.1</v>
      </c>
      <c r="Z143" s="7" t="n">
        <v>278.1</v>
      </c>
      <c r="AB143" s="7" t="n">
        <v>11012.5</v>
      </c>
    </row>
    <row r="144">
      <c r="A144" s="4" t="inlineStr">
        <is>
          <t>劳动保护费</t>
        </is>
      </c>
      <c r="D144" s="7" t="n">
        <v>717.8</v>
      </c>
      <c r="F144" s="7" t="n">
        <v>980.2</v>
      </c>
      <c r="H144" s="7" t="n">
        <v>1835.5</v>
      </c>
      <c r="J144" s="7" t="n">
        <v>1075.4</v>
      </c>
      <c r="L144" s="7" t="n">
        <v>3432.1</v>
      </c>
      <c r="N144" s="7" t="n">
        <v>2113.9</v>
      </c>
      <c r="P144" s="7" t="n">
        <v>1733.2</v>
      </c>
      <c r="R144" s="7" t="n">
        <v>2809.9</v>
      </c>
      <c r="T144" s="7" t="n">
        <v>1499</v>
      </c>
      <c r="V144" s="7" t="n">
        <v>2298.5</v>
      </c>
      <c r="X144" s="7" t="n">
        <v>2209.9</v>
      </c>
      <c r="Z144" s="7" t="n">
        <v>479.6</v>
      </c>
      <c r="AB144" s="7" t="n">
        <v>21185</v>
      </c>
    </row>
    <row r="145">
      <c r="A145" s="4" t="inlineStr">
        <is>
          <t>顾问费</t>
        </is>
      </c>
      <c r="D145" s="7" t="n">
        <v>669.8</v>
      </c>
      <c r="F145" s="7" t="n">
        <v>613.5</v>
      </c>
      <c r="H145" s="7" t="n">
        <v>1437.6</v>
      </c>
      <c r="J145" s="7" t="n">
        <v>726.5</v>
      </c>
      <c r="L145" s="7" t="n">
        <v>2983.9</v>
      </c>
      <c r="N145" s="7" t="n">
        <v>2278.2</v>
      </c>
      <c r="P145" s="7" t="n">
        <v>2275.2</v>
      </c>
      <c r="R145" s="7" t="n">
        <v>1453.3</v>
      </c>
      <c r="T145" s="7" t="n">
        <v>1049</v>
      </c>
      <c r="V145" s="7" t="n">
        <v>2457.2</v>
      </c>
      <c r="X145" s="7" t="n">
        <v>1417.9</v>
      </c>
      <c r="Z145" s="7" t="n">
        <v>436.8</v>
      </c>
      <c r="AB145" s="7" t="n">
        <v>17798.9</v>
      </c>
    </row>
    <row r="146">
      <c r="A146" s="4" t="inlineStr">
        <is>
          <t>快递费</t>
        </is>
      </c>
      <c r="D146" s="7" t="n">
        <v>694.3</v>
      </c>
      <c r="F146" s="7" t="n">
        <v>628.7</v>
      </c>
      <c r="H146" s="7" t="n">
        <v>1437.1</v>
      </c>
      <c r="J146" s="7" t="n">
        <v>1044.8</v>
      </c>
      <c r="L146" s="7" t="n">
        <v>1584.3</v>
      </c>
      <c r="N146" s="7" t="n">
        <v>1533.1</v>
      </c>
      <c r="P146" s="7" t="n">
        <v>1667.9</v>
      </c>
      <c r="R146" s="7" t="n">
        <v>1553.4</v>
      </c>
      <c r="T146" s="7" t="n">
        <v>881.2</v>
      </c>
      <c r="V146" s="7" t="n">
        <v>1715.2</v>
      </c>
      <c r="X146" s="7" t="n">
        <v>1671.6</v>
      </c>
      <c r="Z146" s="7" t="n">
        <v>365</v>
      </c>
      <c r="AB146" s="7" t="n">
        <v>14776.6</v>
      </c>
    </row>
    <row r="147">
      <c r="A147" s="4" t="inlineStr">
        <is>
          <t>诉讼费</t>
        </is>
      </c>
      <c r="D147" s="7" t="n">
        <v>582.3</v>
      </c>
      <c r="F147" s="7" t="n">
        <v>695.4</v>
      </c>
      <c r="H147" s="7" t="n">
        <v>1086.5</v>
      </c>
      <c r="J147" s="7" t="n">
        <v>655.8</v>
      </c>
      <c r="L147" s="7" t="n">
        <v>2238.2</v>
      </c>
      <c r="N147" s="7" t="n">
        <v>1885.6</v>
      </c>
      <c r="P147" s="7" t="n">
        <v>2231.2</v>
      </c>
      <c r="R147" s="7" t="n">
        <v>2162.1</v>
      </c>
      <c r="T147" s="7" t="n">
        <v>1049.2</v>
      </c>
      <c r="V147" s="7" t="n">
        <v>1329.3</v>
      </c>
      <c r="X147" s="7" t="n">
        <v>1182.4</v>
      </c>
      <c r="Z147" s="7" t="n">
        <v>316</v>
      </c>
      <c r="AB147" s="7" t="n">
        <v>15414</v>
      </c>
    </row>
    <row r="148">
      <c r="A148" s="4" t="inlineStr">
        <is>
          <t>会员费</t>
        </is>
      </c>
      <c r="D148" s="7" t="n">
        <v>300.1</v>
      </c>
      <c r="F148" s="7" t="n">
        <v>375</v>
      </c>
      <c r="H148" s="7" t="n">
        <v>626.6</v>
      </c>
      <c r="J148" s="7" t="n">
        <v>488.8</v>
      </c>
      <c r="L148" s="7" t="n">
        <v>847.7</v>
      </c>
      <c r="N148" s="7" t="n">
        <v>779.6</v>
      </c>
      <c r="P148" s="7" t="n">
        <v>766.2</v>
      </c>
      <c r="R148" s="7" t="n">
        <v>1012.8</v>
      </c>
      <c r="T148" s="7" t="n">
        <v>622.9</v>
      </c>
      <c r="V148" s="7" t="n">
        <v>697.6</v>
      </c>
      <c r="X148" s="7" t="n">
        <v>923.6</v>
      </c>
      <c r="Z148" s="7" t="n">
        <v>153.5</v>
      </c>
      <c r="AB148" s="7" t="n">
        <v>7594.4</v>
      </c>
    </row>
    <row r="149">
      <c r="A149" s="4" t="inlineStr">
        <is>
          <t>广告宣传费</t>
        </is>
      </c>
      <c r="D149" s="7" t="n">
        <v>3554.2</v>
      </c>
      <c r="F149" s="7" t="n">
        <v>6156.3</v>
      </c>
      <c r="H149" s="7" t="n">
        <v>10532.7</v>
      </c>
      <c r="J149" s="7" t="n">
        <v>7557.9</v>
      </c>
      <c r="L149" s="7" t="n">
        <v>11117.4</v>
      </c>
      <c r="N149" s="7" t="n">
        <v>14270.2</v>
      </c>
      <c r="P149" s="7" t="n">
        <v>11431.9</v>
      </c>
      <c r="R149" s="7" t="n">
        <v>10983.2</v>
      </c>
      <c r="T149" s="7" t="n">
        <v>7387.5</v>
      </c>
      <c r="V149" s="7" t="n">
        <v>14343.3</v>
      </c>
      <c r="X149" s="7" t="n">
        <v>7559.3</v>
      </c>
      <c r="Z149" s="7" t="n">
        <v>2774.2</v>
      </c>
      <c r="AB149" s="7" t="n">
        <v>107668.1</v>
      </c>
    </row>
    <row r="150">
      <c r="A150" s="4" t="inlineStr">
        <is>
          <t>会务费</t>
        </is>
      </c>
      <c r="D150" s="7" t="n">
        <v>159.2</v>
      </c>
      <c r="F150" s="7" t="n">
        <v>152.2</v>
      </c>
      <c r="H150" s="7" t="n">
        <v>295.3</v>
      </c>
      <c r="J150" s="7" t="n">
        <v>154.5</v>
      </c>
      <c r="L150" s="7" t="n">
        <v>435.7</v>
      </c>
      <c r="N150" s="7" t="n">
        <v>382.9</v>
      </c>
      <c r="P150" s="7" t="n">
        <v>309.5</v>
      </c>
      <c r="R150" s="7" t="n">
        <v>307.2</v>
      </c>
      <c r="T150" s="7" t="n">
        <v>260.5</v>
      </c>
      <c r="V150" s="7" t="n">
        <v>431.4</v>
      </c>
      <c r="X150" s="7" t="n">
        <v>338.1</v>
      </c>
      <c r="Z150" s="7" t="n">
        <v>81.40000000000001</v>
      </c>
      <c r="AB150" s="7" t="n">
        <v>3307.9</v>
      </c>
    </row>
    <row r="151">
      <c r="A151" s="4" t="inlineStr">
        <is>
          <t>装修费</t>
        </is>
      </c>
      <c r="D151" s="7" t="n">
        <v>764</v>
      </c>
      <c r="F151" s="7" t="n">
        <v>765.8</v>
      </c>
      <c r="H151" s="7" t="n">
        <v>1338.1</v>
      </c>
      <c r="J151" s="7" t="n">
        <v>1099.9</v>
      </c>
      <c r="L151" s="7" t="n">
        <v>2189.1</v>
      </c>
      <c r="N151" s="7" t="n">
        <v>2604.7</v>
      </c>
      <c r="P151" s="7" t="n">
        <v>2856</v>
      </c>
      <c r="R151" s="7" t="n">
        <v>1628.6</v>
      </c>
      <c r="T151" s="7" t="n">
        <v>1086.8</v>
      </c>
      <c r="V151" s="7" t="n">
        <v>2763</v>
      </c>
      <c r="X151" s="7" t="n">
        <v>2148.9</v>
      </c>
      <c r="Z151" s="7" t="n">
        <v>346.4</v>
      </c>
      <c r="AB151" s="7" t="n">
        <v>19591.3</v>
      </c>
    </row>
    <row r="152">
      <c r="A152" s="4" t="inlineStr">
        <is>
          <t>推广费</t>
        </is>
      </c>
      <c r="D152" s="7" t="n">
        <v>526.4</v>
      </c>
      <c r="F152" s="7" t="n">
        <v>601</v>
      </c>
      <c r="H152" s="7" t="n">
        <v>725.2</v>
      </c>
      <c r="J152" s="7" t="n">
        <v>727.2</v>
      </c>
      <c r="L152" s="7" t="n">
        <v>1562.3</v>
      </c>
      <c r="N152" s="7" t="n">
        <v>1293.2</v>
      </c>
      <c r="P152" s="7" t="n">
        <v>1001.5</v>
      </c>
      <c r="R152" s="7" t="n">
        <v>906.6</v>
      </c>
      <c r="T152" s="7" t="n">
        <v>684.1</v>
      </c>
      <c r="V152" s="7" t="n">
        <v>1352.6</v>
      </c>
      <c r="X152" s="7" t="n">
        <v>801.5</v>
      </c>
      <c r="Z152" s="7" t="n">
        <v>277</v>
      </c>
      <c r="AB152" s="7" t="n">
        <v>10458.6</v>
      </c>
    </row>
    <row r="153">
      <c r="A153" s="4" t="inlineStr">
        <is>
          <t>展会费</t>
        </is>
      </c>
      <c r="D153" s="7" t="n">
        <v>492.4</v>
      </c>
      <c r="F153" s="7" t="n">
        <v>549.3</v>
      </c>
      <c r="H153" s="7" t="n">
        <v>1334.1</v>
      </c>
      <c r="J153" s="7" t="n">
        <v>900</v>
      </c>
      <c r="L153" s="7" t="n">
        <v>2229.5</v>
      </c>
      <c r="N153" s="7" t="n">
        <v>1339.4</v>
      </c>
      <c r="P153" s="7" t="n">
        <v>1549.8</v>
      </c>
      <c r="R153" s="7" t="n">
        <v>1294.6</v>
      </c>
      <c r="T153" s="7" t="n">
        <v>993.7</v>
      </c>
      <c r="V153" s="7" t="n">
        <v>2105.4</v>
      </c>
      <c r="X153" s="7" t="n">
        <v>1551.5</v>
      </c>
      <c r="Z153" s="7" t="n">
        <v>317.2</v>
      </c>
      <c r="AB153" s="7" t="n">
        <v>14656.9</v>
      </c>
    </row>
    <row r="154">
      <c r="A154" s="4" t="inlineStr">
        <is>
          <t>设计费</t>
        </is>
      </c>
      <c r="D154" s="7" t="n">
        <v>538.3</v>
      </c>
      <c r="F154" s="7" t="n">
        <v>751.6</v>
      </c>
      <c r="H154" s="7" t="n">
        <v>887</v>
      </c>
      <c r="J154" s="7" t="n">
        <v>1056.2</v>
      </c>
      <c r="L154" s="7" t="n">
        <v>2683.8</v>
      </c>
      <c r="N154" s="7" t="n">
        <v>1252.5</v>
      </c>
      <c r="P154" s="7" t="n">
        <v>2394.5</v>
      </c>
      <c r="R154" s="7" t="n">
        <v>2039.6</v>
      </c>
      <c r="T154" s="7" t="n">
        <v>1166.6</v>
      </c>
      <c r="V154" s="7" t="n">
        <v>1340.3</v>
      </c>
      <c r="X154" s="7" t="n">
        <v>1256.2</v>
      </c>
      <c r="Z154" s="7" t="n">
        <v>398.1</v>
      </c>
      <c r="AB154" s="7" t="n">
        <v>15764.7</v>
      </c>
    </row>
    <row r="155">
      <c r="A155" s="4" t="inlineStr">
        <is>
          <t>折旧费</t>
        </is>
      </c>
      <c r="D155" s="7" t="n">
        <v>4968</v>
      </c>
      <c r="F155" s="7" t="n">
        <v>9158.200000000001</v>
      </c>
      <c r="H155" s="7" t="n">
        <v>12172.7</v>
      </c>
      <c r="J155" s="7" t="n">
        <v>7766.4</v>
      </c>
      <c r="L155" s="7" t="n">
        <v>19272.3</v>
      </c>
      <c r="N155" s="7" t="n">
        <v>14532.4</v>
      </c>
      <c r="P155" s="7" t="n">
        <v>14713</v>
      </c>
      <c r="R155" s="7" t="n">
        <v>16530.2</v>
      </c>
      <c r="T155" s="7" t="n">
        <v>10952.3</v>
      </c>
      <c r="V155" s="7" t="n">
        <v>20439.8</v>
      </c>
      <c r="X155" s="7" t="n">
        <v>12461.1</v>
      </c>
      <c r="Z155" s="7" t="n">
        <v>2306</v>
      </c>
      <c r="AB155" s="7" t="n">
        <v>145272.4</v>
      </c>
    </row>
    <row r="156">
      <c r="A156" s="4" t="inlineStr">
        <is>
          <t>认证费</t>
        </is>
      </c>
      <c r="D156" s="7" t="n">
        <v>517.6</v>
      </c>
      <c r="F156" s="7" t="n">
        <v>723.4</v>
      </c>
      <c r="H156" s="7" t="n">
        <v>869.3</v>
      </c>
      <c r="J156" s="7" t="n">
        <v>742.8</v>
      </c>
      <c r="L156" s="7" t="n">
        <v>1859.6</v>
      </c>
      <c r="N156" s="7" t="n">
        <v>1178.2</v>
      </c>
      <c r="P156" s="7" t="n">
        <v>1108.6</v>
      </c>
      <c r="R156" s="7" t="n">
        <v>1044.2</v>
      </c>
      <c r="T156" s="7" t="n">
        <v>1073.4</v>
      </c>
      <c r="V156" s="7" t="n">
        <v>1555.8</v>
      </c>
      <c r="X156" s="7" t="n">
        <v>1355.2</v>
      </c>
      <c r="Z156" s="7" t="n">
        <v>217.6</v>
      </c>
      <c r="AB156" s="7" t="n">
        <v>12245.7</v>
      </c>
    </row>
    <row r="157">
      <c r="A157" s="4" t="inlineStr">
        <is>
          <t>样品费</t>
        </is>
      </c>
      <c r="D157" s="7" t="n">
        <v>3168.4</v>
      </c>
      <c r="F157" s="7" t="n">
        <v>4418.9</v>
      </c>
      <c r="H157" s="7" t="n">
        <v>4929.4</v>
      </c>
      <c r="J157" s="7" t="n">
        <v>3214.5</v>
      </c>
      <c r="L157" s="7" t="n">
        <v>12065.3</v>
      </c>
      <c r="N157" s="7" t="n">
        <v>9908.1</v>
      </c>
      <c r="P157" s="7" t="n">
        <v>10226.4</v>
      </c>
      <c r="R157" s="7" t="n">
        <v>9963.6</v>
      </c>
      <c r="T157" s="7" t="n">
        <v>5247</v>
      </c>
      <c r="V157" s="7" t="n">
        <v>9379.200000000001</v>
      </c>
      <c r="X157" s="7" t="n">
        <v>7360.5</v>
      </c>
      <c r="Z157" s="7" t="n">
        <v>1715.4</v>
      </c>
      <c r="AB157" s="7" t="n">
        <v>81596.7</v>
      </c>
    </row>
    <row r="158">
      <c r="A158" s="4" t="inlineStr">
        <is>
          <t>劳务费</t>
        </is>
      </c>
      <c r="D158" s="7" t="n">
        <v>784.7</v>
      </c>
      <c r="F158" s="7" t="n">
        <v>657.7</v>
      </c>
      <c r="H158" s="7" t="n">
        <v>1145.8</v>
      </c>
      <c r="J158" s="7" t="n">
        <v>815.8</v>
      </c>
      <c r="L158" s="7" t="n">
        <v>1612.9</v>
      </c>
      <c r="N158" s="7" t="n">
        <v>1931.7</v>
      </c>
      <c r="P158" s="7" t="n">
        <v>1937.4</v>
      </c>
      <c r="R158" s="7" t="n">
        <v>1475.1</v>
      </c>
      <c r="T158" s="7" t="n">
        <v>1208.2</v>
      </c>
      <c r="V158" s="7" t="n">
        <v>1532.1</v>
      </c>
      <c r="X158" s="7" t="n">
        <v>1456.6</v>
      </c>
      <c r="Z158" s="7" t="n">
        <v>381</v>
      </c>
      <c r="AB158" s="7" t="n">
        <v>14939</v>
      </c>
    </row>
    <row r="159">
      <c r="A159" s="4" t="inlineStr">
        <is>
          <t>销售佣金</t>
        </is>
      </c>
      <c r="D159" s="7" t="n">
        <v>922.1</v>
      </c>
      <c r="F159" s="7" t="n">
        <v>1067.8</v>
      </c>
      <c r="H159" s="7" t="n">
        <v>2011.6</v>
      </c>
      <c r="J159" s="7" t="n">
        <v>1456.7</v>
      </c>
      <c r="L159" s="7" t="n">
        <v>3792.1</v>
      </c>
      <c r="N159" s="7" t="n">
        <v>1920.9</v>
      </c>
      <c r="P159" s="7" t="n">
        <v>1948.6</v>
      </c>
      <c r="R159" s="7" t="n">
        <v>1947.1</v>
      </c>
      <c r="T159" s="7" t="n">
        <v>1258.2</v>
      </c>
      <c r="V159" s="7" t="n">
        <v>3013.2</v>
      </c>
      <c r="X159" s="7" t="n">
        <v>2285</v>
      </c>
      <c r="Z159" s="7" t="n">
        <v>364.5</v>
      </c>
      <c r="AB159" s="7" t="n">
        <v>21987.8</v>
      </c>
    </row>
    <row r="160">
      <c r="A160" s="4" t="inlineStr">
        <is>
          <t>检测费</t>
        </is>
      </c>
      <c r="D160" s="7" t="n">
        <v>564.9</v>
      </c>
      <c r="F160" s="7" t="n">
        <v>600.7</v>
      </c>
      <c r="H160" s="7" t="n">
        <v>1140.9</v>
      </c>
      <c r="J160" s="7" t="n">
        <v>1039.7</v>
      </c>
      <c r="L160" s="7" t="n">
        <v>2050.9</v>
      </c>
      <c r="N160" s="7" t="n">
        <v>2088.8</v>
      </c>
      <c r="P160" s="7" t="n">
        <v>1731.1</v>
      </c>
      <c r="R160" s="7" t="n">
        <v>1609.5</v>
      </c>
      <c r="T160" s="7" t="n">
        <v>966.8</v>
      </c>
      <c r="V160" s="7" t="n">
        <v>2308.3</v>
      </c>
      <c r="X160" s="7" t="n">
        <v>1453.7</v>
      </c>
      <c r="Z160" s="7" t="n">
        <v>411.7</v>
      </c>
      <c r="AB160" s="7" t="n">
        <v>15967</v>
      </c>
    </row>
    <row r="161">
      <c r="A161" s="4" t="inlineStr">
        <is>
          <t>质量赔偿</t>
        </is>
      </c>
      <c r="D161" s="7" t="n">
        <v>681.5</v>
      </c>
      <c r="F161" s="7" t="n">
        <v>508.3</v>
      </c>
      <c r="H161" s="7" t="n">
        <v>1323.3</v>
      </c>
      <c r="J161" s="7" t="n">
        <v>778.8</v>
      </c>
      <c r="L161" s="7" t="n">
        <v>2430.4</v>
      </c>
      <c r="N161" s="7" t="n">
        <v>1420.5</v>
      </c>
      <c r="P161" s="7" t="n">
        <v>1453.6</v>
      </c>
      <c r="R161" s="7" t="n">
        <v>1181.9</v>
      </c>
      <c r="T161" s="7" t="n">
        <v>1148.4</v>
      </c>
      <c r="V161" s="7" t="n">
        <v>1280.8</v>
      </c>
      <c r="X161" s="7" t="n">
        <v>1042.1</v>
      </c>
      <c r="Z161" s="7" t="n">
        <v>274</v>
      </c>
      <c r="AB161" s="7" t="n">
        <v>13523.6</v>
      </c>
    </row>
    <row r="162">
      <c r="A162" s="4" t="inlineStr">
        <is>
          <t>保险费</t>
        </is>
      </c>
      <c r="D162" s="7" t="n">
        <v>653.1</v>
      </c>
      <c r="F162" s="7" t="n">
        <v>650.8</v>
      </c>
      <c r="H162" s="7" t="n">
        <v>931.3</v>
      </c>
      <c r="J162" s="7" t="n">
        <v>858</v>
      </c>
      <c r="L162" s="7" t="n">
        <v>2268.2</v>
      </c>
      <c r="N162" s="7" t="n">
        <v>1480.8</v>
      </c>
      <c r="P162" s="7" t="n">
        <v>1740.3</v>
      </c>
      <c r="R162" s="7" t="n">
        <v>1269.2</v>
      </c>
      <c r="T162" s="7" t="n">
        <v>998.7</v>
      </c>
      <c r="V162" s="7" t="n">
        <v>1122.5</v>
      </c>
      <c r="X162" s="7" t="n">
        <v>1071.2</v>
      </c>
      <c r="Z162" s="7" t="n">
        <v>327</v>
      </c>
      <c r="AB162" s="7" t="n">
        <v>13371.1</v>
      </c>
    </row>
    <row r="163">
      <c r="A163" s="4" t="inlineStr">
        <is>
          <t>清洁费</t>
        </is>
      </c>
      <c r="D163" s="7" t="n">
        <v>180.1</v>
      </c>
      <c r="F163" s="7" t="n">
        <v>196.5</v>
      </c>
      <c r="H163" s="7" t="n">
        <v>358.9</v>
      </c>
      <c r="J163" s="7" t="n">
        <v>169.3</v>
      </c>
      <c r="L163" s="7" t="n">
        <v>614.9</v>
      </c>
      <c r="N163" s="7" t="n">
        <v>477.2</v>
      </c>
      <c r="P163" s="7" t="n">
        <v>450.1</v>
      </c>
      <c r="R163" s="7" t="n">
        <v>596.4</v>
      </c>
      <c r="T163" s="7" t="n">
        <v>254.5</v>
      </c>
      <c r="V163" s="7" t="n">
        <v>341.8</v>
      </c>
      <c r="X163" s="7" t="n">
        <v>300.9</v>
      </c>
      <c r="Z163" s="7" t="n">
        <v>77.3</v>
      </c>
      <c r="AB163" s="7" t="n">
        <v>4017.9</v>
      </c>
    </row>
    <row r="164">
      <c r="A164" s="4" t="inlineStr">
        <is>
          <t>低值易耗品</t>
        </is>
      </c>
      <c r="D164" s="7" t="n">
        <v>11.6</v>
      </c>
      <c r="F164" s="7" t="n">
        <v>19.8</v>
      </c>
      <c r="H164" s="7" t="n">
        <v>21.1</v>
      </c>
      <c r="J164" s="7" t="n">
        <v>20.8</v>
      </c>
      <c r="L164" s="7" t="n">
        <v>51.7</v>
      </c>
      <c r="N164" s="7" t="n">
        <v>31.3</v>
      </c>
      <c r="P164" s="7" t="n">
        <v>44.5</v>
      </c>
      <c r="R164" s="7" t="n">
        <v>35.3</v>
      </c>
      <c r="T164" s="7" t="n">
        <v>17.8</v>
      </c>
      <c r="V164" s="7" t="n">
        <v>36.7</v>
      </c>
      <c r="X164" s="7" t="n">
        <v>32.3</v>
      </c>
      <c r="Z164" s="7" t="n">
        <v>5.6</v>
      </c>
      <c r="AB164" s="7" t="n">
        <v>328.5</v>
      </c>
    </row>
    <row r="165">
      <c r="A165" s="4" t="inlineStr">
        <is>
          <t>物料消耗</t>
        </is>
      </c>
      <c r="D165" s="7" t="n">
        <v>667.6</v>
      </c>
      <c r="F165" s="7" t="n">
        <v>844.9</v>
      </c>
      <c r="H165" s="7" t="n">
        <v>1721.3</v>
      </c>
      <c r="J165" s="7" t="n">
        <v>1162.7</v>
      </c>
      <c r="L165" s="7" t="n">
        <v>2537.7</v>
      </c>
      <c r="N165" s="7" t="n">
        <v>2661.1</v>
      </c>
      <c r="P165" s="7" t="n">
        <v>3028.5</v>
      </c>
      <c r="R165" s="7" t="n">
        <v>2063.1</v>
      </c>
      <c r="T165" s="7" t="n">
        <v>1659</v>
      </c>
      <c r="V165" s="7" t="n">
        <v>2115.7</v>
      </c>
      <c r="X165" s="7" t="n">
        <v>1458.3</v>
      </c>
      <c r="Z165" s="7" t="n">
        <v>519</v>
      </c>
      <c r="AB165" s="7" t="n">
        <v>20438.9</v>
      </c>
    </row>
    <row r="166">
      <c r="A166" s="4" t="inlineStr">
        <is>
          <t>盘盈盘亏</t>
        </is>
      </c>
      <c r="D166" s="7" t="n">
        <v>797.6</v>
      </c>
      <c r="F166" s="7" t="n">
        <v>901.3</v>
      </c>
      <c r="H166" s="7" t="n">
        <v>1917.8</v>
      </c>
      <c r="J166" s="7" t="n">
        <v>954</v>
      </c>
      <c r="L166" s="7" t="n">
        <v>3573.2</v>
      </c>
      <c r="N166" s="7" t="n">
        <v>2535.4</v>
      </c>
      <c r="P166" s="7" t="n">
        <v>2085.1</v>
      </c>
      <c r="R166" s="7" t="n">
        <v>2335.7</v>
      </c>
      <c r="T166" s="7" t="n">
        <v>1624.8</v>
      </c>
      <c r="V166" s="7" t="n">
        <v>1860.6</v>
      </c>
      <c r="X166" s="7" t="n">
        <v>2450.7</v>
      </c>
      <c r="Z166" s="7" t="n">
        <v>389.1</v>
      </c>
      <c r="AB166" s="7" t="n">
        <v>21425.3</v>
      </c>
    </row>
    <row r="167">
      <c r="A167" s="4" t="inlineStr">
        <is>
          <t>平台服务费</t>
        </is>
      </c>
      <c r="D167" s="7" t="n">
        <v>359.5</v>
      </c>
      <c r="F167" s="7" t="n">
        <v>813.2</v>
      </c>
      <c r="H167" s="7" t="n">
        <v>1078.4</v>
      </c>
      <c r="J167" s="7" t="n">
        <v>779.2</v>
      </c>
      <c r="L167" s="7" t="n">
        <v>1298.9</v>
      </c>
      <c r="N167" s="7" t="n">
        <v>1560.6</v>
      </c>
      <c r="P167" s="7" t="n">
        <v>1439.6</v>
      </c>
      <c r="R167" s="7" t="n">
        <v>1372.4</v>
      </c>
      <c r="T167" s="7" t="n">
        <v>892.4</v>
      </c>
      <c r="V167" s="7" t="n">
        <v>1476.9</v>
      </c>
      <c r="X167" s="7" t="n">
        <v>921.9</v>
      </c>
      <c r="Z167" s="7" t="n">
        <v>296.6</v>
      </c>
      <c r="AB167" s="7" t="n">
        <v>12289.6</v>
      </c>
    </row>
    <row r="168">
      <c r="A168" s="4" t="inlineStr">
        <is>
          <t>无形资产摊销</t>
        </is>
      </c>
      <c r="D168" s="7" t="n">
        <v>511.8</v>
      </c>
      <c r="F168" s="7" t="n">
        <v>810.9</v>
      </c>
      <c r="H168" s="7" t="n">
        <v>1271.5</v>
      </c>
      <c r="J168" s="7" t="n">
        <v>724.9</v>
      </c>
      <c r="L168" s="7" t="n">
        <v>2287.1</v>
      </c>
      <c r="N168" s="7" t="n">
        <v>1292</v>
      </c>
      <c r="P168" s="7" t="n">
        <v>2140.4</v>
      </c>
      <c r="R168" s="7" t="n">
        <v>1329.7</v>
      </c>
      <c r="T168" s="7" t="n">
        <v>1157.2</v>
      </c>
      <c r="V168" s="7" t="n">
        <v>1362.5</v>
      </c>
      <c r="X168" s="7" t="n">
        <v>1054.5</v>
      </c>
      <c r="Z168" s="7" t="n">
        <v>239</v>
      </c>
      <c r="AB168" s="7" t="n">
        <v>14181.5</v>
      </c>
    </row>
    <row r="169">
      <c r="A169" s="4" t="inlineStr">
        <is>
          <t>研发材料</t>
        </is>
      </c>
      <c r="D169" s="7" t="n">
        <v>150.2</v>
      </c>
      <c r="F169" s="7" t="n">
        <v>199.8</v>
      </c>
      <c r="H169" s="7" t="n">
        <v>370.2</v>
      </c>
      <c r="J169" s="7" t="n">
        <v>217.6</v>
      </c>
      <c r="L169" s="7" t="n">
        <v>760.6</v>
      </c>
      <c r="N169" s="7" t="n">
        <v>456.6</v>
      </c>
      <c r="P169" s="7" t="n">
        <v>407.3</v>
      </c>
      <c r="R169" s="7" t="n">
        <v>548.1</v>
      </c>
      <c r="T169" s="7" t="n">
        <v>265.8</v>
      </c>
      <c r="V169" s="7" t="n">
        <v>702</v>
      </c>
      <c r="X169" s="7" t="n">
        <v>388.5</v>
      </c>
      <c r="Z169" s="7" t="n">
        <v>69.2</v>
      </c>
      <c r="AB169" s="7" t="n">
        <v>4535.9</v>
      </c>
    </row>
    <row r="170">
      <c r="A170" s="4" t="inlineStr">
        <is>
          <t>项目名称</t>
        </is>
      </c>
      <c r="D170" s="7" t="n">
        <v>770.5</v>
      </c>
      <c r="F170" s="7" t="n">
        <v>946.1</v>
      </c>
      <c r="H170" s="7" t="n">
        <v>1359.7</v>
      </c>
      <c r="J170" s="7" t="n">
        <v>707.4</v>
      </c>
      <c r="L170" s="7" t="n">
        <v>1728.1</v>
      </c>
      <c r="N170" s="7" t="n">
        <v>1772.2</v>
      </c>
      <c r="P170" s="7" t="n">
        <v>2158.4</v>
      </c>
      <c r="R170" s="7" t="n">
        <v>1412.9</v>
      </c>
      <c r="T170" s="7" t="n">
        <v>930.4</v>
      </c>
      <c r="V170" s="7" t="n">
        <v>1580</v>
      </c>
      <c r="X170" s="7" t="n">
        <v>1891</v>
      </c>
      <c r="Z170" s="7" t="n">
        <v>292.7</v>
      </c>
      <c r="AB170" s="7" t="n">
        <v>15549.4</v>
      </c>
    </row>
    <row r="171">
      <c r="A171" s="4" t="inlineStr">
        <is>
          <t>研发费</t>
        </is>
      </c>
      <c r="D171" s="7" t="n">
        <v>325.3</v>
      </c>
      <c r="F171" s="7" t="n">
        <v>438.2</v>
      </c>
      <c r="H171" s="7" t="n">
        <v>617.6</v>
      </c>
      <c r="J171" s="7" t="n">
        <v>541.6</v>
      </c>
      <c r="L171" s="7" t="n">
        <v>1870.9</v>
      </c>
      <c r="N171" s="7" t="n">
        <v>1079.8</v>
      </c>
      <c r="P171" s="7" t="n">
        <v>1503.9</v>
      </c>
      <c r="R171" s="7" t="n">
        <v>971.8</v>
      </c>
      <c r="T171" s="7" t="n">
        <v>870.2</v>
      </c>
      <c r="V171" s="7" t="n">
        <v>947.5</v>
      </c>
      <c r="X171" s="7" t="n">
        <v>1224.3</v>
      </c>
      <c r="Z171" s="7" t="n">
        <v>253.1</v>
      </c>
      <c r="AB171" s="7" t="n">
        <v>10644.2</v>
      </c>
    </row>
    <row r="172">
      <c r="A172" s="4" t="inlineStr">
        <is>
          <t>残保金</t>
        </is>
      </c>
      <c r="D172" s="7" t="n">
        <v>143.8</v>
      </c>
      <c r="F172" s="7" t="n">
        <v>192.5</v>
      </c>
      <c r="H172" s="7" t="n">
        <v>336.3</v>
      </c>
      <c r="J172" s="7" t="n">
        <v>279.2</v>
      </c>
      <c r="L172" s="7" t="n">
        <v>439.7</v>
      </c>
      <c r="N172" s="7" t="n">
        <v>531.2</v>
      </c>
      <c r="P172" s="7" t="n">
        <v>391.2</v>
      </c>
      <c r="R172" s="7" t="n">
        <v>443.4</v>
      </c>
      <c r="T172" s="7" t="n">
        <v>353.5</v>
      </c>
      <c r="V172" s="7" t="n">
        <v>412.8</v>
      </c>
      <c r="X172" s="7" t="n">
        <v>345.8</v>
      </c>
      <c r="Z172" s="7" t="n">
        <v>102.5</v>
      </c>
      <c r="AB172" s="7" t="n">
        <v>3971.9</v>
      </c>
    </row>
    <row r="173">
      <c r="A173" s="4" t="inlineStr">
        <is>
          <t>环保费</t>
        </is>
      </c>
      <c r="D173" s="7" t="n">
        <v>803.4</v>
      </c>
      <c r="F173" s="7" t="n">
        <v>1105.2</v>
      </c>
      <c r="H173" s="7" t="n">
        <v>1128.9</v>
      </c>
      <c r="J173" s="7" t="n">
        <v>1192.8</v>
      </c>
      <c r="L173" s="7" t="n">
        <v>2006.7</v>
      </c>
      <c r="N173" s="7" t="n">
        <v>2652.3</v>
      </c>
      <c r="P173" s="7" t="n">
        <v>1803.4</v>
      </c>
      <c r="R173" s="7" t="n">
        <v>2100.4</v>
      </c>
      <c r="T173" s="7" t="n">
        <v>1368.8</v>
      </c>
      <c r="V173" s="7" t="n">
        <v>2650.6</v>
      </c>
      <c r="X173" s="7" t="n">
        <v>1927.9</v>
      </c>
      <c r="Z173" s="7" t="n">
        <v>321.2</v>
      </c>
      <c r="AB173" s="7" t="n">
        <v>19061.6</v>
      </c>
    </row>
    <row r="174">
      <c r="A174" s="4" t="inlineStr">
        <is>
          <t>报废损失</t>
        </is>
      </c>
      <c r="D174" s="7" t="n">
        <v>320.4</v>
      </c>
      <c r="F174" s="7" t="n">
        <v>319.4</v>
      </c>
      <c r="H174" s="7" t="n">
        <v>775.3</v>
      </c>
      <c r="J174" s="7" t="n">
        <v>609.6</v>
      </c>
      <c r="L174" s="7" t="n">
        <v>1663.9</v>
      </c>
      <c r="N174" s="7" t="n">
        <v>774.5</v>
      </c>
      <c r="P174" s="7" t="n">
        <v>1347.5</v>
      </c>
      <c r="R174" s="7" t="n">
        <v>806.2</v>
      </c>
      <c r="T174" s="7" t="n">
        <v>583.5</v>
      </c>
      <c r="V174" s="7" t="n">
        <v>775</v>
      </c>
      <c r="X174" s="7" t="n">
        <v>708.5</v>
      </c>
      <c r="Z174" s="7" t="n">
        <v>167.5</v>
      </c>
      <c r="AB174" s="7" t="n">
        <v>8851.299999999999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154187.5</v>
      </c>
      <c r="D175" s="7" t="n">
        <v>107069.9</v>
      </c>
      <c r="E175" s="7" t="n">
        <v>159049</v>
      </c>
      <c r="F175" s="7" t="n">
        <v>105389.1</v>
      </c>
      <c r="G175" s="7" t="n">
        <v>175586.2</v>
      </c>
      <c r="H175" s="7" t="n">
        <v>228059.1</v>
      </c>
      <c r="I175" s="7" t="n">
        <v>161006.5</v>
      </c>
      <c r="J175" s="7" t="n">
        <v>127902.7</v>
      </c>
      <c r="K175" s="7" t="n">
        <v>183727.9</v>
      </c>
      <c r="L175" s="7" t="n">
        <v>196371.6</v>
      </c>
      <c r="M175" s="7" t="n">
        <v>169685.1</v>
      </c>
      <c r="N175" s="7" t="n">
        <v>335232.4</v>
      </c>
      <c r="O175" s="7" t="n">
        <v>191170.3</v>
      </c>
      <c r="P175" s="7" t="n">
        <v>220810.5</v>
      </c>
      <c r="Q175" s="7" t="n">
        <v>144481.2</v>
      </c>
      <c r="R175" s="7" t="n">
        <v>145718.6</v>
      </c>
      <c r="S175" s="7" t="n">
        <v>173940.4</v>
      </c>
      <c r="T175" s="7" t="n">
        <v>117177.9</v>
      </c>
      <c r="U175" s="7" t="n">
        <v>149602.3</v>
      </c>
      <c r="V175" s="7" t="n">
        <v>281178.8</v>
      </c>
      <c r="W175" s="7" t="n">
        <v>184218.8</v>
      </c>
      <c r="X175" s="7" t="n">
        <v>66567.3</v>
      </c>
      <c r="Y175" s="7" t="n">
        <v>184370.2</v>
      </c>
      <c r="Z175" s="7" t="n">
        <v>69715.89999999999</v>
      </c>
      <c r="AA175" s="8" t="n">
        <v>2031025.4</v>
      </c>
      <c r="AB175" s="8" t="n">
        <v>2001193.8</v>
      </c>
    </row>
    <row r="176">
      <c r="A176" s="4" t="inlineStr">
        <is>
          <t>职工薪酬</t>
        </is>
      </c>
      <c r="D176" s="7" t="n">
        <v>54084.5</v>
      </c>
      <c r="F176" s="7" t="n">
        <v>59764.2</v>
      </c>
      <c r="H176" s="7" t="n">
        <v>115658.3</v>
      </c>
      <c r="J176" s="7" t="n">
        <v>51997.8</v>
      </c>
      <c r="L176" s="7" t="n">
        <v>104266</v>
      </c>
      <c r="N176" s="7" t="n">
        <v>184849.2</v>
      </c>
      <c r="P176" s="7" t="n">
        <v>93006.39999999999</v>
      </c>
      <c r="R176" s="7" t="n">
        <v>70351.5</v>
      </c>
      <c r="T176" s="7" t="n">
        <v>61333.9</v>
      </c>
      <c r="V176" s="7" t="n">
        <v>115149.4</v>
      </c>
      <c r="X176" s="7" t="n">
        <v>29405</v>
      </c>
      <c r="Z176" s="7" t="n">
        <v>37935.5</v>
      </c>
      <c r="AB176" s="7" t="n">
        <v>977801.7</v>
      </c>
    </row>
    <row r="177">
      <c r="A177" s="4" t="inlineStr">
        <is>
          <t>工资</t>
        </is>
      </c>
      <c r="D177" s="7" t="n">
        <v>31120.7</v>
      </c>
      <c r="F177" s="7" t="n">
        <v>38381.2</v>
      </c>
      <c r="H177" s="7" t="n">
        <v>66244.8</v>
      </c>
      <c r="J177" s="7" t="n">
        <v>29592.5</v>
      </c>
      <c r="L177" s="7" t="n">
        <v>58818.6</v>
      </c>
      <c r="N177" s="7" t="n">
        <v>109824.5</v>
      </c>
      <c r="P177" s="7" t="n">
        <v>50449.9</v>
      </c>
      <c r="R177" s="7" t="n">
        <v>41416.3</v>
      </c>
      <c r="T177" s="7" t="n">
        <v>36358.4</v>
      </c>
      <c r="V177" s="7" t="n">
        <v>59056.1</v>
      </c>
      <c r="X177" s="7" t="n">
        <v>15068.3</v>
      </c>
      <c r="Z177" s="7" t="n">
        <v>22222.4</v>
      </c>
      <c r="AB177" s="7" t="n">
        <v>558553.7</v>
      </c>
    </row>
    <row r="178">
      <c r="A178" s="4" t="inlineStr">
        <is>
          <t>奖金及提成</t>
        </is>
      </c>
      <c r="D178" s="7" t="n">
        <v>11471.9</v>
      </c>
      <c r="F178" s="7" t="n">
        <v>9303.299999999999</v>
      </c>
      <c r="H178" s="7" t="n">
        <v>22920</v>
      </c>
      <c r="J178" s="7" t="n">
        <v>10540.6</v>
      </c>
      <c r="L178" s="7" t="n">
        <v>21657.5</v>
      </c>
      <c r="N178" s="7" t="n">
        <v>42581.7</v>
      </c>
      <c r="P178" s="7" t="n">
        <v>20270.5</v>
      </c>
      <c r="R178" s="7" t="n">
        <v>10674.8</v>
      </c>
      <c r="T178" s="7" t="n">
        <v>9769.700000000001</v>
      </c>
      <c r="V178" s="7" t="n">
        <v>27349.6</v>
      </c>
      <c r="X178" s="7" t="n">
        <v>6897</v>
      </c>
      <c r="Z178" s="7" t="n">
        <v>7472.5</v>
      </c>
      <c r="AB178" s="7" t="n">
        <v>200909.1</v>
      </c>
    </row>
    <row r="179">
      <c r="A179" s="4" t="inlineStr">
        <is>
          <t>社保</t>
        </is>
      </c>
      <c r="D179" s="7" t="n">
        <v>8427.5</v>
      </c>
      <c r="F179" s="7" t="n">
        <v>9226.200000000001</v>
      </c>
      <c r="H179" s="7" t="n">
        <v>20608.3</v>
      </c>
      <c r="J179" s="7" t="n">
        <v>7862.6</v>
      </c>
      <c r="L179" s="7" t="n">
        <v>18154</v>
      </c>
      <c r="N179" s="7" t="n">
        <v>22341.2</v>
      </c>
      <c r="P179" s="7" t="n">
        <v>15983.4</v>
      </c>
      <c r="R179" s="7" t="n">
        <v>13964.9</v>
      </c>
      <c r="T179" s="7" t="n">
        <v>11986.5</v>
      </c>
      <c r="V179" s="7" t="n">
        <v>19686.8</v>
      </c>
      <c r="X179" s="7" t="n">
        <v>5395.6</v>
      </c>
      <c r="Z179" s="7" t="n">
        <v>6253.6</v>
      </c>
      <c r="AB179" s="7" t="n">
        <v>159890.6</v>
      </c>
    </row>
    <row r="180">
      <c r="A180" s="4" t="inlineStr">
        <is>
          <t>养老</t>
        </is>
      </c>
      <c r="D180" s="7" t="n">
        <v>25.7</v>
      </c>
      <c r="F180" s="7" t="n">
        <v>24.8</v>
      </c>
      <c r="H180" s="7" t="n">
        <v>77.40000000000001</v>
      </c>
      <c r="J180" s="7" t="n">
        <v>43.5</v>
      </c>
      <c r="L180" s="7" t="n">
        <v>45</v>
      </c>
      <c r="N180" s="7" t="n">
        <v>107.3</v>
      </c>
      <c r="P180" s="7" t="n">
        <v>53.9</v>
      </c>
      <c r="R180" s="7" t="n">
        <v>55</v>
      </c>
      <c r="T180" s="7" t="n">
        <v>32.9</v>
      </c>
      <c r="V180" s="7" t="n">
        <v>82.2</v>
      </c>
      <c r="X180" s="7" t="n">
        <v>23.4</v>
      </c>
      <c r="Z180" s="7" t="n">
        <v>23.6</v>
      </c>
      <c r="AB180" s="7" t="n">
        <v>594.7</v>
      </c>
    </row>
    <row r="181">
      <c r="A181" s="4" t="inlineStr">
        <is>
          <t>医疗</t>
        </is>
      </c>
      <c r="D181" s="7" t="n">
        <v>71.8</v>
      </c>
      <c r="F181" s="7" t="n">
        <v>93.5</v>
      </c>
      <c r="H181" s="7" t="n">
        <v>193.8</v>
      </c>
      <c r="J181" s="7" t="n">
        <v>95.2</v>
      </c>
      <c r="L181" s="7" t="n">
        <v>161.4</v>
      </c>
      <c r="N181" s="7" t="n">
        <v>229.9</v>
      </c>
      <c r="P181" s="7" t="n">
        <v>170.9</v>
      </c>
      <c r="R181" s="7" t="n">
        <v>131.2</v>
      </c>
      <c r="T181" s="7" t="n">
        <v>64.7</v>
      </c>
      <c r="V181" s="7" t="n">
        <v>198.6</v>
      </c>
      <c r="X181" s="7" t="n">
        <v>47.9</v>
      </c>
      <c r="Z181" s="7" t="n">
        <v>35.9</v>
      </c>
      <c r="AB181" s="7" t="n">
        <v>1494.8</v>
      </c>
    </row>
    <row r="182">
      <c r="A182" s="4" t="inlineStr">
        <is>
          <t>工伤</t>
        </is>
      </c>
      <c r="D182" s="7" t="n">
        <v>790.2</v>
      </c>
      <c r="F182" s="7" t="n">
        <v>639.7</v>
      </c>
      <c r="H182" s="7" t="n">
        <v>1405.7</v>
      </c>
      <c r="J182" s="7" t="n">
        <v>982.7</v>
      </c>
      <c r="L182" s="7" t="n">
        <v>971.1</v>
      </c>
      <c r="N182" s="7" t="n">
        <v>2152.9</v>
      </c>
      <c r="P182" s="7" t="n">
        <v>1541.6</v>
      </c>
      <c r="R182" s="7" t="n">
        <v>694.4</v>
      </c>
      <c r="T182" s="7" t="n">
        <v>670.1</v>
      </c>
      <c r="V182" s="7" t="n">
        <v>1828.6</v>
      </c>
      <c r="X182" s="7" t="n">
        <v>502</v>
      </c>
      <c r="Z182" s="7" t="n">
        <v>428.6</v>
      </c>
      <c r="AB182" s="7" t="n">
        <v>12607.6</v>
      </c>
    </row>
    <row r="183">
      <c r="A183" s="4" t="inlineStr">
        <is>
          <t>失业</t>
        </is>
      </c>
      <c r="D183" s="7" t="n">
        <v>347.8</v>
      </c>
      <c r="F183" s="7" t="n">
        <v>332.2</v>
      </c>
      <c r="H183" s="7" t="n">
        <v>665.8</v>
      </c>
      <c r="J183" s="7" t="n">
        <v>278.8</v>
      </c>
      <c r="L183" s="7" t="n">
        <v>633.1</v>
      </c>
      <c r="N183" s="7" t="n">
        <v>1084.3</v>
      </c>
      <c r="P183" s="7" t="n">
        <v>541.2</v>
      </c>
      <c r="R183" s="7" t="n">
        <v>286.7</v>
      </c>
      <c r="T183" s="7" t="n">
        <v>280.1</v>
      </c>
      <c r="V183" s="7" t="n">
        <v>794.4</v>
      </c>
      <c r="X183" s="7" t="n">
        <v>192.9</v>
      </c>
      <c r="Z183" s="7" t="n">
        <v>154.6</v>
      </c>
      <c r="AB183" s="7" t="n">
        <v>5591.9</v>
      </c>
    </row>
    <row r="184">
      <c r="A184" s="4" t="inlineStr">
        <is>
          <t>生育</t>
        </is>
      </c>
      <c r="D184" s="7" t="n">
        <v>599.1</v>
      </c>
      <c r="F184" s="7" t="n">
        <v>546.4</v>
      </c>
      <c r="H184" s="7" t="n">
        <v>1323.2</v>
      </c>
      <c r="J184" s="7" t="n">
        <v>635.2</v>
      </c>
      <c r="L184" s="7" t="n">
        <v>741.2</v>
      </c>
      <c r="N184" s="7" t="n">
        <v>1656.9</v>
      </c>
      <c r="P184" s="7" t="n">
        <v>888.1</v>
      </c>
      <c r="R184" s="7" t="n">
        <v>608.1</v>
      </c>
      <c r="T184" s="7" t="n">
        <v>594.8</v>
      </c>
      <c r="V184" s="7" t="n">
        <v>1667</v>
      </c>
      <c r="X184" s="7" t="n">
        <v>333.8</v>
      </c>
      <c r="Z184" s="7" t="n">
        <v>408.9</v>
      </c>
      <c r="AB184" s="7" t="n">
        <v>10002.7</v>
      </c>
    </row>
    <row r="185">
      <c r="A185" s="4" t="inlineStr">
        <is>
          <t>公积金</t>
        </is>
      </c>
      <c r="D185" s="7" t="n">
        <v>395</v>
      </c>
      <c r="F185" s="7" t="n">
        <v>311.1</v>
      </c>
      <c r="H185" s="7" t="n">
        <v>579.7</v>
      </c>
      <c r="J185" s="7" t="n">
        <v>385.2</v>
      </c>
      <c r="L185" s="7" t="n">
        <v>641.2</v>
      </c>
      <c r="N185" s="7" t="n">
        <v>1154.6</v>
      </c>
      <c r="P185" s="7" t="n">
        <v>802.8</v>
      </c>
      <c r="R185" s="7" t="n">
        <v>457.6</v>
      </c>
      <c r="T185" s="7" t="n">
        <v>444.8</v>
      </c>
      <c r="V185" s="7" t="n">
        <v>1119.4</v>
      </c>
      <c r="X185" s="7" t="n">
        <v>191.7</v>
      </c>
      <c r="Z185" s="7" t="n">
        <v>278.4</v>
      </c>
      <c r="AB185" s="7" t="n">
        <v>6761.5</v>
      </c>
    </row>
    <row r="186">
      <c r="A186" s="4" t="inlineStr">
        <is>
          <t>工会经费</t>
        </is>
      </c>
      <c r="D186" s="7" t="n">
        <v>575.2</v>
      </c>
      <c r="F186" s="7" t="n">
        <v>399.5</v>
      </c>
      <c r="H186" s="7" t="n">
        <v>951.6</v>
      </c>
      <c r="J186" s="7" t="n">
        <v>747.2</v>
      </c>
      <c r="L186" s="7" t="n">
        <v>853.4</v>
      </c>
      <c r="N186" s="7" t="n">
        <v>2043.6</v>
      </c>
      <c r="P186" s="7" t="n">
        <v>932.3</v>
      </c>
      <c r="R186" s="7" t="n">
        <v>673.5</v>
      </c>
      <c r="T186" s="7" t="n">
        <v>528.1</v>
      </c>
      <c r="V186" s="7" t="n">
        <v>1793.8</v>
      </c>
      <c r="X186" s="7" t="n">
        <v>393.2</v>
      </c>
      <c r="Z186" s="7" t="n">
        <v>324.1</v>
      </c>
      <c r="AB186" s="7" t="n">
        <v>10215.5</v>
      </c>
    </row>
    <row r="187">
      <c r="A187" s="4" t="inlineStr">
        <is>
          <t>职工教育经费</t>
        </is>
      </c>
      <c r="D187" s="7" t="n">
        <v>380.6</v>
      </c>
      <c r="F187" s="7" t="n">
        <v>618.9</v>
      </c>
      <c r="H187" s="7" t="n">
        <v>858.2</v>
      </c>
      <c r="J187" s="7" t="n">
        <v>771.6</v>
      </c>
      <c r="L187" s="7" t="n">
        <v>1109.8</v>
      </c>
      <c r="N187" s="7" t="n">
        <v>2019.2</v>
      </c>
      <c r="P187" s="7" t="n">
        <v>1249.9</v>
      </c>
      <c r="R187" s="7" t="n">
        <v>746.6</v>
      </c>
      <c r="T187" s="7" t="n">
        <v>487.9</v>
      </c>
      <c r="V187" s="7" t="n">
        <v>1626.5</v>
      </c>
      <c r="X187" s="7" t="n">
        <v>387.9</v>
      </c>
      <c r="Z187" s="7" t="n">
        <v>300.6</v>
      </c>
      <c r="AB187" s="7" t="n">
        <v>10557.7</v>
      </c>
    </row>
    <row r="188">
      <c r="A188" s="4" t="inlineStr">
        <is>
          <t>福利费</t>
        </is>
      </c>
      <c r="D188" s="7" t="n">
        <v>1713.6</v>
      </c>
      <c r="F188" s="7" t="n">
        <v>1524</v>
      </c>
      <c r="H188" s="7" t="n">
        <v>3495.7</v>
      </c>
      <c r="J188" s="7" t="n">
        <v>2098.1</v>
      </c>
      <c r="L188" s="7" t="n">
        <v>3031.5</v>
      </c>
      <c r="N188" s="7" t="n">
        <v>4884.4</v>
      </c>
      <c r="P188" s="7" t="n">
        <v>3317.6</v>
      </c>
      <c r="R188" s="7" t="n">
        <v>2417.8</v>
      </c>
      <c r="T188" s="7" t="n">
        <v>1758.5</v>
      </c>
      <c r="V188" s="7" t="n">
        <v>4517.2</v>
      </c>
      <c r="X188" s="7" t="n">
        <v>1071.3</v>
      </c>
      <c r="Z188" s="7" t="n">
        <v>1083.9</v>
      </c>
      <c r="AB188" s="7" t="n">
        <v>30913.6</v>
      </c>
    </row>
    <row r="189">
      <c r="A189" s="4" t="inlineStr">
        <is>
          <t>职工房租</t>
        </is>
      </c>
      <c r="D189" s="7" t="n">
        <v>726.6</v>
      </c>
      <c r="F189" s="7" t="n">
        <v>644</v>
      </c>
      <c r="H189" s="7" t="n">
        <v>1351.2</v>
      </c>
      <c r="J189" s="7" t="n">
        <v>802.7</v>
      </c>
      <c r="L189" s="7" t="n">
        <v>1098.6</v>
      </c>
      <c r="N189" s="7" t="n">
        <v>1937.7</v>
      </c>
      <c r="P189" s="7" t="n">
        <v>1400.9</v>
      </c>
      <c r="R189" s="7" t="n">
        <v>1014</v>
      </c>
      <c r="T189" s="7" t="n">
        <v>559</v>
      </c>
      <c r="V189" s="7" t="n">
        <v>1234.1</v>
      </c>
      <c r="X189" s="7" t="n">
        <v>402</v>
      </c>
      <c r="Z189" s="7" t="n">
        <v>308.2</v>
      </c>
      <c r="AB189" s="7" t="n">
        <v>11479</v>
      </c>
    </row>
    <row r="190">
      <c r="A190" s="4" t="inlineStr">
        <is>
          <t>水电物业费</t>
        </is>
      </c>
      <c r="D190" s="7" t="n">
        <v>123</v>
      </c>
      <c r="F190" s="7" t="n">
        <v>111.3</v>
      </c>
      <c r="H190" s="7" t="n">
        <v>248.8</v>
      </c>
      <c r="J190" s="7" t="n">
        <v>150.7</v>
      </c>
      <c r="L190" s="7" t="n">
        <v>174.1</v>
      </c>
      <c r="N190" s="7" t="n">
        <v>401.3</v>
      </c>
      <c r="P190" s="7" t="n">
        <v>214.7</v>
      </c>
      <c r="R190" s="7" t="n">
        <v>149.2</v>
      </c>
      <c r="T190" s="7" t="n">
        <v>150.3</v>
      </c>
      <c r="V190" s="7" t="n">
        <v>254.1</v>
      </c>
      <c r="X190" s="7" t="n">
        <v>60.1</v>
      </c>
      <c r="Z190" s="7" t="n">
        <v>71</v>
      </c>
      <c r="AB190" s="7" t="n">
        <v>2108.6</v>
      </c>
    </row>
    <row r="191">
      <c r="A191" s="4" t="inlineStr">
        <is>
          <t>员工餐</t>
        </is>
      </c>
      <c r="D191" s="7" t="n">
        <v>45</v>
      </c>
      <c r="F191" s="7" t="n">
        <v>37.6</v>
      </c>
      <c r="H191" s="7" t="n">
        <v>83.40000000000001</v>
      </c>
      <c r="J191" s="7" t="n">
        <v>42.4</v>
      </c>
      <c r="L191" s="7" t="n">
        <v>68.3</v>
      </c>
      <c r="N191" s="7" t="n">
        <v>102.3</v>
      </c>
      <c r="P191" s="7" t="n">
        <v>86.2</v>
      </c>
      <c r="R191" s="7" t="n">
        <v>43.3</v>
      </c>
      <c r="T191" s="7" t="n">
        <v>32.5</v>
      </c>
      <c r="V191" s="7" t="n">
        <v>76</v>
      </c>
      <c r="X191" s="7" t="n">
        <v>16.4</v>
      </c>
      <c r="Z191" s="7" t="n">
        <v>23.3</v>
      </c>
      <c r="AB191" s="7" t="n">
        <v>656.7</v>
      </c>
    </row>
    <row r="192">
      <c r="A192" s="4" t="inlineStr">
        <is>
          <t>节日礼品</t>
        </is>
      </c>
      <c r="D192" s="7" t="n">
        <v>298.5</v>
      </c>
      <c r="F192" s="7" t="n">
        <v>217.1</v>
      </c>
      <c r="H192" s="7" t="n">
        <v>518</v>
      </c>
      <c r="J192" s="7" t="n">
        <v>288.8</v>
      </c>
      <c r="L192" s="7" t="n">
        <v>481.6</v>
      </c>
      <c r="N192" s="7" t="n">
        <v>838</v>
      </c>
      <c r="P192" s="7" t="n">
        <v>500.5</v>
      </c>
      <c r="R192" s="7" t="n">
        <v>457.7</v>
      </c>
      <c r="T192" s="7" t="n">
        <v>325.4</v>
      </c>
      <c r="V192" s="7" t="n">
        <v>995.4</v>
      </c>
      <c r="X192" s="7" t="n">
        <v>216.8</v>
      </c>
      <c r="Z192" s="7" t="n">
        <v>245</v>
      </c>
      <c r="AB192" s="7" t="n">
        <v>5382.8</v>
      </c>
    </row>
    <row r="193">
      <c r="A193" s="4" t="inlineStr">
        <is>
          <t>生日礼品</t>
        </is>
      </c>
      <c r="D193" s="7" t="n">
        <v>6.8</v>
      </c>
      <c r="F193" s="7" t="n">
        <v>5.9</v>
      </c>
      <c r="H193" s="7" t="n">
        <v>16.4</v>
      </c>
      <c r="J193" s="7" t="n">
        <v>7.9</v>
      </c>
      <c r="L193" s="7" t="n">
        <v>12.2</v>
      </c>
      <c r="N193" s="7" t="n">
        <v>24.7</v>
      </c>
      <c r="P193" s="7" t="n">
        <v>14.1</v>
      </c>
      <c r="R193" s="7" t="n">
        <v>7.5</v>
      </c>
      <c r="T193" s="7" t="n">
        <v>8.5</v>
      </c>
      <c r="V193" s="7" t="n">
        <v>20.6</v>
      </c>
      <c r="X193" s="7" t="n">
        <v>3.6</v>
      </c>
      <c r="Z193" s="7" t="n">
        <v>4.1</v>
      </c>
      <c r="AB193" s="7" t="n">
        <v>132.3</v>
      </c>
    </row>
    <row r="194">
      <c r="A194" s="4" t="inlineStr">
        <is>
          <t>体检</t>
        </is>
      </c>
      <c r="D194" s="7" t="n">
        <v>247.6</v>
      </c>
      <c r="F194" s="7" t="n">
        <v>233.2</v>
      </c>
      <c r="H194" s="7" t="n">
        <v>391.2</v>
      </c>
      <c r="J194" s="7" t="n">
        <v>280.3</v>
      </c>
      <c r="L194" s="7" t="n">
        <v>352.3</v>
      </c>
      <c r="N194" s="7" t="n">
        <v>451.6</v>
      </c>
      <c r="P194" s="7" t="n">
        <v>507.4</v>
      </c>
      <c r="R194" s="7" t="n">
        <v>220.4</v>
      </c>
      <c r="T194" s="7" t="n">
        <v>219.1</v>
      </c>
      <c r="V194" s="7" t="n">
        <v>661.7</v>
      </c>
      <c r="X194" s="7" t="n">
        <v>98.8</v>
      </c>
      <c r="Z194" s="7" t="n">
        <v>164.7</v>
      </c>
      <c r="AB194" s="7" t="n">
        <v>3828.3</v>
      </c>
    </row>
    <row r="195">
      <c r="A195" s="4" t="inlineStr">
        <is>
          <t>其他福利支出</t>
        </is>
      </c>
      <c r="D195" s="7" t="n">
        <v>266.1</v>
      </c>
      <c r="F195" s="7" t="n">
        <v>274.9</v>
      </c>
      <c r="H195" s="7" t="n">
        <v>886.7</v>
      </c>
      <c r="J195" s="7" t="n">
        <v>525.3</v>
      </c>
      <c r="L195" s="7" t="n">
        <v>844.4</v>
      </c>
      <c r="N195" s="7" t="n">
        <v>1128.8</v>
      </c>
      <c r="P195" s="7" t="n">
        <v>593.8</v>
      </c>
      <c r="R195" s="7" t="n">
        <v>525.7</v>
      </c>
      <c r="T195" s="7" t="n">
        <v>463.7</v>
      </c>
      <c r="V195" s="7" t="n">
        <v>1275.3</v>
      </c>
      <c r="X195" s="7" t="n">
        <v>273.6</v>
      </c>
      <c r="Z195" s="7" t="n">
        <v>267.6</v>
      </c>
      <c r="AB195" s="7" t="n">
        <v>7325.9</v>
      </c>
    </row>
    <row r="196">
      <c r="A196" s="4" t="inlineStr">
        <is>
          <t>招聘费</t>
        </is>
      </c>
      <c r="D196" s="7" t="n">
        <v>757.5</v>
      </c>
      <c r="F196" s="7" t="n">
        <v>514.5</v>
      </c>
      <c r="H196" s="7" t="n">
        <v>1371</v>
      </c>
      <c r="J196" s="7" t="n">
        <v>708.6</v>
      </c>
      <c r="L196" s="7" t="n">
        <v>910.6</v>
      </c>
      <c r="N196" s="7" t="n">
        <v>1513.3</v>
      </c>
      <c r="P196" s="7" t="n">
        <v>1600.9</v>
      </c>
      <c r="R196" s="7" t="n">
        <v>929.3</v>
      </c>
      <c r="T196" s="7" t="n">
        <v>754.6</v>
      </c>
      <c r="V196" s="7" t="n">
        <v>1449.6</v>
      </c>
      <c r="X196" s="7" t="n">
        <v>350.8</v>
      </c>
      <c r="Z196" s="7" t="n">
        <v>400.7</v>
      </c>
      <c r="AB196" s="7" t="n">
        <v>11261.4</v>
      </c>
    </row>
    <row r="197">
      <c r="A197" s="4" t="inlineStr">
        <is>
          <t>办公费</t>
        </is>
      </c>
      <c r="D197" s="7" t="n">
        <v>3463.1</v>
      </c>
      <c r="F197" s="7" t="n">
        <v>3034.6</v>
      </c>
      <c r="H197" s="7" t="n">
        <v>4858.6</v>
      </c>
      <c r="J197" s="7" t="n">
        <v>4236.1</v>
      </c>
      <c r="L197" s="7" t="n">
        <v>6014.3</v>
      </c>
      <c r="N197" s="7" t="n">
        <v>10910.3</v>
      </c>
      <c r="P197" s="7" t="n">
        <v>7094.7</v>
      </c>
      <c r="R197" s="7" t="n">
        <v>5042.9</v>
      </c>
      <c r="T197" s="7" t="n">
        <v>3695.9</v>
      </c>
      <c r="V197" s="7" t="n">
        <v>9452.1</v>
      </c>
      <c r="X197" s="7" t="n">
        <v>1484.9</v>
      </c>
      <c r="Z197" s="7" t="n">
        <v>2628.6</v>
      </c>
      <c r="AB197" s="7" t="n">
        <v>61916.1</v>
      </c>
    </row>
    <row r="198">
      <c r="A198" s="4" t="inlineStr">
        <is>
          <t>市内交通费</t>
        </is>
      </c>
      <c r="D198" s="7" t="n">
        <v>87.3</v>
      </c>
      <c r="F198" s="7" t="n">
        <v>64.59999999999999</v>
      </c>
      <c r="H198" s="7" t="n">
        <v>119.3</v>
      </c>
      <c r="J198" s="7" t="n">
        <v>103.2</v>
      </c>
      <c r="L198" s="7" t="n">
        <v>131.6</v>
      </c>
      <c r="N198" s="7" t="n">
        <v>218.6</v>
      </c>
      <c r="P198" s="7" t="n">
        <v>168.5</v>
      </c>
      <c r="R198" s="7" t="n">
        <v>99.8</v>
      </c>
      <c r="T198" s="7" t="n">
        <v>83.2</v>
      </c>
      <c r="V198" s="7" t="n">
        <v>153</v>
      </c>
      <c r="X198" s="7" t="n">
        <v>43.3</v>
      </c>
      <c r="Z198" s="7" t="n">
        <v>57.2</v>
      </c>
      <c r="AB198" s="7" t="n">
        <v>1329.6</v>
      </c>
    </row>
    <row r="199">
      <c r="A199" s="4" t="inlineStr">
        <is>
          <t>差旅费</t>
        </is>
      </c>
      <c r="D199" s="7" t="n">
        <v>6600.4</v>
      </c>
      <c r="F199" s="7" t="n">
        <v>8069.1</v>
      </c>
      <c r="H199" s="7" t="n">
        <v>10761.4</v>
      </c>
      <c r="J199" s="7" t="n">
        <v>8490.5</v>
      </c>
      <c r="L199" s="7" t="n">
        <v>14710.2</v>
      </c>
      <c r="N199" s="7" t="n">
        <v>23674.3</v>
      </c>
      <c r="P199" s="7" t="n">
        <v>15071.6</v>
      </c>
      <c r="R199" s="7" t="n">
        <v>8077.6</v>
      </c>
      <c r="T199" s="7" t="n">
        <v>8926.700000000001</v>
      </c>
      <c r="V199" s="7" t="n">
        <v>17412.5</v>
      </c>
      <c r="X199" s="7" t="n">
        <v>4126</v>
      </c>
      <c r="Z199" s="7" t="n">
        <v>3237.4</v>
      </c>
      <c r="AB199" s="7" t="n">
        <v>129157.7</v>
      </c>
    </row>
    <row r="200">
      <c r="A200" s="4" t="inlineStr">
        <is>
          <t>交通费</t>
        </is>
      </c>
      <c r="D200" s="7" t="n">
        <v>3.7</v>
      </c>
      <c r="F200" s="7" t="n">
        <v>3.6</v>
      </c>
      <c r="H200" s="7" t="n">
        <v>9.5</v>
      </c>
      <c r="J200" s="7" t="n">
        <v>3.7</v>
      </c>
      <c r="L200" s="7" t="n">
        <v>7.4</v>
      </c>
      <c r="N200" s="7" t="n">
        <v>13.7</v>
      </c>
      <c r="P200" s="7" t="n">
        <v>6.6</v>
      </c>
      <c r="R200" s="7" t="n">
        <v>4.6</v>
      </c>
      <c r="T200" s="7" t="n">
        <v>4.2</v>
      </c>
      <c r="V200" s="7" t="n">
        <v>9.300000000000001</v>
      </c>
      <c r="X200" s="7" t="n">
        <v>1.7</v>
      </c>
      <c r="Z200" s="7" t="n">
        <v>1.9</v>
      </c>
      <c r="AB200" s="7" t="n">
        <v>69.90000000000001</v>
      </c>
    </row>
    <row r="201">
      <c r="A201" s="4" t="inlineStr">
        <is>
          <t>住宿费</t>
        </is>
      </c>
      <c r="D201" s="7" t="n">
        <v>478.6</v>
      </c>
      <c r="F201" s="7" t="n">
        <v>466.6</v>
      </c>
      <c r="H201" s="7" t="n">
        <v>1472.8</v>
      </c>
      <c r="J201" s="7" t="n">
        <v>848.1</v>
      </c>
      <c r="L201" s="7" t="n">
        <v>1301.5</v>
      </c>
      <c r="N201" s="7" t="n">
        <v>2311</v>
      </c>
      <c r="P201" s="7" t="n">
        <v>1567.1</v>
      </c>
      <c r="R201" s="7" t="n">
        <v>779.1</v>
      </c>
      <c r="T201" s="7" t="n">
        <v>660.5</v>
      </c>
      <c r="V201" s="7" t="n">
        <v>1345.8</v>
      </c>
      <c r="X201" s="7" t="n">
        <v>269.8</v>
      </c>
      <c r="Z201" s="7" t="n">
        <v>289.6</v>
      </c>
      <c r="AB201" s="7" t="n">
        <v>11790.5</v>
      </c>
    </row>
    <row r="202">
      <c r="A202" s="4" t="inlineStr">
        <is>
          <t>餐补</t>
        </is>
      </c>
      <c r="D202" s="7" t="n">
        <v>505.5</v>
      </c>
      <c r="F202" s="7" t="n">
        <v>450.5</v>
      </c>
      <c r="H202" s="7" t="n">
        <v>843</v>
      </c>
      <c r="J202" s="7" t="n">
        <v>665.3</v>
      </c>
      <c r="L202" s="7" t="n">
        <v>710.1</v>
      </c>
      <c r="N202" s="7" t="n">
        <v>1709.4</v>
      </c>
      <c r="P202" s="7" t="n">
        <v>1302.8</v>
      </c>
      <c r="R202" s="7" t="n">
        <v>617.5</v>
      </c>
      <c r="T202" s="7" t="n">
        <v>541</v>
      </c>
      <c r="V202" s="7" t="n">
        <v>1431.2</v>
      </c>
      <c r="X202" s="7" t="n">
        <v>279.8</v>
      </c>
      <c r="Z202" s="7" t="n">
        <v>348.5</v>
      </c>
      <c r="AB202" s="7" t="n">
        <v>9404.6</v>
      </c>
    </row>
    <row r="203">
      <c r="A203" s="4" t="inlineStr">
        <is>
          <t>交通补助</t>
        </is>
      </c>
      <c r="D203" s="7" t="n">
        <v>364.8</v>
      </c>
      <c r="F203" s="7" t="n">
        <v>347.8</v>
      </c>
      <c r="H203" s="7" t="n">
        <v>809.4</v>
      </c>
      <c r="J203" s="7" t="n">
        <v>333.4</v>
      </c>
      <c r="L203" s="7" t="n">
        <v>617.3</v>
      </c>
      <c r="N203" s="7" t="n">
        <v>1035.5</v>
      </c>
      <c r="P203" s="7" t="n">
        <v>936.7</v>
      </c>
      <c r="R203" s="7" t="n">
        <v>519.7</v>
      </c>
      <c r="T203" s="7" t="n">
        <v>523.2</v>
      </c>
      <c r="V203" s="7" t="n">
        <v>814</v>
      </c>
      <c r="X203" s="7" t="n">
        <v>281.4</v>
      </c>
      <c r="Z203" s="7" t="n">
        <v>317.2</v>
      </c>
      <c r="AB203" s="7" t="n">
        <v>6900.4</v>
      </c>
    </row>
    <row r="204">
      <c r="A204" s="4" t="inlineStr">
        <is>
          <t>通讯补助</t>
        </is>
      </c>
      <c r="D204" s="7" t="n">
        <v>297.4</v>
      </c>
      <c r="F204" s="7" t="n">
        <v>282.5</v>
      </c>
      <c r="H204" s="7" t="n">
        <v>713.6</v>
      </c>
      <c r="J204" s="7" t="n">
        <v>312.7</v>
      </c>
      <c r="L204" s="7" t="n">
        <v>634.1</v>
      </c>
      <c r="N204" s="7" t="n">
        <v>1226.1</v>
      </c>
      <c r="P204" s="7" t="n">
        <v>814.4</v>
      </c>
      <c r="R204" s="7" t="n">
        <v>346.7</v>
      </c>
      <c r="T204" s="7" t="n">
        <v>363.9</v>
      </c>
      <c r="V204" s="7" t="n">
        <v>732.2</v>
      </c>
      <c r="X204" s="7" t="n">
        <v>248.9</v>
      </c>
      <c r="Z204" s="7" t="n">
        <v>157.8</v>
      </c>
      <c r="AB204" s="7" t="n">
        <v>6130.3</v>
      </c>
    </row>
    <row r="205">
      <c r="A205" s="4" t="inlineStr">
        <is>
          <t>招待费</t>
        </is>
      </c>
      <c r="D205" s="7" t="n">
        <v>3191.7</v>
      </c>
      <c r="F205" s="7" t="n">
        <v>2998</v>
      </c>
      <c r="H205" s="7" t="n">
        <v>9161.700000000001</v>
      </c>
      <c r="J205" s="7" t="n">
        <v>3677</v>
      </c>
      <c r="L205" s="7" t="n">
        <v>8240.799999999999</v>
      </c>
      <c r="N205" s="7" t="n">
        <v>12646</v>
      </c>
      <c r="P205" s="7" t="n">
        <v>9309.6</v>
      </c>
      <c r="R205" s="7" t="n">
        <v>7249.7</v>
      </c>
      <c r="T205" s="7" t="n">
        <v>4832.2</v>
      </c>
      <c r="V205" s="7" t="n">
        <v>11540.5</v>
      </c>
      <c r="X205" s="7" t="n">
        <v>3459.5</v>
      </c>
      <c r="Z205" s="7" t="n">
        <v>2742</v>
      </c>
      <c r="AB205" s="7" t="n">
        <v>79048.7</v>
      </c>
    </row>
    <row r="206">
      <c r="A206" s="4" t="inlineStr">
        <is>
          <t>通讯费</t>
        </is>
      </c>
      <c r="D206" s="7" t="n">
        <v>500.4</v>
      </c>
      <c r="F206" s="7" t="n">
        <v>446.8</v>
      </c>
      <c r="H206" s="7" t="n">
        <v>1348.6</v>
      </c>
      <c r="J206" s="7" t="n">
        <v>741.1</v>
      </c>
      <c r="L206" s="7" t="n">
        <v>873</v>
      </c>
      <c r="N206" s="7" t="n">
        <v>1668</v>
      </c>
      <c r="P206" s="7" t="n">
        <v>1129.4</v>
      </c>
      <c r="R206" s="7" t="n">
        <v>694.9</v>
      </c>
      <c r="T206" s="7" t="n">
        <v>596.4</v>
      </c>
      <c r="V206" s="7" t="n">
        <v>1568.8</v>
      </c>
      <c r="X206" s="7" t="n">
        <v>409</v>
      </c>
      <c r="Z206" s="7" t="n">
        <v>419.6</v>
      </c>
      <c r="AB206" s="7" t="n">
        <v>10396</v>
      </c>
    </row>
    <row r="207">
      <c r="A207" s="4" t="inlineStr">
        <is>
          <t>网络费</t>
        </is>
      </c>
      <c r="D207" s="7" t="n">
        <v>344.7</v>
      </c>
      <c r="F207" s="7" t="n">
        <v>427.9</v>
      </c>
      <c r="H207" s="7" t="n">
        <v>888.6</v>
      </c>
      <c r="J207" s="7" t="n">
        <v>415.9</v>
      </c>
      <c r="L207" s="7" t="n">
        <v>1003.6</v>
      </c>
      <c r="N207" s="7" t="n">
        <v>1478.9</v>
      </c>
      <c r="P207" s="7" t="n">
        <v>1138.6</v>
      </c>
      <c r="R207" s="7" t="n">
        <v>669.8</v>
      </c>
      <c r="T207" s="7" t="n">
        <v>467.1</v>
      </c>
      <c r="V207" s="7" t="n">
        <v>1036.2</v>
      </c>
      <c r="X207" s="7" t="n">
        <v>222.8</v>
      </c>
      <c r="Z207" s="7" t="n">
        <v>278.6</v>
      </c>
      <c r="AB207" s="7" t="n">
        <v>8372.700000000001</v>
      </c>
    </row>
    <row r="208">
      <c r="A208" s="4" t="inlineStr">
        <is>
          <t>修理费</t>
        </is>
      </c>
      <c r="D208" s="7" t="n">
        <v>40.7</v>
      </c>
      <c r="F208" s="7" t="n">
        <v>31.5</v>
      </c>
      <c r="H208" s="7" t="n">
        <v>77.5</v>
      </c>
      <c r="J208" s="7" t="n">
        <v>65.59999999999999</v>
      </c>
      <c r="L208" s="7" t="n">
        <v>74.2</v>
      </c>
      <c r="N208" s="7" t="n">
        <v>135.7</v>
      </c>
      <c r="P208" s="7" t="n">
        <v>88.5</v>
      </c>
      <c r="R208" s="7" t="n">
        <v>43.7</v>
      </c>
      <c r="T208" s="7" t="n">
        <v>62.2</v>
      </c>
      <c r="V208" s="7" t="n">
        <v>103.7</v>
      </c>
      <c r="X208" s="7" t="n">
        <v>30.8</v>
      </c>
      <c r="Z208" s="7" t="n">
        <v>29.1</v>
      </c>
      <c r="AB208" s="7" t="n">
        <v>783.2</v>
      </c>
    </row>
    <row r="209">
      <c r="A209" s="4" t="inlineStr">
        <is>
          <t>车辆费</t>
        </is>
      </c>
      <c r="D209" s="7" t="n">
        <v>699.5</v>
      </c>
      <c r="F209" s="7" t="n">
        <v>491.9</v>
      </c>
      <c r="H209" s="7" t="n">
        <v>1273.7</v>
      </c>
      <c r="J209" s="7" t="n">
        <v>559.7</v>
      </c>
      <c r="L209" s="7" t="n">
        <v>1166.8</v>
      </c>
      <c r="N209" s="7" t="n">
        <v>1676.4</v>
      </c>
      <c r="P209" s="7" t="n">
        <v>1311.8</v>
      </c>
      <c r="R209" s="7" t="n">
        <v>952.3</v>
      </c>
      <c r="T209" s="7" t="n">
        <v>643.9</v>
      </c>
      <c r="V209" s="7" t="n">
        <v>1416.2</v>
      </c>
      <c r="X209" s="7" t="n">
        <v>450.6</v>
      </c>
      <c r="Z209" s="7" t="n">
        <v>383</v>
      </c>
      <c r="AB209" s="7" t="n">
        <v>11025.8</v>
      </c>
    </row>
    <row r="210">
      <c r="A210" s="4" t="inlineStr">
        <is>
          <t>租赁费</t>
        </is>
      </c>
      <c r="D210" s="7" t="n">
        <v>4881</v>
      </c>
      <c r="F210" s="7" t="n">
        <v>6432.1</v>
      </c>
      <c r="H210" s="7" t="n">
        <v>11313.1</v>
      </c>
      <c r="J210" s="7" t="n">
        <v>6326.5</v>
      </c>
      <c r="L210" s="7" t="n">
        <v>10432.5</v>
      </c>
      <c r="N210" s="7" t="n">
        <v>16780.1</v>
      </c>
      <c r="P210" s="7" t="n">
        <v>8648.9</v>
      </c>
      <c r="R210" s="7" t="n">
        <v>5824.1</v>
      </c>
      <c r="T210" s="7" t="n">
        <v>4372.2</v>
      </c>
      <c r="V210" s="7" t="n">
        <v>15269.2</v>
      </c>
      <c r="X210" s="7" t="n">
        <v>2752.3</v>
      </c>
      <c r="Z210" s="7" t="n">
        <v>2831</v>
      </c>
      <c r="AB210" s="7" t="n">
        <v>95863</v>
      </c>
    </row>
    <row r="211">
      <c r="A211" s="4" t="inlineStr">
        <is>
          <t>能源费</t>
        </is>
      </c>
      <c r="D211" s="7" t="n">
        <v>1063.1</v>
      </c>
      <c r="F211" s="7" t="n">
        <v>1075.6</v>
      </c>
      <c r="H211" s="7" t="n">
        <v>2010.6</v>
      </c>
      <c r="J211" s="7" t="n">
        <v>1239.8</v>
      </c>
      <c r="L211" s="7" t="n">
        <v>2379.5</v>
      </c>
      <c r="N211" s="7" t="n">
        <v>3544.3</v>
      </c>
      <c r="P211" s="7" t="n">
        <v>1945.7</v>
      </c>
      <c r="R211" s="7" t="n">
        <v>1480.8</v>
      </c>
      <c r="T211" s="7" t="n">
        <v>1134.3</v>
      </c>
      <c r="V211" s="7" t="n">
        <v>3417.1</v>
      </c>
      <c r="X211" s="7" t="n">
        <v>760.9</v>
      </c>
      <c r="Z211" s="7" t="n">
        <v>651.9</v>
      </c>
      <c r="AB211" s="7" t="n">
        <v>20703.6</v>
      </c>
    </row>
    <row r="212">
      <c r="A212" s="4" t="inlineStr">
        <is>
          <t>水费</t>
        </is>
      </c>
      <c r="D212" s="7" t="n">
        <v>31.6</v>
      </c>
      <c r="F212" s="7" t="n">
        <v>23.8</v>
      </c>
      <c r="H212" s="7" t="n">
        <v>69.5</v>
      </c>
      <c r="J212" s="7" t="n">
        <v>26.2</v>
      </c>
      <c r="L212" s="7" t="n">
        <v>58</v>
      </c>
      <c r="N212" s="7" t="n">
        <v>69.59999999999999</v>
      </c>
      <c r="P212" s="7" t="n">
        <v>53.4</v>
      </c>
      <c r="R212" s="7" t="n">
        <v>33.3</v>
      </c>
      <c r="T212" s="7" t="n">
        <v>42.3</v>
      </c>
      <c r="V212" s="7" t="n">
        <v>84.3</v>
      </c>
      <c r="X212" s="7" t="n">
        <v>19.6</v>
      </c>
      <c r="Z212" s="7" t="n">
        <v>14</v>
      </c>
      <c r="AB212" s="7" t="n">
        <v>525.6</v>
      </c>
    </row>
    <row r="213">
      <c r="A213" s="4" t="inlineStr">
        <is>
          <t>电费</t>
        </is>
      </c>
      <c r="D213" s="7" t="n">
        <v>554.2</v>
      </c>
      <c r="F213" s="7" t="n">
        <v>432.7</v>
      </c>
      <c r="H213" s="7" t="n">
        <v>808.6</v>
      </c>
      <c r="J213" s="7" t="n">
        <v>585.1</v>
      </c>
      <c r="L213" s="7" t="n">
        <v>1200.5</v>
      </c>
      <c r="N213" s="7" t="n">
        <v>1930.3</v>
      </c>
      <c r="P213" s="7" t="n">
        <v>835.9</v>
      </c>
      <c r="R213" s="7" t="n">
        <v>823.8</v>
      </c>
      <c r="T213" s="7" t="n">
        <v>586.3</v>
      </c>
      <c r="V213" s="7" t="n">
        <v>1561.2</v>
      </c>
      <c r="X213" s="7" t="n">
        <v>374.5</v>
      </c>
      <c r="Z213" s="7" t="n">
        <v>266.2</v>
      </c>
      <c r="AB213" s="7" t="n">
        <v>9959.299999999999</v>
      </c>
    </row>
    <row r="214">
      <c r="A214" s="4" t="inlineStr">
        <is>
          <t>燃气费</t>
        </is>
      </c>
      <c r="D214" s="7" t="n">
        <v>397.7</v>
      </c>
      <c r="F214" s="7" t="n">
        <v>517.2</v>
      </c>
      <c r="H214" s="7" t="n">
        <v>893.4</v>
      </c>
      <c r="J214" s="7" t="n">
        <v>537.8</v>
      </c>
      <c r="L214" s="7" t="n">
        <v>895.6</v>
      </c>
      <c r="N214" s="7" t="n">
        <v>1215</v>
      </c>
      <c r="P214" s="7" t="n">
        <v>889.5</v>
      </c>
      <c r="R214" s="7" t="n">
        <v>482.3</v>
      </c>
      <c r="T214" s="7" t="n">
        <v>416.3</v>
      </c>
      <c r="V214" s="7" t="n">
        <v>1478.7</v>
      </c>
      <c r="X214" s="7" t="n">
        <v>288.7</v>
      </c>
      <c r="Z214" s="7" t="n">
        <v>287</v>
      </c>
      <c r="AB214" s="7" t="n">
        <v>8299.200000000001</v>
      </c>
    </row>
    <row r="215">
      <c r="A215" s="4" t="inlineStr">
        <is>
          <t>蒸汽费</t>
        </is>
      </c>
      <c r="D215" s="7" t="n">
        <v>79.59999999999999</v>
      </c>
      <c r="F215" s="7" t="n">
        <v>101.9</v>
      </c>
      <c r="H215" s="7" t="n">
        <v>239.1</v>
      </c>
      <c r="J215" s="7" t="n">
        <v>90.7</v>
      </c>
      <c r="L215" s="7" t="n">
        <v>225.4</v>
      </c>
      <c r="N215" s="7" t="n">
        <v>329.4</v>
      </c>
      <c r="P215" s="7" t="n">
        <v>166.9</v>
      </c>
      <c r="R215" s="7" t="n">
        <v>141.4</v>
      </c>
      <c r="T215" s="7" t="n">
        <v>89.40000000000001</v>
      </c>
      <c r="V215" s="7" t="n">
        <v>292.9</v>
      </c>
      <c r="X215" s="7" t="n">
        <v>78.09999999999999</v>
      </c>
      <c r="Z215" s="7" t="n">
        <v>84.7</v>
      </c>
      <c r="AB215" s="7" t="n">
        <v>1919.5</v>
      </c>
    </row>
    <row r="216">
      <c r="A216" s="4" t="inlineStr">
        <is>
          <t>物业费</t>
        </is>
      </c>
      <c r="D216" s="7" t="n">
        <v>592.7</v>
      </c>
      <c r="F216" s="7" t="n">
        <v>542.6</v>
      </c>
      <c r="H216" s="7" t="n">
        <v>1068.7</v>
      </c>
      <c r="J216" s="7" t="n">
        <v>471.9</v>
      </c>
      <c r="L216" s="7" t="n">
        <v>1015.6</v>
      </c>
      <c r="N216" s="7" t="n">
        <v>1426.9</v>
      </c>
      <c r="P216" s="7" t="n">
        <v>1325.5</v>
      </c>
      <c r="R216" s="7" t="n">
        <v>869</v>
      </c>
      <c r="T216" s="7" t="n">
        <v>553</v>
      </c>
      <c r="V216" s="7" t="n">
        <v>1505</v>
      </c>
      <c r="X216" s="7" t="n">
        <v>387.2</v>
      </c>
      <c r="Z216" s="7" t="n">
        <v>409.8</v>
      </c>
      <c r="AB216" s="7" t="n">
        <v>10167.9</v>
      </c>
    </row>
    <row r="217">
      <c r="A217" s="4" t="inlineStr">
        <is>
          <t>劳动保护费</t>
        </is>
      </c>
      <c r="D217" s="7" t="n">
        <v>371.1</v>
      </c>
      <c r="F217" s="7" t="n">
        <v>375.7</v>
      </c>
      <c r="H217" s="7" t="n">
        <v>1027.6</v>
      </c>
      <c r="J217" s="7" t="n">
        <v>490.6</v>
      </c>
      <c r="L217" s="7" t="n">
        <v>1090.4</v>
      </c>
      <c r="N217" s="7" t="n">
        <v>1332.4</v>
      </c>
      <c r="P217" s="7" t="n">
        <v>1236.8</v>
      </c>
      <c r="R217" s="7" t="n">
        <v>629.2</v>
      </c>
      <c r="T217" s="7" t="n">
        <v>435.4</v>
      </c>
      <c r="V217" s="7" t="n">
        <v>1445.8</v>
      </c>
      <c r="X217" s="7" t="n">
        <v>356.9</v>
      </c>
      <c r="Z217" s="7" t="n">
        <v>333.4</v>
      </c>
      <c r="AB217" s="7" t="n">
        <v>9125.299999999999</v>
      </c>
    </row>
    <row r="218">
      <c r="A218" s="4" t="inlineStr">
        <is>
          <t>顾问费</t>
        </is>
      </c>
      <c r="D218" s="7" t="n">
        <v>58.3</v>
      </c>
      <c r="F218" s="7" t="n">
        <v>89</v>
      </c>
      <c r="H218" s="7" t="n">
        <v>196.1</v>
      </c>
      <c r="J218" s="7" t="n">
        <v>87.90000000000001</v>
      </c>
      <c r="L218" s="7" t="n">
        <v>139.2</v>
      </c>
      <c r="N218" s="7" t="n">
        <v>205.4</v>
      </c>
      <c r="P218" s="7" t="n">
        <v>186.1</v>
      </c>
      <c r="R218" s="7" t="n">
        <v>95.90000000000001</v>
      </c>
      <c r="T218" s="7" t="n">
        <v>109.8</v>
      </c>
      <c r="V218" s="7" t="n">
        <v>207.3</v>
      </c>
      <c r="X218" s="7" t="n">
        <v>47.3</v>
      </c>
      <c r="Z218" s="7" t="n">
        <v>46.6</v>
      </c>
      <c r="AB218" s="7" t="n">
        <v>1468.9</v>
      </c>
    </row>
    <row r="219">
      <c r="A219" s="4" t="inlineStr">
        <is>
          <t>快递费</t>
        </is>
      </c>
      <c r="D219" s="7" t="n">
        <v>551</v>
      </c>
      <c r="F219" s="7" t="n">
        <v>445.9</v>
      </c>
      <c r="H219" s="7" t="n">
        <v>1191.1</v>
      </c>
      <c r="J219" s="7" t="n">
        <v>564.8</v>
      </c>
      <c r="L219" s="7" t="n">
        <v>808.2</v>
      </c>
      <c r="N219" s="7" t="n">
        <v>1545.4</v>
      </c>
      <c r="P219" s="7" t="n">
        <v>839.9</v>
      </c>
      <c r="R219" s="7" t="n">
        <v>574.9</v>
      </c>
      <c r="T219" s="7" t="n">
        <v>474.1</v>
      </c>
      <c r="V219" s="7" t="n">
        <v>1409.6</v>
      </c>
      <c r="X219" s="7" t="n">
        <v>339.1</v>
      </c>
      <c r="Z219" s="7" t="n">
        <v>377.4</v>
      </c>
      <c r="AB219" s="7" t="n">
        <v>9121.4</v>
      </c>
    </row>
    <row r="220">
      <c r="A220" s="4" t="inlineStr">
        <is>
          <t>诉讼费</t>
        </is>
      </c>
      <c r="D220" s="7" t="n">
        <v>531.7</v>
      </c>
      <c r="F220" s="7" t="n">
        <v>441</v>
      </c>
      <c r="H220" s="7" t="n">
        <v>1103.8</v>
      </c>
      <c r="J220" s="7" t="n">
        <v>440.7</v>
      </c>
      <c r="L220" s="7" t="n">
        <v>703.5</v>
      </c>
      <c r="N220" s="7" t="n">
        <v>1362.8</v>
      </c>
      <c r="P220" s="7" t="n">
        <v>862.1</v>
      </c>
      <c r="R220" s="7" t="n">
        <v>649.1</v>
      </c>
      <c r="T220" s="7" t="n">
        <v>566.5</v>
      </c>
      <c r="V220" s="7" t="n">
        <v>1366.4</v>
      </c>
      <c r="X220" s="7" t="n">
        <v>229.2</v>
      </c>
      <c r="Z220" s="7" t="n">
        <v>385.4</v>
      </c>
      <c r="AB220" s="7" t="n">
        <v>8642.200000000001</v>
      </c>
    </row>
    <row r="221">
      <c r="A221" s="4" t="inlineStr">
        <is>
          <t>会员费</t>
        </is>
      </c>
      <c r="D221" s="7" t="n">
        <v>2.8</v>
      </c>
      <c r="F221" s="7" t="n">
        <v>2.9</v>
      </c>
      <c r="H221" s="7" t="n">
        <v>9.9</v>
      </c>
      <c r="J221" s="7" t="n">
        <v>4.3</v>
      </c>
      <c r="L221" s="7" t="n">
        <v>5</v>
      </c>
      <c r="N221" s="7" t="n">
        <v>9.699999999999999</v>
      </c>
      <c r="P221" s="7" t="n">
        <v>5.7</v>
      </c>
      <c r="R221" s="7" t="n">
        <v>3.7</v>
      </c>
      <c r="T221" s="7" t="n">
        <v>3.8</v>
      </c>
      <c r="V221" s="7" t="n">
        <v>12.6</v>
      </c>
      <c r="X221" s="7" t="n">
        <v>2.5</v>
      </c>
      <c r="Z221" s="7" t="n">
        <v>2.4</v>
      </c>
      <c r="AB221" s="7" t="n">
        <v>65.3</v>
      </c>
    </row>
    <row r="222">
      <c r="A222" s="4" t="inlineStr">
        <is>
          <t>广告宣传费</t>
        </is>
      </c>
      <c r="D222" s="7" t="n">
        <v>3619.9</v>
      </c>
      <c r="F222" s="7" t="n">
        <v>3346.6</v>
      </c>
      <c r="H222" s="7" t="n">
        <v>8671.5</v>
      </c>
      <c r="J222" s="7" t="n">
        <v>4574.3</v>
      </c>
      <c r="L222" s="7" t="n">
        <v>6387</v>
      </c>
      <c r="N222" s="7" t="n">
        <v>9688.700000000001</v>
      </c>
      <c r="P222" s="7" t="n">
        <v>5438.7</v>
      </c>
      <c r="R222" s="7" t="n">
        <v>4783.1</v>
      </c>
      <c r="T222" s="7" t="n">
        <v>4156.3</v>
      </c>
      <c r="V222" s="7" t="n">
        <v>7352.3</v>
      </c>
      <c r="X222" s="7" t="n">
        <v>1438.2</v>
      </c>
      <c r="Z222" s="7" t="n">
        <v>2216.4</v>
      </c>
      <c r="AB222" s="7" t="n">
        <v>61673</v>
      </c>
    </row>
    <row r="223">
      <c r="A223" s="4" t="inlineStr">
        <is>
          <t>会务费</t>
        </is>
      </c>
      <c r="D223" s="7" t="n">
        <v>303.8</v>
      </c>
      <c r="F223" s="7" t="n">
        <v>285.8</v>
      </c>
      <c r="H223" s="7" t="n">
        <v>556.7</v>
      </c>
      <c r="J223" s="7" t="n">
        <v>364.9</v>
      </c>
      <c r="L223" s="7" t="n">
        <v>465.1</v>
      </c>
      <c r="N223" s="7" t="n">
        <v>900.8</v>
      </c>
      <c r="P223" s="7" t="n">
        <v>969.5</v>
      </c>
      <c r="R223" s="7" t="n">
        <v>575.6</v>
      </c>
      <c r="T223" s="7" t="n">
        <v>361.4</v>
      </c>
      <c r="V223" s="7" t="n">
        <v>891.2</v>
      </c>
      <c r="X223" s="7" t="n">
        <v>236.8</v>
      </c>
      <c r="Z223" s="7" t="n">
        <v>238.3</v>
      </c>
      <c r="AB223" s="7" t="n">
        <v>6149.9</v>
      </c>
    </row>
    <row r="224">
      <c r="A224" s="4" t="inlineStr">
        <is>
          <t>装修费</t>
        </is>
      </c>
      <c r="D224" s="7" t="n">
        <v>383.5</v>
      </c>
      <c r="F224" s="7" t="n">
        <v>384</v>
      </c>
      <c r="H224" s="7" t="n">
        <v>959.6</v>
      </c>
      <c r="J224" s="7" t="n">
        <v>740.4</v>
      </c>
      <c r="L224" s="7" t="n">
        <v>1185.2</v>
      </c>
      <c r="N224" s="7" t="n">
        <v>1472.3</v>
      </c>
      <c r="P224" s="7" t="n">
        <v>1363.6</v>
      </c>
      <c r="R224" s="7" t="n">
        <v>609.7</v>
      </c>
      <c r="T224" s="7" t="n">
        <v>602.4</v>
      </c>
      <c r="V224" s="7" t="n">
        <v>1109.7</v>
      </c>
      <c r="X224" s="7" t="n">
        <v>404.6</v>
      </c>
      <c r="Z224" s="7" t="n">
        <v>352</v>
      </c>
      <c r="AB224" s="7" t="n">
        <v>9567</v>
      </c>
    </row>
    <row r="225">
      <c r="A225" s="4" t="inlineStr">
        <is>
          <t>推广费</t>
        </is>
      </c>
      <c r="D225" s="7" t="n">
        <v>173.1</v>
      </c>
      <c r="F225" s="7" t="n">
        <v>137.8</v>
      </c>
      <c r="H225" s="7" t="n">
        <v>290.3</v>
      </c>
      <c r="J225" s="7" t="n">
        <v>192</v>
      </c>
      <c r="L225" s="7" t="n">
        <v>426.4</v>
      </c>
      <c r="N225" s="7" t="n">
        <v>678.3</v>
      </c>
      <c r="P225" s="7" t="n">
        <v>481.7</v>
      </c>
      <c r="R225" s="7" t="n">
        <v>305.8</v>
      </c>
      <c r="T225" s="7" t="n">
        <v>238.3</v>
      </c>
      <c r="V225" s="7" t="n">
        <v>503.1</v>
      </c>
      <c r="X225" s="7" t="n">
        <v>127.3</v>
      </c>
      <c r="Z225" s="7" t="n">
        <v>152.7</v>
      </c>
      <c r="AB225" s="7" t="n">
        <v>3706.8</v>
      </c>
    </row>
    <row r="226">
      <c r="A226" s="4" t="inlineStr">
        <is>
          <t>展会费</t>
        </is>
      </c>
      <c r="D226" s="7" t="n">
        <v>459.4</v>
      </c>
      <c r="F226" s="7" t="n">
        <v>449.3</v>
      </c>
      <c r="H226" s="7" t="n">
        <v>1075.3</v>
      </c>
      <c r="J226" s="7" t="n">
        <v>460.7</v>
      </c>
      <c r="L226" s="7" t="n">
        <v>708.1</v>
      </c>
      <c r="N226" s="7" t="n">
        <v>1302.5</v>
      </c>
      <c r="P226" s="7" t="n">
        <v>584.2</v>
      </c>
      <c r="R226" s="7" t="n">
        <v>414.2</v>
      </c>
      <c r="T226" s="7" t="n">
        <v>320.4</v>
      </c>
      <c r="V226" s="7" t="n">
        <v>1121.6</v>
      </c>
      <c r="X226" s="7" t="n">
        <v>318.7</v>
      </c>
      <c r="Z226" s="7" t="n">
        <v>284.8</v>
      </c>
      <c r="AB226" s="7" t="n">
        <v>7499.2</v>
      </c>
    </row>
    <row r="227">
      <c r="A227" s="4" t="inlineStr">
        <is>
          <t>设计费</t>
        </is>
      </c>
      <c r="D227" s="7" t="n">
        <v>143.6</v>
      </c>
      <c r="F227" s="7" t="n">
        <v>202.3</v>
      </c>
      <c r="H227" s="7" t="n">
        <v>347.3</v>
      </c>
      <c r="J227" s="7" t="n">
        <v>136.1</v>
      </c>
      <c r="L227" s="7" t="n">
        <v>355.1</v>
      </c>
      <c r="N227" s="7" t="n">
        <v>429.1</v>
      </c>
      <c r="P227" s="7" t="n">
        <v>251.6</v>
      </c>
      <c r="R227" s="7" t="n">
        <v>242.6</v>
      </c>
      <c r="T227" s="7" t="n">
        <v>210.7</v>
      </c>
      <c r="V227" s="7" t="n">
        <v>316.1</v>
      </c>
      <c r="X227" s="7" t="n">
        <v>126.3</v>
      </c>
      <c r="Z227" s="7" t="n">
        <v>103.6</v>
      </c>
      <c r="AB227" s="7" t="n">
        <v>2864.4</v>
      </c>
    </row>
    <row r="228">
      <c r="A228" s="4" t="inlineStr">
        <is>
          <t>折旧费</t>
        </is>
      </c>
      <c r="D228" s="7" t="n">
        <v>3906.4</v>
      </c>
      <c r="F228" s="7" t="n">
        <v>5212.9</v>
      </c>
      <c r="H228" s="7" t="n">
        <v>7858.4</v>
      </c>
      <c r="J228" s="7" t="n">
        <v>6488.6</v>
      </c>
      <c r="L228" s="7" t="n">
        <v>8717.799999999999</v>
      </c>
      <c r="N228" s="7" t="n">
        <v>16707.4</v>
      </c>
      <c r="P228" s="7" t="n">
        <v>8827.1</v>
      </c>
      <c r="R228" s="7" t="n">
        <v>4778.4</v>
      </c>
      <c r="T228" s="7" t="n">
        <v>5349.2</v>
      </c>
      <c r="V228" s="7" t="n">
        <v>13762.5</v>
      </c>
      <c r="X228" s="7" t="n">
        <v>2194.2</v>
      </c>
      <c r="Z228" s="7" t="n">
        <v>2291.3</v>
      </c>
      <c r="AB228" s="7" t="n">
        <v>86094.2</v>
      </c>
    </row>
    <row r="229">
      <c r="A229" s="4" t="inlineStr">
        <is>
          <t>认证费</t>
        </is>
      </c>
      <c r="D229" s="7" t="n">
        <v>187.8</v>
      </c>
      <c r="F229" s="7" t="n">
        <v>136.9</v>
      </c>
      <c r="H229" s="7" t="n">
        <v>285.3</v>
      </c>
      <c r="J229" s="7" t="n">
        <v>262.2</v>
      </c>
      <c r="L229" s="7" t="n">
        <v>355.4</v>
      </c>
      <c r="N229" s="7" t="n">
        <v>602.7</v>
      </c>
      <c r="P229" s="7" t="n">
        <v>386.2</v>
      </c>
      <c r="R229" s="7" t="n">
        <v>276.4</v>
      </c>
      <c r="T229" s="7" t="n">
        <v>196.6</v>
      </c>
      <c r="V229" s="7" t="n">
        <v>333.9</v>
      </c>
      <c r="X229" s="7" t="n">
        <v>107.8</v>
      </c>
      <c r="Z229" s="7" t="n">
        <v>122.4</v>
      </c>
      <c r="AB229" s="7" t="n">
        <v>3253.6</v>
      </c>
    </row>
    <row r="230">
      <c r="A230" s="4" t="inlineStr">
        <is>
          <t>样品费</t>
        </is>
      </c>
      <c r="D230" s="7" t="n">
        <v>2131.6</v>
      </c>
      <c r="F230" s="7" t="n">
        <v>2721.6</v>
      </c>
      <c r="H230" s="7" t="n">
        <v>5647.7</v>
      </c>
      <c r="J230" s="7" t="n">
        <v>3124.1</v>
      </c>
      <c r="L230" s="7" t="n">
        <v>3905.8</v>
      </c>
      <c r="N230" s="7" t="n">
        <v>8653.299999999999</v>
      </c>
      <c r="P230" s="7" t="n">
        <v>5518.5</v>
      </c>
      <c r="R230" s="7" t="n">
        <v>2530.1</v>
      </c>
      <c r="T230" s="7" t="n">
        <v>1952.8</v>
      </c>
      <c r="V230" s="7" t="n">
        <v>5882.3</v>
      </c>
      <c r="X230" s="7" t="n">
        <v>975.2</v>
      </c>
      <c r="Z230" s="7" t="n">
        <v>1644.7</v>
      </c>
      <c r="AB230" s="7" t="n">
        <v>44687.7</v>
      </c>
    </row>
    <row r="231">
      <c r="A231" s="4" t="inlineStr">
        <is>
          <t>劳务费</t>
        </is>
      </c>
      <c r="D231" s="7" t="n">
        <v>344</v>
      </c>
      <c r="F231" s="7" t="n">
        <v>331</v>
      </c>
      <c r="H231" s="7" t="n">
        <v>669.7</v>
      </c>
      <c r="J231" s="7" t="n">
        <v>446</v>
      </c>
      <c r="L231" s="7" t="n">
        <v>495.7</v>
      </c>
      <c r="N231" s="7" t="n">
        <v>1352.1</v>
      </c>
      <c r="P231" s="7" t="n">
        <v>775</v>
      </c>
      <c r="R231" s="7" t="n">
        <v>446.1</v>
      </c>
      <c r="T231" s="7" t="n">
        <v>409.3</v>
      </c>
      <c r="V231" s="7" t="n">
        <v>623.6</v>
      </c>
      <c r="X231" s="7" t="n">
        <v>172.6</v>
      </c>
      <c r="Z231" s="7" t="n">
        <v>229.3</v>
      </c>
      <c r="AB231" s="7" t="n">
        <v>6294.4</v>
      </c>
    </row>
    <row r="232">
      <c r="A232" s="4" t="inlineStr">
        <is>
          <t>销售佣金</t>
        </is>
      </c>
      <c r="D232" s="7" t="n">
        <v>243.9</v>
      </c>
      <c r="F232" s="7" t="n">
        <v>192.5</v>
      </c>
      <c r="H232" s="7" t="n">
        <v>500.9</v>
      </c>
      <c r="J232" s="7" t="n">
        <v>229.9</v>
      </c>
      <c r="L232" s="7" t="n">
        <v>411.9</v>
      </c>
      <c r="N232" s="7" t="n">
        <v>763.9</v>
      </c>
      <c r="P232" s="7" t="n">
        <v>433.3</v>
      </c>
      <c r="R232" s="7" t="n">
        <v>310.7</v>
      </c>
      <c r="T232" s="7" t="n">
        <v>206.6</v>
      </c>
      <c r="V232" s="7" t="n">
        <v>672.3</v>
      </c>
      <c r="X232" s="7" t="n">
        <v>131.2</v>
      </c>
      <c r="Z232" s="7" t="n">
        <v>180.4</v>
      </c>
      <c r="AB232" s="7" t="n">
        <v>4277.5</v>
      </c>
    </row>
    <row r="233">
      <c r="A233" s="4" t="inlineStr">
        <is>
          <t>检测费</t>
        </is>
      </c>
      <c r="D233" s="7" t="n">
        <v>158.6</v>
      </c>
      <c r="F233" s="7" t="n">
        <v>150.5</v>
      </c>
      <c r="H233" s="7" t="n">
        <v>437.2</v>
      </c>
      <c r="J233" s="7" t="n">
        <v>196.3</v>
      </c>
      <c r="L233" s="7" t="n">
        <v>273.6</v>
      </c>
      <c r="N233" s="7" t="n">
        <v>529.8</v>
      </c>
      <c r="P233" s="7" t="n">
        <v>340.7</v>
      </c>
      <c r="R233" s="7" t="n">
        <v>256.3</v>
      </c>
      <c r="T233" s="7" t="n">
        <v>199.5</v>
      </c>
      <c r="V233" s="7" t="n">
        <v>406</v>
      </c>
      <c r="X233" s="7" t="n">
        <v>155.7</v>
      </c>
      <c r="Z233" s="7" t="n">
        <v>101</v>
      </c>
      <c r="AB233" s="7" t="n">
        <v>3205.2</v>
      </c>
    </row>
    <row r="234">
      <c r="A234" s="4" t="inlineStr">
        <is>
          <t>质量赔偿</t>
        </is>
      </c>
      <c r="D234" s="7" t="n">
        <v>455.9</v>
      </c>
      <c r="F234" s="7" t="n">
        <v>556.6</v>
      </c>
      <c r="H234" s="7" t="n">
        <v>1563.1</v>
      </c>
      <c r="J234" s="7" t="n">
        <v>817.4</v>
      </c>
      <c r="L234" s="7" t="n">
        <v>1048</v>
      </c>
      <c r="N234" s="7" t="n">
        <v>2005.4</v>
      </c>
      <c r="P234" s="7" t="n">
        <v>1366.3</v>
      </c>
      <c r="R234" s="7" t="n">
        <v>677.5</v>
      </c>
      <c r="T234" s="7" t="n">
        <v>642.1</v>
      </c>
      <c r="V234" s="7" t="n">
        <v>1545.9</v>
      </c>
      <c r="X234" s="7" t="n">
        <v>330.2</v>
      </c>
      <c r="Z234" s="7" t="n">
        <v>410.4</v>
      </c>
      <c r="AB234" s="7" t="n">
        <v>11418.8</v>
      </c>
    </row>
    <row r="235">
      <c r="A235" s="4" t="inlineStr">
        <is>
          <t>保险费</t>
        </is>
      </c>
      <c r="D235" s="7" t="n">
        <v>50.1</v>
      </c>
      <c r="F235" s="7" t="n">
        <v>40.9</v>
      </c>
      <c r="H235" s="7" t="n">
        <v>96.8</v>
      </c>
      <c r="J235" s="7" t="n">
        <v>48.8</v>
      </c>
      <c r="L235" s="7" t="n">
        <v>69.59999999999999</v>
      </c>
      <c r="N235" s="7" t="n">
        <v>121</v>
      </c>
      <c r="P235" s="7" t="n">
        <v>90.09999999999999</v>
      </c>
      <c r="R235" s="7" t="n">
        <v>72.2</v>
      </c>
      <c r="T235" s="7" t="n">
        <v>39.4</v>
      </c>
      <c r="V235" s="7" t="n">
        <v>78.8</v>
      </c>
      <c r="X235" s="7" t="n">
        <v>20.3</v>
      </c>
      <c r="Z235" s="7" t="n">
        <v>33.5</v>
      </c>
      <c r="AB235" s="7" t="n">
        <v>761.5</v>
      </c>
    </row>
    <row r="236">
      <c r="A236" s="4" t="inlineStr">
        <is>
          <t>清洁费</t>
        </is>
      </c>
      <c r="D236" s="7" t="n">
        <v>554.1</v>
      </c>
      <c r="F236" s="7" t="n">
        <v>695.9</v>
      </c>
      <c r="H236" s="7" t="n">
        <v>1569.2</v>
      </c>
      <c r="J236" s="7" t="n">
        <v>650</v>
      </c>
      <c r="L236" s="7" t="n">
        <v>1448.8</v>
      </c>
      <c r="N236" s="7" t="n">
        <v>1933.1</v>
      </c>
      <c r="P236" s="7" t="n">
        <v>1539.4</v>
      </c>
      <c r="R236" s="7" t="n">
        <v>913.4</v>
      </c>
      <c r="T236" s="7" t="n">
        <v>845.1</v>
      </c>
      <c r="V236" s="7" t="n">
        <v>2190.9</v>
      </c>
      <c r="X236" s="7" t="n">
        <v>390.4</v>
      </c>
      <c r="Z236" s="7" t="n">
        <v>383.9</v>
      </c>
      <c r="AB236" s="7" t="n">
        <v>13114.2</v>
      </c>
    </row>
    <row r="237">
      <c r="A237" s="4" t="inlineStr">
        <is>
          <t>低值易耗品</t>
        </is>
      </c>
      <c r="D237" s="7" t="n">
        <v>349</v>
      </c>
      <c r="F237" s="7" t="n">
        <v>349.5</v>
      </c>
      <c r="H237" s="7" t="n">
        <v>1119.1</v>
      </c>
      <c r="J237" s="7" t="n">
        <v>478.1</v>
      </c>
      <c r="L237" s="7" t="n">
        <v>877.5</v>
      </c>
      <c r="N237" s="7" t="n">
        <v>1448.3</v>
      </c>
      <c r="P237" s="7" t="n">
        <v>1106.2</v>
      </c>
      <c r="R237" s="7" t="n">
        <v>448.4</v>
      </c>
      <c r="T237" s="7" t="n">
        <v>387</v>
      </c>
      <c r="V237" s="7" t="n">
        <v>974.8</v>
      </c>
      <c r="X237" s="7" t="n">
        <v>245.4</v>
      </c>
      <c r="Z237" s="7" t="n">
        <v>252.6</v>
      </c>
      <c r="AB237" s="7" t="n">
        <v>8035.9</v>
      </c>
    </row>
    <row r="238">
      <c r="A238" s="4" t="inlineStr">
        <is>
          <t>物料消耗</t>
        </is>
      </c>
      <c r="D238" s="7" t="n">
        <v>204.1</v>
      </c>
      <c r="F238" s="7" t="n">
        <v>159.5</v>
      </c>
      <c r="H238" s="7" t="n">
        <v>386.8</v>
      </c>
      <c r="J238" s="7" t="n">
        <v>273.2</v>
      </c>
      <c r="L238" s="7" t="n">
        <v>316.1</v>
      </c>
      <c r="N238" s="7" t="n">
        <v>618.6</v>
      </c>
      <c r="P238" s="7" t="n">
        <v>495.5</v>
      </c>
      <c r="R238" s="7" t="n">
        <v>242.4</v>
      </c>
      <c r="T238" s="7" t="n">
        <v>166.5</v>
      </c>
      <c r="V238" s="7" t="n">
        <v>352.1</v>
      </c>
      <c r="X238" s="7" t="n">
        <v>132.7</v>
      </c>
      <c r="Z238" s="7" t="n">
        <v>134.2</v>
      </c>
      <c r="AB238" s="7" t="n">
        <v>3481.7</v>
      </c>
    </row>
    <row r="239">
      <c r="A239" s="4" t="inlineStr">
        <is>
          <t>盘盈盘亏</t>
        </is>
      </c>
      <c r="D239" s="7" t="n">
        <v>739.8</v>
      </c>
      <c r="F239" s="7" t="n">
        <v>486.2</v>
      </c>
      <c r="H239" s="7" t="n">
        <v>1125.3</v>
      </c>
      <c r="J239" s="7" t="n">
        <v>600.9</v>
      </c>
      <c r="L239" s="7" t="n">
        <v>894</v>
      </c>
      <c r="N239" s="7" t="n">
        <v>2537</v>
      </c>
      <c r="P239" s="7" t="n">
        <v>1401.3</v>
      </c>
      <c r="R239" s="7" t="n">
        <v>643.2</v>
      </c>
      <c r="T239" s="7" t="n">
        <v>678</v>
      </c>
      <c r="V239" s="7" t="n">
        <v>2009.7</v>
      </c>
      <c r="X239" s="7" t="n">
        <v>307.9</v>
      </c>
      <c r="Z239" s="7" t="n">
        <v>368.6</v>
      </c>
      <c r="AB239" s="7" t="n">
        <v>11791.9</v>
      </c>
    </row>
    <row r="240">
      <c r="A240" s="4" t="inlineStr">
        <is>
          <t>平台服务费</t>
        </is>
      </c>
      <c r="D240" s="7" t="n">
        <v>119.1</v>
      </c>
      <c r="F240" s="7" t="n">
        <v>132.1</v>
      </c>
      <c r="H240" s="7" t="n">
        <v>205.6</v>
      </c>
      <c r="J240" s="7" t="n">
        <v>110.5</v>
      </c>
      <c r="L240" s="7" t="n">
        <v>174.1</v>
      </c>
      <c r="N240" s="7" t="n">
        <v>367.2</v>
      </c>
      <c r="P240" s="7" t="n">
        <v>175.1</v>
      </c>
      <c r="R240" s="7" t="n">
        <v>178.5</v>
      </c>
      <c r="T240" s="7" t="n">
        <v>85.59999999999999</v>
      </c>
      <c r="V240" s="7" t="n">
        <v>314.4</v>
      </c>
      <c r="X240" s="7" t="n">
        <v>82.40000000000001</v>
      </c>
      <c r="Z240" s="7" t="n">
        <v>63.5</v>
      </c>
      <c r="AB240" s="7" t="n">
        <v>2008.1</v>
      </c>
    </row>
    <row r="241">
      <c r="A241" s="4" t="inlineStr">
        <is>
          <t>无形资产摊销</t>
        </is>
      </c>
      <c r="D241" s="7" t="n">
        <v>429.6</v>
      </c>
      <c r="F241" s="7" t="n">
        <v>337.1</v>
      </c>
      <c r="H241" s="7" t="n">
        <v>614.8</v>
      </c>
      <c r="J241" s="7" t="n">
        <v>386.1</v>
      </c>
      <c r="L241" s="7" t="n">
        <v>785.9</v>
      </c>
      <c r="N241" s="7" t="n">
        <v>1170.8</v>
      </c>
      <c r="P241" s="7" t="n">
        <v>555.8</v>
      </c>
      <c r="R241" s="7" t="n">
        <v>481.6</v>
      </c>
      <c r="T241" s="7" t="n">
        <v>394.6</v>
      </c>
      <c r="V241" s="7" t="n">
        <v>949.5</v>
      </c>
      <c r="X241" s="7" t="n">
        <v>215.8</v>
      </c>
      <c r="Z241" s="7" t="n">
        <v>220.7</v>
      </c>
      <c r="AB241" s="7" t="n">
        <v>6542.3</v>
      </c>
    </row>
    <row r="242">
      <c r="A242" s="4" t="inlineStr">
        <is>
          <t>研发材料</t>
        </is>
      </c>
      <c r="D242" s="7" t="n">
        <v>397.7</v>
      </c>
      <c r="F242" s="7" t="n">
        <v>401.4</v>
      </c>
      <c r="H242" s="7" t="n">
        <v>979.2</v>
      </c>
      <c r="J242" s="7" t="n">
        <v>634.4</v>
      </c>
      <c r="L242" s="7" t="n">
        <v>794.8</v>
      </c>
      <c r="N242" s="7" t="n">
        <v>1292.6</v>
      </c>
      <c r="P242" s="7" t="n">
        <v>792.5</v>
      </c>
      <c r="R242" s="7" t="n">
        <v>539.1</v>
      </c>
      <c r="T242" s="7" t="n">
        <v>344</v>
      </c>
      <c r="V242" s="7" t="n">
        <v>1402.3</v>
      </c>
      <c r="X242" s="7" t="n">
        <v>337.4</v>
      </c>
      <c r="Z242" s="7" t="n">
        <v>265</v>
      </c>
      <c r="AB242" s="7" t="n">
        <v>8180.4</v>
      </c>
    </row>
    <row r="243">
      <c r="A243" s="4" t="inlineStr">
        <is>
          <t>项目名称</t>
        </is>
      </c>
      <c r="D243" s="7" t="n">
        <v>232.2</v>
      </c>
      <c r="F243" s="7" t="n">
        <v>406.4</v>
      </c>
      <c r="H243" s="7" t="n">
        <v>889.8</v>
      </c>
      <c r="J243" s="7" t="n">
        <v>388.1</v>
      </c>
      <c r="L243" s="7" t="n">
        <v>426.2</v>
      </c>
      <c r="N243" s="7" t="n">
        <v>988.4</v>
      </c>
      <c r="P243" s="7" t="n">
        <v>595</v>
      </c>
      <c r="R243" s="7" t="n">
        <v>376</v>
      </c>
      <c r="T243" s="7" t="n">
        <v>253.9</v>
      </c>
      <c r="V243" s="7" t="n">
        <v>799.5</v>
      </c>
      <c r="X243" s="7" t="n">
        <v>194</v>
      </c>
      <c r="Z243" s="7" t="n">
        <v>222.3</v>
      </c>
      <c r="AB243" s="7" t="n">
        <v>5771.8</v>
      </c>
    </row>
    <row r="244">
      <c r="A244" s="4" t="inlineStr">
        <is>
          <t>研发费</t>
        </is>
      </c>
      <c r="D244" s="7" t="n">
        <v>221.2</v>
      </c>
      <c r="F244" s="7" t="n">
        <v>311.6</v>
      </c>
      <c r="H244" s="7" t="n">
        <v>551.3</v>
      </c>
      <c r="J244" s="7" t="n">
        <v>306.9</v>
      </c>
      <c r="L244" s="7" t="n">
        <v>436</v>
      </c>
      <c r="N244" s="7" t="n">
        <v>827.3</v>
      </c>
      <c r="P244" s="7" t="n">
        <v>482.3</v>
      </c>
      <c r="R244" s="7" t="n">
        <v>437.1</v>
      </c>
      <c r="T244" s="7" t="n">
        <v>377.9</v>
      </c>
      <c r="V244" s="7" t="n">
        <v>862.2</v>
      </c>
      <c r="X244" s="7" t="n">
        <v>191.4</v>
      </c>
      <c r="Z244" s="7" t="n">
        <v>157.1</v>
      </c>
      <c r="AB244" s="7" t="n">
        <v>5162.3</v>
      </c>
    </row>
    <row r="245">
      <c r="A245" s="4" t="inlineStr">
        <is>
          <t>残保金</t>
        </is>
      </c>
      <c r="D245" s="7" t="n">
        <v>618.3</v>
      </c>
      <c r="F245" s="7" t="n">
        <v>486.6</v>
      </c>
      <c r="H245" s="7" t="n">
        <v>1346.7</v>
      </c>
      <c r="J245" s="7" t="n">
        <v>504.4</v>
      </c>
      <c r="L245" s="7" t="n">
        <v>835.9</v>
      </c>
      <c r="N245" s="7" t="n">
        <v>1767.3</v>
      </c>
      <c r="P245" s="7" t="n">
        <v>1151.7</v>
      </c>
      <c r="R245" s="7" t="n">
        <v>612.8</v>
      </c>
      <c r="T245" s="7" t="n">
        <v>612.9</v>
      </c>
      <c r="V245" s="7" t="n">
        <v>1113.2</v>
      </c>
      <c r="X245" s="7" t="n">
        <v>230.8</v>
      </c>
      <c r="Z245" s="7" t="n">
        <v>247.9</v>
      </c>
      <c r="AB245" s="7" t="n">
        <v>9528.5</v>
      </c>
    </row>
    <row r="246">
      <c r="A246" s="4" t="inlineStr">
        <is>
          <t>环保费</t>
        </is>
      </c>
      <c r="D246" s="7" t="n">
        <v>304.8</v>
      </c>
      <c r="F246" s="7" t="n">
        <v>281.5</v>
      </c>
      <c r="H246" s="7" t="n">
        <v>689.2</v>
      </c>
      <c r="J246" s="7" t="n">
        <v>506.6</v>
      </c>
      <c r="L246" s="7" t="n">
        <v>782.7</v>
      </c>
      <c r="N246" s="7" t="n">
        <v>987.5</v>
      </c>
      <c r="P246" s="7" t="n">
        <v>612.3</v>
      </c>
      <c r="R246" s="7" t="n">
        <v>509.2</v>
      </c>
      <c r="T246" s="7" t="n">
        <v>372.1</v>
      </c>
      <c r="V246" s="7" t="n">
        <v>874.9</v>
      </c>
      <c r="X246" s="7" t="n">
        <v>275.5</v>
      </c>
      <c r="Z246" s="7" t="n">
        <v>317.6</v>
      </c>
      <c r="AB246" s="7" t="n">
        <v>6513.9</v>
      </c>
    </row>
    <row r="247">
      <c r="A247" s="4" t="inlineStr">
        <is>
          <t>报废损失</t>
        </is>
      </c>
      <c r="D247" s="7" t="n">
        <v>382.5</v>
      </c>
      <c r="F247" s="7" t="n">
        <v>287.8</v>
      </c>
      <c r="H247" s="7" t="n">
        <v>836.4</v>
      </c>
      <c r="J247" s="7" t="n">
        <v>494.3</v>
      </c>
      <c r="L247" s="7" t="n">
        <v>438</v>
      </c>
      <c r="N247" s="7" t="n">
        <v>1187.9</v>
      </c>
      <c r="P247" s="7" t="n">
        <v>498.7</v>
      </c>
      <c r="R247" s="7" t="n">
        <v>435.1</v>
      </c>
      <c r="T247" s="7" t="n">
        <v>290.5</v>
      </c>
      <c r="V247" s="7" t="n">
        <v>1030.1</v>
      </c>
      <c r="X247" s="7" t="n">
        <v>240.9</v>
      </c>
      <c r="Z247" s="7" t="n">
        <v>253.7</v>
      </c>
      <c r="AB247" s="7" t="n">
        <v>6375.9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8638.200000000001</v>
      </c>
      <c r="D248" s="7" t="n">
        <v>-1951</v>
      </c>
      <c r="E248" s="7" t="n">
        <v>7730.5</v>
      </c>
      <c r="F248" s="7" t="n">
        <v>14203.6</v>
      </c>
      <c r="G248" s="7" t="n">
        <v>7757.4</v>
      </c>
      <c r="H248" s="7" t="n">
        <v>1224.1</v>
      </c>
      <c r="I248" s="7" t="n">
        <v>8509.700000000001</v>
      </c>
      <c r="J248" s="7" t="n">
        <v>14280.6</v>
      </c>
      <c r="K248" s="7" t="n">
        <v>7067.1</v>
      </c>
      <c r="L248" s="7" t="n">
        <v>6074</v>
      </c>
      <c r="M248" s="7" t="n">
        <v>9267.299999999999</v>
      </c>
      <c r="N248" s="7" t="n">
        <v>13440.5</v>
      </c>
      <c r="O248" s="7" t="n">
        <v>8243.700000000001</v>
      </c>
      <c r="P248" s="7" t="n">
        <v>-4162.2</v>
      </c>
      <c r="Q248" s="7" t="n">
        <v>7586</v>
      </c>
      <c r="R248" s="7" t="n">
        <v>6520.9</v>
      </c>
      <c r="S248" s="7" t="n">
        <v>8532.700000000001</v>
      </c>
      <c r="T248" s="7" t="n">
        <v>14274.9</v>
      </c>
      <c r="U248" s="7" t="n">
        <v>7451.8</v>
      </c>
      <c r="V248" s="7" t="n">
        <v>8028.5</v>
      </c>
      <c r="W248" s="7" t="n">
        <v>9144.700000000001</v>
      </c>
      <c r="X248" s="7" t="n">
        <v>19552.9</v>
      </c>
      <c r="Y248" s="7" t="n">
        <v>9086</v>
      </c>
      <c r="Z248" s="7" t="n">
        <v>6820.6</v>
      </c>
      <c r="AA248" s="8" t="n">
        <v>99015.10000000001</v>
      </c>
      <c r="AB248" s="8" t="n">
        <v>98307.39999999999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-2822.1</v>
      </c>
      <c r="E250" s="7" t="n">
        <v>0</v>
      </c>
      <c r="F250" s="7" t="n">
        <v>-3870.7</v>
      </c>
      <c r="G250" s="7" t="n">
        <v>0</v>
      </c>
      <c r="H250" s="7" t="n">
        <v>1329.1</v>
      </c>
      <c r="I250" s="7" t="n">
        <v>0</v>
      </c>
      <c r="J250" s="7" t="n">
        <v>-1754.9</v>
      </c>
      <c r="K250" s="7" t="n">
        <v>0</v>
      </c>
      <c r="L250" s="7" t="n">
        <v>-3326.4</v>
      </c>
      <c r="M250" s="7" t="n">
        <v>0</v>
      </c>
      <c r="N250" s="7" t="n">
        <v>-2239</v>
      </c>
      <c r="O250" s="7" t="n">
        <v>0</v>
      </c>
      <c r="P250" s="7" t="n">
        <v>-3803.5</v>
      </c>
      <c r="Q250" s="7" t="n">
        <v>0</v>
      </c>
      <c r="R250" s="7" t="n">
        <v>2891.4</v>
      </c>
      <c r="S250" s="7" t="n">
        <v>0</v>
      </c>
      <c r="T250" s="7" t="n">
        <v>-4910.7</v>
      </c>
      <c r="U250" s="7" t="n">
        <v>0</v>
      </c>
      <c r="V250" s="7" t="n">
        <v>-4580.1</v>
      </c>
      <c r="W250" s="7" t="n">
        <v>0</v>
      </c>
      <c r="X250" s="7" t="n">
        <v>2834.8</v>
      </c>
      <c r="Y250" s="7" t="n">
        <v>0</v>
      </c>
      <c r="Z250" s="7" t="n">
        <v>-247.3</v>
      </c>
      <c r="AA250" s="7" t="n">
        <v>0</v>
      </c>
      <c r="AB250" s="7" t="n">
        <v>-20499.4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15994.8</v>
      </c>
      <c r="D255" s="7" t="n">
        <v>17886.4</v>
      </c>
      <c r="E255" s="7" t="n">
        <v>13057.6</v>
      </c>
      <c r="F255" s="7" t="n">
        <v>11142</v>
      </c>
      <c r="G255" s="7" t="n">
        <v>13529.1</v>
      </c>
      <c r="H255" s="7" t="n">
        <v>2684.4</v>
      </c>
      <c r="I255" s="7" t="n">
        <v>16834.1</v>
      </c>
      <c r="J255" s="7" t="n">
        <v>4731</v>
      </c>
      <c r="K255" s="7" t="n">
        <v>15982</v>
      </c>
      <c r="L255" s="7" t="n">
        <v>2742</v>
      </c>
      <c r="M255" s="7" t="n">
        <v>15841.4</v>
      </c>
      <c r="N255" s="7" t="n">
        <v>18559.3</v>
      </c>
      <c r="O255" s="7" t="n">
        <v>16056.8</v>
      </c>
      <c r="P255" s="7" t="n">
        <v>27925.5</v>
      </c>
      <c r="Q255" s="7" t="n">
        <v>14438.3</v>
      </c>
      <c r="R255" s="7" t="n">
        <v>29909.2</v>
      </c>
      <c r="S255" s="7" t="n">
        <v>13353.9</v>
      </c>
      <c r="T255" s="7" t="n">
        <v>18754</v>
      </c>
      <c r="U255" s="7" t="n">
        <v>15543.8</v>
      </c>
      <c r="V255" s="7" t="n">
        <v>1793.3</v>
      </c>
      <c r="W255" s="7" t="n">
        <v>14082.8</v>
      </c>
      <c r="X255" s="7" t="n">
        <v>19337.2</v>
      </c>
      <c r="Y255" s="7" t="n">
        <v>13096.9</v>
      </c>
      <c r="Z255" s="7" t="n">
        <v>21039.8</v>
      </c>
      <c r="AA255" s="7" t="n">
        <v>177811.5</v>
      </c>
      <c r="AB255" s="7" t="n">
        <v>176504.1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606596.9</v>
      </c>
      <c r="D256" s="7" t="n">
        <v>465761.4</v>
      </c>
      <c r="E256" s="7" t="n">
        <v>519642.2</v>
      </c>
      <c r="F256" s="7" t="n">
        <v>376110.1</v>
      </c>
      <c r="G256" s="7" t="n">
        <v>535067.2</v>
      </c>
      <c r="H256" s="7" t="n">
        <v>723033.9</v>
      </c>
      <c r="I256" s="7" t="n">
        <v>560250.1</v>
      </c>
      <c r="J256" s="7" t="n">
        <v>416295.4</v>
      </c>
      <c r="K256" s="7" t="n">
        <v>554462.6</v>
      </c>
      <c r="L256" s="7" t="n">
        <v>897933</v>
      </c>
      <c r="M256" s="7" t="n">
        <v>573041.5</v>
      </c>
      <c r="N256" s="7" t="n">
        <v>659264.8</v>
      </c>
      <c r="O256" s="7" t="n">
        <v>507438.7</v>
      </c>
      <c r="P256" s="7" t="n">
        <v>557632.2</v>
      </c>
      <c r="Q256" s="7" t="n">
        <v>621548.7</v>
      </c>
      <c r="R256" s="7" t="n">
        <v>638263.6</v>
      </c>
      <c r="S256" s="7" t="n">
        <v>575177.7</v>
      </c>
      <c r="T256" s="7" t="n">
        <v>651022.2</v>
      </c>
      <c r="U256" s="7" t="n">
        <v>540529.8</v>
      </c>
      <c r="V256" s="7" t="n">
        <v>786559.9</v>
      </c>
      <c r="W256" s="7" t="n">
        <v>510661.6</v>
      </c>
      <c r="X256" s="7" t="n">
        <v>662780.6</v>
      </c>
      <c r="Y256" s="7" t="n">
        <v>660725.5</v>
      </c>
      <c r="Z256" s="7" t="n">
        <v>327363.3</v>
      </c>
      <c r="AA256" s="8" t="n">
        <v>6765142.5</v>
      </c>
      <c r="AB256" s="8" t="n">
        <v>7162020.4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3880.1</v>
      </c>
      <c r="E257" s="7" t="n">
        <v>0</v>
      </c>
      <c r="F257" s="7" t="n">
        <v>1193.9</v>
      </c>
      <c r="G257" s="7" t="n">
        <v>0</v>
      </c>
      <c r="H257" s="7" t="n">
        <v>3605</v>
      </c>
      <c r="I257" s="7" t="n">
        <v>0</v>
      </c>
      <c r="J257" s="7" t="n">
        <v>3291.4</v>
      </c>
      <c r="K257" s="7" t="n">
        <v>0</v>
      </c>
      <c r="L257" s="7" t="n">
        <v>2694.8</v>
      </c>
      <c r="M257" s="7" t="n">
        <v>0</v>
      </c>
      <c r="N257" s="7" t="n">
        <v>1937.5</v>
      </c>
      <c r="O257" s="7" t="n">
        <v>0</v>
      </c>
      <c r="P257" s="7" t="n">
        <v>2620.3</v>
      </c>
      <c r="Q257" s="7" t="n">
        <v>0</v>
      </c>
      <c r="R257" s="7" t="n">
        <v>2487.7</v>
      </c>
      <c r="S257" s="7" t="n">
        <v>0</v>
      </c>
      <c r="T257" s="7" t="n">
        <v>2757.3</v>
      </c>
      <c r="U257" s="7" t="n">
        <v>0</v>
      </c>
      <c r="V257" s="7" t="n">
        <v>3065.2</v>
      </c>
      <c r="W257" s="7" t="n">
        <v>0</v>
      </c>
      <c r="X257" s="7" t="n">
        <v>1613</v>
      </c>
      <c r="Y257" s="7" t="n">
        <v>0</v>
      </c>
      <c r="Z257" s="7" t="n">
        <v>3204.5</v>
      </c>
      <c r="AA257" s="7" t="n">
        <v>0</v>
      </c>
      <c r="AB257" s="7" t="n">
        <v>32350.7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331.4</v>
      </c>
      <c r="E258" s="7" t="n">
        <v>0</v>
      </c>
      <c r="F258" s="7" t="n">
        <v>1569.6</v>
      </c>
      <c r="G258" s="7" t="n">
        <v>0</v>
      </c>
      <c r="H258" s="7" t="n">
        <v>200</v>
      </c>
      <c r="I258" s="7" t="n">
        <v>0</v>
      </c>
      <c r="J258" s="7" t="n">
        <v>2505.6</v>
      </c>
      <c r="K258" s="7" t="n">
        <v>0</v>
      </c>
      <c r="L258" s="7" t="n">
        <v>389.3</v>
      </c>
      <c r="M258" s="7" t="n">
        <v>0</v>
      </c>
      <c r="N258" s="7" t="n">
        <v>2620.5</v>
      </c>
      <c r="O258" s="7" t="n">
        <v>0</v>
      </c>
      <c r="P258" s="7" t="n">
        <v>606.2</v>
      </c>
      <c r="Q258" s="7" t="n">
        <v>0</v>
      </c>
      <c r="R258" s="7" t="n">
        <v>1456.1</v>
      </c>
      <c r="S258" s="7" t="n">
        <v>0</v>
      </c>
      <c r="T258" s="7" t="n">
        <v>296.3</v>
      </c>
      <c r="U258" s="7" t="n">
        <v>0</v>
      </c>
      <c r="V258" s="7" t="n">
        <v>1713</v>
      </c>
      <c r="W258" s="7" t="n">
        <v>0</v>
      </c>
      <c r="X258" s="7" t="n">
        <v>2508.9</v>
      </c>
      <c r="Y258" s="7" t="n">
        <v>0</v>
      </c>
      <c r="Z258" s="7" t="n">
        <v>1973.8</v>
      </c>
      <c r="AA258" s="7" t="n">
        <v>0</v>
      </c>
      <c r="AB258" s="7" t="n">
        <v>16170.7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515906.3</v>
      </c>
      <c r="D259" s="7" t="n">
        <v>468166.7</v>
      </c>
      <c r="E259" s="7" t="n">
        <v>604561.3</v>
      </c>
      <c r="F259" s="7" t="n">
        <v>391253.3</v>
      </c>
      <c r="G259" s="7" t="n">
        <v>672342.1</v>
      </c>
      <c r="H259" s="7" t="n">
        <v>687741</v>
      </c>
      <c r="I259" s="7" t="n">
        <v>579235.7</v>
      </c>
      <c r="J259" s="7" t="n">
        <v>405168.2</v>
      </c>
      <c r="K259" s="7" t="n">
        <v>570877.8</v>
      </c>
      <c r="L259" s="7" t="n">
        <v>916960.9</v>
      </c>
      <c r="M259" s="7" t="n">
        <v>631374.9</v>
      </c>
      <c r="N259" s="7" t="n">
        <v>602683.3</v>
      </c>
      <c r="O259" s="7" t="n">
        <v>651912.7</v>
      </c>
      <c r="P259" s="7" t="n">
        <v>605612.1</v>
      </c>
      <c r="Q259" s="7" t="n">
        <v>552471.3</v>
      </c>
      <c r="R259" s="7" t="n">
        <v>601083.2</v>
      </c>
      <c r="S259" s="7" t="n">
        <v>512332.6</v>
      </c>
      <c r="T259" s="7" t="n">
        <v>649903.2</v>
      </c>
      <c r="U259" s="7" t="n">
        <v>517633.4</v>
      </c>
      <c r="V259" s="7" t="n">
        <v>847875</v>
      </c>
      <c r="W259" s="7" t="n">
        <v>559261.3</v>
      </c>
      <c r="X259" s="7" t="n">
        <v>607101.3</v>
      </c>
      <c r="Y259" s="7" t="n">
        <v>673475.8</v>
      </c>
      <c r="Z259" s="7" t="n">
        <v>347071.9</v>
      </c>
      <c r="AA259" s="8" t="n">
        <v>7041385.2</v>
      </c>
      <c r="AB259" s="8" t="n">
        <v>7130620.1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169081.3</v>
      </c>
      <c r="D260" s="7" t="n">
        <v>117041.7</v>
      </c>
      <c r="E260" s="7" t="n">
        <v>130599.6</v>
      </c>
      <c r="F260" s="7" t="n">
        <v>97813.3</v>
      </c>
      <c r="G260" s="7" t="n">
        <v>158589.7</v>
      </c>
      <c r="H260" s="7" t="n">
        <v>171935.2</v>
      </c>
      <c r="I260" s="7" t="n">
        <v>149965.6</v>
      </c>
      <c r="J260" s="7" t="n">
        <v>101292.1</v>
      </c>
      <c r="K260" s="7" t="n">
        <v>134715</v>
      </c>
      <c r="L260" s="7" t="n">
        <v>229240.2</v>
      </c>
      <c r="M260" s="7" t="n">
        <v>149721.9</v>
      </c>
      <c r="N260" s="7" t="n">
        <v>150670.8</v>
      </c>
      <c r="O260" s="7" t="n">
        <v>137357.9</v>
      </c>
      <c r="P260" s="7" t="n">
        <v>151403</v>
      </c>
      <c r="Q260" s="7" t="n">
        <v>154139.9</v>
      </c>
      <c r="R260" s="7" t="n">
        <v>150270.8</v>
      </c>
      <c r="S260" s="7" t="n">
        <v>134244.2</v>
      </c>
      <c r="T260" s="7" t="n">
        <v>162475.8</v>
      </c>
      <c r="U260" s="7" t="n">
        <v>159660.3</v>
      </c>
      <c r="V260" s="7" t="n">
        <v>211968.8</v>
      </c>
      <c r="W260" s="7" t="n">
        <v>144774.7</v>
      </c>
      <c r="X260" s="7" t="n">
        <v>151775.3</v>
      </c>
      <c r="Y260" s="7" t="n">
        <v>130973.8</v>
      </c>
      <c r="Z260" s="7" t="n">
        <v>86768</v>
      </c>
      <c r="AA260" s="7" t="n">
        <v>1753823.9</v>
      </c>
      <c r="AB260" s="7" t="n">
        <v>1782655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457411.4</v>
      </c>
      <c r="D261" s="7" t="n">
        <v>351125</v>
      </c>
      <c r="E261" s="7" t="n">
        <v>329084.6</v>
      </c>
      <c r="F261" s="7" t="n">
        <v>293440</v>
      </c>
      <c r="G261" s="7" t="n">
        <v>437452</v>
      </c>
      <c r="H261" s="7" t="n">
        <v>515805.8</v>
      </c>
      <c r="I261" s="7" t="n">
        <v>326302.8</v>
      </c>
      <c r="J261" s="7" t="n">
        <v>303876.1</v>
      </c>
      <c r="K261" s="7" t="n">
        <v>469684.1</v>
      </c>
      <c r="L261" s="7" t="n">
        <v>687720.7</v>
      </c>
      <c r="M261" s="7" t="n">
        <v>297866.9</v>
      </c>
      <c r="N261" s="7" t="n">
        <v>452012.5</v>
      </c>
      <c r="O261" s="7" t="n">
        <v>363633.5</v>
      </c>
      <c r="P261" s="7" t="n">
        <v>454209.1</v>
      </c>
      <c r="Q261" s="7" t="n">
        <v>479002.5</v>
      </c>
      <c r="R261" s="7" t="n">
        <v>450812.4</v>
      </c>
      <c r="S261" s="7" t="n">
        <v>314797.8</v>
      </c>
      <c r="T261" s="7" t="n">
        <v>487427.4</v>
      </c>
      <c r="U261" s="7" t="n">
        <v>366729</v>
      </c>
      <c r="V261" s="7" t="n">
        <v>635906.2</v>
      </c>
      <c r="W261" s="7" t="n">
        <v>343710.8</v>
      </c>
      <c r="X261" s="7" t="n">
        <v>455326</v>
      </c>
      <c r="Y261" s="7" t="n">
        <v>270511</v>
      </c>
      <c r="Z261" s="7" t="n">
        <v>260303.9</v>
      </c>
      <c r="AA261" s="8" t="n">
        <v>4456186.4</v>
      </c>
      <c r="AB261" s="8" t="n">
        <v>5347965.1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67271.10000000001</v>
      </c>
      <c r="E262" s="7" t="n">
        <v>0</v>
      </c>
      <c r="F262" s="7" t="n">
        <v>31512.2</v>
      </c>
      <c r="G262" s="7" t="n">
        <v>0</v>
      </c>
      <c r="H262" s="7" t="n">
        <v>70983.2</v>
      </c>
      <c r="I262" s="7" t="n">
        <v>0</v>
      </c>
      <c r="J262" s="7" t="n">
        <v>60645.4</v>
      </c>
      <c r="K262" s="7" t="n">
        <v>0</v>
      </c>
      <c r="L262" s="7" t="n">
        <v>182140.9</v>
      </c>
      <c r="M262" s="7" t="n">
        <v>0</v>
      </c>
      <c r="N262" s="7" t="n">
        <v>22620</v>
      </c>
      <c r="O262" s="7" t="n">
        <v>0</v>
      </c>
      <c r="P262" s="7" t="n">
        <v>24581.3</v>
      </c>
      <c r="Q262" s="7" t="n">
        <v>0</v>
      </c>
      <c r="R262" s="7" t="n">
        <v>54308.1</v>
      </c>
      <c r="S262" s="7" t="n">
        <v>0</v>
      </c>
      <c r="T262" s="7" t="n">
        <v>49353.9</v>
      </c>
      <c r="U262" s="7" t="n">
        <v>0</v>
      </c>
      <c r="V262" s="7" t="n">
        <v>30175.6</v>
      </c>
      <c r="W262" s="7" t="n">
        <v>0</v>
      </c>
      <c r="X262" s="7" t="n">
        <v>136383.8</v>
      </c>
      <c r="Y262" s="7" t="n">
        <v>0</v>
      </c>
      <c r="Z262" s="7" t="n">
        <v>34595.3</v>
      </c>
      <c r="AA262" s="7" t="n">
        <v>0</v>
      </c>
      <c r="AB262" s="7" t="n">
        <v>764570.8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457411.4</v>
      </c>
      <c r="D263" s="7" t="n">
        <v>283853.9</v>
      </c>
      <c r="E263" s="7" t="n">
        <v>329084.6</v>
      </c>
      <c r="F263" s="7" t="n">
        <v>261927.8</v>
      </c>
      <c r="G263" s="7" t="n">
        <v>437452</v>
      </c>
      <c r="H263" s="7" t="n">
        <v>444822.6</v>
      </c>
      <c r="I263" s="7" t="n">
        <v>326302.8</v>
      </c>
      <c r="J263" s="7" t="n">
        <v>243230.7</v>
      </c>
      <c r="K263" s="7" t="n">
        <v>469684.1</v>
      </c>
      <c r="L263" s="7" t="n">
        <v>505579.8</v>
      </c>
      <c r="M263" s="7" t="n">
        <v>297866.9</v>
      </c>
      <c r="N263" s="7" t="n">
        <v>429392.5</v>
      </c>
      <c r="O263" s="7" t="n">
        <v>363633.5</v>
      </c>
      <c r="P263" s="7" t="n">
        <v>429627.8</v>
      </c>
      <c r="Q263" s="7" t="n">
        <v>479002.5</v>
      </c>
      <c r="R263" s="7" t="n">
        <v>396504.3</v>
      </c>
      <c r="S263" s="7" t="n">
        <v>314797.8</v>
      </c>
      <c r="T263" s="7" t="n">
        <v>438073.5</v>
      </c>
      <c r="U263" s="7" t="n">
        <v>366729</v>
      </c>
      <c r="V263" s="7" t="n">
        <v>605730.6</v>
      </c>
      <c r="W263" s="7" t="n">
        <v>343710.8</v>
      </c>
      <c r="X263" s="7" t="n">
        <v>318942.2</v>
      </c>
      <c r="Y263" s="7" t="n">
        <v>270511</v>
      </c>
      <c r="Z263" s="7" t="n">
        <v>225708.6</v>
      </c>
      <c r="AA263" s="8" t="n">
        <v>4456186.4</v>
      </c>
      <c r="AB263" s="8" t="n">
        <v>4583394.3</v>
      </c>
    </row>
    <row r="264">
      <c r="A264" s="4" t="inlineStr">
        <is>
          <t>净利率</t>
        </is>
      </c>
      <c r="D264" s="13" t="n">
        <v>10.2</v>
      </c>
      <c r="F264" s="13" t="n">
        <v>8.4</v>
      </c>
      <c r="H264" s="13" t="n">
        <v>7.5</v>
      </c>
      <c r="J264" s="13" t="n">
        <v>6.5</v>
      </c>
      <c r="L264" s="13" t="n">
        <v>9.4</v>
      </c>
      <c r="N264" s="13" t="n">
        <v>5.3</v>
      </c>
      <c r="P264" s="13" t="n">
        <v>6.2</v>
      </c>
      <c r="R264" s="13" t="n">
        <v>6.2</v>
      </c>
      <c r="T264" s="13" t="n">
        <v>10.7</v>
      </c>
      <c r="V264" s="13" t="n">
        <v>7</v>
      </c>
      <c r="X264" s="13" t="n">
        <v>8.800000000000001</v>
      </c>
      <c r="Z264" s="13" t="n">
        <v>11.1</v>
      </c>
    </row>
    <row r="265">
      <c r="A265" s="4" t="inlineStr">
        <is>
          <t>销售达成率</t>
        </is>
      </c>
      <c r="D265" s="13" t="n">
        <v>54.3</v>
      </c>
      <c r="F265" s="13" t="n">
        <v>59.8</v>
      </c>
      <c r="H265" s="13" t="n">
        <v>116</v>
      </c>
      <c r="J265" s="13" t="n">
        <v>84.3</v>
      </c>
      <c r="L265" s="13" t="n">
        <v>113.1</v>
      </c>
      <c r="N265" s="13" t="n">
        <v>145.9</v>
      </c>
      <c r="P265" s="13" t="n">
        <v>113.1</v>
      </c>
      <c r="R265" s="13" t="n">
        <v>127.7</v>
      </c>
      <c r="T265" s="13" t="n">
        <v>68.2</v>
      </c>
      <c r="V265" s="13" t="n">
        <v>134.3</v>
      </c>
      <c r="X265" s="13" t="n">
        <v>88.8</v>
      </c>
      <c r="Z265" s="13" t="n">
        <v>42.4</v>
      </c>
    </row>
    <row r="266">
      <c r="A266" s="4" t="inlineStr">
        <is>
          <t>净利达成率</t>
        </is>
      </c>
      <c r="D266" s="13" t="n">
        <v>76.8</v>
      </c>
      <c r="F266" s="13" t="n">
        <v>89.2</v>
      </c>
      <c r="H266" s="13" t="n">
        <v>117.9</v>
      </c>
      <c r="J266" s="13" t="n">
        <v>93.09999999999999</v>
      </c>
      <c r="L266" s="13" t="n">
        <v>146.4</v>
      </c>
      <c r="N266" s="13" t="n">
        <v>151.7</v>
      </c>
      <c r="P266" s="13" t="n">
        <v>124.9</v>
      </c>
      <c r="R266" s="13" t="n">
        <v>94.09999999999999</v>
      </c>
      <c r="T266" s="13" t="n">
        <v>154.8</v>
      </c>
      <c r="V266" s="13" t="n">
        <v>173.4</v>
      </c>
      <c r="X266" s="13" t="n">
        <v>132.5</v>
      </c>
      <c r="Z266" s="13" t="n">
        <v>96.2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销售1利润表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6334635.6</v>
      </c>
      <c r="D6" s="7" t="n">
        <v>3543879.3</v>
      </c>
      <c r="E6" s="7" t="n">
        <v>5804769.6</v>
      </c>
      <c r="F6" s="7" t="n">
        <v>3481476.2</v>
      </c>
      <c r="G6" s="7" t="n">
        <v>5955241.6</v>
      </c>
      <c r="H6" s="7" t="n">
        <v>6860936.2</v>
      </c>
      <c r="I6" s="7" t="n">
        <v>5558130.6</v>
      </c>
      <c r="J6" s="7" t="n">
        <v>4721088.5</v>
      </c>
      <c r="K6" s="7" t="n">
        <v>6440901.8</v>
      </c>
      <c r="L6" s="7" t="n">
        <v>7260239.7</v>
      </c>
      <c r="M6" s="7" t="n">
        <v>5840295.2</v>
      </c>
      <c r="N6" s="7" t="n">
        <v>8549423.5</v>
      </c>
      <c r="O6" s="7" t="n">
        <v>6487749.2</v>
      </c>
      <c r="P6" s="7" t="n">
        <v>7418961.3</v>
      </c>
      <c r="Q6" s="7" t="n">
        <v>5661365</v>
      </c>
      <c r="R6" s="7" t="n">
        <v>7213615</v>
      </c>
      <c r="S6" s="7" t="n">
        <v>6685854</v>
      </c>
      <c r="T6" s="7" t="n">
        <v>4531325.1</v>
      </c>
      <c r="U6" s="7" t="n">
        <v>6751837.1</v>
      </c>
      <c r="V6" s="7" t="n">
        <v>9115354.199999999</v>
      </c>
      <c r="W6" s="7" t="n">
        <v>5827321.9</v>
      </c>
      <c r="X6" s="7" t="n">
        <v>5208426.7</v>
      </c>
      <c r="Y6" s="7" t="n">
        <v>5509149.2</v>
      </c>
      <c r="Z6" s="7" t="n">
        <v>2290585</v>
      </c>
      <c r="AA6" s="8" t="n">
        <v>72857250.8</v>
      </c>
      <c r="AB6" s="8" t="n">
        <v>70195310.7</v>
      </c>
    </row>
    <row r="7">
      <c r="A7" s="4" t="inlineStr">
        <is>
          <t>中式汤底</t>
        </is>
      </c>
      <c r="D7" s="7" t="n">
        <v>772910.2</v>
      </c>
      <c r="F7" s="7" t="n">
        <v>650417.2</v>
      </c>
      <c r="H7" s="7" t="n">
        <v>1230105.6</v>
      </c>
      <c r="J7" s="7" t="n">
        <v>821418.8999999999</v>
      </c>
      <c r="L7" s="7" t="n">
        <v>1053798.2</v>
      </c>
      <c r="N7" s="7" t="n">
        <v>1368773.1</v>
      </c>
      <c r="P7" s="7" t="n">
        <v>442964</v>
      </c>
      <c r="R7" s="7" t="n">
        <v>1257555.3</v>
      </c>
      <c r="T7" s="7" t="n">
        <v>1262193.5</v>
      </c>
      <c r="V7" s="7" t="n">
        <v>220655</v>
      </c>
      <c r="X7" s="7" t="n">
        <v>577511.7</v>
      </c>
      <c r="Z7" s="7" t="n">
        <v>0</v>
      </c>
      <c r="AB7" s="7" t="n">
        <v>9658302.699999999</v>
      </c>
    </row>
    <row r="8">
      <c r="A8" s="4" t="inlineStr">
        <is>
          <t>酱料</t>
        </is>
      </c>
      <c r="D8" s="7" t="n">
        <v>95636.8</v>
      </c>
      <c r="F8" s="7" t="n">
        <v>494931.8</v>
      </c>
      <c r="H8" s="7" t="n">
        <v>643474.3999999999</v>
      </c>
      <c r="J8" s="7" t="n">
        <v>0</v>
      </c>
      <c r="L8" s="7" t="n">
        <v>983449</v>
      </c>
      <c r="N8" s="7" t="n">
        <v>1134137.9</v>
      </c>
      <c r="P8" s="7" t="n">
        <v>1570170.9</v>
      </c>
      <c r="R8" s="7" t="n">
        <v>687975.3</v>
      </c>
      <c r="T8" s="7" t="n">
        <v>168370.5</v>
      </c>
      <c r="V8" s="7" t="n">
        <v>1159049.1</v>
      </c>
      <c r="X8" s="7" t="n">
        <v>537451.7</v>
      </c>
      <c r="Z8" s="7" t="n">
        <v>472767.7</v>
      </c>
      <c r="AB8" s="7" t="n">
        <v>7947415.1</v>
      </c>
    </row>
    <row r="9">
      <c r="A9" s="4" t="inlineStr">
        <is>
          <t>川味底料</t>
        </is>
      </c>
      <c r="D9" s="7" t="n">
        <v>521445.2</v>
      </c>
      <c r="F9" s="7" t="n">
        <v>460752.4</v>
      </c>
      <c r="H9" s="7" t="n">
        <v>603265.6000000001</v>
      </c>
      <c r="J9" s="7" t="n">
        <v>0</v>
      </c>
      <c r="L9" s="7" t="n">
        <v>940530.8999999999</v>
      </c>
      <c r="N9" s="7" t="n">
        <v>805891.8</v>
      </c>
      <c r="P9" s="7" t="n">
        <v>1536103.5</v>
      </c>
      <c r="R9" s="7" t="n">
        <v>1299274.7</v>
      </c>
      <c r="T9" s="7" t="n">
        <v>378621.9</v>
      </c>
      <c r="V9" s="7" t="n">
        <v>302451.7</v>
      </c>
      <c r="X9" s="7" t="n">
        <v>453403.2</v>
      </c>
      <c r="Z9" s="7" t="n">
        <v>482437.5</v>
      </c>
      <c r="AB9" s="7" t="n">
        <v>7784178.4</v>
      </c>
    </row>
    <row r="10">
      <c r="A10" s="4" t="inlineStr">
        <is>
          <t>调味汁</t>
        </is>
      </c>
      <c r="D10" s="7" t="n">
        <v>140501.7</v>
      </c>
      <c r="F10" s="7" t="n">
        <v>685254.3999999999</v>
      </c>
      <c r="H10" s="7" t="n">
        <v>1549053</v>
      </c>
      <c r="J10" s="7" t="n">
        <v>1137848.3</v>
      </c>
      <c r="L10" s="7" t="n">
        <v>1745683.6</v>
      </c>
      <c r="N10" s="7" t="n">
        <v>1348175.2</v>
      </c>
      <c r="P10" s="7" t="n">
        <v>828466.2</v>
      </c>
      <c r="R10" s="7" t="n">
        <v>1037771.7</v>
      </c>
      <c r="T10" s="7" t="n">
        <v>819528.9</v>
      </c>
      <c r="V10" s="7" t="n">
        <v>2233826.1</v>
      </c>
      <c r="X10" s="7" t="n">
        <v>1330511.6</v>
      </c>
      <c r="Z10" s="7" t="n">
        <v>595125.8</v>
      </c>
      <c r="AB10" s="7" t="n">
        <v>13451746.5</v>
      </c>
    </row>
    <row r="11">
      <c r="A11" s="4" t="inlineStr">
        <is>
          <t>复合调味粉</t>
        </is>
      </c>
      <c r="D11" s="7" t="n">
        <v>1076987.6</v>
      </c>
      <c r="F11" s="7" t="n">
        <v>603669.6</v>
      </c>
      <c r="H11" s="7" t="n">
        <v>305342.5</v>
      </c>
      <c r="J11" s="7" t="n">
        <v>1270957.1</v>
      </c>
      <c r="L11" s="7" t="n">
        <v>608780.6</v>
      </c>
      <c r="N11" s="7" t="n">
        <v>1048510.4</v>
      </c>
      <c r="P11" s="7" t="n">
        <v>1788789.1</v>
      </c>
      <c r="R11" s="7" t="n">
        <v>1181936.2</v>
      </c>
      <c r="T11" s="7" t="n">
        <v>304518.8</v>
      </c>
      <c r="V11" s="7" t="n">
        <v>1480465.6</v>
      </c>
      <c r="X11" s="7" t="n">
        <v>912770.4</v>
      </c>
      <c r="Z11" s="7" t="n">
        <v>158509.6</v>
      </c>
      <c r="AB11" s="7" t="n">
        <v>10741237.5</v>
      </c>
    </row>
    <row r="12">
      <c r="A12" s="4" t="inlineStr">
        <is>
          <t>团餐</t>
        </is>
      </c>
      <c r="D12" s="7" t="n">
        <v>337924.6</v>
      </c>
      <c r="F12" s="7" t="n">
        <v>556611.6</v>
      </c>
      <c r="H12" s="7" t="n">
        <v>1297672.9</v>
      </c>
      <c r="J12" s="7" t="n">
        <v>1140468.3</v>
      </c>
      <c r="L12" s="7" t="n">
        <v>583674.1</v>
      </c>
      <c r="N12" s="7" t="n">
        <v>1544176.1</v>
      </c>
      <c r="P12" s="7" t="n">
        <v>533231.9</v>
      </c>
      <c r="R12" s="7" t="n">
        <v>477668.5</v>
      </c>
      <c r="T12" s="7" t="n">
        <v>1237436.6</v>
      </c>
      <c r="V12" s="7" t="n">
        <v>1765019.7</v>
      </c>
      <c r="X12" s="7" t="n">
        <v>348549.8</v>
      </c>
      <c r="Z12" s="7" t="n">
        <v>316522.1</v>
      </c>
      <c r="AB12" s="7" t="n">
        <v>10138956.2</v>
      </c>
    </row>
    <row r="13">
      <c r="A13" s="4" t="inlineStr">
        <is>
          <t>预制菜</t>
        </is>
      </c>
      <c r="D13" s="7" t="n">
        <v>593248.5</v>
      </c>
      <c r="F13" s="7" t="n">
        <v>69349.3</v>
      </c>
      <c r="H13" s="7" t="n">
        <v>1305500.9</v>
      </c>
      <c r="J13" s="7" t="n">
        <v>386278.1</v>
      </c>
      <c r="L13" s="7" t="n">
        <v>1413902.2</v>
      </c>
      <c r="N13" s="7" t="n">
        <v>1392728.9</v>
      </c>
      <c r="P13" s="7" t="n">
        <v>711473.5</v>
      </c>
      <c r="R13" s="7" t="n">
        <v>1363500.2</v>
      </c>
      <c r="T13" s="7" t="n">
        <v>414837.7</v>
      </c>
      <c r="V13" s="7" t="n">
        <v>1966617.5</v>
      </c>
      <c r="X13" s="7" t="n">
        <v>1091511.5</v>
      </c>
      <c r="Z13" s="7" t="n">
        <v>310318.4</v>
      </c>
      <c r="AB13" s="7" t="n">
        <v>11019266.7</v>
      </c>
    </row>
    <row r="14">
      <c r="A14" s="4" t="inlineStr">
        <is>
          <t>返利</t>
        </is>
      </c>
      <c r="D14" s="7" t="n">
        <v>-60321.6</v>
      </c>
      <c r="F14" s="7" t="n">
        <v>-57403</v>
      </c>
      <c r="H14" s="7" t="n">
        <v>-206848.5</v>
      </c>
      <c r="J14" s="7" t="n">
        <v>-78457.10000000001</v>
      </c>
      <c r="L14" s="7" t="n">
        <v>-127790.9</v>
      </c>
      <c r="N14" s="7" t="n">
        <v>-218511.6</v>
      </c>
      <c r="P14" s="7" t="n">
        <v>-137935.5</v>
      </c>
      <c r="R14" s="7" t="n">
        <v>-179116</v>
      </c>
      <c r="T14" s="7" t="n">
        <v>-101652.8</v>
      </c>
      <c r="V14" s="7" t="n">
        <v>-194089.5</v>
      </c>
      <c r="X14" s="7" t="n">
        <v>-74986.89999999999</v>
      </c>
      <c r="Z14" s="7" t="n">
        <v>-59125.8</v>
      </c>
      <c r="AB14" s="7" t="n">
        <v>-1496239.2</v>
      </c>
    </row>
    <row r="15">
      <c r="A15" s="4" t="inlineStr">
        <is>
          <t>其他</t>
        </is>
      </c>
      <c r="D15" s="7" t="n">
        <v>65546.3</v>
      </c>
      <c r="F15" s="7" t="n">
        <v>17892.9</v>
      </c>
      <c r="H15" s="7" t="n">
        <v>133369.8</v>
      </c>
      <c r="J15" s="7" t="n">
        <v>42574.9</v>
      </c>
      <c r="L15" s="7" t="n">
        <v>58212</v>
      </c>
      <c r="N15" s="7" t="n">
        <v>125541.7</v>
      </c>
      <c r="P15" s="7" t="n">
        <v>145697.7</v>
      </c>
      <c r="R15" s="7" t="n">
        <v>87049.10000000001</v>
      </c>
      <c r="T15" s="7" t="n">
        <v>47470</v>
      </c>
      <c r="V15" s="7" t="n">
        <v>181359</v>
      </c>
      <c r="X15" s="7" t="n">
        <v>31703.7</v>
      </c>
      <c r="Z15" s="7" t="n">
        <v>14029.7</v>
      </c>
      <c r="AB15" s="7" t="n">
        <v>950446.8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3622193.3</v>
      </c>
      <c r="D16" s="7" t="n">
        <v>2428138.9</v>
      </c>
      <c r="E16" s="7" t="n">
        <v>3900920.1</v>
      </c>
      <c r="F16" s="7" t="n">
        <v>2407313.7</v>
      </c>
      <c r="G16" s="7" t="n">
        <v>4163067.8</v>
      </c>
      <c r="H16" s="7" t="n">
        <v>4675312.5</v>
      </c>
      <c r="I16" s="7" t="n">
        <v>3737482.1</v>
      </c>
      <c r="J16" s="7" t="n">
        <v>3342887.5</v>
      </c>
      <c r="K16" s="7" t="n">
        <v>4442091.8</v>
      </c>
      <c r="L16" s="7" t="n">
        <v>5081473.1</v>
      </c>
      <c r="M16" s="7" t="n">
        <v>3565511.7</v>
      </c>
      <c r="N16" s="7" t="n">
        <v>5898346.9</v>
      </c>
      <c r="O16" s="7" t="n">
        <v>3940796.1</v>
      </c>
      <c r="P16" s="7" t="n">
        <v>5195740.7</v>
      </c>
      <c r="Q16" s="7" t="n">
        <v>4572277.3</v>
      </c>
      <c r="R16" s="7" t="n">
        <v>5133387.7</v>
      </c>
      <c r="S16" s="7" t="n">
        <v>4348471.8</v>
      </c>
      <c r="T16" s="7" t="n">
        <v>3100955</v>
      </c>
      <c r="U16" s="7" t="n">
        <v>4335447.5</v>
      </c>
      <c r="V16" s="7" t="n">
        <v>6252959.7</v>
      </c>
      <c r="W16" s="7" t="n">
        <v>4419944.7</v>
      </c>
      <c r="X16" s="7" t="n">
        <v>3638248.1</v>
      </c>
      <c r="Y16" s="7" t="n">
        <v>3664237.6</v>
      </c>
      <c r="Z16" s="7" t="n">
        <v>1600395.3</v>
      </c>
      <c r="AA16" s="8" t="n">
        <v>48712441.8</v>
      </c>
      <c r="AB16" s="8" t="n">
        <v>48755159.1</v>
      </c>
    </row>
    <row r="17">
      <c r="A17" s="4" t="inlineStr">
        <is>
          <t>中式汤底</t>
        </is>
      </c>
      <c r="D17" s="7" t="n">
        <v>490845.4</v>
      </c>
      <c r="F17" s="7" t="n">
        <v>414725.9</v>
      </c>
      <c r="H17" s="7" t="n">
        <v>782655.4</v>
      </c>
      <c r="J17" s="7" t="n">
        <v>536783.5</v>
      </c>
      <c r="L17" s="7" t="n">
        <v>677239.1</v>
      </c>
      <c r="N17" s="7" t="n">
        <v>874402.8999999999</v>
      </c>
      <c r="P17" s="7" t="n">
        <v>268260.3</v>
      </c>
      <c r="R17" s="7" t="n">
        <v>790093.2</v>
      </c>
      <c r="T17" s="7" t="n">
        <v>805320.5</v>
      </c>
      <c r="V17" s="7" t="n">
        <v>125637.9</v>
      </c>
      <c r="X17" s="7" t="n">
        <v>354336</v>
      </c>
      <c r="Z17" s="7" t="n">
        <v>0</v>
      </c>
      <c r="AB17" s="7" t="n">
        <v>6120300.1</v>
      </c>
    </row>
    <row r="18">
      <c r="A18" s="4" t="inlineStr">
        <is>
          <t>酱料</t>
        </is>
      </c>
      <c r="D18" s="7" t="n">
        <v>60845.1</v>
      </c>
      <c r="F18" s="7" t="n">
        <v>314505.1</v>
      </c>
      <c r="H18" s="7" t="n">
        <v>416118.1</v>
      </c>
      <c r="J18" s="7" t="n">
        <v>0</v>
      </c>
      <c r="L18" s="7" t="n">
        <v>636581.2</v>
      </c>
      <c r="N18" s="7" t="n">
        <v>733517.9000000001</v>
      </c>
      <c r="P18" s="7" t="n">
        <v>1011010.8</v>
      </c>
      <c r="R18" s="7" t="n">
        <v>447044.6</v>
      </c>
      <c r="T18" s="7" t="n">
        <v>116931.4</v>
      </c>
      <c r="V18" s="7" t="n">
        <v>736604</v>
      </c>
      <c r="X18" s="7" t="n">
        <v>341845.5</v>
      </c>
      <c r="Z18" s="7" t="n">
        <v>307645.4</v>
      </c>
      <c r="AB18" s="7" t="n">
        <v>5122649.1</v>
      </c>
    </row>
    <row r="19">
      <c r="A19" s="4" t="inlineStr">
        <is>
          <t>川味底料</t>
        </is>
      </c>
      <c r="D19" s="7" t="n">
        <v>337754.7</v>
      </c>
      <c r="F19" s="7" t="n">
        <v>291825.7</v>
      </c>
      <c r="H19" s="7" t="n">
        <v>407593.8</v>
      </c>
      <c r="J19" s="7" t="n">
        <v>0</v>
      </c>
      <c r="L19" s="7" t="n">
        <v>612817</v>
      </c>
      <c r="N19" s="7" t="n">
        <v>524884.5</v>
      </c>
      <c r="P19" s="7" t="n">
        <v>1010713.2</v>
      </c>
      <c r="R19" s="7" t="n">
        <v>866267.6000000001</v>
      </c>
      <c r="T19" s="7" t="n">
        <v>239287.4</v>
      </c>
      <c r="V19" s="7" t="n">
        <v>191970.8</v>
      </c>
      <c r="X19" s="7" t="n">
        <v>301965.2</v>
      </c>
      <c r="Z19" s="7" t="n">
        <v>313738.4</v>
      </c>
      <c r="AB19" s="7" t="n">
        <v>5098818.3</v>
      </c>
    </row>
    <row r="20">
      <c r="A20" s="4" t="inlineStr">
        <is>
          <t>调味汁</t>
        </is>
      </c>
      <c r="D20" s="7" t="n">
        <v>95675.5</v>
      </c>
      <c r="F20" s="7" t="n">
        <v>447090.7</v>
      </c>
      <c r="H20" s="7" t="n">
        <v>995811.7000000001</v>
      </c>
      <c r="J20" s="7" t="n">
        <v>741614.4999999999</v>
      </c>
      <c r="L20" s="7" t="n">
        <v>1111717.8</v>
      </c>
      <c r="N20" s="7" t="n">
        <v>867576.3</v>
      </c>
      <c r="P20" s="7" t="n">
        <v>564141.9</v>
      </c>
      <c r="R20" s="7" t="n">
        <v>667707.4</v>
      </c>
      <c r="T20" s="7" t="n">
        <v>517863.5</v>
      </c>
      <c r="V20" s="7" t="n">
        <v>1448065.9</v>
      </c>
      <c r="X20" s="7" t="n">
        <v>875879.2999999999</v>
      </c>
      <c r="Z20" s="7" t="n">
        <v>378065.6</v>
      </c>
      <c r="AB20" s="7" t="n">
        <v>8711210.1</v>
      </c>
    </row>
    <row r="21">
      <c r="A21" s="4" t="inlineStr">
        <is>
          <t>复合调味粉</t>
        </is>
      </c>
      <c r="D21" s="7" t="n">
        <v>715895.2999999999</v>
      </c>
      <c r="F21" s="7" t="n">
        <v>400432.8</v>
      </c>
      <c r="H21" s="7" t="n">
        <v>192462.7</v>
      </c>
      <c r="J21" s="7" t="n">
        <v>854159.2</v>
      </c>
      <c r="L21" s="7" t="n">
        <v>391444.5</v>
      </c>
      <c r="N21" s="7" t="n">
        <v>663460.4</v>
      </c>
      <c r="P21" s="7" t="n">
        <v>1219918</v>
      </c>
      <c r="R21" s="7" t="n">
        <v>791673</v>
      </c>
      <c r="T21" s="7" t="n">
        <v>191496</v>
      </c>
      <c r="V21" s="7" t="n">
        <v>1004706.6</v>
      </c>
      <c r="X21" s="7" t="n">
        <v>617053.3</v>
      </c>
      <c r="Z21" s="7" t="n">
        <v>92073.8</v>
      </c>
      <c r="AB21" s="7" t="n">
        <v>7134775.6</v>
      </c>
    </row>
    <row r="22">
      <c r="A22" s="4" t="inlineStr">
        <is>
          <t>团餐</t>
        </is>
      </c>
      <c r="D22" s="7" t="n">
        <v>222230.7</v>
      </c>
      <c r="F22" s="7" t="n">
        <v>336295.4</v>
      </c>
      <c r="H22" s="7" t="n">
        <v>810101.4</v>
      </c>
      <c r="J22" s="7" t="n">
        <v>710563.2</v>
      </c>
      <c r="L22" s="7" t="n">
        <v>375826.7</v>
      </c>
      <c r="N22" s="7" t="n">
        <v>967651.6000000001</v>
      </c>
      <c r="P22" s="7" t="n">
        <v>343347</v>
      </c>
      <c r="R22" s="7" t="n">
        <v>307569.8</v>
      </c>
      <c r="T22" s="7" t="n">
        <v>764182.2</v>
      </c>
      <c r="V22" s="7" t="n">
        <v>1117500.4</v>
      </c>
      <c r="X22" s="7" t="n">
        <v>222525.3</v>
      </c>
      <c r="Z22" s="7" t="n">
        <v>206410</v>
      </c>
      <c r="AB22" s="7" t="n">
        <v>6384203.7</v>
      </c>
    </row>
    <row r="23">
      <c r="A23" s="4" t="inlineStr">
        <is>
          <t>预制菜</t>
        </is>
      </c>
      <c r="D23" s="7" t="n">
        <v>410563.7</v>
      </c>
      <c r="F23" s="7" t="n">
        <v>41629</v>
      </c>
      <c r="H23" s="7" t="n">
        <v>927366.5</v>
      </c>
      <c r="J23" s="7" t="n">
        <v>287329.4</v>
      </c>
      <c r="L23" s="7" t="n">
        <v>977584.8999999999</v>
      </c>
      <c r="N23" s="7" t="n">
        <v>1022457.5</v>
      </c>
      <c r="P23" s="7" t="n">
        <v>507026.3</v>
      </c>
      <c r="R23" s="7" t="n">
        <v>994988.8999999999</v>
      </c>
      <c r="T23" s="7" t="n">
        <v>246789.1</v>
      </c>
      <c r="V23" s="7" t="n">
        <v>1403544.9</v>
      </c>
      <c r="X23" s="7" t="n">
        <v>813663.8999999999</v>
      </c>
      <c r="Z23" s="7" t="n">
        <v>230827.5</v>
      </c>
      <c r="AB23" s="7" t="n">
        <v>7863771.6</v>
      </c>
    </row>
    <row r="24">
      <c r="A24" s="4" t="inlineStr">
        <is>
          <t>其他</t>
        </is>
      </c>
      <c r="D24" s="7" t="n">
        <v>38540.8</v>
      </c>
      <c r="F24" s="7" t="n">
        <v>30983.6</v>
      </c>
      <c r="H24" s="7" t="n">
        <v>52231</v>
      </c>
      <c r="J24" s="7" t="n">
        <v>56827.4</v>
      </c>
      <c r="L24" s="7" t="n">
        <v>56942.3</v>
      </c>
      <c r="N24" s="7" t="n">
        <v>33968.2</v>
      </c>
      <c r="P24" s="7" t="n">
        <v>71974.2</v>
      </c>
      <c r="R24" s="7" t="n">
        <v>56076.4</v>
      </c>
      <c r="T24" s="7" t="n">
        <v>4523.2</v>
      </c>
      <c r="V24" s="7" t="n">
        <v>6742.1</v>
      </c>
      <c r="X24" s="7" t="n">
        <v>54383.5</v>
      </c>
      <c r="Z24" s="7" t="n">
        <v>10638</v>
      </c>
      <c r="AB24" s="7" t="n">
        <v>473830.7</v>
      </c>
    </row>
    <row r="25">
      <c r="A25" s="4" t="inlineStr">
        <is>
          <t>运费</t>
        </is>
      </c>
      <c r="D25" s="7" t="n">
        <v>94328.5</v>
      </c>
      <c r="F25" s="7" t="n">
        <v>160809.1</v>
      </c>
      <c r="H25" s="7" t="n">
        <v>143202.9</v>
      </c>
      <c r="J25" s="7" t="n">
        <v>212437.7</v>
      </c>
      <c r="L25" s="7" t="n">
        <v>298261.9</v>
      </c>
      <c r="N25" s="7" t="n">
        <v>244395.8</v>
      </c>
      <c r="P25" s="7" t="n">
        <v>271323.2</v>
      </c>
      <c r="R25" s="7" t="n">
        <v>268043.2</v>
      </c>
      <c r="T25" s="7" t="n">
        <v>219084.9</v>
      </c>
      <c r="V25" s="7" t="n">
        <v>224929.2</v>
      </c>
      <c r="X25" s="7" t="n">
        <v>110979.6</v>
      </c>
      <c r="Z25" s="7" t="n">
        <v>71634.60000000001</v>
      </c>
      <c r="AB25" s="7" t="n">
        <v>2319430.6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2712442.3</v>
      </c>
      <c r="D26" s="7" t="n">
        <v>1115740.4</v>
      </c>
      <c r="E26" s="7" t="n">
        <v>1903849.5</v>
      </c>
      <c r="F26" s="7" t="n">
        <v>1074162.5</v>
      </c>
      <c r="G26" s="7" t="n">
        <v>1792173.8</v>
      </c>
      <c r="H26" s="7" t="n">
        <v>2185623.7</v>
      </c>
      <c r="I26" s="7" t="n">
        <v>1820648.5</v>
      </c>
      <c r="J26" s="7" t="n">
        <v>1378201</v>
      </c>
      <c r="K26" s="7" t="n">
        <v>1998810</v>
      </c>
      <c r="L26" s="7" t="n">
        <v>2178766.6</v>
      </c>
      <c r="M26" s="7" t="n">
        <v>2274783.5</v>
      </c>
      <c r="N26" s="7" t="n">
        <v>2651076.6</v>
      </c>
      <c r="O26" s="7" t="n">
        <v>2546953.1</v>
      </c>
      <c r="P26" s="7" t="n">
        <v>2223220.6</v>
      </c>
      <c r="Q26" s="7" t="n">
        <v>1089087.7</v>
      </c>
      <c r="R26" s="7" t="n">
        <v>2080227.3</v>
      </c>
      <c r="S26" s="7" t="n">
        <v>2337382.2</v>
      </c>
      <c r="T26" s="7" t="n">
        <v>1430370.1</v>
      </c>
      <c r="U26" s="7" t="n">
        <v>2416389.6</v>
      </c>
      <c r="V26" s="7" t="n">
        <v>2862394.5</v>
      </c>
      <c r="W26" s="7" t="n">
        <v>1407377.2</v>
      </c>
      <c r="X26" s="7" t="n">
        <v>1570178.6</v>
      </c>
      <c r="Y26" s="7" t="n">
        <v>1844911.6</v>
      </c>
      <c r="Z26" s="7" t="n">
        <v>690189.7</v>
      </c>
      <c r="AA26" s="8" t="n">
        <v>24144809</v>
      </c>
      <c r="AB26" s="8" t="n">
        <v>21440151.6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42.8</v>
      </c>
      <c r="D27" s="13" t="n">
        <v>31.5</v>
      </c>
      <c r="E27" s="13" t="n">
        <v>32.8</v>
      </c>
      <c r="F27" s="13" t="n">
        <v>30.9</v>
      </c>
      <c r="G27" s="13" t="n">
        <v>30.1</v>
      </c>
      <c r="H27" s="13" t="n">
        <v>31.9</v>
      </c>
      <c r="I27" s="13" t="n">
        <v>32.8</v>
      </c>
      <c r="J27" s="13" t="n">
        <v>29.2</v>
      </c>
      <c r="K27" s="13" t="n">
        <v>31</v>
      </c>
      <c r="L27" s="13" t="n">
        <v>30</v>
      </c>
      <c r="M27" s="13" t="n">
        <v>38.9</v>
      </c>
      <c r="N27" s="13" t="n">
        <v>31</v>
      </c>
      <c r="O27" s="13" t="n">
        <v>39.3</v>
      </c>
      <c r="P27" s="13" t="n">
        <v>30</v>
      </c>
      <c r="Q27" s="13" t="n">
        <v>19.2</v>
      </c>
      <c r="R27" s="13" t="n">
        <v>28.8</v>
      </c>
      <c r="S27" s="13" t="n">
        <v>35</v>
      </c>
      <c r="T27" s="13" t="n">
        <v>31.6</v>
      </c>
      <c r="U27" s="13" t="n">
        <v>35.8</v>
      </c>
      <c r="V27" s="13" t="n">
        <v>31.4</v>
      </c>
      <c r="W27" s="13" t="n">
        <v>24.2</v>
      </c>
      <c r="X27" s="13" t="n">
        <v>30.1</v>
      </c>
      <c r="Y27" s="13" t="n">
        <v>33.5</v>
      </c>
      <c r="Z27" s="13" t="n">
        <v>30.1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59009.3</v>
      </c>
      <c r="D28" s="7" t="n">
        <v>46677.9</v>
      </c>
      <c r="E28" s="7" t="n">
        <v>52180.8</v>
      </c>
      <c r="F28" s="7" t="n">
        <v>31908.5</v>
      </c>
      <c r="G28" s="7" t="n">
        <v>58352.8</v>
      </c>
      <c r="H28" s="7" t="n">
        <v>93846</v>
      </c>
      <c r="I28" s="7" t="n">
        <v>53426.6</v>
      </c>
      <c r="J28" s="7" t="n">
        <v>64668.8</v>
      </c>
      <c r="K28" s="7" t="n">
        <v>50447.9</v>
      </c>
      <c r="L28" s="7" t="n">
        <v>52761.4</v>
      </c>
      <c r="M28" s="7" t="n">
        <v>62361.8</v>
      </c>
      <c r="N28" s="7" t="n">
        <v>98556</v>
      </c>
      <c r="O28" s="7" t="n">
        <v>56437</v>
      </c>
      <c r="P28" s="7" t="n">
        <v>81779.3</v>
      </c>
      <c r="Q28" s="7" t="n">
        <v>57359.4</v>
      </c>
      <c r="R28" s="7" t="n">
        <v>36892.9</v>
      </c>
      <c r="S28" s="7" t="n">
        <v>59975</v>
      </c>
      <c r="T28" s="7" t="n">
        <v>57884</v>
      </c>
      <c r="U28" s="7" t="n">
        <v>58393.5</v>
      </c>
      <c r="V28" s="7" t="n">
        <v>80441.8</v>
      </c>
      <c r="W28" s="7" t="n">
        <v>53449.2</v>
      </c>
      <c r="X28" s="7" t="n">
        <v>41916.6</v>
      </c>
      <c r="Y28" s="7" t="n">
        <v>54633.4</v>
      </c>
      <c r="Z28" s="7" t="n">
        <v>12396.2</v>
      </c>
      <c r="AA28" s="8" t="n">
        <v>676026.7</v>
      </c>
      <c r="AB28" s="8" t="n">
        <v>699729.4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829706.8</v>
      </c>
      <c r="D29" s="7" t="n">
        <v>564002.6</v>
      </c>
      <c r="E29" s="7" t="n">
        <v>870774.3</v>
      </c>
      <c r="F29" s="7" t="n">
        <v>417179.6</v>
      </c>
      <c r="G29" s="7" t="n">
        <v>756818.3</v>
      </c>
      <c r="H29" s="7" t="n">
        <v>771044.1</v>
      </c>
      <c r="I29" s="7" t="n">
        <v>861717.9</v>
      </c>
      <c r="J29" s="7" t="n">
        <v>876782.1</v>
      </c>
      <c r="K29" s="7" t="n">
        <v>891614.3</v>
      </c>
      <c r="L29" s="7" t="n">
        <v>779725.5</v>
      </c>
      <c r="M29" s="7" t="n">
        <v>769346</v>
      </c>
      <c r="N29" s="7" t="n">
        <v>1366870.7</v>
      </c>
      <c r="O29" s="7" t="n">
        <v>725726.7</v>
      </c>
      <c r="P29" s="7" t="n">
        <v>836575.8</v>
      </c>
      <c r="Q29" s="7" t="n">
        <v>901883</v>
      </c>
      <c r="R29" s="7" t="n">
        <v>1264355.3</v>
      </c>
      <c r="S29" s="7" t="n">
        <v>788623.7</v>
      </c>
      <c r="T29" s="7" t="n">
        <v>979100.5</v>
      </c>
      <c r="U29" s="7" t="n">
        <v>938698.3</v>
      </c>
      <c r="V29" s="7" t="n">
        <v>1089797.8</v>
      </c>
      <c r="W29" s="7" t="n">
        <v>730211.1</v>
      </c>
      <c r="X29" s="7" t="n">
        <v>626212.3</v>
      </c>
      <c r="Y29" s="7" t="n">
        <v>875645.6</v>
      </c>
      <c r="Z29" s="7" t="n">
        <v>421225.8</v>
      </c>
      <c r="AA29" s="8" t="n">
        <v>9940766</v>
      </c>
      <c r="AB29" s="8" t="n">
        <v>9992872.1</v>
      </c>
    </row>
    <row r="30">
      <c r="A30" s="4" t="inlineStr">
        <is>
          <t>职工薪酬</t>
        </is>
      </c>
      <c r="D30" s="7" t="n">
        <v>332148</v>
      </c>
      <c r="F30" s="7" t="n">
        <v>170706.8</v>
      </c>
      <c r="H30" s="7" t="n">
        <v>377210.3</v>
      </c>
      <c r="J30" s="7" t="n">
        <v>470132.1</v>
      </c>
      <c r="L30" s="7" t="n">
        <v>417960.4</v>
      </c>
      <c r="N30" s="7" t="n">
        <v>577528.6</v>
      </c>
      <c r="P30" s="7" t="n">
        <v>336345.7</v>
      </c>
      <c r="R30" s="7" t="n">
        <v>764265.7</v>
      </c>
      <c r="T30" s="7" t="n">
        <v>564066.2</v>
      </c>
      <c r="V30" s="7" t="n">
        <v>605069.3</v>
      </c>
      <c r="X30" s="7" t="n">
        <v>368930.4</v>
      </c>
      <c r="Z30" s="7" t="n">
        <v>158902.7</v>
      </c>
      <c r="AB30" s="7" t="n">
        <v>5143266.2</v>
      </c>
    </row>
    <row r="31">
      <c r="A31" s="4" t="inlineStr">
        <is>
          <t>工资</t>
        </is>
      </c>
      <c r="D31" s="7" t="n">
        <v>201501.7</v>
      </c>
      <c r="F31" s="7" t="n">
        <v>102602.5</v>
      </c>
      <c r="H31" s="7" t="n">
        <v>213801.1</v>
      </c>
      <c r="J31" s="7" t="n">
        <v>303710.4</v>
      </c>
      <c r="L31" s="7" t="n">
        <v>283428.3</v>
      </c>
      <c r="N31" s="7" t="n">
        <v>314690.4</v>
      </c>
      <c r="P31" s="7" t="n">
        <v>183893.5</v>
      </c>
      <c r="R31" s="7" t="n">
        <v>481478.3</v>
      </c>
      <c r="T31" s="7" t="n">
        <v>368936.2</v>
      </c>
      <c r="V31" s="7" t="n">
        <v>399275.1</v>
      </c>
      <c r="X31" s="7" t="n">
        <v>223948.6</v>
      </c>
      <c r="Z31" s="7" t="n">
        <v>89498.7</v>
      </c>
      <c r="AB31" s="7" t="n">
        <v>3166764.8</v>
      </c>
    </row>
    <row r="32">
      <c r="A32" s="4" t="inlineStr">
        <is>
          <t>奖金及提成</t>
        </is>
      </c>
      <c r="D32" s="7" t="n">
        <v>62958.3</v>
      </c>
      <c r="F32" s="7" t="n">
        <v>31987.9</v>
      </c>
      <c r="H32" s="7" t="n">
        <v>74794.10000000001</v>
      </c>
      <c r="J32" s="7" t="n">
        <v>62571.5</v>
      </c>
      <c r="L32" s="7" t="n">
        <v>64359</v>
      </c>
      <c r="N32" s="7" t="n">
        <v>139804</v>
      </c>
      <c r="P32" s="7" t="n">
        <v>68790</v>
      </c>
      <c r="R32" s="7" t="n">
        <v>128200.5</v>
      </c>
      <c r="T32" s="7" t="n">
        <v>83732.2</v>
      </c>
      <c r="V32" s="7" t="n">
        <v>107869.9</v>
      </c>
      <c r="X32" s="7" t="n">
        <v>71260.10000000001</v>
      </c>
      <c r="Z32" s="7" t="n">
        <v>33058.2</v>
      </c>
      <c r="AB32" s="7" t="n">
        <v>929385.7</v>
      </c>
    </row>
    <row r="33">
      <c r="A33" s="4" t="inlineStr">
        <is>
          <t>社保</t>
        </is>
      </c>
      <c r="D33" s="7" t="n">
        <v>50500.9</v>
      </c>
      <c r="F33" s="7" t="n">
        <v>23730.3</v>
      </c>
      <c r="H33" s="7" t="n">
        <v>64755.6</v>
      </c>
      <c r="J33" s="7" t="n">
        <v>77024.7</v>
      </c>
      <c r="L33" s="7" t="n">
        <v>45292</v>
      </c>
      <c r="N33" s="7" t="n">
        <v>87719.39999999999</v>
      </c>
      <c r="P33" s="7" t="n">
        <v>58253</v>
      </c>
      <c r="R33" s="7" t="n">
        <v>118699</v>
      </c>
      <c r="T33" s="7" t="n">
        <v>83872</v>
      </c>
      <c r="V33" s="7" t="n">
        <v>63805.6</v>
      </c>
      <c r="X33" s="7" t="n">
        <v>54748.7</v>
      </c>
      <c r="Z33" s="7" t="n">
        <v>23757.2</v>
      </c>
      <c r="AB33" s="7" t="n">
        <v>752158.4</v>
      </c>
    </row>
    <row r="34">
      <c r="A34" s="4" t="inlineStr">
        <is>
          <t>养老</t>
        </is>
      </c>
      <c r="D34" s="7" t="n">
        <v>1240.1</v>
      </c>
      <c r="F34" s="7" t="n">
        <v>1287.8</v>
      </c>
      <c r="H34" s="7" t="n">
        <v>2153.8</v>
      </c>
      <c r="J34" s="7" t="n">
        <v>2722.9</v>
      </c>
      <c r="L34" s="7" t="n">
        <v>1413.7</v>
      </c>
      <c r="N34" s="7" t="n">
        <v>4251.4</v>
      </c>
      <c r="P34" s="7" t="n">
        <v>2323.1</v>
      </c>
      <c r="R34" s="7" t="n">
        <v>2702.5</v>
      </c>
      <c r="T34" s="7" t="n">
        <v>2316.6</v>
      </c>
      <c r="V34" s="7" t="n">
        <v>3571.6</v>
      </c>
      <c r="X34" s="7" t="n">
        <v>1212.5</v>
      </c>
      <c r="Z34" s="7" t="n">
        <v>954.6</v>
      </c>
      <c r="AB34" s="7" t="n">
        <v>26150.6</v>
      </c>
    </row>
    <row r="35">
      <c r="A35" s="4" t="inlineStr">
        <is>
          <t>医疗</t>
        </is>
      </c>
      <c r="D35" s="7" t="n">
        <v>3266.4</v>
      </c>
      <c r="F35" s="7" t="n">
        <v>1925</v>
      </c>
      <c r="H35" s="7" t="n">
        <v>4384.1</v>
      </c>
      <c r="J35" s="7" t="n">
        <v>4857.8</v>
      </c>
      <c r="L35" s="7" t="n">
        <v>5565.5</v>
      </c>
      <c r="N35" s="7" t="n">
        <v>5538.4</v>
      </c>
      <c r="P35" s="7" t="n">
        <v>4034.2</v>
      </c>
      <c r="R35" s="7" t="n">
        <v>7313.1</v>
      </c>
      <c r="T35" s="7" t="n">
        <v>5009.3</v>
      </c>
      <c r="V35" s="7" t="n">
        <v>5798</v>
      </c>
      <c r="X35" s="7" t="n">
        <v>2826.8</v>
      </c>
      <c r="Z35" s="7" t="n">
        <v>2174</v>
      </c>
      <c r="AB35" s="7" t="n">
        <v>52692.6</v>
      </c>
    </row>
    <row r="36">
      <c r="A36" s="4" t="inlineStr">
        <is>
          <t>工伤</t>
        </is>
      </c>
      <c r="D36" s="7" t="n">
        <v>1399.3</v>
      </c>
      <c r="F36" s="7" t="n">
        <v>810.3</v>
      </c>
      <c r="H36" s="7" t="n">
        <v>2289.8</v>
      </c>
      <c r="J36" s="7" t="n">
        <v>2024.8</v>
      </c>
      <c r="L36" s="7" t="n">
        <v>2136</v>
      </c>
      <c r="N36" s="7" t="n">
        <v>3392.3</v>
      </c>
      <c r="P36" s="7" t="n">
        <v>2369.1</v>
      </c>
      <c r="R36" s="7" t="n">
        <v>3601.1</v>
      </c>
      <c r="T36" s="7" t="n">
        <v>2686.2</v>
      </c>
      <c r="V36" s="7" t="n">
        <v>1804.9</v>
      </c>
      <c r="X36" s="7" t="n">
        <v>1492.7</v>
      </c>
      <c r="Z36" s="7" t="n">
        <v>843.8</v>
      </c>
      <c r="AB36" s="7" t="n">
        <v>24850.3</v>
      </c>
    </row>
    <row r="37">
      <c r="A37" s="4" t="inlineStr">
        <is>
          <t>失业</t>
        </is>
      </c>
      <c r="D37" s="7" t="n">
        <v>694.8</v>
      </c>
      <c r="F37" s="7" t="n">
        <v>454.1</v>
      </c>
      <c r="H37" s="7" t="n">
        <v>577.3</v>
      </c>
      <c r="J37" s="7" t="n">
        <v>810.6</v>
      </c>
      <c r="L37" s="7" t="n">
        <v>990</v>
      </c>
      <c r="N37" s="7" t="n">
        <v>1451.5</v>
      </c>
      <c r="P37" s="7" t="n">
        <v>894.9</v>
      </c>
      <c r="R37" s="7" t="n">
        <v>1052.1</v>
      </c>
      <c r="T37" s="7" t="n">
        <v>822.3</v>
      </c>
      <c r="V37" s="7" t="n">
        <v>858.3</v>
      </c>
      <c r="X37" s="7" t="n">
        <v>798.8</v>
      </c>
      <c r="Z37" s="7" t="n">
        <v>522.1</v>
      </c>
      <c r="AB37" s="7" t="n">
        <v>9926.799999999999</v>
      </c>
    </row>
    <row r="38">
      <c r="A38" s="4" t="inlineStr">
        <is>
          <t>生育</t>
        </is>
      </c>
      <c r="D38" s="7" t="n">
        <v>1248.7</v>
      </c>
      <c r="F38" s="7" t="n">
        <v>742.3</v>
      </c>
      <c r="H38" s="7" t="n">
        <v>1303.8</v>
      </c>
      <c r="J38" s="7" t="n">
        <v>1940.2</v>
      </c>
      <c r="L38" s="7" t="n">
        <v>1986.8</v>
      </c>
      <c r="N38" s="7" t="n">
        <v>3593.5</v>
      </c>
      <c r="P38" s="7" t="n">
        <v>1599.4</v>
      </c>
      <c r="R38" s="7" t="n">
        <v>3066.1</v>
      </c>
      <c r="T38" s="7" t="n">
        <v>2144.3</v>
      </c>
      <c r="V38" s="7" t="n">
        <v>1838.2</v>
      </c>
      <c r="X38" s="7" t="n">
        <v>1754.3</v>
      </c>
      <c r="Z38" s="7" t="n">
        <v>1169.2</v>
      </c>
      <c r="AB38" s="7" t="n">
        <v>22386.8</v>
      </c>
    </row>
    <row r="39">
      <c r="A39" s="4" t="inlineStr">
        <is>
          <t>公积金</t>
        </is>
      </c>
      <c r="D39" s="7" t="n">
        <v>676.3</v>
      </c>
      <c r="F39" s="7" t="n">
        <v>496.5</v>
      </c>
      <c r="H39" s="7" t="n">
        <v>653.5</v>
      </c>
      <c r="J39" s="7" t="n">
        <v>863.2</v>
      </c>
      <c r="L39" s="7" t="n">
        <v>941.9</v>
      </c>
      <c r="N39" s="7" t="n">
        <v>1003.1</v>
      </c>
      <c r="P39" s="7" t="n">
        <v>709.1</v>
      </c>
      <c r="R39" s="7" t="n">
        <v>1477.6</v>
      </c>
      <c r="T39" s="7" t="n">
        <v>1058.9</v>
      </c>
      <c r="V39" s="7" t="n">
        <v>1202.5</v>
      </c>
      <c r="X39" s="7" t="n">
        <v>732</v>
      </c>
      <c r="Z39" s="7" t="n">
        <v>380.3</v>
      </c>
      <c r="AB39" s="7" t="n">
        <v>10194.9</v>
      </c>
    </row>
    <row r="40">
      <c r="A40" s="4" t="inlineStr">
        <is>
          <t>工会经费</t>
        </is>
      </c>
      <c r="D40" s="7" t="n">
        <v>1469</v>
      </c>
      <c r="F40" s="7" t="n">
        <v>1417.8</v>
      </c>
      <c r="H40" s="7" t="n">
        <v>2571</v>
      </c>
      <c r="J40" s="7" t="n">
        <v>2979.1</v>
      </c>
      <c r="L40" s="7" t="n">
        <v>1817.3</v>
      </c>
      <c r="N40" s="7" t="n">
        <v>4303.4</v>
      </c>
      <c r="P40" s="7" t="n">
        <v>1723.7</v>
      </c>
      <c r="R40" s="7" t="n">
        <v>2764.7</v>
      </c>
      <c r="T40" s="7" t="n">
        <v>3056.1</v>
      </c>
      <c r="V40" s="7" t="n">
        <v>3136.4</v>
      </c>
      <c r="X40" s="7" t="n">
        <v>1452.5</v>
      </c>
      <c r="Z40" s="7" t="n">
        <v>1181.6</v>
      </c>
      <c r="AB40" s="7" t="n">
        <v>27872.6</v>
      </c>
    </row>
    <row r="41">
      <c r="A41" s="4" t="inlineStr">
        <is>
          <t>职工教育经费</t>
        </is>
      </c>
      <c r="D41" s="7" t="n">
        <v>716.8</v>
      </c>
      <c r="F41" s="7" t="n">
        <v>702.7</v>
      </c>
      <c r="H41" s="7" t="n">
        <v>1068.9</v>
      </c>
      <c r="J41" s="7" t="n">
        <v>1477.5</v>
      </c>
      <c r="L41" s="7" t="n">
        <v>1164.1</v>
      </c>
      <c r="N41" s="7" t="n">
        <v>2072.6</v>
      </c>
      <c r="P41" s="7" t="n">
        <v>1346.3</v>
      </c>
      <c r="R41" s="7" t="n">
        <v>2158</v>
      </c>
      <c r="T41" s="7" t="n">
        <v>1370.4</v>
      </c>
      <c r="V41" s="7" t="n">
        <v>1998.8</v>
      </c>
      <c r="X41" s="7" t="n">
        <v>943.3</v>
      </c>
      <c r="Z41" s="7" t="n">
        <v>499.1</v>
      </c>
      <c r="AB41" s="7" t="n">
        <v>15518.5</v>
      </c>
    </row>
    <row r="42">
      <c r="A42" s="4" t="inlineStr">
        <is>
          <t>福利费</t>
        </is>
      </c>
      <c r="D42" s="7" t="n">
        <v>14325</v>
      </c>
      <c r="F42" s="7" t="n">
        <v>9769.1</v>
      </c>
      <c r="H42" s="7" t="n">
        <v>19566.1</v>
      </c>
      <c r="J42" s="7" t="n">
        <v>21505.7</v>
      </c>
      <c r="L42" s="7" t="n">
        <v>20957.8</v>
      </c>
      <c r="N42" s="7" t="n">
        <v>27935.7</v>
      </c>
      <c r="P42" s="7" t="n">
        <v>21630.1</v>
      </c>
      <c r="R42" s="7" t="n">
        <v>29487.6</v>
      </c>
      <c r="T42" s="7" t="n">
        <v>22040.4</v>
      </c>
      <c r="V42" s="7" t="n">
        <v>27781</v>
      </c>
      <c r="X42" s="7" t="n">
        <v>15845.2</v>
      </c>
      <c r="Z42" s="7" t="n">
        <v>10527.6</v>
      </c>
      <c r="AB42" s="7" t="n">
        <v>241371.3</v>
      </c>
    </row>
    <row r="43">
      <c r="A43" s="4" t="inlineStr">
        <is>
          <t>职工房租</t>
        </is>
      </c>
      <c r="D43" s="7" t="n">
        <v>3187.6</v>
      </c>
      <c r="F43" s="7" t="n">
        <v>2122.9</v>
      </c>
      <c r="H43" s="7" t="n">
        <v>4272.5</v>
      </c>
      <c r="J43" s="7" t="n">
        <v>4228</v>
      </c>
      <c r="L43" s="7" t="n">
        <v>4180.5</v>
      </c>
      <c r="N43" s="7" t="n">
        <v>5635.6</v>
      </c>
      <c r="P43" s="7" t="n">
        <v>5428.5</v>
      </c>
      <c r="R43" s="7" t="n">
        <v>6673.2</v>
      </c>
      <c r="T43" s="7" t="n">
        <v>4942.3</v>
      </c>
      <c r="V43" s="7" t="n">
        <v>6611.3</v>
      </c>
      <c r="X43" s="7" t="n">
        <v>4078.7</v>
      </c>
      <c r="Z43" s="7" t="n">
        <v>2529.9</v>
      </c>
      <c r="AB43" s="7" t="n">
        <v>53891</v>
      </c>
    </row>
    <row r="44">
      <c r="A44" s="4" t="inlineStr">
        <is>
          <t>水电物业费</t>
        </is>
      </c>
      <c r="D44" s="7" t="n">
        <v>2380.5</v>
      </c>
      <c r="F44" s="7" t="n">
        <v>1684.2</v>
      </c>
      <c r="H44" s="7" t="n">
        <v>2688.5</v>
      </c>
      <c r="J44" s="7" t="n">
        <v>2932.1</v>
      </c>
      <c r="L44" s="7" t="n">
        <v>3212.4</v>
      </c>
      <c r="N44" s="7" t="n">
        <v>3415.2</v>
      </c>
      <c r="P44" s="7" t="n">
        <v>3738.5</v>
      </c>
      <c r="R44" s="7" t="n">
        <v>4403.5</v>
      </c>
      <c r="T44" s="7" t="n">
        <v>3160.9</v>
      </c>
      <c r="V44" s="7" t="n">
        <v>4283</v>
      </c>
      <c r="X44" s="7" t="n">
        <v>2231.4</v>
      </c>
      <c r="Z44" s="7" t="n">
        <v>1464.8</v>
      </c>
      <c r="AB44" s="7" t="n">
        <v>35595</v>
      </c>
    </row>
    <row r="45">
      <c r="A45" s="4" t="inlineStr">
        <is>
          <t>员工餐</t>
        </is>
      </c>
      <c r="D45" s="7" t="n">
        <v>1701.6</v>
      </c>
      <c r="F45" s="7" t="n">
        <v>1509</v>
      </c>
      <c r="H45" s="7" t="n">
        <v>2993.5</v>
      </c>
      <c r="J45" s="7" t="n">
        <v>3200.7</v>
      </c>
      <c r="L45" s="7" t="n">
        <v>3858.3</v>
      </c>
      <c r="N45" s="7" t="n">
        <v>5521.5</v>
      </c>
      <c r="P45" s="7" t="n">
        <v>3298.6</v>
      </c>
      <c r="R45" s="7" t="n">
        <v>5583.5</v>
      </c>
      <c r="T45" s="7" t="n">
        <v>2966.8</v>
      </c>
      <c r="V45" s="7" t="n">
        <v>4552.6</v>
      </c>
      <c r="X45" s="7" t="n">
        <v>2033.8</v>
      </c>
      <c r="Z45" s="7" t="n">
        <v>2086.7</v>
      </c>
      <c r="AB45" s="7" t="n">
        <v>39306.6</v>
      </c>
    </row>
    <row r="46">
      <c r="A46" s="4" t="inlineStr">
        <is>
          <t>节日礼品</t>
        </is>
      </c>
      <c r="D46" s="7" t="n">
        <v>1893.7</v>
      </c>
      <c r="F46" s="7" t="n">
        <v>948.9</v>
      </c>
      <c r="H46" s="7" t="n">
        <v>2665.7</v>
      </c>
      <c r="J46" s="7" t="n">
        <v>3279.2</v>
      </c>
      <c r="L46" s="7" t="n">
        <v>2581.3</v>
      </c>
      <c r="N46" s="7" t="n">
        <v>3162.7</v>
      </c>
      <c r="P46" s="7" t="n">
        <v>2349.4</v>
      </c>
      <c r="R46" s="7" t="n">
        <v>3634.6</v>
      </c>
      <c r="T46" s="7" t="n">
        <v>2341.3</v>
      </c>
      <c r="V46" s="7" t="n">
        <v>3402.9</v>
      </c>
      <c r="X46" s="7" t="n">
        <v>2091.5</v>
      </c>
      <c r="Z46" s="7" t="n">
        <v>1024.5</v>
      </c>
      <c r="AB46" s="7" t="n">
        <v>29375.7</v>
      </c>
    </row>
    <row r="47">
      <c r="A47" s="4" t="inlineStr">
        <is>
          <t>生日礼品</t>
        </is>
      </c>
      <c r="D47" s="7" t="n">
        <v>1429.4</v>
      </c>
      <c r="F47" s="7" t="n">
        <v>1386.9</v>
      </c>
      <c r="H47" s="7" t="n">
        <v>2860.5</v>
      </c>
      <c r="J47" s="7" t="n">
        <v>3079.2</v>
      </c>
      <c r="L47" s="7" t="n">
        <v>2629.4</v>
      </c>
      <c r="N47" s="7" t="n">
        <v>3154.8</v>
      </c>
      <c r="P47" s="7" t="n">
        <v>1916.8</v>
      </c>
      <c r="R47" s="7" t="n">
        <v>3655.3</v>
      </c>
      <c r="T47" s="7" t="n">
        <v>2679.2</v>
      </c>
      <c r="V47" s="7" t="n">
        <v>3295.7</v>
      </c>
      <c r="X47" s="7" t="n">
        <v>1737.2</v>
      </c>
      <c r="Z47" s="7" t="n">
        <v>1475.2</v>
      </c>
      <c r="AB47" s="7" t="n">
        <v>29299.6</v>
      </c>
    </row>
    <row r="48">
      <c r="A48" s="4" t="inlineStr">
        <is>
          <t>体检</t>
        </is>
      </c>
      <c r="D48" s="7" t="n">
        <v>2403</v>
      </c>
      <c r="F48" s="7" t="n">
        <v>1297.8</v>
      </c>
      <c r="H48" s="7" t="n">
        <v>2401.7</v>
      </c>
      <c r="J48" s="7" t="n">
        <v>3415.3</v>
      </c>
      <c r="L48" s="7" t="n">
        <v>3263.2</v>
      </c>
      <c r="N48" s="7" t="n">
        <v>4766.3</v>
      </c>
      <c r="P48" s="7" t="n">
        <v>3075.5</v>
      </c>
      <c r="R48" s="7" t="n">
        <v>3351.5</v>
      </c>
      <c r="T48" s="7" t="n">
        <v>4012</v>
      </c>
      <c r="V48" s="7" t="n">
        <v>2951.9</v>
      </c>
      <c r="X48" s="7" t="n">
        <v>2368.4</v>
      </c>
      <c r="Z48" s="7" t="n">
        <v>1345.1</v>
      </c>
      <c r="AB48" s="7" t="n">
        <v>34651.7</v>
      </c>
    </row>
    <row r="49">
      <c r="A49" s="4" t="inlineStr">
        <is>
          <t>其他福利支出</t>
        </is>
      </c>
      <c r="D49" s="7" t="n">
        <v>1329.2</v>
      </c>
      <c r="F49" s="7" t="n">
        <v>819.4</v>
      </c>
      <c r="H49" s="7" t="n">
        <v>1683.7</v>
      </c>
      <c r="J49" s="7" t="n">
        <v>1371.2</v>
      </c>
      <c r="L49" s="7" t="n">
        <v>1232.7</v>
      </c>
      <c r="N49" s="7" t="n">
        <v>2279.6</v>
      </c>
      <c r="P49" s="7" t="n">
        <v>1822.8</v>
      </c>
      <c r="R49" s="7" t="n">
        <v>2186</v>
      </c>
      <c r="T49" s="7" t="n">
        <v>1937.9</v>
      </c>
      <c r="V49" s="7" t="n">
        <v>2683.6</v>
      </c>
      <c r="X49" s="7" t="n">
        <v>1304.2</v>
      </c>
      <c r="Z49" s="7" t="n">
        <v>601.4</v>
      </c>
      <c r="AB49" s="7" t="n">
        <v>19251.7</v>
      </c>
    </row>
    <row r="50">
      <c r="A50" s="4" t="inlineStr">
        <is>
          <t>招聘费</t>
        </is>
      </c>
      <c r="D50" s="7" t="n">
        <v>2751.1</v>
      </c>
      <c r="F50" s="7" t="n">
        <v>2543.5</v>
      </c>
      <c r="H50" s="7" t="n">
        <v>4397.9</v>
      </c>
      <c r="J50" s="7" t="n">
        <v>4801.4</v>
      </c>
      <c r="L50" s="7" t="n">
        <v>3374.3</v>
      </c>
      <c r="N50" s="7" t="n">
        <v>8386.9</v>
      </c>
      <c r="P50" s="7" t="n">
        <v>4100.6</v>
      </c>
      <c r="R50" s="7" t="n">
        <v>7526.2</v>
      </c>
      <c r="T50" s="7" t="n">
        <v>6074.5</v>
      </c>
      <c r="V50" s="7" t="n">
        <v>6525.8</v>
      </c>
      <c r="X50" s="7" t="n">
        <v>4332</v>
      </c>
      <c r="Z50" s="7" t="n">
        <v>1778.3</v>
      </c>
      <c r="AB50" s="7" t="n">
        <v>56592.5</v>
      </c>
    </row>
    <row r="51">
      <c r="A51" s="4" t="inlineStr">
        <is>
          <t>办公费</t>
        </is>
      </c>
      <c r="D51" s="7" t="n">
        <v>13349.2</v>
      </c>
      <c r="F51" s="7" t="n">
        <v>13666.4</v>
      </c>
      <c r="H51" s="7" t="n">
        <v>16701.6</v>
      </c>
      <c r="J51" s="7" t="n">
        <v>31887.6</v>
      </c>
      <c r="L51" s="7" t="n">
        <v>25735.6</v>
      </c>
      <c r="N51" s="7" t="n">
        <v>49322.5</v>
      </c>
      <c r="P51" s="7" t="n">
        <v>22062.1</v>
      </c>
      <c r="R51" s="7" t="n">
        <v>47497.9</v>
      </c>
      <c r="T51" s="7" t="n">
        <v>21425.2</v>
      </c>
      <c r="V51" s="7" t="n">
        <v>31064.9</v>
      </c>
      <c r="X51" s="7" t="n">
        <v>15159.6</v>
      </c>
      <c r="Z51" s="7" t="n">
        <v>13941.6</v>
      </c>
      <c r="AB51" s="7" t="n">
        <v>301814.2</v>
      </c>
    </row>
    <row r="52">
      <c r="A52" s="4" t="inlineStr">
        <is>
          <t>市内交通费</t>
        </is>
      </c>
      <c r="D52" s="7" t="n">
        <v>2519.7</v>
      </c>
      <c r="F52" s="7" t="n">
        <v>1767</v>
      </c>
      <c r="H52" s="7" t="n">
        <v>3622.3</v>
      </c>
      <c r="J52" s="7" t="n">
        <v>2833.4</v>
      </c>
      <c r="L52" s="7" t="n">
        <v>3040.7</v>
      </c>
      <c r="N52" s="7" t="n">
        <v>5736.8</v>
      </c>
      <c r="P52" s="7" t="n">
        <v>4220.1</v>
      </c>
      <c r="R52" s="7" t="n">
        <v>3829.6</v>
      </c>
      <c r="T52" s="7" t="n">
        <v>3450.9</v>
      </c>
      <c r="V52" s="7" t="n">
        <v>4022.6</v>
      </c>
      <c r="X52" s="7" t="n">
        <v>2327.1</v>
      </c>
      <c r="Z52" s="7" t="n">
        <v>1250.1</v>
      </c>
      <c r="AB52" s="7" t="n">
        <v>38620.3</v>
      </c>
    </row>
    <row r="53">
      <c r="A53" s="4" t="inlineStr">
        <is>
          <t>差旅费</t>
        </is>
      </c>
      <c r="D53" s="7" t="n">
        <v>32364.5</v>
      </c>
      <c r="F53" s="7" t="n">
        <v>25788.8</v>
      </c>
      <c r="H53" s="7" t="n">
        <v>40512.2</v>
      </c>
      <c r="J53" s="7" t="n">
        <v>41071.7</v>
      </c>
      <c r="L53" s="7" t="n">
        <v>52246.5</v>
      </c>
      <c r="N53" s="7" t="n">
        <v>70912</v>
      </c>
      <c r="P53" s="7" t="n">
        <v>51009.3</v>
      </c>
      <c r="R53" s="7" t="n">
        <v>76983.10000000001</v>
      </c>
      <c r="T53" s="7" t="n">
        <v>65648.60000000001</v>
      </c>
      <c r="V53" s="7" t="n">
        <v>69784</v>
      </c>
      <c r="X53" s="7" t="n">
        <v>28765</v>
      </c>
      <c r="Z53" s="7" t="n">
        <v>28757.2</v>
      </c>
      <c r="AB53" s="7" t="n">
        <v>583842.9</v>
      </c>
    </row>
    <row r="54">
      <c r="A54" s="4" t="inlineStr">
        <is>
          <t>交通费</t>
        </is>
      </c>
      <c r="D54" s="7" t="n">
        <v>3006.2</v>
      </c>
      <c r="F54" s="7" t="n">
        <v>1703.8</v>
      </c>
      <c r="H54" s="7" t="n">
        <v>3540.1</v>
      </c>
      <c r="J54" s="7" t="n">
        <v>4557.7</v>
      </c>
      <c r="L54" s="7" t="n">
        <v>4154.2</v>
      </c>
      <c r="N54" s="7" t="n">
        <v>4917.7</v>
      </c>
      <c r="P54" s="7" t="n">
        <v>3675.8</v>
      </c>
      <c r="R54" s="7" t="n">
        <v>4640.6</v>
      </c>
      <c r="T54" s="7" t="n">
        <v>4099.8</v>
      </c>
      <c r="V54" s="7" t="n">
        <v>5829.8</v>
      </c>
      <c r="X54" s="7" t="n">
        <v>2356.3</v>
      </c>
      <c r="Z54" s="7" t="n">
        <v>1351.3</v>
      </c>
      <c r="AB54" s="7" t="n">
        <v>43833.3</v>
      </c>
    </row>
    <row r="55">
      <c r="A55" s="4" t="inlineStr">
        <is>
          <t>住宿费</t>
        </is>
      </c>
      <c r="D55" s="7" t="n">
        <v>2105.4</v>
      </c>
      <c r="F55" s="7" t="n">
        <v>1660.9</v>
      </c>
      <c r="H55" s="7" t="n">
        <v>2831.9</v>
      </c>
      <c r="J55" s="7" t="n">
        <v>2613.5</v>
      </c>
      <c r="L55" s="7" t="n">
        <v>3065.6</v>
      </c>
      <c r="N55" s="7" t="n">
        <v>5674.1</v>
      </c>
      <c r="P55" s="7" t="n">
        <v>3974</v>
      </c>
      <c r="R55" s="7" t="n">
        <v>3269.7</v>
      </c>
      <c r="T55" s="7" t="n">
        <v>2580.6</v>
      </c>
      <c r="V55" s="7" t="n">
        <v>4323.4</v>
      </c>
      <c r="X55" s="7" t="n">
        <v>1780.7</v>
      </c>
      <c r="Z55" s="7" t="n">
        <v>1878.6</v>
      </c>
      <c r="AB55" s="7" t="n">
        <v>35758.4</v>
      </c>
    </row>
    <row r="56">
      <c r="A56" s="4" t="inlineStr">
        <is>
          <t>餐补</t>
        </is>
      </c>
      <c r="D56" s="7" t="n">
        <v>3842.4</v>
      </c>
      <c r="F56" s="7" t="n">
        <v>2074.5</v>
      </c>
      <c r="H56" s="7" t="n">
        <v>3639.5</v>
      </c>
      <c r="J56" s="7" t="n">
        <v>4763.6</v>
      </c>
      <c r="L56" s="7" t="n">
        <v>4425.4</v>
      </c>
      <c r="N56" s="7" t="n">
        <v>5065.2</v>
      </c>
      <c r="P56" s="7" t="n">
        <v>3599.8</v>
      </c>
      <c r="R56" s="7" t="n">
        <v>5760.5</v>
      </c>
      <c r="T56" s="7" t="n">
        <v>6027.3</v>
      </c>
      <c r="V56" s="7" t="n">
        <v>5054.8</v>
      </c>
      <c r="X56" s="7" t="n">
        <v>3296.4</v>
      </c>
      <c r="Z56" s="7" t="n">
        <v>1975.2</v>
      </c>
      <c r="AB56" s="7" t="n">
        <v>49524.6</v>
      </c>
    </row>
    <row r="57">
      <c r="A57" s="4" t="inlineStr">
        <is>
          <t>交通补助</t>
        </is>
      </c>
      <c r="D57" s="7" t="n">
        <v>25.2</v>
      </c>
      <c r="F57" s="7" t="n">
        <v>15.2</v>
      </c>
      <c r="H57" s="7" t="n">
        <v>35.2</v>
      </c>
      <c r="J57" s="7" t="n">
        <v>37.7</v>
      </c>
      <c r="L57" s="7" t="n">
        <v>22.5</v>
      </c>
      <c r="N57" s="7" t="n">
        <v>44.3</v>
      </c>
      <c r="P57" s="7" t="n">
        <v>30.2</v>
      </c>
      <c r="R57" s="7" t="n">
        <v>45.9</v>
      </c>
      <c r="T57" s="7" t="n">
        <v>43.4</v>
      </c>
      <c r="V57" s="7" t="n">
        <v>54.8</v>
      </c>
      <c r="X57" s="7" t="n">
        <v>29.7</v>
      </c>
      <c r="Z57" s="7" t="n">
        <v>18.4</v>
      </c>
      <c r="AB57" s="7" t="n">
        <v>402.5</v>
      </c>
    </row>
    <row r="58">
      <c r="A58" s="4" t="inlineStr">
        <is>
          <t>通讯补助</t>
        </is>
      </c>
      <c r="D58" s="7" t="n">
        <v>1916.7</v>
      </c>
      <c r="F58" s="7" t="n">
        <v>1627</v>
      </c>
      <c r="H58" s="7" t="n">
        <v>2488.5</v>
      </c>
      <c r="J58" s="7" t="n">
        <v>2494.4</v>
      </c>
      <c r="L58" s="7" t="n">
        <v>2881.4</v>
      </c>
      <c r="N58" s="7" t="n">
        <v>4092.9</v>
      </c>
      <c r="P58" s="7" t="n">
        <v>3025.8</v>
      </c>
      <c r="R58" s="7" t="n">
        <v>4794.7</v>
      </c>
      <c r="T58" s="7" t="n">
        <v>2719.2</v>
      </c>
      <c r="V58" s="7" t="n">
        <v>3905.3</v>
      </c>
      <c r="X58" s="7" t="n">
        <v>1758.3</v>
      </c>
      <c r="Z58" s="7" t="n">
        <v>1358.6</v>
      </c>
      <c r="AB58" s="7" t="n">
        <v>33062.8</v>
      </c>
    </row>
    <row r="59">
      <c r="A59" s="4" t="inlineStr">
        <is>
          <t>招待费</t>
        </is>
      </c>
      <c r="D59" s="7" t="n">
        <v>18611.1</v>
      </c>
      <c r="F59" s="7" t="n">
        <v>18544.4</v>
      </c>
      <c r="H59" s="7" t="n">
        <v>36384.7</v>
      </c>
      <c r="J59" s="7" t="n">
        <v>43236.5</v>
      </c>
      <c r="L59" s="7" t="n">
        <v>28449.3</v>
      </c>
      <c r="N59" s="7" t="n">
        <v>70080.39999999999</v>
      </c>
      <c r="P59" s="7" t="n">
        <v>29055.1</v>
      </c>
      <c r="R59" s="7" t="n">
        <v>36347.9</v>
      </c>
      <c r="T59" s="7" t="n">
        <v>50528.3</v>
      </c>
      <c r="V59" s="7" t="n">
        <v>46900.8</v>
      </c>
      <c r="X59" s="7" t="n">
        <v>30194.5</v>
      </c>
      <c r="Z59" s="7" t="n">
        <v>17566.6</v>
      </c>
      <c r="AB59" s="7" t="n">
        <v>425899.6</v>
      </c>
    </row>
    <row r="60">
      <c r="A60" s="4" t="inlineStr">
        <is>
          <t>通讯费</t>
        </is>
      </c>
      <c r="D60" s="7" t="n">
        <v>1523.1</v>
      </c>
      <c r="F60" s="7" t="n">
        <v>1298.8</v>
      </c>
      <c r="H60" s="7" t="n">
        <v>2266.9</v>
      </c>
      <c r="J60" s="7" t="n">
        <v>2515.6</v>
      </c>
      <c r="L60" s="7" t="n">
        <v>1770.1</v>
      </c>
      <c r="N60" s="7" t="n">
        <v>2510.5</v>
      </c>
      <c r="P60" s="7" t="n">
        <v>2026.6</v>
      </c>
      <c r="R60" s="7" t="n">
        <v>3224.1</v>
      </c>
      <c r="T60" s="7" t="n">
        <v>2107.4</v>
      </c>
      <c r="V60" s="7" t="n">
        <v>2703.6</v>
      </c>
      <c r="X60" s="7" t="n">
        <v>2032.3</v>
      </c>
      <c r="Z60" s="7" t="n">
        <v>892.8</v>
      </c>
      <c r="AB60" s="7" t="n">
        <v>24871.8</v>
      </c>
    </row>
    <row r="61">
      <c r="A61" s="4" t="inlineStr">
        <is>
          <t>网络费</t>
        </is>
      </c>
      <c r="D61" s="7" t="n">
        <v>858</v>
      </c>
      <c r="F61" s="7" t="n">
        <v>968.4</v>
      </c>
      <c r="H61" s="7" t="n">
        <v>1783.3</v>
      </c>
      <c r="J61" s="7" t="n">
        <v>2169.2</v>
      </c>
      <c r="L61" s="7" t="n">
        <v>1493.6</v>
      </c>
      <c r="N61" s="7" t="n">
        <v>1937.3</v>
      </c>
      <c r="P61" s="7" t="n">
        <v>1641.2</v>
      </c>
      <c r="R61" s="7" t="n">
        <v>2506.6</v>
      </c>
      <c r="T61" s="7" t="n">
        <v>1580.2</v>
      </c>
      <c r="V61" s="7" t="n">
        <v>2709.6</v>
      </c>
      <c r="X61" s="7" t="n">
        <v>1414.5</v>
      </c>
      <c r="Z61" s="7" t="n">
        <v>846.9</v>
      </c>
      <c r="AB61" s="7" t="n">
        <v>19908.8</v>
      </c>
    </row>
    <row r="62">
      <c r="A62" s="4" t="inlineStr">
        <is>
          <t>修理费</t>
        </is>
      </c>
      <c r="D62" s="7" t="n">
        <v>2254.4</v>
      </c>
      <c r="F62" s="7" t="n">
        <v>2594.8</v>
      </c>
      <c r="H62" s="7" t="n">
        <v>4679</v>
      </c>
      <c r="J62" s="7" t="n">
        <v>5630.7</v>
      </c>
      <c r="L62" s="7" t="n">
        <v>4385.7</v>
      </c>
      <c r="N62" s="7" t="n">
        <v>5419.3</v>
      </c>
      <c r="P62" s="7" t="n">
        <v>4827.6</v>
      </c>
      <c r="R62" s="7" t="n">
        <v>6273.1</v>
      </c>
      <c r="T62" s="7" t="n">
        <v>5617.5</v>
      </c>
      <c r="V62" s="7" t="n">
        <v>5616.4</v>
      </c>
      <c r="X62" s="7" t="n">
        <v>2237.1</v>
      </c>
      <c r="Z62" s="7" t="n">
        <v>2697.8</v>
      </c>
      <c r="AB62" s="7" t="n">
        <v>52233.4</v>
      </c>
    </row>
    <row r="63">
      <c r="A63" s="4" t="inlineStr">
        <is>
          <t>车辆费</t>
        </is>
      </c>
      <c r="D63" s="7" t="n">
        <v>2684.7</v>
      </c>
      <c r="F63" s="7" t="n">
        <v>1413.8</v>
      </c>
      <c r="H63" s="7" t="n">
        <v>3404.7</v>
      </c>
      <c r="J63" s="7" t="n">
        <v>2874.4</v>
      </c>
      <c r="L63" s="7" t="n">
        <v>3556.2</v>
      </c>
      <c r="N63" s="7" t="n">
        <v>6745.5</v>
      </c>
      <c r="P63" s="7" t="n">
        <v>3344.9</v>
      </c>
      <c r="R63" s="7" t="n">
        <v>5961.3</v>
      </c>
      <c r="T63" s="7" t="n">
        <v>3913.9</v>
      </c>
      <c r="V63" s="7" t="n">
        <v>6065</v>
      </c>
      <c r="X63" s="7" t="n">
        <v>2518</v>
      </c>
      <c r="Z63" s="7" t="n">
        <v>1547.7</v>
      </c>
      <c r="AB63" s="7" t="n">
        <v>44030.1</v>
      </c>
    </row>
    <row r="64">
      <c r="A64" s="4" t="inlineStr">
        <is>
          <t>租赁费</t>
        </is>
      </c>
      <c r="D64" s="7" t="n">
        <v>24421</v>
      </c>
      <c r="F64" s="7" t="n">
        <v>18595.6</v>
      </c>
      <c r="H64" s="7" t="n">
        <v>37190.1</v>
      </c>
      <c r="J64" s="7" t="n">
        <v>33782</v>
      </c>
      <c r="L64" s="7" t="n">
        <v>30783.3</v>
      </c>
      <c r="N64" s="7" t="n">
        <v>59061.3</v>
      </c>
      <c r="P64" s="7" t="n">
        <v>29663.1</v>
      </c>
      <c r="R64" s="7" t="n">
        <v>67881.10000000001</v>
      </c>
      <c r="T64" s="7" t="n">
        <v>49368</v>
      </c>
      <c r="V64" s="7" t="n">
        <v>44896.8</v>
      </c>
      <c r="X64" s="7" t="n">
        <v>28498.6</v>
      </c>
      <c r="Z64" s="7" t="n">
        <v>18767.5</v>
      </c>
      <c r="AB64" s="7" t="n">
        <v>442908.4</v>
      </c>
    </row>
    <row r="65">
      <c r="A65" s="4" t="inlineStr">
        <is>
          <t>能源费</t>
        </is>
      </c>
      <c r="D65" s="7" t="n">
        <v>8485.1</v>
      </c>
      <c r="F65" s="7" t="n">
        <v>6163.2</v>
      </c>
      <c r="H65" s="7" t="n">
        <v>8865.4</v>
      </c>
      <c r="J65" s="7" t="n">
        <v>13267.2</v>
      </c>
      <c r="L65" s="7" t="n">
        <v>12441.4</v>
      </c>
      <c r="N65" s="7" t="n">
        <v>19959.9</v>
      </c>
      <c r="P65" s="7" t="n">
        <v>12161.4</v>
      </c>
      <c r="R65" s="7" t="n">
        <v>17844.3</v>
      </c>
      <c r="T65" s="7" t="n">
        <v>12710.4</v>
      </c>
      <c r="V65" s="7" t="n">
        <v>14554.4</v>
      </c>
      <c r="X65" s="7" t="n">
        <v>7478.6</v>
      </c>
      <c r="Z65" s="7" t="n">
        <v>5165.8</v>
      </c>
      <c r="AB65" s="7" t="n">
        <v>139097.1</v>
      </c>
    </row>
    <row r="66">
      <c r="A66" s="4" t="inlineStr">
        <is>
          <t>水费</t>
        </is>
      </c>
      <c r="D66" s="7" t="n">
        <v>190.2</v>
      </c>
      <c r="F66" s="7" t="n">
        <v>118.8</v>
      </c>
      <c r="H66" s="7" t="n">
        <v>287.7</v>
      </c>
      <c r="J66" s="7" t="n">
        <v>326.5</v>
      </c>
      <c r="L66" s="7" t="n">
        <v>330.6</v>
      </c>
      <c r="N66" s="7" t="n">
        <v>539.9</v>
      </c>
      <c r="P66" s="7" t="n">
        <v>315.7</v>
      </c>
      <c r="R66" s="7" t="n">
        <v>395.9</v>
      </c>
      <c r="T66" s="7" t="n">
        <v>411.2</v>
      </c>
      <c r="V66" s="7" t="n">
        <v>433.6</v>
      </c>
      <c r="X66" s="7" t="n">
        <v>243.6</v>
      </c>
      <c r="Z66" s="7" t="n">
        <v>151.6</v>
      </c>
      <c r="AB66" s="7" t="n">
        <v>3745.3</v>
      </c>
    </row>
    <row r="67">
      <c r="A67" s="4" t="inlineStr">
        <is>
          <t>电费</t>
        </is>
      </c>
      <c r="D67" s="7" t="n">
        <v>4153.6</v>
      </c>
      <c r="F67" s="7" t="n">
        <v>2608.8</v>
      </c>
      <c r="H67" s="7" t="n">
        <v>3835.4</v>
      </c>
      <c r="J67" s="7" t="n">
        <v>6648.9</v>
      </c>
      <c r="L67" s="7" t="n">
        <v>6232</v>
      </c>
      <c r="N67" s="7" t="n">
        <v>8561.1</v>
      </c>
      <c r="P67" s="7" t="n">
        <v>5199</v>
      </c>
      <c r="R67" s="7" t="n">
        <v>8966.200000000001</v>
      </c>
      <c r="T67" s="7" t="n">
        <v>7039.8</v>
      </c>
      <c r="V67" s="7" t="n">
        <v>6813.7</v>
      </c>
      <c r="X67" s="7" t="n">
        <v>3354.6</v>
      </c>
      <c r="Z67" s="7" t="n">
        <v>2243.7</v>
      </c>
      <c r="AB67" s="7" t="n">
        <v>65656.8</v>
      </c>
    </row>
    <row r="68">
      <c r="A68" s="4" t="inlineStr">
        <is>
          <t>燃气费</t>
        </is>
      </c>
      <c r="D68" s="7" t="n">
        <v>3408.1</v>
      </c>
      <c r="F68" s="7" t="n">
        <v>2939.1</v>
      </c>
      <c r="H68" s="7" t="n">
        <v>4071.8</v>
      </c>
      <c r="J68" s="7" t="n">
        <v>5543.7</v>
      </c>
      <c r="L68" s="7" t="n">
        <v>4839.1</v>
      </c>
      <c r="N68" s="7" t="n">
        <v>9055.4</v>
      </c>
      <c r="P68" s="7" t="n">
        <v>5807.6</v>
      </c>
      <c r="R68" s="7" t="n">
        <v>6939.1</v>
      </c>
      <c r="T68" s="7" t="n">
        <v>3970.4</v>
      </c>
      <c r="V68" s="7" t="n">
        <v>6062.5</v>
      </c>
      <c r="X68" s="7" t="n">
        <v>3220.8</v>
      </c>
      <c r="Z68" s="7" t="n">
        <v>2323.2</v>
      </c>
      <c r="AB68" s="7" t="n">
        <v>58180.8</v>
      </c>
    </row>
    <row r="69">
      <c r="A69" s="4" t="inlineStr">
        <is>
          <t>蒸汽费</t>
        </is>
      </c>
      <c r="D69" s="7" t="n">
        <v>733.2</v>
      </c>
      <c r="F69" s="7" t="n">
        <v>496.5</v>
      </c>
      <c r="H69" s="7" t="n">
        <v>670.5</v>
      </c>
      <c r="J69" s="7" t="n">
        <v>748.1</v>
      </c>
      <c r="L69" s="7" t="n">
        <v>1039.7</v>
      </c>
      <c r="N69" s="7" t="n">
        <v>1803.5</v>
      </c>
      <c r="P69" s="7" t="n">
        <v>839.1</v>
      </c>
      <c r="R69" s="7" t="n">
        <v>1543.1</v>
      </c>
      <c r="T69" s="7" t="n">
        <v>1289</v>
      </c>
      <c r="V69" s="7" t="n">
        <v>1244.6</v>
      </c>
      <c r="X69" s="7" t="n">
        <v>659.6</v>
      </c>
      <c r="Z69" s="7" t="n">
        <v>447.3</v>
      </c>
      <c r="AB69" s="7" t="n">
        <v>11514.2</v>
      </c>
    </row>
    <row r="70">
      <c r="A70" s="4" t="inlineStr">
        <is>
          <t>物业费</t>
        </is>
      </c>
      <c r="D70" s="7" t="n">
        <v>2362.3</v>
      </c>
      <c r="F70" s="7" t="n">
        <v>2181.4</v>
      </c>
      <c r="H70" s="7" t="n">
        <v>2920.3</v>
      </c>
      <c r="J70" s="7" t="n">
        <v>3228.5</v>
      </c>
      <c r="L70" s="7" t="n">
        <v>3772.4</v>
      </c>
      <c r="N70" s="7" t="n">
        <v>5868.7</v>
      </c>
      <c r="P70" s="7" t="n">
        <v>3987</v>
      </c>
      <c r="R70" s="7" t="n">
        <v>4947.9</v>
      </c>
      <c r="T70" s="7" t="n">
        <v>4673.4</v>
      </c>
      <c r="V70" s="7" t="n">
        <v>4555.4</v>
      </c>
      <c r="X70" s="7" t="n">
        <v>2145.9</v>
      </c>
      <c r="Z70" s="7" t="n">
        <v>1882.3</v>
      </c>
      <c r="AB70" s="7" t="n">
        <v>42525.5</v>
      </c>
    </row>
    <row r="71">
      <c r="A71" s="4" t="inlineStr">
        <is>
          <t>劳动保护费</t>
        </is>
      </c>
      <c r="D71" s="7" t="n">
        <v>362.6</v>
      </c>
      <c r="F71" s="7" t="n">
        <v>222.6</v>
      </c>
      <c r="H71" s="7" t="n">
        <v>390.7</v>
      </c>
      <c r="J71" s="7" t="n">
        <v>472.6</v>
      </c>
      <c r="L71" s="7" t="n">
        <v>389.4</v>
      </c>
      <c r="N71" s="7" t="n">
        <v>721.3</v>
      </c>
      <c r="P71" s="7" t="n">
        <v>509.9</v>
      </c>
      <c r="R71" s="7" t="n">
        <v>520.3</v>
      </c>
      <c r="T71" s="7" t="n">
        <v>636.9</v>
      </c>
      <c r="V71" s="7" t="n">
        <v>412.9</v>
      </c>
      <c r="X71" s="7" t="n">
        <v>244.8</v>
      </c>
      <c r="Z71" s="7" t="n">
        <v>255.7</v>
      </c>
      <c r="AB71" s="7" t="n">
        <v>5139.7</v>
      </c>
    </row>
    <row r="72">
      <c r="A72" s="4" t="inlineStr">
        <is>
          <t>顾问费</t>
        </is>
      </c>
      <c r="D72" s="7" t="n">
        <v>2645.5</v>
      </c>
      <c r="F72" s="7" t="n">
        <v>2102.9</v>
      </c>
      <c r="H72" s="7" t="n">
        <v>4274.7</v>
      </c>
      <c r="J72" s="7" t="n">
        <v>3345.2</v>
      </c>
      <c r="L72" s="7" t="n">
        <v>4694</v>
      </c>
      <c r="N72" s="7" t="n">
        <v>8520</v>
      </c>
      <c r="P72" s="7" t="n">
        <v>5255.2</v>
      </c>
      <c r="R72" s="7" t="n">
        <v>6917.4</v>
      </c>
      <c r="T72" s="7" t="n">
        <v>3467.1</v>
      </c>
      <c r="V72" s="7" t="n">
        <v>4343.8</v>
      </c>
      <c r="X72" s="7" t="n">
        <v>2500.7</v>
      </c>
      <c r="Z72" s="7" t="n">
        <v>2170.5</v>
      </c>
      <c r="AB72" s="7" t="n">
        <v>50237</v>
      </c>
    </row>
    <row r="73">
      <c r="A73" s="4" t="inlineStr">
        <is>
          <t>快递费</t>
        </is>
      </c>
      <c r="D73" s="7" t="n">
        <v>1509.7</v>
      </c>
      <c r="F73" s="7" t="n">
        <v>872</v>
      </c>
      <c r="H73" s="7" t="n">
        <v>2186.5</v>
      </c>
      <c r="J73" s="7" t="n">
        <v>1995.4</v>
      </c>
      <c r="L73" s="7" t="n">
        <v>2078</v>
      </c>
      <c r="N73" s="7" t="n">
        <v>4362</v>
      </c>
      <c r="P73" s="7" t="n">
        <v>1888.5</v>
      </c>
      <c r="R73" s="7" t="n">
        <v>4093.3</v>
      </c>
      <c r="T73" s="7" t="n">
        <v>2405.8</v>
      </c>
      <c r="V73" s="7" t="n">
        <v>3593.8</v>
      </c>
      <c r="X73" s="7" t="n">
        <v>1451.8</v>
      </c>
      <c r="Z73" s="7" t="n">
        <v>811.7</v>
      </c>
      <c r="AB73" s="7" t="n">
        <v>27248.5</v>
      </c>
    </row>
    <row r="74">
      <c r="A74" s="4" t="inlineStr">
        <is>
          <t>诉讼费</t>
        </is>
      </c>
      <c r="D74" s="7" t="n">
        <v>38.8</v>
      </c>
      <c r="F74" s="7" t="n">
        <v>20.9</v>
      </c>
      <c r="H74" s="7" t="n">
        <v>31.9</v>
      </c>
      <c r="J74" s="7" t="n">
        <v>40.9</v>
      </c>
      <c r="L74" s="7" t="n">
        <v>38.3</v>
      </c>
      <c r="N74" s="7" t="n">
        <v>74.90000000000001</v>
      </c>
      <c r="P74" s="7" t="n">
        <v>32.6</v>
      </c>
      <c r="R74" s="7" t="n">
        <v>75.5</v>
      </c>
      <c r="T74" s="7" t="n">
        <v>62.2</v>
      </c>
      <c r="V74" s="7" t="n">
        <v>53.1</v>
      </c>
      <c r="X74" s="7" t="n">
        <v>40.6</v>
      </c>
      <c r="Z74" s="7" t="n">
        <v>27.3</v>
      </c>
      <c r="AB74" s="7" t="n">
        <v>537</v>
      </c>
    </row>
    <row r="75">
      <c r="A75" s="4" t="inlineStr">
        <is>
          <t>会员费</t>
        </is>
      </c>
      <c r="D75" s="7" t="n">
        <v>975.6</v>
      </c>
      <c r="F75" s="7" t="n">
        <v>602.7</v>
      </c>
      <c r="H75" s="7" t="n">
        <v>1059.6</v>
      </c>
      <c r="J75" s="7" t="n">
        <v>1257.4</v>
      </c>
      <c r="L75" s="7" t="n">
        <v>1117.3</v>
      </c>
      <c r="N75" s="7" t="n">
        <v>2165.6</v>
      </c>
      <c r="P75" s="7" t="n">
        <v>1416.3</v>
      </c>
      <c r="R75" s="7" t="n">
        <v>1920.9</v>
      </c>
      <c r="T75" s="7" t="n">
        <v>1227.8</v>
      </c>
      <c r="V75" s="7" t="n">
        <v>1564.7</v>
      </c>
      <c r="X75" s="7" t="n">
        <v>1212</v>
      </c>
      <c r="Z75" s="7" t="n">
        <v>782.3</v>
      </c>
      <c r="AB75" s="7" t="n">
        <v>15302.2</v>
      </c>
    </row>
    <row r="76">
      <c r="A76" s="4" t="inlineStr">
        <is>
          <t>广告宣传费</t>
        </is>
      </c>
      <c r="D76" s="7" t="n">
        <v>13410.2</v>
      </c>
      <c r="F76" s="7" t="n">
        <v>16250.9</v>
      </c>
      <c r="H76" s="7" t="n">
        <v>25491.6</v>
      </c>
      <c r="J76" s="7" t="n">
        <v>20531.6</v>
      </c>
      <c r="L76" s="7" t="n">
        <v>17381.2</v>
      </c>
      <c r="N76" s="7" t="n">
        <v>29090.8</v>
      </c>
      <c r="P76" s="7" t="n">
        <v>28430.3</v>
      </c>
      <c r="R76" s="7" t="n">
        <v>37628</v>
      </c>
      <c r="T76" s="7" t="n">
        <v>28258</v>
      </c>
      <c r="V76" s="7" t="n">
        <v>42310.2</v>
      </c>
      <c r="X76" s="7" t="n">
        <v>14104.8</v>
      </c>
      <c r="Z76" s="7" t="n">
        <v>13715.3</v>
      </c>
      <c r="AB76" s="7" t="n">
        <v>286602.9</v>
      </c>
    </row>
    <row r="77">
      <c r="A77" s="4" t="inlineStr">
        <is>
          <t>会务费</t>
        </is>
      </c>
      <c r="D77" s="7" t="n">
        <v>1497.4</v>
      </c>
      <c r="F77" s="7" t="n">
        <v>1334.8</v>
      </c>
      <c r="H77" s="7" t="n">
        <v>2234.3</v>
      </c>
      <c r="J77" s="7" t="n">
        <v>2284.3</v>
      </c>
      <c r="L77" s="7" t="n">
        <v>1717.8</v>
      </c>
      <c r="N77" s="7" t="n">
        <v>3748.4</v>
      </c>
      <c r="P77" s="7" t="n">
        <v>2352.5</v>
      </c>
      <c r="R77" s="7" t="n">
        <v>3344.5</v>
      </c>
      <c r="T77" s="7" t="n">
        <v>2438.1</v>
      </c>
      <c r="V77" s="7" t="n">
        <v>2411.5</v>
      </c>
      <c r="X77" s="7" t="n">
        <v>1814.8</v>
      </c>
      <c r="Z77" s="7" t="n">
        <v>1202.4</v>
      </c>
      <c r="AB77" s="7" t="n">
        <v>26380.8</v>
      </c>
    </row>
    <row r="78">
      <c r="A78" s="4" t="inlineStr">
        <is>
          <t>装修费</t>
        </is>
      </c>
      <c r="D78" s="7" t="n">
        <v>2637.1</v>
      </c>
      <c r="F78" s="7" t="n">
        <v>2318.9</v>
      </c>
      <c r="H78" s="7" t="n">
        <v>4052.4</v>
      </c>
      <c r="J78" s="7" t="n">
        <v>5003.5</v>
      </c>
      <c r="L78" s="7" t="n">
        <v>3984.1</v>
      </c>
      <c r="N78" s="7" t="n">
        <v>9767.799999999999</v>
      </c>
      <c r="P78" s="7" t="n">
        <v>4835.3</v>
      </c>
      <c r="R78" s="7" t="n">
        <v>7883.8</v>
      </c>
      <c r="T78" s="7" t="n">
        <v>4174.9</v>
      </c>
      <c r="V78" s="7" t="n">
        <v>5984.4</v>
      </c>
      <c r="X78" s="7" t="n">
        <v>3874.7</v>
      </c>
      <c r="Z78" s="7" t="n">
        <v>1836.7</v>
      </c>
      <c r="AB78" s="7" t="n">
        <v>56353.6</v>
      </c>
    </row>
    <row r="79">
      <c r="A79" s="4" t="inlineStr">
        <is>
          <t>推广费</t>
        </is>
      </c>
      <c r="D79" s="7" t="n">
        <v>3489.3</v>
      </c>
      <c r="F79" s="7" t="n">
        <v>2581.1</v>
      </c>
      <c r="H79" s="7" t="n">
        <v>4316.1</v>
      </c>
      <c r="J79" s="7" t="n">
        <v>4116</v>
      </c>
      <c r="L79" s="7" t="n">
        <v>2792.9</v>
      </c>
      <c r="N79" s="7" t="n">
        <v>8088.1</v>
      </c>
      <c r="P79" s="7" t="n">
        <v>3021.1</v>
      </c>
      <c r="R79" s="7" t="n">
        <v>5962.8</v>
      </c>
      <c r="T79" s="7" t="n">
        <v>5376</v>
      </c>
      <c r="V79" s="7" t="n">
        <v>6669.6</v>
      </c>
      <c r="X79" s="7" t="n">
        <v>2242.7</v>
      </c>
      <c r="Z79" s="7" t="n">
        <v>2182</v>
      </c>
      <c r="AB79" s="7" t="n">
        <v>50837.7</v>
      </c>
    </row>
    <row r="80">
      <c r="A80" s="4" t="inlineStr">
        <is>
          <t>展会费</t>
        </is>
      </c>
      <c r="D80" s="7" t="n">
        <v>2619.6</v>
      </c>
      <c r="F80" s="7" t="n">
        <v>1597.4</v>
      </c>
      <c r="H80" s="7" t="n">
        <v>3656.4</v>
      </c>
      <c r="J80" s="7" t="n">
        <v>5355.4</v>
      </c>
      <c r="L80" s="7" t="n">
        <v>4004.4</v>
      </c>
      <c r="N80" s="7" t="n">
        <v>7207.8</v>
      </c>
      <c r="P80" s="7" t="n">
        <v>4297.3</v>
      </c>
      <c r="R80" s="7" t="n">
        <v>7545.2</v>
      </c>
      <c r="T80" s="7" t="n">
        <v>4881.2</v>
      </c>
      <c r="V80" s="7" t="n">
        <v>7279.5</v>
      </c>
      <c r="X80" s="7" t="n">
        <v>3863.6</v>
      </c>
      <c r="Z80" s="7" t="n">
        <v>1925.6</v>
      </c>
      <c r="AB80" s="7" t="n">
        <v>54233.4</v>
      </c>
    </row>
    <row r="81">
      <c r="A81" s="4" t="inlineStr">
        <is>
          <t>设计费</t>
        </is>
      </c>
      <c r="D81" s="7" t="n">
        <v>163.8</v>
      </c>
      <c r="F81" s="7" t="n">
        <v>111.1</v>
      </c>
      <c r="H81" s="7" t="n">
        <v>202.9</v>
      </c>
      <c r="J81" s="7" t="n">
        <v>210.9</v>
      </c>
      <c r="L81" s="7" t="n">
        <v>133.1</v>
      </c>
      <c r="N81" s="7" t="n">
        <v>311.5</v>
      </c>
      <c r="P81" s="7" t="n">
        <v>155.3</v>
      </c>
      <c r="R81" s="7" t="n">
        <v>214.1</v>
      </c>
      <c r="T81" s="7" t="n">
        <v>293.5</v>
      </c>
      <c r="V81" s="7" t="n">
        <v>299.2</v>
      </c>
      <c r="X81" s="7" t="n">
        <v>155.9</v>
      </c>
      <c r="Z81" s="7" t="n">
        <v>85.09999999999999</v>
      </c>
      <c r="AB81" s="7" t="n">
        <v>2336.4</v>
      </c>
    </row>
    <row r="82">
      <c r="A82" s="4" t="inlineStr">
        <is>
          <t>折旧费</t>
        </is>
      </c>
      <c r="D82" s="7" t="n">
        <v>16908.9</v>
      </c>
      <c r="F82" s="7" t="n">
        <v>16743.2</v>
      </c>
      <c r="H82" s="7" t="n">
        <v>37345.3</v>
      </c>
      <c r="J82" s="7" t="n">
        <v>30396.6</v>
      </c>
      <c r="L82" s="7" t="n">
        <v>24312.6</v>
      </c>
      <c r="N82" s="7" t="n">
        <v>47489.6</v>
      </c>
      <c r="P82" s="7" t="n">
        <v>40648</v>
      </c>
      <c r="R82" s="7" t="n">
        <v>35832.9</v>
      </c>
      <c r="T82" s="7" t="n">
        <v>30036</v>
      </c>
      <c r="V82" s="7" t="n">
        <v>35081.4</v>
      </c>
      <c r="X82" s="7" t="n">
        <v>26427.7</v>
      </c>
      <c r="Z82" s="7" t="n">
        <v>13322.2</v>
      </c>
      <c r="AB82" s="7" t="n">
        <v>354544.4</v>
      </c>
    </row>
    <row r="83">
      <c r="A83" s="4" t="inlineStr">
        <is>
          <t>认证费</t>
        </is>
      </c>
      <c r="D83" s="7" t="n">
        <v>1957</v>
      </c>
      <c r="F83" s="7" t="n">
        <v>1046.8</v>
      </c>
      <c r="H83" s="7" t="n">
        <v>2530.3</v>
      </c>
      <c r="J83" s="7" t="n">
        <v>2544.7</v>
      </c>
      <c r="L83" s="7" t="n">
        <v>2693.9</v>
      </c>
      <c r="N83" s="7" t="n">
        <v>4873</v>
      </c>
      <c r="P83" s="7" t="n">
        <v>2219.2</v>
      </c>
      <c r="R83" s="7" t="n">
        <v>2779.7</v>
      </c>
      <c r="T83" s="7" t="n">
        <v>2257</v>
      </c>
      <c r="V83" s="7" t="n">
        <v>4022.9</v>
      </c>
      <c r="X83" s="7" t="n">
        <v>1453.5</v>
      </c>
      <c r="Z83" s="7" t="n">
        <v>1230.7</v>
      </c>
      <c r="AB83" s="7" t="n">
        <v>29608.7</v>
      </c>
    </row>
    <row r="84">
      <c r="A84" s="4" t="inlineStr">
        <is>
          <t>样品费</t>
        </is>
      </c>
      <c r="D84" s="7" t="n">
        <v>14620.7</v>
      </c>
      <c r="F84" s="7" t="n">
        <v>9697.1</v>
      </c>
      <c r="H84" s="7" t="n">
        <v>12996.2</v>
      </c>
      <c r="J84" s="7" t="n">
        <v>16906.3</v>
      </c>
      <c r="L84" s="7" t="n">
        <v>16881.8</v>
      </c>
      <c r="N84" s="7" t="n">
        <v>22594.8</v>
      </c>
      <c r="P84" s="7" t="n">
        <v>19084.2</v>
      </c>
      <c r="R84" s="7" t="n">
        <v>22936.6</v>
      </c>
      <c r="T84" s="7" t="n">
        <v>21253.5</v>
      </c>
      <c r="V84" s="7" t="n">
        <v>25137.1</v>
      </c>
      <c r="X84" s="7" t="n">
        <v>9638.6</v>
      </c>
      <c r="Z84" s="7" t="n">
        <v>6744.3</v>
      </c>
      <c r="AB84" s="7" t="n">
        <v>198491.2</v>
      </c>
    </row>
    <row r="85">
      <c r="A85" s="4" t="inlineStr">
        <is>
          <t>劳务费</t>
        </is>
      </c>
      <c r="D85" s="7" t="n">
        <v>1299</v>
      </c>
      <c r="F85" s="7" t="n">
        <v>1251.9</v>
      </c>
      <c r="H85" s="7" t="n">
        <v>2321.4</v>
      </c>
      <c r="J85" s="7" t="n">
        <v>2337.3</v>
      </c>
      <c r="L85" s="7" t="n">
        <v>1891.7</v>
      </c>
      <c r="N85" s="7" t="n">
        <v>4014.9</v>
      </c>
      <c r="P85" s="7" t="n">
        <v>2154.1</v>
      </c>
      <c r="R85" s="7" t="n">
        <v>2602.1</v>
      </c>
      <c r="T85" s="7" t="n">
        <v>3128.8</v>
      </c>
      <c r="V85" s="7" t="n">
        <v>2014.9</v>
      </c>
      <c r="X85" s="7" t="n">
        <v>2057.1</v>
      </c>
      <c r="Z85" s="7" t="n">
        <v>1067.6</v>
      </c>
      <c r="AB85" s="7" t="n">
        <v>26140.8</v>
      </c>
    </row>
    <row r="86">
      <c r="A86" s="4" t="inlineStr">
        <is>
          <t>销售佣金</t>
        </is>
      </c>
      <c r="D86" s="7" t="n">
        <v>3204.6</v>
      </c>
      <c r="F86" s="7" t="n">
        <v>2059.8</v>
      </c>
      <c r="H86" s="7" t="n">
        <v>2485.8</v>
      </c>
      <c r="J86" s="7" t="n">
        <v>4878.6</v>
      </c>
      <c r="L86" s="7" t="n">
        <v>3755.1</v>
      </c>
      <c r="N86" s="7" t="n">
        <v>7745.9</v>
      </c>
      <c r="P86" s="7" t="n">
        <v>3569.7</v>
      </c>
      <c r="R86" s="7" t="n">
        <v>7036.3</v>
      </c>
      <c r="T86" s="7" t="n">
        <v>5292.8</v>
      </c>
      <c r="V86" s="7" t="n">
        <v>4368.5</v>
      </c>
      <c r="X86" s="7" t="n">
        <v>2396.8</v>
      </c>
      <c r="Z86" s="7" t="n">
        <v>1422.4</v>
      </c>
      <c r="AB86" s="7" t="n">
        <v>48216.3</v>
      </c>
    </row>
    <row r="87">
      <c r="A87" s="4" t="inlineStr">
        <is>
          <t>检测费</t>
        </is>
      </c>
      <c r="D87" s="7" t="n">
        <v>2262</v>
      </c>
      <c r="F87" s="7" t="n">
        <v>2083.4</v>
      </c>
      <c r="H87" s="7" t="n">
        <v>3802.8</v>
      </c>
      <c r="J87" s="7" t="n">
        <v>4291</v>
      </c>
      <c r="L87" s="7" t="n">
        <v>3523.7</v>
      </c>
      <c r="N87" s="7" t="n">
        <v>4791.4</v>
      </c>
      <c r="P87" s="7" t="n">
        <v>3239.4</v>
      </c>
      <c r="R87" s="7" t="n">
        <v>6044.4</v>
      </c>
      <c r="T87" s="7" t="n">
        <v>3394.3</v>
      </c>
      <c r="V87" s="7" t="n">
        <v>4809.7</v>
      </c>
      <c r="X87" s="7" t="n">
        <v>2965.5</v>
      </c>
      <c r="Z87" s="7" t="n">
        <v>2167.1</v>
      </c>
      <c r="AB87" s="7" t="n">
        <v>43374.7</v>
      </c>
    </row>
    <row r="88">
      <c r="A88" s="4" t="inlineStr">
        <is>
          <t>质量赔偿</t>
        </is>
      </c>
      <c r="D88" s="7" t="n">
        <v>33.6</v>
      </c>
      <c r="F88" s="7" t="n">
        <v>24.9</v>
      </c>
      <c r="H88" s="7" t="n">
        <v>58.5</v>
      </c>
      <c r="J88" s="7" t="n">
        <v>57.2</v>
      </c>
      <c r="L88" s="7" t="n">
        <v>53.2</v>
      </c>
      <c r="N88" s="7" t="n">
        <v>87.5</v>
      </c>
      <c r="P88" s="7" t="n">
        <v>46.9</v>
      </c>
      <c r="R88" s="7" t="n">
        <v>74.90000000000001</v>
      </c>
      <c r="T88" s="7" t="n">
        <v>97</v>
      </c>
      <c r="V88" s="7" t="n">
        <v>93.5</v>
      </c>
      <c r="X88" s="7" t="n">
        <v>59</v>
      </c>
      <c r="Z88" s="7" t="n">
        <v>42</v>
      </c>
      <c r="AB88" s="7" t="n">
        <v>728.2</v>
      </c>
    </row>
    <row r="89">
      <c r="A89" s="4" t="inlineStr">
        <is>
          <t>保险费</t>
        </is>
      </c>
      <c r="D89" s="7" t="n">
        <v>2654.5</v>
      </c>
      <c r="F89" s="7" t="n">
        <v>1347.5</v>
      </c>
      <c r="H89" s="7" t="n">
        <v>3916.1</v>
      </c>
      <c r="J89" s="7" t="n">
        <v>2854</v>
      </c>
      <c r="L89" s="7" t="n">
        <v>3568.6</v>
      </c>
      <c r="N89" s="7" t="n">
        <v>7091.4</v>
      </c>
      <c r="P89" s="7" t="n">
        <v>3639.1</v>
      </c>
      <c r="R89" s="7" t="n">
        <v>6773.1</v>
      </c>
      <c r="T89" s="7" t="n">
        <v>5070.1</v>
      </c>
      <c r="V89" s="7" t="n">
        <v>5095.2</v>
      </c>
      <c r="X89" s="7" t="n">
        <v>2232.4</v>
      </c>
      <c r="Z89" s="7" t="n">
        <v>1727.5</v>
      </c>
      <c r="AB89" s="7" t="n">
        <v>45969.5</v>
      </c>
    </row>
    <row r="90">
      <c r="A90" s="4" t="inlineStr">
        <is>
          <t>清洁费</t>
        </is>
      </c>
      <c r="D90" s="7" t="n">
        <v>3750.7</v>
      </c>
      <c r="F90" s="7" t="n">
        <v>3210.5</v>
      </c>
      <c r="H90" s="7" t="n">
        <v>4098.3</v>
      </c>
      <c r="J90" s="7" t="n">
        <v>5146.7</v>
      </c>
      <c r="L90" s="7" t="n">
        <v>5945.2</v>
      </c>
      <c r="N90" s="7" t="n">
        <v>9749.799999999999</v>
      </c>
      <c r="P90" s="7" t="n">
        <v>4591.5</v>
      </c>
      <c r="R90" s="7" t="n">
        <v>6187.5</v>
      </c>
      <c r="T90" s="7" t="n">
        <v>4474.3</v>
      </c>
      <c r="V90" s="7" t="n">
        <v>7802.5</v>
      </c>
      <c r="X90" s="7" t="n">
        <v>3573.9</v>
      </c>
      <c r="Z90" s="7" t="n">
        <v>2326.2</v>
      </c>
      <c r="AB90" s="7" t="n">
        <v>60857.1</v>
      </c>
    </row>
    <row r="91">
      <c r="A91" s="4" t="inlineStr">
        <is>
          <t>低值易耗品</t>
        </is>
      </c>
      <c r="D91" s="7" t="n">
        <v>282.8</v>
      </c>
      <c r="F91" s="7" t="n">
        <v>141.1</v>
      </c>
      <c r="H91" s="7" t="n">
        <v>292.8</v>
      </c>
      <c r="J91" s="7" t="n">
        <v>343.6</v>
      </c>
      <c r="L91" s="7" t="n">
        <v>386</v>
      </c>
      <c r="N91" s="7" t="n">
        <v>573.9</v>
      </c>
      <c r="P91" s="7" t="n">
        <v>265.9</v>
      </c>
      <c r="R91" s="7" t="n">
        <v>495.6</v>
      </c>
      <c r="T91" s="7" t="n">
        <v>303.2</v>
      </c>
      <c r="V91" s="7" t="n">
        <v>498.4</v>
      </c>
      <c r="X91" s="7" t="n">
        <v>204.9</v>
      </c>
      <c r="Z91" s="7" t="n">
        <v>180.2</v>
      </c>
      <c r="AB91" s="7" t="n">
        <v>3968.4</v>
      </c>
    </row>
    <row r="92">
      <c r="A92" s="4" t="inlineStr">
        <is>
          <t>物料消耗</t>
        </is>
      </c>
      <c r="D92" s="7" t="n">
        <v>3811.4</v>
      </c>
      <c r="F92" s="7" t="n">
        <v>1902.3</v>
      </c>
      <c r="H92" s="7" t="n">
        <v>3431.8</v>
      </c>
      <c r="J92" s="7" t="n">
        <v>5471.6</v>
      </c>
      <c r="L92" s="7" t="n">
        <v>3967.9</v>
      </c>
      <c r="N92" s="7" t="n">
        <v>7914.2</v>
      </c>
      <c r="P92" s="7" t="n">
        <v>6197.4</v>
      </c>
      <c r="R92" s="7" t="n">
        <v>5972.2</v>
      </c>
      <c r="T92" s="7" t="n">
        <v>6352.6</v>
      </c>
      <c r="V92" s="7" t="n">
        <v>8215.6</v>
      </c>
      <c r="X92" s="7" t="n">
        <v>4117.6</v>
      </c>
      <c r="Z92" s="7" t="n">
        <v>2167.5</v>
      </c>
      <c r="AB92" s="7" t="n">
        <v>59522.1</v>
      </c>
    </row>
    <row r="93">
      <c r="A93" s="4" t="inlineStr">
        <is>
          <t>盘盈盘亏</t>
        </is>
      </c>
      <c r="D93" s="7" t="n">
        <v>3217.6</v>
      </c>
      <c r="F93" s="7" t="n">
        <v>2000.8</v>
      </c>
      <c r="H93" s="7" t="n">
        <v>3572.2</v>
      </c>
      <c r="J93" s="7" t="n">
        <v>5087.2</v>
      </c>
      <c r="L93" s="7" t="n">
        <v>3559.3</v>
      </c>
      <c r="N93" s="7" t="n">
        <v>6033.9</v>
      </c>
      <c r="P93" s="7" t="n">
        <v>4633.1</v>
      </c>
      <c r="R93" s="7" t="n">
        <v>6782.4</v>
      </c>
      <c r="T93" s="7" t="n">
        <v>5264.2</v>
      </c>
      <c r="V93" s="7" t="n">
        <v>5123.2</v>
      </c>
      <c r="X93" s="7" t="n">
        <v>2018</v>
      </c>
      <c r="Z93" s="7" t="n">
        <v>2460.6</v>
      </c>
      <c r="AB93" s="7" t="n">
        <v>49752.5</v>
      </c>
    </row>
    <row r="94">
      <c r="A94" s="4" t="inlineStr">
        <is>
          <t>平台服务费</t>
        </is>
      </c>
      <c r="D94" s="7" t="n">
        <v>2992.6</v>
      </c>
      <c r="F94" s="7" t="n">
        <v>2327.9</v>
      </c>
      <c r="H94" s="7" t="n">
        <v>5215.2</v>
      </c>
      <c r="J94" s="7" t="n">
        <v>4304.8</v>
      </c>
      <c r="L94" s="7" t="n">
        <v>4638.6</v>
      </c>
      <c r="N94" s="7" t="n">
        <v>6894.4</v>
      </c>
      <c r="P94" s="7" t="n">
        <v>4843.3</v>
      </c>
      <c r="R94" s="7" t="n">
        <v>8648.700000000001</v>
      </c>
      <c r="T94" s="7" t="n">
        <v>3961.9</v>
      </c>
      <c r="V94" s="7" t="n">
        <v>5966.9</v>
      </c>
      <c r="X94" s="7" t="n">
        <v>4287.8</v>
      </c>
      <c r="Z94" s="7" t="n">
        <v>1690.6</v>
      </c>
      <c r="AB94" s="7" t="n">
        <v>55772.7</v>
      </c>
    </row>
    <row r="95">
      <c r="A95" s="4" t="inlineStr">
        <is>
          <t>无形资产摊销</t>
        </is>
      </c>
      <c r="D95" s="7" t="n">
        <v>1971.7</v>
      </c>
      <c r="F95" s="7" t="n">
        <v>1368.9</v>
      </c>
      <c r="H95" s="7" t="n">
        <v>1873</v>
      </c>
      <c r="J95" s="7" t="n">
        <v>1912.2</v>
      </c>
      <c r="L95" s="7" t="n">
        <v>2186.8</v>
      </c>
      <c r="N95" s="7" t="n">
        <v>3356</v>
      </c>
      <c r="P95" s="7" t="n">
        <v>2817.8</v>
      </c>
      <c r="R95" s="7" t="n">
        <v>4717.3</v>
      </c>
      <c r="T95" s="7" t="n">
        <v>3182.3</v>
      </c>
      <c r="V95" s="7" t="n">
        <v>3007.3</v>
      </c>
      <c r="X95" s="7" t="n">
        <v>1417.3</v>
      </c>
      <c r="Z95" s="7" t="n">
        <v>1370.7</v>
      </c>
      <c r="AB95" s="7" t="n">
        <v>29181.3</v>
      </c>
    </row>
    <row r="96">
      <c r="A96" s="4" t="inlineStr">
        <is>
          <t>研发材料</t>
        </is>
      </c>
      <c r="D96" s="7" t="n">
        <v>2132</v>
      </c>
      <c r="F96" s="7" t="n">
        <v>1641.1</v>
      </c>
      <c r="H96" s="7" t="n">
        <v>4208</v>
      </c>
      <c r="J96" s="7" t="n">
        <v>4463.4</v>
      </c>
      <c r="L96" s="7" t="n">
        <v>3735.4</v>
      </c>
      <c r="N96" s="7" t="n">
        <v>4862.6</v>
      </c>
      <c r="P96" s="7" t="n">
        <v>4131.9</v>
      </c>
      <c r="R96" s="7" t="n">
        <v>5393.2</v>
      </c>
      <c r="T96" s="7" t="n">
        <v>4817.2</v>
      </c>
      <c r="V96" s="7" t="n">
        <v>6308.6</v>
      </c>
      <c r="X96" s="7" t="n">
        <v>2927.6</v>
      </c>
      <c r="Z96" s="7" t="n">
        <v>2635.3</v>
      </c>
      <c r="AB96" s="7" t="n">
        <v>47256.3</v>
      </c>
    </row>
    <row r="97">
      <c r="A97" s="4" t="inlineStr">
        <is>
          <t>项目名称</t>
        </is>
      </c>
      <c r="D97" s="7" t="n">
        <v>100.5</v>
      </c>
      <c r="F97" s="7" t="n">
        <v>118.8</v>
      </c>
      <c r="H97" s="7" t="n">
        <v>135.9</v>
      </c>
      <c r="J97" s="7" t="n">
        <v>164.2</v>
      </c>
      <c r="L97" s="7" t="n">
        <v>224.3</v>
      </c>
      <c r="N97" s="7" t="n">
        <v>365.3</v>
      </c>
      <c r="P97" s="7" t="n">
        <v>198.1</v>
      </c>
      <c r="R97" s="7" t="n">
        <v>339.9</v>
      </c>
      <c r="T97" s="7" t="n">
        <v>291.2</v>
      </c>
      <c r="V97" s="7" t="n">
        <v>209</v>
      </c>
      <c r="X97" s="7" t="n">
        <v>159.4</v>
      </c>
      <c r="Z97" s="7" t="n">
        <v>128.4</v>
      </c>
      <c r="AB97" s="7" t="n">
        <v>2435</v>
      </c>
    </row>
    <row r="98">
      <c r="A98" s="4" t="inlineStr">
        <is>
          <t>研发费</t>
        </is>
      </c>
      <c r="D98" s="7" t="n">
        <v>107.1</v>
      </c>
      <c r="F98" s="7" t="n">
        <v>110.2</v>
      </c>
      <c r="H98" s="7" t="n">
        <v>183.2</v>
      </c>
      <c r="J98" s="7" t="n">
        <v>265.2</v>
      </c>
      <c r="L98" s="7" t="n">
        <v>137.2</v>
      </c>
      <c r="N98" s="7" t="n">
        <v>370.5</v>
      </c>
      <c r="P98" s="7" t="n">
        <v>157.5</v>
      </c>
      <c r="R98" s="7" t="n">
        <v>245.6</v>
      </c>
      <c r="T98" s="7" t="n">
        <v>172.8</v>
      </c>
      <c r="V98" s="7" t="n">
        <v>233.1</v>
      </c>
      <c r="X98" s="7" t="n">
        <v>178.1</v>
      </c>
      <c r="Z98" s="7" t="n">
        <v>99.2</v>
      </c>
      <c r="AB98" s="7" t="n">
        <v>2259.7</v>
      </c>
    </row>
    <row r="99">
      <c r="A99" s="4" t="inlineStr">
        <is>
          <t>残保金</t>
        </is>
      </c>
      <c r="D99" s="7" t="n">
        <v>665.8</v>
      </c>
      <c r="F99" s="7" t="n">
        <v>556</v>
      </c>
      <c r="H99" s="7" t="n">
        <v>659.2</v>
      </c>
      <c r="J99" s="7" t="n">
        <v>979.7</v>
      </c>
      <c r="L99" s="7" t="n">
        <v>1029.4</v>
      </c>
      <c r="N99" s="7" t="n">
        <v>1273.4</v>
      </c>
      <c r="P99" s="7" t="n">
        <v>1107.4</v>
      </c>
      <c r="R99" s="7" t="n">
        <v>1352.5</v>
      </c>
      <c r="T99" s="7" t="n">
        <v>1300.7</v>
      </c>
      <c r="V99" s="7" t="n">
        <v>1572.7</v>
      </c>
      <c r="X99" s="7" t="n">
        <v>775.9</v>
      </c>
      <c r="Z99" s="7" t="n">
        <v>421.7</v>
      </c>
      <c r="AB99" s="7" t="n">
        <v>11694.4</v>
      </c>
    </row>
    <row r="100">
      <c r="A100" s="4" t="inlineStr">
        <is>
          <t>环保费</t>
        </is>
      </c>
      <c r="D100" s="7" t="n">
        <v>3773.6</v>
      </c>
      <c r="F100" s="7" t="n">
        <v>2088.6</v>
      </c>
      <c r="H100" s="7" t="n">
        <v>5929.9</v>
      </c>
      <c r="J100" s="7" t="n">
        <v>6597.2</v>
      </c>
      <c r="L100" s="7" t="n">
        <v>5780.5</v>
      </c>
      <c r="N100" s="7" t="n">
        <v>9235.200000000001</v>
      </c>
      <c r="P100" s="7" t="n">
        <v>4824.9</v>
      </c>
      <c r="R100" s="7" t="n">
        <v>6249.6</v>
      </c>
      <c r="T100" s="7" t="n">
        <v>4916.6</v>
      </c>
      <c r="V100" s="7" t="n">
        <v>6618.6</v>
      </c>
      <c r="X100" s="7" t="n">
        <v>4479.1</v>
      </c>
      <c r="Z100" s="7" t="n">
        <v>2781.8</v>
      </c>
      <c r="AB100" s="7" t="n">
        <v>63275.6</v>
      </c>
    </row>
    <row r="101">
      <c r="A101" s="4" t="inlineStr">
        <is>
          <t>报废损失</t>
        </is>
      </c>
      <c r="D101" s="7" t="n">
        <v>2036.7</v>
      </c>
      <c r="F101" s="7" t="n">
        <v>869.3</v>
      </c>
      <c r="H101" s="7" t="n">
        <v>1685.5</v>
      </c>
      <c r="J101" s="7" t="n">
        <v>3047.7</v>
      </c>
      <c r="L101" s="7" t="n">
        <v>2394.2</v>
      </c>
      <c r="N101" s="7" t="n">
        <v>4586.8</v>
      </c>
      <c r="P101" s="7" t="n">
        <v>1707</v>
      </c>
      <c r="R101" s="7" t="n">
        <v>3608.4</v>
      </c>
      <c r="T101" s="7" t="n">
        <v>1982.2</v>
      </c>
      <c r="V101" s="7" t="n">
        <v>2531.8</v>
      </c>
      <c r="X101" s="7" t="n">
        <v>1357.2</v>
      </c>
      <c r="Z101" s="7" t="n">
        <v>1322</v>
      </c>
      <c r="AB101" s="7" t="n">
        <v>27128.8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319752.1</v>
      </c>
      <c r="D102" s="7" t="n">
        <v>263472.4</v>
      </c>
      <c r="E102" s="7" t="n">
        <v>353696.1</v>
      </c>
      <c r="F102" s="7" t="n">
        <v>176897.7</v>
      </c>
      <c r="G102" s="7" t="n">
        <v>401490.2</v>
      </c>
      <c r="H102" s="7" t="n">
        <v>482808.1</v>
      </c>
      <c r="I102" s="7" t="n">
        <v>367204.6</v>
      </c>
      <c r="J102" s="7" t="n">
        <v>323999.5</v>
      </c>
      <c r="K102" s="7" t="n">
        <v>383693.6</v>
      </c>
      <c r="L102" s="7" t="n">
        <v>469141.6</v>
      </c>
      <c r="M102" s="7" t="n">
        <v>337563.4</v>
      </c>
      <c r="N102" s="7" t="n">
        <v>344610.3</v>
      </c>
      <c r="O102" s="7" t="n">
        <v>301136.8</v>
      </c>
      <c r="P102" s="7" t="n">
        <v>459910.9</v>
      </c>
      <c r="Q102" s="7" t="n">
        <v>325656</v>
      </c>
      <c r="R102" s="7" t="n">
        <v>405075.8</v>
      </c>
      <c r="S102" s="7" t="n">
        <v>313120.9</v>
      </c>
      <c r="T102" s="7" t="n">
        <v>229292.1</v>
      </c>
      <c r="U102" s="7" t="n">
        <v>356912.5</v>
      </c>
      <c r="V102" s="7" t="n">
        <v>701011.6</v>
      </c>
      <c r="W102" s="7" t="n">
        <v>310805.1</v>
      </c>
      <c r="X102" s="7" t="n">
        <v>315249.9</v>
      </c>
      <c r="Y102" s="7" t="n">
        <v>339054</v>
      </c>
      <c r="Z102" s="7" t="n">
        <v>73026.3</v>
      </c>
      <c r="AA102" s="8" t="n">
        <v>4110085.3</v>
      </c>
      <c r="AB102" s="8" t="n">
        <v>4244496.2</v>
      </c>
    </row>
    <row r="103">
      <c r="A103" s="4" t="inlineStr">
        <is>
          <t>职工薪酬</t>
        </is>
      </c>
      <c r="D103" s="7" t="n">
        <v>142108</v>
      </c>
      <c r="F103" s="7" t="n">
        <v>78273.39999999999</v>
      </c>
      <c r="H103" s="7" t="n">
        <v>258455.5</v>
      </c>
      <c r="J103" s="7" t="n">
        <v>158533.4</v>
      </c>
      <c r="L103" s="7" t="n">
        <v>236703.3</v>
      </c>
      <c r="N103" s="7" t="n">
        <v>168412.5</v>
      </c>
      <c r="P103" s="7" t="n">
        <v>254731.3</v>
      </c>
      <c r="R103" s="7" t="n">
        <v>228961.8</v>
      </c>
      <c r="T103" s="7" t="n">
        <v>97674.39999999999</v>
      </c>
      <c r="V103" s="7" t="n">
        <v>397215</v>
      </c>
      <c r="X103" s="7" t="n">
        <v>190662.9</v>
      </c>
      <c r="Z103" s="7" t="n">
        <v>31986.5</v>
      </c>
      <c r="AB103" s="7" t="n">
        <v>2243718</v>
      </c>
    </row>
    <row r="104">
      <c r="A104" s="4" t="inlineStr">
        <is>
          <t>工资</t>
        </is>
      </c>
      <c r="D104" s="7" t="n">
        <v>87110.7</v>
      </c>
      <c r="F104" s="7" t="n">
        <v>38521.4</v>
      </c>
      <c r="H104" s="7" t="n">
        <v>157431.6</v>
      </c>
      <c r="J104" s="7" t="n">
        <v>84664.8</v>
      </c>
      <c r="L104" s="7" t="n">
        <v>135225.8</v>
      </c>
      <c r="N104" s="7" t="n">
        <v>93104.39999999999</v>
      </c>
      <c r="P104" s="7" t="n">
        <v>163235.1</v>
      </c>
      <c r="R104" s="7" t="n">
        <v>140364.2</v>
      </c>
      <c r="T104" s="7" t="n">
        <v>49939.2</v>
      </c>
      <c r="V104" s="7" t="n">
        <v>240639.8</v>
      </c>
      <c r="X104" s="7" t="n">
        <v>118683.7</v>
      </c>
      <c r="Z104" s="7" t="n">
        <v>17647.5</v>
      </c>
      <c r="AB104" s="7" t="n">
        <v>1326568.2</v>
      </c>
    </row>
    <row r="105">
      <c r="A105" s="4" t="inlineStr">
        <is>
          <t>奖金及提成</t>
        </is>
      </c>
      <c r="D105" s="7" t="n">
        <v>30860.4</v>
      </c>
      <c r="F105" s="7" t="n">
        <v>17531.2</v>
      </c>
      <c r="H105" s="7" t="n">
        <v>37158.8</v>
      </c>
      <c r="J105" s="7" t="n">
        <v>40080.3</v>
      </c>
      <c r="L105" s="7" t="n">
        <v>53146.3</v>
      </c>
      <c r="N105" s="7" t="n">
        <v>36377.9</v>
      </c>
      <c r="P105" s="7" t="n">
        <v>41188.9</v>
      </c>
      <c r="R105" s="7" t="n">
        <v>33185.9</v>
      </c>
      <c r="T105" s="7" t="n">
        <v>25362.3</v>
      </c>
      <c r="V105" s="7" t="n">
        <v>62769.3</v>
      </c>
      <c r="X105" s="7" t="n">
        <v>36801.8</v>
      </c>
      <c r="Z105" s="7" t="n">
        <v>6540.8</v>
      </c>
      <c r="AB105" s="7" t="n">
        <v>421003.9</v>
      </c>
    </row>
    <row r="106">
      <c r="A106" s="4" t="inlineStr">
        <is>
          <t>社保</t>
        </is>
      </c>
      <c r="D106" s="7" t="n">
        <v>15994.6</v>
      </c>
      <c r="F106" s="7" t="n">
        <v>16170.6</v>
      </c>
      <c r="H106" s="7" t="n">
        <v>47196.7</v>
      </c>
      <c r="J106" s="7" t="n">
        <v>23984.2</v>
      </c>
      <c r="L106" s="7" t="n">
        <v>31241</v>
      </c>
      <c r="N106" s="7" t="n">
        <v>27089</v>
      </c>
      <c r="P106" s="7" t="n">
        <v>36448.7</v>
      </c>
      <c r="R106" s="7" t="n">
        <v>39998.6</v>
      </c>
      <c r="T106" s="7" t="n">
        <v>14435.6</v>
      </c>
      <c r="V106" s="7" t="n">
        <v>70478.7</v>
      </c>
      <c r="X106" s="7" t="n">
        <v>24538.9</v>
      </c>
      <c r="Z106" s="7" t="n">
        <v>5447.2</v>
      </c>
      <c r="AB106" s="7" t="n">
        <v>353023.8</v>
      </c>
    </row>
    <row r="107">
      <c r="A107" s="4" t="inlineStr">
        <is>
          <t>养老</t>
        </is>
      </c>
      <c r="D107" s="7" t="n">
        <v>266.7</v>
      </c>
      <c r="F107" s="7" t="n">
        <v>170.8</v>
      </c>
      <c r="H107" s="7" t="n">
        <v>555.1</v>
      </c>
      <c r="J107" s="7" t="n">
        <v>238</v>
      </c>
      <c r="L107" s="7" t="n">
        <v>325.8</v>
      </c>
      <c r="N107" s="7" t="n">
        <v>343.8</v>
      </c>
      <c r="P107" s="7" t="n">
        <v>302.7</v>
      </c>
      <c r="R107" s="7" t="n">
        <v>283.3</v>
      </c>
      <c r="T107" s="7" t="n">
        <v>248.4</v>
      </c>
      <c r="V107" s="7" t="n">
        <v>611.4</v>
      </c>
      <c r="X107" s="7" t="n">
        <v>226.3</v>
      </c>
      <c r="Z107" s="7" t="n">
        <v>59.2</v>
      </c>
      <c r="AB107" s="7" t="n">
        <v>3631.5</v>
      </c>
    </row>
    <row r="108">
      <c r="A108" s="4" t="inlineStr">
        <is>
          <t>医疗</t>
        </is>
      </c>
      <c r="D108" s="7" t="n">
        <v>1626.7</v>
      </c>
      <c r="F108" s="7" t="n">
        <v>1206.9</v>
      </c>
      <c r="H108" s="7" t="n">
        <v>3038.7</v>
      </c>
      <c r="J108" s="7" t="n">
        <v>2009.3</v>
      </c>
      <c r="L108" s="7" t="n">
        <v>2186.9</v>
      </c>
      <c r="N108" s="7" t="n">
        <v>2568.1</v>
      </c>
      <c r="P108" s="7" t="n">
        <v>3242.6</v>
      </c>
      <c r="R108" s="7" t="n">
        <v>1770.3</v>
      </c>
      <c r="T108" s="7" t="n">
        <v>1618.2</v>
      </c>
      <c r="V108" s="7" t="n">
        <v>4048.3</v>
      </c>
      <c r="X108" s="7" t="n">
        <v>2377.3</v>
      </c>
      <c r="Z108" s="7" t="n">
        <v>447.8</v>
      </c>
      <c r="AB108" s="7" t="n">
        <v>26141.1</v>
      </c>
    </row>
    <row r="109">
      <c r="A109" s="4" t="inlineStr">
        <is>
          <t>工伤</t>
        </is>
      </c>
      <c r="D109" s="7" t="n">
        <v>1254.5</v>
      </c>
      <c r="F109" s="7" t="n">
        <v>1104.9</v>
      </c>
      <c r="H109" s="7" t="n">
        <v>3025.4</v>
      </c>
      <c r="J109" s="7" t="n">
        <v>1507.9</v>
      </c>
      <c r="L109" s="7" t="n">
        <v>2308</v>
      </c>
      <c r="N109" s="7" t="n">
        <v>1981.6</v>
      </c>
      <c r="P109" s="7" t="n">
        <v>3117.6</v>
      </c>
      <c r="R109" s="7" t="n">
        <v>2345.7</v>
      </c>
      <c r="T109" s="7" t="n">
        <v>993.4</v>
      </c>
      <c r="V109" s="7" t="n">
        <v>4017.6</v>
      </c>
      <c r="X109" s="7" t="n">
        <v>1216.4</v>
      </c>
      <c r="Z109" s="7" t="n">
        <v>516.3</v>
      </c>
      <c r="AB109" s="7" t="n">
        <v>23389.3</v>
      </c>
    </row>
    <row r="110">
      <c r="A110" s="4" t="inlineStr">
        <is>
          <t>失业</t>
        </is>
      </c>
      <c r="D110" s="7" t="n">
        <v>68</v>
      </c>
      <c r="F110" s="7" t="n">
        <v>54</v>
      </c>
      <c r="H110" s="7" t="n">
        <v>91.3</v>
      </c>
      <c r="J110" s="7" t="n">
        <v>86.7</v>
      </c>
      <c r="L110" s="7" t="n">
        <v>121.7</v>
      </c>
      <c r="N110" s="7" t="n">
        <v>106.7</v>
      </c>
      <c r="P110" s="7" t="n">
        <v>144.1</v>
      </c>
      <c r="R110" s="7" t="n">
        <v>103.4</v>
      </c>
      <c r="T110" s="7" t="n">
        <v>50.9</v>
      </c>
      <c r="V110" s="7" t="n">
        <v>190.6</v>
      </c>
      <c r="X110" s="7" t="n">
        <v>58.6</v>
      </c>
      <c r="Z110" s="7" t="n">
        <v>21.9</v>
      </c>
      <c r="AB110" s="7" t="n">
        <v>1097.9</v>
      </c>
    </row>
    <row r="111">
      <c r="A111" s="4" t="inlineStr">
        <is>
          <t>生育</t>
        </is>
      </c>
      <c r="D111" s="7" t="n">
        <v>1279.5</v>
      </c>
      <c r="F111" s="7" t="n">
        <v>966.9</v>
      </c>
      <c r="H111" s="7" t="n">
        <v>3273.9</v>
      </c>
      <c r="J111" s="7" t="n">
        <v>1522.6</v>
      </c>
      <c r="L111" s="7" t="n">
        <v>2886.9</v>
      </c>
      <c r="N111" s="7" t="n">
        <v>1895.2</v>
      </c>
      <c r="P111" s="7" t="n">
        <v>3214.3</v>
      </c>
      <c r="R111" s="7" t="n">
        <v>3065.1</v>
      </c>
      <c r="T111" s="7" t="n">
        <v>1640.2</v>
      </c>
      <c r="V111" s="7" t="n">
        <v>3120.6</v>
      </c>
      <c r="X111" s="7" t="n">
        <v>1910.5</v>
      </c>
      <c r="Z111" s="7" t="n">
        <v>529.1</v>
      </c>
      <c r="AB111" s="7" t="n">
        <v>25304.8</v>
      </c>
    </row>
    <row r="112">
      <c r="A112" s="4" t="inlineStr">
        <is>
          <t>公积金</t>
        </is>
      </c>
      <c r="D112" s="7" t="n">
        <v>1424.6</v>
      </c>
      <c r="F112" s="7" t="n">
        <v>1190.4</v>
      </c>
      <c r="H112" s="7" t="n">
        <v>2552.5</v>
      </c>
      <c r="J112" s="7" t="n">
        <v>1817.5</v>
      </c>
      <c r="L112" s="7" t="n">
        <v>2904.6</v>
      </c>
      <c r="N112" s="7" t="n">
        <v>2402.6</v>
      </c>
      <c r="P112" s="7" t="n">
        <v>1957.3</v>
      </c>
      <c r="R112" s="7" t="n">
        <v>2870.2</v>
      </c>
      <c r="T112" s="7" t="n">
        <v>1182.6</v>
      </c>
      <c r="V112" s="7" t="n">
        <v>2891.8</v>
      </c>
      <c r="X112" s="7" t="n">
        <v>1726.8</v>
      </c>
      <c r="Z112" s="7" t="n">
        <v>360.8</v>
      </c>
      <c r="AB112" s="7" t="n">
        <v>23281.7</v>
      </c>
    </row>
    <row r="113">
      <c r="A113" s="4" t="inlineStr">
        <is>
          <t>工会经费</t>
        </is>
      </c>
      <c r="D113" s="7" t="n">
        <v>1676.2</v>
      </c>
      <c r="F113" s="7" t="n">
        <v>1291.4</v>
      </c>
      <c r="H113" s="7" t="n">
        <v>3512.3</v>
      </c>
      <c r="J113" s="7" t="n">
        <v>1504.7</v>
      </c>
      <c r="L113" s="7" t="n">
        <v>3575.6</v>
      </c>
      <c r="N113" s="7" t="n">
        <v>2440.4</v>
      </c>
      <c r="P113" s="7" t="n">
        <v>2091.1</v>
      </c>
      <c r="R113" s="7" t="n">
        <v>3184.5</v>
      </c>
      <c r="T113" s="7" t="n">
        <v>1571.6</v>
      </c>
      <c r="V113" s="7" t="n">
        <v>5361.4</v>
      </c>
      <c r="X113" s="7" t="n">
        <v>1499.3</v>
      </c>
      <c r="Z113" s="7" t="n">
        <v>416.5</v>
      </c>
      <c r="AB113" s="7" t="n">
        <v>28125</v>
      </c>
    </row>
    <row r="114">
      <c r="A114" s="4" t="inlineStr">
        <is>
          <t>职工教育经费</t>
        </is>
      </c>
      <c r="D114" s="7" t="n">
        <v>983.4</v>
      </c>
      <c r="F114" s="7" t="n">
        <v>578.3</v>
      </c>
      <c r="H114" s="7" t="n">
        <v>2029.3</v>
      </c>
      <c r="J114" s="7" t="n">
        <v>973.7</v>
      </c>
      <c r="L114" s="7" t="n">
        <v>2143.9</v>
      </c>
      <c r="N114" s="7" t="n">
        <v>1151.2</v>
      </c>
      <c r="P114" s="7" t="n">
        <v>2406.3</v>
      </c>
      <c r="R114" s="7" t="n">
        <v>1386.7</v>
      </c>
      <c r="T114" s="7" t="n">
        <v>715.1</v>
      </c>
      <c r="V114" s="7" t="n">
        <v>2809.3</v>
      </c>
      <c r="X114" s="7" t="n">
        <v>1617.1</v>
      </c>
      <c r="Z114" s="7" t="n">
        <v>310.7</v>
      </c>
      <c r="AB114" s="7" t="n">
        <v>17105</v>
      </c>
    </row>
    <row r="115">
      <c r="A115" s="4" t="inlineStr">
        <is>
          <t>福利费</t>
        </is>
      </c>
      <c r="D115" s="7" t="n">
        <v>4058.1</v>
      </c>
      <c r="F115" s="7" t="n">
        <v>2990.1</v>
      </c>
      <c r="H115" s="7" t="n">
        <v>8574.299999999999</v>
      </c>
      <c r="J115" s="7" t="n">
        <v>5508.2</v>
      </c>
      <c r="L115" s="7" t="n">
        <v>8466.1</v>
      </c>
      <c r="N115" s="7" t="n">
        <v>5847</v>
      </c>
      <c r="P115" s="7" t="n">
        <v>7403.9</v>
      </c>
      <c r="R115" s="7" t="n">
        <v>7971.7</v>
      </c>
      <c r="T115" s="7" t="n">
        <v>4468</v>
      </c>
      <c r="V115" s="7" t="n">
        <v>12264.7</v>
      </c>
      <c r="X115" s="7" t="n">
        <v>5795.3</v>
      </c>
      <c r="Z115" s="7" t="n">
        <v>1263</v>
      </c>
      <c r="AB115" s="7" t="n">
        <v>74610.39999999999</v>
      </c>
    </row>
    <row r="116">
      <c r="A116" s="4" t="inlineStr">
        <is>
          <t>职工房租</t>
        </is>
      </c>
      <c r="D116" s="7" t="n">
        <v>238.7</v>
      </c>
      <c r="F116" s="7" t="n">
        <v>157.6</v>
      </c>
      <c r="H116" s="7" t="n">
        <v>396.2</v>
      </c>
      <c r="J116" s="7" t="n">
        <v>228.2</v>
      </c>
      <c r="L116" s="7" t="n">
        <v>404.9</v>
      </c>
      <c r="N116" s="7" t="n">
        <v>327.2</v>
      </c>
      <c r="P116" s="7" t="n">
        <v>469</v>
      </c>
      <c r="R116" s="7" t="n">
        <v>386.3</v>
      </c>
      <c r="T116" s="7" t="n">
        <v>233.3</v>
      </c>
      <c r="V116" s="7" t="n">
        <v>417.1</v>
      </c>
      <c r="X116" s="7" t="n">
        <v>313.3</v>
      </c>
      <c r="Z116" s="7" t="n">
        <v>57.3</v>
      </c>
      <c r="AB116" s="7" t="n">
        <v>3629.1</v>
      </c>
    </row>
    <row r="117">
      <c r="A117" s="4" t="inlineStr">
        <is>
          <t>水电物业费</t>
        </is>
      </c>
      <c r="D117" s="7" t="n">
        <v>171.6</v>
      </c>
      <c r="F117" s="7" t="n">
        <v>81.2</v>
      </c>
      <c r="H117" s="7" t="n">
        <v>323.4</v>
      </c>
      <c r="J117" s="7" t="n">
        <v>130.4</v>
      </c>
      <c r="L117" s="7" t="n">
        <v>213.5</v>
      </c>
      <c r="N117" s="7" t="n">
        <v>202.6</v>
      </c>
      <c r="P117" s="7" t="n">
        <v>241.2</v>
      </c>
      <c r="R117" s="7" t="n">
        <v>260.9</v>
      </c>
      <c r="T117" s="7" t="n">
        <v>122</v>
      </c>
      <c r="V117" s="7" t="n">
        <v>396.7</v>
      </c>
      <c r="X117" s="7" t="n">
        <v>145.2</v>
      </c>
      <c r="Z117" s="7" t="n">
        <v>49.2</v>
      </c>
      <c r="AB117" s="7" t="n">
        <v>2337.9</v>
      </c>
    </row>
    <row r="118">
      <c r="A118" s="4" t="inlineStr">
        <is>
          <t>员工餐</t>
        </is>
      </c>
      <c r="D118" s="7" t="n">
        <v>728.9</v>
      </c>
      <c r="F118" s="7" t="n">
        <v>570.3</v>
      </c>
      <c r="H118" s="7" t="n">
        <v>1656.4</v>
      </c>
      <c r="J118" s="7" t="n">
        <v>1250.2</v>
      </c>
      <c r="L118" s="7" t="n">
        <v>1457.3</v>
      </c>
      <c r="N118" s="7" t="n">
        <v>902.7</v>
      </c>
      <c r="P118" s="7" t="n">
        <v>1997.1</v>
      </c>
      <c r="R118" s="7" t="n">
        <v>1207.2</v>
      </c>
      <c r="T118" s="7" t="n">
        <v>1032.6</v>
      </c>
      <c r="V118" s="7" t="n">
        <v>2704.9</v>
      </c>
      <c r="X118" s="7" t="n">
        <v>1060</v>
      </c>
      <c r="Z118" s="7" t="n">
        <v>234.8</v>
      </c>
      <c r="AB118" s="7" t="n">
        <v>14802.4</v>
      </c>
    </row>
    <row r="119">
      <c r="A119" s="4" t="inlineStr">
        <is>
          <t>节日礼品</t>
        </is>
      </c>
      <c r="D119" s="7" t="n">
        <v>999.9</v>
      </c>
      <c r="F119" s="7" t="n">
        <v>791.4</v>
      </c>
      <c r="H119" s="7" t="n">
        <v>2287</v>
      </c>
      <c r="J119" s="7" t="n">
        <v>1654.2</v>
      </c>
      <c r="L119" s="7" t="n">
        <v>1922.2</v>
      </c>
      <c r="N119" s="7" t="n">
        <v>1288.3</v>
      </c>
      <c r="P119" s="7" t="n">
        <v>1518.1</v>
      </c>
      <c r="R119" s="7" t="n">
        <v>2014</v>
      </c>
      <c r="T119" s="7" t="n">
        <v>780.1</v>
      </c>
      <c r="V119" s="7" t="n">
        <v>2542.1</v>
      </c>
      <c r="X119" s="7" t="n">
        <v>1322.9</v>
      </c>
      <c r="Z119" s="7" t="n">
        <v>396.7</v>
      </c>
      <c r="AB119" s="7" t="n">
        <v>17516.9</v>
      </c>
    </row>
    <row r="120">
      <c r="A120" s="4" t="inlineStr">
        <is>
          <t>生日礼品</t>
        </is>
      </c>
      <c r="D120" s="7" t="n">
        <v>968.7</v>
      </c>
      <c r="F120" s="7" t="n">
        <v>814.2</v>
      </c>
      <c r="H120" s="7" t="n">
        <v>2372.5</v>
      </c>
      <c r="J120" s="7" t="n">
        <v>1308</v>
      </c>
      <c r="L120" s="7" t="n">
        <v>2970.6</v>
      </c>
      <c r="N120" s="7" t="n">
        <v>1960.5</v>
      </c>
      <c r="P120" s="7" t="n">
        <v>2022.3</v>
      </c>
      <c r="R120" s="7" t="n">
        <v>2625.2</v>
      </c>
      <c r="T120" s="7" t="n">
        <v>1393</v>
      </c>
      <c r="V120" s="7" t="n">
        <v>3947.8</v>
      </c>
      <c r="X120" s="7" t="n">
        <v>1750.1</v>
      </c>
      <c r="Z120" s="7" t="n">
        <v>292</v>
      </c>
      <c r="AB120" s="7" t="n">
        <v>22424.9</v>
      </c>
    </row>
    <row r="121">
      <c r="A121" s="4" t="inlineStr">
        <is>
          <t>体检</t>
        </is>
      </c>
      <c r="D121" s="7" t="n">
        <v>297.9</v>
      </c>
      <c r="F121" s="7" t="n">
        <v>245.6</v>
      </c>
      <c r="H121" s="7" t="n">
        <v>584.4</v>
      </c>
      <c r="J121" s="7" t="n">
        <v>432.8</v>
      </c>
      <c r="L121" s="7" t="n">
        <v>593.3</v>
      </c>
      <c r="N121" s="7" t="n">
        <v>557.8</v>
      </c>
      <c r="P121" s="7" t="n">
        <v>517.2</v>
      </c>
      <c r="R121" s="7" t="n">
        <v>562.5</v>
      </c>
      <c r="T121" s="7" t="n">
        <v>324.2</v>
      </c>
      <c r="V121" s="7" t="n">
        <v>1010.2</v>
      </c>
      <c r="X121" s="7" t="n">
        <v>503.6</v>
      </c>
      <c r="Z121" s="7" t="n">
        <v>90.90000000000001</v>
      </c>
      <c r="AB121" s="7" t="n">
        <v>5720.4</v>
      </c>
    </row>
    <row r="122">
      <c r="A122" s="4" t="inlineStr">
        <is>
          <t>其他福利支出</t>
        </is>
      </c>
      <c r="D122" s="7" t="n">
        <v>652.4</v>
      </c>
      <c r="F122" s="7" t="n">
        <v>329.8</v>
      </c>
      <c r="H122" s="7" t="n">
        <v>954.4</v>
      </c>
      <c r="J122" s="7" t="n">
        <v>504.4</v>
      </c>
      <c r="L122" s="7" t="n">
        <v>904.3</v>
      </c>
      <c r="N122" s="7" t="n">
        <v>607.9</v>
      </c>
      <c r="P122" s="7" t="n">
        <v>639</v>
      </c>
      <c r="R122" s="7" t="n">
        <v>915.6</v>
      </c>
      <c r="T122" s="7" t="n">
        <v>582.8</v>
      </c>
      <c r="V122" s="7" t="n">
        <v>1245.9</v>
      </c>
      <c r="X122" s="7" t="n">
        <v>700.2</v>
      </c>
      <c r="Z122" s="7" t="n">
        <v>142.1</v>
      </c>
      <c r="AB122" s="7" t="n">
        <v>8178.8</v>
      </c>
    </row>
    <row r="123">
      <c r="A123" s="4" t="inlineStr">
        <is>
          <t>招聘费</t>
        </is>
      </c>
      <c r="D123" s="7" t="n">
        <v>634.1</v>
      </c>
      <c r="F123" s="7" t="n">
        <v>433.2</v>
      </c>
      <c r="H123" s="7" t="n">
        <v>958.2</v>
      </c>
      <c r="J123" s="7" t="n">
        <v>485.4</v>
      </c>
      <c r="L123" s="7" t="n">
        <v>926.5</v>
      </c>
      <c r="N123" s="7" t="n">
        <v>814.8</v>
      </c>
      <c r="P123" s="7" t="n">
        <v>843.7</v>
      </c>
      <c r="R123" s="7" t="n">
        <v>857.2</v>
      </c>
      <c r="T123" s="7" t="n">
        <v>496.3</v>
      </c>
      <c r="V123" s="7" t="n">
        <v>1652.2</v>
      </c>
      <c r="X123" s="7" t="n">
        <v>469.5</v>
      </c>
      <c r="Z123" s="7" t="n">
        <v>143</v>
      </c>
      <c r="AB123" s="7" t="n">
        <v>8714.1</v>
      </c>
    </row>
    <row r="124">
      <c r="A124" s="4" t="inlineStr">
        <is>
          <t>办公费</t>
        </is>
      </c>
      <c r="D124" s="7" t="n">
        <v>6994</v>
      </c>
      <c r="F124" s="7" t="n">
        <v>4993.7</v>
      </c>
      <c r="H124" s="7" t="n">
        <v>17446.6</v>
      </c>
      <c r="J124" s="7" t="n">
        <v>9404.9</v>
      </c>
      <c r="L124" s="7" t="n">
        <v>10632.9</v>
      </c>
      <c r="N124" s="7" t="n">
        <v>7578.2</v>
      </c>
      <c r="P124" s="7" t="n">
        <v>14967.2</v>
      </c>
      <c r="R124" s="7" t="n">
        <v>12760.6</v>
      </c>
      <c r="T124" s="7" t="n">
        <v>5732</v>
      </c>
      <c r="V124" s="7" t="n">
        <v>26527.7</v>
      </c>
      <c r="X124" s="7" t="n">
        <v>8197.299999999999</v>
      </c>
      <c r="Z124" s="7" t="n">
        <v>1563.2</v>
      </c>
      <c r="AB124" s="7" t="n">
        <v>126798.3</v>
      </c>
    </row>
    <row r="125">
      <c r="A125" s="4" t="inlineStr">
        <is>
          <t>市内交通费</t>
        </is>
      </c>
      <c r="D125" s="7" t="n">
        <v>899.8</v>
      </c>
      <c r="F125" s="7" t="n">
        <v>688.8</v>
      </c>
      <c r="H125" s="7" t="n">
        <v>1282.6</v>
      </c>
      <c r="J125" s="7" t="n">
        <v>1152</v>
      </c>
      <c r="L125" s="7" t="n">
        <v>1352.7</v>
      </c>
      <c r="N125" s="7" t="n">
        <v>1083.6</v>
      </c>
      <c r="P125" s="7" t="n">
        <v>1726.1</v>
      </c>
      <c r="R125" s="7" t="n">
        <v>1810.6</v>
      </c>
      <c r="T125" s="7" t="n">
        <v>1007.9</v>
      </c>
      <c r="V125" s="7" t="n">
        <v>2268.7</v>
      </c>
      <c r="X125" s="7" t="n">
        <v>877.9</v>
      </c>
      <c r="Z125" s="7" t="n">
        <v>312.6</v>
      </c>
      <c r="AB125" s="7" t="n">
        <v>14463.3</v>
      </c>
    </row>
    <row r="126">
      <c r="A126" s="4" t="inlineStr">
        <is>
          <t>差旅费</t>
        </is>
      </c>
      <c r="D126" s="7" t="n">
        <v>14571.8</v>
      </c>
      <c r="F126" s="7" t="n">
        <v>9804</v>
      </c>
      <c r="H126" s="7" t="n">
        <v>25225.5</v>
      </c>
      <c r="J126" s="7" t="n">
        <v>17706.2</v>
      </c>
      <c r="L126" s="7" t="n">
        <v>36213.4</v>
      </c>
      <c r="N126" s="7" t="n">
        <v>25320.2</v>
      </c>
      <c r="P126" s="7" t="n">
        <v>20766.6</v>
      </c>
      <c r="R126" s="7" t="n">
        <v>27627.3</v>
      </c>
      <c r="T126" s="7" t="n">
        <v>13297.1</v>
      </c>
      <c r="V126" s="7" t="n">
        <v>54492.1</v>
      </c>
      <c r="X126" s="7" t="n">
        <v>22361.5</v>
      </c>
      <c r="Z126" s="7" t="n">
        <v>3825.9</v>
      </c>
      <c r="AB126" s="7" t="n">
        <v>271211.6</v>
      </c>
    </row>
    <row r="127">
      <c r="A127" s="4" t="inlineStr">
        <is>
          <t>交通费</t>
        </is>
      </c>
      <c r="D127" s="7" t="n">
        <v>1784.8</v>
      </c>
      <c r="F127" s="7" t="n">
        <v>891.9</v>
      </c>
      <c r="H127" s="7" t="n">
        <v>3157.4</v>
      </c>
      <c r="J127" s="7" t="n">
        <v>1341.5</v>
      </c>
      <c r="L127" s="7" t="n">
        <v>2608.2</v>
      </c>
      <c r="N127" s="7" t="n">
        <v>1368.5</v>
      </c>
      <c r="P127" s="7" t="n">
        <v>2003.7</v>
      </c>
      <c r="R127" s="7" t="n">
        <v>2107.5</v>
      </c>
      <c r="T127" s="7" t="n">
        <v>1478.5</v>
      </c>
      <c r="V127" s="7" t="n">
        <v>4784.9</v>
      </c>
      <c r="X127" s="7" t="n">
        <v>1231.9</v>
      </c>
      <c r="Z127" s="7" t="n">
        <v>492.3</v>
      </c>
      <c r="AB127" s="7" t="n">
        <v>23251.1</v>
      </c>
    </row>
    <row r="128">
      <c r="A128" s="4" t="inlineStr">
        <is>
          <t>住宿费</t>
        </is>
      </c>
      <c r="D128" s="7" t="n">
        <v>983.8</v>
      </c>
      <c r="F128" s="7" t="n">
        <v>829.4</v>
      </c>
      <c r="H128" s="7" t="n">
        <v>2989</v>
      </c>
      <c r="J128" s="7" t="n">
        <v>1524</v>
      </c>
      <c r="L128" s="7" t="n">
        <v>2404</v>
      </c>
      <c r="N128" s="7" t="n">
        <v>1924.2</v>
      </c>
      <c r="P128" s="7" t="n">
        <v>2629.5</v>
      </c>
      <c r="R128" s="7" t="n">
        <v>1570.9</v>
      </c>
      <c r="T128" s="7" t="n">
        <v>922.7</v>
      </c>
      <c r="V128" s="7" t="n">
        <v>3229.1</v>
      </c>
      <c r="X128" s="7" t="n">
        <v>1613.6</v>
      </c>
      <c r="Z128" s="7" t="n">
        <v>262.6</v>
      </c>
      <c r="AB128" s="7" t="n">
        <v>20882.8</v>
      </c>
    </row>
    <row r="129">
      <c r="A129" s="4" t="inlineStr">
        <is>
          <t>餐补</t>
        </is>
      </c>
      <c r="D129" s="7" t="n">
        <v>1714.1</v>
      </c>
      <c r="F129" s="7" t="n">
        <v>845.7</v>
      </c>
      <c r="H129" s="7" t="n">
        <v>2708.9</v>
      </c>
      <c r="J129" s="7" t="n">
        <v>1716.9</v>
      </c>
      <c r="L129" s="7" t="n">
        <v>1820.2</v>
      </c>
      <c r="N129" s="7" t="n">
        <v>1309.7</v>
      </c>
      <c r="P129" s="7" t="n">
        <v>2137</v>
      </c>
      <c r="R129" s="7" t="n">
        <v>2795.2</v>
      </c>
      <c r="T129" s="7" t="n">
        <v>1491.4</v>
      </c>
      <c r="V129" s="7" t="n">
        <v>3735.5</v>
      </c>
      <c r="X129" s="7" t="n">
        <v>1865.7</v>
      </c>
      <c r="Z129" s="7" t="n">
        <v>488.9</v>
      </c>
      <c r="AB129" s="7" t="n">
        <v>22629.2</v>
      </c>
    </row>
    <row r="130">
      <c r="A130" s="4" t="inlineStr">
        <is>
          <t>交通补助</t>
        </is>
      </c>
      <c r="D130" s="7" t="n">
        <v>717.2</v>
      </c>
      <c r="F130" s="7" t="n">
        <v>538.4</v>
      </c>
      <c r="H130" s="7" t="n">
        <v>1118.4</v>
      </c>
      <c r="J130" s="7" t="n">
        <v>683.9</v>
      </c>
      <c r="L130" s="7" t="n">
        <v>1111.8</v>
      </c>
      <c r="N130" s="7" t="n">
        <v>1222.3</v>
      </c>
      <c r="P130" s="7" t="n">
        <v>931</v>
      </c>
      <c r="R130" s="7" t="n">
        <v>1271.3</v>
      </c>
      <c r="T130" s="7" t="n">
        <v>657.7</v>
      </c>
      <c r="V130" s="7" t="n">
        <v>1993</v>
      </c>
      <c r="X130" s="7" t="n">
        <v>1052.9</v>
      </c>
      <c r="Z130" s="7" t="n">
        <v>215.1</v>
      </c>
      <c r="AB130" s="7" t="n">
        <v>11513</v>
      </c>
    </row>
    <row r="131">
      <c r="A131" s="4" t="inlineStr">
        <is>
          <t>通讯补助</t>
        </is>
      </c>
      <c r="D131" s="7" t="n">
        <v>918.3</v>
      </c>
      <c r="F131" s="7" t="n">
        <v>426.2</v>
      </c>
      <c r="H131" s="7" t="n">
        <v>1518.5</v>
      </c>
      <c r="J131" s="7" t="n">
        <v>1057.1</v>
      </c>
      <c r="L131" s="7" t="n">
        <v>1767.9</v>
      </c>
      <c r="N131" s="7" t="n">
        <v>858.1</v>
      </c>
      <c r="P131" s="7" t="n">
        <v>1055.4</v>
      </c>
      <c r="R131" s="7" t="n">
        <v>1127.7</v>
      </c>
      <c r="T131" s="7" t="n">
        <v>878.2</v>
      </c>
      <c r="V131" s="7" t="n">
        <v>1709.7</v>
      </c>
      <c r="X131" s="7" t="n">
        <v>785.3</v>
      </c>
      <c r="Z131" s="7" t="n">
        <v>196.9</v>
      </c>
      <c r="AB131" s="7" t="n">
        <v>12299.3</v>
      </c>
    </row>
    <row r="132">
      <c r="A132" s="4" t="inlineStr">
        <is>
          <t>招待费</t>
        </is>
      </c>
      <c r="D132" s="7" t="n">
        <v>10030</v>
      </c>
      <c r="F132" s="7" t="n">
        <v>8825.5</v>
      </c>
      <c r="H132" s="7" t="n">
        <v>17643.6</v>
      </c>
      <c r="J132" s="7" t="n">
        <v>11325.9</v>
      </c>
      <c r="L132" s="7" t="n">
        <v>19099.1</v>
      </c>
      <c r="N132" s="7" t="n">
        <v>17393</v>
      </c>
      <c r="P132" s="7" t="n">
        <v>18549.5</v>
      </c>
      <c r="R132" s="7" t="n">
        <v>18793.3</v>
      </c>
      <c r="T132" s="7" t="n">
        <v>7428.6</v>
      </c>
      <c r="V132" s="7" t="n">
        <v>21218.4</v>
      </c>
      <c r="X132" s="7" t="n">
        <v>14521.4</v>
      </c>
      <c r="Z132" s="7" t="n">
        <v>2997.7</v>
      </c>
      <c r="AB132" s="7" t="n">
        <v>167826</v>
      </c>
    </row>
    <row r="133">
      <c r="A133" s="4" t="inlineStr">
        <is>
          <t>通讯费</t>
        </is>
      </c>
      <c r="D133" s="7" t="n">
        <v>1802.9</v>
      </c>
      <c r="F133" s="7" t="n">
        <v>1124.3</v>
      </c>
      <c r="H133" s="7" t="n">
        <v>2432.4</v>
      </c>
      <c r="J133" s="7" t="n">
        <v>2059.8</v>
      </c>
      <c r="L133" s="7" t="n">
        <v>2987.2</v>
      </c>
      <c r="N133" s="7" t="n">
        <v>1493.4</v>
      </c>
      <c r="P133" s="7" t="n">
        <v>2757.5</v>
      </c>
      <c r="R133" s="7" t="n">
        <v>2767</v>
      </c>
      <c r="T133" s="7" t="n">
        <v>928.4</v>
      </c>
      <c r="V133" s="7" t="n">
        <v>4054.2</v>
      </c>
      <c r="X133" s="7" t="n">
        <v>1666.1</v>
      </c>
      <c r="Z133" s="7" t="n">
        <v>414</v>
      </c>
      <c r="AB133" s="7" t="n">
        <v>24487.2</v>
      </c>
    </row>
    <row r="134">
      <c r="A134" s="4" t="inlineStr">
        <is>
          <t>网络费</t>
        </is>
      </c>
      <c r="D134" s="7" t="n">
        <v>732.9</v>
      </c>
      <c r="F134" s="7" t="n">
        <v>300.6</v>
      </c>
      <c r="H134" s="7" t="n">
        <v>854.1</v>
      </c>
      <c r="J134" s="7" t="n">
        <v>602</v>
      </c>
      <c r="L134" s="7" t="n">
        <v>851.2</v>
      </c>
      <c r="N134" s="7" t="n">
        <v>952.2</v>
      </c>
      <c r="P134" s="7" t="n">
        <v>1096.2</v>
      </c>
      <c r="R134" s="7" t="n">
        <v>1083.7</v>
      </c>
      <c r="T134" s="7" t="n">
        <v>519.6</v>
      </c>
      <c r="V134" s="7" t="n">
        <v>1594.5</v>
      </c>
      <c r="X134" s="7" t="n">
        <v>725.1</v>
      </c>
      <c r="Z134" s="7" t="n">
        <v>188</v>
      </c>
      <c r="AB134" s="7" t="n">
        <v>9500.1</v>
      </c>
    </row>
    <row r="135">
      <c r="A135" s="4" t="inlineStr">
        <is>
          <t>修理费</t>
        </is>
      </c>
      <c r="D135" s="7" t="n">
        <v>192.2</v>
      </c>
      <c r="F135" s="7" t="n">
        <v>98.59999999999999</v>
      </c>
      <c r="H135" s="7" t="n">
        <v>429.8</v>
      </c>
      <c r="J135" s="7" t="n">
        <v>303.6</v>
      </c>
      <c r="L135" s="7" t="n">
        <v>346.3</v>
      </c>
      <c r="N135" s="7" t="n">
        <v>228.4</v>
      </c>
      <c r="P135" s="7" t="n">
        <v>315.4</v>
      </c>
      <c r="R135" s="7" t="n">
        <v>360.3</v>
      </c>
      <c r="T135" s="7" t="n">
        <v>211.4</v>
      </c>
      <c r="V135" s="7" t="n">
        <v>554.6</v>
      </c>
      <c r="X135" s="7" t="n">
        <v>272.9</v>
      </c>
      <c r="Z135" s="7" t="n">
        <v>49.4</v>
      </c>
      <c r="AB135" s="7" t="n">
        <v>3362.9</v>
      </c>
    </row>
    <row r="136">
      <c r="A136" s="4" t="inlineStr">
        <is>
          <t>车辆费</t>
        </is>
      </c>
      <c r="D136" s="7" t="n">
        <v>879.7</v>
      </c>
      <c r="F136" s="7" t="n">
        <v>978.9</v>
      </c>
      <c r="H136" s="7" t="n">
        <v>1873.1</v>
      </c>
      <c r="J136" s="7" t="n">
        <v>1831.1</v>
      </c>
      <c r="L136" s="7" t="n">
        <v>1715.3</v>
      </c>
      <c r="N136" s="7" t="n">
        <v>1341</v>
      </c>
      <c r="P136" s="7" t="n">
        <v>1659.6</v>
      </c>
      <c r="R136" s="7" t="n">
        <v>1467.3</v>
      </c>
      <c r="T136" s="7" t="n">
        <v>797.5</v>
      </c>
      <c r="V136" s="7" t="n">
        <v>3636.9</v>
      </c>
      <c r="X136" s="7" t="n">
        <v>1717.6</v>
      </c>
      <c r="Z136" s="7" t="n">
        <v>253.8</v>
      </c>
      <c r="AB136" s="7" t="n">
        <v>18151.8</v>
      </c>
    </row>
    <row r="137">
      <c r="A137" s="4" t="inlineStr">
        <is>
          <t>租赁费</t>
        </is>
      </c>
      <c r="D137" s="7" t="n">
        <v>15344.8</v>
      </c>
      <c r="F137" s="7" t="n">
        <v>10210.5</v>
      </c>
      <c r="H137" s="7" t="n">
        <v>17514.1</v>
      </c>
      <c r="J137" s="7" t="n">
        <v>12388</v>
      </c>
      <c r="L137" s="7" t="n">
        <v>27581.6</v>
      </c>
      <c r="N137" s="7" t="n">
        <v>17369.9</v>
      </c>
      <c r="P137" s="7" t="n">
        <v>16914.6</v>
      </c>
      <c r="R137" s="7" t="n">
        <v>15622.8</v>
      </c>
      <c r="T137" s="7" t="n">
        <v>9765.6</v>
      </c>
      <c r="V137" s="7" t="n">
        <v>25928.6</v>
      </c>
      <c r="X137" s="7" t="n">
        <v>17347.4</v>
      </c>
      <c r="Z137" s="7" t="n">
        <v>4209</v>
      </c>
      <c r="AB137" s="7" t="n">
        <v>190196.9</v>
      </c>
    </row>
    <row r="138">
      <c r="A138" s="4" t="inlineStr">
        <is>
          <t>能源费</t>
        </is>
      </c>
      <c r="D138" s="7" t="n">
        <v>2069.6</v>
      </c>
      <c r="F138" s="7" t="n">
        <v>1056.7</v>
      </c>
      <c r="H138" s="7" t="n">
        <v>3296.7</v>
      </c>
      <c r="J138" s="7" t="n">
        <v>1767.7</v>
      </c>
      <c r="L138" s="7" t="n">
        <v>3498.5</v>
      </c>
      <c r="N138" s="7" t="n">
        <v>1876</v>
      </c>
      <c r="P138" s="7" t="n">
        <v>2682.8</v>
      </c>
      <c r="R138" s="7" t="n">
        <v>2511.1</v>
      </c>
      <c r="T138" s="7" t="n">
        <v>1404.2</v>
      </c>
      <c r="V138" s="7" t="n">
        <v>5264.3</v>
      </c>
      <c r="X138" s="7" t="n">
        <v>1950.9</v>
      </c>
      <c r="Z138" s="7" t="n">
        <v>598.8</v>
      </c>
      <c r="AB138" s="7" t="n">
        <v>27977.3</v>
      </c>
    </row>
    <row r="139">
      <c r="A139" s="4" t="inlineStr">
        <is>
          <t>水费</t>
        </is>
      </c>
      <c r="D139" s="7" t="n">
        <v>983.6</v>
      </c>
      <c r="F139" s="7" t="n">
        <v>490.8</v>
      </c>
      <c r="H139" s="7" t="n">
        <v>1651.8</v>
      </c>
      <c r="J139" s="7" t="n">
        <v>807.8</v>
      </c>
      <c r="L139" s="7" t="n">
        <v>1612.3</v>
      </c>
      <c r="N139" s="7" t="n">
        <v>801.4</v>
      </c>
      <c r="P139" s="7" t="n">
        <v>1253.4</v>
      </c>
      <c r="R139" s="7" t="n">
        <v>1083.7</v>
      </c>
      <c r="T139" s="7" t="n">
        <v>654.2</v>
      </c>
      <c r="V139" s="7" t="n">
        <v>2855.9</v>
      </c>
      <c r="X139" s="7" t="n">
        <v>1058</v>
      </c>
      <c r="Z139" s="7" t="n">
        <v>307.9</v>
      </c>
      <c r="AB139" s="7" t="n">
        <v>13560.8</v>
      </c>
    </row>
    <row r="140">
      <c r="A140" s="4" t="inlineStr">
        <is>
          <t>电费</t>
        </is>
      </c>
      <c r="D140" s="7" t="n">
        <v>141.2</v>
      </c>
      <c r="F140" s="7" t="n">
        <v>114.8</v>
      </c>
      <c r="H140" s="7" t="n">
        <v>351.4</v>
      </c>
      <c r="J140" s="7" t="n">
        <v>192.9</v>
      </c>
      <c r="L140" s="7" t="n">
        <v>319.9</v>
      </c>
      <c r="N140" s="7" t="n">
        <v>214.9</v>
      </c>
      <c r="P140" s="7" t="n">
        <v>379.4</v>
      </c>
      <c r="R140" s="7" t="n">
        <v>211.9</v>
      </c>
      <c r="T140" s="7" t="n">
        <v>135.5</v>
      </c>
      <c r="V140" s="7" t="n">
        <v>420.9</v>
      </c>
      <c r="X140" s="7" t="n">
        <v>169</v>
      </c>
      <c r="Z140" s="7" t="n">
        <v>39.5</v>
      </c>
      <c r="AB140" s="7" t="n">
        <v>2691.3</v>
      </c>
    </row>
    <row r="141">
      <c r="A141" s="4" t="inlineStr">
        <is>
          <t>燃气费</t>
        </is>
      </c>
      <c r="D141" s="7" t="n">
        <v>251.7</v>
      </c>
      <c r="F141" s="7" t="n">
        <v>101.3</v>
      </c>
      <c r="H141" s="7" t="n">
        <v>273.7</v>
      </c>
      <c r="J141" s="7" t="n">
        <v>187.4</v>
      </c>
      <c r="L141" s="7" t="n">
        <v>401.8</v>
      </c>
      <c r="N141" s="7" t="n">
        <v>286.3</v>
      </c>
      <c r="P141" s="7" t="n">
        <v>352</v>
      </c>
      <c r="R141" s="7" t="n">
        <v>217.1</v>
      </c>
      <c r="T141" s="7" t="n">
        <v>152.2</v>
      </c>
      <c r="V141" s="7" t="n">
        <v>399.1</v>
      </c>
      <c r="X141" s="7" t="n">
        <v>203</v>
      </c>
      <c r="Z141" s="7" t="n">
        <v>57.3</v>
      </c>
      <c r="AB141" s="7" t="n">
        <v>2882.9</v>
      </c>
    </row>
    <row r="142">
      <c r="A142" s="4" t="inlineStr">
        <is>
          <t>蒸汽费</t>
        </is>
      </c>
      <c r="D142" s="7" t="n">
        <v>693.1</v>
      </c>
      <c r="F142" s="7" t="n">
        <v>349.8</v>
      </c>
      <c r="H142" s="7" t="n">
        <v>1019.8</v>
      </c>
      <c r="J142" s="7" t="n">
        <v>579.6</v>
      </c>
      <c r="L142" s="7" t="n">
        <v>1164.5</v>
      </c>
      <c r="N142" s="7" t="n">
        <v>573.4</v>
      </c>
      <c r="P142" s="7" t="n">
        <v>698</v>
      </c>
      <c r="R142" s="7" t="n">
        <v>998.4</v>
      </c>
      <c r="T142" s="7" t="n">
        <v>462.3</v>
      </c>
      <c r="V142" s="7" t="n">
        <v>1588.4</v>
      </c>
      <c r="X142" s="7" t="n">
        <v>520.9</v>
      </c>
      <c r="Z142" s="7" t="n">
        <v>194.1</v>
      </c>
      <c r="AB142" s="7" t="n">
        <v>8842.299999999999</v>
      </c>
    </row>
    <row r="143">
      <c r="A143" s="4" t="inlineStr">
        <is>
          <t>物业费</t>
        </is>
      </c>
      <c r="D143" s="7" t="n">
        <v>648.2</v>
      </c>
      <c r="F143" s="7" t="n">
        <v>549.1</v>
      </c>
      <c r="H143" s="7" t="n">
        <v>1704.6</v>
      </c>
      <c r="J143" s="7" t="n">
        <v>784.5</v>
      </c>
      <c r="L143" s="7" t="n">
        <v>1188.8</v>
      </c>
      <c r="N143" s="7" t="n">
        <v>1044.8</v>
      </c>
      <c r="P143" s="7" t="n">
        <v>1563.3</v>
      </c>
      <c r="R143" s="7" t="n">
        <v>993.9</v>
      </c>
      <c r="T143" s="7" t="n">
        <v>927.9</v>
      </c>
      <c r="V143" s="7" t="n">
        <v>2908</v>
      </c>
      <c r="X143" s="7" t="n">
        <v>750.9</v>
      </c>
      <c r="Z143" s="7" t="n">
        <v>302.6</v>
      </c>
      <c r="AB143" s="7" t="n">
        <v>13366.6</v>
      </c>
    </row>
    <row r="144">
      <c r="A144" s="4" t="inlineStr">
        <is>
          <t>劳动保护费</t>
        </is>
      </c>
      <c r="D144" s="7" t="n">
        <v>618.4</v>
      </c>
      <c r="F144" s="7" t="n">
        <v>508.4</v>
      </c>
      <c r="H144" s="7" t="n">
        <v>829.4</v>
      </c>
      <c r="J144" s="7" t="n">
        <v>865.4</v>
      </c>
      <c r="L144" s="7" t="n">
        <v>1182.5</v>
      </c>
      <c r="N144" s="7" t="n">
        <v>663.5</v>
      </c>
      <c r="P144" s="7" t="n">
        <v>1152.1</v>
      </c>
      <c r="R144" s="7" t="n">
        <v>943.7</v>
      </c>
      <c r="T144" s="7" t="n">
        <v>439.8</v>
      </c>
      <c r="V144" s="7" t="n">
        <v>1827</v>
      </c>
      <c r="X144" s="7" t="n">
        <v>760.4</v>
      </c>
      <c r="Z144" s="7" t="n">
        <v>152.5</v>
      </c>
      <c r="AB144" s="7" t="n">
        <v>9943.1</v>
      </c>
    </row>
    <row r="145">
      <c r="A145" s="4" t="inlineStr">
        <is>
          <t>顾问费</t>
        </is>
      </c>
      <c r="D145" s="7" t="n">
        <v>873</v>
      </c>
      <c r="F145" s="7" t="n">
        <v>520.3</v>
      </c>
      <c r="H145" s="7" t="n">
        <v>1492.5</v>
      </c>
      <c r="J145" s="7" t="n">
        <v>876.8</v>
      </c>
      <c r="L145" s="7" t="n">
        <v>1699.2</v>
      </c>
      <c r="N145" s="7" t="n">
        <v>822.4</v>
      </c>
      <c r="P145" s="7" t="n">
        <v>1220.3</v>
      </c>
      <c r="R145" s="7" t="n">
        <v>1261.8</v>
      </c>
      <c r="T145" s="7" t="n">
        <v>770.5</v>
      </c>
      <c r="V145" s="7" t="n">
        <v>1707.7</v>
      </c>
      <c r="X145" s="7" t="n">
        <v>747.3</v>
      </c>
      <c r="Z145" s="7" t="n">
        <v>166.7</v>
      </c>
      <c r="AB145" s="7" t="n">
        <v>12158.5</v>
      </c>
    </row>
    <row r="146">
      <c r="A146" s="4" t="inlineStr">
        <is>
          <t>快递费</t>
        </is>
      </c>
      <c r="D146" s="7" t="n">
        <v>130.5</v>
      </c>
      <c r="F146" s="7" t="n">
        <v>101.6</v>
      </c>
      <c r="H146" s="7" t="n">
        <v>200.8</v>
      </c>
      <c r="J146" s="7" t="n">
        <v>160.5</v>
      </c>
      <c r="L146" s="7" t="n">
        <v>166.2</v>
      </c>
      <c r="N146" s="7" t="n">
        <v>165.5</v>
      </c>
      <c r="P146" s="7" t="n">
        <v>155.9</v>
      </c>
      <c r="R146" s="7" t="n">
        <v>135.2</v>
      </c>
      <c r="T146" s="7" t="n">
        <v>118.1</v>
      </c>
      <c r="V146" s="7" t="n">
        <v>364</v>
      </c>
      <c r="X146" s="7" t="n">
        <v>165.8</v>
      </c>
      <c r="Z146" s="7" t="n">
        <v>26.8</v>
      </c>
      <c r="AB146" s="7" t="n">
        <v>1890.9</v>
      </c>
    </row>
    <row r="147">
      <c r="A147" s="4" t="inlineStr">
        <is>
          <t>诉讼费</t>
        </is>
      </c>
      <c r="D147" s="7" t="n">
        <v>1137.2</v>
      </c>
      <c r="F147" s="7" t="n">
        <v>658.2</v>
      </c>
      <c r="H147" s="7" t="n">
        <v>1899.5</v>
      </c>
      <c r="J147" s="7" t="n">
        <v>1710.2</v>
      </c>
      <c r="L147" s="7" t="n">
        <v>2093.8</v>
      </c>
      <c r="N147" s="7" t="n">
        <v>1902.4</v>
      </c>
      <c r="P147" s="7" t="n">
        <v>1435.6</v>
      </c>
      <c r="R147" s="7" t="n">
        <v>1685.2</v>
      </c>
      <c r="T147" s="7" t="n">
        <v>1243.3</v>
      </c>
      <c r="V147" s="7" t="n">
        <v>2831</v>
      </c>
      <c r="X147" s="7" t="n">
        <v>1216.4</v>
      </c>
      <c r="Z147" s="7" t="n">
        <v>293.5</v>
      </c>
      <c r="AB147" s="7" t="n">
        <v>18106.3</v>
      </c>
    </row>
    <row r="148">
      <c r="A148" s="4" t="inlineStr">
        <is>
          <t>会员费</t>
        </is>
      </c>
      <c r="D148" s="7" t="n">
        <v>571.6</v>
      </c>
      <c r="F148" s="7" t="n">
        <v>551.3</v>
      </c>
      <c r="H148" s="7" t="n">
        <v>1769.9</v>
      </c>
      <c r="J148" s="7" t="n">
        <v>861.2</v>
      </c>
      <c r="L148" s="7" t="n">
        <v>1588.9</v>
      </c>
      <c r="N148" s="7" t="n">
        <v>1033.4</v>
      </c>
      <c r="P148" s="7" t="n">
        <v>1082.2</v>
      </c>
      <c r="R148" s="7" t="n">
        <v>1379</v>
      </c>
      <c r="T148" s="7" t="n">
        <v>685.9</v>
      </c>
      <c r="V148" s="7" t="n">
        <v>1617.7</v>
      </c>
      <c r="X148" s="7" t="n">
        <v>1050</v>
      </c>
      <c r="Z148" s="7" t="n">
        <v>241.3</v>
      </c>
      <c r="AB148" s="7" t="n">
        <v>12432.4</v>
      </c>
    </row>
    <row r="149">
      <c r="A149" s="4" t="inlineStr">
        <is>
          <t>广告宣传费</t>
        </is>
      </c>
      <c r="D149" s="7" t="n">
        <v>8783.299999999999</v>
      </c>
      <c r="F149" s="7" t="n">
        <v>5536.9</v>
      </c>
      <c r="H149" s="7" t="n">
        <v>14274.9</v>
      </c>
      <c r="J149" s="7" t="n">
        <v>11786.6</v>
      </c>
      <c r="L149" s="7" t="n">
        <v>14130.7</v>
      </c>
      <c r="N149" s="7" t="n">
        <v>9664.6</v>
      </c>
      <c r="P149" s="7" t="n">
        <v>13753.4</v>
      </c>
      <c r="R149" s="7" t="n">
        <v>15585.6</v>
      </c>
      <c r="T149" s="7" t="n">
        <v>7361.4</v>
      </c>
      <c r="V149" s="7" t="n">
        <v>19172.5</v>
      </c>
      <c r="X149" s="7" t="n">
        <v>12168.7</v>
      </c>
      <c r="Z149" s="7" t="n">
        <v>1954.8</v>
      </c>
      <c r="AB149" s="7" t="n">
        <v>134173.4</v>
      </c>
    </row>
    <row r="150">
      <c r="A150" s="4" t="inlineStr">
        <is>
          <t>会务费</t>
        </is>
      </c>
      <c r="D150" s="7" t="n">
        <v>35.4</v>
      </c>
      <c r="F150" s="7" t="n">
        <v>39.3</v>
      </c>
      <c r="H150" s="7" t="n">
        <v>81</v>
      </c>
      <c r="J150" s="7" t="n">
        <v>68.5</v>
      </c>
      <c r="L150" s="7" t="n">
        <v>62</v>
      </c>
      <c r="N150" s="7" t="n">
        <v>78.5</v>
      </c>
      <c r="P150" s="7" t="n">
        <v>76.8</v>
      </c>
      <c r="R150" s="7" t="n">
        <v>56.7</v>
      </c>
      <c r="T150" s="7" t="n">
        <v>38.4</v>
      </c>
      <c r="V150" s="7" t="n">
        <v>118.3</v>
      </c>
      <c r="X150" s="7" t="n">
        <v>53</v>
      </c>
      <c r="Z150" s="7" t="n">
        <v>14.8</v>
      </c>
      <c r="AB150" s="7" t="n">
        <v>722.7</v>
      </c>
    </row>
    <row r="151">
      <c r="A151" s="4" t="inlineStr">
        <is>
          <t>装修费</t>
        </is>
      </c>
      <c r="D151" s="7" t="n">
        <v>465.8</v>
      </c>
      <c r="F151" s="7" t="n">
        <v>303.2</v>
      </c>
      <c r="H151" s="7" t="n">
        <v>977</v>
      </c>
      <c r="J151" s="7" t="n">
        <v>388.9</v>
      </c>
      <c r="L151" s="7" t="n">
        <v>672.6</v>
      </c>
      <c r="N151" s="7" t="n">
        <v>505</v>
      </c>
      <c r="P151" s="7" t="n">
        <v>531.6</v>
      </c>
      <c r="R151" s="7" t="n">
        <v>589.1</v>
      </c>
      <c r="T151" s="7" t="n">
        <v>363.6</v>
      </c>
      <c r="V151" s="7" t="n">
        <v>1386.4</v>
      </c>
      <c r="X151" s="7" t="n">
        <v>532.8</v>
      </c>
      <c r="Z151" s="7" t="n">
        <v>147.1</v>
      </c>
      <c r="AB151" s="7" t="n">
        <v>6863.1</v>
      </c>
    </row>
    <row r="152">
      <c r="A152" s="4" t="inlineStr">
        <is>
          <t>推广费</t>
        </is>
      </c>
      <c r="D152" s="7" t="n">
        <v>514.8</v>
      </c>
      <c r="F152" s="7" t="n">
        <v>325.6</v>
      </c>
      <c r="H152" s="7" t="n">
        <v>1090.1</v>
      </c>
      <c r="J152" s="7" t="n">
        <v>524.9</v>
      </c>
      <c r="L152" s="7" t="n">
        <v>766.2</v>
      </c>
      <c r="N152" s="7" t="n">
        <v>628.7</v>
      </c>
      <c r="P152" s="7" t="n">
        <v>952.8</v>
      </c>
      <c r="R152" s="7" t="n">
        <v>538.3</v>
      </c>
      <c r="T152" s="7" t="n">
        <v>443</v>
      </c>
      <c r="V152" s="7" t="n">
        <v>1105</v>
      </c>
      <c r="X152" s="7" t="n">
        <v>552.1</v>
      </c>
      <c r="Z152" s="7" t="n">
        <v>148</v>
      </c>
      <c r="AB152" s="7" t="n">
        <v>7589.5</v>
      </c>
    </row>
    <row r="153">
      <c r="A153" s="4" t="inlineStr">
        <is>
          <t>展会费</t>
        </is>
      </c>
      <c r="D153" s="7" t="n">
        <v>627</v>
      </c>
      <c r="F153" s="7" t="n">
        <v>361.6</v>
      </c>
      <c r="H153" s="7" t="n">
        <v>1033.7</v>
      </c>
      <c r="J153" s="7" t="n">
        <v>720.1</v>
      </c>
      <c r="L153" s="7" t="n">
        <v>1262.2</v>
      </c>
      <c r="N153" s="7" t="n">
        <v>899.5</v>
      </c>
      <c r="P153" s="7" t="n">
        <v>1233.1</v>
      </c>
      <c r="R153" s="7" t="n">
        <v>921.3</v>
      </c>
      <c r="T153" s="7" t="n">
        <v>445.4</v>
      </c>
      <c r="V153" s="7" t="n">
        <v>1137.1</v>
      </c>
      <c r="X153" s="7" t="n">
        <v>910.9</v>
      </c>
      <c r="Z153" s="7" t="n">
        <v>153</v>
      </c>
      <c r="AB153" s="7" t="n">
        <v>9704.9</v>
      </c>
    </row>
    <row r="154">
      <c r="A154" s="4" t="inlineStr">
        <is>
          <t>设计费</t>
        </is>
      </c>
      <c r="D154" s="7" t="n">
        <v>447.1</v>
      </c>
      <c r="F154" s="7" t="n">
        <v>197.9</v>
      </c>
      <c r="H154" s="7" t="n">
        <v>862.8</v>
      </c>
      <c r="J154" s="7" t="n">
        <v>363.2</v>
      </c>
      <c r="L154" s="7" t="n">
        <v>626.9</v>
      </c>
      <c r="N154" s="7" t="n">
        <v>377.9</v>
      </c>
      <c r="P154" s="7" t="n">
        <v>804.3</v>
      </c>
      <c r="R154" s="7" t="n">
        <v>591.1</v>
      </c>
      <c r="T154" s="7" t="n">
        <v>280.5</v>
      </c>
      <c r="V154" s="7" t="n">
        <v>1222.5</v>
      </c>
      <c r="X154" s="7" t="n">
        <v>509.4</v>
      </c>
      <c r="Z154" s="7" t="n">
        <v>95.3</v>
      </c>
      <c r="AB154" s="7" t="n">
        <v>6378.9</v>
      </c>
    </row>
    <row r="155">
      <c r="A155" s="4" t="inlineStr">
        <is>
          <t>折旧费</t>
        </is>
      </c>
      <c r="D155" s="7" t="n">
        <v>12462</v>
      </c>
      <c r="F155" s="7" t="n">
        <v>6791.1</v>
      </c>
      <c r="H155" s="7" t="n">
        <v>19775.2</v>
      </c>
      <c r="J155" s="7" t="n">
        <v>10627.8</v>
      </c>
      <c r="L155" s="7" t="n">
        <v>17665.6</v>
      </c>
      <c r="N155" s="7" t="n">
        <v>14817.9</v>
      </c>
      <c r="P155" s="7" t="n">
        <v>17880.2</v>
      </c>
      <c r="R155" s="7" t="n">
        <v>18764.2</v>
      </c>
      <c r="T155" s="7" t="n">
        <v>7414</v>
      </c>
      <c r="V155" s="7" t="n">
        <v>19941.3</v>
      </c>
      <c r="X155" s="7" t="n">
        <v>14148.4</v>
      </c>
      <c r="Z155" s="7" t="n">
        <v>3556.7</v>
      </c>
      <c r="AB155" s="7" t="n">
        <v>163844.4</v>
      </c>
    </row>
    <row r="156">
      <c r="A156" s="4" t="inlineStr">
        <is>
          <t>认证费</t>
        </is>
      </c>
      <c r="D156" s="7" t="n">
        <v>825</v>
      </c>
      <c r="F156" s="7" t="n">
        <v>854.7</v>
      </c>
      <c r="H156" s="7" t="n">
        <v>2091.7</v>
      </c>
      <c r="J156" s="7" t="n">
        <v>1201.5</v>
      </c>
      <c r="L156" s="7" t="n">
        <v>2240</v>
      </c>
      <c r="N156" s="7" t="n">
        <v>1329.1</v>
      </c>
      <c r="P156" s="7" t="n">
        <v>1859.1</v>
      </c>
      <c r="R156" s="7" t="n">
        <v>1779.6</v>
      </c>
      <c r="T156" s="7" t="n">
        <v>832.8</v>
      </c>
      <c r="V156" s="7" t="n">
        <v>2756.8</v>
      </c>
      <c r="X156" s="7" t="n">
        <v>1283.2</v>
      </c>
      <c r="Z156" s="7" t="n">
        <v>279.9</v>
      </c>
      <c r="AB156" s="7" t="n">
        <v>17333.4</v>
      </c>
    </row>
    <row r="157">
      <c r="A157" s="4" t="inlineStr">
        <is>
          <t>样品费</t>
        </is>
      </c>
      <c r="D157" s="7" t="n">
        <v>4840.3</v>
      </c>
      <c r="F157" s="7" t="n">
        <v>2790.2</v>
      </c>
      <c r="H157" s="7" t="n">
        <v>7631.1</v>
      </c>
      <c r="J157" s="7" t="n">
        <v>7200.5</v>
      </c>
      <c r="L157" s="7" t="n">
        <v>8258.4</v>
      </c>
      <c r="N157" s="7" t="n">
        <v>6625</v>
      </c>
      <c r="P157" s="7" t="n">
        <v>8197.4</v>
      </c>
      <c r="R157" s="7" t="n">
        <v>9706.700000000001</v>
      </c>
      <c r="T157" s="7" t="n">
        <v>3387.4</v>
      </c>
      <c r="V157" s="7" t="n">
        <v>11526.5</v>
      </c>
      <c r="X157" s="7" t="n">
        <v>5973.8</v>
      </c>
      <c r="Z157" s="7" t="n">
        <v>1744.2</v>
      </c>
      <c r="AB157" s="7" t="n">
        <v>77881.5</v>
      </c>
    </row>
    <row r="158">
      <c r="A158" s="4" t="inlineStr">
        <is>
          <t>劳务费</t>
        </is>
      </c>
      <c r="D158" s="7" t="n">
        <v>953.1</v>
      </c>
      <c r="F158" s="7" t="n">
        <v>794.9</v>
      </c>
      <c r="H158" s="7" t="n">
        <v>1929.8</v>
      </c>
      <c r="J158" s="7" t="n">
        <v>1054.3</v>
      </c>
      <c r="L158" s="7" t="n">
        <v>1620.1</v>
      </c>
      <c r="N158" s="7" t="n">
        <v>1237</v>
      </c>
      <c r="P158" s="7" t="n">
        <v>2330.9</v>
      </c>
      <c r="R158" s="7" t="n">
        <v>1679.1</v>
      </c>
      <c r="T158" s="7" t="n">
        <v>1006.2</v>
      </c>
      <c r="V158" s="7" t="n">
        <v>2855.9</v>
      </c>
      <c r="X158" s="7" t="n">
        <v>1453.2</v>
      </c>
      <c r="Z158" s="7" t="n">
        <v>223.4</v>
      </c>
      <c r="AB158" s="7" t="n">
        <v>17137.9</v>
      </c>
    </row>
    <row r="159">
      <c r="A159" s="4" t="inlineStr">
        <is>
          <t>销售佣金</t>
        </is>
      </c>
      <c r="D159" s="7" t="n">
        <v>215.3</v>
      </c>
      <c r="F159" s="7" t="n">
        <v>158.1</v>
      </c>
      <c r="H159" s="7" t="n">
        <v>596.4</v>
      </c>
      <c r="J159" s="7" t="n">
        <v>370.8</v>
      </c>
      <c r="L159" s="7" t="n">
        <v>394.9</v>
      </c>
      <c r="N159" s="7" t="n">
        <v>436.3</v>
      </c>
      <c r="P159" s="7" t="n">
        <v>614.3</v>
      </c>
      <c r="R159" s="7" t="n">
        <v>419.7</v>
      </c>
      <c r="T159" s="7" t="n">
        <v>170.6</v>
      </c>
      <c r="V159" s="7" t="n">
        <v>890.6</v>
      </c>
      <c r="X159" s="7" t="n">
        <v>247.2</v>
      </c>
      <c r="Z159" s="7" t="n">
        <v>81</v>
      </c>
      <c r="AB159" s="7" t="n">
        <v>4595.2</v>
      </c>
    </row>
    <row r="160">
      <c r="A160" s="4" t="inlineStr">
        <is>
          <t>检测费</t>
        </is>
      </c>
      <c r="D160" s="7" t="n">
        <v>1858.3</v>
      </c>
      <c r="F160" s="7" t="n">
        <v>949.8</v>
      </c>
      <c r="H160" s="7" t="n">
        <v>2520.5</v>
      </c>
      <c r="J160" s="7" t="n">
        <v>2016.4</v>
      </c>
      <c r="L160" s="7" t="n">
        <v>2011.9</v>
      </c>
      <c r="N160" s="7" t="n">
        <v>2480.6</v>
      </c>
      <c r="P160" s="7" t="n">
        <v>2967.1</v>
      </c>
      <c r="R160" s="7" t="n">
        <v>1806.6</v>
      </c>
      <c r="T160" s="7" t="n">
        <v>1000.3</v>
      </c>
      <c r="V160" s="7" t="n">
        <v>4547</v>
      </c>
      <c r="X160" s="7" t="n">
        <v>2258.3</v>
      </c>
      <c r="Z160" s="7" t="n">
        <v>420.7</v>
      </c>
      <c r="AB160" s="7" t="n">
        <v>24837.5</v>
      </c>
    </row>
    <row r="161">
      <c r="A161" s="4" t="inlineStr">
        <is>
          <t>质量赔偿</t>
        </is>
      </c>
      <c r="D161" s="7" t="n">
        <v>1818.6</v>
      </c>
      <c r="F161" s="7" t="n">
        <v>1210.6</v>
      </c>
      <c r="H161" s="7" t="n">
        <v>2233.7</v>
      </c>
      <c r="J161" s="7" t="n">
        <v>2167.6</v>
      </c>
      <c r="L161" s="7" t="n">
        <v>2149.4</v>
      </c>
      <c r="N161" s="7" t="n">
        <v>1448.7</v>
      </c>
      <c r="P161" s="7" t="n">
        <v>2960.1</v>
      </c>
      <c r="R161" s="7" t="n">
        <v>1976.4</v>
      </c>
      <c r="T161" s="7" t="n">
        <v>1309.5</v>
      </c>
      <c r="V161" s="7" t="n">
        <v>3559</v>
      </c>
      <c r="X161" s="7" t="n">
        <v>1969.1</v>
      </c>
      <c r="Z161" s="7" t="n">
        <v>334.1</v>
      </c>
      <c r="AB161" s="7" t="n">
        <v>23136.8</v>
      </c>
    </row>
    <row r="162">
      <c r="A162" s="4" t="inlineStr">
        <is>
          <t>保险费</t>
        </is>
      </c>
      <c r="D162" s="7" t="n">
        <v>574.7</v>
      </c>
      <c r="F162" s="7" t="n">
        <v>394.9</v>
      </c>
      <c r="H162" s="7" t="n">
        <v>1716.3</v>
      </c>
      <c r="J162" s="7" t="n">
        <v>865.8</v>
      </c>
      <c r="L162" s="7" t="n">
        <v>1109.1</v>
      </c>
      <c r="N162" s="7" t="n">
        <v>1006.9</v>
      </c>
      <c r="P162" s="7" t="n">
        <v>1267.9</v>
      </c>
      <c r="R162" s="7" t="n">
        <v>1038.8</v>
      </c>
      <c r="T162" s="7" t="n">
        <v>807</v>
      </c>
      <c r="V162" s="7" t="n">
        <v>1729.8</v>
      </c>
      <c r="X162" s="7" t="n">
        <v>834.2</v>
      </c>
      <c r="Z162" s="7" t="n">
        <v>224.7</v>
      </c>
      <c r="AB162" s="7" t="n">
        <v>11570.1</v>
      </c>
    </row>
    <row r="163">
      <c r="A163" s="4" t="inlineStr">
        <is>
          <t>清洁费</t>
        </is>
      </c>
      <c r="D163" s="7" t="n">
        <v>2043.2</v>
      </c>
      <c r="F163" s="7" t="n">
        <v>1410.4</v>
      </c>
      <c r="H163" s="7" t="n">
        <v>2799.1</v>
      </c>
      <c r="J163" s="7" t="n">
        <v>2311.5</v>
      </c>
      <c r="L163" s="7" t="n">
        <v>3534.9</v>
      </c>
      <c r="N163" s="7" t="n">
        <v>1551.3</v>
      </c>
      <c r="P163" s="7" t="n">
        <v>3718.9</v>
      </c>
      <c r="R163" s="7" t="n">
        <v>2721.2</v>
      </c>
      <c r="T163" s="7" t="n">
        <v>1745.2</v>
      </c>
      <c r="V163" s="7" t="n">
        <v>4859.2</v>
      </c>
      <c r="X163" s="7" t="n">
        <v>2518.1</v>
      </c>
      <c r="Z163" s="7" t="n">
        <v>514.1</v>
      </c>
      <c r="AB163" s="7" t="n">
        <v>29727.1</v>
      </c>
    </row>
    <row r="164">
      <c r="A164" s="4" t="inlineStr">
        <is>
          <t>低值易耗品</t>
        </is>
      </c>
      <c r="D164" s="7" t="n">
        <v>1149.9</v>
      </c>
      <c r="F164" s="7" t="n">
        <v>943.9</v>
      </c>
      <c r="H164" s="7" t="n">
        <v>2211.5</v>
      </c>
      <c r="J164" s="7" t="n">
        <v>2136.9</v>
      </c>
      <c r="L164" s="7" t="n">
        <v>2226.9</v>
      </c>
      <c r="N164" s="7" t="n">
        <v>2116.4</v>
      </c>
      <c r="P164" s="7" t="n">
        <v>1839.4</v>
      </c>
      <c r="R164" s="7" t="n">
        <v>2556.6</v>
      </c>
      <c r="T164" s="7" t="n">
        <v>1440.5</v>
      </c>
      <c r="V164" s="7" t="n">
        <v>3383.3</v>
      </c>
      <c r="X164" s="7" t="n">
        <v>2031.5</v>
      </c>
      <c r="Z164" s="7" t="n">
        <v>353.5</v>
      </c>
      <c r="AB164" s="7" t="n">
        <v>22390.3</v>
      </c>
    </row>
    <row r="165">
      <c r="A165" s="4" t="inlineStr">
        <is>
          <t>物料消耗</t>
        </is>
      </c>
      <c r="D165" s="7" t="n">
        <v>1441.8</v>
      </c>
      <c r="F165" s="7" t="n">
        <v>855.6</v>
      </c>
      <c r="H165" s="7" t="n">
        <v>3695.8</v>
      </c>
      <c r="J165" s="7" t="n">
        <v>1748</v>
      </c>
      <c r="L165" s="7" t="n">
        <v>2485.8</v>
      </c>
      <c r="N165" s="7" t="n">
        <v>2727.5</v>
      </c>
      <c r="P165" s="7" t="n">
        <v>3685.4</v>
      </c>
      <c r="R165" s="7" t="n">
        <v>2802.5</v>
      </c>
      <c r="T165" s="7" t="n">
        <v>1805.3</v>
      </c>
      <c r="V165" s="7" t="n">
        <v>5215.1</v>
      </c>
      <c r="X165" s="7" t="n">
        <v>1908</v>
      </c>
      <c r="Z165" s="7" t="n">
        <v>337.3</v>
      </c>
      <c r="AB165" s="7" t="n">
        <v>28708.1</v>
      </c>
    </row>
    <row r="166">
      <c r="A166" s="4" t="inlineStr">
        <is>
          <t>盘盈盘亏</t>
        </is>
      </c>
      <c r="D166" s="7" t="n">
        <v>1787.2</v>
      </c>
      <c r="F166" s="7" t="n">
        <v>1270.7</v>
      </c>
      <c r="H166" s="7" t="n">
        <v>2695.5</v>
      </c>
      <c r="J166" s="7" t="n">
        <v>1744.7</v>
      </c>
      <c r="L166" s="7" t="n">
        <v>3211.1</v>
      </c>
      <c r="N166" s="7" t="n">
        <v>2213.3</v>
      </c>
      <c r="P166" s="7" t="n">
        <v>3203.7</v>
      </c>
      <c r="R166" s="7" t="n">
        <v>2743.7</v>
      </c>
      <c r="T166" s="7" t="n">
        <v>1556.3</v>
      </c>
      <c r="V166" s="7" t="n">
        <v>4457.2</v>
      </c>
      <c r="X166" s="7" t="n">
        <v>1797.9</v>
      </c>
      <c r="Z166" s="7" t="n">
        <v>378</v>
      </c>
      <c r="AB166" s="7" t="n">
        <v>27059.3</v>
      </c>
    </row>
    <row r="167">
      <c r="A167" s="4" t="inlineStr">
        <is>
          <t>平台服务费</t>
        </is>
      </c>
      <c r="D167" s="7" t="n">
        <v>1235.9</v>
      </c>
      <c r="F167" s="7" t="n">
        <v>798.1</v>
      </c>
      <c r="H167" s="7" t="n">
        <v>1852.8</v>
      </c>
      <c r="J167" s="7" t="n">
        <v>916.5</v>
      </c>
      <c r="L167" s="7" t="n">
        <v>1354.5</v>
      </c>
      <c r="N167" s="7" t="n">
        <v>1476.2</v>
      </c>
      <c r="P167" s="7" t="n">
        <v>1957.7</v>
      </c>
      <c r="R167" s="7" t="n">
        <v>1878.6</v>
      </c>
      <c r="T167" s="7" t="n">
        <v>707.6</v>
      </c>
      <c r="V167" s="7" t="n">
        <v>2602.8</v>
      </c>
      <c r="X167" s="7" t="n">
        <v>1340.5</v>
      </c>
      <c r="Z167" s="7" t="n">
        <v>256.1</v>
      </c>
      <c r="AB167" s="7" t="n">
        <v>16377.3</v>
      </c>
    </row>
    <row r="168">
      <c r="A168" s="4" t="inlineStr">
        <is>
          <t>无形资产摊销</t>
        </is>
      </c>
      <c r="D168" s="7" t="n">
        <v>112.9</v>
      </c>
      <c r="F168" s="7" t="n">
        <v>96.3</v>
      </c>
      <c r="H168" s="7" t="n">
        <v>333.7</v>
      </c>
      <c r="J168" s="7" t="n">
        <v>209.4</v>
      </c>
      <c r="L168" s="7" t="n">
        <v>292.9</v>
      </c>
      <c r="N168" s="7" t="n">
        <v>224.5</v>
      </c>
      <c r="P168" s="7" t="n">
        <v>275.6</v>
      </c>
      <c r="R168" s="7" t="n">
        <v>256.8</v>
      </c>
      <c r="T168" s="7" t="n">
        <v>110.2</v>
      </c>
      <c r="V168" s="7" t="n">
        <v>373.1</v>
      </c>
      <c r="X168" s="7" t="n">
        <v>194</v>
      </c>
      <c r="Z168" s="7" t="n">
        <v>33.7</v>
      </c>
      <c r="AB168" s="7" t="n">
        <v>2513.1</v>
      </c>
    </row>
    <row r="169">
      <c r="A169" s="4" t="inlineStr">
        <is>
          <t>研发材料</t>
        </is>
      </c>
      <c r="D169" s="7" t="n">
        <v>1420.6</v>
      </c>
      <c r="F169" s="7" t="n">
        <v>940.8</v>
      </c>
      <c r="H169" s="7" t="n">
        <v>1783</v>
      </c>
      <c r="J169" s="7" t="n">
        <v>1385.7</v>
      </c>
      <c r="L169" s="7" t="n">
        <v>1711.2</v>
      </c>
      <c r="N169" s="7" t="n">
        <v>1904.3</v>
      </c>
      <c r="P169" s="7" t="n">
        <v>2626.5</v>
      </c>
      <c r="R169" s="7" t="n">
        <v>2247.2</v>
      </c>
      <c r="T169" s="7" t="n">
        <v>862.8</v>
      </c>
      <c r="V169" s="7" t="n">
        <v>4009.8</v>
      </c>
      <c r="X169" s="7" t="n">
        <v>1781.9</v>
      </c>
      <c r="Z169" s="7" t="n">
        <v>358.3</v>
      </c>
      <c r="AB169" s="7" t="n">
        <v>21032.1</v>
      </c>
    </row>
    <row r="170">
      <c r="A170" s="4" t="inlineStr">
        <is>
          <t>项目名称</t>
        </is>
      </c>
      <c r="D170" s="7" t="n">
        <v>1346.9</v>
      </c>
      <c r="F170" s="7" t="n">
        <v>933.7</v>
      </c>
      <c r="H170" s="7" t="n">
        <v>1624.7</v>
      </c>
      <c r="J170" s="7" t="n">
        <v>1492.1</v>
      </c>
      <c r="L170" s="7" t="n">
        <v>1544.6</v>
      </c>
      <c r="N170" s="7" t="n">
        <v>1331.9</v>
      </c>
      <c r="P170" s="7" t="n">
        <v>1809.2</v>
      </c>
      <c r="R170" s="7" t="n">
        <v>1424.9</v>
      </c>
      <c r="T170" s="7" t="n">
        <v>709.9</v>
      </c>
      <c r="V170" s="7" t="n">
        <v>2652.2</v>
      </c>
      <c r="X170" s="7" t="n">
        <v>1643</v>
      </c>
      <c r="Z170" s="7" t="n">
        <v>231.2</v>
      </c>
      <c r="AB170" s="7" t="n">
        <v>16744.3</v>
      </c>
    </row>
    <row r="171">
      <c r="A171" s="4" t="inlineStr">
        <is>
          <t>研发费</t>
        </is>
      </c>
      <c r="D171" s="7" t="n">
        <v>1193.2</v>
      </c>
      <c r="F171" s="7" t="n">
        <v>1043.6</v>
      </c>
      <c r="H171" s="7" t="n">
        <v>2211.8</v>
      </c>
      <c r="J171" s="7" t="n">
        <v>1685.7</v>
      </c>
      <c r="L171" s="7" t="n">
        <v>1704.6</v>
      </c>
      <c r="N171" s="7" t="n">
        <v>1831.9</v>
      </c>
      <c r="P171" s="7" t="n">
        <v>1764.7</v>
      </c>
      <c r="R171" s="7" t="n">
        <v>2323.2</v>
      </c>
      <c r="T171" s="7" t="n">
        <v>1263.3</v>
      </c>
      <c r="V171" s="7" t="n">
        <v>2882.9</v>
      </c>
      <c r="X171" s="7" t="n">
        <v>1480.3</v>
      </c>
      <c r="Z171" s="7" t="n">
        <v>267.8</v>
      </c>
      <c r="AB171" s="7" t="n">
        <v>19653</v>
      </c>
    </row>
    <row r="172">
      <c r="A172" s="4" t="inlineStr">
        <is>
          <t>残保金</t>
        </is>
      </c>
      <c r="D172" s="7" t="n">
        <v>1568.3</v>
      </c>
      <c r="F172" s="7" t="n">
        <v>1288.5</v>
      </c>
      <c r="H172" s="7" t="n">
        <v>2358.1</v>
      </c>
      <c r="J172" s="7" t="n">
        <v>2012.8</v>
      </c>
      <c r="L172" s="7" t="n">
        <v>2505.3</v>
      </c>
      <c r="N172" s="7" t="n">
        <v>1828.9</v>
      </c>
      <c r="P172" s="7" t="n">
        <v>2033.9</v>
      </c>
      <c r="R172" s="7" t="n">
        <v>1988.3</v>
      </c>
      <c r="T172" s="7" t="n">
        <v>1103.5</v>
      </c>
      <c r="V172" s="7" t="n">
        <v>4214.4</v>
      </c>
      <c r="X172" s="7" t="n">
        <v>2202.9</v>
      </c>
      <c r="Z172" s="7" t="n">
        <v>378</v>
      </c>
      <c r="AB172" s="7" t="n">
        <v>23482.9</v>
      </c>
    </row>
    <row r="173">
      <c r="A173" s="4" t="inlineStr">
        <is>
          <t>环保费</t>
        </is>
      </c>
      <c r="D173" s="7" t="n">
        <v>1152.5</v>
      </c>
      <c r="F173" s="7" t="n">
        <v>560.5</v>
      </c>
      <c r="H173" s="7" t="n">
        <v>1689.6</v>
      </c>
      <c r="J173" s="7" t="n">
        <v>1299.6</v>
      </c>
      <c r="L173" s="7" t="n">
        <v>2348.8</v>
      </c>
      <c r="N173" s="7" t="n">
        <v>1719.6</v>
      </c>
      <c r="P173" s="7" t="n">
        <v>2327.8</v>
      </c>
      <c r="R173" s="7" t="n">
        <v>2044.9</v>
      </c>
      <c r="T173" s="7" t="n">
        <v>1174.6</v>
      </c>
      <c r="V173" s="7" t="n">
        <v>2685.4</v>
      </c>
      <c r="X173" s="7" t="n">
        <v>1071</v>
      </c>
      <c r="Z173" s="7" t="n">
        <v>240.9</v>
      </c>
      <c r="AB173" s="7" t="n">
        <v>18315.2</v>
      </c>
    </row>
    <row r="174">
      <c r="A174" s="4" t="inlineStr">
        <is>
          <t>报废损失</t>
        </is>
      </c>
      <c r="D174" s="7" t="n">
        <v>483.6</v>
      </c>
      <c r="F174" s="7" t="n">
        <v>480.7</v>
      </c>
      <c r="H174" s="7" t="n">
        <v>1367.9</v>
      </c>
      <c r="J174" s="7" t="n">
        <v>893.6</v>
      </c>
      <c r="L174" s="7" t="n">
        <v>1311.1</v>
      </c>
      <c r="N174" s="7" t="n">
        <v>796.5</v>
      </c>
      <c r="P174" s="7" t="n">
        <v>1153.4</v>
      </c>
      <c r="R174" s="7" t="n">
        <v>643.1</v>
      </c>
      <c r="T174" s="7" t="n">
        <v>426.5</v>
      </c>
      <c r="V174" s="7" t="n">
        <v>1640</v>
      </c>
      <c r="X174" s="7" t="n">
        <v>606.6</v>
      </c>
      <c r="Z174" s="7" t="n">
        <v>149.3</v>
      </c>
      <c r="AB174" s="7" t="n">
        <v>9952.299999999999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134244.5</v>
      </c>
      <c r="D175" s="7" t="n">
        <v>74871.7</v>
      </c>
      <c r="E175" s="7" t="n">
        <v>130937.3</v>
      </c>
      <c r="F175" s="7" t="n">
        <v>135922.9</v>
      </c>
      <c r="G175" s="7" t="n">
        <v>134746.4</v>
      </c>
      <c r="H175" s="7" t="n">
        <v>183782.6</v>
      </c>
      <c r="I175" s="7" t="n">
        <v>168592.6</v>
      </c>
      <c r="J175" s="7" t="n">
        <v>129426.8</v>
      </c>
      <c r="K175" s="7" t="n">
        <v>166914.6</v>
      </c>
      <c r="L175" s="7" t="n">
        <v>129295.8</v>
      </c>
      <c r="M175" s="7" t="n">
        <v>162956.6</v>
      </c>
      <c r="N175" s="7" t="n">
        <v>214696.6</v>
      </c>
      <c r="O175" s="7" t="n">
        <v>171075.1</v>
      </c>
      <c r="P175" s="7" t="n">
        <v>281251.4</v>
      </c>
      <c r="Q175" s="7" t="n">
        <v>141801.9</v>
      </c>
      <c r="R175" s="7" t="n">
        <v>262120.4</v>
      </c>
      <c r="S175" s="7" t="n">
        <v>168831.8</v>
      </c>
      <c r="T175" s="7" t="n">
        <v>63246.4</v>
      </c>
      <c r="U175" s="7" t="n">
        <v>156818.5</v>
      </c>
      <c r="V175" s="7" t="n">
        <v>177927.4</v>
      </c>
      <c r="W175" s="7" t="n">
        <v>163581.9</v>
      </c>
      <c r="X175" s="7" t="n">
        <v>134964.5</v>
      </c>
      <c r="Y175" s="7" t="n">
        <v>140929.7</v>
      </c>
      <c r="Z175" s="7" t="n">
        <v>32649.7</v>
      </c>
      <c r="AA175" s="8" t="n">
        <v>1841430.9</v>
      </c>
      <c r="AB175" s="8" t="n">
        <v>1820156.2</v>
      </c>
    </row>
    <row r="176">
      <c r="A176" s="4" t="inlineStr">
        <is>
          <t>职工薪酬</t>
        </is>
      </c>
      <c r="D176" s="7" t="n">
        <v>33426</v>
      </c>
      <c r="F176" s="7" t="n">
        <v>60687.3</v>
      </c>
      <c r="H176" s="7" t="n">
        <v>95228.39999999999</v>
      </c>
      <c r="J176" s="7" t="n">
        <v>64665.7</v>
      </c>
      <c r="L176" s="7" t="n">
        <v>76072.39999999999</v>
      </c>
      <c r="N176" s="7" t="n">
        <v>122620</v>
      </c>
      <c r="P176" s="7" t="n">
        <v>125949.8</v>
      </c>
      <c r="R176" s="7" t="n">
        <v>116711.2</v>
      </c>
      <c r="T176" s="7" t="n">
        <v>36474</v>
      </c>
      <c r="V176" s="7" t="n">
        <v>92162.5</v>
      </c>
      <c r="X176" s="7" t="n">
        <v>68298.39999999999</v>
      </c>
      <c r="Z176" s="7" t="n">
        <v>19552</v>
      </c>
      <c r="AB176" s="7" t="n">
        <v>911847.7</v>
      </c>
    </row>
    <row r="177">
      <c r="A177" s="4" t="inlineStr">
        <is>
          <t>工资</t>
        </is>
      </c>
      <c r="D177" s="7" t="n">
        <v>16206.4</v>
      </c>
      <c r="F177" s="7" t="n">
        <v>34910.5</v>
      </c>
      <c r="H177" s="7" t="n">
        <v>61948.2</v>
      </c>
      <c r="J177" s="7" t="n">
        <v>37347.1</v>
      </c>
      <c r="L177" s="7" t="n">
        <v>50313.7</v>
      </c>
      <c r="N177" s="7" t="n">
        <v>80918.5</v>
      </c>
      <c r="P177" s="7" t="n">
        <v>61127.9</v>
      </c>
      <c r="R177" s="7" t="n">
        <v>71866.5</v>
      </c>
      <c r="T177" s="7" t="n">
        <v>21353.6</v>
      </c>
      <c r="V177" s="7" t="n">
        <v>52904.2</v>
      </c>
      <c r="X177" s="7" t="n">
        <v>40319</v>
      </c>
      <c r="Z177" s="7" t="n">
        <v>11827.4</v>
      </c>
      <c r="AB177" s="7" t="n">
        <v>541043</v>
      </c>
    </row>
    <row r="178">
      <c r="A178" s="4" t="inlineStr">
        <is>
          <t>奖金及提成</t>
        </is>
      </c>
      <c r="D178" s="7" t="n">
        <v>9135.299999999999</v>
      </c>
      <c r="F178" s="7" t="n">
        <v>10523</v>
      </c>
      <c r="H178" s="7" t="n">
        <v>13896.7</v>
      </c>
      <c r="J178" s="7" t="n">
        <v>15801.8</v>
      </c>
      <c r="L178" s="7" t="n">
        <v>10452.2</v>
      </c>
      <c r="N178" s="7" t="n">
        <v>17196.7</v>
      </c>
      <c r="P178" s="7" t="n">
        <v>28272.6</v>
      </c>
      <c r="R178" s="7" t="n">
        <v>22638.7</v>
      </c>
      <c r="T178" s="7" t="n">
        <v>7808</v>
      </c>
      <c r="V178" s="7" t="n">
        <v>18707.4</v>
      </c>
      <c r="X178" s="7" t="n">
        <v>14173</v>
      </c>
      <c r="Z178" s="7" t="n">
        <v>4188.9</v>
      </c>
      <c r="AB178" s="7" t="n">
        <v>172794.3</v>
      </c>
    </row>
    <row r="179">
      <c r="A179" s="4" t="inlineStr">
        <is>
          <t>社保</t>
        </is>
      </c>
      <c r="D179" s="7" t="n">
        <v>6083.2</v>
      </c>
      <c r="F179" s="7" t="n">
        <v>11335.7</v>
      </c>
      <c r="H179" s="7" t="n">
        <v>13965.3</v>
      </c>
      <c r="J179" s="7" t="n">
        <v>7725.2</v>
      </c>
      <c r="L179" s="7" t="n">
        <v>12008.5</v>
      </c>
      <c r="N179" s="7" t="n">
        <v>18998.8</v>
      </c>
      <c r="P179" s="7" t="n">
        <v>27729.6</v>
      </c>
      <c r="R179" s="7" t="n">
        <v>15005.4</v>
      </c>
      <c r="T179" s="7" t="n">
        <v>5610.1</v>
      </c>
      <c r="V179" s="7" t="n">
        <v>15776.9</v>
      </c>
      <c r="X179" s="7" t="n">
        <v>10111.6</v>
      </c>
      <c r="Z179" s="7" t="n">
        <v>2753.6</v>
      </c>
      <c r="AB179" s="7" t="n">
        <v>147103.9</v>
      </c>
    </row>
    <row r="180">
      <c r="A180" s="4" t="inlineStr">
        <is>
          <t>养老</t>
        </is>
      </c>
      <c r="D180" s="7" t="n">
        <v>561.4</v>
      </c>
      <c r="F180" s="7" t="n">
        <v>671.7</v>
      </c>
      <c r="H180" s="7" t="n">
        <v>858.2</v>
      </c>
      <c r="J180" s="7" t="n">
        <v>967.5</v>
      </c>
      <c r="L180" s="7" t="n">
        <v>883.7</v>
      </c>
      <c r="N180" s="7" t="n">
        <v>1302.3</v>
      </c>
      <c r="P180" s="7" t="n">
        <v>2233.4</v>
      </c>
      <c r="R180" s="7" t="n">
        <v>1727.4</v>
      </c>
      <c r="T180" s="7" t="n">
        <v>277.5</v>
      </c>
      <c r="V180" s="7" t="n">
        <v>1422.6</v>
      </c>
      <c r="X180" s="7" t="n">
        <v>920.7</v>
      </c>
      <c r="Z180" s="7" t="n">
        <v>258.7</v>
      </c>
      <c r="AB180" s="7" t="n">
        <v>12085.1</v>
      </c>
    </row>
    <row r="181">
      <c r="A181" s="4" t="inlineStr">
        <is>
          <t>医疗</t>
        </is>
      </c>
      <c r="D181" s="7" t="n">
        <v>181.7</v>
      </c>
      <c r="F181" s="7" t="n">
        <v>330.3</v>
      </c>
      <c r="H181" s="7" t="n">
        <v>499</v>
      </c>
      <c r="J181" s="7" t="n">
        <v>287.2</v>
      </c>
      <c r="L181" s="7" t="n">
        <v>227.8</v>
      </c>
      <c r="N181" s="7" t="n">
        <v>333.6</v>
      </c>
      <c r="P181" s="7" t="n">
        <v>650.9</v>
      </c>
      <c r="R181" s="7" t="n">
        <v>499.2</v>
      </c>
      <c r="T181" s="7" t="n">
        <v>98.8</v>
      </c>
      <c r="V181" s="7" t="n">
        <v>281.5</v>
      </c>
      <c r="X181" s="7" t="n">
        <v>365.5</v>
      </c>
      <c r="Z181" s="7" t="n">
        <v>64.59999999999999</v>
      </c>
      <c r="AB181" s="7" t="n">
        <v>3820.1</v>
      </c>
    </row>
    <row r="182">
      <c r="A182" s="4" t="inlineStr">
        <is>
          <t>工伤</t>
        </is>
      </c>
      <c r="D182" s="7" t="n">
        <v>158</v>
      </c>
      <c r="F182" s="7" t="n">
        <v>454.7</v>
      </c>
      <c r="H182" s="7" t="n">
        <v>586.1</v>
      </c>
      <c r="J182" s="7" t="n">
        <v>255.1</v>
      </c>
      <c r="L182" s="7" t="n">
        <v>409.7</v>
      </c>
      <c r="N182" s="7" t="n">
        <v>448</v>
      </c>
      <c r="P182" s="7" t="n">
        <v>859</v>
      </c>
      <c r="R182" s="7" t="n">
        <v>597.1</v>
      </c>
      <c r="T182" s="7" t="n">
        <v>190.5</v>
      </c>
      <c r="V182" s="7" t="n">
        <v>508.4</v>
      </c>
      <c r="X182" s="7" t="n">
        <v>272.6</v>
      </c>
      <c r="Z182" s="7" t="n">
        <v>84.90000000000001</v>
      </c>
      <c r="AB182" s="7" t="n">
        <v>4824.1</v>
      </c>
    </row>
    <row r="183">
      <c r="A183" s="4" t="inlineStr">
        <is>
          <t>失业</t>
        </is>
      </c>
      <c r="D183" s="7" t="n">
        <v>251.3</v>
      </c>
      <c r="F183" s="7" t="n">
        <v>341.5</v>
      </c>
      <c r="H183" s="7" t="n">
        <v>578.9</v>
      </c>
      <c r="J183" s="7" t="n">
        <v>285.8</v>
      </c>
      <c r="L183" s="7" t="n">
        <v>403</v>
      </c>
      <c r="N183" s="7" t="n">
        <v>730</v>
      </c>
      <c r="P183" s="7" t="n">
        <v>803.4</v>
      </c>
      <c r="R183" s="7" t="n">
        <v>738.5</v>
      </c>
      <c r="T183" s="7" t="n">
        <v>220.8</v>
      </c>
      <c r="V183" s="7" t="n">
        <v>497.3</v>
      </c>
      <c r="X183" s="7" t="n">
        <v>397.1</v>
      </c>
      <c r="Z183" s="7" t="n">
        <v>88.3</v>
      </c>
      <c r="AB183" s="7" t="n">
        <v>5335.9</v>
      </c>
    </row>
    <row r="184">
      <c r="A184" s="4" t="inlineStr">
        <is>
          <t>生育</t>
        </is>
      </c>
      <c r="D184" s="7" t="n">
        <v>440.7</v>
      </c>
      <c r="F184" s="7" t="n">
        <v>720.3</v>
      </c>
      <c r="H184" s="7" t="n">
        <v>875.6</v>
      </c>
      <c r="J184" s="7" t="n">
        <v>613.5</v>
      </c>
      <c r="L184" s="7" t="n">
        <v>464.5</v>
      </c>
      <c r="N184" s="7" t="n">
        <v>963.9</v>
      </c>
      <c r="P184" s="7" t="n">
        <v>1364.6</v>
      </c>
      <c r="R184" s="7" t="n">
        <v>1085.1</v>
      </c>
      <c r="T184" s="7" t="n">
        <v>348.8</v>
      </c>
      <c r="V184" s="7" t="n">
        <v>700</v>
      </c>
      <c r="X184" s="7" t="n">
        <v>667.6</v>
      </c>
      <c r="Z184" s="7" t="n">
        <v>174.6</v>
      </c>
      <c r="AB184" s="7" t="n">
        <v>8419.200000000001</v>
      </c>
    </row>
    <row r="185">
      <c r="A185" s="4" t="inlineStr">
        <is>
          <t>公积金</t>
        </is>
      </c>
      <c r="D185" s="7" t="n">
        <v>225.2</v>
      </c>
      <c r="F185" s="7" t="n">
        <v>450.1</v>
      </c>
      <c r="H185" s="7" t="n">
        <v>786.8</v>
      </c>
      <c r="J185" s="7" t="n">
        <v>439.3</v>
      </c>
      <c r="L185" s="7" t="n">
        <v>351.1</v>
      </c>
      <c r="N185" s="7" t="n">
        <v>573.7</v>
      </c>
      <c r="P185" s="7" t="n">
        <v>1201.6</v>
      </c>
      <c r="R185" s="7" t="n">
        <v>1086.6</v>
      </c>
      <c r="T185" s="7" t="n">
        <v>220.6</v>
      </c>
      <c r="V185" s="7" t="n">
        <v>537</v>
      </c>
      <c r="X185" s="7" t="n">
        <v>338.3</v>
      </c>
      <c r="Z185" s="7" t="n">
        <v>83.8</v>
      </c>
      <c r="AB185" s="7" t="n">
        <v>6294.1</v>
      </c>
    </row>
    <row r="186">
      <c r="A186" s="4" t="inlineStr">
        <is>
          <t>工会经费</t>
        </is>
      </c>
      <c r="D186" s="7" t="n">
        <v>16.9</v>
      </c>
      <c r="F186" s="7" t="n">
        <v>38.4</v>
      </c>
      <c r="H186" s="7" t="n">
        <v>41.1</v>
      </c>
      <c r="J186" s="7" t="n">
        <v>42</v>
      </c>
      <c r="L186" s="7" t="n">
        <v>39.8</v>
      </c>
      <c r="N186" s="7" t="n">
        <v>54.1</v>
      </c>
      <c r="P186" s="7" t="n">
        <v>70.90000000000001</v>
      </c>
      <c r="R186" s="7" t="n">
        <v>58.1</v>
      </c>
      <c r="T186" s="7" t="n">
        <v>18.7</v>
      </c>
      <c r="V186" s="7" t="n">
        <v>40.4</v>
      </c>
      <c r="X186" s="7" t="n">
        <v>43.8</v>
      </c>
      <c r="Z186" s="7" t="n">
        <v>7.8</v>
      </c>
      <c r="AB186" s="7" t="n">
        <v>472</v>
      </c>
    </row>
    <row r="187">
      <c r="A187" s="4" t="inlineStr">
        <is>
          <t>职工教育经费</t>
        </is>
      </c>
      <c r="D187" s="7" t="n">
        <v>83.7</v>
      </c>
      <c r="F187" s="7" t="n">
        <v>121.8</v>
      </c>
      <c r="H187" s="7" t="n">
        <v>269.2</v>
      </c>
      <c r="J187" s="7" t="n">
        <v>135.9</v>
      </c>
      <c r="L187" s="7" t="n">
        <v>162.6</v>
      </c>
      <c r="N187" s="7" t="n">
        <v>249.6</v>
      </c>
      <c r="P187" s="7" t="n">
        <v>370.4</v>
      </c>
      <c r="R187" s="7" t="n">
        <v>336.4</v>
      </c>
      <c r="T187" s="7" t="n">
        <v>64.90000000000001</v>
      </c>
      <c r="V187" s="7" t="n">
        <v>272.1</v>
      </c>
      <c r="X187" s="7" t="n">
        <v>197.2</v>
      </c>
      <c r="Z187" s="7" t="n">
        <v>31.7</v>
      </c>
      <c r="AB187" s="7" t="n">
        <v>2295.5</v>
      </c>
    </row>
    <row r="188">
      <c r="A188" s="4" t="inlineStr">
        <is>
          <t>福利费</t>
        </is>
      </c>
      <c r="D188" s="7" t="n">
        <v>1675.3</v>
      </c>
      <c r="F188" s="7" t="n">
        <v>3307.8</v>
      </c>
      <c r="H188" s="7" t="n">
        <v>4321.1</v>
      </c>
      <c r="J188" s="7" t="n">
        <v>3174.4</v>
      </c>
      <c r="L188" s="7" t="n">
        <v>2744.5</v>
      </c>
      <c r="N188" s="7" t="n">
        <v>4628.6</v>
      </c>
      <c r="P188" s="7" t="n">
        <v>7176.8</v>
      </c>
      <c r="R188" s="7" t="n">
        <v>5719.5</v>
      </c>
      <c r="T188" s="7" t="n">
        <v>1398.1</v>
      </c>
      <c r="V188" s="7" t="n">
        <v>3924.5</v>
      </c>
      <c r="X188" s="7" t="n">
        <v>3115.5</v>
      </c>
      <c r="Z188" s="7" t="n">
        <v>658.8</v>
      </c>
      <c r="AB188" s="7" t="n">
        <v>41844.9</v>
      </c>
    </row>
    <row r="189">
      <c r="A189" s="4" t="inlineStr">
        <is>
          <t>职工房租</t>
        </is>
      </c>
      <c r="D189" s="7" t="n">
        <v>503.2</v>
      </c>
      <c r="F189" s="7" t="n">
        <v>854</v>
      </c>
      <c r="H189" s="7" t="n">
        <v>1246.7</v>
      </c>
      <c r="J189" s="7" t="n">
        <v>1052.8</v>
      </c>
      <c r="L189" s="7" t="n">
        <v>750.4</v>
      </c>
      <c r="N189" s="7" t="n">
        <v>1501.5</v>
      </c>
      <c r="P189" s="7" t="n">
        <v>1984.6</v>
      </c>
      <c r="R189" s="7" t="n">
        <v>1555.5</v>
      </c>
      <c r="T189" s="7" t="n">
        <v>353.1</v>
      </c>
      <c r="V189" s="7" t="n">
        <v>873.4</v>
      </c>
      <c r="X189" s="7" t="n">
        <v>605.4</v>
      </c>
      <c r="Z189" s="7" t="n">
        <v>158.6</v>
      </c>
      <c r="AB189" s="7" t="n">
        <v>11439.2</v>
      </c>
    </row>
    <row r="190">
      <c r="A190" s="4" t="inlineStr">
        <is>
          <t>水电物业费</t>
        </is>
      </c>
      <c r="D190" s="7" t="n">
        <v>10</v>
      </c>
      <c r="F190" s="7" t="n">
        <v>17.2</v>
      </c>
      <c r="H190" s="7" t="n">
        <v>15.8</v>
      </c>
      <c r="J190" s="7" t="n">
        <v>14.7</v>
      </c>
      <c r="L190" s="7" t="n">
        <v>14.7</v>
      </c>
      <c r="N190" s="7" t="n">
        <v>21.5</v>
      </c>
      <c r="P190" s="7" t="n">
        <v>31.5</v>
      </c>
      <c r="R190" s="7" t="n">
        <v>32.1</v>
      </c>
      <c r="T190" s="7" t="n">
        <v>5.4</v>
      </c>
      <c r="V190" s="7" t="n">
        <v>16.3</v>
      </c>
      <c r="X190" s="7" t="n">
        <v>13.8</v>
      </c>
      <c r="Z190" s="7" t="n">
        <v>3.3</v>
      </c>
      <c r="AB190" s="7" t="n">
        <v>196.3</v>
      </c>
    </row>
    <row r="191">
      <c r="A191" s="4" t="inlineStr">
        <is>
          <t>员工餐</t>
        </is>
      </c>
      <c r="D191" s="7" t="n">
        <v>8.6</v>
      </c>
      <c r="F191" s="7" t="n">
        <v>15.4</v>
      </c>
      <c r="H191" s="7" t="n">
        <v>29.5</v>
      </c>
      <c r="J191" s="7" t="n">
        <v>23.7</v>
      </c>
      <c r="L191" s="7" t="n">
        <v>18.2</v>
      </c>
      <c r="N191" s="7" t="n">
        <v>37.3</v>
      </c>
      <c r="P191" s="7" t="n">
        <v>42.3</v>
      </c>
      <c r="R191" s="7" t="n">
        <v>30.8</v>
      </c>
      <c r="T191" s="7" t="n">
        <v>9.4</v>
      </c>
      <c r="V191" s="7" t="n">
        <v>30.6</v>
      </c>
      <c r="X191" s="7" t="n">
        <v>14.1</v>
      </c>
      <c r="Z191" s="7" t="n">
        <v>3.3</v>
      </c>
      <c r="AB191" s="7" t="n">
        <v>263.2</v>
      </c>
    </row>
    <row r="192">
      <c r="A192" s="4" t="inlineStr">
        <is>
          <t>节日礼品</t>
        </is>
      </c>
      <c r="D192" s="7" t="n">
        <v>349.1</v>
      </c>
      <c r="F192" s="7" t="n">
        <v>723.5</v>
      </c>
      <c r="H192" s="7" t="n">
        <v>918.6</v>
      </c>
      <c r="J192" s="7" t="n">
        <v>611.1</v>
      </c>
      <c r="L192" s="7" t="n">
        <v>565.2</v>
      </c>
      <c r="N192" s="7" t="n">
        <v>916.4</v>
      </c>
      <c r="P192" s="7" t="n">
        <v>1016.7</v>
      </c>
      <c r="R192" s="7" t="n">
        <v>1075.4</v>
      </c>
      <c r="T192" s="7" t="n">
        <v>259.3</v>
      </c>
      <c r="V192" s="7" t="n">
        <v>775.7</v>
      </c>
      <c r="X192" s="7" t="n">
        <v>595.2</v>
      </c>
      <c r="Z192" s="7" t="n">
        <v>149.4</v>
      </c>
      <c r="AB192" s="7" t="n">
        <v>7955.6</v>
      </c>
    </row>
    <row r="193">
      <c r="A193" s="4" t="inlineStr">
        <is>
          <t>生日礼品</t>
        </is>
      </c>
      <c r="D193" s="7" t="n">
        <v>398.1</v>
      </c>
      <c r="F193" s="7" t="n">
        <v>821.5</v>
      </c>
      <c r="H193" s="7" t="n">
        <v>1000.9</v>
      </c>
      <c r="J193" s="7" t="n">
        <v>660.7</v>
      </c>
      <c r="L193" s="7" t="n">
        <v>615.9</v>
      </c>
      <c r="N193" s="7" t="n">
        <v>848.7</v>
      </c>
      <c r="P193" s="7" t="n">
        <v>1861.2</v>
      </c>
      <c r="R193" s="7" t="n">
        <v>1334</v>
      </c>
      <c r="T193" s="7" t="n">
        <v>333.3</v>
      </c>
      <c r="V193" s="7" t="n">
        <v>949.9</v>
      </c>
      <c r="X193" s="7" t="n">
        <v>913.1</v>
      </c>
      <c r="Z193" s="7" t="n">
        <v>158.8</v>
      </c>
      <c r="AB193" s="7" t="n">
        <v>9896.1</v>
      </c>
    </row>
    <row r="194">
      <c r="A194" s="4" t="inlineStr">
        <is>
          <t>体检</t>
        </is>
      </c>
      <c r="D194" s="7" t="n">
        <v>244</v>
      </c>
      <c r="F194" s="7" t="n">
        <v>542.6</v>
      </c>
      <c r="H194" s="7" t="n">
        <v>685.4</v>
      </c>
      <c r="J194" s="7" t="n">
        <v>536.5</v>
      </c>
      <c r="L194" s="7" t="n">
        <v>496.3</v>
      </c>
      <c r="N194" s="7" t="n">
        <v>816.8</v>
      </c>
      <c r="P194" s="7" t="n">
        <v>1602.1</v>
      </c>
      <c r="R194" s="7" t="n">
        <v>1083.2</v>
      </c>
      <c r="T194" s="7" t="n">
        <v>307</v>
      </c>
      <c r="V194" s="7" t="n">
        <v>981</v>
      </c>
      <c r="X194" s="7" t="n">
        <v>675.4</v>
      </c>
      <c r="Z194" s="7" t="n">
        <v>116.3</v>
      </c>
      <c r="AB194" s="7" t="n">
        <v>8086.6</v>
      </c>
    </row>
    <row r="195">
      <c r="A195" s="4" t="inlineStr">
        <is>
          <t>其他福利支出</t>
        </is>
      </c>
      <c r="D195" s="7" t="n">
        <v>162.3</v>
      </c>
      <c r="F195" s="7" t="n">
        <v>333.6</v>
      </c>
      <c r="H195" s="7" t="n">
        <v>424.2</v>
      </c>
      <c r="J195" s="7" t="n">
        <v>274.9</v>
      </c>
      <c r="L195" s="7" t="n">
        <v>283.8</v>
      </c>
      <c r="N195" s="7" t="n">
        <v>486.4</v>
      </c>
      <c r="P195" s="7" t="n">
        <v>638.4</v>
      </c>
      <c r="R195" s="7" t="n">
        <v>608.5</v>
      </c>
      <c r="T195" s="7" t="n">
        <v>130.6</v>
      </c>
      <c r="V195" s="7" t="n">
        <v>297.6</v>
      </c>
      <c r="X195" s="7" t="n">
        <v>298.5</v>
      </c>
      <c r="Z195" s="7" t="n">
        <v>69.09999999999999</v>
      </c>
      <c r="AB195" s="7" t="n">
        <v>4007.9</v>
      </c>
    </row>
    <row r="196">
      <c r="A196" s="4" t="inlineStr">
        <is>
          <t>招聘费</t>
        </is>
      </c>
      <c r="D196" s="7" t="n">
        <v>52</v>
      </c>
      <c r="F196" s="7" t="n">
        <v>122.4</v>
      </c>
      <c r="H196" s="7" t="n">
        <v>118.3</v>
      </c>
      <c r="J196" s="7" t="n">
        <v>104</v>
      </c>
      <c r="L196" s="7" t="n">
        <v>141.9</v>
      </c>
      <c r="N196" s="7" t="n">
        <v>160.3</v>
      </c>
      <c r="P196" s="7" t="n">
        <v>196.6</v>
      </c>
      <c r="R196" s="7" t="n">
        <v>161.6</v>
      </c>
      <c r="T196" s="7" t="n">
        <v>38.1</v>
      </c>
      <c r="V196" s="7" t="n">
        <v>185</v>
      </c>
      <c r="X196" s="7" t="n">
        <v>104.5</v>
      </c>
      <c r="Z196" s="7" t="n">
        <v>22</v>
      </c>
      <c r="AB196" s="7" t="n">
        <v>1406.7</v>
      </c>
    </row>
    <row r="197">
      <c r="A197" s="4" t="inlineStr">
        <is>
          <t>办公费</t>
        </is>
      </c>
      <c r="D197" s="7" t="n">
        <v>2688.1</v>
      </c>
      <c r="F197" s="7" t="n">
        <v>5042.8</v>
      </c>
      <c r="H197" s="7" t="n">
        <v>3965.2</v>
      </c>
      <c r="J197" s="7" t="n">
        <v>2866.3</v>
      </c>
      <c r="L197" s="7" t="n">
        <v>3717.4</v>
      </c>
      <c r="N197" s="7" t="n">
        <v>6895.2</v>
      </c>
      <c r="P197" s="7" t="n">
        <v>6517.3</v>
      </c>
      <c r="R197" s="7" t="n">
        <v>6561.8</v>
      </c>
      <c r="T197" s="7" t="n">
        <v>1621.7</v>
      </c>
      <c r="V197" s="7" t="n">
        <v>4826.4</v>
      </c>
      <c r="X197" s="7" t="n">
        <v>3697.3</v>
      </c>
      <c r="Z197" s="7" t="n">
        <v>713.1</v>
      </c>
      <c r="AB197" s="7" t="n">
        <v>49112.6</v>
      </c>
    </row>
    <row r="198">
      <c r="A198" s="4" t="inlineStr">
        <is>
          <t>市内交通费</t>
        </is>
      </c>
      <c r="D198" s="7" t="n">
        <v>370.8</v>
      </c>
      <c r="F198" s="7" t="n">
        <v>618.6</v>
      </c>
      <c r="H198" s="7" t="n">
        <v>1178.4</v>
      </c>
      <c r="J198" s="7" t="n">
        <v>751.8</v>
      </c>
      <c r="L198" s="7" t="n">
        <v>819.8</v>
      </c>
      <c r="N198" s="7" t="n">
        <v>1388.7</v>
      </c>
      <c r="P198" s="7" t="n">
        <v>2033.1</v>
      </c>
      <c r="R198" s="7" t="n">
        <v>1452.4</v>
      </c>
      <c r="T198" s="7" t="n">
        <v>354.7</v>
      </c>
      <c r="V198" s="7" t="n">
        <v>1234</v>
      </c>
      <c r="X198" s="7" t="n">
        <v>595.5</v>
      </c>
      <c r="Z198" s="7" t="n">
        <v>143.5</v>
      </c>
      <c r="AB198" s="7" t="n">
        <v>10941.3</v>
      </c>
    </row>
    <row r="199">
      <c r="A199" s="4" t="inlineStr">
        <is>
          <t>差旅费</t>
        </is>
      </c>
      <c r="D199" s="7" t="n">
        <v>4790.3</v>
      </c>
      <c r="F199" s="7" t="n">
        <v>9536</v>
      </c>
      <c r="H199" s="7" t="n">
        <v>13986.9</v>
      </c>
      <c r="J199" s="7" t="n">
        <v>9273.4</v>
      </c>
      <c r="L199" s="7" t="n">
        <v>5625.8</v>
      </c>
      <c r="N199" s="7" t="n">
        <v>9832</v>
      </c>
      <c r="P199" s="7" t="n">
        <v>18190.6</v>
      </c>
      <c r="R199" s="7" t="n">
        <v>19226.9</v>
      </c>
      <c r="T199" s="7" t="n">
        <v>4730.5</v>
      </c>
      <c r="V199" s="7" t="n">
        <v>8478.799999999999</v>
      </c>
      <c r="X199" s="7" t="n">
        <v>7087.9</v>
      </c>
      <c r="Z199" s="7" t="n">
        <v>1890.2</v>
      </c>
      <c r="AB199" s="7" t="n">
        <v>112649.3</v>
      </c>
    </row>
    <row r="200">
      <c r="A200" s="4" t="inlineStr">
        <is>
          <t>交通费</t>
        </is>
      </c>
      <c r="D200" s="7" t="n">
        <v>283</v>
      </c>
      <c r="F200" s="7" t="n">
        <v>342.5</v>
      </c>
      <c r="H200" s="7" t="n">
        <v>663.5</v>
      </c>
      <c r="J200" s="7" t="n">
        <v>386.7</v>
      </c>
      <c r="L200" s="7" t="n">
        <v>335.7</v>
      </c>
      <c r="N200" s="7" t="n">
        <v>861.2</v>
      </c>
      <c r="P200" s="7" t="n">
        <v>898.9</v>
      </c>
      <c r="R200" s="7" t="n">
        <v>825.6</v>
      </c>
      <c r="T200" s="7" t="n">
        <v>243.7</v>
      </c>
      <c r="V200" s="7" t="n">
        <v>500.1</v>
      </c>
      <c r="X200" s="7" t="n">
        <v>530.8</v>
      </c>
      <c r="Z200" s="7" t="n">
        <v>98</v>
      </c>
      <c r="AB200" s="7" t="n">
        <v>5969.7</v>
      </c>
    </row>
    <row r="201">
      <c r="A201" s="4" t="inlineStr">
        <is>
          <t>住宿费</t>
        </is>
      </c>
      <c r="D201" s="7" t="n">
        <v>186.2</v>
      </c>
      <c r="F201" s="7" t="n">
        <v>415.7</v>
      </c>
      <c r="H201" s="7" t="n">
        <v>701.7</v>
      </c>
      <c r="J201" s="7" t="n">
        <v>392.8</v>
      </c>
      <c r="L201" s="7" t="n">
        <v>470.6</v>
      </c>
      <c r="N201" s="7" t="n">
        <v>562.4</v>
      </c>
      <c r="P201" s="7" t="n">
        <v>1073.1</v>
      </c>
      <c r="R201" s="7" t="n">
        <v>827.3</v>
      </c>
      <c r="T201" s="7" t="n">
        <v>175.3</v>
      </c>
      <c r="V201" s="7" t="n">
        <v>695.9</v>
      </c>
      <c r="X201" s="7" t="n">
        <v>423.7</v>
      </c>
      <c r="Z201" s="7" t="n">
        <v>102.2</v>
      </c>
      <c r="AB201" s="7" t="n">
        <v>6026.9</v>
      </c>
    </row>
    <row r="202">
      <c r="A202" s="4" t="inlineStr">
        <is>
          <t>餐补</t>
        </is>
      </c>
      <c r="D202" s="7" t="n">
        <v>272.9</v>
      </c>
      <c r="F202" s="7" t="n">
        <v>481.2</v>
      </c>
      <c r="H202" s="7" t="n">
        <v>507</v>
      </c>
      <c r="J202" s="7" t="n">
        <v>279.5</v>
      </c>
      <c r="L202" s="7" t="n">
        <v>306.2</v>
      </c>
      <c r="N202" s="7" t="n">
        <v>456</v>
      </c>
      <c r="P202" s="7" t="n">
        <v>1001.5</v>
      </c>
      <c r="R202" s="7" t="n">
        <v>998.4</v>
      </c>
      <c r="T202" s="7" t="n">
        <v>142.9</v>
      </c>
      <c r="V202" s="7" t="n">
        <v>475.8</v>
      </c>
      <c r="X202" s="7" t="n">
        <v>523.4</v>
      </c>
      <c r="Z202" s="7" t="n">
        <v>78.40000000000001</v>
      </c>
      <c r="AB202" s="7" t="n">
        <v>5523.2</v>
      </c>
    </row>
    <row r="203">
      <c r="A203" s="4" t="inlineStr">
        <is>
          <t>交通补助</t>
        </is>
      </c>
      <c r="D203" s="7" t="n">
        <v>34.9</v>
      </c>
      <c r="F203" s="7" t="n">
        <v>60.1</v>
      </c>
      <c r="H203" s="7" t="n">
        <v>80.40000000000001</v>
      </c>
      <c r="J203" s="7" t="n">
        <v>64.8</v>
      </c>
      <c r="L203" s="7" t="n">
        <v>38.3</v>
      </c>
      <c r="N203" s="7" t="n">
        <v>93.40000000000001</v>
      </c>
      <c r="P203" s="7" t="n">
        <v>127.9</v>
      </c>
      <c r="R203" s="7" t="n">
        <v>115.8</v>
      </c>
      <c r="T203" s="7" t="n">
        <v>25.8</v>
      </c>
      <c r="V203" s="7" t="n">
        <v>62.9</v>
      </c>
      <c r="X203" s="7" t="n">
        <v>51.2</v>
      </c>
      <c r="Z203" s="7" t="n">
        <v>14.6</v>
      </c>
      <c r="AB203" s="7" t="n">
        <v>770.1</v>
      </c>
    </row>
    <row r="204">
      <c r="A204" s="4" t="inlineStr">
        <is>
          <t>通讯补助</t>
        </is>
      </c>
      <c r="D204" s="7" t="n">
        <v>239.9</v>
      </c>
      <c r="F204" s="7" t="n">
        <v>565.3</v>
      </c>
      <c r="H204" s="7" t="n">
        <v>831</v>
      </c>
      <c r="J204" s="7" t="n">
        <v>331.1</v>
      </c>
      <c r="L204" s="7" t="n">
        <v>407.4</v>
      </c>
      <c r="N204" s="7" t="n">
        <v>792.4</v>
      </c>
      <c r="P204" s="7" t="n">
        <v>1278.6</v>
      </c>
      <c r="R204" s="7" t="n">
        <v>1065.9</v>
      </c>
      <c r="T204" s="7" t="n">
        <v>222.2</v>
      </c>
      <c r="V204" s="7" t="n">
        <v>531.6</v>
      </c>
      <c r="X204" s="7" t="n">
        <v>503</v>
      </c>
      <c r="Z204" s="7" t="n">
        <v>139</v>
      </c>
      <c r="AB204" s="7" t="n">
        <v>6907.4</v>
      </c>
    </row>
    <row r="205">
      <c r="A205" s="4" t="inlineStr">
        <is>
          <t>招待费</t>
        </is>
      </c>
      <c r="D205" s="7" t="n">
        <v>3268.1</v>
      </c>
      <c r="F205" s="7" t="n">
        <v>6081.1</v>
      </c>
      <c r="H205" s="7" t="n">
        <v>9061.299999999999</v>
      </c>
      <c r="J205" s="7" t="n">
        <v>6051.7</v>
      </c>
      <c r="L205" s="7" t="n">
        <v>4875.5</v>
      </c>
      <c r="N205" s="7" t="n">
        <v>7028.1</v>
      </c>
      <c r="P205" s="7" t="n">
        <v>9910.4</v>
      </c>
      <c r="R205" s="7" t="n">
        <v>7571.9</v>
      </c>
      <c r="T205" s="7" t="n">
        <v>2278.6</v>
      </c>
      <c r="V205" s="7" t="n">
        <v>8078.3</v>
      </c>
      <c r="X205" s="7" t="n">
        <v>6176.1</v>
      </c>
      <c r="Z205" s="7" t="n">
        <v>1012.9</v>
      </c>
      <c r="AB205" s="7" t="n">
        <v>71394</v>
      </c>
    </row>
    <row r="206">
      <c r="A206" s="4" t="inlineStr">
        <is>
          <t>通讯费</t>
        </is>
      </c>
      <c r="D206" s="7" t="n">
        <v>423.9</v>
      </c>
      <c r="F206" s="7" t="n">
        <v>668.1</v>
      </c>
      <c r="H206" s="7" t="n">
        <v>1232.5</v>
      </c>
      <c r="J206" s="7" t="n">
        <v>852.6</v>
      </c>
      <c r="L206" s="7" t="n">
        <v>970.7</v>
      </c>
      <c r="N206" s="7" t="n">
        <v>1111.6</v>
      </c>
      <c r="P206" s="7" t="n">
        <v>1311.2</v>
      </c>
      <c r="R206" s="7" t="n">
        <v>2008.4</v>
      </c>
      <c r="T206" s="7" t="n">
        <v>434.2</v>
      </c>
      <c r="V206" s="7" t="n">
        <v>977.7</v>
      </c>
      <c r="X206" s="7" t="n">
        <v>1022.3</v>
      </c>
      <c r="Z206" s="7" t="n">
        <v>241.2</v>
      </c>
      <c r="AB206" s="7" t="n">
        <v>11254.4</v>
      </c>
    </row>
    <row r="207">
      <c r="A207" s="4" t="inlineStr">
        <is>
          <t>网络费</t>
        </is>
      </c>
      <c r="D207" s="7" t="n">
        <v>371.3</v>
      </c>
      <c r="F207" s="7" t="n">
        <v>647.4</v>
      </c>
      <c r="H207" s="7" t="n">
        <v>1098.8</v>
      </c>
      <c r="J207" s="7" t="n">
        <v>901.5</v>
      </c>
      <c r="L207" s="7" t="n">
        <v>763.7</v>
      </c>
      <c r="N207" s="7" t="n">
        <v>1012.4</v>
      </c>
      <c r="P207" s="7" t="n">
        <v>1985.1</v>
      </c>
      <c r="R207" s="7" t="n">
        <v>1314.5</v>
      </c>
      <c r="T207" s="7" t="n">
        <v>359.7</v>
      </c>
      <c r="V207" s="7" t="n">
        <v>1315.2</v>
      </c>
      <c r="X207" s="7" t="n">
        <v>848.9</v>
      </c>
      <c r="Z207" s="7" t="n">
        <v>272.5</v>
      </c>
      <c r="AB207" s="7" t="n">
        <v>10891</v>
      </c>
    </row>
    <row r="208">
      <c r="A208" s="4" t="inlineStr">
        <is>
          <t>修理费</t>
        </is>
      </c>
      <c r="D208" s="7" t="n">
        <v>511.4</v>
      </c>
      <c r="F208" s="7" t="n">
        <v>746.1</v>
      </c>
      <c r="H208" s="7" t="n">
        <v>1200.2</v>
      </c>
      <c r="J208" s="7" t="n">
        <v>735.9</v>
      </c>
      <c r="L208" s="7" t="n">
        <v>696.5</v>
      </c>
      <c r="N208" s="7" t="n">
        <v>1198.9</v>
      </c>
      <c r="P208" s="7" t="n">
        <v>1352</v>
      </c>
      <c r="R208" s="7" t="n">
        <v>1205.4</v>
      </c>
      <c r="T208" s="7" t="n">
        <v>391.1</v>
      </c>
      <c r="V208" s="7" t="n">
        <v>1060.8</v>
      </c>
      <c r="X208" s="7" t="n">
        <v>786.5</v>
      </c>
      <c r="Z208" s="7" t="n">
        <v>194.6</v>
      </c>
      <c r="AB208" s="7" t="n">
        <v>10079.4</v>
      </c>
    </row>
    <row r="209">
      <c r="A209" s="4" t="inlineStr">
        <is>
          <t>车辆费</t>
        </is>
      </c>
      <c r="D209" s="7" t="n">
        <v>216.5</v>
      </c>
      <c r="F209" s="7" t="n">
        <v>415.3</v>
      </c>
      <c r="H209" s="7" t="n">
        <v>657.2</v>
      </c>
      <c r="J209" s="7" t="n">
        <v>526.5</v>
      </c>
      <c r="L209" s="7" t="n">
        <v>403.9</v>
      </c>
      <c r="N209" s="7" t="n">
        <v>555.1</v>
      </c>
      <c r="P209" s="7" t="n">
        <v>1080.1</v>
      </c>
      <c r="R209" s="7" t="n">
        <v>1069.2</v>
      </c>
      <c r="T209" s="7" t="n">
        <v>161.5</v>
      </c>
      <c r="V209" s="7" t="n">
        <v>447</v>
      </c>
      <c r="X209" s="7" t="n">
        <v>567.1</v>
      </c>
      <c r="Z209" s="7" t="n">
        <v>109.7</v>
      </c>
      <c r="AB209" s="7" t="n">
        <v>6209.1</v>
      </c>
    </row>
    <row r="210">
      <c r="A210" s="4" t="inlineStr">
        <is>
          <t>租赁费</t>
        </is>
      </c>
      <c r="D210" s="7" t="n">
        <v>3622.7</v>
      </c>
      <c r="F210" s="7" t="n">
        <v>6263.2</v>
      </c>
      <c r="H210" s="7" t="n">
        <v>9333.9</v>
      </c>
      <c r="J210" s="7" t="n">
        <v>6814</v>
      </c>
      <c r="L210" s="7" t="n">
        <v>6538.3</v>
      </c>
      <c r="N210" s="7" t="n">
        <v>10057.1</v>
      </c>
      <c r="P210" s="7" t="n">
        <v>12068.7</v>
      </c>
      <c r="R210" s="7" t="n">
        <v>13096.8</v>
      </c>
      <c r="T210" s="7" t="n">
        <v>3017</v>
      </c>
      <c r="V210" s="7" t="n">
        <v>8576.5</v>
      </c>
      <c r="X210" s="7" t="n">
        <v>8493.5</v>
      </c>
      <c r="Z210" s="7" t="n">
        <v>1622.2</v>
      </c>
      <c r="AB210" s="7" t="n">
        <v>89503.89999999999</v>
      </c>
    </row>
    <row r="211">
      <c r="A211" s="4" t="inlineStr">
        <is>
          <t>能源费</t>
        </is>
      </c>
      <c r="D211" s="7" t="n">
        <v>1213.1</v>
      </c>
      <c r="F211" s="7" t="n">
        <v>2764.6</v>
      </c>
      <c r="H211" s="7" t="n">
        <v>3080.3</v>
      </c>
      <c r="J211" s="7" t="n">
        <v>2298.5</v>
      </c>
      <c r="L211" s="7" t="n">
        <v>2254.1</v>
      </c>
      <c r="N211" s="7" t="n">
        <v>3637.1</v>
      </c>
      <c r="P211" s="7" t="n">
        <v>4987.1</v>
      </c>
      <c r="R211" s="7" t="n">
        <v>4313.5</v>
      </c>
      <c r="T211" s="7" t="n">
        <v>1001.2</v>
      </c>
      <c r="V211" s="7" t="n">
        <v>3326.5</v>
      </c>
      <c r="X211" s="7" t="n">
        <v>2435.5</v>
      </c>
      <c r="Z211" s="7" t="n">
        <v>589.4</v>
      </c>
      <c r="AB211" s="7" t="n">
        <v>31900.9</v>
      </c>
    </row>
    <row r="212">
      <c r="A212" s="4" t="inlineStr">
        <is>
          <t>水费</t>
        </is>
      </c>
      <c r="D212" s="7" t="n">
        <v>427.2</v>
      </c>
      <c r="F212" s="7" t="n">
        <v>1069.6</v>
      </c>
      <c r="H212" s="7" t="n">
        <v>1207.1</v>
      </c>
      <c r="J212" s="7" t="n">
        <v>757.3</v>
      </c>
      <c r="L212" s="7" t="n">
        <v>618.3</v>
      </c>
      <c r="N212" s="7" t="n">
        <v>1386.3</v>
      </c>
      <c r="P212" s="7" t="n">
        <v>1260.9</v>
      </c>
      <c r="R212" s="7" t="n">
        <v>1285.1</v>
      </c>
      <c r="T212" s="7" t="n">
        <v>361.3</v>
      </c>
      <c r="V212" s="7" t="n">
        <v>1426</v>
      </c>
      <c r="X212" s="7" t="n">
        <v>736.9</v>
      </c>
      <c r="Z212" s="7" t="n">
        <v>200.4</v>
      </c>
      <c r="AB212" s="7" t="n">
        <v>10736.4</v>
      </c>
    </row>
    <row r="213">
      <c r="A213" s="4" t="inlineStr">
        <is>
          <t>电费</t>
        </is>
      </c>
      <c r="D213" s="7" t="n">
        <v>305</v>
      </c>
      <c r="F213" s="7" t="n">
        <v>743.1</v>
      </c>
      <c r="H213" s="7" t="n">
        <v>695.3</v>
      </c>
      <c r="J213" s="7" t="n">
        <v>830.3</v>
      </c>
      <c r="L213" s="7" t="n">
        <v>827.4</v>
      </c>
      <c r="N213" s="7" t="n">
        <v>923.8</v>
      </c>
      <c r="P213" s="7" t="n">
        <v>1738.6</v>
      </c>
      <c r="R213" s="7" t="n">
        <v>1350.8</v>
      </c>
      <c r="T213" s="7" t="n">
        <v>253.8</v>
      </c>
      <c r="V213" s="7" t="n">
        <v>839.3</v>
      </c>
      <c r="X213" s="7" t="n">
        <v>855.9</v>
      </c>
      <c r="Z213" s="7" t="n">
        <v>161</v>
      </c>
      <c r="AB213" s="7" t="n">
        <v>9524.299999999999</v>
      </c>
    </row>
    <row r="214">
      <c r="A214" s="4" t="inlineStr">
        <is>
          <t>燃气费</t>
        </is>
      </c>
      <c r="D214" s="7" t="n">
        <v>292.5</v>
      </c>
      <c r="F214" s="7" t="n">
        <v>633.4</v>
      </c>
      <c r="H214" s="7" t="n">
        <v>807.2</v>
      </c>
      <c r="J214" s="7" t="n">
        <v>479.1</v>
      </c>
      <c r="L214" s="7" t="n">
        <v>550</v>
      </c>
      <c r="N214" s="7" t="n">
        <v>857.9</v>
      </c>
      <c r="P214" s="7" t="n">
        <v>1223</v>
      </c>
      <c r="R214" s="7" t="n">
        <v>987.8</v>
      </c>
      <c r="T214" s="7" t="n">
        <v>232.1</v>
      </c>
      <c r="V214" s="7" t="n">
        <v>648.5</v>
      </c>
      <c r="X214" s="7" t="n">
        <v>491.7</v>
      </c>
      <c r="Z214" s="7" t="n">
        <v>149.7</v>
      </c>
      <c r="AB214" s="7" t="n">
        <v>7352.9</v>
      </c>
    </row>
    <row r="215">
      <c r="A215" s="4" t="inlineStr">
        <is>
          <t>蒸汽费</t>
        </is>
      </c>
      <c r="D215" s="7" t="n">
        <v>188.4</v>
      </c>
      <c r="F215" s="7" t="n">
        <v>318.5</v>
      </c>
      <c r="H215" s="7" t="n">
        <v>370.7</v>
      </c>
      <c r="J215" s="7" t="n">
        <v>231.8</v>
      </c>
      <c r="L215" s="7" t="n">
        <v>258.4</v>
      </c>
      <c r="N215" s="7" t="n">
        <v>469.1</v>
      </c>
      <c r="P215" s="7" t="n">
        <v>764.6</v>
      </c>
      <c r="R215" s="7" t="n">
        <v>689.8</v>
      </c>
      <c r="T215" s="7" t="n">
        <v>154</v>
      </c>
      <c r="V215" s="7" t="n">
        <v>412.7</v>
      </c>
      <c r="X215" s="7" t="n">
        <v>351</v>
      </c>
      <c r="Z215" s="7" t="n">
        <v>78.3</v>
      </c>
      <c r="AB215" s="7" t="n">
        <v>4287.3</v>
      </c>
    </row>
    <row r="216">
      <c r="A216" s="4" t="inlineStr">
        <is>
          <t>物业费</t>
        </is>
      </c>
      <c r="D216" s="7" t="n">
        <v>330.7</v>
      </c>
      <c r="F216" s="7" t="n">
        <v>573.3</v>
      </c>
      <c r="H216" s="7" t="n">
        <v>714.6</v>
      </c>
      <c r="J216" s="7" t="n">
        <v>375.9</v>
      </c>
      <c r="L216" s="7" t="n">
        <v>502.2</v>
      </c>
      <c r="N216" s="7" t="n">
        <v>656.7</v>
      </c>
      <c r="P216" s="7" t="n">
        <v>1130</v>
      </c>
      <c r="R216" s="7" t="n">
        <v>1028.5</v>
      </c>
      <c r="T216" s="7" t="n">
        <v>173.6</v>
      </c>
      <c r="V216" s="7" t="n">
        <v>695.5</v>
      </c>
      <c r="X216" s="7" t="n">
        <v>411.9</v>
      </c>
      <c r="Z216" s="7" t="n">
        <v>120.7</v>
      </c>
      <c r="AB216" s="7" t="n">
        <v>6713.6</v>
      </c>
    </row>
    <row r="217">
      <c r="A217" s="4" t="inlineStr">
        <is>
          <t>劳动保护费</t>
        </is>
      </c>
      <c r="D217" s="7" t="n">
        <v>340</v>
      </c>
      <c r="F217" s="7" t="n">
        <v>1008.6</v>
      </c>
      <c r="H217" s="7" t="n">
        <v>873.2</v>
      </c>
      <c r="J217" s="7" t="n">
        <v>541.5</v>
      </c>
      <c r="L217" s="7" t="n">
        <v>891.2</v>
      </c>
      <c r="N217" s="7" t="n">
        <v>1069.7</v>
      </c>
      <c r="P217" s="7" t="n">
        <v>1858.1</v>
      </c>
      <c r="R217" s="7" t="n">
        <v>1900.1</v>
      </c>
      <c r="T217" s="7" t="n">
        <v>359.5</v>
      </c>
      <c r="V217" s="7" t="n">
        <v>1239.1</v>
      </c>
      <c r="X217" s="7" t="n">
        <v>844.6</v>
      </c>
      <c r="Z217" s="7" t="n">
        <v>180.7</v>
      </c>
      <c r="AB217" s="7" t="n">
        <v>11106.3</v>
      </c>
    </row>
    <row r="218">
      <c r="A218" s="4" t="inlineStr">
        <is>
          <t>顾问费</t>
        </is>
      </c>
      <c r="D218" s="7" t="n">
        <v>26.9</v>
      </c>
      <c r="F218" s="7" t="n">
        <v>28.6</v>
      </c>
      <c r="H218" s="7" t="n">
        <v>52.2</v>
      </c>
      <c r="J218" s="7" t="n">
        <v>36.2</v>
      </c>
      <c r="L218" s="7" t="n">
        <v>46.4</v>
      </c>
      <c r="N218" s="7" t="n">
        <v>56.4</v>
      </c>
      <c r="P218" s="7" t="n">
        <v>70.90000000000001</v>
      </c>
      <c r="R218" s="7" t="n">
        <v>59.4</v>
      </c>
      <c r="T218" s="7" t="n">
        <v>14.2</v>
      </c>
      <c r="V218" s="7" t="n">
        <v>42</v>
      </c>
      <c r="X218" s="7" t="n">
        <v>31.3</v>
      </c>
      <c r="Z218" s="7" t="n">
        <v>8.199999999999999</v>
      </c>
      <c r="AB218" s="7" t="n">
        <v>472.7</v>
      </c>
    </row>
    <row r="219">
      <c r="A219" s="4" t="inlineStr">
        <is>
          <t>快递费</t>
        </is>
      </c>
      <c r="D219" s="7" t="n">
        <v>38.9</v>
      </c>
      <c r="F219" s="7" t="n">
        <v>75.40000000000001</v>
      </c>
      <c r="H219" s="7" t="n">
        <v>86.59999999999999</v>
      </c>
      <c r="J219" s="7" t="n">
        <v>81.3</v>
      </c>
      <c r="L219" s="7" t="n">
        <v>68</v>
      </c>
      <c r="N219" s="7" t="n">
        <v>90.40000000000001</v>
      </c>
      <c r="P219" s="7" t="n">
        <v>121.5</v>
      </c>
      <c r="R219" s="7" t="n">
        <v>143.9</v>
      </c>
      <c r="T219" s="7" t="n">
        <v>33.2</v>
      </c>
      <c r="V219" s="7" t="n">
        <v>99.09999999999999</v>
      </c>
      <c r="X219" s="7" t="n">
        <v>71</v>
      </c>
      <c r="Z219" s="7" t="n">
        <v>17.8</v>
      </c>
      <c r="AB219" s="7" t="n">
        <v>927.1</v>
      </c>
    </row>
    <row r="220">
      <c r="A220" s="4" t="inlineStr">
        <is>
          <t>诉讼费</t>
        </is>
      </c>
      <c r="D220" s="7" t="n">
        <v>314</v>
      </c>
      <c r="F220" s="7" t="n">
        <v>606.1</v>
      </c>
      <c r="H220" s="7" t="n">
        <v>1148.4</v>
      </c>
      <c r="J220" s="7" t="n">
        <v>738.8</v>
      </c>
      <c r="L220" s="7" t="n">
        <v>698.8</v>
      </c>
      <c r="N220" s="7" t="n">
        <v>1341.8</v>
      </c>
      <c r="P220" s="7" t="n">
        <v>1421.3</v>
      </c>
      <c r="R220" s="7" t="n">
        <v>1094.2</v>
      </c>
      <c r="T220" s="7" t="n">
        <v>252.8</v>
      </c>
      <c r="V220" s="7" t="n">
        <v>945.4</v>
      </c>
      <c r="X220" s="7" t="n">
        <v>691.7</v>
      </c>
      <c r="Z220" s="7" t="n">
        <v>175.5</v>
      </c>
      <c r="AB220" s="7" t="n">
        <v>9428.799999999999</v>
      </c>
    </row>
    <row r="221">
      <c r="A221" s="4" t="inlineStr">
        <is>
          <t>会员费</t>
        </is>
      </c>
      <c r="D221" s="7" t="n">
        <v>168.1</v>
      </c>
      <c r="F221" s="7" t="n">
        <v>447.3</v>
      </c>
      <c r="H221" s="7" t="n">
        <v>423.1</v>
      </c>
      <c r="J221" s="7" t="n">
        <v>442</v>
      </c>
      <c r="L221" s="7" t="n">
        <v>381.8</v>
      </c>
      <c r="N221" s="7" t="n">
        <v>486.4</v>
      </c>
      <c r="P221" s="7" t="n">
        <v>776.2</v>
      </c>
      <c r="R221" s="7" t="n">
        <v>820.3</v>
      </c>
      <c r="T221" s="7" t="n">
        <v>149.2</v>
      </c>
      <c r="V221" s="7" t="n">
        <v>448.8</v>
      </c>
      <c r="X221" s="7" t="n">
        <v>270.6</v>
      </c>
      <c r="Z221" s="7" t="n">
        <v>94.40000000000001</v>
      </c>
      <c r="AB221" s="7" t="n">
        <v>4908.2</v>
      </c>
    </row>
    <row r="222">
      <c r="A222" s="4" t="inlineStr">
        <is>
          <t>广告宣传费</t>
        </is>
      </c>
      <c r="D222" s="7" t="n">
        <v>1846.5</v>
      </c>
      <c r="F222" s="7" t="n">
        <v>5222.5</v>
      </c>
      <c r="H222" s="7" t="n">
        <v>5094.4</v>
      </c>
      <c r="J222" s="7" t="n">
        <v>5013.4</v>
      </c>
      <c r="L222" s="7" t="n">
        <v>4535.2</v>
      </c>
      <c r="N222" s="7" t="n">
        <v>6586</v>
      </c>
      <c r="P222" s="7" t="n">
        <v>8051.5</v>
      </c>
      <c r="R222" s="7" t="n">
        <v>9805.1</v>
      </c>
      <c r="T222" s="7" t="n">
        <v>1842.5</v>
      </c>
      <c r="V222" s="7" t="n">
        <v>3739.7</v>
      </c>
      <c r="X222" s="7" t="n">
        <v>3963.1</v>
      </c>
      <c r="Z222" s="7" t="n">
        <v>1173.1</v>
      </c>
      <c r="AB222" s="7" t="n">
        <v>56873</v>
      </c>
    </row>
    <row r="223">
      <c r="A223" s="4" t="inlineStr">
        <is>
          <t>会务费</t>
        </is>
      </c>
      <c r="D223" s="7" t="n">
        <v>182.2</v>
      </c>
      <c r="F223" s="7" t="n">
        <v>180.5</v>
      </c>
      <c r="H223" s="7" t="n">
        <v>439.3</v>
      </c>
      <c r="J223" s="7" t="n">
        <v>242.9</v>
      </c>
      <c r="L223" s="7" t="n">
        <v>259.6</v>
      </c>
      <c r="N223" s="7" t="n">
        <v>490.2</v>
      </c>
      <c r="P223" s="7" t="n">
        <v>495.1</v>
      </c>
      <c r="R223" s="7" t="n">
        <v>452.8</v>
      </c>
      <c r="T223" s="7" t="n">
        <v>129.5</v>
      </c>
      <c r="V223" s="7" t="n">
        <v>354.7</v>
      </c>
      <c r="X223" s="7" t="n">
        <v>257.6</v>
      </c>
      <c r="Z223" s="7" t="n">
        <v>45</v>
      </c>
      <c r="AB223" s="7" t="n">
        <v>3529.4</v>
      </c>
    </row>
    <row r="224">
      <c r="A224" s="4" t="inlineStr">
        <is>
          <t>装修费</t>
        </is>
      </c>
      <c r="D224" s="7" t="n">
        <v>376.6</v>
      </c>
      <c r="F224" s="7" t="n">
        <v>580</v>
      </c>
      <c r="H224" s="7" t="n">
        <v>834.9</v>
      </c>
      <c r="J224" s="7" t="n">
        <v>485.4</v>
      </c>
      <c r="L224" s="7" t="n">
        <v>491.2</v>
      </c>
      <c r="N224" s="7" t="n">
        <v>1075.9</v>
      </c>
      <c r="P224" s="7" t="n">
        <v>1182.9</v>
      </c>
      <c r="R224" s="7" t="n">
        <v>1218.7</v>
      </c>
      <c r="T224" s="7" t="n">
        <v>326.9</v>
      </c>
      <c r="V224" s="7" t="n">
        <v>1099.1</v>
      </c>
      <c r="X224" s="7" t="n">
        <v>582.9</v>
      </c>
      <c r="Z224" s="7" t="n">
        <v>175.5</v>
      </c>
      <c r="AB224" s="7" t="n">
        <v>8430</v>
      </c>
    </row>
    <row r="225">
      <c r="A225" s="4" t="inlineStr">
        <is>
          <t>推广费</t>
        </is>
      </c>
      <c r="D225" s="7" t="n">
        <v>144.1</v>
      </c>
      <c r="F225" s="7" t="n">
        <v>351.7</v>
      </c>
      <c r="H225" s="7" t="n">
        <v>401.2</v>
      </c>
      <c r="J225" s="7" t="n">
        <v>246.5</v>
      </c>
      <c r="L225" s="7" t="n">
        <v>374.7</v>
      </c>
      <c r="N225" s="7" t="n">
        <v>436.5</v>
      </c>
      <c r="P225" s="7" t="n">
        <v>616.7</v>
      </c>
      <c r="R225" s="7" t="n">
        <v>624.1</v>
      </c>
      <c r="T225" s="7" t="n">
        <v>100.8</v>
      </c>
      <c r="V225" s="7" t="n">
        <v>445.8</v>
      </c>
      <c r="X225" s="7" t="n">
        <v>329.9</v>
      </c>
      <c r="Z225" s="7" t="n">
        <v>51.4</v>
      </c>
      <c r="AB225" s="7" t="n">
        <v>4123.4</v>
      </c>
    </row>
    <row r="226">
      <c r="A226" s="4" t="inlineStr">
        <is>
          <t>展会费</t>
        </is>
      </c>
      <c r="D226" s="7" t="n">
        <v>290.3</v>
      </c>
      <c r="F226" s="7" t="n">
        <v>468.7</v>
      </c>
      <c r="H226" s="7" t="n">
        <v>544.4</v>
      </c>
      <c r="J226" s="7" t="n">
        <v>500.3</v>
      </c>
      <c r="L226" s="7" t="n">
        <v>453.3</v>
      </c>
      <c r="N226" s="7" t="n">
        <v>776.5</v>
      </c>
      <c r="P226" s="7" t="n">
        <v>899</v>
      </c>
      <c r="R226" s="7" t="n">
        <v>960.3</v>
      </c>
      <c r="T226" s="7" t="n">
        <v>215.3</v>
      </c>
      <c r="V226" s="7" t="n">
        <v>415</v>
      </c>
      <c r="X226" s="7" t="n">
        <v>303</v>
      </c>
      <c r="Z226" s="7" t="n">
        <v>122.4</v>
      </c>
      <c r="AB226" s="7" t="n">
        <v>5948.5</v>
      </c>
    </row>
    <row r="227">
      <c r="A227" s="4" t="inlineStr">
        <is>
          <t>设计费</t>
        </is>
      </c>
      <c r="D227" s="7" t="n">
        <v>363.8</v>
      </c>
      <c r="F227" s="7" t="n">
        <v>545.8</v>
      </c>
      <c r="H227" s="7" t="n">
        <v>961.3</v>
      </c>
      <c r="J227" s="7" t="n">
        <v>682</v>
      </c>
      <c r="L227" s="7" t="n">
        <v>520.9</v>
      </c>
      <c r="N227" s="7" t="n">
        <v>762.4</v>
      </c>
      <c r="P227" s="7" t="n">
        <v>1437.8</v>
      </c>
      <c r="R227" s="7" t="n">
        <v>1290.9</v>
      </c>
      <c r="T227" s="7" t="n">
        <v>196.4</v>
      </c>
      <c r="V227" s="7" t="n">
        <v>766.1</v>
      </c>
      <c r="X227" s="7" t="n">
        <v>750</v>
      </c>
      <c r="Z227" s="7" t="n">
        <v>139</v>
      </c>
      <c r="AB227" s="7" t="n">
        <v>8416.4</v>
      </c>
    </row>
    <row r="228">
      <c r="A228" s="4" t="inlineStr">
        <is>
          <t>折旧费</t>
        </is>
      </c>
      <c r="D228" s="7" t="n">
        <v>2494.5</v>
      </c>
      <c r="F228" s="7" t="n">
        <v>3870.4</v>
      </c>
      <c r="H228" s="7" t="n">
        <v>6385.9</v>
      </c>
      <c r="J228" s="7" t="n">
        <v>6486</v>
      </c>
      <c r="L228" s="7" t="n">
        <v>4730.6</v>
      </c>
      <c r="N228" s="7" t="n">
        <v>6475.1</v>
      </c>
      <c r="P228" s="7" t="n">
        <v>12015.8</v>
      </c>
      <c r="R228" s="7" t="n">
        <v>9246.6</v>
      </c>
      <c r="T228" s="7" t="n">
        <v>2860.5</v>
      </c>
      <c r="V228" s="7" t="n">
        <v>5982.3</v>
      </c>
      <c r="X228" s="7" t="n">
        <v>5378.5</v>
      </c>
      <c r="Z228" s="7" t="n">
        <v>1198.6</v>
      </c>
      <c r="AB228" s="7" t="n">
        <v>67124.8</v>
      </c>
    </row>
    <row r="229">
      <c r="A229" s="4" t="inlineStr">
        <is>
          <t>认证费</t>
        </is>
      </c>
      <c r="D229" s="7" t="n">
        <v>171.3</v>
      </c>
      <c r="F229" s="7" t="n">
        <v>281.3</v>
      </c>
      <c r="H229" s="7" t="n">
        <v>279.3</v>
      </c>
      <c r="J229" s="7" t="n">
        <v>194.8</v>
      </c>
      <c r="L229" s="7" t="n">
        <v>283.9</v>
      </c>
      <c r="N229" s="7" t="n">
        <v>370.6</v>
      </c>
      <c r="P229" s="7" t="n">
        <v>632.7</v>
      </c>
      <c r="R229" s="7" t="n">
        <v>502.6</v>
      </c>
      <c r="T229" s="7" t="n">
        <v>116</v>
      </c>
      <c r="V229" s="7" t="n">
        <v>337.7</v>
      </c>
      <c r="X229" s="7" t="n">
        <v>272.3</v>
      </c>
      <c r="Z229" s="7" t="n">
        <v>62.5</v>
      </c>
      <c r="AB229" s="7" t="n">
        <v>3505</v>
      </c>
    </row>
    <row r="230">
      <c r="A230" s="4" t="inlineStr">
        <is>
          <t>样品费</t>
        </is>
      </c>
      <c r="D230" s="7" t="n">
        <v>1661.3</v>
      </c>
      <c r="F230" s="7" t="n">
        <v>2824.7</v>
      </c>
      <c r="H230" s="7" t="n">
        <v>2717.1</v>
      </c>
      <c r="J230" s="7" t="n">
        <v>2011.2</v>
      </c>
      <c r="L230" s="7" t="n">
        <v>1911.1</v>
      </c>
      <c r="N230" s="7" t="n">
        <v>3674.6</v>
      </c>
      <c r="P230" s="7" t="n">
        <v>5861</v>
      </c>
      <c r="R230" s="7" t="n">
        <v>4386.7</v>
      </c>
      <c r="T230" s="7" t="n">
        <v>1282.4</v>
      </c>
      <c r="V230" s="7" t="n">
        <v>4161.2</v>
      </c>
      <c r="X230" s="7" t="n">
        <v>2200.2</v>
      </c>
      <c r="Z230" s="7" t="n">
        <v>722.7</v>
      </c>
      <c r="AB230" s="7" t="n">
        <v>33414.2</v>
      </c>
    </row>
    <row r="231">
      <c r="A231" s="4" t="inlineStr">
        <is>
          <t>劳务费</t>
        </is>
      </c>
      <c r="D231" s="7" t="n">
        <v>543.4</v>
      </c>
      <c r="F231" s="7" t="n">
        <v>901.6</v>
      </c>
      <c r="H231" s="7" t="n">
        <v>1018.2</v>
      </c>
      <c r="J231" s="7" t="n">
        <v>872.2</v>
      </c>
      <c r="L231" s="7" t="n">
        <v>817.8</v>
      </c>
      <c r="N231" s="7" t="n">
        <v>1763.4</v>
      </c>
      <c r="P231" s="7" t="n">
        <v>1984.2</v>
      </c>
      <c r="R231" s="7" t="n">
        <v>2158.2</v>
      </c>
      <c r="T231" s="7" t="n">
        <v>300.8</v>
      </c>
      <c r="V231" s="7" t="n">
        <v>1462</v>
      </c>
      <c r="X231" s="7" t="n">
        <v>842.4</v>
      </c>
      <c r="Z231" s="7" t="n">
        <v>275.5</v>
      </c>
      <c r="AB231" s="7" t="n">
        <v>12939.7</v>
      </c>
    </row>
    <row r="232">
      <c r="A232" s="4" t="inlineStr">
        <is>
          <t>销售佣金</t>
        </is>
      </c>
      <c r="D232" s="7" t="n">
        <v>149.1</v>
      </c>
      <c r="F232" s="7" t="n">
        <v>239.4</v>
      </c>
      <c r="H232" s="7" t="n">
        <v>302.8</v>
      </c>
      <c r="J232" s="7" t="n">
        <v>268.7</v>
      </c>
      <c r="L232" s="7" t="n">
        <v>285.8</v>
      </c>
      <c r="N232" s="7" t="n">
        <v>322</v>
      </c>
      <c r="P232" s="7" t="n">
        <v>438.1</v>
      </c>
      <c r="R232" s="7" t="n">
        <v>448.4</v>
      </c>
      <c r="T232" s="7" t="n">
        <v>110.2</v>
      </c>
      <c r="V232" s="7" t="n">
        <v>224.8</v>
      </c>
      <c r="X232" s="7" t="n">
        <v>198.1</v>
      </c>
      <c r="Z232" s="7" t="n">
        <v>43.9</v>
      </c>
      <c r="AB232" s="7" t="n">
        <v>3031.3</v>
      </c>
    </row>
    <row r="233">
      <c r="A233" s="4" t="inlineStr">
        <is>
          <t>检测费</t>
        </is>
      </c>
      <c r="D233" s="7" t="n">
        <v>200.8</v>
      </c>
      <c r="F233" s="7" t="n">
        <v>582.3</v>
      </c>
      <c r="H233" s="7" t="n">
        <v>886.8</v>
      </c>
      <c r="J233" s="7" t="n">
        <v>463.1</v>
      </c>
      <c r="L233" s="7" t="n">
        <v>361</v>
      </c>
      <c r="N233" s="7" t="n">
        <v>684.3</v>
      </c>
      <c r="P233" s="7" t="n">
        <v>842.3</v>
      </c>
      <c r="R233" s="7" t="n">
        <v>871.3</v>
      </c>
      <c r="T233" s="7" t="n">
        <v>255.1</v>
      </c>
      <c r="V233" s="7" t="n">
        <v>505.7</v>
      </c>
      <c r="X233" s="7" t="n">
        <v>500</v>
      </c>
      <c r="Z233" s="7" t="n">
        <v>145.1</v>
      </c>
      <c r="AB233" s="7" t="n">
        <v>6297.8</v>
      </c>
    </row>
    <row r="234">
      <c r="A234" s="4" t="inlineStr">
        <is>
          <t>质量赔偿</t>
        </is>
      </c>
      <c r="D234" s="7" t="n">
        <v>313</v>
      </c>
      <c r="F234" s="7" t="n">
        <v>475.6</v>
      </c>
      <c r="H234" s="7" t="n">
        <v>607.1</v>
      </c>
      <c r="J234" s="7" t="n">
        <v>384.6</v>
      </c>
      <c r="L234" s="7" t="n">
        <v>423.5</v>
      </c>
      <c r="N234" s="7" t="n">
        <v>754.5</v>
      </c>
      <c r="P234" s="7" t="n">
        <v>800.6</v>
      </c>
      <c r="R234" s="7" t="n">
        <v>916.8</v>
      </c>
      <c r="T234" s="7" t="n">
        <v>289.1</v>
      </c>
      <c r="V234" s="7" t="n">
        <v>875.3</v>
      </c>
      <c r="X234" s="7" t="n">
        <v>611.2</v>
      </c>
      <c r="Z234" s="7" t="n">
        <v>136</v>
      </c>
      <c r="AB234" s="7" t="n">
        <v>6587.3</v>
      </c>
    </row>
    <row r="235">
      <c r="A235" s="4" t="inlineStr">
        <is>
          <t>保险费</t>
        </is>
      </c>
      <c r="D235" s="7" t="n">
        <v>403.4</v>
      </c>
      <c r="F235" s="7" t="n">
        <v>713.3</v>
      </c>
      <c r="H235" s="7" t="n">
        <v>691.8</v>
      </c>
      <c r="J235" s="7" t="n">
        <v>477.6</v>
      </c>
      <c r="L235" s="7" t="n">
        <v>466.4</v>
      </c>
      <c r="N235" s="7" t="n">
        <v>955.2</v>
      </c>
      <c r="P235" s="7" t="n">
        <v>1703.2</v>
      </c>
      <c r="R235" s="7" t="n">
        <v>970.6</v>
      </c>
      <c r="T235" s="7" t="n">
        <v>246.1</v>
      </c>
      <c r="V235" s="7" t="n">
        <v>1115.7</v>
      </c>
      <c r="X235" s="7" t="n">
        <v>652.7</v>
      </c>
      <c r="Z235" s="7" t="n">
        <v>144.1</v>
      </c>
      <c r="AB235" s="7" t="n">
        <v>8540.1</v>
      </c>
    </row>
    <row r="236">
      <c r="A236" s="4" t="inlineStr">
        <is>
          <t>清洁费</t>
        </is>
      </c>
      <c r="D236" s="7" t="n">
        <v>227.3</v>
      </c>
      <c r="F236" s="7" t="n">
        <v>617.6</v>
      </c>
      <c r="H236" s="7" t="n">
        <v>781.5</v>
      </c>
      <c r="J236" s="7" t="n">
        <v>466</v>
      </c>
      <c r="L236" s="7" t="n">
        <v>493.1</v>
      </c>
      <c r="N236" s="7" t="n">
        <v>667.8</v>
      </c>
      <c r="P236" s="7" t="n">
        <v>1329.4</v>
      </c>
      <c r="R236" s="7" t="n">
        <v>903.9</v>
      </c>
      <c r="T236" s="7" t="n">
        <v>275.2</v>
      </c>
      <c r="V236" s="7" t="n">
        <v>800.6</v>
      </c>
      <c r="X236" s="7" t="n">
        <v>391.5</v>
      </c>
      <c r="Z236" s="7" t="n">
        <v>124.7</v>
      </c>
      <c r="AB236" s="7" t="n">
        <v>7078.6</v>
      </c>
    </row>
    <row r="237">
      <c r="A237" s="4" t="inlineStr">
        <is>
          <t>低值易耗品</t>
        </is>
      </c>
      <c r="D237" s="7" t="n">
        <v>479.4</v>
      </c>
      <c r="F237" s="7" t="n">
        <v>759.4</v>
      </c>
      <c r="H237" s="7" t="n">
        <v>866.1</v>
      </c>
      <c r="J237" s="7" t="n">
        <v>852</v>
      </c>
      <c r="L237" s="7" t="n">
        <v>788.6</v>
      </c>
      <c r="N237" s="7" t="n">
        <v>1088.6</v>
      </c>
      <c r="P237" s="7" t="n">
        <v>1315.3</v>
      </c>
      <c r="R237" s="7" t="n">
        <v>1114.6</v>
      </c>
      <c r="T237" s="7" t="n">
        <v>251.2</v>
      </c>
      <c r="V237" s="7" t="n">
        <v>980.7</v>
      </c>
      <c r="X237" s="7" t="n">
        <v>521.1</v>
      </c>
      <c r="Z237" s="7" t="n">
        <v>199.8</v>
      </c>
      <c r="AB237" s="7" t="n">
        <v>9216.799999999999</v>
      </c>
    </row>
    <row r="238">
      <c r="A238" s="4" t="inlineStr">
        <is>
          <t>物料消耗</t>
        </is>
      </c>
      <c r="D238" s="7" t="n">
        <v>99.2</v>
      </c>
      <c r="F238" s="7" t="n">
        <v>186.8</v>
      </c>
      <c r="H238" s="7" t="n">
        <v>199.2</v>
      </c>
      <c r="J238" s="7" t="n">
        <v>156.5</v>
      </c>
      <c r="L238" s="7" t="n">
        <v>186.3</v>
      </c>
      <c r="N238" s="7" t="n">
        <v>263.5</v>
      </c>
      <c r="P238" s="7" t="n">
        <v>302</v>
      </c>
      <c r="R238" s="7" t="n">
        <v>392.1</v>
      </c>
      <c r="T238" s="7" t="n">
        <v>59.1</v>
      </c>
      <c r="V238" s="7" t="n">
        <v>200.4</v>
      </c>
      <c r="X238" s="7" t="n">
        <v>164.8</v>
      </c>
      <c r="Z238" s="7" t="n">
        <v>52.9</v>
      </c>
      <c r="AB238" s="7" t="n">
        <v>2262.8</v>
      </c>
    </row>
    <row r="239">
      <c r="A239" s="4" t="inlineStr">
        <is>
          <t>盘盈盘亏</t>
        </is>
      </c>
      <c r="D239" s="7" t="n">
        <v>328.4</v>
      </c>
      <c r="F239" s="7" t="n">
        <v>827.8</v>
      </c>
      <c r="H239" s="7" t="n">
        <v>1059.4</v>
      </c>
      <c r="J239" s="7" t="n">
        <v>504.8</v>
      </c>
      <c r="L239" s="7" t="n">
        <v>566.2</v>
      </c>
      <c r="N239" s="7" t="n">
        <v>961.9</v>
      </c>
      <c r="P239" s="7" t="n">
        <v>1281.8</v>
      </c>
      <c r="R239" s="7" t="n">
        <v>913.9</v>
      </c>
      <c r="T239" s="7" t="n">
        <v>329.1</v>
      </c>
      <c r="V239" s="7" t="n">
        <v>974.3</v>
      </c>
      <c r="X239" s="7" t="n">
        <v>490.3</v>
      </c>
      <c r="Z239" s="7" t="n">
        <v>162.2</v>
      </c>
      <c r="AB239" s="7" t="n">
        <v>8400.1</v>
      </c>
    </row>
    <row r="240">
      <c r="A240" s="4" t="inlineStr">
        <is>
          <t>平台服务费</t>
        </is>
      </c>
      <c r="D240" s="7" t="n">
        <v>498.3</v>
      </c>
      <c r="F240" s="7" t="n">
        <v>709.6</v>
      </c>
      <c r="H240" s="7" t="n">
        <v>822.6</v>
      </c>
      <c r="J240" s="7" t="n">
        <v>581.4</v>
      </c>
      <c r="L240" s="7" t="n">
        <v>881.7</v>
      </c>
      <c r="N240" s="7" t="n">
        <v>1377</v>
      </c>
      <c r="P240" s="7" t="n">
        <v>1393.9</v>
      </c>
      <c r="R240" s="7" t="n">
        <v>1580.1</v>
      </c>
      <c r="T240" s="7" t="n">
        <v>386.9</v>
      </c>
      <c r="V240" s="7" t="n">
        <v>1256.2</v>
      </c>
      <c r="X240" s="7" t="n">
        <v>783.4</v>
      </c>
      <c r="Z240" s="7" t="n">
        <v>160.7</v>
      </c>
      <c r="AB240" s="7" t="n">
        <v>10431.8</v>
      </c>
    </row>
    <row r="241">
      <c r="A241" s="4" t="inlineStr">
        <is>
          <t>无形资产摊销</t>
        </is>
      </c>
      <c r="D241" s="7" t="n">
        <v>362.9</v>
      </c>
      <c r="F241" s="7" t="n">
        <v>551.4</v>
      </c>
      <c r="H241" s="7" t="n">
        <v>663.1</v>
      </c>
      <c r="J241" s="7" t="n">
        <v>391.4</v>
      </c>
      <c r="L241" s="7" t="n">
        <v>477</v>
      </c>
      <c r="N241" s="7" t="n">
        <v>955.6</v>
      </c>
      <c r="P241" s="7" t="n">
        <v>773.7</v>
      </c>
      <c r="R241" s="7" t="n">
        <v>826.8</v>
      </c>
      <c r="T241" s="7" t="n">
        <v>168.5</v>
      </c>
      <c r="V241" s="7" t="n">
        <v>562.7</v>
      </c>
      <c r="X241" s="7" t="n">
        <v>429.1</v>
      </c>
      <c r="Z241" s="7" t="n">
        <v>133</v>
      </c>
      <c r="AB241" s="7" t="n">
        <v>6295.2</v>
      </c>
    </row>
    <row r="242">
      <c r="A242" s="4" t="inlineStr">
        <is>
          <t>研发材料</t>
        </is>
      </c>
      <c r="D242" s="7" t="n">
        <v>133.9</v>
      </c>
      <c r="F242" s="7" t="n">
        <v>270.9</v>
      </c>
      <c r="H242" s="7" t="n">
        <v>258.9</v>
      </c>
      <c r="J242" s="7" t="n">
        <v>232.1</v>
      </c>
      <c r="L242" s="7" t="n">
        <v>166.8</v>
      </c>
      <c r="N242" s="7" t="n">
        <v>272.8</v>
      </c>
      <c r="P242" s="7" t="n">
        <v>570.4</v>
      </c>
      <c r="R242" s="7" t="n">
        <v>377</v>
      </c>
      <c r="T242" s="7" t="n">
        <v>73.8</v>
      </c>
      <c r="V242" s="7" t="n">
        <v>200.2</v>
      </c>
      <c r="X242" s="7" t="n">
        <v>162.7</v>
      </c>
      <c r="Z242" s="7" t="n">
        <v>44.7</v>
      </c>
      <c r="AB242" s="7" t="n">
        <v>2764.2</v>
      </c>
    </row>
    <row r="243">
      <c r="A243" s="4" t="inlineStr">
        <is>
          <t>项目名称</t>
        </is>
      </c>
      <c r="D243" s="7" t="n">
        <v>100.4</v>
      </c>
      <c r="F243" s="7" t="n">
        <v>200.9</v>
      </c>
      <c r="H243" s="7" t="n">
        <v>170.2</v>
      </c>
      <c r="J243" s="7" t="n">
        <v>118.4</v>
      </c>
      <c r="L243" s="7" t="n">
        <v>134.9</v>
      </c>
      <c r="N243" s="7" t="n">
        <v>220.2</v>
      </c>
      <c r="P243" s="7" t="n">
        <v>441.4</v>
      </c>
      <c r="R243" s="7" t="n">
        <v>378</v>
      </c>
      <c r="T243" s="7" t="n">
        <v>72.90000000000001</v>
      </c>
      <c r="V243" s="7" t="n">
        <v>234.2</v>
      </c>
      <c r="X243" s="7" t="n">
        <v>138.9</v>
      </c>
      <c r="Z243" s="7" t="n">
        <v>29.7</v>
      </c>
      <c r="AB243" s="7" t="n">
        <v>2240.1</v>
      </c>
    </row>
    <row r="244">
      <c r="A244" s="4" t="inlineStr">
        <is>
          <t>研发费</t>
        </is>
      </c>
      <c r="D244" s="7" t="n">
        <v>515.8</v>
      </c>
      <c r="F244" s="7" t="n">
        <v>535.3</v>
      </c>
      <c r="H244" s="7" t="n">
        <v>1123.9</v>
      </c>
      <c r="J244" s="7" t="n">
        <v>663.4</v>
      </c>
      <c r="L244" s="7" t="n">
        <v>837.9</v>
      </c>
      <c r="N244" s="7" t="n">
        <v>909.7</v>
      </c>
      <c r="P244" s="7" t="n">
        <v>1961.3</v>
      </c>
      <c r="R244" s="7" t="n">
        <v>1279.3</v>
      </c>
      <c r="T244" s="7" t="n">
        <v>295.1</v>
      </c>
      <c r="V244" s="7" t="n">
        <v>1166</v>
      </c>
      <c r="X244" s="7" t="n">
        <v>818</v>
      </c>
      <c r="Z244" s="7" t="n">
        <v>228.2</v>
      </c>
      <c r="AB244" s="7" t="n">
        <v>10333.9</v>
      </c>
    </row>
    <row r="245">
      <c r="A245" s="4" t="inlineStr">
        <is>
          <t>残保金</t>
        </is>
      </c>
      <c r="D245" s="7" t="n">
        <v>623</v>
      </c>
      <c r="F245" s="7" t="n">
        <v>1070.3</v>
      </c>
      <c r="H245" s="7" t="n">
        <v>1444.9</v>
      </c>
      <c r="J245" s="7" t="n">
        <v>613</v>
      </c>
      <c r="L245" s="7" t="n">
        <v>651.7</v>
      </c>
      <c r="N245" s="7" t="n">
        <v>1725.7</v>
      </c>
      <c r="P245" s="7" t="n">
        <v>2120.9</v>
      </c>
      <c r="R245" s="7" t="n">
        <v>1368.8</v>
      </c>
      <c r="T245" s="7" t="n">
        <v>375.6</v>
      </c>
      <c r="V245" s="7" t="n">
        <v>1054</v>
      </c>
      <c r="X245" s="7" t="n">
        <v>916.4</v>
      </c>
      <c r="Z245" s="7" t="n">
        <v>269.1</v>
      </c>
      <c r="AB245" s="7" t="n">
        <v>12233.4</v>
      </c>
    </row>
    <row r="246">
      <c r="A246" s="4" t="inlineStr">
        <is>
          <t>环保费</t>
        </is>
      </c>
      <c r="D246" s="7" t="n">
        <v>87.40000000000001</v>
      </c>
      <c r="F246" s="7" t="n">
        <v>233.1</v>
      </c>
      <c r="H246" s="7" t="n">
        <v>239.7</v>
      </c>
      <c r="J246" s="7" t="n">
        <v>212</v>
      </c>
      <c r="L246" s="7" t="n">
        <v>243.4</v>
      </c>
      <c r="N246" s="7" t="n">
        <v>308.7</v>
      </c>
      <c r="P246" s="7" t="n">
        <v>330.1</v>
      </c>
      <c r="R246" s="7" t="n">
        <v>494.9</v>
      </c>
      <c r="T246" s="7" t="n">
        <v>124.1</v>
      </c>
      <c r="V246" s="7" t="n">
        <v>345.5</v>
      </c>
      <c r="X246" s="7" t="n">
        <v>277.3</v>
      </c>
      <c r="Z246" s="7" t="n">
        <v>64.5</v>
      </c>
      <c r="AB246" s="7" t="n">
        <v>2960.7</v>
      </c>
    </row>
    <row r="247">
      <c r="A247" s="4" t="inlineStr">
        <is>
          <t>报废损失</t>
        </is>
      </c>
      <c r="D247" s="7" t="n">
        <v>76.90000000000001</v>
      </c>
      <c r="F247" s="7" t="n">
        <v>183.2</v>
      </c>
      <c r="H247" s="7" t="n">
        <v>276.9</v>
      </c>
      <c r="J247" s="7" t="n">
        <v>131.2</v>
      </c>
      <c r="L247" s="7" t="n">
        <v>178.3</v>
      </c>
      <c r="N247" s="7" t="n">
        <v>339</v>
      </c>
      <c r="P247" s="7" t="n">
        <v>419.5</v>
      </c>
      <c r="R247" s="7" t="n">
        <v>361.6</v>
      </c>
      <c r="T247" s="7" t="n">
        <v>86.7</v>
      </c>
      <c r="V247" s="7" t="n">
        <v>238.9</v>
      </c>
      <c r="X247" s="7" t="n">
        <v>165.4</v>
      </c>
      <c r="Z247" s="7" t="n">
        <v>41.4</v>
      </c>
      <c r="AB247" s="7" t="n">
        <v>2499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6666.4</v>
      </c>
      <c r="D248" s="7" t="n">
        <v>12362.7</v>
      </c>
      <c r="E248" s="7" t="n">
        <v>7903.8</v>
      </c>
      <c r="F248" s="7" t="n">
        <v>12891.2</v>
      </c>
      <c r="G248" s="7" t="n">
        <v>7229.9</v>
      </c>
      <c r="H248" s="7" t="n">
        <v>7369.8</v>
      </c>
      <c r="I248" s="7" t="n">
        <v>8003.1</v>
      </c>
      <c r="J248" s="7" t="n">
        <v>1708.4</v>
      </c>
      <c r="K248" s="7" t="n">
        <v>6811</v>
      </c>
      <c r="L248" s="7" t="n">
        <v>5023.7</v>
      </c>
      <c r="M248" s="7" t="n">
        <v>7185.7</v>
      </c>
      <c r="N248" s="7" t="n">
        <v>18029.6</v>
      </c>
      <c r="O248" s="7" t="n">
        <v>6301.8</v>
      </c>
      <c r="P248" s="7" t="n">
        <v>9599.6</v>
      </c>
      <c r="Q248" s="7" t="n">
        <v>6195</v>
      </c>
      <c r="R248" s="7" t="n">
        <v>-4084.9</v>
      </c>
      <c r="S248" s="7" t="n">
        <v>6960.5</v>
      </c>
      <c r="T248" s="7" t="n">
        <v>488.2</v>
      </c>
      <c r="U248" s="7" t="n">
        <v>6763.2</v>
      </c>
      <c r="V248" s="7" t="n">
        <v>75</v>
      </c>
      <c r="W248" s="7" t="n">
        <v>7256.6</v>
      </c>
      <c r="X248" s="7" t="n">
        <v>16579.2</v>
      </c>
      <c r="Y248" s="7" t="n">
        <v>7004.5</v>
      </c>
      <c r="Z248" s="7" t="n">
        <v>4897.5</v>
      </c>
      <c r="AA248" s="8" t="n">
        <v>84281.5</v>
      </c>
      <c r="AB248" s="8" t="n">
        <v>84940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1211.3</v>
      </c>
      <c r="E250" s="7" t="n">
        <v>0</v>
      </c>
      <c r="F250" s="7" t="n">
        <v>-739</v>
      </c>
      <c r="G250" s="7" t="n">
        <v>0</v>
      </c>
      <c r="H250" s="7" t="n">
        <v>-324.5</v>
      </c>
      <c r="I250" s="7" t="n">
        <v>0</v>
      </c>
      <c r="J250" s="7" t="n">
        <v>-910.5</v>
      </c>
      <c r="K250" s="7" t="n">
        <v>0</v>
      </c>
      <c r="L250" s="7" t="n">
        <v>3045</v>
      </c>
      <c r="M250" s="7" t="n">
        <v>0</v>
      </c>
      <c r="N250" s="7" t="n">
        <v>-1829.8</v>
      </c>
      <c r="O250" s="7" t="n">
        <v>0</v>
      </c>
      <c r="P250" s="7" t="n">
        <v>-1176.3</v>
      </c>
      <c r="Q250" s="7" t="n">
        <v>0</v>
      </c>
      <c r="R250" s="7" t="n">
        <v>-3204.3</v>
      </c>
      <c r="S250" s="7" t="n">
        <v>0</v>
      </c>
      <c r="T250" s="7" t="n">
        <v>-2662.1</v>
      </c>
      <c r="U250" s="7" t="n">
        <v>0</v>
      </c>
      <c r="V250" s="7" t="n">
        <v>1453.5</v>
      </c>
      <c r="W250" s="7" t="n">
        <v>0</v>
      </c>
      <c r="X250" s="7" t="n">
        <v>-1409.1</v>
      </c>
      <c r="Y250" s="7" t="n">
        <v>0</v>
      </c>
      <c r="Z250" s="7" t="n">
        <v>-4175.8</v>
      </c>
      <c r="AA250" s="7" t="n">
        <v>0</v>
      </c>
      <c r="AB250" s="7" t="n">
        <v>-10721.6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13542.4</v>
      </c>
      <c r="D255" s="7" t="n">
        <v>25278.1</v>
      </c>
      <c r="E255" s="7" t="n">
        <v>13052.4</v>
      </c>
      <c r="F255" s="7" t="n">
        <v>15383.7</v>
      </c>
      <c r="G255" s="7" t="n">
        <v>11534.1</v>
      </c>
      <c r="H255" s="7" t="n">
        <v>19309.6</v>
      </c>
      <c r="I255" s="7" t="n">
        <v>13134.4</v>
      </c>
      <c r="J255" s="7" t="n">
        <v>23576.2</v>
      </c>
      <c r="K255" s="7" t="n">
        <v>14219.4</v>
      </c>
      <c r="L255" s="7" t="n">
        <v>27798.2</v>
      </c>
      <c r="M255" s="7" t="n">
        <v>14221</v>
      </c>
      <c r="N255" s="7" t="n">
        <v>2952.3</v>
      </c>
      <c r="O255" s="7" t="n">
        <v>13307.9</v>
      </c>
      <c r="P255" s="7" t="n">
        <v>2140.5</v>
      </c>
      <c r="Q255" s="7" t="n">
        <v>13261.3</v>
      </c>
      <c r="R255" s="7" t="n">
        <v>1148.4</v>
      </c>
      <c r="S255" s="7" t="n">
        <v>13901.7</v>
      </c>
      <c r="T255" s="7" t="n">
        <v>6009.2</v>
      </c>
      <c r="U255" s="7" t="n">
        <v>10547.2</v>
      </c>
      <c r="V255" s="7" t="n">
        <v>5899.4</v>
      </c>
      <c r="W255" s="7" t="n">
        <v>11627</v>
      </c>
      <c r="X255" s="7" t="n">
        <v>9877.200000000001</v>
      </c>
      <c r="Y255" s="7" t="n">
        <v>13567.4</v>
      </c>
      <c r="Z255" s="7" t="n">
        <v>9081.5</v>
      </c>
      <c r="AA255" s="7" t="n">
        <v>155916.2</v>
      </c>
      <c r="AB255" s="7" t="n">
        <v>148454.3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618073.5</v>
      </c>
      <c r="D256" s="7" t="n">
        <v>485278.4</v>
      </c>
      <c r="E256" s="7" t="n">
        <v>625806.8</v>
      </c>
      <c r="F256" s="7" t="n">
        <v>344960.1</v>
      </c>
      <c r="G256" s="7" t="n">
        <v>676285.6</v>
      </c>
      <c r="H256" s="7" t="n">
        <v>703175.3</v>
      </c>
      <c r="I256" s="7" t="n">
        <v>670987.6</v>
      </c>
      <c r="J256" s="7" t="n">
        <v>515428.1</v>
      </c>
      <c r="K256" s="7" t="n">
        <v>664426.9</v>
      </c>
      <c r="L256" s="7" t="n">
        <v>864082.6</v>
      </c>
      <c r="M256" s="7" t="n">
        <v>615637.4</v>
      </c>
      <c r="N256" s="7" t="n">
        <v>905610.9</v>
      </c>
      <c r="O256" s="7" t="n">
        <v>677395.5</v>
      </c>
      <c r="P256" s="7" t="n">
        <v>786562.3</v>
      </c>
      <c r="Q256" s="7" t="n">
        <v>587921.9</v>
      </c>
      <c r="R256" s="7" t="n">
        <v>891061.5</v>
      </c>
      <c r="S256" s="7" t="n">
        <v>564522.4</v>
      </c>
      <c r="T256" s="7" t="n">
        <v>350132.2</v>
      </c>
      <c r="U256" s="7" t="n">
        <v>673325.1</v>
      </c>
      <c r="V256" s="7" t="n">
        <v>913824</v>
      </c>
      <c r="W256" s="7" t="n">
        <v>659836.1</v>
      </c>
      <c r="X256" s="7" t="n">
        <v>420930.2</v>
      </c>
      <c r="Y256" s="7" t="n">
        <v>568584.3</v>
      </c>
      <c r="Z256" s="7" t="n">
        <v>293151.9</v>
      </c>
      <c r="AA256" s="8" t="n">
        <v>7602803.1</v>
      </c>
      <c r="AB256" s="8" t="n">
        <v>7474197.5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2249.9</v>
      </c>
      <c r="E257" s="7" t="n">
        <v>0</v>
      </c>
      <c r="F257" s="7" t="n">
        <v>2792.2</v>
      </c>
      <c r="G257" s="7" t="n">
        <v>0</v>
      </c>
      <c r="H257" s="7" t="n">
        <v>1873.5</v>
      </c>
      <c r="I257" s="7" t="n">
        <v>0</v>
      </c>
      <c r="J257" s="7" t="n">
        <v>2887.5</v>
      </c>
      <c r="K257" s="7" t="n">
        <v>0</v>
      </c>
      <c r="L257" s="7" t="n">
        <v>641.7</v>
      </c>
      <c r="M257" s="7" t="n">
        <v>0</v>
      </c>
      <c r="N257" s="7" t="n">
        <v>4716.8</v>
      </c>
      <c r="O257" s="7" t="n">
        <v>0</v>
      </c>
      <c r="P257" s="7" t="n">
        <v>48.4</v>
      </c>
      <c r="Q257" s="7" t="n">
        <v>0</v>
      </c>
      <c r="R257" s="7" t="n">
        <v>4052</v>
      </c>
      <c r="S257" s="7" t="n">
        <v>0</v>
      </c>
      <c r="T257" s="7" t="n">
        <v>4171.5</v>
      </c>
      <c r="U257" s="7" t="n">
        <v>0</v>
      </c>
      <c r="V257" s="7" t="n">
        <v>1699.1</v>
      </c>
      <c r="W257" s="7" t="n">
        <v>0</v>
      </c>
      <c r="X257" s="7" t="n">
        <v>2095.7</v>
      </c>
      <c r="Y257" s="7" t="n">
        <v>0</v>
      </c>
      <c r="Z257" s="7" t="n">
        <v>3428.8</v>
      </c>
      <c r="AA257" s="7" t="n">
        <v>0</v>
      </c>
      <c r="AB257" s="7" t="n">
        <v>30657.1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1210.1</v>
      </c>
      <c r="E258" s="7" t="n">
        <v>0</v>
      </c>
      <c r="F258" s="7" t="n">
        <v>2335.9</v>
      </c>
      <c r="G258" s="7" t="n">
        <v>0</v>
      </c>
      <c r="H258" s="7" t="n">
        <v>1612.8</v>
      </c>
      <c r="I258" s="7" t="n">
        <v>0</v>
      </c>
      <c r="J258" s="7" t="n">
        <v>978.2</v>
      </c>
      <c r="K258" s="7" t="n">
        <v>0</v>
      </c>
      <c r="L258" s="7" t="n">
        <v>69.7</v>
      </c>
      <c r="M258" s="7" t="n">
        <v>0</v>
      </c>
      <c r="N258" s="7" t="n">
        <v>2356.1</v>
      </c>
      <c r="O258" s="7" t="n">
        <v>0</v>
      </c>
      <c r="P258" s="7" t="n">
        <v>2766.4</v>
      </c>
      <c r="Q258" s="7" t="n">
        <v>0</v>
      </c>
      <c r="R258" s="7" t="n">
        <v>461.1</v>
      </c>
      <c r="S258" s="7" t="n">
        <v>0</v>
      </c>
      <c r="T258" s="7" t="n">
        <v>2857.9</v>
      </c>
      <c r="U258" s="7" t="n">
        <v>0</v>
      </c>
      <c r="V258" s="7" t="n">
        <v>990.8</v>
      </c>
      <c r="W258" s="7" t="n">
        <v>0</v>
      </c>
      <c r="X258" s="7" t="n">
        <v>1889.5</v>
      </c>
      <c r="Y258" s="7" t="n">
        <v>0</v>
      </c>
      <c r="Z258" s="7" t="n">
        <v>1809</v>
      </c>
      <c r="AA258" s="7" t="n">
        <v>0</v>
      </c>
      <c r="AB258" s="7" t="n">
        <v>19337.5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545005.7</v>
      </c>
      <c r="D259" s="7" t="n">
        <v>495744.6</v>
      </c>
      <c r="E259" s="7" t="n">
        <v>628230.8</v>
      </c>
      <c r="F259" s="7" t="n">
        <v>370276.4</v>
      </c>
      <c r="G259" s="7" t="n">
        <v>531600.8</v>
      </c>
      <c r="H259" s="7" t="n">
        <v>770704.3</v>
      </c>
      <c r="I259" s="7" t="n">
        <v>653484</v>
      </c>
      <c r="J259" s="7" t="n">
        <v>484935.8</v>
      </c>
      <c r="K259" s="7" t="n">
        <v>616302.8</v>
      </c>
      <c r="L259" s="7" t="n">
        <v>845182.7</v>
      </c>
      <c r="M259" s="7" t="n">
        <v>560289</v>
      </c>
      <c r="N259" s="7" t="n">
        <v>911857.9</v>
      </c>
      <c r="O259" s="7" t="n">
        <v>538545.3</v>
      </c>
      <c r="P259" s="7" t="n">
        <v>737534.1</v>
      </c>
      <c r="Q259" s="7" t="n">
        <v>704312.2</v>
      </c>
      <c r="R259" s="7" t="n">
        <v>821316</v>
      </c>
      <c r="S259" s="7" t="n">
        <v>578308.2</v>
      </c>
      <c r="T259" s="7" t="n">
        <v>355000.1</v>
      </c>
      <c r="U259" s="7" t="n">
        <v>568887.6</v>
      </c>
      <c r="V259" s="7" t="n">
        <v>904966.4</v>
      </c>
      <c r="W259" s="7" t="n">
        <v>648019.5</v>
      </c>
      <c r="X259" s="7" t="n">
        <v>454162.1</v>
      </c>
      <c r="Y259" s="7" t="n">
        <v>538635.9</v>
      </c>
      <c r="Z259" s="7" t="n">
        <v>269303.5</v>
      </c>
      <c r="AA259" s="8" t="n">
        <v>7111621.8</v>
      </c>
      <c r="AB259" s="8" t="n">
        <v>7420983.9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134078</v>
      </c>
      <c r="D260" s="7" t="n">
        <v>123936.1</v>
      </c>
      <c r="E260" s="7" t="n">
        <v>155463.3</v>
      </c>
      <c r="F260" s="7" t="n">
        <v>92569.10000000001</v>
      </c>
      <c r="G260" s="7" t="n">
        <v>139382.7</v>
      </c>
      <c r="H260" s="7" t="n">
        <v>192676.1</v>
      </c>
      <c r="I260" s="7" t="n">
        <v>171287.5</v>
      </c>
      <c r="J260" s="7" t="n">
        <v>121233.9</v>
      </c>
      <c r="K260" s="7" t="n">
        <v>150469.5</v>
      </c>
      <c r="L260" s="7" t="n">
        <v>211295.7</v>
      </c>
      <c r="M260" s="7" t="n">
        <v>138696.7</v>
      </c>
      <c r="N260" s="7" t="n">
        <v>227964.5</v>
      </c>
      <c r="O260" s="7" t="n">
        <v>136549.7</v>
      </c>
      <c r="P260" s="7" t="n">
        <v>184383.5</v>
      </c>
      <c r="Q260" s="7" t="n">
        <v>156294.6</v>
      </c>
      <c r="R260" s="7" t="n">
        <v>205329</v>
      </c>
      <c r="S260" s="7" t="n">
        <v>153595.1</v>
      </c>
      <c r="T260" s="7" t="n">
        <v>88750</v>
      </c>
      <c r="U260" s="7" t="n">
        <v>134602.6</v>
      </c>
      <c r="V260" s="7" t="n">
        <v>226241.6</v>
      </c>
      <c r="W260" s="7" t="n">
        <v>175711.7</v>
      </c>
      <c r="X260" s="7" t="n">
        <v>113540.5</v>
      </c>
      <c r="Y260" s="7" t="n">
        <v>171565.4</v>
      </c>
      <c r="Z260" s="7" t="n">
        <v>67325.89999999999</v>
      </c>
      <c r="AA260" s="7" t="n">
        <v>1817696.8</v>
      </c>
      <c r="AB260" s="7" t="n">
        <v>1855245.9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457411.4</v>
      </c>
      <c r="D261" s="7" t="n">
        <v>371808.5</v>
      </c>
      <c r="E261" s="7" t="n">
        <v>329084.6</v>
      </c>
      <c r="F261" s="7" t="n">
        <v>277707.3</v>
      </c>
      <c r="G261" s="7" t="n">
        <v>437452</v>
      </c>
      <c r="H261" s="7" t="n">
        <v>578028.2</v>
      </c>
      <c r="I261" s="7" t="n">
        <v>326302.8</v>
      </c>
      <c r="J261" s="7" t="n">
        <v>363701.9</v>
      </c>
      <c r="K261" s="7" t="n">
        <v>469684.1</v>
      </c>
      <c r="L261" s="7" t="n">
        <v>633887</v>
      </c>
      <c r="M261" s="7" t="n">
        <v>297866.9</v>
      </c>
      <c r="N261" s="7" t="n">
        <v>683893.4</v>
      </c>
      <c r="O261" s="7" t="n">
        <v>363633.5</v>
      </c>
      <c r="P261" s="7" t="n">
        <v>553150.6</v>
      </c>
      <c r="Q261" s="7" t="n">
        <v>479002.5</v>
      </c>
      <c r="R261" s="7" t="n">
        <v>615987</v>
      </c>
      <c r="S261" s="7" t="n">
        <v>314797.8</v>
      </c>
      <c r="T261" s="7" t="n">
        <v>266250.1</v>
      </c>
      <c r="U261" s="7" t="n">
        <v>366729</v>
      </c>
      <c r="V261" s="7" t="n">
        <v>678724.8</v>
      </c>
      <c r="W261" s="7" t="n">
        <v>343710.8</v>
      </c>
      <c r="X261" s="7" t="n">
        <v>340621.6</v>
      </c>
      <c r="Y261" s="7" t="n">
        <v>270511</v>
      </c>
      <c r="Z261" s="7" t="n">
        <v>201977.6</v>
      </c>
      <c r="AA261" s="8" t="n">
        <v>4456186.4</v>
      </c>
      <c r="AB261" s="8" t="n">
        <v>5565738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14493</v>
      </c>
      <c r="E262" s="7" t="n">
        <v>0</v>
      </c>
      <c r="F262" s="7" t="n">
        <v>17135.4</v>
      </c>
      <c r="G262" s="7" t="n">
        <v>0</v>
      </c>
      <c r="H262" s="7" t="n">
        <v>74947.3</v>
      </c>
      <c r="I262" s="7" t="n">
        <v>0</v>
      </c>
      <c r="J262" s="7" t="n">
        <v>77432.7</v>
      </c>
      <c r="K262" s="7" t="n">
        <v>0</v>
      </c>
      <c r="L262" s="7" t="n">
        <v>90287.10000000001</v>
      </c>
      <c r="M262" s="7" t="n">
        <v>0</v>
      </c>
      <c r="N262" s="7" t="n">
        <v>123861.9</v>
      </c>
      <c r="O262" s="7" t="n">
        <v>0</v>
      </c>
      <c r="P262" s="7" t="n">
        <v>155848.1</v>
      </c>
      <c r="Q262" s="7" t="n">
        <v>0</v>
      </c>
      <c r="R262" s="7" t="n">
        <v>108566.2</v>
      </c>
      <c r="S262" s="7" t="n">
        <v>0</v>
      </c>
      <c r="T262" s="7" t="n">
        <v>40135.2</v>
      </c>
      <c r="U262" s="7" t="n">
        <v>0</v>
      </c>
      <c r="V262" s="7" t="n">
        <v>139444.5</v>
      </c>
      <c r="W262" s="7" t="n">
        <v>0</v>
      </c>
      <c r="X262" s="7" t="n">
        <v>28146.3</v>
      </c>
      <c r="Y262" s="7" t="n">
        <v>0</v>
      </c>
      <c r="Z262" s="7" t="n">
        <v>451</v>
      </c>
      <c r="AA262" s="7" t="n">
        <v>0</v>
      </c>
      <c r="AB262" s="7" t="n">
        <v>870748.7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457411.4</v>
      </c>
      <c r="D263" s="7" t="n">
        <v>357315.5</v>
      </c>
      <c r="E263" s="7" t="n">
        <v>329084.6</v>
      </c>
      <c r="F263" s="7" t="n">
        <v>260571.9</v>
      </c>
      <c r="G263" s="7" t="n">
        <v>437452</v>
      </c>
      <c r="H263" s="7" t="n">
        <v>503080.9</v>
      </c>
      <c r="I263" s="7" t="n">
        <v>326302.8</v>
      </c>
      <c r="J263" s="7" t="n">
        <v>286269.2</v>
      </c>
      <c r="K263" s="7" t="n">
        <v>469684.1</v>
      </c>
      <c r="L263" s="7" t="n">
        <v>543599.9</v>
      </c>
      <c r="M263" s="7" t="n">
        <v>297866.9</v>
      </c>
      <c r="N263" s="7" t="n">
        <v>560031.5</v>
      </c>
      <c r="O263" s="7" t="n">
        <v>363633.5</v>
      </c>
      <c r="P263" s="7" t="n">
        <v>397302.5</v>
      </c>
      <c r="Q263" s="7" t="n">
        <v>479002.5</v>
      </c>
      <c r="R263" s="7" t="n">
        <v>507420.8</v>
      </c>
      <c r="S263" s="7" t="n">
        <v>314797.8</v>
      </c>
      <c r="T263" s="7" t="n">
        <v>226114.9</v>
      </c>
      <c r="U263" s="7" t="n">
        <v>366729</v>
      </c>
      <c r="V263" s="7" t="n">
        <v>539280.3</v>
      </c>
      <c r="W263" s="7" t="n">
        <v>343710.8</v>
      </c>
      <c r="X263" s="7" t="n">
        <v>312475.3</v>
      </c>
      <c r="Y263" s="7" t="n">
        <v>270511</v>
      </c>
      <c r="Z263" s="7" t="n">
        <v>201526.6</v>
      </c>
      <c r="AA263" s="8" t="n">
        <v>4456186.4</v>
      </c>
      <c r="AB263" s="8" t="n">
        <v>4694989.3</v>
      </c>
    </row>
    <row r="264">
      <c r="A264" s="4" t="inlineStr">
        <is>
          <t>净利率</t>
        </is>
      </c>
      <c r="D264" s="13" t="n">
        <v>10.5</v>
      </c>
      <c r="F264" s="13" t="n">
        <v>8</v>
      </c>
      <c r="H264" s="13" t="n">
        <v>8.4</v>
      </c>
      <c r="J264" s="13" t="n">
        <v>7.7</v>
      </c>
      <c r="L264" s="13" t="n">
        <v>8.699999999999999</v>
      </c>
      <c r="N264" s="13" t="n">
        <v>8</v>
      </c>
      <c r="P264" s="13" t="n">
        <v>7.5</v>
      </c>
      <c r="R264" s="13" t="n">
        <v>8.5</v>
      </c>
      <c r="T264" s="13" t="n">
        <v>5.9</v>
      </c>
      <c r="V264" s="13" t="n">
        <v>7.4</v>
      </c>
      <c r="X264" s="13" t="n">
        <v>6.5</v>
      </c>
      <c r="Z264" s="13" t="n">
        <v>8.800000000000001</v>
      </c>
    </row>
    <row r="265">
      <c r="A265" s="4" t="inlineStr">
        <is>
          <t>销售达成率</t>
        </is>
      </c>
      <c r="D265" s="13" t="n">
        <v>55.9</v>
      </c>
      <c r="F265" s="13" t="n">
        <v>60</v>
      </c>
      <c r="H265" s="13" t="n">
        <v>115.2</v>
      </c>
      <c r="J265" s="13" t="n">
        <v>84.90000000000001</v>
      </c>
      <c r="L265" s="13" t="n">
        <v>112.7</v>
      </c>
      <c r="N265" s="13" t="n">
        <v>146.4</v>
      </c>
      <c r="P265" s="13" t="n">
        <v>114.4</v>
      </c>
      <c r="R265" s="13" t="n">
        <v>127.4</v>
      </c>
      <c r="T265" s="13" t="n">
        <v>67.8</v>
      </c>
      <c r="V265" s="13" t="n">
        <v>135</v>
      </c>
      <c r="X265" s="13" t="n">
        <v>89.40000000000001</v>
      </c>
      <c r="Z265" s="13" t="n">
        <v>41.6</v>
      </c>
    </row>
    <row r="266">
      <c r="A266" s="4" t="inlineStr">
        <is>
          <t>净利达成率</t>
        </is>
      </c>
      <c r="D266" s="13" t="n">
        <v>81.3</v>
      </c>
      <c r="F266" s="13" t="n">
        <v>84.40000000000001</v>
      </c>
      <c r="H266" s="13" t="n">
        <v>132.1</v>
      </c>
      <c r="J266" s="13" t="n">
        <v>111.5</v>
      </c>
      <c r="L266" s="13" t="n">
        <v>135</v>
      </c>
      <c r="N266" s="13" t="n">
        <v>229.6</v>
      </c>
      <c r="P266" s="13" t="n">
        <v>152.1</v>
      </c>
      <c r="R266" s="13" t="n">
        <v>128.6</v>
      </c>
      <c r="T266" s="13" t="n">
        <v>84.59999999999999</v>
      </c>
      <c r="V266" s="13" t="n">
        <v>185.1</v>
      </c>
      <c r="X266" s="13" t="n">
        <v>99.09999999999999</v>
      </c>
      <c r="Z266" s="13" t="n">
        <v>74.7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1430368.1</v>
      </c>
      <c r="D6" s="7" t="n">
        <v>1223280.5</v>
      </c>
      <c r="E6" s="7" t="n">
        <v>1578785.5</v>
      </c>
      <c r="F6" s="7" t="n">
        <v>1470233.4</v>
      </c>
      <c r="G6" s="7" t="n">
        <v>1547893</v>
      </c>
      <c r="H6" s="7" t="n">
        <v>1743126.3</v>
      </c>
      <c r="I6" s="7" t="n">
        <v>1802751.4</v>
      </c>
      <c r="J6" s="7" t="n">
        <v>685200.2</v>
      </c>
      <c r="K6" s="7" t="n">
        <v>1503667.7</v>
      </c>
      <c r="L6" s="7" t="n">
        <v>2139053.2</v>
      </c>
      <c r="M6" s="7" t="n">
        <v>1475151.9</v>
      </c>
      <c r="N6" s="7" t="n">
        <v>1504841.9</v>
      </c>
      <c r="O6" s="7" t="n">
        <v>1601224.6</v>
      </c>
      <c r="P6" s="7" t="n">
        <v>2098930</v>
      </c>
      <c r="Q6" s="7" t="n">
        <v>1588182.4</v>
      </c>
      <c r="R6" s="7" t="n">
        <v>2453770.1</v>
      </c>
      <c r="S6" s="7" t="n">
        <v>1518250.2</v>
      </c>
      <c r="T6" s="7" t="n">
        <v>0</v>
      </c>
      <c r="U6" s="7" t="n">
        <v>1504228.9</v>
      </c>
      <c r="V6" s="7" t="n">
        <v>3613958.1</v>
      </c>
      <c r="W6" s="7" t="n">
        <v>1832801.9</v>
      </c>
      <c r="X6" s="7" t="n">
        <v>2292863.7</v>
      </c>
      <c r="Y6" s="7" t="n">
        <v>1598549.6</v>
      </c>
      <c r="Z6" s="7" t="n">
        <v>92806.3</v>
      </c>
      <c r="AA6" s="8" t="n">
        <v>18981855.2</v>
      </c>
      <c r="AB6" s="8" t="n">
        <v>19318063.7</v>
      </c>
    </row>
    <row r="7">
      <c r="A7" s="4" t="inlineStr">
        <is>
          <t>中式汤底</t>
        </is>
      </c>
      <c r="D7" s="7" t="n">
        <v>0</v>
      </c>
      <c r="F7" s="7" t="n">
        <v>124190.1</v>
      </c>
      <c r="H7" s="7" t="n">
        <v>0</v>
      </c>
      <c r="J7" s="7" t="n">
        <v>0</v>
      </c>
      <c r="L7" s="7" t="n">
        <v>142055</v>
      </c>
      <c r="N7" s="7" t="n">
        <v>0</v>
      </c>
      <c r="P7" s="7" t="n">
        <v>220145.4</v>
      </c>
      <c r="R7" s="7" t="n">
        <v>142239.9</v>
      </c>
      <c r="T7" s="7" t="n">
        <v>0</v>
      </c>
      <c r="V7" s="7" t="n">
        <v>220655</v>
      </c>
      <c r="X7" s="7" t="n">
        <v>0</v>
      </c>
      <c r="Z7" s="7" t="n">
        <v>0</v>
      </c>
      <c r="AB7" s="7" t="n">
        <v>849285.4</v>
      </c>
    </row>
    <row r="8">
      <c r="A8" s="4" t="inlineStr">
        <is>
          <t>酱料</t>
        </is>
      </c>
      <c r="D8" s="7" t="n">
        <v>95636.8</v>
      </c>
      <c r="F8" s="7" t="n">
        <v>156353</v>
      </c>
      <c r="H8" s="7" t="n">
        <v>215333</v>
      </c>
      <c r="J8" s="7" t="n">
        <v>0</v>
      </c>
      <c r="L8" s="7" t="n">
        <v>238524.6</v>
      </c>
      <c r="N8" s="7" t="n">
        <v>270273.4</v>
      </c>
      <c r="P8" s="7" t="n">
        <v>286044.2</v>
      </c>
      <c r="R8" s="7" t="n">
        <v>0</v>
      </c>
      <c r="T8" s="7" t="n">
        <v>0</v>
      </c>
      <c r="V8" s="7" t="n">
        <v>0</v>
      </c>
      <c r="X8" s="7" t="n">
        <v>164036.6</v>
      </c>
      <c r="Z8" s="7" t="n">
        <v>0</v>
      </c>
      <c r="AB8" s="7" t="n">
        <v>1426201.6</v>
      </c>
    </row>
    <row r="9">
      <c r="A9" s="4" t="inlineStr">
        <is>
          <t>川味底料</t>
        </is>
      </c>
      <c r="D9" s="7" t="n">
        <v>157372.5</v>
      </c>
      <c r="F9" s="7" t="n">
        <v>232401.8</v>
      </c>
      <c r="H9" s="7" t="n">
        <v>220278.2</v>
      </c>
      <c r="J9" s="7" t="n">
        <v>0</v>
      </c>
      <c r="L9" s="7" t="n">
        <v>433926.1</v>
      </c>
      <c r="N9" s="7" t="n">
        <v>378405.9</v>
      </c>
      <c r="P9" s="7" t="n">
        <v>477937.9</v>
      </c>
      <c r="R9" s="7" t="n">
        <v>0</v>
      </c>
      <c r="T9" s="7" t="n">
        <v>0</v>
      </c>
      <c r="V9" s="7" t="n">
        <v>302451.7</v>
      </c>
      <c r="X9" s="7" t="n">
        <v>0</v>
      </c>
      <c r="Z9" s="7" t="n">
        <v>0</v>
      </c>
      <c r="AB9" s="7" t="n">
        <v>2202774.1</v>
      </c>
    </row>
    <row r="10">
      <c r="A10" s="4" t="inlineStr">
        <is>
          <t>调味汁</t>
        </is>
      </c>
      <c r="D10" s="7" t="n">
        <v>0</v>
      </c>
      <c r="F10" s="7" t="n">
        <v>520223.6</v>
      </c>
      <c r="H10" s="7" t="n">
        <v>676485.1</v>
      </c>
      <c r="J10" s="7" t="n">
        <v>0</v>
      </c>
      <c r="L10" s="7" t="n">
        <v>801699.1</v>
      </c>
      <c r="N10" s="7" t="n">
        <v>0</v>
      </c>
      <c r="P10" s="7" t="n">
        <v>0</v>
      </c>
      <c r="R10" s="7" t="n">
        <v>1037771.7</v>
      </c>
      <c r="T10" s="7" t="n">
        <v>0</v>
      </c>
      <c r="V10" s="7" t="n">
        <v>976993.8</v>
      </c>
      <c r="X10" s="7" t="n">
        <v>802549.2</v>
      </c>
      <c r="Z10" s="7" t="n">
        <v>0</v>
      </c>
      <c r="AB10" s="7" t="n">
        <v>4815722.5</v>
      </c>
    </row>
    <row r="11">
      <c r="A11" s="4" t="inlineStr">
        <is>
          <t>复合调味粉</t>
        </is>
      </c>
      <c r="D11" s="7" t="n">
        <v>478633.7</v>
      </c>
      <c r="F11" s="7" t="n">
        <v>433066.6</v>
      </c>
      <c r="H11" s="7" t="n">
        <v>0</v>
      </c>
      <c r="J11" s="7" t="n">
        <v>699328.3</v>
      </c>
      <c r="L11" s="7" t="n">
        <v>0</v>
      </c>
      <c r="N11" s="7" t="n">
        <v>0</v>
      </c>
      <c r="P11" s="7" t="n">
        <v>1166596.8</v>
      </c>
      <c r="R11" s="7" t="n">
        <v>695544.3</v>
      </c>
      <c r="T11" s="7" t="n">
        <v>0</v>
      </c>
      <c r="V11" s="7" t="n">
        <v>999113.6</v>
      </c>
      <c r="X11" s="7" t="n">
        <v>755594.9</v>
      </c>
      <c r="Z11" s="7" t="n">
        <v>0</v>
      </c>
      <c r="AB11" s="7" t="n">
        <v>5227878.2</v>
      </c>
    </row>
    <row r="12">
      <c r="A12" s="4" t="inlineStr">
        <is>
          <t>团餐</t>
        </is>
      </c>
      <c r="D12" s="7" t="n">
        <v>113838.5</v>
      </c>
      <c r="F12" s="7" t="n">
        <v>0</v>
      </c>
      <c r="H12" s="7" t="n">
        <v>99776.7</v>
      </c>
      <c r="J12" s="7" t="n">
        <v>0</v>
      </c>
      <c r="L12" s="7" t="n">
        <v>0</v>
      </c>
      <c r="N12" s="7" t="n">
        <v>209372.1</v>
      </c>
      <c r="P12" s="7" t="n">
        <v>0</v>
      </c>
      <c r="R12" s="7" t="n">
        <v>0</v>
      </c>
      <c r="T12" s="7" t="n">
        <v>0</v>
      </c>
      <c r="V12" s="7" t="n">
        <v>149751.9</v>
      </c>
      <c r="X12" s="7" t="n">
        <v>0</v>
      </c>
      <c r="Z12" s="7" t="n">
        <v>93687.2</v>
      </c>
      <c r="AB12" s="7" t="n">
        <v>666426.4</v>
      </c>
    </row>
    <row r="13">
      <c r="A13" s="4" t="inlineStr">
        <is>
          <t>预制菜</t>
        </is>
      </c>
      <c r="D13" s="7" t="n">
        <v>382376.1</v>
      </c>
      <c r="F13" s="7" t="n">
        <v>0</v>
      </c>
      <c r="H13" s="7" t="n">
        <v>537817.7</v>
      </c>
      <c r="J13" s="7" t="n">
        <v>0</v>
      </c>
      <c r="L13" s="7" t="n">
        <v>540656.7</v>
      </c>
      <c r="N13" s="7" t="n">
        <v>665077.8</v>
      </c>
      <c r="P13" s="7" t="n">
        <v>0</v>
      </c>
      <c r="R13" s="7" t="n">
        <v>613613.6</v>
      </c>
      <c r="T13" s="7" t="n">
        <v>0</v>
      </c>
      <c r="V13" s="7" t="n">
        <v>1001795.2</v>
      </c>
      <c r="X13" s="7" t="n">
        <v>585920.3</v>
      </c>
      <c r="Z13" s="7" t="n">
        <v>0</v>
      </c>
      <c r="AB13" s="7" t="n">
        <v>4327257.4</v>
      </c>
    </row>
    <row r="14">
      <c r="A14" s="4" t="inlineStr">
        <is>
          <t>返利</t>
        </is>
      </c>
      <c r="D14" s="7" t="n">
        <v>-15782.7</v>
      </c>
      <c r="F14" s="7" t="n">
        <v>-16538.3</v>
      </c>
      <c r="H14" s="7" t="n">
        <v>-31467.7</v>
      </c>
      <c r="J14" s="7" t="n">
        <v>-18288.4</v>
      </c>
      <c r="L14" s="7" t="n">
        <v>-44252.6</v>
      </c>
      <c r="N14" s="7" t="n">
        <v>-42961.5</v>
      </c>
      <c r="P14" s="7" t="n">
        <v>-59327.3</v>
      </c>
      <c r="R14" s="7" t="n">
        <v>-47802.2</v>
      </c>
      <c r="T14" s="7" t="n">
        <v>-0</v>
      </c>
      <c r="V14" s="7" t="n">
        <v>-90341.10000000001</v>
      </c>
      <c r="X14" s="7" t="n">
        <v>-36371.6</v>
      </c>
      <c r="Z14" s="7" t="n">
        <v>-2587.6</v>
      </c>
      <c r="AB14" s="7" t="n">
        <v>-405721</v>
      </c>
    </row>
    <row r="15">
      <c r="A15" s="4" t="inlineStr">
        <is>
          <t>其他</t>
        </is>
      </c>
      <c r="D15" s="7" t="n">
        <v>11205.6</v>
      </c>
      <c r="F15" s="7" t="n">
        <v>20536.6</v>
      </c>
      <c r="H15" s="7" t="n">
        <v>24903.3</v>
      </c>
      <c r="J15" s="7" t="n">
        <v>4160.3</v>
      </c>
      <c r="L15" s="7" t="n">
        <v>26444.3</v>
      </c>
      <c r="N15" s="7" t="n">
        <v>24674.2</v>
      </c>
      <c r="P15" s="7" t="n">
        <v>7533</v>
      </c>
      <c r="R15" s="7" t="n">
        <v>12402.8</v>
      </c>
      <c r="T15" s="7" t="n">
        <v>0</v>
      </c>
      <c r="V15" s="7" t="n">
        <v>53538</v>
      </c>
      <c r="X15" s="7" t="n">
        <v>21134.3</v>
      </c>
      <c r="Z15" s="7" t="n">
        <v>1706.7</v>
      </c>
      <c r="AB15" s="7" t="n">
        <v>208239.1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1063613.8</v>
      </c>
      <c r="D16" s="7" t="n">
        <v>888600.2</v>
      </c>
      <c r="E16" s="7" t="n">
        <v>1159924.7</v>
      </c>
      <c r="F16" s="7" t="n">
        <v>1008079.7</v>
      </c>
      <c r="G16" s="7" t="n">
        <v>1333871.2</v>
      </c>
      <c r="H16" s="7" t="n">
        <v>1237691</v>
      </c>
      <c r="I16" s="7" t="n">
        <v>1180612.8</v>
      </c>
      <c r="J16" s="7" t="n">
        <v>520430.1</v>
      </c>
      <c r="K16" s="7" t="n">
        <v>1334891.6</v>
      </c>
      <c r="L16" s="7" t="n">
        <v>1486300.1</v>
      </c>
      <c r="M16" s="7" t="n">
        <v>1014550.1</v>
      </c>
      <c r="N16" s="7" t="n">
        <v>1122425.3</v>
      </c>
      <c r="O16" s="7" t="n">
        <v>1024553.4</v>
      </c>
      <c r="P16" s="7" t="n">
        <v>1483101.4</v>
      </c>
      <c r="Q16" s="7" t="n">
        <v>1255126.4</v>
      </c>
      <c r="R16" s="7" t="n">
        <v>1787619.6</v>
      </c>
      <c r="S16" s="7" t="n">
        <v>1101533.3</v>
      </c>
      <c r="T16" s="7" t="n">
        <v>0</v>
      </c>
      <c r="U16" s="7" t="n">
        <v>1145088.7</v>
      </c>
      <c r="V16" s="7" t="n">
        <v>2665485.2</v>
      </c>
      <c r="W16" s="7" t="n">
        <v>1075995.2</v>
      </c>
      <c r="X16" s="7" t="n">
        <v>1678561.6</v>
      </c>
      <c r="Y16" s="7" t="n">
        <v>1164309.8</v>
      </c>
      <c r="Z16" s="7" t="n">
        <v>68049.3</v>
      </c>
      <c r="AA16" s="8" t="n">
        <v>13854071</v>
      </c>
      <c r="AB16" s="8" t="n">
        <v>13946343.5</v>
      </c>
    </row>
    <row r="17">
      <c r="A17" s="4" t="inlineStr">
        <is>
          <t>中式汤底</t>
        </is>
      </c>
      <c r="D17" s="7" t="n">
        <v>0</v>
      </c>
      <c r="F17" s="7" t="n">
        <v>70712.10000000001</v>
      </c>
      <c r="H17" s="7" t="n">
        <v>0</v>
      </c>
      <c r="J17" s="7" t="n">
        <v>0</v>
      </c>
      <c r="L17" s="7" t="n">
        <v>80884.2</v>
      </c>
      <c r="N17" s="7" t="n">
        <v>0</v>
      </c>
      <c r="P17" s="7" t="n">
        <v>125347.7</v>
      </c>
      <c r="R17" s="7" t="n">
        <v>80989.39999999999</v>
      </c>
      <c r="T17" s="7" t="n">
        <v>0</v>
      </c>
      <c r="V17" s="7" t="n">
        <v>125637.9</v>
      </c>
      <c r="X17" s="7" t="n">
        <v>0</v>
      </c>
      <c r="Z17" s="7" t="n">
        <v>0</v>
      </c>
      <c r="AB17" s="7" t="n">
        <v>483571.3</v>
      </c>
    </row>
    <row r="18">
      <c r="A18" s="4" t="inlineStr">
        <is>
          <t>酱料</t>
        </is>
      </c>
      <c r="D18" s="7" t="n">
        <v>60845.1</v>
      </c>
      <c r="F18" s="7" t="n">
        <v>99473.39999999999</v>
      </c>
      <c r="H18" s="7" t="n">
        <v>136997.1</v>
      </c>
      <c r="J18" s="7" t="n">
        <v>0</v>
      </c>
      <c r="L18" s="7" t="n">
        <v>151751.8</v>
      </c>
      <c r="N18" s="7" t="n">
        <v>171950.7</v>
      </c>
      <c r="P18" s="7" t="n">
        <v>181984.2</v>
      </c>
      <c r="R18" s="7" t="n">
        <v>0</v>
      </c>
      <c r="T18" s="7" t="n">
        <v>0</v>
      </c>
      <c r="V18" s="7" t="n">
        <v>0</v>
      </c>
      <c r="X18" s="7" t="n">
        <v>104361.8</v>
      </c>
      <c r="Z18" s="7" t="n">
        <v>0</v>
      </c>
      <c r="AB18" s="7" t="n">
        <v>907364.1</v>
      </c>
    </row>
    <row r="19">
      <c r="A19" s="4" t="inlineStr">
        <is>
          <t>川味底料</t>
        </is>
      </c>
      <c r="D19" s="7" t="n">
        <v>99886.8</v>
      </c>
      <c r="F19" s="7" t="n">
        <v>147509.1</v>
      </c>
      <c r="H19" s="7" t="n">
        <v>139814</v>
      </c>
      <c r="J19" s="7" t="n">
        <v>0</v>
      </c>
      <c r="L19" s="7" t="n">
        <v>275419.7</v>
      </c>
      <c r="N19" s="7" t="n">
        <v>240180.2</v>
      </c>
      <c r="P19" s="7" t="n">
        <v>303354.7</v>
      </c>
      <c r="R19" s="7" t="n">
        <v>0</v>
      </c>
      <c r="T19" s="7" t="n">
        <v>0</v>
      </c>
      <c r="V19" s="7" t="n">
        <v>191970.8</v>
      </c>
      <c r="X19" s="7" t="n">
        <v>0</v>
      </c>
      <c r="Z19" s="7" t="n">
        <v>0</v>
      </c>
      <c r="AB19" s="7" t="n">
        <v>1398135.3</v>
      </c>
    </row>
    <row r="20">
      <c r="A20" s="4" t="inlineStr">
        <is>
          <t>调味汁</t>
        </is>
      </c>
      <c r="D20" s="7" t="n">
        <v>0</v>
      </c>
      <c r="F20" s="7" t="n">
        <v>334714.4</v>
      </c>
      <c r="H20" s="7" t="n">
        <v>435253.9</v>
      </c>
      <c r="J20" s="7" t="n">
        <v>0</v>
      </c>
      <c r="L20" s="7" t="n">
        <v>515817.2</v>
      </c>
      <c r="N20" s="7" t="n">
        <v>0</v>
      </c>
      <c r="P20" s="7" t="n">
        <v>0</v>
      </c>
      <c r="R20" s="7" t="n">
        <v>667707.4</v>
      </c>
      <c r="T20" s="7" t="n">
        <v>0</v>
      </c>
      <c r="V20" s="7" t="n">
        <v>628602.6</v>
      </c>
      <c r="X20" s="7" t="n">
        <v>516364.1</v>
      </c>
      <c r="Z20" s="7" t="n">
        <v>0</v>
      </c>
      <c r="AB20" s="7" t="n">
        <v>3098459.6</v>
      </c>
    </row>
    <row r="21">
      <c r="A21" s="4" t="inlineStr">
        <is>
          <t>复合调味粉</t>
        </is>
      </c>
      <c r="D21" s="7" t="n">
        <v>333040.6</v>
      </c>
      <c r="F21" s="7" t="n">
        <v>301334.3</v>
      </c>
      <c r="H21" s="7" t="n">
        <v>0</v>
      </c>
      <c r="J21" s="7" t="n">
        <v>486603.2</v>
      </c>
      <c r="L21" s="7" t="n">
        <v>0</v>
      </c>
      <c r="N21" s="7" t="n">
        <v>0</v>
      </c>
      <c r="P21" s="7" t="n">
        <v>811735.8</v>
      </c>
      <c r="R21" s="7" t="n">
        <v>483970.3</v>
      </c>
      <c r="T21" s="7" t="n">
        <v>0</v>
      </c>
      <c r="V21" s="7" t="n">
        <v>695198.4</v>
      </c>
      <c r="X21" s="7" t="n">
        <v>525754.4</v>
      </c>
      <c r="Z21" s="7" t="n">
        <v>0</v>
      </c>
      <c r="AB21" s="7" t="n">
        <v>3637637</v>
      </c>
    </row>
    <row r="22">
      <c r="A22" s="4" t="inlineStr">
        <is>
          <t>团餐</t>
        </is>
      </c>
      <c r="D22" s="7" t="n">
        <v>77942.10000000001</v>
      </c>
      <c r="F22" s="7" t="n">
        <v>0</v>
      </c>
      <c r="H22" s="7" t="n">
        <v>68314.39999999999</v>
      </c>
      <c r="J22" s="7" t="n">
        <v>0</v>
      </c>
      <c r="L22" s="7" t="n">
        <v>0</v>
      </c>
      <c r="N22" s="7" t="n">
        <v>143351.4</v>
      </c>
      <c r="P22" s="7" t="n">
        <v>0</v>
      </c>
      <c r="R22" s="7" t="n">
        <v>0</v>
      </c>
      <c r="T22" s="7" t="n">
        <v>0</v>
      </c>
      <c r="V22" s="7" t="n">
        <v>102531.1</v>
      </c>
      <c r="X22" s="7" t="n">
        <v>0</v>
      </c>
      <c r="Z22" s="7" t="n">
        <v>64145.1</v>
      </c>
      <c r="AB22" s="7" t="n">
        <v>456284.1</v>
      </c>
    </row>
    <row r="23">
      <c r="A23" s="4" t="inlineStr">
        <is>
          <t>预制菜</t>
        </is>
      </c>
      <c r="D23" s="7" t="n">
        <v>285571.1</v>
      </c>
      <c r="F23" s="7" t="n">
        <v>0</v>
      </c>
      <c r="H23" s="7" t="n">
        <v>401660</v>
      </c>
      <c r="J23" s="7" t="n">
        <v>0</v>
      </c>
      <c r="L23" s="7" t="n">
        <v>403780.3</v>
      </c>
      <c r="N23" s="7" t="n">
        <v>496702.1</v>
      </c>
      <c r="P23" s="7" t="n">
        <v>0</v>
      </c>
      <c r="R23" s="7" t="n">
        <v>458266.9</v>
      </c>
      <c r="T23" s="7" t="n">
        <v>0</v>
      </c>
      <c r="V23" s="7" t="n">
        <v>748173.8</v>
      </c>
      <c r="X23" s="7" t="n">
        <v>437584.6</v>
      </c>
      <c r="Z23" s="7" t="n">
        <v>0</v>
      </c>
      <c r="AB23" s="7" t="n">
        <v>3231738.8</v>
      </c>
    </row>
    <row r="24">
      <c r="A24" s="4" t="inlineStr">
        <is>
          <t>其他</t>
        </is>
      </c>
      <c r="D24" s="7" t="n">
        <v>7924.2</v>
      </c>
      <c r="F24" s="7" t="n">
        <v>1396.2</v>
      </c>
      <c r="H24" s="7" t="n">
        <v>16418.2</v>
      </c>
      <c r="J24" s="7" t="n">
        <v>7296.5</v>
      </c>
      <c r="L24" s="7" t="n">
        <v>10883.2</v>
      </c>
      <c r="N24" s="7" t="n">
        <v>15697.7</v>
      </c>
      <c r="P24" s="7" t="n">
        <v>24345.4</v>
      </c>
      <c r="R24" s="7" t="n">
        <v>13415</v>
      </c>
      <c r="T24" s="7" t="n">
        <v>0</v>
      </c>
      <c r="V24" s="7" t="n">
        <v>5716</v>
      </c>
      <c r="X24" s="7" t="n">
        <v>29056.1</v>
      </c>
      <c r="Z24" s="7" t="n">
        <v>419.7</v>
      </c>
      <c r="AB24" s="7" t="n">
        <v>132568.2</v>
      </c>
    </row>
    <row r="25">
      <c r="A25" s="4" t="inlineStr">
        <is>
          <t>运费</t>
        </is>
      </c>
      <c r="D25" s="7" t="n">
        <v>31314.5</v>
      </c>
      <c r="F25" s="7" t="n">
        <v>54336.4</v>
      </c>
      <c r="H25" s="7" t="n">
        <v>55651.6</v>
      </c>
      <c r="J25" s="7" t="n">
        <v>33826.9</v>
      </c>
      <c r="L25" s="7" t="n">
        <v>58646.9</v>
      </c>
      <c r="N25" s="7" t="n">
        <v>70240.89999999999</v>
      </c>
      <c r="P25" s="7" t="n">
        <v>60679</v>
      </c>
      <c r="R25" s="7" t="n">
        <v>96685.60000000001</v>
      </c>
      <c r="T25" s="7" t="n">
        <v>0</v>
      </c>
      <c r="V25" s="7" t="n">
        <v>173370.6</v>
      </c>
      <c r="X25" s="7" t="n">
        <v>94496.7</v>
      </c>
      <c r="Z25" s="7" t="n">
        <v>3904.2</v>
      </c>
      <c r="AB25" s="7" t="n">
        <v>733153.3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366754.3</v>
      </c>
      <c r="D26" s="7" t="n">
        <v>334680.3</v>
      </c>
      <c r="E26" s="7" t="n">
        <v>418860.8</v>
      </c>
      <c r="F26" s="7" t="n">
        <v>462153.7</v>
      </c>
      <c r="G26" s="7" t="n">
        <v>214021.8</v>
      </c>
      <c r="H26" s="7" t="n">
        <v>505435.3</v>
      </c>
      <c r="I26" s="7" t="n">
        <v>622138.6</v>
      </c>
      <c r="J26" s="7" t="n">
        <v>164770.1</v>
      </c>
      <c r="K26" s="7" t="n">
        <v>168776.1</v>
      </c>
      <c r="L26" s="7" t="n">
        <v>652753.1</v>
      </c>
      <c r="M26" s="7" t="n">
        <v>460601.8</v>
      </c>
      <c r="N26" s="7" t="n">
        <v>382416.6</v>
      </c>
      <c r="O26" s="7" t="n">
        <v>576671.2</v>
      </c>
      <c r="P26" s="7" t="n">
        <v>615828.6</v>
      </c>
      <c r="Q26" s="7" t="n">
        <v>333056</v>
      </c>
      <c r="R26" s="7" t="n">
        <v>666150.5</v>
      </c>
      <c r="S26" s="7" t="n">
        <v>416716.9</v>
      </c>
      <c r="T26" s="7" t="n">
        <v>0</v>
      </c>
      <c r="U26" s="7" t="n">
        <v>359140.2</v>
      </c>
      <c r="V26" s="7" t="n">
        <v>948472.9</v>
      </c>
      <c r="W26" s="7" t="n">
        <v>756806.7</v>
      </c>
      <c r="X26" s="7" t="n">
        <v>614302.1</v>
      </c>
      <c r="Y26" s="7" t="n">
        <v>434239.8</v>
      </c>
      <c r="Z26" s="7" t="n">
        <v>24757</v>
      </c>
      <c r="AA26" s="8" t="n">
        <v>5127784.2</v>
      </c>
      <c r="AB26" s="8" t="n">
        <v>5371720.2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25.6</v>
      </c>
      <c r="D27" s="13" t="n">
        <v>27.4</v>
      </c>
      <c r="E27" s="13" t="n">
        <v>26.5</v>
      </c>
      <c r="F27" s="13" t="n">
        <v>31.4</v>
      </c>
      <c r="G27" s="13" t="n">
        <v>13.8</v>
      </c>
      <c r="H27" s="13" t="n">
        <v>29</v>
      </c>
      <c r="I27" s="13" t="n">
        <v>34.5</v>
      </c>
      <c r="J27" s="13" t="n">
        <v>24</v>
      </c>
      <c r="K27" s="13" t="n">
        <v>11.2</v>
      </c>
      <c r="L27" s="13" t="n">
        <v>30.5</v>
      </c>
      <c r="M27" s="13" t="n">
        <v>31.2</v>
      </c>
      <c r="N27" s="13" t="n">
        <v>25.4</v>
      </c>
      <c r="O27" s="13" t="n">
        <v>36</v>
      </c>
      <c r="P27" s="13" t="n">
        <v>29.3</v>
      </c>
      <c r="Q27" s="13" t="n">
        <v>21</v>
      </c>
      <c r="R27" s="13" t="n">
        <v>27.1</v>
      </c>
      <c r="S27" s="13" t="n">
        <v>27.4</v>
      </c>
      <c r="T27" s="13" t="n">
        <v>0</v>
      </c>
      <c r="U27" s="13" t="n">
        <v>23.9</v>
      </c>
      <c r="V27" s="13" t="n">
        <v>26.2</v>
      </c>
      <c r="W27" s="13" t="n">
        <v>41.3</v>
      </c>
      <c r="X27" s="13" t="n">
        <v>26.8</v>
      </c>
      <c r="Y27" s="13" t="n">
        <v>27.2</v>
      </c>
      <c r="Z27" s="13" t="n">
        <v>26.7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13061.1</v>
      </c>
      <c r="D28" s="7" t="n">
        <v>15274.8</v>
      </c>
      <c r="E28" s="7" t="n">
        <v>14065.6</v>
      </c>
      <c r="F28" s="7" t="n">
        <v>14478.3</v>
      </c>
      <c r="G28" s="7" t="n">
        <v>13465</v>
      </c>
      <c r="H28" s="7" t="n">
        <v>9905.1</v>
      </c>
      <c r="I28" s="7" t="n">
        <v>12156.7</v>
      </c>
      <c r="J28" s="7" t="n">
        <v>7183.8</v>
      </c>
      <c r="K28" s="7" t="n">
        <v>15021.6</v>
      </c>
      <c r="L28" s="7" t="n">
        <v>15878.1</v>
      </c>
      <c r="M28" s="7" t="n">
        <v>14661.6</v>
      </c>
      <c r="N28" s="7" t="n">
        <v>21820.5</v>
      </c>
      <c r="O28" s="7" t="n">
        <v>12473.7</v>
      </c>
      <c r="P28" s="7" t="n">
        <v>13438.5</v>
      </c>
      <c r="Q28" s="7" t="n">
        <v>13328.2</v>
      </c>
      <c r="R28" s="7" t="n">
        <v>32400.2</v>
      </c>
      <c r="S28" s="7" t="n">
        <v>12737.6</v>
      </c>
      <c r="T28" s="7" t="n">
        <v>0</v>
      </c>
      <c r="U28" s="7" t="n">
        <v>11976.6</v>
      </c>
      <c r="V28" s="7" t="n">
        <v>24234.8</v>
      </c>
      <c r="W28" s="7" t="n">
        <v>14651.9</v>
      </c>
      <c r="X28" s="7" t="n">
        <v>11878.6</v>
      </c>
      <c r="Y28" s="7" t="n">
        <v>12735.5</v>
      </c>
      <c r="Z28" s="7" t="n">
        <v>557.3</v>
      </c>
      <c r="AA28" s="8" t="n">
        <v>160335.1</v>
      </c>
      <c r="AB28" s="8" t="n">
        <v>167050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326354.8</v>
      </c>
      <c r="D29" s="7" t="n">
        <v>250174.8</v>
      </c>
      <c r="E29" s="7" t="n">
        <v>278281.9</v>
      </c>
      <c r="F29" s="7" t="n">
        <v>331501.1</v>
      </c>
      <c r="G29" s="7" t="n">
        <v>266475.2</v>
      </c>
      <c r="H29" s="7" t="n">
        <v>386497.8</v>
      </c>
      <c r="I29" s="7" t="n">
        <v>253710.1</v>
      </c>
      <c r="J29" s="7" t="n">
        <v>134403.3</v>
      </c>
      <c r="K29" s="7" t="n">
        <v>282362.3</v>
      </c>
      <c r="L29" s="7" t="n">
        <v>443771.3</v>
      </c>
      <c r="M29" s="7" t="n">
        <v>331600.4</v>
      </c>
      <c r="N29" s="7" t="n">
        <v>352962.9</v>
      </c>
      <c r="O29" s="7" t="n">
        <v>275026.4</v>
      </c>
      <c r="P29" s="7" t="n">
        <v>332875.1</v>
      </c>
      <c r="Q29" s="7" t="n">
        <v>262451.2</v>
      </c>
      <c r="R29" s="7" t="n">
        <v>358860.5</v>
      </c>
      <c r="S29" s="7" t="n">
        <v>303811.9</v>
      </c>
      <c r="T29" s="7" t="n">
        <v>0</v>
      </c>
      <c r="U29" s="7" t="n">
        <v>264916.2</v>
      </c>
      <c r="V29" s="7" t="n">
        <v>363925.1</v>
      </c>
      <c r="W29" s="7" t="n">
        <v>322318.1</v>
      </c>
      <c r="X29" s="7" t="n">
        <v>494940.9</v>
      </c>
      <c r="Y29" s="7" t="n">
        <v>314913.3</v>
      </c>
      <c r="Z29" s="7" t="n">
        <v>19959.6</v>
      </c>
      <c r="AA29" s="8" t="n">
        <v>3482221.8</v>
      </c>
      <c r="AB29" s="8" t="n">
        <v>3469872.4</v>
      </c>
    </row>
    <row r="30">
      <c r="A30" s="4" t="inlineStr">
        <is>
          <t>职工薪酬</t>
        </is>
      </c>
      <c r="D30" s="7" t="n">
        <v>116292.8</v>
      </c>
      <c r="F30" s="7" t="n">
        <v>163720.2</v>
      </c>
      <c r="H30" s="7" t="n">
        <v>190850.7</v>
      </c>
      <c r="J30" s="7" t="n">
        <v>73035.8</v>
      </c>
      <c r="L30" s="7" t="n">
        <v>204104.7</v>
      </c>
      <c r="N30" s="7" t="n">
        <v>181256.7</v>
      </c>
      <c r="P30" s="7" t="n">
        <v>188424.4</v>
      </c>
      <c r="R30" s="7" t="n">
        <v>165202.9</v>
      </c>
      <c r="T30" s="7" t="n">
        <v>0</v>
      </c>
      <c r="V30" s="7" t="n">
        <v>211080.8</v>
      </c>
      <c r="X30" s="7" t="n">
        <v>248200.3</v>
      </c>
      <c r="Z30" s="7" t="n">
        <v>9625.6</v>
      </c>
      <c r="AB30" s="7" t="n">
        <v>1751794.9</v>
      </c>
    </row>
    <row r="31">
      <c r="A31" s="4" t="inlineStr">
        <is>
          <t>工资</t>
        </is>
      </c>
      <c r="D31" s="7" t="n">
        <v>62163.5</v>
      </c>
      <c r="F31" s="7" t="n">
        <v>90892.2</v>
      </c>
      <c r="H31" s="7" t="n">
        <v>93243.3</v>
      </c>
      <c r="J31" s="7" t="n">
        <v>37953.5</v>
      </c>
      <c r="L31" s="7" t="n">
        <v>118452.9</v>
      </c>
      <c r="N31" s="7" t="n">
        <v>98848.5</v>
      </c>
      <c r="P31" s="7" t="n">
        <v>97392.5</v>
      </c>
      <c r="R31" s="7" t="n">
        <v>79625</v>
      </c>
      <c r="T31" s="7" t="n">
        <v>0</v>
      </c>
      <c r="V31" s="7" t="n">
        <v>118999.9</v>
      </c>
      <c r="X31" s="7" t="n">
        <v>136809.8</v>
      </c>
      <c r="Z31" s="7" t="n">
        <v>4433.4</v>
      </c>
      <c r="AB31" s="7" t="n">
        <v>938814.5</v>
      </c>
    </row>
    <row r="32">
      <c r="A32" s="4" t="inlineStr">
        <is>
          <t>奖金及提成</t>
        </is>
      </c>
      <c r="D32" s="7" t="n">
        <v>20792.9</v>
      </c>
      <c r="F32" s="7" t="n">
        <v>29202.6</v>
      </c>
      <c r="H32" s="7" t="n">
        <v>40942.5</v>
      </c>
      <c r="J32" s="7" t="n">
        <v>17336.2</v>
      </c>
      <c r="L32" s="7" t="n">
        <v>33774.9</v>
      </c>
      <c r="N32" s="7" t="n">
        <v>36062.5</v>
      </c>
      <c r="P32" s="7" t="n">
        <v>43084.6</v>
      </c>
      <c r="R32" s="7" t="n">
        <v>43432.1</v>
      </c>
      <c r="T32" s="7" t="n">
        <v>0</v>
      </c>
      <c r="V32" s="7" t="n">
        <v>46415.8</v>
      </c>
      <c r="X32" s="7" t="n">
        <v>52459.8</v>
      </c>
      <c r="Z32" s="7" t="n">
        <v>2572.5</v>
      </c>
      <c r="AB32" s="7" t="n">
        <v>366076.4</v>
      </c>
    </row>
    <row r="33">
      <c r="A33" s="4" t="inlineStr">
        <is>
          <t>社保</t>
        </is>
      </c>
      <c r="D33" s="7" t="n">
        <v>22371.4</v>
      </c>
      <c r="F33" s="7" t="n">
        <v>29350.9</v>
      </c>
      <c r="H33" s="7" t="n">
        <v>39683.1</v>
      </c>
      <c r="J33" s="7" t="n">
        <v>12002</v>
      </c>
      <c r="L33" s="7" t="n">
        <v>31924.1</v>
      </c>
      <c r="N33" s="7" t="n">
        <v>30530.2</v>
      </c>
      <c r="P33" s="7" t="n">
        <v>32765</v>
      </c>
      <c r="R33" s="7" t="n">
        <v>25573.3</v>
      </c>
      <c r="T33" s="7" t="n">
        <v>0</v>
      </c>
      <c r="V33" s="7" t="n">
        <v>28801.9</v>
      </c>
      <c r="X33" s="7" t="n">
        <v>35677.8</v>
      </c>
      <c r="Z33" s="7" t="n">
        <v>1700.7</v>
      </c>
      <c r="AB33" s="7" t="n">
        <v>290380.4</v>
      </c>
    </row>
    <row r="34">
      <c r="A34" s="4" t="inlineStr">
        <is>
          <t>养老</t>
        </is>
      </c>
      <c r="D34" s="7" t="n">
        <v>892</v>
      </c>
      <c r="F34" s="7" t="n">
        <v>1379</v>
      </c>
      <c r="H34" s="7" t="n">
        <v>1244.7</v>
      </c>
      <c r="J34" s="7" t="n">
        <v>542.7</v>
      </c>
      <c r="L34" s="7" t="n">
        <v>2201.3</v>
      </c>
      <c r="N34" s="7" t="n">
        <v>1136.8</v>
      </c>
      <c r="P34" s="7" t="n">
        <v>1366.2</v>
      </c>
      <c r="R34" s="7" t="n">
        <v>1704.4</v>
      </c>
      <c r="T34" s="7" t="n">
        <v>0</v>
      </c>
      <c r="V34" s="7" t="n">
        <v>1595.4</v>
      </c>
      <c r="X34" s="7" t="n">
        <v>2191.8</v>
      </c>
      <c r="Z34" s="7" t="n">
        <v>82.09999999999999</v>
      </c>
      <c r="AB34" s="7" t="n">
        <v>14336.4</v>
      </c>
    </row>
    <row r="35">
      <c r="A35" s="4" t="inlineStr">
        <is>
          <t>医疗</t>
        </is>
      </c>
      <c r="D35" s="7" t="n">
        <v>90.90000000000001</v>
      </c>
      <c r="F35" s="7" t="n">
        <v>114.4</v>
      </c>
      <c r="H35" s="7" t="n">
        <v>120.1</v>
      </c>
      <c r="J35" s="7" t="n">
        <v>43.4</v>
      </c>
      <c r="L35" s="7" t="n">
        <v>126</v>
      </c>
      <c r="N35" s="7" t="n">
        <v>173.9</v>
      </c>
      <c r="P35" s="7" t="n">
        <v>138.5</v>
      </c>
      <c r="R35" s="7" t="n">
        <v>178.7</v>
      </c>
      <c r="T35" s="7" t="n">
        <v>0</v>
      </c>
      <c r="V35" s="7" t="n">
        <v>128.3</v>
      </c>
      <c r="X35" s="7" t="n">
        <v>168.6</v>
      </c>
      <c r="Z35" s="7" t="n">
        <v>8.5</v>
      </c>
      <c r="AB35" s="7" t="n">
        <v>1291.3</v>
      </c>
    </row>
    <row r="36">
      <c r="A36" s="4" t="inlineStr">
        <is>
          <t>工伤</t>
        </is>
      </c>
      <c r="D36" s="7" t="n">
        <v>1263.2</v>
      </c>
      <c r="F36" s="7" t="n">
        <v>2126.8</v>
      </c>
      <c r="H36" s="7" t="n">
        <v>2098.6</v>
      </c>
      <c r="J36" s="7" t="n">
        <v>585.2</v>
      </c>
      <c r="L36" s="7" t="n">
        <v>1580.6</v>
      </c>
      <c r="N36" s="7" t="n">
        <v>2126.6</v>
      </c>
      <c r="P36" s="7" t="n">
        <v>1491.9</v>
      </c>
      <c r="R36" s="7" t="n">
        <v>1512.8</v>
      </c>
      <c r="T36" s="7" t="n">
        <v>0</v>
      </c>
      <c r="V36" s="7" t="n">
        <v>2257.6</v>
      </c>
      <c r="X36" s="7" t="n">
        <v>2712.6</v>
      </c>
      <c r="Z36" s="7" t="n">
        <v>84.5</v>
      </c>
      <c r="AB36" s="7" t="n">
        <v>17840.4</v>
      </c>
    </row>
    <row r="37">
      <c r="A37" s="4" t="inlineStr">
        <is>
          <t>失业</t>
        </is>
      </c>
      <c r="D37" s="7" t="n">
        <v>1276.1</v>
      </c>
      <c r="F37" s="7" t="n">
        <v>1591</v>
      </c>
      <c r="H37" s="7" t="n">
        <v>1618.2</v>
      </c>
      <c r="J37" s="7" t="n">
        <v>541</v>
      </c>
      <c r="L37" s="7" t="n">
        <v>1931</v>
      </c>
      <c r="N37" s="7" t="n">
        <v>1119.4</v>
      </c>
      <c r="P37" s="7" t="n">
        <v>1833.3</v>
      </c>
      <c r="R37" s="7" t="n">
        <v>1200.1</v>
      </c>
      <c r="T37" s="7" t="n">
        <v>0</v>
      </c>
      <c r="V37" s="7" t="n">
        <v>1772.5</v>
      </c>
      <c r="X37" s="7" t="n">
        <v>1751</v>
      </c>
      <c r="Z37" s="7" t="n">
        <v>74</v>
      </c>
      <c r="AB37" s="7" t="n">
        <v>14707.6</v>
      </c>
    </row>
    <row r="38">
      <c r="A38" s="4" t="inlineStr">
        <is>
          <t>生育</t>
        </is>
      </c>
      <c r="D38" s="7" t="n">
        <v>158.9</v>
      </c>
      <c r="F38" s="7" t="n">
        <v>239.1</v>
      </c>
      <c r="H38" s="7" t="n">
        <v>292.8</v>
      </c>
      <c r="J38" s="7" t="n">
        <v>68.09999999999999</v>
      </c>
      <c r="L38" s="7" t="n">
        <v>199.4</v>
      </c>
      <c r="N38" s="7" t="n">
        <v>241</v>
      </c>
      <c r="P38" s="7" t="n">
        <v>177.6</v>
      </c>
      <c r="R38" s="7" t="n">
        <v>244.6</v>
      </c>
      <c r="T38" s="7" t="n">
        <v>0</v>
      </c>
      <c r="V38" s="7" t="n">
        <v>176.5</v>
      </c>
      <c r="X38" s="7" t="n">
        <v>253</v>
      </c>
      <c r="Z38" s="7" t="n">
        <v>10.5</v>
      </c>
      <c r="AB38" s="7" t="n">
        <v>2061.5</v>
      </c>
    </row>
    <row r="39">
      <c r="A39" s="4" t="inlineStr">
        <is>
          <t>公积金</t>
        </is>
      </c>
      <c r="D39" s="7" t="n">
        <v>795.2</v>
      </c>
      <c r="F39" s="7" t="n">
        <v>841.1</v>
      </c>
      <c r="H39" s="7" t="n">
        <v>1327.8</v>
      </c>
      <c r="J39" s="7" t="n">
        <v>295.5</v>
      </c>
      <c r="L39" s="7" t="n">
        <v>1674.3</v>
      </c>
      <c r="N39" s="7" t="n">
        <v>974.2</v>
      </c>
      <c r="P39" s="7" t="n">
        <v>783.4</v>
      </c>
      <c r="R39" s="7" t="n">
        <v>1017.8</v>
      </c>
      <c r="T39" s="7" t="n">
        <v>0</v>
      </c>
      <c r="V39" s="7" t="n">
        <v>1220.5</v>
      </c>
      <c r="X39" s="7" t="n">
        <v>1682.1</v>
      </c>
      <c r="Z39" s="7" t="n">
        <v>69.90000000000001</v>
      </c>
      <c r="AB39" s="7" t="n">
        <v>10681.8</v>
      </c>
    </row>
    <row r="40">
      <c r="A40" s="4" t="inlineStr">
        <is>
          <t>工会经费</t>
        </is>
      </c>
      <c r="D40" s="7" t="n">
        <v>926.8</v>
      </c>
      <c r="F40" s="7" t="n">
        <v>1602.3</v>
      </c>
      <c r="H40" s="7" t="n">
        <v>2438.4</v>
      </c>
      <c r="J40" s="7" t="n">
        <v>808</v>
      </c>
      <c r="L40" s="7" t="n">
        <v>2893.3</v>
      </c>
      <c r="N40" s="7" t="n">
        <v>1941.6</v>
      </c>
      <c r="P40" s="7" t="n">
        <v>1371.3</v>
      </c>
      <c r="R40" s="7" t="n">
        <v>2121.3</v>
      </c>
      <c r="T40" s="7" t="n">
        <v>0</v>
      </c>
      <c r="V40" s="7" t="n">
        <v>1852.4</v>
      </c>
      <c r="X40" s="7" t="n">
        <v>2503.8</v>
      </c>
      <c r="Z40" s="7" t="n">
        <v>96.09999999999999</v>
      </c>
      <c r="AB40" s="7" t="n">
        <v>18555.3</v>
      </c>
    </row>
    <row r="41">
      <c r="A41" s="4" t="inlineStr">
        <is>
          <t>职工教育经费</t>
        </is>
      </c>
      <c r="D41" s="7" t="n">
        <v>738.8</v>
      </c>
      <c r="F41" s="7" t="n">
        <v>1030.2</v>
      </c>
      <c r="H41" s="7" t="n">
        <v>1507.6</v>
      </c>
      <c r="J41" s="7" t="n">
        <v>423.5</v>
      </c>
      <c r="L41" s="7" t="n">
        <v>1435.1</v>
      </c>
      <c r="N41" s="7" t="n">
        <v>992.7</v>
      </c>
      <c r="P41" s="7" t="n">
        <v>1323.4</v>
      </c>
      <c r="R41" s="7" t="n">
        <v>1618.9</v>
      </c>
      <c r="T41" s="7" t="n">
        <v>0</v>
      </c>
      <c r="V41" s="7" t="n">
        <v>1815.6</v>
      </c>
      <c r="X41" s="7" t="n">
        <v>2486.5</v>
      </c>
      <c r="Z41" s="7" t="n">
        <v>101.7</v>
      </c>
      <c r="AB41" s="7" t="n">
        <v>13474</v>
      </c>
    </row>
    <row r="42">
      <c r="A42" s="4" t="inlineStr">
        <is>
          <t>福利费</t>
        </is>
      </c>
      <c r="D42" s="7" t="n">
        <v>8504.200000000001</v>
      </c>
      <c r="F42" s="7" t="n">
        <v>10800.9</v>
      </c>
      <c r="H42" s="7" t="n">
        <v>11708</v>
      </c>
      <c r="J42" s="7" t="n">
        <v>4217.1</v>
      </c>
      <c r="L42" s="7" t="n">
        <v>13950.1</v>
      </c>
      <c r="N42" s="7" t="n">
        <v>11907</v>
      </c>
      <c r="P42" s="7" t="n">
        <v>11704.2</v>
      </c>
      <c r="R42" s="7" t="n">
        <v>11814.5</v>
      </c>
      <c r="T42" s="7" t="n">
        <v>0</v>
      </c>
      <c r="V42" s="7" t="n">
        <v>11974.7</v>
      </c>
      <c r="X42" s="7" t="n">
        <v>16580.5</v>
      </c>
      <c r="Z42" s="7" t="n">
        <v>651.3</v>
      </c>
      <c r="AB42" s="7" t="n">
        <v>113812.5</v>
      </c>
    </row>
    <row r="43">
      <c r="A43" s="4" t="inlineStr">
        <is>
          <t>职工房租</t>
        </is>
      </c>
      <c r="D43" s="7" t="n">
        <v>1697.7</v>
      </c>
      <c r="F43" s="7" t="n">
        <v>1996.3</v>
      </c>
      <c r="H43" s="7" t="n">
        <v>2298.3</v>
      </c>
      <c r="J43" s="7" t="n">
        <v>895.7</v>
      </c>
      <c r="L43" s="7" t="n">
        <v>2970.3</v>
      </c>
      <c r="N43" s="7" t="n">
        <v>2304.7</v>
      </c>
      <c r="P43" s="7" t="n">
        <v>2503.1</v>
      </c>
      <c r="R43" s="7" t="n">
        <v>2452.5</v>
      </c>
      <c r="T43" s="7" t="n">
        <v>0</v>
      </c>
      <c r="V43" s="7" t="n">
        <v>1570.4</v>
      </c>
      <c r="X43" s="7" t="n">
        <v>3520.2</v>
      </c>
      <c r="Z43" s="7" t="n">
        <v>128.9</v>
      </c>
      <c r="AB43" s="7" t="n">
        <v>22338.1</v>
      </c>
    </row>
    <row r="44">
      <c r="A44" s="4" t="inlineStr">
        <is>
          <t>水电物业费</t>
        </is>
      </c>
      <c r="D44" s="7" t="n">
        <v>1241.1</v>
      </c>
      <c r="F44" s="7" t="n">
        <v>1598.6</v>
      </c>
      <c r="H44" s="7" t="n">
        <v>1468.8</v>
      </c>
      <c r="J44" s="7" t="n">
        <v>580.2</v>
      </c>
      <c r="L44" s="7" t="n">
        <v>2182.2</v>
      </c>
      <c r="N44" s="7" t="n">
        <v>1334.8</v>
      </c>
      <c r="P44" s="7" t="n">
        <v>1567</v>
      </c>
      <c r="R44" s="7" t="n">
        <v>2023.2</v>
      </c>
      <c r="T44" s="7" t="n">
        <v>0</v>
      </c>
      <c r="V44" s="7" t="n">
        <v>1141.9</v>
      </c>
      <c r="X44" s="7" t="n">
        <v>2552.3</v>
      </c>
      <c r="Z44" s="7" t="n">
        <v>96.2</v>
      </c>
      <c r="AB44" s="7" t="n">
        <v>15786.3</v>
      </c>
    </row>
    <row r="45">
      <c r="A45" s="4" t="inlineStr">
        <is>
          <t>员工餐</t>
        </is>
      </c>
      <c r="D45" s="7" t="n">
        <v>1411.8</v>
      </c>
      <c r="F45" s="7" t="n">
        <v>2096.1</v>
      </c>
      <c r="H45" s="7" t="n">
        <v>2882.8</v>
      </c>
      <c r="J45" s="7" t="n">
        <v>817.1</v>
      </c>
      <c r="L45" s="7" t="n">
        <v>2170</v>
      </c>
      <c r="N45" s="7" t="n">
        <v>2024</v>
      </c>
      <c r="P45" s="7" t="n">
        <v>2397.3</v>
      </c>
      <c r="R45" s="7" t="n">
        <v>1837.7</v>
      </c>
      <c r="T45" s="7" t="n">
        <v>0</v>
      </c>
      <c r="V45" s="7" t="n">
        <v>2802</v>
      </c>
      <c r="X45" s="7" t="n">
        <v>3258.7</v>
      </c>
      <c r="Z45" s="7" t="n">
        <v>111.6</v>
      </c>
      <c r="AB45" s="7" t="n">
        <v>21809.1</v>
      </c>
    </row>
    <row r="46">
      <c r="A46" s="4" t="inlineStr">
        <is>
          <t>节日礼品</t>
        </is>
      </c>
      <c r="D46" s="7" t="n">
        <v>478.4</v>
      </c>
      <c r="F46" s="7" t="n">
        <v>820.7</v>
      </c>
      <c r="H46" s="7" t="n">
        <v>887.2</v>
      </c>
      <c r="J46" s="7" t="n">
        <v>204.5</v>
      </c>
      <c r="L46" s="7" t="n">
        <v>969.4</v>
      </c>
      <c r="N46" s="7" t="n">
        <v>831.2</v>
      </c>
      <c r="P46" s="7" t="n">
        <v>609.5</v>
      </c>
      <c r="R46" s="7" t="n">
        <v>569.4</v>
      </c>
      <c r="T46" s="7" t="n">
        <v>0</v>
      </c>
      <c r="V46" s="7" t="n">
        <v>924.6</v>
      </c>
      <c r="X46" s="7" t="n">
        <v>938.4</v>
      </c>
      <c r="Z46" s="7" t="n">
        <v>35.7</v>
      </c>
      <c r="AB46" s="7" t="n">
        <v>7269</v>
      </c>
    </row>
    <row r="47">
      <c r="A47" s="4" t="inlineStr">
        <is>
          <t>生日礼品</t>
        </is>
      </c>
      <c r="D47" s="7" t="n">
        <v>1926.6</v>
      </c>
      <c r="F47" s="7" t="n">
        <v>1503.9</v>
      </c>
      <c r="H47" s="7" t="n">
        <v>1855.9</v>
      </c>
      <c r="J47" s="7" t="n">
        <v>972.4</v>
      </c>
      <c r="L47" s="7" t="n">
        <v>2915.2</v>
      </c>
      <c r="N47" s="7" t="n">
        <v>2496.3</v>
      </c>
      <c r="P47" s="7" t="n">
        <v>2455.7</v>
      </c>
      <c r="R47" s="7" t="n">
        <v>1863.7</v>
      </c>
      <c r="T47" s="7" t="n">
        <v>0</v>
      </c>
      <c r="V47" s="7" t="n">
        <v>2643.8</v>
      </c>
      <c r="X47" s="7" t="n">
        <v>2623</v>
      </c>
      <c r="Z47" s="7" t="n">
        <v>104.5</v>
      </c>
      <c r="AB47" s="7" t="n">
        <v>21361</v>
      </c>
    </row>
    <row r="48">
      <c r="A48" s="4" t="inlineStr">
        <is>
          <t>体检</t>
        </is>
      </c>
      <c r="D48" s="7" t="n">
        <v>1509.9</v>
      </c>
      <c r="F48" s="7" t="n">
        <v>2450.7</v>
      </c>
      <c r="H48" s="7" t="n">
        <v>1950.4</v>
      </c>
      <c r="J48" s="7" t="n">
        <v>614.7</v>
      </c>
      <c r="L48" s="7" t="n">
        <v>2234.7</v>
      </c>
      <c r="N48" s="7" t="n">
        <v>2536.6</v>
      </c>
      <c r="P48" s="7" t="n">
        <v>1771.4</v>
      </c>
      <c r="R48" s="7" t="n">
        <v>2770.7</v>
      </c>
      <c r="T48" s="7" t="n">
        <v>0</v>
      </c>
      <c r="V48" s="7" t="n">
        <v>2435.7</v>
      </c>
      <c r="X48" s="7" t="n">
        <v>3308.1</v>
      </c>
      <c r="Z48" s="7" t="n">
        <v>151.6</v>
      </c>
      <c r="AB48" s="7" t="n">
        <v>21734.5</v>
      </c>
    </row>
    <row r="49">
      <c r="A49" s="4" t="inlineStr">
        <is>
          <t>其他福利支出</t>
        </is>
      </c>
      <c r="D49" s="7" t="n">
        <v>238.7</v>
      </c>
      <c r="F49" s="7" t="n">
        <v>334.6</v>
      </c>
      <c r="H49" s="7" t="n">
        <v>364.6</v>
      </c>
      <c r="J49" s="7" t="n">
        <v>132.5</v>
      </c>
      <c r="L49" s="7" t="n">
        <v>508.3</v>
      </c>
      <c r="N49" s="7" t="n">
        <v>379.4</v>
      </c>
      <c r="P49" s="7" t="n">
        <v>400.2</v>
      </c>
      <c r="R49" s="7" t="n">
        <v>297.3</v>
      </c>
      <c r="T49" s="7" t="n">
        <v>0</v>
      </c>
      <c r="V49" s="7" t="n">
        <v>456.3</v>
      </c>
      <c r="X49" s="7" t="n">
        <v>379.8</v>
      </c>
      <c r="Z49" s="7" t="n">
        <v>22.8</v>
      </c>
      <c r="AB49" s="7" t="n">
        <v>3514.5</v>
      </c>
    </row>
    <row r="50">
      <c r="A50" s="4" t="inlineStr">
        <is>
          <t>招聘费</t>
        </is>
      </c>
      <c r="D50" s="7" t="n">
        <v>1228.3</v>
      </c>
      <c r="F50" s="7" t="n">
        <v>2175.6</v>
      </c>
      <c r="H50" s="7" t="n">
        <v>1763</v>
      </c>
      <c r="J50" s="7" t="n">
        <v>924.2</v>
      </c>
      <c r="L50" s="7" t="n">
        <v>3713.5</v>
      </c>
      <c r="N50" s="7" t="n">
        <v>2644.3</v>
      </c>
      <c r="P50" s="7" t="n">
        <v>2714.7</v>
      </c>
      <c r="R50" s="7" t="n">
        <v>2286.7</v>
      </c>
      <c r="T50" s="7" t="n">
        <v>0</v>
      </c>
      <c r="V50" s="7" t="n">
        <v>2257.1</v>
      </c>
      <c r="X50" s="7" t="n">
        <v>2956.8</v>
      </c>
      <c r="Z50" s="7" t="n">
        <v>159.5</v>
      </c>
      <c r="AB50" s="7" t="n">
        <v>22823.7</v>
      </c>
    </row>
    <row r="51">
      <c r="A51" s="4" t="inlineStr">
        <is>
          <t>办公费</t>
        </is>
      </c>
      <c r="D51" s="7" t="n">
        <v>9754.299999999999</v>
      </c>
      <c r="F51" s="7" t="n">
        <v>11835.7</v>
      </c>
      <c r="H51" s="7" t="n">
        <v>14662.9</v>
      </c>
      <c r="J51" s="7" t="n">
        <v>4431.5</v>
      </c>
      <c r="L51" s="7" t="n">
        <v>12342.1</v>
      </c>
      <c r="N51" s="7" t="n">
        <v>7775.9</v>
      </c>
      <c r="P51" s="7" t="n">
        <v>9123.6</v>
      </c>
      <c r="R51" s="7" t="n">
        <v>9669.4</v>
      </c>
      <c r="T51" s="7" t="n">
        <v>0</v>
      </c>
      <c r="V51" s="7" t="n">
        <v>10635.5</v>
      </c>
      <c r="X51" s="7" t="n">
        <v>16614.9</v>
      </c>
      <c r="Z51" s="7" t="n">
        <v>679.7</v>
      </c>
      <c r="AB51" s="7" t="n">
        <v>107525.5</v>
      </c>
    </row>
    <row r="52">
      <c r="A52" s="4" t="inlineStr">
        <is>
          <t>市内交通费</t>
        </is>
      </c>
      <c r="D52" s="7" t="n">
        <v>1141.1</v>
      </c>
      <c r="F52" s="7" t="n">
        <v>2048.3</v>
      </c>
      <c r="H52" s="7" t="n">
        <v>2748.7</v>
      </c>
      <c r="J52" s="7" t="n">
        <v>679</v>
      </c>
      <c r="L52" s="7" t="n">
        <v>2892.9</v>
      </c>
      <c r="N52" s="7" t="n">
        <v>2443.7</v>
      </c>
      <c r="P52" s="7" t="n">
        <v>1785.2</v>
      </c>
      <c r="R52" s="7" t="n">
        <v>2237.9</v>
      </c>
      <c r="T52" s="7" t="n">
        <v>0</v>
      </c>
      <c r="V52" s="7" t="n">
        <v>2087.5</v>
      </c>
      <c r="X52" s="7" t="n">
        <v>2731.7</v>
      </c>
      <c r="Z52" s="7" t="n">
        <v>94.5</v>
      </c>
      <c r="AB52" s="7" t="n">
        <v>20890.5</v>
      </c>
    </row>
    <row r="53">
      <c r="A53" s="4" t="inlineStr">
        <is>
          <t>差旅费</t>
        </is>
      </c>
      <c r="D53" s="7" t="n">
        <v>19389.2</v>
      </c>
      <c r="F53" s="7" t="n">
        <v>25350.5</v>
      </c>
      <c r="H53" s="7" t="n">
        <v>27539.6</v>
      </c>
      <c r="J53" s="7" t="n">
        <v>5725.4</v>
      </c>
      <c r="L53" s="7" t="n">
        <v>24393</v>
      </c>
      <c r="N53" s="7" t="n">
        <v>15405.8</v>
      </c>
      <c r="P53" s="7" t="n">
        <v>23658.1</v>
      </c>
      <c r="R53" s="7" t="n">
        <v>19277.6</v>
      </c>
      <c r="T53" s="7" t="n">
        <v>0</v>
      </c>
      <c r="V53" s="7" t="n">
        <v>23234.2</v>
      </c>
      <c r="X53" s="7" t="n">
        <v>27917.6</v>
      </c>
      <c r="Z53" s="7" t="n">
        <v>1278.5</v>
      </c>
      <c r="AB53" s="7" t="n">
        <v>213169.5</v>
      </c>
    </row>
    <row r="54">
      <c r="A54" s="4" t="inlineStr">
        <is>
          <t>交通费</t>
        </is>
      </c>
      <c r="D54" s="7" t="n">
        <v>127.7</v>
      </c>
      <c r="F54" s="7" t="n">
        <v>222.7</v>
      </c>
      <c r="H54" s="7" t="n">
        <v>259.5</v>
      </c>
      <c r="J54" s="7" t="n">
        <v>92.7</v>
      </c>
      <c r="L54" s="7" t="n">
        <v>287.5</v>
      </c>
      <c r="N54" s="7" t="n">
        <v>234.1</v>
      </c>
      <c r="P54" s="7" t="n">
        <v>202.6</v>
      </c>
      <c r="R54" s="7" t="n">
        <v>167.8</v>
      </c>
      <c r="T54" s="7" t="n">
        <v>0</v>
      </c>
      <c r="V54" s="7" t="n">
        <v>152.6</v>
      </c>
      <c r="X54" s="7" t="n">
        <v>267.3</v>
      </c>
      <c r="Z54" s="7" t="n">
        <v>11.1</v>
      </c>
      <c r="AB54" s="7" t="n">
        <v>2025.6</v>
      </c>
    </row>
    <row r="55">
      <c r="A55" s="4" t="inlineStr">
        <is>
          <t>住宿费</t>
        </is>
      </c>
      <c r="D55" s="7" t="n">
        <v>1409.5</v>
      </c>
      <c r="F55" s="7" t="n">
        <v>1446.6</v>
      </c>
      <c r="H55" s="7" t="n">
        <v>2558.2</v>
      </c>
      <c r="J55" s="7" t="n">
        <v>665.1</v>
      </c>
      <c r="L55" s="7" t="n">
        <v>2752.2</v>
      </c>
      <c r="N55" s="7" t="n">
        <v>2041.1</v>
      </c>
      <c r="P55" s="7" t="n">
        <v>2290.8</v>
      </c>
      <c r="R55" s="7" t="n">
        <v>1614.6</v>
      </c>
      <c r="T55" s="7" t="n">
        <v>0</v>
      </c>
      <c r="V55" s="7" t="n">
        <v>1573.2</v>
      </c>
      <c r="X55" s="7" t="n">
        <v>3052.1</v>
      </c>
      <c r="Z55" s="7" t="n">
        <v>94.7</v>
      </c>
      <c r="AB55" s="7" t="n">
        <v>19498.1</v>
      </c>
    </row>
    <row r="56">
      <c r="A56" s="4" t="inlineStr">
        <is>
          <t>餐补</t>
        </is>
      </c>
      <c r="D56" s="7" t="n">
        <v>400</v>
      </c>
      <c r="F56" s="7" t="n">
        <v>504.2</v>
      </c>
      <c r="H56" s="7" t="n">
        <v>404.3</v>
      </c>
      <c r="J56" s="7" t="n">
        <v>179.2</v>
      </c>
      <c r="L56" s="7" t="n">
        <v>695.6</v>
      </c>
      <c r="N56" s="7" t="n">
        <v>390</v>
      </c>
      <c r="P56" s="7" t="n">
        <v>580.9</v>
      </c>
      <c r="R56" s="7" t="n">
        <v>618.3</v>
      </c>
      <c r="T56" s="7" t="n">
        <v>0</v>
      </c>
      <c r="V56" s="7" t="n">
        <v>420.3</v>
      </c>
      <c r="X56" s="7" t="n">
        <v>587</v>
      </c>
      <c r="Z56" s="7" t="n">
        <v>27.3</v>
      </c>
      <c r="AB56" s="7" t="n">
        <v>4807.1</v>
      </c>
    </row>
    <row r="57">
      <c r="A57" s="4" t="inlineStr">
        <is>
          <t>交通补助</t>
        </is>
      </c>
      <c r="D57" s="7" t="n">
        <v>1139.4</v>
      </c>
      <c r="F57" s="7" t="n">
        <v>1524.6</v>
      </c>
      <c r="H57" s="7" t="n">
        <v>2321.8</v>
      </c>
      <c r="J57" s="7" t="n">
        <v>898</v>
      </c>
      <c r="L57" s="7" t="n">
        <v>1969.9</v>
      </c>
      <c r="N57" s="7" t="n">
        <v>2316.3</v>
      </c>
      <c r="P57" s="7" t="n">
        <v>2396.3</v>
      </c>
      <c r="R57" s="7" t="n">
        <v>2659.2</v>
      </c>
      <c r="T57" s="7" t="n">
        <v>0</v>
      </c>
      <c r="V57" s="7" t="n">
        <v>2271.2</v>
      </c>
      <c r="X57" s="7" t="n">
        <v>3164.5</v>
      </c>
      <c r="Z57" s="7" t="n">
        <v>108.8</v>
      </c>
      <c r="AB57" s="7" t="n">
        <v>20770</v>
      </c>
    </row>
    <row r="58">
      <c r="A58" s="4" t="inlineStr">
        <is>
          <t>通讯补助</t>
        </is>
      </c>
      <c r="D58" s="7" t="n">
        <v>1343.6</v>
      </c>
      <c r="F58" s="7" t="n">
        <v>1448.8</v>
      </c>
      <c r="H58" s="7" t="n">
        <v>1973.3</v>
      </c>
      <c r="J58" s="7" t="n">
        <v>655.8</v>
      </c>
      <c r="L58" s="7" t="n">
        <v>2533.9</v>
      </c>
      <c r="N58" s="7" t="n">
        <v>1967.8</v>
      </c>
      <c r="P58" s="7" t="n">
        <v>1306.3</v>
      </c>
      <c r="R58" s="7" t="n">
        <v>1299</v>
      </c>
      <c r="T58" s="7" t="n">
        <v>0</v>
      </c>
      <c r="V58" s="7" t="n">
        <v>1290</v>
      </c>
      <c r="X58" s="7" t="n">
        <v>2664.6</v>
      </c>
      <c r="Z58" s="7" t="n">
        <v>118.5</v>
      </c>
      <c r="AB58" s="7" t="n">
        <v>16601.6</v>
      </c>
    </row>
    <row r="59">
      <c r="A59" s="4" t="inlineStr">
        <is>
          <t>招待费</t>
        </is>
      </c>
      <c r="D59" s="7" t="n">
        <v>11475.7</v>
      </c>
      <c r="F59" s="7" t="n">
        <v>10205.8</v>
      </c>
      <c r="H59" s="7" t="n">
        <v>14233</v>
      </c>
      <c r="J59" s="7" t="n">
        <v>6515.9</v>
      </c>
      <c r="L59" s="7" t="n">
        <v>22586.9</v>
      </c>
      <c r="N59" s="7" t="n">
        <v>14770.1</v>
      </c>
      <c r="P59" s="7" t="n">
        <v>9333.9</v>
      </c>
      <c r="R59" s="7" t="n">
        <v>10581.1</v>
      </c>
      <c r="T59" s="7" t="n">
        <v>0</v>
      </c>
      <c r="V59" s="7" t="n">
        <v>17588.8</v>
      </c>
      <c r="X59" s="7" t="n">
        <v>25497.6</v>
      </c>
      <c r="Z59" s="7" t="n">
        <v>712</v>
      </c>
      <c r="AB59" s="7" t="n">
        <v>143500.8</v>
      </c>
    </row>
    <row r="60">
      <c r="A60" s="4" t="inlineStr">
        <is>
          <t>通讯费</t>
        </is>
      </c>
      <c r="D60" s="7" t="n">
        <v>663.2</v>
      </c>
      <c r="F60" s="7" t="n">
        <v>934.7</v>
      </c>
      <c r="H60" s="7" t="n">
        <v>936.1</v>
      </c>
      <c r="J60" s="7" t="n">
        <v>341.3</v>
      </c>
      <c r="L60" s="7" t="n">
        <v>885.1</v>
      </c>
      <c r="N60" s="7" t="n">
        <v>791.8</v>
      </c>
      <c r="P60" s="7" t="n">
        <v>815.1</v>
      </c>
      <c r="R60" s="7" t="n">
        <v>838.7</v>
      </c>
      <c r="T60" s="7" t="n">
        <v>0</v>
      </c>
      <c r="V60" s="7" t="n">
        <v>1102.6</v>
      </c>
      <c r="X60" s="7" t="n">
        <v>1424.4</v>
      </c>
      <c r="Z60" s="7" t="n">
        <v>47.8</v>
      </c>
      <c r="AB60" s="7" t="n">
        <v>8780.799999999999</v>
      </c>
    </row>
    <row r="61">
      <c r="A61" s="4" t="inlineStr">
        <is>
          <t>网络费</t>
        </is>
      </c>
      <c r="D61" s="7" t="n">
        <v>793.2</v>
      </c>
      <c r="F61" s="7" t="n">
        <v>780.3</v>
      </c>
      <c r="H61" s="7" t="n">
        <v>1269.7</v>
      </c>
      <c r="J61" s="7" t="n">
        <v>474.3</v>
      </c>
      <c r="L61" s="7" t="n">
        <v>1487.8</v>
      </c>
      <c r="N61" s="7" t="n">
        <v>1117.5</v>
      </c>
      <c r="P61" s="7" t="n">
        <v>880.8</v>
      </c>
      <c r="R61" s="7" t="n">
        <v>1388.1</v>
      </c>
      <c r="T61" s="7" t="n">
        <v>0</v>
      </c>
      <c r="V61" s="7" t="n">
        <v>1411.9</v>
      </c>
      <c r="X61" s="7" t="n">
        <v>1662.6</v>
      </c>
      <c r="Z61" s="7" t="n">
        <v>58.9</v>
      </c>
      <c r="AB61" s="7" t="n">
        <v>11325.1</v>
      </c>
    </row>
    <row r="62">
      <c r="A62" s="4" t="inlineStr">
        <is>
          <t>修理费</t>
        </is>
      </c>
      <c r="D62" s="7" t="n">
        <v>1355.4</v>
      </c>
      <c r="F62" s="7" t="n">
        <v>2022</v>
      </c>
      <c r="H62" s="7" t="n">
        <v>1944.9</v>
      </c>
      <c r="J62" s="7" t="n">
        <v>941.2</v>
      </c>
      <c r="L62" s="7" t="n">
        <v>2170</v>
      </c>
      <c r="N62" s="7" t="n">
        <v>2295.3</v>
      </c>
      <c r="P62" s="7" t="n">
        <v>1494.8</v>
      </c>
      <c r="R62" s="7" t="n">
        <v>2222.3</v>
      </c>
      <c r="T62" s="7" t="n">
        <v>0</v>
      </c>
      <c r="V62" s="7" t="n">
        <v>2215.4</v>
      </c>
      <c r="X62" s="7" t="n">
        <v>1967.5</v>
      </c>
      <c r="Z62" s="7" t="n">
        <v>132.2</v>
      </c>
      <c r="AB62" s="7" t="n">
        <v>18761</v>
      </c>
    </row>
    <row r="63">
      <c r="A63" s="4" t="inlineStr">
        <is>
          <t>车辆费</t>
        </is>
      </c>
      <c r="D63" s="7" t="n">
        <v>291.5</v>
      </c>
      <c r="F63" s="7" t="n">
        <v>363.9</v>
      </c>
      <c r="H63" s="7" t="n">
        <v>585.6</v>
      </c>
      <c r="J63" s="7" t="n">
        <v>172.9</v>
      </c>
      <c r="L63" s="7" t="n">
        <v>629.9</v>
      </c>
      <c r="N63" s="7" t="n">
        <v>536.4</v>
      </c>
      <c r="P63" s="7" t="n">
        <v>402</v>
      </c>
      <c r="R63" s="7" t="n">
        <v>380.2</v>
      </c>
      <c r="T63" s="7" t="n">
        <v>0</v>
      </c>
      <c r="V63" s="7" t="n">
        <v>552.9</v>
      </c>
      <c r="X63" s="7" t="n">
        <v>670.9</v>
      </c>
      <c r="Z63" s="7" t="n">
        <v>21.9</v>
      </c>
      <c r="AB63" s="7" t="n">
        <v>4608.1</v>
      </c>
    </row>
    <row r="64">
      <c r="A64" s="4" t="inlineStr">
        <is>
          <t>租赁费</t>
        </is>
      </c>
      <c r="D64" s="7" t="n">
        <v>12717.7</v>
      </c>
      <c r="F64" s="7" t="n">
        <v>14417.4</v>
      </c>
      <c r="H64" s="7" t="n">
        <v>21601.9</v>
      </c>
      <c r="J64" s="7" t="n">
        <v>5490.7</v>
      </c>
      <c r="L64" s="7" t="n">
        <v>26931.4</v>
      </c>
      <c r="N64" s="7" t="n">
        <v>16523.3</v>
      </c>
      <c r="P64" s="7" t="n">
        <v>12957.8</v>
      </c>
      <c r="R64" s="7" t="n">
        <v>20658.9</v>
      </c>
      <c r="T64" s="7" t="n">
        <v>0</v>
      </c>
      <c r="V64" s="7" t="n">
        <v>21527</v>
      </c>
      <c r="X64" s="7" t="n">
        <v>29941.1</v>
      </c>
      <c r="Z64" s="7" t="n">
        <v>1123.5</v>
      </c>
      <c r="AB64" s="7" t="n">
        <v>183890.7</v>
      </c>
    </row>
    <row r="65">
      <c r="A65" s="4" t="inlineStr">
        <is>
          <t>能源费</t>
        </is>
      </c>
      <c r="D65" s="7" t="n">
        <v>4927.9</v>
      </c>
      <c r="F65" s="7" t="n">
        <v>5372.2</v>
      </c>
      <c r="H65" s="7" t="n">
        <v>7086.5</v>
      </c>
      <c r="J65" s="7" t="n">
        <v>2044.7</v>
      </c>
      <c r="L65" s="7" t="n">
        <v>7277.5</v>
      </c>
      <c r="N65" s="7" t="n">
        <v>6051.6</v>
      </c>
      <c r="P65" s="7" t="n">
        <v>5032</v>
      </c>
      <c r="R65" s="7" t="n">
        <v>6283.8</v>
      </c>
      <c r="T65" s="7" t="n">
        <v>0</v>
      </c>
      <c r="V65" s="7" t="n">
        <v>5263.6</v>
      </c>
      <c r="X65" s="7" t="n">
        <v>8505.700000000001</v>
      </c>
      <c r="Z65" s="7" t="n">
        <v>343.1</v>
      </c>
      <c r="AB65" s="7" t="n">
        <v>58188.6</v>
      </c>
    </row>
    <row r="66">
      <c r="A66" s="4" t="inlineStr">
        <is>
          <t>水费</t>
        </is>
      </c>
      <c r="D66" s="7" t="n">
        <v>1438.9</v>
      </c>
      <c r="F66" s="7" t="n">
        <v>1162.7</v>
      </c>
      <c r="H66" s="7" t="n">
        <v>2183.7</v>
      </c>
      <c r="J66" s="7" t="n">
        <v>571.7</v>
      </c>
      <c r="L66" s="7" t="n">
        <v>2378.5</v>
      </c>
      <c r="N66" s="7" t="n">
        <v>1971.2</v>
      </c>
      <c r="P66" s="7" t="n">
        <v>1121.8</v>
      </c>
      <c r="R66" s="7" t="n">
        <v>2050.3</v>
      </c>
      <c r="T66" s="7" t="n">
        <v>0</v>
      </c>
      <c r="V66" s="7" t="n">
        <v>1184.1</v>
      </c>
      <c r="X66" s="7" t="n">
        <v>2835.9</v>
      </c>
      <c r="Z66" s="7" t="n">
        <v>96.8</v>
      </c>
      <c r="AB66" s="7" t="n">
        <v>16995.6</v>
      </c>
    </row>
    <row r="67">
      <c r="A67" s="4" t="inlineStr">
        <is>
          <t>电费</t>
        </is>
      </c>
      <c r="D67" s="7" t="n">
        <v>1247.8</v>
      </c>
      <c r="F67" s="7" t="n">
        <v>1388.2</v>
      </c>
      <c r="H67" s="7" t="n">
        <v>1417.3</v>
      </c>
      <c r="J67" s="7" t="n">
        <v>376.7</v>
      </c>
      <c r="L67" s="7" t="n">
        <v>1458.3</v>
      </c>
      <c r="N67" s="7" t="n">
        <v>1364</v>
      </c>
      <c r="P67" s="7" t="n">
        <v>1441.3</v>
      </c>
      <c r="R67" s="7" t="n">
        <v>1777.2</v>
      </c>
      <c r="T67" s="7" t="n">
        <v>0</v>
      </c>
      <c r="V67" s="7" t="n">
        <v>1310.2</v>
      </c>
      <c r="X67" s="7" t="n">
        <v>2147.5</v>
      </c>
      <c r="Z67" s="7" t="n">
        <v>91.40000000000001</v>
      </c>
      <c r="AB67" s="7" t="n">
        <v>14019.9</v>
      </c>
    </row>
    <row r="68">
      <c r="A68" s="4" t="inlineStr">
        <is>
          <t>燃气费</t>
        </is>
      </c>
      <c r="D68" s="7" t="n">
        <v>1260.3</v>
      </c>
      <c r="F68" s="7" t="n">
        <v>1744.9</v>
      </c>
      <c r="H68" s="7" t="n">
        <v>1819.5</v>
      </c>
      <c r="J68" s="7" t="n">
        <v>502.1</v>
      </c>
      <c r="L68" s="7" t="n">
        <v>2092.4</v>
      </c>
      <c r="N68" s="7" t="n">
        <v>1402.8</v>
      </c>
      <c r="P68" s="7" t="n">
        <v>1109.7</v>
      </c>
      <c r="R68" s="7" t="n">
        <v>1161.6</v>
      </c>
      <c r="T68" s="7" t="n">
        <v>0</v>
      </c>
      <c r="V68" s="7" t="n">
        <v>1730.6</v>
      </c>
      <c r="X68" s="7" t="n">
        <v>2149.7</v>
      </c>
      <c r="Z68" s="7" t="n">
        <v>61.5</v>
      </c>
      <c r="AB68" s="7" t="n">
        <v>15035.1</v>
      </c>
    </row>
    <row r="69">
      <c r="A69" s="4" t="inlineStr">
        <is>
          <t>蒸汽费</t>
        </is>
      </c>
      <c r="D69" s="7" t="n">
        <v>980.9</v>
      </c>
      <c r="F69" s="7" t="n">
        <v>1076.4</v>
      </c>
      <c r="H69" s="7" t="n">
        <v>1666</v>
      </c>
      <c r="J69" s="7" t="n">
        <v>594.2</v>
      </c>
      <c r="L69" s="7" t="n">
        <v>1348.3</v>
      </c>
      <c r="N69" s="7" t="n">
        <v>1313.6</v>
      </c>
      <c r="P69" s="7" t="n">
        <v>1359.2</v>
      </c>
      <c r="R69" s="7" t="n">
        <v>1294.7</v>
      </c>
      <c r="T69" s="7" t="n">
        <v>0</v>
      </c>
      <c r="V69" s="7" t="n">
        <v>1038.7</v>
      </c>
      <c r="X69" s="7" t="n">
        <v>1372.6</v>
      </c>
      <c r="Z69" s="7" t="n">
        <v>93.40000000000001</v>
      </c>
      <c r="AB69" s="7" t="n">
        <v>12138</v>
      </c>
    </row>
    <row r="70">
      <c r="A70" s="4" t="inlineStr">
        <is>
          <t>物业费</t>
        </is>
      </c>
      <c r="D70" s="7" t="n">
        <v>1057.9</v>
      </c>
      <c r="F70" s="7" t="n">
        <v>2053.1</v>
      </c>
      <c r="H70" s="7" t="n">
        <v>1434.7</v>
      </c>
      <c r="J70" s="7" t="n">
        <v>724.4</v>
      </c>
      <c r="L70" s="7" t="n">
        <v>2364.6</v>
      </c>
      <c r="N70" s="7" t="n">
        <v>2185.3</v>
      </c>
      <c r="P70" s="7" t="n">
        <v>1723.9</v>
      </c>
      <c r="R70" s="7" t="n">
        <v>1892.5</v>
      </c>
      <c r="T70" s="7" t="n">
        <v>0</v>
      </c>
      <c r="V70" s="7" t="n">
        <v>2141.1</v>
      </c>
      <c r="X70" s="7" t="n">
        <v>3030.1</v>
      </c>
      <c r="Z70" s="7" t="n">
        <v>80.59999999999999</v>
      </c>
      <c r="AB70" s="7" t="n">
        <v>18688.2</v>
      </c>
    </row>
    <row r="71">
      <c r="A71" s="4" t="inlineStr">
        <is>
          <t>劳动保护费</t>
        </is>
      </c>
      <c r="D71" s="7" t="n">
        <v>1580.4</v>
      </c>
      <c r="F71" s="7" t="n">
        <v>2027.3</v>
      </c>
      <c r="H71" s="7" t="n">
        <v>1542.7</v>
      </c>
      <c r="J71" s="7" t="n">
        <v>703.1</v>
      </c>
      <c r="L71" s="7" t="n">
        <v>1770.4</v>
      </c>
      <c r="N71" s="7" t="n">
        <v>1800</v>
      </c>
      <c r="P71" s="7" t="n">
        <v>1940</v>
      </c>
      <c r="R71" s="7" t="n">
        <v>1371.2</v>
      </c>
      <c r="T71" s="7" t="n">
        <v>0</v>
      </c>
      <c r="V71" s="7" t="n">
        <v>1480.2</v>
      </c>
      <c r="X71" s="7" t="n">
        <v>1947.1</v>
      </c>
      <c r="Z71" s="7" t="n">
        <v>102.2</v>
      </c>
      <c r="AB71" s="7" t="n">
        <v>16264.6</v>
      </c>
    </row>
    <row r="72">
      <c r="A72" s="4" t="inlineStr">
        <is>
          <t>顾问费</t>
        </is>
      </c>
      <c r="D72" s="7" t="n">
        <v>1007.1</v>
      </c>
      <c r="F72" s="7" t="n">
        <v>2383.8</v>
      </c>
      <c r="H72" s="7" t="n">
        <v>2165.9</v>
      </c>
      <c r="J72" s="7" t="n">
        <v>689</v>
      </c>
      <c r="L72" s="7" t="n">
        <v>2543.7</v>
      </c>
      <c r="N72" s="7" t="n">
        <v>1879.7</v>
      </c>
      <c r="P72" s="7" t="n">
        <v>2355</v>
      </c>
      <c r="R72" s="7" t="n">
        <v>1402.6</v>
      </c>
      <c r="T72" s="7" t="n">
        <v>0</v>
      </c>
      <c r="V72" s="7" t="n">
        <v>2575.9</v>
      </c>
      <c r="X72" s="7" t="n">
        <v>2795.6</v>
      </c>
      <c r="Z72" s="7" t="n">
        <v>130.3</v>
      </c>
      <c r="AB72" s="7" t="n">
        <v>19928.6</v>
      </c>
    </row>
    <row r="73">
      <c r="A73" s="4" t="inlineStr">
        <is>
          <t>快递费</t>
        </is>
      </c>
      <c r="D73" s="7" t="n">
        <v>1045.6</v>
      </c>
      <c r="F73" s="7" t="n">
        <v>1499.1</v>
      </c>
      <c r="H73" s="7" t="n">
        <v>1866.1</v>
      </c>
      <c r="J73" s="7" t="n">
        <v>588.8</v>
      </c>
      <c r="L73" s="7" t="n">
        <v>2477.5</v>
      </c>
      <c r="N73" s="7" t="n">
        <v>1390.3</v>
      </c>
      <c r="P73" s="7" t="n">
        <v>1471.8</v>
      </c>
      <c r="R73" s="7" t="n">
        <v>1281.1</v>
      </c>
      <c r="T73" s="7" t="n">
        <v>0</v>
      </c>
      <c r="V73" s="7" t="n">
        <v>1874.8</v>
      </c>
      <c r="X73" s="7" t="n">
        <v>1801.9</v>
      </c>
      <c r="Z73" s="7" t="n">
        <v>70.09999999999999</v>
      </c>
      <c r="AB73" s="7" t="n">
        <v>15367.1</v>
      </c>
    </row>
    <row r="74">
      <c r="A74" s="4" t="inlineStr">
        <is>
          <t>诉讼费</t>
        </is>
      </c>
      <c r="D74" s="7" t="n">
        <v>589.8</v>
      </c>
      <c r="F74" s="7" t="n">
        <v>830.3</v>
      </c>
      <c r="H74" s="7" t="n">
        <v>806.1</v>
      </c>
      <c r="J74" s="7" t="n">
        <v>219.1</v>
      </c>
      <c r="L74" s="7" t="n">
        <v>798.4</v>
      </c>
      <c r="N74" s="7" t="n">
        <v>539.1</v>
      </c>
      <c r="P74" s="7" t="n">
        <v>702.2</v>
      </c>
      <c r="R74" s="7" t="n">
        <v>525.2</v>
      </c>
      <c r="T74" s="7" t="n">
        <v>0</v>
      </c>
      <c r="V74" s="7" t="n">
        <v>664.5</v>
      </c>
      <c r="X74" s="7" t="n">
        <v>1208.3</v>
      </c>
      <c r="Z74" s="7" t="n">
        <v>36.9</v>
      </c>
      <c r="AB74" s="7" t="n">
        <v>6919.9</v>
      </c>
    </row>
    <row r="75">
      <c r="A75" s="4" t="inlineStr">
        <is>
          <t>会员费</t>
        </is>
      </c>
      <c r="D75" s="7" t="n">
        <v>116.4</v>
      </c>
      <c r="F75" s="7" t="n">
        <v>172.9</v>
      </c>
      <c r="H75" s="7" t="n">
        <v>235.6</v>
      </c>
      <c r="J75" s="7" t="n">
        <v>75</v>
      </c>
      <c r="L75" s="7" t="n">
        <v>179.8</v>
      </c>
      <c r="N75" s="7" t="n">
        <v>219.6</v>
      </c>
      <c r="P75" s="7" t="n">
        <v>235.7</v>
      </c>
      <c r="R75" s="7" t="n">
        <v>219</v>
      </c>
      <c r="T75" s="7" t="n">
        <v>0</v>
      </c>
      <c r="V75" s="7" t="n">
        <v>183.4</v>
      </c>
      <c r="X75" s="7" t="n">
        <v>295.7</v>
      </c>
      <c r="Z75" s="7" t="n">
        <v>13</v>
      </c>
      <c r="AB75" s="7" t="n">
        <v>1946.1</v>
      </c>
    </row>
    <row r="76">
      <c r="A76" s="4" t="inlineStr">
        <is>
          <t>广告宣传费</t>
        </is>
      </c>
      <c r="D76" s="7" t="n">
        <v>7977.8</v>
      </c>
      <c r="F76" s="7" t="n">
        <v>9465.799999999999</v>
      </c>
      <c r="H76" s="7" t="n">
        <v>9184.299999999999</v>
      </c>
      <c r="J76" s="7" t="n">
        <v>5223.5</v>
      </c>
      <c r="L76" s="7" t="n">
        <v>12783</v>
      </c>
      <c r="N76" s="7" t="n">
        <v>7576.8</v>
      </c>
      <c r="P76" s="7" t="n">
        <v>10607</v>
      </c>
      <c r="R76" s="7" t="n">
        <v>8036.8</v>
      </c>
      <c r="T76" s="7" t="n">
        <v>0</v>
      </c>
      <c r="V76" s="7" t="n">
        <v>8362.9</v>
      </c>
      <c r="X76" s="7" t="n">
        <v>15279.1</v>
      </c>
      <c r="Z76" s="7" t="n">
        <v>442.8</v>
      </c>
      <c r="AB76" s="7" t="n">
        <v>94939.8</v>
      </c>
    </row>
    <row r="77">
      <c r="A77" s="4" t="inlineStr">
        <is>
          <t>会务费</t>
        </is>
      </c>
      <c r="D77" s="7" t="n">
        <v>963.8</v>
      </c>
      <c r="F77" s="7" t="n">
        <v>1252.6</v>
      </c>
      <c r="H77" s="7" t="n">
        <v>1401.7</v>
      </c>
      <c r="J77" s="7" t="n">
        <v>689.1</v>
      </c>
      <c r="L77" s="7" t="n">
        <v>1556.4</v>
      </c>
      <c r="N77" s="7" t="n">
        <v>1046</v>
      </c>
      <c r="P77" s="7" t="n">
        <v>1294.4</v>
      </c>
      <c r="R77" s="7" t="n">
        <v>1930.2</v>
      </c>
      <c r="T77" s="7" t="n">
        <v>0</v>
      </c>
      <c r="V77" s="7" t="n">
        <v>1165.6</v>
      </c>
      <c r="X77" s="7" t="n">
        <v>2608.3</v>
      </c>
      <c r="Z77" s="7" t="n">
        <v>67.5</v>
      </c>
      <c r="AB77" s="7" t="n">
        <v>13975.6</v>
      </c>
    </row>
    <row r="78">
      <c r="A78" s="4" t="inlineStr">
        <is>
          <t>装修费</t>
        </is>
      </c>
      <c r="D78" s="7" t="n">
        <v>1056.1</v>
      </c>
      <c r="F78" s="7" t="n">
        <v>1888.5</v>
      </c>
      <c r="H78" s="7" t="n">
        <v>1834.4</v>
      </c>
      <c r="J78" s="7" t="n">
        <v>653.1</v>
      </c>
      <c r="L78" s="7" t="n">
        <v>2374.3</v>
      </c>
      <c r="N78" s="7" t="n">
        <v>2055.3</v>
      </c>
      <c r="P78" s="7" t="n">
        <v>1638.9</v>
      </c>
      <c r="R78" s="7" t="n">
        <v>1824.4</v>
      </c>
      <c r="T78" s="7" t="n">
        <v>0</v>
      </c>
      <c r="V78" s="7" t="n">
        <v>1394.7</v>
      </c>
      <c r="X78" s="7" t="n">
        <v>2997.1</v>
      </c>
      <c r="Z78" s="7" t="n">
        <v>89</v>
      </c>
      <c r="AB78" s="7" t="n">
        <v>17805.8</v>
      </c>
    </row>
    <row r="79">
      <c r="A79" s="4" t="inlineStr">
        <is>
          <t>推广费</t>
        </is>
      </c>
      <c r="D79" s="7" t="n">
        <v>648.2</v>
      </c>
      <c r="F79" s="7" t="n">
        <v>961</v>
      </c>
      <c r="H79" s="7" t="n">
        <v>891.4</v>
      </c>
      <c r="J79" s="7" t="n">
        <v>321.5</v>
      </c>
      <c r="L79" s="7" t="n">
        <v>1215.2</v>
      </c>
      <c r="N79" s="7" t="n">
        <v>787.8</v>
      </c>
      <c r="P79" s="7" t="n">
        <v>585.1</v>
      </c>
      <c r="R79" s="7" t="n">
        <v>573.2</v>
      </c>
      <c r="T79" s="7" t="n">
        <v>0</v>
      </c>
      <c r="V79" s="7" t="n">
        <v>653.5</v>
      </c>
      <c r="X79" s="7" t="n">
        <v>869.1</v>
      </c>
      <c r="Z79" s="7" t="n">
        <v>41.9</v>
      </c>
      <c r="AB79" s="7" t="n">
        <v>7547.9</v>
      </c>
    </row>
    <row r="80">
      <c r="A80" s="4" t="inlineStr">
        <is>
          <t>展会费</t>
        </is>
      </c>
      <c r="D80" s="7" t="n">
        <v>882.8</v>
      </c>
      <c r="F80" s="7" t="n">
        <v>1814.9</v>
      </c>
      <c r="H80" s="7" t="n">
        <v>2394.5</v>
      </c>
      <c r="J80" s="7" t="n">
        <v>728.8</v>
      </c>
      <c r="L80" s="7" t="n">
        <v>1817.9</v>
      </c>
      <c r="N80" s="7" t="n">
        <v>1813.2</v>
      </c>
      <c r="P80" s="7" t="n">
        <v>1804.4</v>
      </c>
      <c r="R80" s="7" t="n">
        <v>1401.5</v>
      </c>
      <c r="T80" s="7" t="n">
        <v>0</v>
      </c>
      <c r="V80" s="7" t="n">
        <v>2069.3</v>
      </c>
      <c r="X80" s="7" t="n">
        <v>2390</v>
      </c>
      <c r="Z80" s="7" t="n">
        <v>83.3</v>
      </c>
      <c r="AB80" s="7" t="n">
        <v>17200.6</v>
      </c>
    </row>
    <row r="81">
      <c r="A81" s="4" t="inlineStr">
        <is>
          <t>设计费</t>
        </is>
      </c>
      <c r="D81" s="7" t="n">
        <v>887.7</v>
      </c>
      <c r="F81" s="7" t="n">
        <v>1142.6</v>
      </c>
      <c r="H81" s="7" t="n">
        <v>1288.4</v>
      </c>
      <c r="J81" s="7" t="n">
        <v>332.9</v>
      </c>
      <c r="L81" s="7" t="n">
        <v>1512.1</v>
      </c>
      <c r="N81" s="7" t="n">
        <v>1255.9</v>
      </c>
      <c r="P81" s="7" t="n">
        <v>881.3</v>
      </c>
      <c r="R81" s="7" t="n">
        <v>893.5</v>
      </c>
      <c r="T81" s="7" t="n">
        <v>0</v>
      </c>
      <c r="V81" s="7" t="n">
        <v>763.2</v>
      </c>
      <c r="X81" s="7" t="n">
        <v>1579.9</v>
      </c>
      <c r="Z81" s="7" t="n">
        <v>70.90000000000001</v>
      </c>
      <c r="AB81" s="7" t="n">
        <v>10608.4</v>
      </c>
    </row>
    <row r="82">
      <c r="A82" s="4" t="inlineStr">
        <is>
          <t>折旧费</t>
        </is>
      </c>
      <c r="D82" s="7" t="n">
        <v>7996.3</v>
      </c>
      <c r="F82" s="7" t="n">
        <v>9738.799999999999</v>
      </c>
      <c r="H82" s="7" t="n">
        <v>17717.8</v>
      </c>
      <c r="J82" s="7" t="n">
        <v>5550.8</v>
      </c>
      <c r="L82" s="7" t="n">
        <v>17674.7</v>
      </c>
      <c r="N82" s="7" t="n">
        <v>17289.7</v>
      </c>
      <c r="P82" s="7" t="n">
        <v>17007.3</v>
      </c>
      <c r="R82" s="7" t="n">
        <v>13699.7</v>
      </c>
      <c r="T82" s="7" t="n">
        <v>0</v>
      </c>
      <c r="V82" s="7" t="n">
        <v>16572.8</v>
      </c>
      <c r="X82" s="7" t="n">
        <v>19556</v>
      </c>
      <c r="Z82" s="7" t="n">
        <v>805.6</v>
      </c>
      <c r="AB82" s="7" t="n">
        <v>143609.5</v>
      </c>
    </row>
    <row r="83">
      <c r="A83" s="4" t="inlineStr">
        <is>
          <t>认证费</t>
        </is>
      </c>
      <c r="D83" s="7" t="n">
        <v>2018.3</v>
      </c>
      <c r="F83" s="7" t="n">
        <v>2426.9</v>
      </c>
      <c r="H83" s="7" t="n">
        <v>2385.8</v>
      </c>
      <c r="J83" s="7" t="n">
        <v>940.9</v>
      </c>
      <c r="L83" s="7" t="n">
        <v>3620</v>
      </c>
      <c r="N83" s="7" t="n">
        <v>2650.6</v>
      </c>
      <c r="P83" s="7" t="n">
        <v>2458.2</v>
      </c>
      <c r="R83" s="7" t="n">
        <v>2633.8</v>
      </c>
      <c r="T83" s="7" t="n">
        <v>0</v>
      </c>
      <c r="V83" s="7" t="n">
        <v>2016</v>
      </c>
      <c r="X83" s="7" t="n">
        <v>3703.3</v>
      </c>
      <c r="Z83" s="7" t="n">
        <v>165.9</v>
      </c>
      <c r="AB83" s="7" t="n">
        <v>25019.7</v>
      </c>
    </row>
    <row r="84">
      <c r="A84" s="4" t="inlineStr">
        <is>
          <t>样品费</t>
        </is>
      </c>
      <c r="D84" s="7" t="n">
        <v>5974.3</v>
      </c>
      <c r="F84" s="7" t="n">
        <v>8143</v>
      </c>
      <c r="H84" s="7" t="n">
        <v>7860.3</v>
      </c>
      <c r="J84" s="7" t="n">
        <v>2864.2</v>
      </c>
      <c r="L84" s="7" t="n">
        <v>9447.200000000001</v>
      </c>
      <c r="N84" s="7" t="n">
        <v>9027.299999999999</v>
      </c>
      <c r="P84" s="7" t="n">
        <v>7354.6</v>
      </c>
      <c r="R84" s="7" t="n">
        <v>8821.9</v>
      </c>
      <c r="T84" s="7" t="n">
        <v>0</v>
      </c>
      <c r="V84" s="7" t="n">
        <v>6077.8</v>
      </c>
      <c r="X84" s="7" t="n">
        <v>7375.3</v>
      </c>
      <c r="Z84" s="7" t="n">
        <v>480.5</v>
      </c>
      <c r="AB84" s="7" t="n">
        <v>73426.39999999999</v>
      </c>
    </row>
    <row r="85">
      <c r="A85" s="4" t="inlineStr">
        <is>
          <t>劳务费</t>
        </is>
      </c>
      <c r="D85" s="7" t="n">
        <v>1071.5</v>
      </c>
      <c r="F85" s="7" t="n">
        <v>1064.9</v>
      </c>
      <c r="H85" s="7" t="n">
        <v>1207.4</v>
      </c>
      <c r="J85" s="7" t="n">
        <v>418.3</v>
      </c>
      <c r="L85" s="7" t="n">
        <v>1147.9</v>
      </c>
      <c r="N85" s="7" t="n">
        <v>1484.3</v>
      </c>
      <c r="P85" s="7" t="n">
        <v>952.9</v>
      </c>
      <c r="R85" s="7" t="n">
        <v>1237.2</v>
      </c>
      <c r="T85" s="7" t="n">
        <v>0</v>
      </c>
      <c r="V85" s="7" t="n">
        <v>944.8</v>
      </c>
      <c r="X85" s="7" t="n">
        <v>1466.3</v>
      </c>
      <c r="Z85" s="7" t="n">
        <v>58.9</v>
      </c>
      <c r="AB85" s="7" t="n">
        <v>11054.4</v>
      </c>
    </row>
    <row r="86">
      <c r="A86" s="4" t="inlineStr">
        <is>
          <t>销售佣金</t>
        </is>
      </c>
      <c r="D86" s="7" t="n">
        <v>399.5</v>
      </c>
      <c r="F86" s="7" t="n">
        <v>482.3</v>
      </c>
      <c r="H86" s="7" t="n">
        <v>448.5</v>
      </c>
      <c r="J86" s="7" t="n">
        <v>165.8</v>
      </c>
      <c r="L86" s="7" t="n">
        <v>781.1</v>
      </c>
      <c r="N86" s="7" t="n">
        <v>535.4</v>
      </c>
      <c r="P86" s="7" t="n">
        <v>556</v>
      </c>
      <c r="R86" s="7" t="n">
        <v>361.6</v>
      </c>
      <c r="T86" s="7" t="n">
        <v>0</v>
      </c>
      <c r="V86" s="7" t="n">
        <v>544.4</v>
      </c>
      <c r="X86" s="7" t="n">
        <v>686.6</v>
      </c>
      <c r="Z86" s="7" t="n">
        <v>25.5</v>
      </c>
      <c r="AB86" s="7" t="n">
        <v>4986.7</v>
      </c>
    </row>
    <row r="87">
      <c r="A87" s="4" t="inlineStr">
        <is>
          <t>检测费</t>
        </is>
      </c>
      <c r="D87" s="7" t="n">
        <v>905.9</v>
      </c>
      <c r="F87" s="7" t="n">
        <v>1220.7</v>
      </c>
      <c r="H87" s="7" t="n">
        <v>1096.8</v>
      </c>
      <c r="J87" s="7" t="n">
        <v>669.5</v>
      </c>
      <c r="L87" s="7" t="n">
        <v>1453.9</v>
      </c>
      <c r="N87" s="7" t="n">
        <v>1300.3</v>
      </c>
      <c r="P87" s="7" t="n">
        <v>1022.2</v>
      </c>
      <c r="R87" s="7" t="n">
        <v>1441.5</v>
      </c>
      <c r="T87" s="7" t="n">
        <v>0</v>
      </c>
      <c r="V87" s="7" t="n">
        <v>1481.5</v>
      </c>
      <c r="X87" s="7" t="n">
        <v>1582.6</v>
      </c>
      <c r="Z87" s="7" t="n">
        <v>62.4</v>
      </c>
      <c r="AB87" s="7" t="n">
        <v>12237.3</v>
      </c>
    </row>
    <row r="88">
      <c r="A88" s="4" t="inlineStr">
        <is>
          <t>质量赔偿</t>
        </is>
      </c>
      <c r="D88" s="7" t="n">
        <v>634.4</v>
      </c>
      <c r="F88" s="7" t="n">
        <v>1159.1</v>
      </c>
      <c r="H88" s="7" t="n">
        <v>1032.3</v>
      </c>
      <c r="J88" s="7" t="n">
        <v>402.6</v>
      </c>
      <c r="L88" s="7" t="n">
        <v>1247.5</v>
      </c>
      <c r="N88" s="7" t="n">
        <v>1079.6</v>
      </c>
      <c r="P88" s="7" t="n">
        <v>861</v>
      </c>
      <c r="R88" s="7" t="n">
        <v>1361.4</v>
      </c>
      <c r="T88" s="7" t="n">
        <v>0</v>
      </c>
      <c r="V88" s="7" t="n">
        <v>1120.3</v>
      </c>
      <c r="X88" s="7" t="n">
        <v>1904</v>
      </c>
      <c r="Z88" s="7" t="n">
        <v>50.9</v>
      </c>
      <c r="AB88" s="7" t="n">
        <v>10853.1</v>
      </c>
    </row>
    <row r="89">
      <c r="A89" s="4" t="inlineStr">
        <is>
          <t>保险费</t>
        </is>
      </c>
      <c r="D89" s="7" t="n">
        <v>557.3</v>
      </c>
      <c r="F89" s="7" t="n">
        <v>704</v>
      </c>
      <c r="H89" s="7" t="n">
        <v>1095.8</v>
      </c>
      <c r="J89" s="7" t="n">
        <v>255.4</v>
      </c>
      <c r="L89" s="7" t="n">
        <v>837.6</v>
      </c>
      <c r="N89" s="7" t="n">
        <v>592.9</v>
      </c>
      <c r="P89" s="7" t="n">
        <v>723.3</v>
      </c>
      <c r="R89" s="7" t="n">
        <v>954.2</v>
      </c>
      <c r="T89" s="7" t="n">
        <v>0</v>
      </c>
      <c r="V89" s="7" t="n">
        <v>672.1</v>
      </c>
      <c r="X89" s="7" t="n">
        <v>940.7</v>
      </c>
      <c r="Z89" s="7" t="n">
        <v>45.7</v>
      </c>
      <c r="AB89" s="7" t="n">
        <v>7379</v>
      </c>
    </row>
    <row r="90">
      <c r="A90" s="4" t="inlineStr">
        <is>
          <t>清洁费</t>
        </is>
      </c>
      <c r="D90" s="7" t="n">
        <v>938</v>
      </c>
      <c r="F90" s="7" t="n">
        <v>1377.6</v>
      </c>
      <c r="H90" s="7" t="n">
        <v>1736.7</v>
      </c>
      <c r="J90" s="7" t="n">
        <v>691.8</v>
      </c>
      <c r="L90" s="7" t="n">
        <v>2184.8</v>
      </c>
      <c r="N90" s="7" t="n">
        <v>1377.9</v>
      </c>
      <c r="P90" s="7" t="n">
        <v>1682.4</v>
      </c>
      <c r="R90" s="7" t="n">
        <v>1924</v>
      </c>
      <c r="T90" s="7" t="n">
        <v>0</v>
      </c>
      <c r="V90" s="7" t="n">
        <v>1991</v>
      </c>
      <c r="X90" s="7" t="n">
        <v>2603.5</v>
      </c>
      <c r="Z90" s="7" t="n">
        <v>81.3</v>
      </c>
      <c r="AB90" s="7" t="n">
        <v>16589</v>
      </c>
    </row>
    <row r="91">
      <c r="A91" s="4" t="inlineStr">
        <is>
          <t>低值易耗品</t>
        </is>
      </c>
      <c r="D91" s="7" t="n">
        <v>137.7</v>
      </c>
      <c r="F91" s="7" t="n">
        <v>170</v>
      </c>
      <c r="H91" s="7" t="n">
        <v>220.6</v>
      </c>
      <c r="J91" s="7" t="n">
        <v>96.7</v>
      </c>
      <c r="L91" s="7" t="n">
        <v>370.5</v>
      </c>
      <c r="N91" s="7" t="n">
        <v>213.8</v>
      </c>
      <c r="P91" s="7" t="n">
        <v>265.1</v>
      </c>
      <c r="R91" s="7" t="n">
        <v>233.8</v>
      </c>
      <c r="T91" s="7" t="n">
        <v>0</v>
      </c>
      <c r="V91" s="7" t="n">
        <v>299.2</v>
      </c>
      <c r="X91" s="7" t="n">
        <v>342.1</v>
      </c>
      <c r="Z91" s="7" t="n">
        <v>12.5</v>
      </c>
      <c r="AB91" s="7" t="n">
        <v>2362</v>
      </c>
    </row>
    <row r="92">
      <c r="A92" s="4" t="inlineStr">
        <is>
          <t>物料消耗</t>
        </is>
      </c>
      <c r="D92" s="7" t="n">
        <v>922</v>
      </c>
      <c r="F92" s="7" t="n">
        <v>896.4</v>
      </c>
      <c r="H92" s="7" t="n">
        <v>974.8</v>
      </c>
      <c r="J92" s="7" t="n">
        <v>431.2</v>
      </c>
      <c r="L92" s="7" t="n">
        <v>1201.5</v>
      </c>
      <c r="N92" s="7" t="n">
        <v>1304.7</v>
      </c>
      <c r="P92" s="7" t="n">
        <v>1292.4</v>
      </c>
      <c r="R92" s="7" t="n">
        <v>1482.6</v>
      </c>
      <c r="T92" s="7" t="n">
        <v>0</v>
      </c>
      <c r="V92" s="7" t="n">
        <v>1382.7</v>
      </c>
      <c r="X92" s="7" t="n">
        <v>1291.7</v>
      </c>
      <c r="Z92" s="7" t="n">
        <v>71.5</v>
      </c>
      <c r="AB92" s="7" t="n">
        <v>11251.5</v>
      </c>
    </row>
    <row r="93">
      <c r="A93" s="4" t="inlineStr">
        <is>
          <t>盘盈盘亏</t>
        </is>
      </c>
      <c r="D93" s="7" t="n">
        <v>1489.1</v>
      </c>
      <c r="F93" s="7" t="n">
        <v>1763.1</v>
      </c>
      <c r="H93" s="7" t="n">
        <v>1660.1</v>
      </c>
      <c r="J93" s="7" t="n">
        <v>924.8</v>
      </c>
      <c r="L93" s="7" t="n">
        <v>2485.9</v>
      </c>
      <c r="N93" s="7" t="n">
        <v>2025.9</v>
      </c>
      <c r="P93" s="7" t="n">
        <v>1480.9</v>
      </c>
      <c r="R93" s="7" t="n">
        <v>1485.5</v>
      </c>
      <c r="T93" s="7" t="n">
        <v>0</v>
      </c>
      <c r="V93" s="7" t="n">
        <v>2501.6</v>
      </c>
      <c r="X93" s="7" t="n">
        <v>3305.5</v>
      </c>
      <c r="Z93" s="7" t="n">
        <v>101.3</v>
      </c>
      <c r="AB93" s="7" t="n">
        <v>19223.7</v>
      </c>
    </row>
    <row r="94">
      <c r="A94" s="4" t="inlineStr">
        <is>
          <t>平台服务费</t>
        </is>
      </c>
      <c r="D94" s="7" t="n">
        <v>763.1</v>
      </c>
      <c r="F94" s="7" t="n">
        <v>979</v>
      </c>
      <c r="H94" s="7" t="n">
        <v>1475.5</v>
      </c>
      <c r="J94" s="7" t="n">
        <v>480.2</v>
      </c>
      <c r="L94" s="7" t="n">
        <v>1937.4</v>
      </c>
      <c r="N94" s="7" t="n">
        <v>1196.9</v>
      </c>
      <c r="P94" s="7" t="n">
        <v>1213.4</v>
      </c>
      <c r="R94" s="7" t="n">
        <v>1432.6</v>
      </c>
      <c r="T94" s="7" t="n">
        <v>0</v>
      </c>
      <c r="V94" s="7" t="n">
        <v>1598.1</v>
      </c>
      <c r="X94" s="7" t="n">
        <v>1765.8</v>
      </c>
      <c r="Z94" s="7" t="n">
        <v>69.5</v>
      </c>
      <c r="AB94" s="7" t="n">
        <v>12911.5</v>
      </c>
    </row>
    <row r="95">
      <c r="A95" s="4" t="inlineStr">
        <is>
          <t>无形资产摊销</t>
        </is>
      </c>
      <c r="D95" s="7" t="n">
        <v>419.1</v>
      </c>
      <c r="F95" s="7" t="n">
        <v>579.9</v>
      </c>
      <c r="H95" s="7" t="n">
        <v>634.2</v>
      </c>
      <c r="J95" s="7" t="n">
        <v>180.1</v>
      </c>
      <c r="L95" s="7" t="n">
        <v>591.5</v>
      </c>
      <c r="N95" s="7" t="n">
        <v>474.9</v>
      </c>
      <c r="P95" s="7" t="n">
        <v>702.3</v>
      </c>
      <c r="R95" s="7" t="n">
        <v>546.1</v>
      </c>
      <c r="T95" s="7" t="n">
        <v>0</v>
      </c>
      <c r="V95" s="7" t="n">
        <v>833.6</v>
      </c>
      <c r="X95" s="7" t="n">
        <v>692.4</v>
      </c>
      <c r="Z95" s="7" t="n">
        <v>29.8</v>
      </c>
      <c r="AB95" s="7" t="n">
        <v>5683.9</v>
      </c>
    </row>
    <row r="96">
      <c r="A96" s="4" t="inlineStr">
        <is>
          <t>研发材料</t>
        </is>
      </c>
      <c r="D96" s="7" t="n">
        <v>1428.4</v>
      </c>
      <c r="F96" s="7" t="n">
        <v>1819.5</v>
      </c>
      <c r="H96" s="7" t="n">
        <v>1822.1</v>
      </c>
      <c r="J96" s="7" t="n">
        <v>591.9</v>
      </c>
      <c r="L96" s="7" t="n">
        <v>2845.3</v>
      </c>
      <c r="N96" s="7" t="n">
        <v>2671.6</v>
      </c>
      <c r="P96" s="7" t="n">
        <v>1860.4</v>
      </c>
      <c r="R96" s="7" t="n">
        <v>2554.7</v>
      </c>
      <c r="T96" s="7" t="n">
        <v>0</v>
      </c>
      <c r="V96" s="7" t="n">
        <v>2641.7</v>
      </c>
      <c r="X96" s="7" t="n">
        <v>3131.1</v>
      </c>
      <c r="Z96" s="7" t="n">
        <v>114.6</v>
      </c>
      <c r="AB96" s="7" t="n">
        <v>21481.3</v>
      </c>
    </row>
    <row r="97">
      <c r="A97" s="4" t="inlineStr">
        <is>
          <t>项目名称</t>
        </is>
      </c>
      <c r="D97" s="7" t="n">
        <v>881.1</v>
      </c>
      <c r="F97" s="7" t="n">
        <v>1315.2</v>
      </c>
      <c r="H97" s="7" t="n">
        <v>2030.9</v>
      </c>
      <c r="J97" s="7" t="n">
        <v>446</v>
      </c>
      <c r="L97" s="7" t="n">
        <v>2167.6</v>
      </c>
      <c r="N97" s="7" t="n">
        <v>1162.2</v>
      </c>
      <c r="P97" s="7" t="n">
        <v>1493.1</v>
      </c>
      <c r="R97" s="7" t="n">
        <v>1908.6</v>
      </c>
      <c r="T97" s="7" t="n">
        <v>0</v>
      </c>
      <c r="V97" s="7" t="n">
        <v>1263.5</v>
      </c>
      <c r="X97" s="7" t="n">
        <v>2369.5</v>
      </c>
      <c r="Z97" s="7" t="n">
        <v>106.8</v>
      </c>
      <c r="AB97" s="7" t="n">
        <v>15144.5</v>
      </c>
    </row>
    <row r="98">
      <c r="A98" s="4" t="inlineStr">
        <is>
          <t>研发费</t>
        </is>
      </c>
      <c r="D98" s="7" t="n">
        <v>126.3</v>
      </c>
      <c r="F98" s="7" t="n">
        <v>147.4</v>
      </c>
      <c r="H98" s="7" t="n">
        <v>215.4</v>
      </c>
      <c r="J98" s="7" t="n">
        <v>85.40000000000001</v>
      </c>
      <c r="L98" s="7" t="n">
        <v>178.9</v>
      </c>
      <c r="N98" s="7" t="n">
        <v>196.3</v>
      </c>
      <c r="P98" s="7" t="n">
        <v>118.7</v>
      </c>
      <c r="R98" s="7" t="n">
        <v>143.6</v>
      </c>
      <c r="T98" s="7" t="n">
        <v>0</v>
      </c>
      <c r="V98" s="7" t="n">
        <v>152.2</v>
      </c>
      <c r="X98" s="7" t="n">
        <v>298</v>
      </c>
      <c r="Z98" s="7" t="n">
        <v>11.9</v>
      </c>
      <c r="AB98" s="7" t="n">
        <v>1674.1</v>
      </c>
    </row>
    <row r="99">
      <c r="A99" s="4" t="inlineStr">
        <is>
          <t>残保金</t>
        </is>
      </c>
      <c r="D99" s="7" t="n">
        <v>1911.7</v>
      </c>
      <c r="F99" s="7" t="n">
        <v>2438.3</v>
      </c>
      <c r="H99" s="7" t="n">
        <v>2227.2</v>
      </c>
      <c r="J99" s="7" t="n">
        <v>903.4</v>
      </c>
      <c r="L99" s="7" t="n">
        <v>3289.3</v>
      </c>
      <c r="N99" s="7" t="n">
        <v>1554.4</v>
      </c>
      <c r="P99" s="7" t="n">
        <v>1883.2</v>
      </c>
      <c r="R99" s="7" t="n">
        <v>2686.2</v>
      </c>
      <c r="T99" s="7" t="n">
        <v>0</v>
      </c>
      <c r="V99" s="7" t="n">
        <v>1543.2</v>
      </c>
      <c r="X99" s="7" t="n">
        <v>3118.2</v>
      </c>
      <c r="Z99" s="7" t="n">
        <v>132.7</v>
      </c>
      <c r="AB99" s="7" t="n">
        <v>21687.8</v>
      </c>
    </row>
    <row r="100">
      <c r="A100" s="4" t="inlineStr">
        <is>
          <t>环保费</t>
        </is>
      </c>
      <c r="D100" s="7" t="n">
        <v>153.8</v>
      </c>
      <c r="F100" s="7" t="n">
        <v>291.4</v>
      </c>
      <c r="H100" s="7" t="n">
        <v>384.5</v>
      </c>
      <c r="J100" s="7" t="n">
        <v>126.8</v>
      </c>
      <c r="L100" s="7" t="n">
        <v>429.4</v>
      </c>
      <c r="N100" s="7" t="n">
        <v>280.1</v>
      </c>
      <c r="P100" s="7" t="n">
        <v>312.6</v>
      </c>
      <c r="R100" s="7" t="n">
        <v>370.8</v>
      </c>
      <c r="T100" s="7" t="n">
        <v>0</v>
      </c>
      <c r="V100" s="7" t="n">
        <v>245.9</v>
      </c>
      <c r="X100" s="7" t="n">
        <v>481.4</v>
      </c>
      <c r="Z100" s="7" t="n">
        <v>15.7</v>
      </c>
      <c r="AB100" s="7" t="n">
        <v>3092.4</v>
      </c>
    </row>
    <row r="101">
      <c r="A101" s="4" t="inlineStr">
        <is>
          <t>报废损失</t>
        </is>
      </c>
      <c r="D101" s="7" t="n">
        <v>1202.5</v>
      </c>
      <c r="F101" s="7" t="n">
        <v>1461.9</v>
      </c>
      <c r="H101" s="7" t="n">
        <v>1600.8</v>
      </c>
      <c r="J101" s="7" t="n">
        <v>546.8</v>
      </c>
      <c r="L101" s="7" t="n">
        <v>1884</v>
      </c>
      <c r="N101" s="7" t="n">
        <v>2016.8</v>
      </c>
      <c r="P101" s="7" t="n">
        <v>2088.2</v>
      </c>
      <c r="R101" s="7" t="n">
        <v>2153.8</v>
      </c>
      <c r="T101" s="7" t="n">
        <v>0</v>
      </c>
      <c r="V101" s="7" t="n">
        <v>2091.7</v>
      </c>
      <c r="X101" s="7" t="n">
        <v>2567.5</v>
      </c>
      <c r="Z101" s="7" t="n">
        <v>90</v>
      </c>
      <c r="AB101" s="7" t="n">
        <v>17704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82233.8</v>
      </c>
      <c r="D102" s="7" t="n">
        <v>50175.1</v>
      </c>
      <c r="E102" s="7" t="n">
        <v>72926.10000000001</v>
      </c>
      <c r="F102" s="7" t="n">
        <v>96172</v>
      </c>
      <c r="G102" s="7" t="n">
        <v>86516.10000000001</v>
      </c>
      <c r="H102" s="7" t="n">
        <v>100417.2</v>
      </c>
      <c r="I102" s="7" t="n">
        <v>79682.89999999999</v>
      </c>
      <c r="J102" s="7" t="n">
        <v>26418.2</v>
      </c>
      <c r="K102" s="7" t="n">
        <v>67067.89999999999</v>
      </c>
      <c r="L102" s="7" t="n">
        <v>69050</v>
      </c>
      <c r="M102" s="7" t="n">
        <v>75255.5</v>
      </c>
      <c r="N102" s="7" t="n">
        <v>63069.2</v>
      </c>
      <c r="O102" s="7" t="n">
        <v>81352.39999999999</v>
      </c>
      <c r="P102" s="7" t="n">
        <v>67070.3</v>
      </c>
      <c r="Q102" s="7" t="n">
        <v>75767.60000000001</v>
      </c>
      <c r="R102" s="7" t="n">
        <v>91788.10000000001</v>
      </c>
      <c r="S102" s="7" t="n">
        <v>69004.3</v>
      </c>
      <c r="T102" s="7" t="n">
        <v>0</v>
      </c>
      <c r="U102" s="7" t="n">
        <v>83725.5</v>
      </c>
      <c r="V102" s="7" t="n">
        <v>275970.5</v>
      </c>
      <c r="W102" s="7" t="n">
        <v>80030.2</v>
      </c>
      <c r="X102" s="7" t="n">
        <v>99789.39999999999</v>
      </c>
      <c r="Y102" s="7" t="n">
        <v>84118.7</v>
      </c>
      <c r="Z102" s="7" t="n">
        <v>6452.9</v>
      </c>
      <c r="AA102" s="8" t="n">
        <v>937681</v>
      </c>
      <c r="AB102" s="8" t="n">
        <v>946372.9</v>
      </c>
    </row>
    <row r="103">
      <c r="A103" s="4" t="inlineStr">
        <is>
          <t>职工薪酬</t>
        </is>
      </c>
      <c r="D103" s="7" t="n">
        <v>27217.3</v>
      </c>
      <c r="F103" s="7" t="n">
        <v>55105.4</v>
      </c>
      <c r="H103" s="7" t="n">
        <v>46515.8</v>
      </c>
      <c r="J103" s="7" t="n">
        <v>14037.9</v>
      </c>
      <c r="L103" s="7" t="n">
        <v>30797.4</v>
      </c>
      <c r="N103" s="7" t="n">
        <v>33579.5</v>
      </c>
      <c r="P103" s="7" t="n">
        <v>36557.2</v>
      </c>
      <c r="R103" s="7" t="n">
        <v>50094.5</v>
      </c>
      <c r="T103" s="7" t="n">
        <v>0</v>
      </c>
      <c r="V103" s="7" t="n">
        <v>144079.8</v>
      </c>
      <c r="X103" s="7" t="n">
        <v>41671.3</v>
      </c>
      <c r="Z103" s="7" t="n">
        <v>3059.8</v>
      </c>
      <c r="AB103" s="7" t="n">
        <v>482715.9</v>
      </c>
    </row>
    <row r="104">
      <c r="A104" s="4" t="inlineStr">
        <is>
          <t>工资</t>
        </is>
      </c>
      <c r="D104" s="7" t="n">
        <v>17565</v>
      </c>
      <c r="F104" s="7" t="n">
        <v>33707.6</v>
      </c>
      <c r="H104" s="7" t="n">
        <v>23011.6</v>
      </c>
      <c r="J104" s="7" t="n">
        <v>9094.200000000001</v>
      </c>
      <c r="L104" s="7" t="n">
        <v>19248.1</v>
      </c>
      <c r="N104" s="7" t="n">
        <v>20667</v>
      </c>
      <c r="P104" s="7" t="n">
        <v>24588.3</v>
      </c>
      <c r="R104" s="7" t="n">
        <v>29755.4</v>
      </c>
      <c r="T104" s="7" t="n">
        <v>0</v>
      </c>
      <c r="V104" s="7" t="n">
        <v>98530.39999999999</v>
      </c>
      <c r="X104" s="7" t="n">
        <v>24918.9</v>
      </c>
      <c r="Z104" s="7" t="n">
        <v>1667.3</v>
      </c>
      <c r="AB104" s="7" t="n">
        <v>302753.8</v>
      </c>
    </row>
    <row r="105">
      <c r="A105" s="4" t="inlineStr">
        <is>
          <t>奖金及提成</t>
        </is>
      </c>
      <c r="D105" s="7" t="n">
        <v>5263.4</v>
      </c>
      <c r="F105" s="7" t="n">
        <v>11392.9</v>
      </c>
      <c r="H105" s="7" t="n">
        <v>11565.4</v>
      </c>
      <c r="J105" s="7" t="n">
        <v>2096</v>
      </c>
      <c r="L105" s="7" t="n">
        <v>5793.5</v>
      </c>
      <c r="N105" s="7" t="n">
        <v>7163.2</v>
      </c>
      <c r="P105" s="7" t="n">
        <v>6178.4</v>
      </c>
      <c r="R105" s="7" t="n">
        <v>11393.7</v>
      </c>
      <c r="T105" s="7" t="n">
        <v>0</v>
      </c>
      <c r="V105" s="7" t="n">
        <v>22323.5</v>
      </c>
      <c r="X105" s="7" t="n">
        <v>8093.1</v>
      </c>
      <c r="Z105" s="7" t="n">
        <v>785.6</v>
      </c>
      <c r="AB105" s="7" t="n">
        <v>92048.7</v>
      </c>
    </row>
    <row r="106">
      <c r="A106" s="4" t="inlineStr">
        <is>
          <t>社保</t>
        </is>
      </c>
      <c r="D106" s="7" t="n">
        <v>3264.7</v>
      </c>
      <c r="F106" s="7" t="n">
        <v>7650</v>
      </c>
      <c r="H106" s="7" t="n">
        <v>9139.5</v>
      </c>
      <c r="J106" s="7" t="n">
        <v>2300.6</v>
      </c>
      <c r="L106" s="7" t="n">
        <v>3936.6</v>
      </c>
      <c r="N106" s="7" t="n">
        <v>4025.1</v>
      </c>
      <c r="P106" s="7" t="n">
        <v>4328.1</v>
      </c>
      <c r="R106" s="7" t="n">
        <v>6876.9</v>
      </c>
      <c r="T106" s="7" t="n">
        <v>0</v>
      </c>
      <c r="V106" s="7" t="n">
        <v>16374.4</v>
      </c>
      <c r="X106" s="7" t="n">
        <v>5933.3</v>
      </c>
      <c r="Z106" s="7" t="n">
        <v>437.3</v>
      </c>
      <c r="AB106" s="7" t="n">
        <v>64266.5</v>
      </c>
    </row>
    <row r="107">
      <c r="A107" s="4" t="inlineStr">
        <is>
          <t>养老</t>
        </is>
      </c>
      <c r="D107" s="7" t="n">
        <v>383.5</v>
      </c>
      <c r="F107" s="7" t="n">
        <v>435.8</v>
      </c>
      <c r="H107" s="7" t="n">
        <v>608.3</v>
      </c>
      <c r="J107" s="7" t="n">
        <v>178.9</v>
      </c>
      <c r="L107" s="7" t="n">
        <v>487.7</v>
      </c>
      <c r="N107" s="7" t="n">
        <v>399.3</v>
      </c>
      <c r="P107" s="7" t="n">
        <v>370.5</v>
      </c>
      <c r="R107" s="7" t="n">
        <v>389.8</v>
      </c>
      <c r="T107" s="7" t="n">
        <v>0</v>
      </c>
      <c r="V107" s="7" t="n">
        <v>1905.3</v>
      </c>
      <c r="X107" s="7" t="n">
        <v>646.5</v>
      </c>
      <c r="Z107" s="7" t="n">
        <v>27.9</v>
      </c>
      <c r="AB107" s="7" t="n">
        <v>5833.5</v>
      </c>
    </row>
    <row r="108">
      <c r="A108" s="4" t="inlineStr">
        <is>
          <t>医疗</t>
        </is>
      </c>
      <c r="D108" s="7" t="n">
        <v>61.3</v>
      </c>
      <c r="F108" s="7" t="n">
        <v>123</v>
      </c>
      <c r="H108" s="7" t="n">
        <v>176</v>
      </c>
      <c r="J108" s="7" t="n">
        <v>30.5</v>
      </c>
      <c r="L108" s="7" t="n">
        <v>143.9</v>
      </c>
      <c r="N108" s="7" t="n">
        <v>130.9</v>
      </c>
      <c r="P108" s="7" t="n">
        <v>83.40000000000001</v>
      </c>
      <c r="R108" s="7" t="n">
        <v>170.7</v>
      </c>
      <c r="T108" s="7" t="n">
        <v>0</v>
      </c>
      <c r="V108" s="7" t="n">
        <v>505.4</v>
      </c>
      <c r="X108" s="7" t="n">
        <v>133.5</v>
      </c>
      <c r="Z108" s="7" t="n">
        <v>10.4</v>
      </c>
      <c r="AB108" s="7" t="n">
        <v>1569</v>
      </c>
    </row>
    <row r="109">
      <c r="A109" s="4" t="inlineStr">
        <is>
          <t>工伤</t>
        </is>
      </c>
      <c r="D109" s="7" t="n">
        <v>179</v>
      </c>
      <c r="F109" s="7" t="n">
        <v>283.2</v>
      </c>
      <c r="H109" s="7" t="n">
        <v>333.2</v>
      </c>
      <c r="J109" s="7" t="n">
        <v>77.3</v>
      </c>
      <c r="L109" s="7" t="n">
        <v>186.9</v>
      </c>
      <c r="N109" s="7" t="n">
        <v>259.6</v>
      </c>
      <c r="P109" s="7" t="n">
        <v>266.5</v>
      </c>
      <c r="R109" s="7" t="n">
        <v>262.2</v>
      </c>
      <c r="T109" s="7" t="n">
        <v>0</v>
      </c>
      <c r="V109" s="7" t="n">
        <v>775.8</v>
      </c>
      <c r="X109" s="7" t="n">
        <v>323.4</v>
      </c>
      <c r="Z109" s="7" t="n">
        <v>24</v>
      </c>
      <c r="AB109" s="7" t="n">
        <v>2971.1</v>
      </c>
    </row>
    <row r="110">
      <c r="A110" s="4" t="inlineStr">
        <is>
          <t>失业</t>
        </is>
      </c>
      <c r="D110" s="7" t="n">
        <v>216.1</v>
      </c>
      <c r="F110" s="7" t="n">
        <v>658</v>
      </c>
      <c r="H110" s="7" t="n">
        <v>393.5</v>
      </c>
      <c r="J110" s="7" t="n">
        <v>138.6</v>
      </c>
      <c r="L110" s="7" t="n">
        <v>298.6</v>
      </c>
      <c r="N110" s="7" t="n">
        <v>378.2</v>
      </c>
      <c r="P110" s="7" t="n">
        <v>307.4</v>
      </c>
      <c r="R110" s="7" t="n">
        <v>618</v>
      </c>
      <c r="T110" s="7" t="n">
        <v>0</v>
      </c>
      <c r="V110" s="7" t="n">
        <v>1862.7</v>
      </c>
      <c r="X110" s="7" t="n">
        <v>653.4</v>
      </c>
      <c r="Z110" s="7" t="n">
        <v>27.2</v>
      </c>
      <c r="AB110" s="7" t="n">
        <v>5551.7</v>
      </c>
    </row>
    <row r="111">
      <c r="A111" s="4" t="inlineStr">
        <is>
          <t>生育</t>
        </is>
      </c>
      <c r="D111" s="7" t="n">
        <v>42.7</v>
      </c>
      <c r="F111" s="7" t="n">
        <v>81.40000000000001</v>
      </c>
      <c r="H111" s="7" t="n">
        <v>142.2</v>
      </c>
      <c r="J111" s="7" t="n">
        <v>26.9</v>
      </c>
      <c r="L111" s="7" t="n">
        <v>82.09999999999999</v>
      </c>
      <c r="N111" s="7" t="n">
        <v>54.1</v>
      </c>
      <c r="P111" s="7" t="n">
        <v>93.5</v>
      </c>
      <c r="R111" s="7" t="n">
        <v>127.8</v>
      </c>
      <c r="T111" s="7" t="n">
        <v>0</v>
      </c>
      <c r="V111" s="7" t="n">
        <v>326.1</v>
      </c>
      <c r="X111" s="7" t="n">
        <v>89.5</v>
      </c>
      <c r="Z111" s="7" t="n">
        <v>7.3</v>
      </c>
      <c r="AB111" s="7" t="n">
        <v>1073.6</v>
      </c>
    </row>
    <row r="112">
      <c r="A112" s="4" t="inlineStr">
        <is>
          <t>公积金</t>
        </is>
      </c>
      <c r="D112" s="7" t="n">
        <v>218.5</v>
      </c>
      <c r="F112" s="7" t="n">
        <v>298.8</v>
      </c>
      <c r="H112" s="7" t="n">
        <v>434.5</v>
      </c>
      <c r="J112" s="7" t="n">
        <v>91.5</v>
      </c>
      <c r="L112" s="7" t="n">
        <v>323.2</v>
      </c>
      <c r="N112" s="7" t="n">
        <v>225.4</v>
      </c>
      <c r="P112" s="7" t="n">
        <v>201</v>
      </c>
      <c r="R112" s="7" t="n">
        <v>451</v>
      </c>
      <c r="T112" s="7" t="n">
        <v>0</v>
      </c>
      <c r="V112" s="7" t="n">
        <v>1366.9</v>
      </c>
      <c r="X112" s="7" t="n">
        <v>465.5</v>
      </c>
      <c r="Z112" s="7" t="n">
        <v>28.6</v>
      </c>
      <c r="AB112" s="7" t="n">
        <v>4104.9</v>
      </c>
    </row>
    <row r="113">
      <c r="A113" s="4" t="inlineStr">
        <is>
          <t>工会经费</t>
        </is>
      </c>
      <c r="D113" s="7" t="n">
        <v>17.6</v>
      </c>
      <c r="F113" s="7" t="n">
        <v>60.7</v>
      </c>
      <c r="H113" s="7" t="n">
        <v>39.7</v>
      </c>
      <c r="J113" s="7" t="n">
        <v>14.5</v>
      </c>
      <c r="L113" s="7" t="n">
        <v>30.8</v>
      </c>
      <c r="N113" s="7" t="n">
        <v>29.5</v>
      </c>
      <c r="P113" s="7" t="n">
        <v>38</v>
      </c>
      <c r="R113" s="7" t="n">
        <v>53.8</v>
      </c>
      <c r="T113" s="7" t="n">
        <v>0</v>
      </c>
      <c r="V113" s="7" t="n">
        <v>102.3</v>
      </c>
      <c r="X113" s="7" t="n">
        <v>52.3</v>
      </c>
      <c r="Z113" s="7" t="n">
        <v>4.1</v>
      </c>
      <c r="AB113" s="7" t="n">
        <v>443.3</v>
      </c>
    </row>
    <row r="114">
      <c r="A114" s="4" t="inlineStr">
        <is>
          <t>职工教育经费</t>
        </is>
      </c>
      <c r="D114" s="7" t="n">
        <v>69.09999999999999</v>
      </c>
      <c r="F114" s="7" t="n">
        <v>227.8</v>
      </c>
      <c r="H114" s="7" t="n">
        <v>148.4</v>
      </c>
      <c r="J114" s="7" t="n">
        <v>44.9</v>
      </c>
      <c r="L114" s="7" t="n">
        <v>112.4</v>
      </c>
      <c r="N114" s="7" t="n">
        <v>109.9</v>
      </c>
      <c r="P114" s="7" t="n">
        <v>136.7</v>
      </c>
      <c r="R114" s="7" t="n">
        <v>159</v>
      </c>
      <c r="T114" s="7" t="n">
        <v>0</v>
      </c>
      <c r="V114" s="7" t="n">
        <v>453.6</v>
      </c>
      <c r="X114" s="7" t="n">
        <v>215.3</v>
      </c>
      <c r="Z114" s="7" t="n">
        <v>12.9</v>
      </c>
      <c r="AB114" s="7" t="n">
        <v>1690</v>
      </c>
    </row>
    <row r="115">
      <c r="A115" s="4" t="inlineStr">
        <is>
          <t>福利费</t>
        </is>
      </c>
      <c r="D115" s="7" t="n">
        <v>819</v>
      </c>
      <c r="F115" s="7" t="n">
        <v>1767.6</v>
      </c>
      <c r="H115" s="7" t="n">
        <v>2176.7</v>
      </c>
      <c r="J115" s="7" t="n">
        <v>396.2</v>
      </c>
      <c r="L115" s="7" t="n">
        <v>1352.8</v>
      </c>
      <c r="N115" s="7" t="n">
        <v>1359.4</v>
      </c>
      <c r="P115" s="7" t="n">
        <v>1086.7</v>
      </c>
      <c r="R115" s="7" t="n">
        <v>1404.7</v>
      </c>
      <c r="T115" s="7" t="n">
        <v>0</v>
      </c>
      <c r="V115" s="7" t="n">
        <v>4928.7</v>
      </c>
      <c r="X115" s="7" t="n">
        <v>1992.9</v>
      </c>
      <c r="Z115" s="7" t="n">
        <v>124</v>
      </c>
      <c r="AB115" s="7" t="n">
        <v>17408.7</v>
      </c>
    </row>
    <row r="116">
      <c r="A116" s="4" t="inlineStr">
        <is>
          <t>职工房租</t>
        </is>
      </c>
      <c r="D116" s="7" t="n">
        <v>194.6</v>
      </c>
      <c r="F116" s="7" t="n">
        <v>311.1</v>
      </c>
      <c r="H116" s="7" t="n">
        <v>600.2</v>
      </c>
      <c r="J116" s="7" t="n">
        <v>86.5</v>
      </c>
      <c r="L116" s="7" t="n">
        <v>329.5</v>
      </c>
      <c r="N116" s="7" t="n">
        <v>370.6</v>
      </c>
      <c r="P116" s="7" t="n">
        <v>387.3</v>
      </c>
      <c r="R116" s="7" t="n">
        <v>311.4</v>
      </c>
      <c r="T116" s="7" t="n">
        <v>0</v>
      </c>
      <c r="V116" s="7" t="n">
        <v>1538.6</v>
      </c>
      <c r="X116" s="7" t="n">
        <v>561.3</v>
      </c>
      <c r="Z116" s="7" t="n">
        <v>35.4</v>
      </c>
      <c r="AB116" s="7" t="n">
        <v>4726.5</v>
      </c>
    </row>
    <row r="117">
      <c r="A117" s="4" t="inlineStr">
        <is>
          <t>水电物业费</t>
        </is>
      </c>
      <c r="D117" s="7" t="n">
        <v>76.3</v>
      </c>
      <c r="F117" s="7" t="n">
        <v>225.2</v>
      </c>
      <c r="H117" s="7" t="n">
        <v>249</v>
      </c>
      <c r="J117" s="7" t="n">
        <v>63.7</v>
      </c>
      <c r="L117" s="7" t="n">
        <v>112.8</v>
      </c>
      <c r="N117" s="7" t="n">
        <v>145.8</v>
      </c>
      <c r="P117" s="7" t="n">
        <v>95.09999999999999</v>
      </c>
      <c r="R117" s="7" t="n">
        <v>138.8</v>
      </c>
      <c r="T117" s="7" t="n">
        <v>0</v>
      </c>
      <c r="V117" s="7" t="n">
        <v>598.6</v>
      </c>
      <c r="X117" s="7" t="n">
        <v>178.7</v>
      </c>
      <c r="Z117" s="7" t="n">
        <v>8.9</v>
      </c>
      <c r="AB117" s="7" t="n">
        <v>1892.9</v>
      </c>
    </row>
    <row r="118">
      <c r="A118" s="4" t="inlineStr">
        <is>
          <t>员工餐</t>
        </is>
      </c>
      <c r="D118" s="7" t="n">
        <v>293</v>
      </c>
      <c r="F118" s="7" t="n">
        <v>682</v>
      </c>
      <c r="H118" s="7" t="n">
        <v>697.4</v>
      </c>
      <c r="J118" s="7" t="n">
        <v>124.4</v>
      </c>
      <c r="L118" s="7" t="n">
        <v>525.4</v>
      </c>
      <c r="N118" s="7" t="n">
        <v>487.8</v>
      </c>
      <c r="P118" s="7" t="n">
        <v>304.7</v>
      </c>
      <c r="R118" s="7" t="n">
        <v>533.8</v>
      </c>
      <c r="T118" s="7" t="n">
        <v>0</v>
      </c>
      <c r="V118" s="7" t="n">
        <v>1303</v>
      </c>
      <c r="X118" s="7" t="n">
        <v>657.6</v>
      </c>
      <c r="Z118" s="7" t="n">
        <v>48.5</v>
      </c>
      <c r="AB118" s="7" t="n">
        <v>5657.6</v>
      </c>
    </row>
    <row r="119">
      <c r="A119" s="4" t="inlineStr">
        <is>
          <t>节日礼品</t>
        </is>
      </c>
      <c r="D119" s="7" t="n">
        <v>39.9</v>
      </c>
      <c r="F119" s="7" t="n">
        <v>108.2</v>
      </c>
      <c r="H119" s="7" t="n">
        <v>113.3</v>
      </c>
      <c r="J119" s="7" t="n">
        <v>29</v>
      </c>
      <c r="L119" s="7" t="n">
        <v>59.6</v>
      </c>
      <c r="N119" s="7" t="n">
        <v>58.6</v>
      </c>
      <c r="P119" s="7" t="n">
        <v>59.4</v>
      </c>
      <c r="R119" s="7" t="n">
        <v>105.3</v>
      </c>
      <c r="T119" s="7" t="n">
        <v>0</v>
      </c>
      <c r="V119" s="7" t="n">
        <v>236.3</v>
      </c>
      <c r="X119" s="7" t="n">
        <v>77.7</v>
      </c>
      <c r="Z119" s="7" t="n">
        <v>7.8</v>
      </c>
      <c r="AB119" s="7" t="n">
        <v>895.1</v>
      </c>
    </row>
    <row r="120">
      <c r="A120" s="4" t="inlineStr">
        <is>
          <t>生日礼品</t>
        </is>
      </c>
      <c r="D120" s="7" t="n">
        <v>12.2</v>
      </c>
      <c r="F120" s="7" t="n">
        <v>20.3</v>
      </c>
      <c r="H120" s="7" t="n">
        <v>14.9</v>
      </c>
      <c r="J120" s="7" t="n">
        <v>6.7</v>
      </c>
      <c r="L120" s="7" t="n">
        <v>16.1</v>
      </c>
      <c r="N120" s="7" t="n">
        <v>16.3</v>
      </c>
      <c r="P120" s="7" t="n">
        <v>14.6</v>
      </c>
      <c r="R120" s="7" t="n">
        <v>23.2</v>
      </c>
      <c r="T120" s="7" t="n">
        <v>0</v>
      </c>
      <c r="V120" s="7" t="n">
        <v>58.2</v>
      </c>
      <c r="X120" s="7" t="n">
        <v>23.7</v>
      </c>
      <c r="Z120" s="7" t="n">
        <v>1.3</v>
      </c>
      <c r="AB120" s="7" t="n">
        <v>207.5</v>
      </c>
    </row>
    <row r="121">
      <c r="A121" s="4" t="inlineStr">
        <is>
          <t>体检</t>
        </is>
      </c>
      <c r="D121" s="7" t="n">
        <v>66.2</v>
      </c>
      <c r="F121" s="7" t="n">
        <v>100.2</v>
      </c>
      <c r="H121" s="7" t="n">
        <v>132.9</v>
      </c>
      <c r="J121" s="7" t="n">
        <v>21.1</v>
      </c>
      <c r="L121" s="7" t="n">
        <v>58.7</v>
      </c>
      <c r="N121" s="7" t="n">
        <v>69.5</v>
      </c>
      <c r="P121" s="7" t="n">
        <v>57.3</v>
      </c>
      <c r="R121" s="7" t="n">
        <v>76.5</v>
      </c>
      <c r="T121" s="7" t="n">
        <v>0</v>
      </c>
      <c r="V121" s="7" t="n">
        <v>293.8</v>
      </c>
      <c r="X121" s="7" t="n">
        <v>123.6</v>
      </c>
      <c r="Z121" s="7" t="n">
        <v>7.9</v>
      </c>
      <c r="AB121" s="7" t="n">
        <v>1007.7</v>
      </c>
    </row>
    <row r="122">
      <c r="A122" s="4" t="inlineStr">
        <is>
          <t>其他福利支出</t>
        </is>
      </c>
      <c r="D122" s="7" t="n">
        <v>136.8</v>
      </c>
      <c r="F122" s="7" t="n">
        <v>320.6</v>
      </c>
      <c r="H122" s="7" t="n">
        <v>369</v>
      </c>
      <c r="J122" s="7" t="n">
        <v>64.8</v>
      </c>
      <c r="L122" s="7" t="n">
        <v>250.7</v>
      </c>
      <c r="N122" s="7" t="n">
        <v>210.8</v>
      </c>
      <c r="P122" s="7" t="n">
        <v>168.3</v>
      </c>
      <c r="R122" s="7" t="n">
        <v>215.7</v>
      </c>
      <c r="T122" s="7" t="n">
        <v>0</v>
      </c>
      <c r="V122" s="7" t="n">
        <v>900.2</v>
      </c>
      <c r="X122" s="7" t="n">
        <v>370.3</v>
      </c>
      <c r="Z122" s="7" t="n">
        <v>14.2</v>
      </c>
      <c r="AB122" s="7" t="n">
        <v>3021.4</v>
      </c>
    </row>
    <row r="123">
      <c r="A123" s="4" t="inlineStr">
        <is>
          <t>招聘费</t>
        </is>
      </c>
      <c r="D123" s="7" t="n">
        <v>95.2</v>
      </c>
      <c r="F123" s="7" t="n">
        <v>131.6</v>
      </c>
      <c r="H123" s="7" t="n">
        <v>196.7</v>
      </c>
      <c r="J123" s="7" t="n">
        <v>56.4</v>
      </c>
      <c r="L123" s="7" t="n">
        <v>113.1</v>
      </c>
      <c r="N123" s="7" t="n">
        <v>120.3</v>
      </c>
      <c r="P123" s="7" t="n">
        <v>134.4</v>
      </c>
      <c r="R123" s="7" t="n">
        <v>122.2</v>
      </c>
      <c r="T123" s="7" t="n">
        <v>0</v>
      </c>
      <c r="V123" s="7" t="n">
        <v>656.8</v>
      </c>
      <c r="X123" s="7" t="n">
        <v>191.8</v>
      </c>
      <c r="Z123" s="7" t="n">
        <v>12.4</v>
      </c>
      <c r="AB123" s="7" t="n">
        <v>1830.9</v>
      </c>
    </row>
    <row r="124">
      <c r="A124" s="4" t="inlineStr">
        <is>
          <t>办公费</t>
        </is>
      </c>
      <c r="D124" s="7" t="n">
        <v>1767.4</v>
      </c>
      <c r="F124" s="7" t="n">
        <v>2098.7</v>
      </c>
      <c r="H124" s="7" t="n">
        <v>2677.4</v>
      </c>
      <c r="J124" s="7" t="n">
        <v>1003.4</v>
      </c>
      <c r="L124" s="7" t="n">
        <v>1460.6</v>
      </c>
      <c r="N124" s="7" t="n">
        <v>1729.3</v>
      </c>
      <c r="P124" s="7" t="n">
        <v>1749.4</v>
      </c>
      <c r="R124" s="7" t="n">
        <v>2585.3</v>
      </c>
      <c r="T124" s="7" t="n">
        <v>0</v>
      </c>
      <c r="V124" s="7" t="n">
        <v>9530.1</v>
      </c>
      <c r="X124" s="7" t="n">
        <v>3399.1</v>
      </c>
      <c r="Z124" s="7" t="n">
        <v>248.6</v>
      </c>
      <c r="AB124" s="7" t="n">
        <v>28249.3</v>
      </c>
    </row>
    <row r="125">
      <c r="A125" s="4" t="inlineStr">
        <is>
          <t>市内交通费</t>
        </is>
      </c>
      <c r="D125" s="7" t="n">
        <v>175.3</v>
      </c>
      <c r="F125" s="7" t="n">
        <v>418.5</v>
      </c>
      <c r="H125" s="7" t="n">
        <v>529.7</v>
      </c>
      <c r="J125" s="7" t="n">
        <v>92.59999999999999</v>
      </c>
      <c r="L125" s="7" t="n">
        <v>376.9</v>
      </c>
      <c r="N125" s="7" t="n">
        <v>229.6</v>
      </c>
      <c r="P125" s="7" t="n">
        <v>325.2</v>
      </c>
      <c r="R125" s="7" t="n">
        <v>393</v>
      </c>
      <c r="T125" s="7" t="n">
        <v>0</v>
      </c>
      <c r="V125" s="7" t="n">
        <v>1540.1</v>
      </c>
      <c r="X125" s="7" t="n">
        <v>401.9</v>
      </c>
      <c r="Z125" s="7" t="n">
        <v>23.5</v>
      </c>
      <c r="AB125" s="7" t="n">
        <v>4506.3</v>
      </c>
    </row>
    <row r="126">
      <c r="A126" s="4" t="inlineStr">
        <is>
          <t>差旅费</t>
        </is>
      </c>
      <c r="D126" s="7" t="n">
        <v>2943.9</v>
      </c>
      <c r="F126" s="7" t="n">
        <v>7104</v>
      </c>
      <c r="H126" s="7" t="n">
        <v>4554.8</v>
      </c>
      <c r="J126" s="7" t="n">
        <v>1792.9</v>
      </c>
      <c r="L126" s="7" t="n">
        <v>5098.5</v>
      </c>
      <c r="N126" s="7" t="n">
        <v>4482.3</v>
      </c>
      <c r="P126" s="7" t="n">
        <v>4396.6</v>
      </c>
      <c r="R126" s="7" t="n">
        <v>6395.6</v>
      </c>
      <c r="T126" s="7" t="n">
        <v>0</v>
      </c>
      <c r="V126" s="7" t="n">
        <v>21164.7</v>
      </c>
      <c r="X126" s="7" t="n">
        <v>6045.9</v>
      </c>
      <c r="Z126" s="7" t="n">
        <v>440.3</v>
      </c>
      <c r="AB126" s="7" t="n">
        <v>64419.5</v>
      </c>
    </row>
    <row r="127">
      <c r="A127" s="4" t="inlineStr">
        <is>
          <t>交通费</t>
        </is>
      </c>
      <c r="D127" s="7" t="n">
        <v>269.6</v>
      </c>
      <c r="F127" s="7" t="n">
        <v>371.7</v>
      </c>
      <c r="H127" s="7" t="n">
        <v>502.4</v>
      </c>
      <c r="J127" s="7" t="n">
        <v>101.9</v>
      </c>
      <c r="L127" s="7" t="n">
        <v>270.2</v>
      </c>
      <c r="N127" s="7" t="n">
        <v>326.9</v>
      </c>
      <c r="P127" s="7" t="n">
        <v>274.6</v>
      </c>
      <c r="R127" s="7" t="n">
        <v>484</v>
      </c>
      <c r="T127" s="7" t="n">
        <v>0</v>
      </c>
      <c r="V127" s="7" t="n">
        <v>1099.3</v>
      </c>
      <c r="X127" s="7" t="n">
        <v>351.8</v>
      </c>
      <c r="Z127" s="7" t="n">
        <v>29.4</v>
      </c>
      <c r="AB127" s="7" t="n">
        <v>4081.8</v>
      </c>
    </row>
    <row r="128">
      <c r="A128" s="4" t="inlineStr">
        <is>
          <t>住宿费</t>
        </is>
      </c>
      <c r="D128" s="7" t="n">
        <v>19.5</v>
      </c>
      <c r="F128" s="7" t="n">
        <v>50.9</v>
      </c>
      <c r="H128" s="7" t="n">
        <v>49.3</v>
      </c>
      <c r="J128" s="7" t="n">
        <v>15.4</v>
      </c>
      <c r="L128" s="7" t="n">
        <v>26.7</v>
      </c>
      <c r="N128" s="7" t="n">
        <v>37.9</v>
      </c>
      <c r="P128" s="7" t="n">
        <v>33.9</v>
      </c>
      <c r="R128" s="7" t="n">
        <v>57.8</v>
      </c>
      <c r="T128" s="7" t="n">
        <v>0</v>
      </c>
      <c r="V128" s="7" t="n">
        <v>102.1</v>
      </c>
      <c r="X128" s="7" t="n">
        <v>37.1</v>
      </c>
      <c r="Z128" s="7" t="n">
        <v>2.8</v>
      </c>
      <c r="AB128" s="7" t="n">
        <v>433.4</v>
      </c>
    </row>
    <row r="129">
      <c r="A129" s="4" t="inlineStr">
        <is>
          <t>餐补</t>
        </is>
      </c>
      <c r="D129" s="7" t="n">
        <v>244.9</v>
      </c>
      <c r="F129" s="7" t="n">
        <v>511.3</v>
      </c>
      <c r="H129" s="7" t="n">
        <v>564.6</v>
      </c>
      <c r="J129" s="7" t="n">
        <v>121.9</v>
      </c>
      <c r="L129" s="7" t="n">
        <v>341.5</v>
      </c>
      <c r="N129" s="7" t="n">
        <v>449.3</v>
      </c>
      <c r="P129" s="7" t="n">
        <v>351.1</v>
      </c>
      <c r="R129" s="7" t="n">
        <v>553.2</v>
      </c>
      <c r="T129" s="7" t="n">
        <v>0</v>
      </c>
      <c r="V129" s="7" t="n">
        <v>2072.3</v>
      </c>
      <c r="X129" s="7" t="n">
        <v>666.3</v>
      </c>
      <c r="Z129" s="7" t="n">
        <v>31</v>
      </c>
      <c r="AB129" s="7" t="n">
        <v>5907.4</v>
      </c>
    </row>
    <row r="130">
      <c r="A130" s="4" t="inlineStr">
        <is>
          <t>交通补助</t>
        </is>
      </c>
      <c r="D130" s="7" t="n">
        <v>42.5</v>
      </c>
      <c r="F130" s="7" t="n">
        <v>56.6</v>
      </c>
      <c r="H130" s="7" t="n">
        <v>99.2</v>
      </c>
      <c r="J130" s="7" t="n">
        <v>20.2</v>
      </c>
      <c r="L130" s="7" t="n">
        <v>68.2</v>
      </c>
      <c r="N130" s="7" t="n">
        <v>64.09999999999999</v>
      </c>
      <c r="P130" s="7" t="n">
        <v>42.4</v>
      </c>
      <c r="R130" s="7" t="n">
        <v>68.59999999999999</v>
      </c>
      <c r="T130" s="7" t="n">
        <v>0</v>
      </c>
      <c r="V130" s="7" t="n">
        <v>285.2</v>
      </c>
      <c r="X130" s="7" t="n">
        <v>75</v>
      </c>
      <c r="Z130" s="7" t="n">
        <v>5.8</v>
      </c>
      <c r="AB130" s="7" t="n">
        <v>827.8</v>
      </c>
    </row>
    <row r="131">
      <c r="A131" s="4" t="inlineStr">
        <is>
          <t>通讯补助</t>
        </is>
      </c>
      <c r="D131" s="7" t="n">
        <v>142.8</v>
      </c>
      <c r="F131" s="7" t="n">
        <v>391</v>
      </c>
      <c r="H131" s="7" t="n">
        <v>369.6</v>
      </c>
      <c r="J131" s="7" t="n">
        <v>94</v>
      </c>
      <c r="L131" s="7" t="n">
        <v>248.9</v>
      </c>
      <c r="N131" s="7" t="n">
        <v>239.5</v>
      </c>
      <c r="P131" s="7" t="n">
        <v>188.4</v>
      </c>
      <c r="R131" s="7" t="n">
        <v>363.2</v>
      </c>
      <c r="T131" s="7" t="n">
        <v>0</v>
      </c>
      <c r="V131" s="7" t="n">
        <v>1109.5</v>
      </c>
      <c r="X131" s="7" t="n">
        <v>289.5</v>
      </c>
      <c r="Z131" s="7" t="n">
        <v>17</v>
      </c>
      <c r="AB131" s="7" t="n">
        <v>3453.4</v>
      </c>
    </row>
    <row r="132">
      <c r="A132" s="4" t="inlineStr">
        <is>
          <t>招待费</t>
        </is>
      </c>
      <c r="D132" s="7" t="n">
        <v>1885.7</v>
      </c>
      <c r="F132" s="7" t="n">
        <v>2861.3</v>
      </c>
      <c r="H132" s="7" t="n">
        <v>3747.3</v>
      </c>
      <c r="J132" s="7" t="n">
        <v>1032.8</v>
      </c>
      <c r="L132" s="7" t="n">
        <v>2088.4</v>
      </c>
      <c r="N132" s="7" t="n">
        <v>2471.1</v>
      </c>
      <c r="P132" s="7" t="n">
        <v>2912.2</v>
      </c>
      <c r="R132" s="7" t="n">
        <v>4553</v>
      </c>
      <c r="T132" s="7" t="n">
        <v>0</v>
      </c>
      <c r="V132" s="7" t="n">
        <v>8295.6</v>
      </c>
      <c r="X132" s="7" t="n">
        <v>4546.7</v>
      </c>
      <c r="Z132" s="7" t="n">
        <v>322.8</v>
      </c>
      <c r="AB132" s="7" t="n">
        <v>34716.9</v>
      </c>
    </row>
    <row r="133">
      <c r="A133" s="4" t="inlineStr">
        <is>
          <t>通讯费</t>
        </is>
      </c>
      <c r="D133" s="7" t="n">
        <v>352.4</v>
      </c>
      <c r="F133" s="7" t="n">
        <v>476.9</v>
      </c>
      <c r="H133" s="7" t="n">
        <v>545</v>
      </c>
      <c r="J133" s="7" t="n">
        <v>142.3</v>
      </c>
      <c r="L133" s="7" t="n">
        <v>542.1</v>
      </c>
      <c r="N133" s="7" t="n">
        <v>378.4</v>
      </c>
      <c r="P133" s="7" t="n">
        <v>455</v>
      </c>
      <c r="R133" s="7" t="n">
        <v>547.3</v>
      </c>
      <c r="T133" s="7" t="n">
        <v>0</v>
      </c>
      <c r="V133" s="7" t="n">
        <v>1206.9</v>
      </c>
      <c r="X133" s="7" t="n">
        <v>479</v>
      </c>
      <c r="Z133" s="7" t="n">
        <v>38.3</v>
      </c>
      <c r="AB133" s="7" t="n">
        <v>5163.6</v>
      </c>
    </row>
    <row r="134">
      <c r="A134" s="4" t="inlineStr">
        <is>
          <t>网络费</t>
        </is>
      </c>
      <c r="D134" s="7" t="n">
        <v>187.9</v>
      </c>
      <c r="F134" s="7" t="n">
        <v>290.2</v>
      </c>
      <c r="H134" s="7" t="n">
        <v>447.1</v>
      </c>
      <c r="J134" s="7" t="n">
        <v>102.9</v>
      </c>
      <c r="L134" s="7" t="n">
        <v>365.8</v>
      </c>
      <c r="N134" s="7" t="n">
        <v>242.8</v>
      </c>
      <c r="P134" s="7" t="n">
        <v>269.8</v>
      </c>
      <c r="R134" s="7" t="n">
        <v>379.2</v>
      </c>
      <c r="T134" s="7" t="n">
        <v>0</v>
      </c>
      <c r="V134" s="7" t="n">
        <v>1414.4</v>
      </c>
      <c r="X134" s="7" t="n">
        <v>532.7</v>
      </c>
      <c r="Z134" s="7" t="n">
        <v>30.1</v>
      </c>
      <c r="AB134" s="7" t="n">
        <v>4262.9</v>
      </c>
    </row>
    <row r="135">
      <c r="A135" s="4" t="inlineStr">
        <is>
          <t>修理费</t>
        </is>
      </c>
      <c r="D135" s="7" t="n">
        <v>96</v>
      </c>
      <c r="F135" s="7" t="n">
        <v>127.7</v>
      </c>
      <c r="H135" s="7" t="n">
        <v>131.8</v>
      </c>
      <c r="J135" s="7" t="n">
        <v>44.1</v>
      </c>
      <c r="L135" s="7" t="n">
        <v>107.4</v>
      </c>
      <c r="N135" s="7" t="n">
        <v>125.8</v>
      </c>
      <c r="P135" s="7" t="n">
        <v>145.1</v>
      </c>
      <c r="R135" s="7" t="n">
        <v>164.8</v>
      </c>
      <c r="T135" s="7" t="n">
        <v>0</v>
      </c>
      <c r="V135" s="7" t="n">
        <v>417.8</v>
      </c>
      <c r="X135" s="7" t="n">
        <v>211.6</v>
      </c>
      <c r="Z135" s="7" t="n">
        <v>8.6</v>
      </c>
      <c r="AB135" s="7" t="n">
        <v>1580.7</v>
      </c>
    </row>
    <row r="136">
      <c r="A136" s="4" t="inlineStr">
        <is>
          <t>车辆费</t>
        </is>
      </c>
      <c r="D136" s="7" t="n">
        <v>268.5</v>
      </c>
      <c r="F136" s="7" t="n">
        <v>655</v>
      </c>
      <c r="H136" s="7" t="n">
        <v>474.2</v>
      </c>
      <c r="J136" s="7" t="n">
        <v>142.1</v>
      </c>
      <c r="L136" s="7" t="n">
        <v>388.4</v>
      </c>
      <c r="N136" s="7" t="n">
        <v>367.4</v>
      </c>
      <c r="P136" s="7" t="n">
        <v>441.5</v>
      </c>
      <c r="R136" s="7" t="n">
        <v>432.2</v>
      </c>
      <c r="T136" s="7" t="n">
        <v>0</v>
      </c>
      <c r="V136" s="7" t="n">
        <v>1489.4</v>
      </c>
      <c r="X136" s="7" t="n">
        <v>658.3</v>
      </c>
      <c r="Z136" s="7" t="n">
        <v>35.6</v>
      </c>
      <c r="AB136" s="7" t="n">
        <v>5352.6</v>
      </c>
    </row>
    <row r="137">
      <c r="A137" s="4" t="inlineStr">
        <is>
          <t>租赁费</t>
        </is>
      </c>
      <c r="D137" s="7" t="n">
        <v>1771.1</v>
      </c>
      <c r="F137" s="7" t="n">
        <v>5625.3</v>
      </c>
      <c r="H137" s="7" t="n">
        <v>5313.5</v>
      </c>
      <c r="J137" s="7" t="n">
        <v>986.3</v>
      </c>
      <c r="L137" s="7" t="n">
        <v>3800.4</v>
      </c>
      <c r="N137" s="7" t="n">
        <v>3373.9</v>
      </c>
      <c r="P137" s="7" t="n">
        <v>2998.8</v>
      </c>
      <c r="R137" s="7" t="n">
        <v>5928.7</v>
      </c>
      <c r="T137" s="7" t="n">
        <v>0</v>
      </c>
      <c r="V137" s="7" t="n">
        <v>15809</v>
      </c>
      <c r="X137" s="7" t="n">
        <v>5698.1</v>
      </c>
      <c r="Z137" s="7" t="n">
        <v>287.1</v>
      </c>
      <c r="AB137" s="7" t="n">
        <v>51592.2</v>
      </c>
    </row>
    <row r="138">
      <c r="A138" s="4" t="inlineStr">
        <is>
          <t>能源费</t>
        </is>
      </c>
      <c r="D138" s="7" t="n">
        <v>758</v>
      </c>
      <c r="F138" s="7" t="n">
        <v>1366.7</v>
      </c>
      <c r="H138" s="7" t="n">
        <v>1460.7</v>
      </c>
      <c r="J138" s="7" t="n">
        <v>331.7</v>
      </c>
      <c r="L138" s="7" t="n">
        <v>1024.2</v>
      </c>
      <c r="N138" s="7" t="n">
        <v>931.5</v>
      </c>
      <c r="P138" s="7" t="n">
        <v>862.7</v>
      </c>
      <c r="R138" s="7" t="n">
        <v>1370.4</v>
      </c>
      <c r="T138" s="7" t="n">
        <v>0</v>
      </c>
      <c r="V138" s="7" t="n">
        <v>4493.4</v>
      </c>
      <c r="X138" s="7" t="n">
        <v>1282.3</v>
      </c>
      <c r="Z138" s="7" t="n">
        <v>93</v>
      </c>
      <c r="AB138" s="7" t="n">
        <v>13974.6</v>
      </c>
    </row>
    <row r="139">
      <c r="A139" s="4" t="inlineStr">
        <is>
          <t>水费</t>
        </is>
      </c>
      <c r="D139" s="7" t="n">
        <v>189.5</v>
      </c>
      <c r="F139" s="7" t="n">
        <v>214.9</v>
      </c>
      <c r="H139" s="7" t="n">
        <v>245.9</v>
      </c>
      <c r="J139" s="7" t="n">
        <v>100.2</v>
      </c>
      <c r="L139" s="7" t="n">
        <v>193.7</v>
      </c>
      <c r="N139" s="7" t="n">
        <v>191</v>
      </c>
      <c r="P139" s="7" t="n">
        <v>158</v>
      </c>
      <c r="R139" s="7" t="n">
        <v>250.6</v>
      </c>
      <c r="T139" s="7" t="n">
        <v>0</v>
      </c>
      <c r="V139" s="7" t="n">
        <v>1033.8</v>
      </c>
      <c r="X139" s="7" t="n">
        <v>377.2</v>
      </c>
      <c r="Z139" s="7" t="n">
        <v>19.9</v>
      </c>
      <c r="AB139" s="7" t="n">
        <v>2974.7</v>
      </c>
    </row>
    <row r="140">
      <c r="A140" s="4" t="inlineStr">
        <is>
          <t>电费</t>
        </is>
      </c>
      <c r="D140" s="7" t="n">
        <v>5.6</v>
      </c>
      <c r="F140" s="7" t="n">
        <v>6.4</v>
      </c>
      <c r="H140" s="7" t="n">
        <v>11.7</v>
      </c>
      <c r="J140" s="7" t="n">
        <v>2.5</v>
      </c>
      <c r="L140" s="7" t="n">
        <v>7.9</v>
      </c>
      <c r="N140" s="7" t="n">
        <v>6.7</v>
      </c>
      <c r="P140" s="7" t="n">
        <v>6.9</v>
      </c>
      <c r="R140" s="7" t="n">
        <v>8.4</v>
      </c>
      <c r="T140" s="7" t="n">
        <v>0</v>
      </c>
      <c r="V140" s="7" t="n">
        <v>23.7</v>
      </c>
      <c r="X140" s="7" t="n">
        <v>9.6</v>
      </c>
      <c r="Z140" s="7" t="n">
        <v>0.6</v>
      </c>
      <c r="AB140" s="7" t="n">
        <v>90</v>
      </c>
    </row>
    <row r="141">
      <c r="A141" s="4" t="inlineStr">
        <is>
          <t>燃气费</t>
        </is>
      </c>
      <c r="D141" s="7" t="n">
        <v>193.3</v>
      </c>
      <c r="F141" s="7" t="n">
        <v>388.6</v>
      </c>
      <c r="H141" s="7" t="n">
        <v>482.1</v>
      </c>
      <c r="J141" s="7" t="n">
        <v>106.8</v>
      </c>
      <c r="L141" s="7" t="n">
        <v>366.1</v>
      </c>
      <c r="N141" s="7" t="n">
        <v>324.5</v>
      </c>
      <c r="P141" s="7" t="n">
        <v>312.6</v>
      </c>
      <c r="R141" s="7" t="n">
        <v>555.8</v>
      </c>
      <c r="T141" s="7" t="n">
        <v>0</v>
      </c>
      <c r="V141" s="7" t="n">
        <v>1332.6</v>
      </c>
      <c r="X141" s="7" t="n">
        <v>435.5</v>
      </c>
      <c r="Z141" s="7" t="n">
        <v>34.7</v>
      </c>
      <c r="AB141" s="7" t="n">
        <v>4532.6</v>
      </c>
    </row>
    <row r="142">
      <c r="A142" s="4" t="inlineStr">
        <is>
          <t>蒸汽费</t>
        </is>
      </c>
      <c r="D142" s="7" t="n">
        <v>369.6</v>
      </c>
      <c r="F142" s="7" t="n">
        <v>756.8</v>
      </c>
      <c r="H142" s="7" t="n">
        <v>721</v>
      </c>
      <c r="J142" s="7" t="n">
        <v>122.2</v>
      </c>
      <c r="L142" s="7" t="n">
        <v>456.5</v>
      </c>
      <c r="N142" s="7" t="n">
        <v>409.3</v>
      </c>
      <c r="P142" s="7" t="n">
        <v>385.2</v>
      </c>
      <c r="R142" s="7" t="n">
        <v>555.6</v>
      </c>
      <c r="T142" s="7" t="n">
        <v>0</v>
      </c>
      <c r="V142" s="7" t="n">
        <v>2103.3</v>
      </c>
      <c r="X142" s="7" t="n">
        <v>460</v>
      </c>
      <c r="Z142" s="7" t="n">
        <v>37.8</v>
      </c>
      <c r="AB142" s="7" t="n">
        <v>6377.3</v>
      </c>
    </row>
    <row r="143">
      <c r="A143" s="4" t="inlineStr">
        <is>
          <t>物业费</t>
        </is>
      </c>
      <c r="D143" s="7" t="n">
        <v>137.6</v>
      </c>
      <c r="F143" s="7" t="n">
        <v>320.3</v>
      </c>
      <c r="H143" s="7" t="n">
        <v>364.5</v>
      </c>
      <c r="J143" s="7" t="n">
        <v>83.90000000000001</v>
      </c>
      <c r="L143" s="7" t="n">
        <v>256</v>
      </c>
      <c r="N143" s="7" t="n">
        <v>223.2</v>
      </c>
      <c r="P143" s="7" t="n">
        <v>208.9</v>
      </c>
      <c r="R143" s="7" t="n">
        <v>343.5</v>
      </c>
      <c r="T143" s="7" t="n">
        <v>0</v>
      </c>
      <c r="V143" s="7" t="n">
        <v>1346.9</v>
      </c>
      <c r="X143" s="7" t="n">
        <v>474.8</v>
      </c>
      <c r="Z143" s="7" t="n">
        <v>23.3</v>
      </c>
      <c r="AB143" s="7" t="n">
        <v>3782.9</v>
      </c>
    </row>
    <row r="144">
      <c r="A144" s="4" t="inlineStr">
        <is>
          <t>劳动保护费</t>
        </is>
      </c>
      <c r="D144" s="7" t="n">
        <v>302.9</v>
      </c>
      <c r="F144" s="7" t="n">
        <v>592.2</v>
      </c>
      <c r="H144" s="7" t="n">
        <v>380.6</v>
      </c>
      <c r="J144" s="7" t="n">
        <v>131.4</v>
      </c>
      <c r="L144" s="7" t="n">
        <v>309.9</v>
      </c>
      <c r="N144" s="7" t="n">
        <v>295.2</v>
      </c>
      <c r="P144" s="7" t="n">
        <v>443</v>
      </c>
      <c r="R144" s="7" t="n">
        <v>424</v>
      </c>
      <c r="T144" s="7" t="n">
        <v>0</v>
      </c>
      <c r="V144" s="7" t="n">
        <v>1747.6</v>
      </c>
      <c r="X144" s="7" t="n">
        <v>509.4</v>
      </c>
      <c r="Z144" s="7" t="n">
        <v>29.3</v>
      </c>
      <c r="AB144" s="7" t="n">
        <v>5165.5</v>
      </c>
    </row>
    <row r="145">
      <c r="A145" s="4" t="inlineStr">
        <is>
          <t>顾问费</t>
        </is>
      </c>
      <c r="D145" s="7" t="n">
        <v>281</v>
      </c>
      <c r="F145" s="7" t="n">
        <v>402.7</v>
      </c>
      <c r="H145" s="7" t="n">
        <v>469.5</v>
      </c>
      <c r="J145" s="7" t="n">
        <v>144.2</v>
      </c>
      <c r="L145" s="7" t="n">
        <v>485</v>
      </c>
      <c r="N145" s="7" t="n">
        <v>443.8</v>
      </c>
      <c r="P145" s="7" t="n">
        <v>419.6</v>
      </c>
      <c r="R145" s="7" t="n">
        <v>488.2</v>
      </c>
      <c r="T145" s="7" t="n">
        <v>0</v>
      </c>
      <c r="V145" s="7" t="n">
        <v>2110.7</v>
      </c>
      <c r="X145" s="7" t="n">
        <v>497.8</v>
      </c>
      <c r="Z145" s="7" t="n">
        <v>48.9</v>
      </c>
      <c r="AB145" s="7" t="n">
        <v>5791.4</v>
      </c>
    </row>
    <row r="146">
      <c r="A146" s="4" t="inlineStr">
        <is>
          <t>快递费</t>
        </is>
      </c>
      <c r="D146" s="7" t="n">
        <v>68.90000000000001</v>
      </c>
      <c r="F146" s="7" t="n">
        <v>145.4</v>
      </c>
      <c r="H146" s="7" t="n">
        <v>149.8</v>
      </c>
      <c r="J146" s="7" t="n">
        <v>34.9</v>
      </c>
      <c r="L146" s="7" t="n">
        <v>67.8</v>
      </c>
      <c r="N146" s="7" t="n">
        <v>86.2</v>
      </c>
      <c r="P146" s="7" t="n">
        <v>109</v>
      </c>
      <c r="R146" s="7" t="n">
        <v>93.3</v>
      </c>
      <c r="T146" s="7" t="n">
        <v>0</v>
      </c>
      <c r="V146" s="7" t="n">
        <v>352.3</v>
      </c>
      <c r="X146" s="7" t="n">
        <v>121.3</v>
      </c>
      <c r="Z146" s="7" t="n">
        <v>6.2</v>
      </c>
      <c r="AB146" s="7" t="n">
        <v>1235.1</v>
      </c>
    </row>
    <row r="147">
      <c r="A147" s="4" t="inlineStr">
        <is>
          <t>诉讼费</t>
        </is>
      </c>
      <c r="D147" s="7" t="n">
        <v>264.3</v>
      </c>
      <c r="F147" s="7" t="n">
        <v>545.1</v>
      </c>
      <c r="H147" s="7" t="n">
        <v>617.5</v>
      </c>
      <c r="J147" s="7" t="n">
        <v>167.4</v>
      </c>
      <c r="L147" s="7" t="n">
        <v>390.5</v>
      </c>
      <c r="N147" s="7" t="n">
        <v>283.7</v>
      </c>
      <c r="P147" s="7" t="n">
        <v>363.5</v>
      </c>
      <c r="R147" s="7" t="n">
        <v>612</v>
      </c>
      <c r="T147" s="7" t="n">
        <v>0</v>
      </c>
      <c r="V147" s="7" t="n">
        <v>1096</v>
      </c>
      <c r="X147" s="7" t="n">
        <v>504.6</v>
      </c>
      <c r="Z147" s="7" t="n">
        <v>36.5</v>
      </c>
      <c r="AB147" s="7" t="n">
        <v>4881.1</v>
      </c>
    </row>
    <row r="148">
      <c r="A148" s="4" t="inlineStr">
        <is>
          <t>会员费</t>
        </is>
      </c>
      <c r="D148" s="7" t="n">
        <v>139.9</v>
      </c>
      <c r="F148" s="7" t="n">
        <v>420.7</v>
      </c>
      <c r="H148" s="7" t="n">
        <v>489.3</v>
      </c>
      <c r="J148" s="7" t="n">
        <v>76.8</v>
      </c>
      <c r="L148" s="7" t="n">
        <v>249.7</v>
      </c>
      <c r="N148" s="7" t="n">
        <v>281</v>
      </c>
      <c r="P148" s="7" t="n">
        <v>203.1</v>
      </c>
      <c r="R148" s="7" t="n">
        <v>347.2</v>
      </c>
      <c r="T148" s="7" t="n">
        <v>0</v>
      </c>
      <c r="V148" s="7" t="n">
        <v>982.2</v>
      </c>
      <c r="X148" s="7" t="n">
        <v>327.6</v>
      </c>
      <c r="Z148" s="7" t="n">
        <v>31.1</v>
      </c>
      <c r="AB148" s="7" t="n">
        <v>3548.6</v>
      </c>
    </row>
    <row r="149">
      <c r="A149" s="4" t="inlineStr">
        <is>
          <t>广告宣传费</t>
        </is>
      </c>
      <c r="D149" s="7" t="n">
        <v>1321.8</v>
      </c>
      <c r="F149" s="7" t="n">
        <v>2946.5</v>
      </c>
      <c r="H149" s="7" t="n">
        <v>2552.1</v>
      </c>
      <c r="J149" s="7" t="n">
        <v>925.7</v>
      </c>
      <c r="L149" s="7" t="n">
        <v>2427</v>
      </c>
      <c r="N149" s="7" t="n">
        <v>2199</v>
      </c>
      <c r="P149" s="7" t="n">
        <v>2204.4</v>
      </c>
      <c r="R149" s="7" t="n">
        <v>2381.8</v>
      </c>
      <c r="T149" s="7" t="n">
        <v>0</v>
      </c>
      <c r="V149" s="7" t="n">
        <v>8912.200000000001</v>
      </c>
      <c r="X149" s="7" t="n">
        <v>3242.3</v>
      </c>
      <c r="Z149" s="7" t="n">
        <v>202.8</v>
      </c>
      <c r="AB149" s="7" t="n">
        <v>29315.6</v>
      </c>
    </row>
    <row r="150">
      <c r="A150" s="4" t="inlineStr">
        <is>
          <t>会务费</t>
        </is>
      </c>
      <c r="D150" s="7" t="n">
        <v>33.2</v>
      </c>
      <c r="F150" s="7" t="n">
        <v>69</v>
      </c>
      <c r="H150" s="7" t="n">
        <v>52</v>
      </c>
      <c r="J150" s="7" t="n">
        <v>15.6</v>
      </c>
      <c r="L150" s="7" t="n">
        <v>57.9</v>
      </c>
      <c r="N150" s="7" t="n">
        <v>32.3</v>
      </c>
      <c r="P150" s="7" t="n">
        <v>45.3</v>
      </c>
      <c r="R150" s="7" t="n">
        <v>57.1</v>
      </c>
      <c r="T150" s="7" t="n">
        <v>0</v>
      </c>
      <c r="V150" s="7" t="n">
        <v>174.9</v>
      </c>
      <c r="X150" s="7" t="n">
        <v>67.3</v>
      </c>
      <c r="Z150" s="7" t="n">
        <v>3.1</v>
      </c>
      <c r="AB150" s="7" t="n">
        <v>607.7</v>
      </c>
    </row>
    <row r="151">
      <c r="A151" s="4" t="inlineStr">
        <is>
          <t>装修费</t>
        </is>
      </c>
      <c r="D151" s="7" t="n">
        <v>30.9</v>
      </c>
      <c r="F151" s="7" t="n">
        <v>34.6</v>
      </c>
      <c r="H151" s="7" t="n">
        <v>53.9</v>
      </c>
      <c r="J151" s="7" t="n">
        <v>11.8</v>
      </c>
      <c r="L151" s="7" t="n">
        <v>29.6</v>
      </c>
      <c r="N151" s="7" t="n">
        <v>37.9</v>
      </c>
      <c r="P151" s="7" t="n">
        <v>38.3</v>
      </c>
      <c r="R151" s="7" t="n">
        <v>35.8</v>
      </c>
      <c r="T151" s="7" t="n">
        <v>0</v>
      </c>
      <c r="V151" s="7" t="n">
        <v>107.5</v>
      </c>
      <c r="X151" s="7" t="n">
        <v>50.1</v>
      </c>
      <c r="Z151" s="7" t="n">
        <v>3.3</v>
      </c>
      <c r="AB151" s="7" t="n">
        <v>433.7</v>
      </c>
    </row>
    <row r="152">
      <c r="A152" s="4" t="inlineStr">
        <is>
          <t>推广费</t>
        </is>
      </c>
      <c r="D152" s="7" t="n">
        <v>13.3</v>
      </c>
      <c r="F152" s="7" t="n">
        <v>25.7</v>
      </c>
      <c r="H152" s="7" t="n">
        <v>20.5</v>
      </c>
      <c r="J152" s="7" t="n">
        <v>5.8</v>
      </c>
      <c r="L152" s="7" t="n">
        <v>14.6</v>
      </c>
      <c r="N152" s="7" t="n">
        <v>10.3</v>
      </c>
      <c r="P152" s="7" t="n">
        <v>15.8</v>
      </c>
      <c r="R152" s="7" t="n">
        <v>23.8</v>
      </c>
      <c r="T152" s="7" t="n">
        <v>0</v>
      </c>
      <c r="V152" s="7" t="n">
        <v>40.8</v>
      </c>
      <c r="X152" s="7" t="n">
        <v>14.7</v>
      </c>
      <c r="Z152" s="7" t="n">
        <v>1.3</v>
      </c>
      <c r="AB152" s="7" t="n">
        <v>186.6</v>
      </c>
    </row>
    <row r="153">
      <c r="A153" s="4" t="inlineStr">
        <is>
          <t>展会费</t>
        </is>
      </c>
      <c r="D153" s="7" t="n">
        <v>61.2</v>
      </c>
      <c r="F153" s="7" t="n">
        <v>73.90000000000001</v>
      </c>
      <c r="H153" s="7" t="n">
        <v>83.3</v>
      </c>
      <c r="J153" s="7" t="n">
        <v>23.7</v>
      </c>
      <c r="L153" s="7" t="n">
        <v>57.4</v>
      </c>
      <c r="N153" s="7" t="n">
        <v>71.59999999999999</v>
      </c>
      <c r="P153" s="7" t="n">
        <v>84.7</v>
      </c>
      <c r="R153" s="7" t="n">
        <v>78.90000000000001</v>
      </c>
      <c r="T153" s="7" t="n">
        <v>0</v>
      </c>
      <c r="V153" s="7" t="n">
        <v>350.7</v>
      </c>
      <c r="X153" s="7" t="n">
        <v>90.59999999999999</v>
      </c>
      <c r="Z153" s="7" t="n">
        <v>6.6</v>
      </c>
      <c r="AB153" s="7" t="n">
        <v>982.6</v>
      </c>
    </row>
    <row r="154">
      <c r="A154" s="4" t="inlineStr">
        <is>
          <t>设计费</t>
        </is>
      </c>
      <c r="D154" s="7" t="n">
        <v>111.1</v>
      </c>
      <c r="F154" s="7" t="n">
        <v>185.1</v>
      </c>
      <c r="H154" s="7" t="n">
        <v>195.3</v>
      </c>
      <c r="J154" s="7" t="n">
        <v>47.9</v>
      </c>
      <c r="L154" s="7" t="n">
        <v>108.7</v>
      </c>
      <c r="N154" s="7" t="n">
        <v>97.8</v>
      </c>
      <c r="P154" s="7" t="n">
        <v>144</v>
      </c>
      <c r="R154" s="7" t="n">
        <v>218.3</v>
      </c>
      <c r="T154" s="7" t="n">
        <v>0</v>
      </c>
      <c r="V154" s="7" t="n">
        <v>498.4</v>
      </c>
      <c r="X154" s="7" t="n">
        <v>202.3</v>
      </c>
      <c r="Z154" s="7" t="n">
        <v>14.4</v>
      </c>
      <c r="AB154" s="7" t="n">
        <v>1823.3</v>
      </c>
    </row>
    <row r="155">
      <c r="A155" s="4" t="inlineStr">
        <is>
          <t>折旧费</t>
        </is>
      </c>
      <c r="D155" s="7" t="n">
        <v>1780.1</v>
      </c>
      <c r="F155" s="7" t="n">
        <v>4525.7</v>
      </c>
      <c r="H155" s="7" t="n">
        <v>5110.3</v>
      </c>
      <c r="J155" s="7" t="n">
        <v>1049</v>
      </c>
      <c r="L155" s="7" t="n">
        <v>3396.5</v>
      </c>
      <c r="N155" s="7" t="n">
        <v>2407.3</v>
      </c>
      <c r="P155" s="7" t="n">
        <v>3080.5</v>
      </c>
      <c r="R155" s="7" t="n">
        <v>4367.4</v>
      </c>
      <c r="T155" s="7" t="n">
        <v>0</v>
      </c>
      <c r="V155" s="7" t="n">
        <v>11749.5</v>
      </c>
      <c r="X155" s="7" t="n">
        <v>3822.3</v>
      </c>
      <c r="Z155" s="7" t="n">
        <v>268.5</v>
      </c>
      <c r="AB155" s="7" t="n">
        <v>41557.1</v>
      </c>
    </row>
    <row r="156">
      <c r="A156" s="4" t="inlineStr">
        <is>
          <t>认证费</t>
        </is>
      </c>
      <c r="D156" s="7" t="n">
        <v>132.8</v>
      </c>
      <c r="F156" s="7" t="n">
        <v>174.2</v>
      </c>
      <c r="H156" s="7" t="n">
        <v>197.1</v>
      </c>
      <c r="J156" s="7" t="n">
        <v>46.7</v>
      </c>
      <c r="L156" s="7" t="n">
        <v>170.5</v>
      </c>
      <c r="N156" s="7" t="n">
        <v>162.7</v>
      </c>
      <c r="P156" s="7" t="n">
        <v>144.1</v>
      </c>
      <c r="R156" s="7" t="n">
        <v>269.2</v>
      </c>
      <c r="T156" s="7" t="n">
        <v>0</v>
      </c>
      <c r="V156" s="7" t="n">
        <v>865.6</v>
      </c>
      <c r="X156" s="7" t="n">
        <v>223</v>
      </c>
      <c r="Z156" s="7" t="n">
        <v>11.4</v>
      </c>
      <c r="AB156" s="7" t="n">
        <v>2397.3</v>
      </c>
    </row>
    <row r="157">
      <c r="A157" s="4" t="inlineStr">
        <is>
          <t>样品费</t>
        </is>
      </c>
      <c r="D157" s="7" t="n">
        <v>810.8</v>
      </c>
      <c r="F157" s="7" t="n">
        <v>1718.8</v>
      </c>
      <c r="H157" s="7" t="n">
        <v>2358.9</v>
      </c>
      <c r="J157" s="7" t="n">
        <v>483.3</v>
      </c>
      <c r="L157" s="7" t="n">
        <v>1026.9</v>
      </c>
      <c r="N157" s="7" t="n">
        <v>1380.2</v>
      </c>
      <c r="P157" s="7" t="n">
        <v>1238.4</v>
      </c>
      <c r="R157" s="7" t="n">
        <v>2143.6</v>
      </c>
      <c r="T157" s="7" t="n">
        <v>0</v>
      </c>
      <c r="V157" s="7" t="n">
        <v>4918.6</v>
      </c>
      <c r="X157" s="7" t="n">
        <v>1410.1</v>
      </c>
      <c r="Z157" s="7" t="n">
        <v>115.8</v>
      </c>
      <c r="AB157" s="7" t="n">
        <v>17605.4</v>
      </c>
    </row>
    <row r="158">
      <c r="A158" s="4" t="inlineStr">
        <is>
          <t>劳务费</t>
        </is>
      </c>
      <c r="D158" s="7" t="n">
        <v>180.2</v>
      </c>
      <c r="F158" s="7" t="n">
        <v>363.7</v>
      </c>
      <c r="H158" s="7" t="n">
        <v>317.8</v>
      </c>
      <c r="J158" s="7" t="n">
        <v>75.09999999999999</v>
      </c>
      <c r="L158" s="7" t="n">
        <v>223.6</v>
      </c>
      <c r="N158" s="7" t="n">
        <v>195.6</v>
      </c>
      <c r="P158" s="7" t="n">
        <v>155.9</v>
      </c>
      <c r="R158" s="7" t="n">
        <v>242.8</v>
      </c>
      <c r="T158" s="7" t="n">
        <v>0</v>
      </c>
      <c r="V158" s="7" t="n">
        <v>1035.9</v>
      </c>
      <c r="X158" s="7" t="n">
        <v>370.3</v>
      </c>
      <c r="Z158" s="7" t="n">
        <v>14.7</v>
      </c>
      <c r="AB158" s="7" t="n">
        <v>3175.6</v>
      </c>
    </row>
    <row r="159">
      <c r="A159" s="4" t="inlineStr">
        <is>
          <t>销售佣金</t>
        </is>
      </c>
      <c r="D159" s="7" t="n">
        <v>279.9</v>
      </c>
      <c r="F159" s="7" t="n">
        <v>649.5</v>
      </c>
      <c r="H159" s="7" t="n">
        <v>523.5</v>
      </c>
      <c r="J159" s="7" t="n">
        <v>138</v>
      </c>
      <c r="L159" s="7" t="n">
        <v>330.7</v>
      </c>
      <c r="N159" s="7" t="n">
        <v>436.2</v>
      </c>
      <c r="P159" s="7" t="n">
        <v>392.3</v>
      </c>
      <c r="R159" s="7" t="n">
        <v>695.3</v>
      </c>
      <c r="T159" s="7" t="n">
        <v>0</v>
      </c>
      <c r="V159" s="7" t="n">
        <v>1251.1</v>
      </c>
      <c r="X159" s="7" t="n">
        <v>468.9</v>
      </c>
      <c r="Z159" s="7" t="n">
        <v>33.8</v>
      </c>
      <c r="AB159" s="7" t="n">
        <v>5199.2</v>
      </c>
    </row>
    <row r="160">
      <c r="A160" s="4" t="inlineStr">
        <is>
          <t>检测费</t>
        </is>
      </c>
      <c r="D160" s="7" t="n">
        <v>131.7</v>
      </c>
      <c r="F160" s="7" t="n">
        <v>210.3</v>
      </c>
      <c r="H160" s="7" t="n">
        <v>273.8</v>
      </c>
      <c r="J160" s="7" t="n">
        <v>80.5</v>
      </c>
      <c r="L160" s="7" t="n">
        <v>224.1</v>
      </c>
      <c r="N160" s="7" t="n">
        <v>197.4</v>
      </c>
      <c r="P160" s="7" t="n">
        <v>146.6</v>
      </c>
      <c r="R160" s="7" t="n">
        <v>277.7</v>
      </c>
      <c r="T160" s="7" t="n">
        <v>0</v>
      </c>
      <c r="V160" s="7" t="n">
        <v>857.4</v>
      </c>
      <c r="X160" s="7" t="n">
        <v>313.4</v>
      </c>
      <c r="Z160" s="7" t="n">
        <v>11.7</v>
      </c>
      <c r="AB160" s="7" t="n">
        <v>2724.6</v>
      </c>
    </row>
    <row r="161">
      <c r="A161" s="4" t="inlineStr">
        <is>
          <t>质量赔偿</t>
        </is>
      </c>
      <c r="D161" s="7" t="n">
        <v>157.3</v>
      </c>
      <c r="F161" s="7" t="n">
        <v>307.8</v>
      </c>
      <c r="H161" s="7" t="n">
        <v>501.6</v>
      </c>
      <c r="J161" s="7" t="n">
        <v>126.7</v>
      </c>
      <c r="L161" s="7" t="n">
        <v>252.5</v>
      </c>
      <c r="N161" s="7" t="n">
        <v>307.2</v>
      </c>
      <c r="P161" s="7" t="n">
        <v>266.6</v>
      </c>
      <c r="R161" s="7" t="n">
        <v>401.2</v>
      </c>
      <c r="T161" s="7" t="n">
        <v>0</v>
      </c>
      <c r="V161" s="7" t="n">
        <v>1245.4</v>
      </c>
      <c r="X161" s="7" t="n">
        <v>394.9</v>
      </c>
      <c r="Z161" s="7" t="n">
        <v>30.5</v>
      </c>
      <c r="AB161" s="7" t="n">
        <v>3991.7</v>
      </c>
    </row>
    <row r="162">
      <c r="A162" s="4" t="inlineStr">
        <is>
          <t>保险费</t>
        </is>
      </c>
      <c r="D162" s="7" t="n">
        <v>180.9</v>
      </c>
      <c r="F162" s="7" t="n">
        <v>367</v>
      </c>
      <c r="H162" s="7" t="n">
        <v>231.3</v>
      </c>
      <c r="J162" s="7" t="n">
        <v>72.8</v>
      </c>
      <c r="L162" s="7" t="n">
        <v>220.4</v>
      </c>
      <c r="N162" s="7" t="n">
        <v>134.9</v>
      </c>
      <c r="P162" s="7" t="n">
        <v>145.7</v>
      </c>
      <c r="R162" s="7" t="n">
        <v>193.2</v>
      </c>
      <c r="T162" s="7" t="n">
        <v>0</v>
      </c>
      <c r="V162" s="7" t="n">
        <v>735.2</v>
      </c>
      <c r="X162" s="7" t="n">
        <v>330.9</v>
      </c>
      <c r="Z162" s="7" t="n">
        <v>18.5</v>
      </c>
      <c r="AB162" s="7" t="n">
        <v>2630.8</v>
      </c>
    </row>
    <row r="163">
      <c r="A163" s="4" t="inlineStr">
        <is>
          <t>清洁费</t>
        </is>
      </c>
      <c r="D163" s="7" t="n">
        <v>45.6</v>
      </c>
      <c r="F163" s="7" t="n">
        <v>133.2</v>
      </c>
      <c r="H163" s="7" t="n">
        <v>103.3</v>
      </c>
      <c r="J163" s="7" t="n">
        <v>36.6</v>
      </c>
      <c r="L163" s="7" t="n">
        <v>99.7</v>
      </c>
      <c r="N163" s="7" t="n">
        <v>88.7</v>
      </c>
      <c r="P163" s="7" t="n">
        <v>91.40000000000001</v>
      </c>
      <c r="R163" s="7" t="n">
        <v>87.7</v>
      </c>
      <c r="T163" s="7" t="n">
        <v>0</v>
      </c>
      <c r="V163" s="7" t="n">
        <v>236.1</v>
      </c>
      <c r="X163" s="7" t="n">
        <v>141.2</v>
      </c>
      <c r="Z163" s="7" t="n">
        <v>5.4</v>
      </c>
      <c r="AB163" s="7" t="n">
        <v>1068.9</v>
      </c>
    </row>
    <row r="164">
      <c r="A164" s="4" t="inlineStr">
        <is>
          <t>低值易耗品</t>
        </is>
      </c>
      <c r="D164" s="7" t="n">
        <v>115.7</v>
      </c>
      <c r="F164" s="7" t="n">
        <v>246.6</v>
      </c>
      <c r="H164" s="7" t="n">
        <v>186.9</v>
      </c>
      <c r="J164" s="7" t="n">
        <v>45.8</v>
      </c>
      <c r="L164" s="7" t="n">
        <v>116.7</v>
      </c>
      <c r="N164" s="7" t="n">
        <v>133</v>
      </c>
      <c r="P164" s="7" t="n">
        <v>112.4</v>
      </c>
      <c r="R164" s="7" t="n">
        <v>241.3</v>
      </c>
      <c r="T164" s="7" t="n">
        <v>0</v>
      </c>
      <c r="V164" s="7" t="n">
        <v>734.6</v>
      </c>
      <c r="X164" s="7" t="n">
        <v>275.7</v>
      </c>
      <c r="Z164" s="7" t="n">
        <v>13.2</v>
      </c>
      <c r="AB164" s="7" t="n">
        <v>2221.9</v>
      </c>
    </row>
    <row r="165">
      <c r="A165" s="4" t="inlineStr">
        <is>
          <t>物料消耗</t>
        </is>
      </c>
      <c r="D165" s="7" t="n">
        <v>113.7</v>
      </c>
      <c r="F165" s="7" t="n">
        <v>286.4</v>
      </c>
      <c r="H165" s="7" t="n">
        <v>307.9</v>
      </c>
      <c r="J165" s="7" t="n">
        <v>84.90000000000001</v>
      </c>
      <c r="L165" s="7" t="n">
        <v>260.1</v>
      </c>
      <c r="N165" s="7" t="n">
        <v>165</v>
      </c>
      <c r="P165" s="7" t="n">
        <v>223.7</v>
      </c>
      <c r="R165" s="7" t="n">
        <v>224.7</v>
      </c>
      <c r="T165" s="7" t="n">
        <v>0</v>
      </c>
      <c r="V165" s="7" t="n">
        <v>709.7</v>
      </c>
      <c r="X165" s="7" t="n">
        <v>219.2</v>
      </c>
      <c r="Z165" s="7" t="n">
        <v>19.6</v>
      </c>
      <c r="AB165" s="7" t="n">
        <v>2614.9</v>
      </c>
    </row>
    <row r="166">
      <c r="A166" s="4" t="inlineStr">
        <is>
          <t>盘盈盘亏</t>
        </is>
      </c>
      <c r="D166" s="7" t="n">
        <v>314.7</v>
      </c>
      <c r="F166" s="7" t="n">
        <v>628.2</v>
      </c>
      <c r="H166" s="7" t="n">
        <v>473.3</v>
      </c>
      <c r="J166" s="7" t="n">
        <v>112.9</v>
      </c>
      <c r="L166" s="7" t="n">
        <v>507.1</v>
      </c>
      <c r="N166" s="7" t="n">
        <v>265.7</v>
      </c>
      <c r="P166" s="7" t="n">
        <v>271.7</v>
      </c>
      <c r="R166" s="7" t="n">
        <v>435.9</v>
      </c>
      <c r="T166" s="7" t="n">
        <v>0</v>
      </c>
      <c r="V166" s="7" t="n">
        <v>1283.8</v>
      </c>
      <c r="X166" s="7" t="n">
        <v>435.6</v>
      </c>
      <c r="Z166" s="7" t="n">
        <v>30.5</v>
      </c>
      <c r="AB166" s="7" t="n">
        <v>4759.4</v>
      </c>
    </row>
    <row r="167">
      <c r="A167" s="4" t="inlineStr">
        <is>
          <t>平台服务费</t>
        </is>
      </c>
      <c r="D167" s="7" t="n">
        <v>197.5</v>
      </c>
      <c r="F167" s="7" t="n">
        <v>452.5</v>
      </c>
      <c r="H167" s="7" t="n">
        <v>449.6</v>
      </c>
      <c r="J167" s="7" t="n">
        <v>90.7</v>
      </c>
      <c r="L167" s="7" t="n">
        <v>260</v>
      </c>
      <c r="N167" s="7" t="n">
        <v>193.5</v>
      </c>
      <c r="P167" s="7" t="n">
        <v>260.4</v>
      </c>
      <c r="R167" s="7" t="n">
        <v>443.7</v>
      </c>
      <c r="T167" s="7" t="n">
        <v>0</v>
      </c>
      <c r="V167" s="7" t="n">
        <v>981.2</v>
      </c>
      <c r="X167" s="7" t="n">
        <v>496.6</v>
      </c>
      <c r="Z167" s="7" t="n">
        <v>30.5</v>
      </c>
      <c r="AB167" s="7" t="n">
        <v>3856.2</v>
      </c>
    </row>
    <row r="168">
      <c r="A168" s="4" t="inlineStr">
        <is>
          <t>无形资产摊销</t>
        </is>
      </c>
      <c r="D168" s="7" t="n">
        <v>197.3</v>
      </c>
      <c r="F168" s="7" t="n">
        <v>263.2</v>
      </c>
      <c r="H168" s="7" t="n">
        <v>293</v>
      </c>
      <c r="J168" s="7" t="n">
        <v>71</v>
      </c>
      <c r="L168" s="7" t="n">
        <v>205.6</v>
      </c>
      <c r="N168" s="7" t="n">
        <v>259.5</v>
      </c>
      <c r="P168" s="7" t="n">
        <v>245.9</v>
      </c>
      <c r="R168" s="7" t="n">
        <v>243.6</v>
      </c>
      <c r="T168" s="7" t="n">
        <v>0</v>
      </c>
      <c r="V168" s="7" t="n">
        <v>1065.8</v>
      </c>
      <c r="X168" s="7" t="n">
        <v>283.7</v>
      </c>
      <c r="Z168" s="7" t="n">
        <v>26.9</v>
      </c>
      <c r="AB168" s="7" t="n">
        <v>3155.5</v>
      </c>
    </row>
    <row r="169">
      <c r="A169" s="4" t="inlineStr">
        <is>
          <t>研发材料</t>
        </is>
      </c>
      <c r="D169" s="7" t="n">
        <v>44.1</v>
      </c>
      <c r="F169" s="7" t="n">
        <v>129.4</v>
      </c>
      <c r="H169" s="7" t="n">
        <v>119.7</v>
      </c>
      <c r="J169" s="7" t="n">
        <v>27.8</v>
      </c>
      <c r="L169" s="7" t="n">
        <v>106.4</v>
      </c>
      <c r="N169" s="7" t="n">
        <v>58</v>
      </c>
      <c r="P169" s="7" t="n">
        <v>78.90000000000001</v>
      </c>
      <c r="R169" s="7" t="n">
        <v>89</v>
      </c>
      <c r="T169" s="7" t="n">
        <v>0</v>
      </c>
      <c r="V169" s="7" t="n">
        <v>340.1</v>
      </c>
      <c r="X169" s="7" t="n">
        <v>89.59999999999999</v>
      </c>
      <c r="Z169" s="7" t="n">
        <v>6.8</v>
      </c>
      <c r="AB169" s="7" t="n">
        <v>1089.8</v>
      </c>
    </row>
    <row r="170">
      <c r="A170" s="4" t="inlineStr">
        <is>
          <t>项目名称</t>
        </is>
      </c>
      <c r="D170" s="7" t="n">
        <v>35.1</v>
      </c>
      <c r="F170" s="7" t="n">
        <v>70.3</v>
      </c>
      <c r="H170" s="7" t="n">
        <v>61.4</v>
      </c>
      <c r="J170" s="7" t="n">
        <v>14.9</v>
      </c>
      <c r="L170" s="7" t="n">
        <v>41.7</v>
      </c>
      <c r="N170" s="7" t="n">
        <v>42.7</v>
      </c>
      <c r="P170" s="7" t="n">
        <v>43.8</v>
      </c>
      <c r="R170" s="7" t="n">
        <v>58.6</v>
      </c>
      <c r="T170" s="7" t="n">
        <v>0</v>
      </c>
      <c r="V170" s="7" t="n">
        <v>196.2</v>
      </c>
      <c r="X170" s="7" t="n">
        <v>69.59999999999999</v>
      </c>
      <c r="Z170" s="7" t="n">
        <v>5.3</v>
      </c>
      <c r="AB170" s="7" t="n">
        <v>639.6</v>
      </c>
    </row>
    <row r="171">
      <c r="A171" s="4" t="inlineStr">
        <is>
          <t>研发费</t>
        </is>
      </c>
      <c r="D171" s="7" t="n">
        <v>52.9</v>
      </c>
      <c r="F171" s="7" t="n">
        <v>99.90000000000001</v>
      </c>
      <c r="H171" s="7" t="n">
        <v>124.3</v>
      </c>
      <c r="J171" s="7" t="n">
        <v>28.1</v>
      </c>
      <c r="L171" s="7" t="n">
        <v>75.59999999999999</v>
      </c>
      <c r="N171" s="7" t="n">
        <v>75.90000000000001</v>
      </c>
      <c r="P171" s="7" t="n">
        <v>103.5</v>
      </c>
      <c r="R171" s="7" t="n">
        <v>149.3</v>
      </c>
      <c r="T171" s="7" t="n">
        <v>0</v>
      </c>
      <c r="V171" s="7" t="n">
        <v>302.3</v>
      </c>
      <c r="X171" s="7" t="n">
        <v>163.9</v>
      </c>
      <c r="Z171" s="7" t="n">
        <v>11.4</v>
      </c>
      <c r="AB171" s="7" t="n">
        <v>1187.1</v>
      </c>
    </row>
    <row r="172">
      <c r="A172" s="4" t="inlineStr">
        <is>
          <t>残保金</t>
        </is>
      </c>
      <c r="D172" s="7" t="n">
        <v>72.7</v>
      </c>
      <c r="F172" s="7" t="n">
        <v>198.2</v>
      </c>
      <c r="H172" s="7" t="n">
        <v>160.5</v>
      </c>
      <c r="J172" s="7" t="n">
        <v>40.6</v>
      </c>
      <c r="L172" s="7" t="n">
        <v>128.5</v>
      </c>
      <c r="N172" s="7" t="n">
        <v>126.5</v>
      </c>
      <c r="P172" s="7" t="n">
        <v>89.3</v>
      </c>
      <c r="R172" s="7" t="n">
        <v>161.8</v>
      </c>
      <c r="T172" s="7" t="n">
        <v>0</v>
      </c>
      <c r="V172" s="7" t="n">
        <v>478.7</v>
      </c>
      <c r="X172" s="7" t="n">
        <v>155</v>
      </c>
      <c r="Z172" s="7" t="n">
        <v>14.1</v>
      </c>
      <c r="AB172" s="7" t="n">
        <v>1625.9</v>
      </c>
    </row>
    <row r="173">
      <c r="A173" s="4" t="inlineStr">
        <is>
          <t>环保费</t>
        </is>
      </c>
      <c r="D173" s="7" t="n">
        <v>69.8</v>
      </c>
      <c r="F173" s="7" t="n">
        <v>111.6</v>
      </c>
      <c r="H173" s="7" t="n">
        <v>127.6</v>
      </c>
      <c r="J173" s="7" t="n">
        <v>51.3</v>
      </c>
      <c r="L173" s="7" t="n">
        <v>84.8</v>
      </c>
      <c r="N173" s="7" t="n">
        <v>69.8</v>
      </c>
      <c r="P173" s="7" t="n">
        <v>103.3</v>
      </c>
      <c r="R173" s="7" t="n">
        <v>129.3</v>
      </c>
      <c r="T173" s="7" t="n">
        <v>0</v>
      </c>
      <c r="V173" s="7" t="n">
        <v>370.6</v>
      </c>
      <c r="X173" s="7" t="n">
        <v>116.5</v>
      </c>
      <c r="Z173" s="7" t="n">
        <v>11.2</v>
      </c>
      <c r="AB173" s="7" t="n">
        <v>1245.8</v>
      </c>
    </row>
    <row r="174">
      <c r="A174" s="4" t="inlineStr">
        <is>
          <t>报废损失</t>
        </is>
      </c>
      <c r="D174" s="7" t="n">
        <v>296.5</v>
      </c>
      <c r="F174" s="7" t="n">
        <v>689.6</v>
      </c>
      <c r="H174" s="7" t="n">
        <v>589.8</v>
      </c>
      <c r="J174" s="7" t="n">
        <v>146.7</v>
      </c>
      <c r="L174" s="7" t="n">
        <v>327.8</v>
      </c>
      <c r="N174" s="7" t="n">
        <v>270.1</v>
      </c>
      <c r="P174" s="7" t="n">
        <v>447</v>
      </c>
      <c r="R174" s="7" t="n">
        <v>534.2</v>
      </c>
      <c r="T174" s="7" t="n">
        <v>0</v>
      </c>
      <c r="V174" s="7" t="n">
        <v>1854.4</v>
      </c>
      <c r="X174" s="7" t="n">
        <v>566.7</v>
      </c>
      <c r="Z174" s="7" t="n">
        <v>28.9</v>
      </c>
      <c r="AB174" s="7" t="n">
        <v>5751.7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37088.1</v>
      </c>
      <c r="D175" s="7" t="n">
        <v>17612.2</v>
      </c>
      <c r="E175" s="7" t="n">
        <v>38984.8</v>
      </c>
      <c r="F175" s="7" t="n">
        <v>18844.4</v>
      </c>
      <c r="G175" s="7" t="n">
        <v>37761.8</v>
      </c>
      <c r="H175" s="7" t="n">
        <v>33360.1</v>
      </c>
      <c r="I175" s="7" t="n">
        <v>38624.6</v>
      </c>
      <c r="J175" s="7" t="n">
        <v>21985.1</v>
      </c>
      <c r="K175" s="7" t="n">
        <v>39097.8</v>
      </c>
      <c r="L175" s="7" t="n">
        <v>50435.6</v>
      </c>
      <c r="M175" s="7" t="n">
        <v>35890.6</v>
      </c>
      <c r="N175" s="7" t="n">
        <v>48221.8</v>
      </c>
      <c r="O175" s="7" t="n">
        <v>30835.4</v>
      </c>
      <c r="P175" s="7" t="n">
        <v>83314.5</v>
      </c>
      <c r="Q175" s="7" t="n">
        <v>36833</v>
      </c>
      <c r="R175" s="7" t="n">
        <v>43481.3</v>
      </c>
      <c r="S175" s="7" t="n">
        <v>37277.1</v>
      </c>
      <c r="T175" s="7" t="n">
        <v>0</v>
      </c>
      <c r="U175" s="7" t="n">
        <v>29872.1</v>
      </c>
      <c r="V175" s="7" t="n">
        <v>75635.39999999999</v>
      </c>
      <c r="W175" s="7" t="n">
        <v>39898.1</v>
      </c>
      <c r="X175" s="7" t="n">
        <v>23861.4</v>
      </c>
      <c r="Y175" s="7" t="n">
        <v>38617.3</v>
      </c>
      <c r="Z175" s="7" t="n">
        <v>1909.8</v>
      </c>
      <c r="AA175" s="8" t="n">
        <v>440780.7</v>
      </c>
      <c r="AB175" s="8" t="n">
        <v>418661.6</v>
      </c>
    </row>
    <row r="176">
      <c r="A176" s="4" t="inlineStr">
        <is>
          <t>职工薪酬</t>
        </is>
      </c>
      <c r="D176" s="7" t="n">
        <v>10333.1</v>
      </c>
      <c r="F176" s="7" t="n">
        <v>9915.200000000001</v>
      </c>
      <c r="H176" s="7" t="n">
        <v>19391.2</v>
      </c>
      <c r="J176" s="7" t="n">
        <v>11634.7</v>
      </c>
      <c r="L176" s="7" t="n">
        <v>31260.9</v>
      </c>
      <c r="N176" s="7" t="n">
        <v>25552.3</v>
      </c>
      <c r="P176" s="7" t="n">
        <v>38911.9</v>
      </c>
      <c r="R176" s="7" t="n">
        <v>25002.1</v>
      </c>
      <c r="T176" s="7" t="n">
        <v>0</v>
      </c>
      <c r="V176" s="7" t="n">
        <v>35262.7</v>
      </c>
      <c r="X176" s="7" t="n">
        <v>12159.6</v>
      </c>
      <c r="Z176" s="7" t="n">
        <v>1149.7</v>
      </c>
      <c r="AB176" s="7" t="n">
        <v>220573.4</v>
      </c>
    </row>
    <row r="177">
      <c r="A177" s="4" t="inlineStr">
        <is>
          <t>工资</t>
        </is>
      </c>
      <c r="D177" s="7" t="n">
        <v>6479.3</v>
      </c>
      <c r="F177" s="7" t="n">
        <v>6259.8</v>
      </c>
      <c r="H177" s="7" t="n">
        <v>12405.3</v>
      </c>
      <c r="J177" s="7" t="n">
        <v>6394.8</v>
      </c>
      <c r="L177" s="7" t="n">
        <v>19291.4</v>
      </c>
      <c r="N177" s="7" t="n">
        <v>14700.1</v>
      </c>
      <c r="P177" s="7" t="n">
        <v>21474.8</v>
      </c>
      <c r="R177" s="7" t="n">
        <v>14445.9</v>
      </c>
      <c r="T177" s="7" t="n">
        <v>0</v>
      </c>
      <c r="V177" s="7" t="n">
        <v>21207</v>
      </c>
      <c r="X177" s="7" t="n">
        <v>6803.2</v>
      </c>
      <c r="Z177" s="7" t="n">
        <v>742.7</v>
      </c>
      <c r="AB177" s="7" t="n">
        <v>130204.3</v>
      </c>
    </row>
    <row r="178">
      <c r="A178" s="4" t="inlineStr">
        <is>
          <t>奖金及提成</t>
        </is>
      </c>
      <c r="D178" s="7" t="n">
        <v>1559.7</v>
      </c>
      <c r="F178" s="7" t="n">
        <v>1365.6</v>
      </c>
      <c r="H178" s="7" t="n">
        <v>3376.2</v>
      </c>
      <c r="J178" s="7" t="n">
        <v>1991.8</v>
      </c>
      <c r="L178" s="7" t="n">
        <v>5383.6</v>
      </c>
      <c r="N178" s="7" t="n">
        <v>4629.7</v>
      </c>
      <c r="P178" s="7" t="n">
        <v>8106.6</v>
      </c>
      <c r="R178" s="7" t="n">
        <v>5569.5</v>
      </c>
      <c r="T178" s="7" t="n">
        <v>0</v>
      </c>
      <c r="V178" s="7" t="n">
        <v>6603.3</v>
      </c>
      <c r="X178" s="7" t="n">
        <v>3058.3</v>
      </c>
      <c r="Z178" s="7" t="n">
        <v>190.9</v>
      </c>
      <c r="AB178" s="7" t="n">
        <v>41835.2</v>
      </c>
    </row>
    <row r="179">
      <c r="A179" s="4" t="inlineStr">
        <is>
          <t>社保</t>
        </is>
      </c>
      <c r="D179" s="7" t="n">
        <v>1565.8</v>
      </c>
      <c r="F179" s="7" t="n">
        <v>1477.1</v>
      </c>
      <c r="H179" s="7" t="n">
        <v>2108.7</v>
      </c>
      <c r="J179" s="7" t="n">
        <v>2251.3</v>
      </c>
      <c r="L179" s="7" t="n">
        <v>4334.5</v>
      </c>
      <c r="N179" s="7" t="n">
        <v>4238.1</v>
      </c>
      <c r="P179" s="7" t="n">
        <v>5879.9</v>
      </c>
      <c r="R179" s="7" t="n">
        <v>3036.6</v>
      </c>
      <c r="T179" s="7" t="n">
        <v>0</v>
      </c>
      <c r="V179" s="7" t="n">
        <v>4292.2</v>
      </c>
      <c r="X179" s="7" t="n">
        <v>1383.1</v>
      </c>
      <c r="Z179" s="7" t="n">
        <v>132.9</v>
      </c>
      <c r="AB179" s="7" t="n">
        <v>30700.2</v>
      </c>
    </row>
    <row r="180">
      <c r="A180" s="4" t="inlineStr">
        <is>
          <t>养老</t>
        </is>
      </c>
      <c r="D180" s="7" t="n">
        <v>50.1</v>
      </c>
      <c r="F180" s="7" t="n">
        <v>64.7</v>
      </c>
      <c r="H180" s="7" t="n">
        <v>124.3</v>
      </c>
      <c r="J180" s="7" t="n">
        <v>93.7</v>
      </c>
      <c r="L180" s="7" t="n">
        <v>137.4</v>
      </c>
      <c r="N180" s="7" t="n">
        <v>159.6</v>
      </c>
      <c r="P180" s="7" t="n">
        <v>294.9</v>
      </c>
      <c r="R180" s="7" t="n">
        <v>147.1</v>
      </c>
      <c r="T180" s="7" t="n">
        <v>0</v>
      </c>
      <c r="V180" s="7" t="n">
        <v>323.3</v>
      </c>
      <c r="X180" s="7" t="n">
        <v>107.8</v>
      </c>
      <c r="Z180" s="7" t="n">
        <v>5.9</v>
      </c>
      <c r="AB180" s="7" t="n">
        <v>1508.8</v>
      </c>
    </row>
    <row r="181">
      <c r="A181" s="4" t="inlineStr">
        <is>
          <t>医疗</t>
        </is>
      </c>
      <c r="D181" s="7" t="n">
        <v>8.6</v>
      </c>
      <c r="F181" s="7" t="n">
        <v>13.8</v>
      </c>
      <c r="H181" s="7" t="n">
        <v>15.4</v>
      </c>
      <c r="J181" s="7" t="n">
        <v>13</v>
      </c>
      <c r="L181" s="7" t="n">
        <v>21.3</v>
      </c>
      <c r="N181" s="7" t="n">
        <v>22.6</v>
      </c>
      <c r="P181" s="7" t="n">
        <v>46.2</v>
      </c>
      <c r="R181" s="7" t="n">
        <v>22.4</v>
      </c>
      <c r="T181" s="7" t="n">
        <v>0</v>
      </c>
      <c r="V181" s="7" t="n">
        <v>46.2</v>
      </c>
      <c r="X181" s="7" t="n">
        <v>12.8</v>
      </c>
      <c r="Z181" s="7" t="n">
        <v>1.4</v>
      </c>
      <c r="AB181" s="7" t="n">
        <v>223.7</v>
      </c>
    </row>
    <row r="182">
      <c r="A182" s="4" t="inlineStr">
        <is>
          <t>工伤</t>
        </is>
      </c>
      <c r="D182" s="7" t="n">
        <v>9.699999999999999</v>
      </c>
      <c r="F182" s="7" t="n">
        <v>10.7</v>
      </c>
      <c r="H182" s="7" t="n">
        <v>19</v>
      </c>
      <c r="J182" s="7" t="n">
        <v>14.7</v>
      </c>
      <c r="L182" s="7" t="n">
        <v>35.9</v>
      </c>
      <c r="N182" s="7" t="n">
        <v>27.7</v>
      </c>
      <c r="P182" s="7" t="n">
        <v>56.1</v>
      </c>
      <c r="R182" s="7" t="n">
        <v>31.1</v>
      </c>
      <c r="T182" s="7" t="n">
        <v>0</v>
      </c>
      <c r="V182" s="7" t="n">
        <v>38</v>
      </c>
      <c r="X182" s="7" t="n">
        <v>15.9</v>
      </c>
      <c r="Z182" s="7" t="n">
        <v>1.1</v>
      </c>
      <c r="AB182" s="7" t="n">
        <v>259.9</v>
      </c>
    </row>
    <row r="183">
      <c r="A183" s="4" t="inlineStr">
        <is>
          <t>失业</t>
        </is>
      </c>
      <c r="D183" s="7" t="n">
        <v>10.3</v>
      </c>
      <c r="F183" s="7" t="n">
        <v>11.4</v>
      </c>
      <c r="H183" s="7" t="n">
        <v>19.2</v>
      </c>
      <c r="J183" s="7" t="n">
        <v>11.4</v>
      </c>
      <c r="L183" s="7" t="n">
        <v>34.7</v>
      </c>
      <c r="N183" s="7" t="n">
        <v>26</v>
      </c>
      <c r="P183" s="7" t="n">
        <v>36.6</v>
      </c>
      <c r="R183" s="7" t="n">
        <v>23.6</v>
      </c>
      <c r="T183" s="7" t="n">
        <v>0</v>
      </c>
      <c r="V183" s="7" t="n">
        <v>53.5</v>
      </c>
      <c r="X183" s="7" t="n">
        <v>15.1</v>
      </c>
      <c r="Z183" s="7" t="n">
        <v>1.1</v>
      </c>
      <c r="AB183" s="7" t="n">
        <v>242.9</v>
      </c>
    </row>
    <row r="184">
      <c r="A184" s="4" t="inlineStr">
        <is>
          <t>生育</t>
        </is>
      </c>
      <c r="D184" s="7" t="n">
        <v>47</v>
      </c>
      <c r="F184" s="7" t="n">
        <v>50</v>
      </c>
      <c r="H184" s="7" t="n">
        <v>67</v>
      </c>
      <c r="J184" s="7" t="n">
        <v>63.8</v>
      </c>
      <c r="L184" s="7" t="n">
        <v>180.3</v>
      </c>
      <c r="N184" s="7" t="n">
        <v>128.8</v>
      </c>
      <c r="P184" s="7" t="n">
        <v>269.5</v>
      </c>
      <c r="R184" s="7" t="n">
        <v>130.4</v>
      </c>
      <c r="T184" s="7" t="n">
        <v>0</v>
      </c>
      <c r="V184" s="7" t="n">
        <v>179.4</v>
      </c>
      <c r="X184" s="7" t="n">
        <v>67.40000000000001</v>
      </c>
      <c r="Z184" s="7" t="n">
        <v>4.2</v>
      </c>
      <c r="AB184" s="7" t="n">
        <v>1187.8</v>
      </c>
    </row>
    <row r="185">
      <c r="A185" s="4" t="inlineStr">
        <is>
          <t>公积金</t>
        </is>
      </c>
      <c r="D185" s="7" t="n">
        <v>65.2</v>
      </c>
      <c r="F185" s="7" t="n">
        <v>58.8</v>
      </c>
      <c r="H185" s="7" t="n">
        <v>137</v>
      </c>
      <c r="J185" s="7" t="n">
        <v>73.3</v>
      </c>
      <c r="L185" s="7" t="n">
        <v>169.2</v>
      </c>
      <c r="N185" s="7" t="n">
        <v>120.9</v>
      </c>
      <c r="P185" s="7" t="n">
        <v>351.6</v>
      </c>
      <c r="R185" s="7" t="n">
        <v>189.7</v>
      </c>
      <c r="T185" s="7" t="n">
        <v>0</v>
      </c>
      <c r="V185" s="7" t="n">
        <v>197.4</v>
      </c>
      <c r="X185" s="7" t="n">
        <v>62.3</v>
      </c>
      <c r="Z185" s="7" t="n">
        <v>8.199999999999999</v>
      </c>
      <c r="AB185" s="7" t="n">
        <v>1433.6</v>
      </c>
    </row>
    <row r="186">
      <c r="A186" s="4" t="inlineStr">
        <is>
          <t>工会经费</t>
        </is>
      </c>
      <c r="D186" s="7" t="n">
        <v>67.59999999999999</v>
      </c>
      <c r="F186" s="7" t="n">
        <v>60.9</v>
      </c>
      <c r="H186" s="7" t="n">
        <v>124.3</v>
      </c>
      <c r="J186" s="7" t="n">
        <v>92.59999999999999</v>
      </c>
      <c r="L186" s="7" t="n">
        <v>193.2</v>
      </c>
      <c r="N186" s="7" t="n">
        <v>151.4</v>
      </c>
      <c r="P186" s="7" t="n">
        <v>406.3</v>
      </c>
      <c r="R186" s="7" t="n">
        <v>204.7</v>
      </c>
      <c r="T186" s="7" t="n">
        <v>0</v>
      </c>
      <c r="V186" s="7" t="n">
        <v>235.9</v>
      </c>
      <c r="X186" s="7" t="n">
        <v>83.7</v>
      </c>
      <c r="Z186" s="7" t="n">
        <v>6.4</v>
      </c>
      <c r="AB186" s="7" t="n">
        <v>1627</v>
      </c>
    </row>
    <row r="187">
      <c r="A187" s="4" t="inlineStr">
        <is>
          <t>职工教育经费</t>
        </is>
      </c>
      <c r="D187" s="7" t="n">
        <v>85.3</v>
      </c>
      <c r="F187" s="7" t="n">
        <v>76.3</v>
      </c>
      <c r="H187" s="7" t="n">
        <v>179</v>
      </c>
      <c r="J187" s="7" t="n">
        <v>129.3</v>
      </c>
      <c r="L187" s="7" t="n">
        <v>215.6</v>
      </c>
      <c r="N187" s="7" t="n">
        <v>207.6</v>
      </c>
      <c r="P187" s="7" t="n">
        <v>523.2</v>
      </c>
      <c r="R187" s="7" t="n">
        <v>148.6</v>
      </c>
      <c r="T187" s="7" t="n">
        <v>0</v>
      </c>
      <c r="V187" s="7" t="n">
        <v>408.6</v>
      </c>
      <c r="X187" s="7" t="n">
        <v>89.09999999999999</v>
      </c>
      <c r="Z187" s="7" t="n">
        <v>6.5</v>
      </c>
      <c r="AB187" s="7" t="n">
        <v>2069.1</v>
      </c>
    </row>
    <row r="188">
      <c r="A188" s="4" t="inlineStr">
        <is>
          <t>福利费</t>
        </is>
      </c>
      <c r="D188" s="7" t="n">
        <v>510.2</v>
      </c>
      <c r="F188" s="7" t="n">
        <v>616.7</v>
      </c>
      <c r="H188" s="7" t="n">
        <v>1060.7</v>
      </c>
      <c r="J188" s="7" t="n">
        <v>701.6</v>
      </c>
      <c r="L188" s="7" t="n">
        <v>1673.4</v>
      </c>
      <c r="N188" s="7" t="n">
        <v>1504.5</v>
      </c>
      <c r="P188" s="7" t="n">
        <v>2169.5</v>
      </c>
      <c r="R188" s="7" t="n">
        <v>1407.1</v>
      </c>
      <c r="T188" s="7" t="n">
        <v>0</v>
      </c>
      <c r="V188" s="7" t="n">
        <v>2318.3</v>
      </c>
      <c r="X188" s="7" t="n">
        <v>679.9</v>
      </c>
      <c r="Z188" s="7" t="n">
        <v>62.1</v>
      </c>
      <c r="AB188" s="7" t="n">
        <v>12704</v>
      </c>
    </row>
    <row r="189">
      <c r="A189" s="4" t="inlineStr">
        <is>
          <t>职工房租</t>
        </is>
      </c>
      <c r="D189" s="7" t="n">
        <v>99.90000000000001</v>
      </c>
      <c r="F189" s="7" t="n">
        <v>124.1</v>
      </c>
      <c r="H189" s="7" t="n">
        <v>204.2</v>
      </c>
      <c r="J189" s="7" t="n">
        <v>147.5</v>
      </c>
      <c r="L189" s="7" t="n">
        <v>297.9</v>
      </c>
      <c r="N189" s="7" t="n">
        <v>255.4</v>
      </c>
      <c r="P189" s="7" t="n">
        <v>497.4</v>
      </c>
      <c r="R189" s="7" t="n">
        <v>194.6</v>
      </c>
      <c r="T189" s="7" t="n">
        <v>0</v>
      </c>
      <c r="V189" s="7" t="n">
        <v>456.9</v>
      </c>
      <c r="X189" s="7" t="n">
        <v>105.7</v>
      </c>
      <c r="Z189" s="7" t="n">
        <v>12.1</v>
      </c>
      <c r="AB189" s="7" t="n">
        <v>2395.7</v>
      </c>
    </row>
    <row r="190">
      <c r="A190" s="4" t="inlineStr">
        <is>
          <t>水电物业费</t>
        </is>
      </c>
      <c r="D190" s="7" t="n">
        <v>62.2</v>
      </c>
      <c r="F190" s="7" t="n">
        <v>59</v>
      </c>
      <c r="H190" s="7" t="n">
        <v>131.6</v>
      </c>
      <c r="J190" s="7" t="n">
        <v>100.5</v>
      </c>
      <c r="L190" s="7" t="n">
        <v>180</v>
      </c>
      <c r="N190" s="7" t="n">
        <v>190.3</v>
      </c>
      <c r="P190" s="7" t="n">
        <v>279.2</v>
      </c>
      <c r="R190" s="7" t="n">
        <v>174.4</v>
      </c>
      <c r="T190" s="7" t="n">
        <v>0</v>
      </c>
      <c r="V190" s="7" t="n">
        <v>257.6</v>
      </c>
      <c r="X190" s="7" t="n">
        <v>81.7</v>
      </c>
      <c r="Z190" s="7" t="n">
        <v>4.9</v>
      </c>
      <c r="AB190" s="7" t="n">
        <v>1521.4</v>
      </c>
    </row>
    <row r="191">
      <c r="A191" s="4" t="inlineStr">
        <is>
          <t>员工餐</t>
        </is>
      </c>
      <c r="D191" s="7" t="n">
        <v>54.8</v>
      </c>
      <c r="F191" s="7" t="n">
        <v>39.9</v>
      </c>
      <c r="H191" s="7" t="n">
        <v>88.2</v>
      </c>
      <c r="J191" s="7" t="n">
        <v>71.59999999999999</v>
      </c>
      <c r="L191" s="7" t="n">
        <v>186.8</v>
      </c>
      <c r="N191" s="7" t="n">
        <v>154.9</v>
      </c>
      <c r="P191" s="7" t="n">
        <v>181.2</v>
      </c>
      <c r="R191" s="7" t="n">
        <v>162.2</v>
      </c>
      <c r="T191" s="7" t="n">
        <v>0</v>
      </c>
      <c r="V191" s="7" t="n">
        <v>222.3</v>
      </c>
      <c r="X191" s="7" t="n">
        <v>81.09999999999999</v>
      </c>
      <c r="Z191" s="7" t="n">
        <v>5</v>
      </c>
      <c r="AB191" s="7" t="n">
        <v>1248</v>
      </c>
    </row>
    <row r="192">
      <c r="A192" s="4" t="inlineStr">
        <is>
          <t>节日礼品</t>
        </is>
      </c>
      <c r="D192" s="7" t="n">
        <v>103.7</v>
      </c>
      <c r="F192" s="7" t="n">
        <v>147.2</v>
      </c>
      <c r="H192" s="7" t="n">
        <v>215.2</v>
      </c>
      <c r="J192" s="7" t="n">
        <v>128.7</v>
      </c>
      <c r="L192" s="7" t="n">
        <v>364.9</v>
      </c>
      <c r="N192" s="7" t="n">
        <v>290.1</v>
      </c>
      <c r="P192" s="7" t="n">
        <v>395.6</v>
      </c>
      <c r="R192" s="7" t="n">
        <v>306.1</v>
      </c>
      <c r="T192" s="7" t="n">
        <v>0</v>
      </c>
      <c r="V192" s="7" t="n">
        <v>551</v>
      </c>
      <c r="X192" s="7" t="n">
        <v>138.8</v>
      </c>
      <c r="Z192" s="7" t="n">
        <v>13.9</v>
      </c>
      <c r="AB192" s="7" t="n">
        <v>2655.2</v>
      </c>
    </row>
    <row r="193">
      <c r="A193" s="4" t="inlineStr">
        <is>
          <t>生日礼品</t>
        </is>
      </c>
      <c r="D193" s="7" t="n">
        <v>78.8</v>
      </c>
      <c r="F193" s="7" t="n">
        <v>112.5</v>
      </c>
      <c r="H193" s="7" t="n">
        <v>151.7</v>
      </c>
      <c r="J193" s="7" t="n">
        <v>106.2</v>
      </c>
      <c r="L193" s="7" t="n">
        <v>325.1</v>
      </c>
      <c r="N193" s="7" t="n">
        <v>270.4</v>
      </c>
      <c r="P193" s="7" t="n">
        <v>398</v>
      </c>
      <c r="R193" s="7" t="n">
        <v>220.5</v>
      </c>
      <c r="T193" s="7" t="n">
        <v>0</v>
      </c>
      <c r="V193" s="7" t="n">
        <v>408</v>
      </c>
      <c r="X193" s="7" t="n">
        <v>154.7</v>
      </c>
      <c r="Z193" s="7" t="n">
        <v>11.5</v>
      </c>
      <c r="AB193" s="7" t="n">
        <v>2237.4</v>
      </c>
    </row>
    <row r="194">
      <c r="A194" s="4" t="inlineStr">
        <is>
          <t>体检</t>
        </is>
      </c>
      <c r="D194" s="7" t="n">
        <v>47.2</v>
      </c>
      <c r="F194" s="7" t="n">
        <v>58.1</v>
      </c>
      <c r="H194" s="7" t="n">
        <v>146.3</v>
      </c>
      <c r="J194" s="7" t="n">
        <v>68.8</v>
      </c>
      <c r="L194" s="7" t="n">
        <v>186</v>
      </c>
      <c r="N194" s="7" t="n">
        <v>156.6</v>
      </c>
      <c r="P194" s="7" t="n">
        <v>208.7</v>
      </c>
      <c r="R194" s="7" t="n">
        <v>181.5</v>
      </c>
      <c r="T194" s="7" t="n">
        <v>0</v>
      </c>
      <c r="V194" s="7" t="n">
        <v>197.5</v>
      </c>
      <c r="X194" s="7" t="n">
        <v>62.8</v>
      </c>
      <c r="Z194" s="7" t="n">
        <v>8.300000000000001</v>
      </c>
      <c r="AB194" s="7" t="n">
        <v>1321.8</v>
      </c>
    </row>
    <row r="195">
      <c r="A195" s="4" t="inlineStr">
        <is>
          <t>其他福利支出</t>
        </is>
      </c>
      <c r="D195" s="7" t="n">
        <v>63.6</v>
      </c>
      <c r="F195" s="7" t="n">
        <v>75.90000000000001</v>
      </c>
      <c r="H195" s="7" t="n">
        <v>123.5</v>
      </c>
      <c r="J195" s="7" t="n">
        <v>78.3</v>
      </c>
      <c r="L195" s="7" t="n">
        <v>132.7</v>
      </c>
      <c r="N195" s="7" t="n">
        <v>186.8</v>
      </c>
      <c r="P195" s="7" t="n">
        <v>209.4</v>
      </c>
      <c r="R195" s="7" t="n">
        <v>167.8</v>
      </c>
      <c r="T195" s="7" t="n">
        <v>0</v>
      </c>
      <c r="V195" s="7" t="n">
        <v>225</v>
      </c>
      <c r="X195" s="7" t="n">
        <v>55.1</v>
      </c>
      <c r="Z195" s="7" t="n">
        <v>6.4</v>
      </c>
      <c r="AB195" s="7" t="n">
        <v>1324.5</v>
      </c>
    </row>
    <row r="196">
      <c r="A196" s="4" t="inlineStr">
        <is>
          <t>招聘费</t>
        </is>
      </c>
      <c r="D196" s="7" t="n">
        <v>16</v>
      </c>
      <c r="F196" s="7" t="n">
        <v>10.5</v>
      </c>
      <c r="H196" s="7" t="n">
        <v>29</v>
      </c>
      <c r="J196" s="7" t="n">
        <v>17.6</v>
      </c>
      <c r="L196" s="7" t="n">
        <v>45.6</v>
      </c>
      <c r="N196" s="7" t="n">
        <v>45.4</v>
      </c>
      <c r="P196" s="7" t="n">
        <v>55.8</v>
      </c>
      <c r="R196" s="7" t="n">
        <v>36.5</v>
      </c>
      <c r="T196" s="7" t="n">
        <v>0</v>
      </c>
      <c r="V196" s="7" t="n">
        <v>73.40000000000001</v>
      </c>
      <c r="X196" s="7" t="n">
        <v>18.7</v>
      </c>
      <c r="Z196" s="7" t="n">
        <v>1.2</v>
      </c>
      <c r="AB196" s="7" t="n">
        <v>349.7</v>
      </c>
    </row>
    <row r="197">
      <c r="A197" s="4" t="inlineStr">
        <is>
          <t>办公费</t>
        </is>
      </c>
      <c r="D197" s="7" t="n">
        <v>449.9</v>
      </c>
      <c r="F197" s="7" t="n">
        <v>544.1</v>
      </c>
      <c r="H197" s="7" t="n">
        <v>872.4</v>
      </c>
      <c r="J197" s="7" t="n">
        <v>541.3</v>
      </c>
      <c r="L197" s="7" t="n">
        <v>1206.3</v>
      </c>
      <c r="N197" s="7" t="n">
        <v>1719.1</v>
      </c>
      <c r="P197" s="7" t="n">
        <v>2962.3</v>
      </c>
      <c r="R197" s="7" t="n">
        <v>1063.6</v>
      </c>
      <c r="T197" s="7" t="n">
        <v>0</v>
      </c>
      <c r="V197" s="7" t="n">
        <v>2444.8</v>
      </c>
      <c r="X197" s="7" t="n">
        <v>788.3</v>
      </c>
      <c r="Z197" s="7" t="n">
        <v>47.1</v>
      </c>
      <c r="AB197" s="7" t="n">
        <v>12639.2</v>
      </c>
    </row>
    <row r="198">
      <c r="A198" s="4" t="inlineStr">
        <is>
          <t>市内交通费</t>
        </is>
      </c>
      <c r="D198" s="7" t="n">
        <v>115.6</v>
      </c>
      <c r="F198" s="7" t="n">
        <v>91.7</v>
      </c>
      <c r="H198" s="7" t="n">
        <v>167.4</v>
      </c>
      <c r="J198" s="7" t="n">
        <v>120</v>
      </c>
      <c r="L198" s="7" t="n">
        <v>199.1</v>
      </c>
      <c r="N198" s="7" t="n">
        <v>207.8</v>
      </c>
      <c r="P198" s="7" t="n">
        <v>503.6</v>
      </c>
      <c r="R198" s="7" t="n">
        <v>287.9</v>
      </c>
      <c r="T198" s="7" t="n">
        <v>0</v>
      </c>
      <c r="V198" s="7" t="n">
        <v>400.8</v>
      </c>
      <c r="X198" s="7" t="n">
        <v>152</v>
      </c>
      <c r="Z198" s="7" t="n">
        <v>10.6</v>
      </c>
      <c r="AB198" s="7" t="n">
        <v>2256.5</v>
      </c>
    </row>
    <row r="199">
      <c r="A199" s="4" t="inlineStr">
        <is>
          <t>差旅费</t>
        </is>
      </c>
      <c r="D199" s="7" t="n">
        <v>1040.1</v>
      </c>
      <c r="F199" s="7" t="n">
        <v>1030.3</v>
      </c>
      <c r="H199" s="7" t="n">
        <v>2143.9</v>
      </c>
      <c r="J199" s="7" t="n">
        <v>1365.6</v>
      </c>
      <c r="L199" s="7" t="n">
        <v>2368.6</v>
      </c>
      <c r="N199" s="7" t="n">
        <v>2141.9</v>
      </c>
      <c r="P199" s="7" t="n">
        <v>4781.5</v>
      </c>
      <c r="R199" s="7" t="n">
        <v>2415</v>
      </c>
      <c r="T199" s="7" t="n">
        <v>0</v>
      </c>
      <c r="V199" s="7" t="n">
        <v>3389.5</v>
      </c>
      <c r="X199" s="7" t="n">
        <v>1674.3</v>
      </c>
      <c r="Z199" s="7" t="n">
        <v>100.7</v>
      </c>
      <c r="AB199" s="7" t="n">
        <v>22451.4</v>
      </c>
    </row>
    <row r="200">
      <c r="A200" s="4" t="inlineStr">
        <is>
          <t>交通费</t>
        </is>
      </c>
      <c r="D200" s="7" t="n">
        <v>11.4</v>
      </c>
      <c r="F200" s="7" t="n">
        <v>15.5</v>
      </c>
      <c r="H200" s="7" t="n">
        <v>23.2</v>
      </c>
      <c r="J200" s="7" t="n">
        <v>14.2</v>
      </c>
      <c r="L200" s="7" t="n">
        <v>49.3</v>
      </c>
      <c r="N200" s="7" t="n">
        <v>46.7</v>
      </c>
      <c r="P200" s="7" t="n">
        <v>54.8</v>
      </c>
      <c r="R200" s="7" t="n">
        <v>37.7</v>
      </c>
      <c r="T200" s="7" t="n">
        <v>0</v>
      </c>
      <c r="V200" s="7" t="n">
        <v>71.5</v>
      </c>
      <c r="X200" s="7" t="n">
        <v>23.6</v>
      </c>
      <c r="Z200" s="7" t="n">
        <v>1.1</v>
      </c>
      <c r="AB200" s="7" t="n">
        <v>349</v>
      </c>
    </row>
    <row r="201">
      <c r="A201" s="4" t="inlineStr">
        <is>
          <t>住宿费</t>
        </is>
      </c>
      <c r="D201" s="7" t="n">
        <v>80.5</v>
      </c>
      <c r="F201" s="7" t="n">
        <v>89.5</v>
      </c>
      <c r="H201" s="7" t="n">
        <v>125.9</v>
      </c>
      <c r="J201" s="7" t="n">
        <v>77.90000000000001</v>
      </c>
      <c r="L201" s="7" t="n">
        <v>139.7</v>
      </c>
      <c r="N201" s="7" t="n">
        <v>203.5</v>
      </c>
      <c r="P201" s="7" t="n">
        <v>240.9</v>
      </c>
      <c r="R201" s="7" t="n">
        <v>161.2</v>
      </c>
      <c r="T201" s="7" t="n">
        <v>0</v>
      </c>
      <c r="V201" s="7" t="n">
        <v>244.8</v>
      </c>
      <c r="X201" s="7" t="n">
        <v>64.59999999999999</v>
      </c>
      <c r="Z201" s="7" t="n">
        <v>6.5</v>
      </c>
      <c r="AB201" s="7" t="n">
        <v>1435</v>
      </c>
    </row>
    <row r="202">
      <c r="A202" s="4" t="inlineStr">
        <is>
          <t>餐补</t>
        </is>
      </c>
      <c r="D202" s="7" t="n">
        <v>27.1</v>
      </c>
      <c r="F202" s="7" t="n">
        <v>37.4</v>
      </c>
      <c r="H202" s="7" t="n">
        <v>44.7</v>
      </c>
      <c r="J202" s="7" t="n">
        <v>38.7</v>
      </c>
      <c r="L202" s="7" t="n">
        <v>98.40000000000001</v>
      </c>
      <c r="N202" s="7" t="n">
        <v>103.5</v>
      </c>
      <c r="P202" s="7" t="n">
        <v>156.5</v>
      </c>
      <c r="R202" s="7" t="n">
        <v>91.3</v>
      </c>
      <c r="T202" s="7" t="n">
        <v>0</v>
      </c>
      <c r="V202" s="7" t="n">
        <v>96.2</v>
      </c>
      <c r="X202" s="7" t="n">
        <v>51.8</v>
      </c>
      <c r="Z202" s="7" t="n">
        <v>4.1</v>
      </c>
      <c r="AB202" s="7" t="n">
        <v>749.7</v>
      </c>
    </row>
    <row r="203">
      <c r="A203" s="4" t="inlineStr">
        <is>
          <t>交通补助</t>
        </is>
      </c>
      <c r="D203" s="7" t="n">
        <v>94.09999999999999</v>
      </c>
      <c r="F203" s="7" t="n">
        <v>62.7</v>
      </c>
      <c r="H203" s="7" t="n">
        <v>198.2</v>
      </c>
      <c r="J203" s="7" t="n">
        <v>128.7</v>
      </c>
      <c r="L203" s="7" t="n">
        <v>246.2</v>
      </c>
      <c r="N203" s="7" t="n">
        <v>237.3</v>
      </c>
      <c r="P203" s="7" t="n">
        <v>287.5</v>
      </c>
      <c r="R203" s="7" t="n">
        <v>206.7</v>
      </c>
      <c r="T203" s="7" t="n">
        <v>0</v>
      </c>
      <c r="V203" s="7" t="n">
        <v>300.7</v>
      </c>
      <c r="X203" s="7" t="n">
        <v>79.8</v>
      </c>
      <c r="Z203" s="7" t="n">
        <v>6.4</v>
      </c>
      <c r="AB203" s="7" t="n">
        <v>1848.3</v>
      </c>
    </row>
    <row r="204">
      <c r="A204" s="4" t="inlineStr">
        <is>
          <t>通讯补助</t>
        </is>
      </c>
      <c r="D204" s="7" t="n">
        <v>63.9</v>
      </c>
      <c r="F204" s="7" t="n">
        <v>60.1</v>
      </c>
      <c r="H204" s="7" t="n">
        <v>97.90000000000001</v>
      </c>
      <c r="J204" s="7" t="n">
        <v>88.5</v>
      </c>
      <c r="L204" s="7" t="n">
        <v>215.4</v>
      </c>
      <c r="N204" s="7" t="n">
        <v>114.4</v>
      </c>
      <c r="P204" s="7" t="n">
        <v>203.3</v>
      </c>
      <c r="R204" s="7" t="n">
        <v>168.5</v>
      </c>
      <c r="T204" s="7" t="n">
        <v>0</v>
      </c>
      <c r="V204" s="7" t="n">
        <v>256.9</v>
      </c>
      <c r="X204" s="7" t="n">
        <v>96.59999999999999</v>
      </c>
      <c r="Z204" s="7" t="n">
        <v>7.1</v>
      </c>
      <c r="AB204" s="7" t="n">
        <v>1372.6</v>
      </c>
    </row>
    <row r="205">
      <c r="A205" s="4" t="inlineStr">
        <is>
          <t>招待费</t>
        </is>
      </c>
      <c r="D205" s="7" t="n">
        <v>805.1</v>
      </c>
      <c r="F205" s="7" t="n">
        <v>777.5</v>
      </c>
      <c r="H205" s="7" t="n">
        <v>975.8</v>
      </c>
      <c r="J205" s="7" t="n">
        <v>1019.6</v>
      </c>
      <c r="L205" s="7" t="n">
        <v>2254</v>
      </c>
      <c r="N205" s="7" t="n">
        <v>1847.5</v>
      </c>
      <c r="P205" s="7" t="n">
        <v>3186.3</v>
      </c>
      <c r="R205" s="7" t="n">
        <v>1361.2</v>
      </c>
      <c r="T205" s="7" t="n">
        <v>0</v>
      </c>
      <c r="V205" s="7" t="n">
        <v>3746.3</v>
      </c>
      <c r="X205" s="7" t="n">
        <v>1230.8</v>
      </c>
      <c r="Z205" s="7" t="n">
        <v>70.3</v>
      </c>
      <c r="AB205" s="7" t="n">
        <v>17274.4</v>
      </c>
    </row>
    <row r="206">
      <c r="A206" s="4" t="inlineStr">
        <is>
          <t>通讯费</t>
        </is>
      </c>
      <c r="D206" s="7" t="n">
        <v>21.5</v>
      </c>
      <c r="F206" s="7" t="n">
        <v>17.6</v>
      </c>
      <c r="H206" s="7" t="n">
        <v>35.6</v>
      </c>
      <c r="J206" s="7" t="n">
        <v>29.4</v>
      </c>
      <c r="L206" s="7" t="n">
        <v>53.6</v>
      </c>
      <c r="N206" s="7" t="n">
        <v>70.3</v>
      </c>
      <c r="P206" s="7" t="n">
        <v>130.4</v>
      </c>
      <c r="R206" s="7" t="n">
        <v>64.90000000000001</v>
      </c>
      <c r="T206" s="7" t="n">
        <v>0</v>
      </c>
      <c r="V206" s="7" t="n">
        <v>124.3</v>
      </c>
      <c r="X206" s="7" t="n">
        <v>21.5</v>
      </c>
      <c r="Z206" s="7" t="n">
        <v>2.7</v>
      </c>
      <c r="AB206" s="7" t="n">
        <v>571.8</v>
      </c>
    </row>
    <row r="207">
      <c r="A207" s="4" t="inlineStr">
        <is>
          <t>网络费</t>
        </is>
      </c>
      <c r="D207" s="7" t="n">
        <v>70</v>
      </c>
      <c r="F207" s="7" t="n">
        <v>77.90000000000001</v>
      </c>
      <c r="H207" s="7" t="n">
        <v>143.7</v>
      </c>
      <c r="J207" s="7" t="n">
        <v>85.09999999999999</v>
      </c>
      <c r="L207" s="7" t="n">
        <v>244.5</v>
      </c>
      <c r="N207" s="7" t="n">
        <v>280.9</v>
      </c>
      <c r="P207" s="7" t="n">
        <v>375.8</v>
      </c>
      <c r="R207" s="7" t="n">
        <v>202.8</v>
      </c>
      <c r="T207" s="7" t="n">
        <v>0</v>
      </c>
      <c r="V207" s="7" t="n">
        <v>397.9</v>
      </c>
      <c r="X207" s="7" t="n">
        <v>98.3</v>
      </c>
      <c r="Z207" s="7" t="n">
        <v>7.6</v>
      </c>
      <c r="AB207" s="7" t="n">
        <v>1984.5</v>
      </c>
    </row>
    <row r="208">
      <c r="A208" s="4" t="inlineStr">
        <is>
          <t>修理费</t>
        </is>
      </c>
      <c r="D208" s="7" t="n">
        <v>29.7</v>
      </c>
      <c r="F208" s="7" t="n">
        <v>30.8</v>
      </c>
      <c r="H208" s="7" t="n">
        <v>62.5</v>
      </c>
      <c r="J208" s="7" t="n">
        <v>33</v>
      </c>
      <c r="L208" s="7" t="n">
        <v>103.4</v>
      </c>
      <c r="N208" s="7" t="n">
        <v>65.8</v>
      </c>
      <c r="P208" s="7" t="n">
        <v>154.2</v>
      </c>
      <c r="R208" s="7" t="n">
        <v>90.2</v>
      </c>
      <c r="T208" s="7" t="n">
        <v>0</v>
      </c>
      <c r="V208" s="7" t="n">
        <v>108.7</v>
      </c>
      <c r="X208" s="7" t="n">
        <v>42.8</v>
      </c>
      <c r="Z208" s="7" t="n">
        <v>3.2</v>
      </c>
      <c r="AB208" s="7" t="n">
        <v>724.3</v>
      </c>
    </row>
    <row r="209">
      <c r="A209" s="4" t="inlineStr">
        <is>
          <t>车辆费</t>
        </is>
      </c>
      <c r="D209" s="7" t="n">
        <v>34.6</v>
      </c>
      <c r="F209" s="7" t="n">
        <v>33.1</v>
      </c>
      <c r="H209" s="7" t="n">
        <v>42.9</v>
      </c>
      <c r="J209" s="7" t="n">
        <v>47.8</v>
      </c>
      <c r="L209" s="7" t="n">
        <v>99.40000000000001</v>
      </c>
      <c r="N209" s="7" t="n">
        <v>90.8</v>
      </c>
      <c r="P209" s="7" t="n">
        <v>126.8</v>
      </c>
      <c r="R209" s="7" t="n">
        <v>62.7</v>
      </c>
      <c r="T209" s="7" t="n">
        <v>0</v>
      </c>
      <c r="V209" s="7" t="n">
        <v>170.6</v>
      </c>
      <c r="X209" s="7" t="n">
        <v>35.1</v>
      </c>
      <c r="Z209" s="7" t="n">
        <v>3.8</v>
      </c>
      <c r="AB209" s="7" t="n">
        <v>747.6</v>
      </c>
    </row>
    <row r="210">
      <c r="A210" s="4" t="inlineStr">
        <is>
          <t>租赁费</t>
        </is>
      </c>
      <c r="D210" s="7" t="n">
        <v>727.8</v>
      </c>
      <c r="F210" s="7" t="n">
        <v>870.1</v>
      </c>
      <c r="H210" s="7" t="n">
        <v>1984.6</v>
      </c>
      <c r="J210" s="7" t="n">
        <v>863.1</v>
      </c>
      <c r="L210" s="7" t="n">
        <v>3244.9</v>
      </c>
      <c r="N210" s="7" t="n">
        <v>2698</v>
      </c>
      <c r="P210" s="7" t="n">
        <v>4540.4</v>
      </c>
      <c r="R210" s="7" t="n">
        <v>2113.8</v>
      </c>
      <c r="T210" s="7" t="n">
        <v>0</v>
      </c>
      <c r="V210" s="7" t="n">
        <v>3779.3</v>
      </c>
      <c r="X210" s="7" t="n">
        <v>859.3</v>
      </c>
      <c r="Z210" s="7" t="n">
        <v>82.8</v>
      </c>
      <c r="AB210" s="7" t="n">
        <v>21764.1</v>
      </c>
    </row>
    <row r="211">
      <c r="A211" s="4" t="inlineStr">
        <is>
          <t>能源费</t>
        </is>
      </c>
      <c r="D211" s="7" t="n">
        <v>222.7</v>
      </c>
      <c r="F211" s="7" t="n">
        <v>239</v>
      </c>
      <c r="H211" s="7" t="n">
        <v>443.6</v>
      </c>
      <c r="J211" s="7" t="n">
        <v>290.3</v>
      </c>
      <c r="L211" s="7" t="n">
        <v>633.8</v>
      </c>
      <c r="N211" s="7" t="n">
        <v>649</v>
      </c>
      <c r="P211" s="7" t="n">
        <v>1053.9</v>
      </c>
      <c r="R211" s="7" t="n">
        <v>566.9</v>
      </c>
      <c r="T211" s="7" t="n">
        <v>0</v>
      </c>
      <c r="V211" s="7" t="n">
        <v>1168.1</v>
      </c>
      <c r="X211" s="7" t="n">
        <v>316.3</v>
      </c>
      <c r="Z211" s="7" t="n">
        <v>22.7</v>
      </c>
      <c r="AB211" s="7" t="n">
        <v>5606.3</v>
      </c>
    </row>
    <row r="212">
      <c r="A212" s="4" t="inlineStr">
        <is>
          <t>水费</t>
        </is>
      </c>
      <c r="D212" s="7" t="n">
        <v>5.3</v>
      </c>
      <c r="F212" s="7" t="n">
        <v>6.6</v>
      </c>
      <c r="H212" s="7" t="n">
        <v>10.4</v>
      </c>
      <c r="J212" s="7" t="n">
        <v>5.4</v>
      </c>
      <c r="L212" s="7" t="n">
        <v>18.4</v>
      </c>
      <c r="N212" s="7" t="n">
        <v>20.4</v>
      </c>
      <c r="P212" s="7" t="n">
        <v>35.8</v>
      </c>
      <c r="R212" s="7" t="n">
        <v>18.5</v>
      </c>
      <c r="T212" s="7" t="n">
        <v>0</v>
      </c>
      <c r="V212" s="7" t="n">
        <v>27.3</v>
      </c>
      <c r="X212" s="7" t="n">
        <v>9.4</v>
      </c>
      <c r="Z212" s="7" t="n">
        <v>0.6</v>
      </c>
      <c r="AB212" s="7" t="n">
        <v>158.1</v>
      </c>
    </row>
    <row r="213">
      <c r="A213" s="4" t="inlineStr">
        <is>
          <t>电费</t>
        </is>
      </c>
      <c r="D213" s="7" t="n">
        <v>92</v>
      </c>
      <c r="F213" s="7" t="n">
        <v>98</v>
      </c>
      <c r="H213" s="7" t="n">
        <v>206.3</v>
      </c>
      <c r="J213" s="7" t="n">
        <v>136.4</v>
      </c>
      <c r="L213" s="7" t="n">
        <v>201.4</v>
      </c>
      <c r="N213" s="7" t="n">
        <v>200.7</v>
      </c>
      <c r="P213" s="7" t="n">
        <v>422.6</v>
      </c>
      <c r="R213" s="7" t="n">
        <v>267.8</v>
      </c>
      <c r="T213" s="7" t="n">
        <v>0</v>
      </c>
      <c r="V213" s="7" t="n">
        <v>499.7</v>
      </c>
      <c r="X213" s="7" t="n">
        <v>163.8</v>
      </c>
      <c r="Z213" s="7" t="n">
        <v>10.2</v>
      </c>
      <c r="AB213" s="7" t="n">
        <v>2298.9</v>
      </c>
    </row>
    <row r="214">
      <c r="A214" s="4" t="inlineStr">
        <is>
          <t>燃气费</t>
        </is>
      </c>
      <c r="D214" s="7" t="n">
        <v>68.8</v>
      </c>
      <c r="F214" s="7" t="n">
        <v>71.59999999999999</v>
      </c>
      <c r="H214" s="7" t="n">
        <v>99.90000000000001</v>
      </c>
      <c r="J214" s="7" t="n">
        <v>76.7</v>
      </c>
      <c r="L214" s="7" t="n">
        <v>217.3</v>
      </c>
      <c r="N214" s="7" t="n">
        <v>227.2</v>
      </c>
      <c r="P214" s="7" t="n">
        <v>243.7</v>
      </c>
      <c r="R214" s="7" t="n">
        <v>115.8</v>
      </c>
      <c r="T214" s="7" t="n">
        <v>0</v>
      </c>
      <c r="V214" s="7" t="n">
        <v>360.8</v>
      </c>
      <c r="X214" s="7" t="n">
        <v>67.3</v>
      </c>
      <c r="Z214" s="7" t="n">
        <v>6.1</v>
      </c>
      <c r="AB214" s="7" t="n">
        <v>1555.2</v>
      </c>
    </row>
    <row r="215">
      <c r="A215" s="4" t="inlineStr">
        <is>
          <t>蒸汽费</t>
        </is>
      </c>
      <c r="D215" s="7" t="n">
        <v>56.6</v>
      </c>
      <c r="F215" s="7" t="n">
        <v>62.8</v>
      </c>
      <c r="H215" s="7" t="n">
        <v>127</v>
      </c>
      <c r="J215" s="7" t="n">
        <v>71.8</v>
      </c>
      <c r="L215" s="7" t="n">
        <v>196.7</v>
      </c>
      <c r="N215" s="7" t="n">
        <v>200.7</v>
      </c>
      <c r="P215" s="7" t="n">
        <v>351.8</v>
      </c>
      <c r="R215" s="7" t="n">
        <v>164.8</v>
      </c>
      <c r="T215" s="7" t="n">
        <v>0</v>
      </c>
      <c r="V215" s="7" t="n">
        <v>280.3</v>
      </c>
      <c r="X215" s="7" t="n">
        <v>75.8</v>
      </c>
      <c r="Z215" s="7" t="n">
        <v>5.8</v>
      </c>
      <c r="AB215" s="7" t="n">
        <v>1594.1</v>
      </c>
    </row>
    <row r="216">
      <c r="A216" s="4" t="inlineStr">
        <is>
          <t>物业费</t>
        </is>
      </c>
      <c r="D216" s="7" t="n">
        <v>20.2</v>
      </c>
      <c r="F216" s="7" t="n">
        <v>21.3</v>
      </c>
      <c r="H216" s="7" t="n">
        <v>38.3</v>
      </c>
      <c r="J216" s="7" t="n">
        <v>33</v>
      </c>
      <c r="L216" s="7" t="n">
        <v>58.4</v>
      </c>
      <c r="N216" s="7" t="n">
        <v>68.2</v>
      </c>
      <c r="P216" s="7" t="n">
        <v>81.09999999999999</v>
      </c>
      <c r="R216" s="7" t="n">
        <v>37.5</v>
      </c>
      <c r="T216" s="7" t="n">
        <v>0</v>
      </c>
      <c r="V216" s="7" t="n">
        <v>76.8</v>
      </c>
      <c r="X216" s="7" t="n">
        <v>29.8</v>
      </c>
      <c r="Z216" s="7" t="n">
        <v>2</v>
      </c>
      <c r="AB216" s="7" t="n">
        <v>466.6</v>
      </c>
    </row>
    <row r="217">
      <c r="A217" s="4" t="inlineStr">
        <is>
          <t>劳动保护费</t>
        </is>
      </c>
      <c r="D217" s="7" t="n">
        <v>6</v>
      </c>
      <c r="F217" s="7" t="n">
        <v>9.199999999999999</v>
      </c>
      <c r="H217" s="7" t="n">
        <v>12.1</v>
      </c>
      <c r="J217" s="7" t="n">
        <v>11.3</v>
      </c>
      <c r="L217" s="7" t="n">
        <v>16.4</v>
      </c>
      <c r="N217" s="7" t="n">
        <v>21.8</v>
      </c>
      <c r="P217" s="7" t="n">
        <v>27.6</v>
      </c>
      <c r="R217" s="7" t="n">
        <v>19.6</v>
      </c>
      <c r="T217" s="7" t="n">
        <v>0</v>
      </c>
      <c r="V217" s="7" t="n">
        <v>24.4</v>
      </c>
      <c r="X217" s="7" t="n">
        <v>7.2</v>
      </c>
      <c r="Z217" s="7" t="n">
        <v>0.9</v>
      </c>
      <c r="AB217" s="7" t="n">
        <v>156.5</v>
      </c>
    </row>
    <row r="218">
      <c r="A218" s="4" t="inlineStr">
        <is>
          <t>顾问费</t>
        </is>
      </c>
      <c r="D218" s="7" t="n">
        <v>104.2</v>
      </c>
      <c r="F218" s="7" t="n">
        <v>77.09999999999999</v>
      </c>
      <c r="H218" s="7" t="n">
        <v>212.8</v>
      </c>
      <c r="J218" s="7" t="n">
        <v>91.40000000000001</v>
      </c>
      <c r="L218" s="7" t="n">
        <v>321.3</v>
      </c>
      <c r="N218" s="7" t="n">
        <v>232.8</v>
      </c>
      <c r="P218" s="7" t="n">
        <v>401.7</v>
      </c>
      <c r="R218" s="7" t="n">
        <v>271.6</v>
      </c>
      <c r="T218" s="7" t="n">
        <v>0</v>
      </c>
      <c r="V218" s="7" t="n">
        <v>389.3</v>
      </c>
      <c r="X218" s="7" t="n">
        <v>152.3</v>
      </c>
      <c r="Z218" s="7" t="n">
        <v>11.4</v>
      </c>
      <c r="AB218" s="7" t="n">
        <v>2265.9</v>
      </c>
    </row>
    <row r="219">
      <c r="A219" s="4" t="inlineStr">
        <is>
          <t>快递费</t>
        </is>
      </c>
      <c r="D219" s="7" t="n">
        <v>30.2</v>
      </c>
      <c r="F219" s="7" t="n">
        <v>41.8</v>
      </c>
      <c r="H219" s="7" t="n">
        <v>77</v>
      </c>
      <c r="J219" s="7" t="n">
        <v>42.5</v>
      </c>
      <c r="L219" s="7" t="n">
        <v>103.6</v>
      </c>
      <c r="N219" s="7" t="n">
        <v>102.1</v>
      </c>
      <c r="P219" s="7" t="n">
        <v>228.1</v>
      </c>
      <c r="R219" s="7" t="n">
        <v>94.7</v>
      </c>
      <c r="T219" s="7" t="n">
        <v>0</v>
      </c>
      <c r="V219" s="7" t="n">
        <v>212.6</v>
      </c>
      <c r="X219" s="7" t="n">
        <v>43</v>
      </c>
      <c r="Z219" s="7" t="n">
        <v>3.9</v>
      </c>
      <c r="AB219" s="7" t="n">
        <v>979.5</v>
      </c>
    </row>
    <row r="220">
      <c r="A220" s="4" t="inlineStr">
        <is>
          <t>诉讼费</t>
        </is>
      </c>
      <c r="D220" s="7" t="n">
        <v>82</v>
      </c>
      <c r="F220" s="7" t="n">
        <v>92</v>
      </c>
      <c r="H220" s="7" t="n">
        <v>188.1</v>
      </c>
      <c r="J220" s="7" t="n">
        <v>111.6</v>
      </c>
      <c r="L220" s="7" t="n">
        <v>334.7</v>
      </c>
      <c r="N220" s="7" t="n">
        <v>267.5</v>
      </c>
      <c r="P220" s="7" t="n">
        <v>342.8</v>
      </c>
      <c r="R220" s="7" t="n">
        <v>163.3</v>
      </c>
      <c r="T220" s="7" t="n">
        <v>0</v>
      </c>
      <c r="V220" s="7" t="n">
        <v>487.5</v>
      </c>
      <c r="X220" s="7" t="n">
        <v>88.2</v>
      </c>
      <c r="Z220" s="7" t="n">
        <v>10.5</v>
      </c>
      <c r="AB220" s="7" t="n">
        <v>2168.2</v>
      </c>
    </row>
    <row r="221">
      <c r="A221" s="4" t="inlineStr">
        <is>
          <t>会员费</t>
        </is>
      </c>
      <c r="D221" s="7" t="n">
        <v>93.90000000000001</v>
      </c>
      <c r="F221" s="7" t="n">
        <v>116.7</v>
      </c>
      <c r="H221" s="7" t="n">
        <v>177.6</v>
      </c>
      <c r="J221" s="7" t="n">
        <v>122.2</v>
      </c>
      <c r="L221" s="7" t="n">
        <v>242.2</v>
      </c>
      <c r="N221" s="7" t="n">
        <v>211.8</v>
      </c>
      <c r="P221" s="7" t="n">
        <v>529</v>
      </c>
      <c r="R221" s="7" t="n">
        <v>165.8</v>
      </c>
      <c r="T221" s="7" t="n">
        <v>0</v>
      </c>
      <c r="V221" s="7" t="n">
        <v>372.2</v>
      </c>
      <c r="X221" s="7" t="n">
        <v>164.2</v>
      </c>
      <c r="Z221" s="7" t="n">
        <v>7.6</v>
      </c>
      <c r="AB221" s="7" t="n">
        <v>2203.2</v>
      </c>
    </row>
    <row r="222">
      <c r="A222" s="4" t="inlineStr">
        <is>
          <t>广告宣传费</t>
        </is>
      </c>
      <c r="D222" s="7" t="n">
        <v>394.4</v>
      </c>
      <c r="F222" s="7" t="n">
        <v>713.1</v>
      </c>
      <c r="H222" s="7" t="n">
        <v>835.4</v>
      </c>
      <c r="J222" s="7" t="n">
        <v>660.9</v>
      </c>
      <c r="L222" s="7" t="n">
        <v>1580.6</v>
      </c>
      <c r="N222" s="7" t="n">
        <v>1488.5</v>
      </c>
      <c r="P222" s="7" t="n">
        <v>2376.6</v>
      </c>
      <c r="R222" s="7" t="n">
        <v>1486.8</v>
      </c>
      <c r="T222" s="7" t="n">
        <v>0</v>
      </c>
      <c r="V222" s="7" t="n">
        <v>2306.9</v>
      </c>
      <c r="X222" s="7" t="n">
        <v>523.2</v>
      </c>
      <c r="Z222" s="7" t="n">
        <v>56.3</v>
      </c>
      <c r="AB222" s="7" t="n">
        <v>12422.7</v>
      </c>
    </row>
    <row r="223">
      <c r="A223" s="4" t="inlineStr">
        <is>
          <t>会务费</t>
        </is>
      </c>
      <c r="D223" s="7" t="n">
        <v>58.4</v>
      </c>
      <c r="F223" s="7" t="n">
        <v>55.8</v>
      </c>
      <c r="H223" s="7" t="n">
        <v>137.9</v>
      </c>
      <c r="J223" s="7" t="n">
        <v>66.2</v>
      </c>
      <c r="L223" s="7" t="n">
        <v>146.8</v>
      </c>
      <c r="N223" s="7" t="n">
        <v>140.3</v>
      </c>
      <c r="P223" s="7" t="n">
        <v>332.5</v>
      </c>
      <c r="R223" s="7" t="n">
        <v>137.1</v>
      </c>
      <c r="T223" s="7" t="n">
        <v>0</v>
      </c>
      <c r="V223" s="7" t="n">
        <v>298.8</v>
      </c>
      <c r="X223" s="7" t="n">
        <v>63.1</v>
      </c>
      <c r="Z223" s="7" t="n">
        <v>5.5</v>
      </c>
      <c r="AB223" s="7" t="n">
        <v>1442.4</v>
      </c>
    </row>
    <row r="224">
      <c r="A224" s="4" t="inlineStr">
        <is>
          <t>装修费</t>
        </is>
      </c>
      <c r="D224" s="7" t="n">
        <v>103.9</v>
      </c>
      <c r="F224" s="7" t="n">
        <v>83</v>
      </c>
      <c r="H224" s="7" t="n">
        <v>146.1</v>
      </c>
      <c r="J224" s="7" t="n">
        <v>106</v>
      </c>
      <c r="L224" s="7" t="n">
        <v>302.6</v>
      </c>
      <c r="N224" s="7" t="n">
        <v>253</v>
      </c>
      <c r="P224" s="7" t="n">
        <v>425.6</v>
      </c>
      <c r="R224" s="7" t="n">
        <v>202.5</v>
      </c>
      <c r="T224" s="7" t="n">
        <v>0</v>
      </c>
      <c r="V224" s="7" t="n">
        <v>378.6</v>
      </c>
      <c r="X224" s="7" t="n">
        <v>137.1</v>
      </c>
      <c r="Z224" s="7" t="n">
        <v>7.1</v>
      </c>
      <c r="AB224" s="7" t="n">
        <v>2145.5</v>
      </c>
    </row>
    <row r="225">
      <c r="A225" s="4" t="inlineStr">
        <is>
          <t>推广费</t>
        </is>
      </c>
      <c r="D225" s="7" t="n">
        <v>72.40000000000001</v>
      </c>
      <c r="F225" s="7" t="n">
        <v>62.8</v>
      </c>
      <c r="H225" s="7" t="n">
        <v>123.6</v>
      </c>
      <c r="J225" s="7" t="n">
        <v>60.7</v>
      </c>
      <c r="L225" s="7" t="n">
        <v>152.2</v>
      </c>
      <c r="N225" s="7" t="n">
        <v>148.3</v>
      </c>
      <c r="P225" s="7" t="n">
        <v>260.9</v>
      </c>
      <c r="R225" s="7" t="n">
        <v>114.8</v>
      </c>
      <c r="T225" s="7" t="n">
        <v>0</v>
      </c>
      <c r="V225" s="7" t="n">
        <v>344</v>
      </c>
      <c r="X225" s="7" t="n">
        <v>88</v>
      </c>
      <c r="Z225" s="7" t="n">
        <v>7.3</v>
      </c>
      <c r="AB225" s="7" t="n">
        <v>1435</v>
      </c>
    </row>
    <row r="226">
      <c r="A226" s="4" t="inlineStr">
        <is>
          <t>展会费</t>
        </is>
      </c>
      <c r="D226" s="7" t="n">
        <v>110.6</v>
      </c>
      <c r="F226" s="7" t="n">
        <v>117</v>
      </c>
      <c r="H226" s="7" t="n">
        <v>119.9</v>
      </c>
      <c r="J226" s="7" t="n">
        <v>86</v>
      </c>
      <c r="L226" s="7" t="n">
        <v>219.3</v>
      </c>
      <c r="N226" s="7" t="n">
        <v>252.3</v>
      </c>
      <c r="P226" s="7" t="n">
        <v>531.1</v>
      </c>
      <c r="R226" s="7" t="n">
        <v>252.4</v>
      </c>
      <c r="T226" s="7" t="n">
        <v>0</v>
      </c>
      <c r="V226" s="7" t="n">
        <v>276.1</v>
      </c>
      <c r="X226" s="7" t="n">
        <v>115.9</v>
      </c>
      <c r="Z226" s="7" t="n">
        <v>10.8</v>
      </c>
      <c r="AB226" s="7" t="n">
        <v>2091.4</v>
      </c>
    </row>
    <row r="227">
      <c r="A227" s="4" t="inlineStr">
        <is>
          <t>设计费</t>
        </is>
      </c>
      <c r="D227" s="7" t="n">
        <v>89.09999999999999</v>
      </c>
      <c r="F227" s="7" t="n">
        <v>149.3</v>
      </c>
      <c r="H227" s="7" t="n">
        <v>270.9</v>
      </c>
      <c r="J227" s="7" t="n">
        <v>177.3</v>
      </c>
      <c r="L227" s="7" t="n">
        <v>298.8</v>
      </c>
      <c r="N227" s="7" t="n">
        <v>294.7</v>
      </c>
      <c r="P227" s="7" t="n">
        <v>559.3</v>
      </c>
      <c r="R227" s="7" t="n">
        <v>318.2</v>
      </c>
      <c r="T227" s="7" t="n">
        <v>0</v>
      </c>
      <c r="V227" s="7" t="n">
        <v>608.1</v>
      </c>
      <c r="X227" s="7" t="n">
        <v>191.9</v>
      </c>
      <c r="Z227" s="7" t="n">
        <v>13.1</v>
      </c>
      <c r="AB227" s="7" t="n">
        <v>2970.7</v>
      </c>
    </row>
    <row r="228">
      <c r="A228" s="4" t="inlineStr">
        <is>
          <t>折旧费</t>
        </is>
      </c>
      <c r="D228" s="7" t="n">
        <v>753.8</v>
      </c>
      <c r="F228" s="7" t="n">
        <v>977.3</v>
      </c>
      <c r="H228" s="7" t="n">
        <v>970.3</v>
      </c>
      <c r="J228" s="7" t="n">
        <v>1005.4</v>
      </c>
      <c r="L228" s="7" t="n">
        <v>1841.9</v>
      </c>
      <c r="N228" s="7" t="n">
        <v>1869.7</v>
      </c>
      <c r="P228" s="7" t="n">
        <v>3150.4</v>
      </c>
      <c r="R228" s="7" t="n">
        <v>1686.8</v>
      </c>
      <c r="T228" s="7" t="n">
        <v>0</v>
      </c>
      <c r="V228" s="7" t="n">
        <v>2642.9</v>
      </c>
      <c r="X228" s="7" t="n">
        <v>941.3</v>
      </c>
      <c r="Z228" s="7" t="n">
        <v>59.6</v>
      </c>
      <c r="AB228" s="7" t="n">
        <v>15899.4</v>
      </c>
    </row>
    <row r="229">
      <c r="A229" s="4" t="inlineStr">
        <is>
          <t>认证费</t>
        </is>
      </c>
      <c r="D229" s="7" t="n">
        <v>24.6</v>
      </c>
      <c r="F229" s="7" t="n">
        <v>28.3</v>
      </c>
      <c r="H229" s="7" t="n">
        <v>50.6</v>
      </c>
      <c r="J229" s="7" t="n">
        <v>19.8</v>
      </c>
      <c r="L229" s="7" t="n">
        <v>75.09999999999999</v>
      </c>
      <c r="N229" s="7" t="n">
        <v>61.3</v>
      </c>
      <c r="P229" s="7" t="n">
        <v>92.40000000000001</v>
      </c>
      <c r="R229" s="7" t="n">
        <v>57</v>
      </c>
      <c r="T229" s="7" t="n">
        <v>0</v>
      </c>
      <c r="V229" s="7" t="n">
        <v>87.59999999999999</v>
      </c>
      <c r="X229" s="7" t="n">
        <v>28.9</v>
      </c>
      <c r="Z229" s="7" t="n">
        <v>2.4</v>
      </c>
      <c r="AB229" s="7" t="n">
        <v>528</v>
      </c>
    </row>
    <row r="230">
      <c r="A230" s="4" t="inlineStr">
        <is>
          <t>样品费</t>
        </is>
      </c>
      <c r="D230" s="7" t="n">
        <v>446.2</v>
      </c>
      <c r="F230" s="7" t="n">
        <v>285.7</v>
      </c>
      <c r="H230" s="7" t="n">
        <v>586.1</v>
      </c>
      <c r="J230" s="7" t="n">
        <v>397.8</v>
      </c>
      <c r="L230" s="7" t="n">
        <v>1047.5</v>
      </c>
      <c r="N230" s="7" t="n">
        <v>1194.3</v>
      </c>
      <c r="P230" s="7" t="n">
        <v>1746.1</v>
      </c>
      <c r="R230" s="7" t="n">
        <v>1049.2</v>
      </c>
      <c r="T230" s="7" t="n">
        <v>0</v>
      </c>
      <c r="V230" s="7" t="n">
        <v>1351.9</v>
      </c>
      <c r="X230" s="7" t="n">
        <v>425.3</v>
      </c>
      <c r="Z230" s="7" t="n">
        <v>30.8</v>
      </c>
      <c r="AB230" s="7" t="n">
        <v>8560.9</v>
      </c>
    </row>
    <row r="231">
      <c r="A231" s="4" t="inlineStr">
        <is>
          <t>劳务费</t>
        </is>
      </c>
      <c r="D231" s="7" t="n">
        <v>19.7</v>
      </c>
      <c r="F231" s="7" t="n">
        <v>20.2</v>
      </c>
      <c r="H231" s="7" t="n">
        <v>40.5</v>
      </c>
      <c r="J231" s="7" t="n">
        <v>17.1</v>
      </c>
      <c r="L231" s="7" t="n">
        <v>47.9</v>
      </c>
      <c r="N231" s="7" t="n">
        <v>47.3</v>
      </c>
      <c r="P231" s="7" t="n">
        <v>83.7</v>
      </c>
      <c r="R231" s="7" t="n">
        <v>31</v>
      </c>
      <c r="T231" s="7" t="n">
        <v>0</v>
      </c>
      <c r="V231" s="7" t="n">
        <v>54.8</v>
      </c>
      <c r="X231" s="7" t="n">
        <v>19.4</v>
      </c>
      <c r="Z231" s="7" t="n">
        <v>1.7</v>
      </c>
      <c r="AB231" s="7" t="n">
        <v>383.3</v>
      </c>
    </row>
    <row r="232">
      <c r="A232" s="4" t="inlineStr">
        <is>
          <t>销售佣金</t>
        </is>
      </c>
      <c r="D232" s="7" t="n">
        <v>89.3</v>
      </c>
      <c r="F232" s="7" t="n">
        <v>136.8</v>
      </c>
      <c r="H232" s="7" t="n">
        <v>250.5</v>
      </c>
      <c r="J232" s="7" t="n">
        <v>147</v>
      </c>
      <c r="L232" s="7" t="n">
        <v>367.4</v>
      </c>
      <c r="N232" s="7" t="n">
        <v>307.9</v>
      </c>
      <c r="P232" s="7" t="n">
        <v>379.5</v>
      </c>
      <c r="R232" s="7" t="n">
        <v>208</v>
      </c>
      <c r="T232" s="7" t="n">
        <v>0</v>
      </c>
      <c r="V232" s="7" t="n">
        <v>506.3</v>
      </c>
      <c r="X232" s="7" t="n">
        <v>99.2</v>
      </c>
      <c r="Z232" s="7" t="n">
        <v>13.8</v>
      </c>
      <c r="AB232" s="7" t="n">
        <v>2505.7</v>
      </c>
    </row>
    <row r="233">
      <c r="A233" s="4" t="inlineStr">
        <is>
          <t>检测费</t>
        </is>
      </c>
      <c r="D233" s="7" t="n">
        <v>113.5</v>
      </c>
      <c r="F233" s="7" t="n">
        <v>139.9</v>
      </c>
      <c r="H233" s="7" t="n">
        <v>147.8</v>
      </c>
      <c r="J233" s="7" t="n">
        <v>166</v>
      </c>
      <c r="L233" s="7" t="n">
        <v>227.1</v>
      </c>
      <c r="N233" s="7" t="n">
        <v>249.5</v>
      </c>
      <c r="P233" s="7" t="n">
        <v>663.4</v>
      </c>
      <c r="R233" s="7" t="n">
        <v>285.4</v>
      </c>
      <c r="T233" s="7" t="n">
        <v>0</v>
      </c>
      <c r="V233" s="7" t="n">
        <v>482</v>
      </c>
      <c r="X233" s="7" t="n">
        <v>180</v>
      </c>
      <c r="Z233" s="7" t="n">
        <v>10.5</v>
      </c>
      <c r="AB233" s="7" t="n">
        <v>2665.1</v>
      </c>
    </row>
    <row r="234">
      <c r="A234" s="4" t="inlineStr">
        <is>
          <t>质量赔偿</t>
        </is>
      </c>
      <c r="D234" s="7" t="n">
        <v>14.2</v>
      </c>
      <c r="F234" s="7" t="n">
        <v>16.3</v>
      </c>
      <c r="H234" s="7" t="n">
        <v>23.2</v>
      </c>
      <c r="J234" s="7" t="n">
        <v>15.2</v>
      </c>
      <c r="L234" s="7" t="n">
        <v>31.1</v>
      </c>
      <c r="N234" s="7" t="n">
        <v>42.2</v>
      </c>
      <c r="P234" s="7" t="n">
        <v>77.59999999999999</v>
      </c>
      <c r="R234" s="7" t="n">
        <v>35.6</v>
      </c>
      <c r="T234" s="7" t="n">
        <v>0</v>
      </c>
      <c r="V234" s="7" t="n">
        <v>49.6</v>
      </c>
      <c r="X234" s="7" t="n">
        <v>12.8</v>
      </c>
      <c r="Z234" s="7" t="n">
        <v>1.6</v>
      </c>
      <c r="AB234" s="7" t="n">
        <v>319.4</v>
      </c>
    </row>
    <row r="235">
      <c r="A235" s="4" t="inlineStr">
        <is>
          <t>保险费</t>
        </is>
      </c>
      <c r="D235" s="7" t="n">
        <v>75.3</v>
      </c>
      <c r="F235" s="7" t="n">
        <v>90.3</v>
      </c>
      <c r="H235" s="7" t="n">
        <v>137.7</v>
      </c>
      <c r="J235" s="7" t="n">
        <v>113.1</v>
      </c>
      <c r="L235" s="7" t="n">
        <v>242.4</v>
      </c>
      <c r="N235" s="7" t="n">
        <v>268.2</v>
      </c>
      <c r="P235" s="7" t="n">
        <v>446.7</v>
      </c>
      <c r="R235" s="7" t="n">
        <v>184.3</v>
      </c>
      <c r="T235" s="7" t="n">
        <v>0</v>
      </c>
      <c r="V235" s="7" t="n">
        <v>346.3</v>
      </c>
      <c r="X235" s="7" t="n">
        <v>143.3</v>
      </c>
      <c r="Z235" s="7" t="n">
        <v>10.7</v>
      </c>
      <c r="AB235" s="7" t="n">
        <v>2058.3</v>
      </c>
    </row>
    <row r="236">
      <c r="A236" s="4" t="inlineStr">
        <is>
          <t>清洁费</t>
        </is>
      </c>
      <c r="D236" s="7" t="n">
        <v>44.2</v>
      </c>
      <c r="F236" s="7" t="n">
        <v>43</v>
      </c>
      <c r="H236" s="7" t="n">
        <v>85.2</v>
      </c>
      <c r="J236" s="7" t="n">
        <v>33</v>
      </c>
      <c r="L236" s="7" t="n">
        <v>113.5</v>
      </c>
      <c r="N236" s="7" t="n">
        <v>70.8</v>
      </c>
      <c r="P236" s="7" t="n">
        <v>135.7</v>
      </c>
      <c r="R236" s="7" t="n">
        <v>83.8</v>
      </c>
      <c r="T236" s="7" t="n">
        <v>0</v>
      </c>
      <c r="V236" s="7" t="n">
        <v>173.9</v>
      </c>
      <c r="X236" s="7" t="n">
        <v>42.7</v>
      </c>
      <c r="Z236" s="7" t="n">
        <v>3.1</v>
      </c>
      <c r="AB236" s="7" t="n">
        <v>828.9</v>
      </c>
    </row>
    <row r="237">
      <c r="A237" s="4" t="inlineStr">
        <is>
          <t>低值易耗品</t>
        </is>
      </c>
      <c r="D237" s="7" t="n">
        <v>107.2</v>
      </c>
      <c r="F237" s="7" t="n">
        <v>87.5</v>
      </c>
      <c r="H237" s="7" t="n">
        <v>145.8</v>
      </c>
      <c r="J237" s="7" t="n">
        <v>143.8</v>
      </c>
      <c r="L237" s="7" t="n">
        <v>342</v>
      </c>
      <c r="N237" s="7" t="n">
        <v>312.5</v>
      </c>
      <c r="P237" s="7" t="n">
        <v>511.2</v>
      </c>
      <c r="R237" s="7" t="n">
        <v>162.9</v>
      </c>
      <c r="T237" s="7" t="n">
        <v>0</v>
      </c>
      <c r="V237" s="7" t="n">
        <v>417.6</v>
      </c>
      <c r="X237" s="7" t="n">
        <v>105.1</v>
      </c>
      <c r="Z237" s="7" t="n">
        <v>8.199999999999999</v>
      </c>
      <c r="AB237" s="7" t="n">
        <v>2343.8</v>
      </c>
    </row>
    <row r="238">
      <c r="A238" s="4" t="inlineStr">
        <is>
          <t>物料消耗</t>
        </is>
      </c>
      <c r="D238" s="7" t="n">
        <v>41.4</v>
      </c>
      <c r="F238" s="7" t="n">
        <v>48</v>
      </c>
      <c r="H238" s="7" t="n">
        <v>96.09999999999999</v>
      </c>
      <c r="J238" s="7" t="n">
        <v>65.3</v>
      </c>
      <c r="L238" s="7" t="n">
        <v>137</v>
      </c>
      <c r="N238" s="7" t="n">
        <v>144.7</v>
      </c>
      <c r="P238" s="7" t="n">
        <v>184.6</v>
      </c>
      <c r="R238" s="7" t="n">
        <v>104.9</v>
      </c>
      <c r="T238" s="7" t="n">
        <v>0</v>
      </c>
      <c r="V238" s="7" t="n">
        <v>181.5</v>
      </c>
      <c r="X238" s="7" t="n">
        <v>64.8</v>
      </c>
      <c r="Z238" s="7" t="n">
        <v>6.2</v>
      </c>
      <c r="AB238" s="7" t="n">
        <v>1074.5</v>
      </c>
    </row>
    <row r="239">
      <c r="A239" s="4" t="inlineStr">
        <is>
          <t>盘盈盘亏</t>
        </is>
      </c>
      <c r="D239" s="7" t="n">
        <v>41.4</v>
      </c>
      <c r="F239" s="7" t="n">
        <v>47.9</v>
      </c>
      <c r="H239" s="7" t="n">
        <v>65</v>
      </c>
      <c r="J239" s="7" t="n">
        <v>43.4</v>
      </c>
      <c r="L239" s="7" t="n">
        <v>159.4</v>
      </c>
      <c r="N239" s="7" t="n">
        <v>143</v>
      </c>
      <c r="P239" s="7" t="n">
        <v>186.9</v>
      </c>
      <c r="R239" s="7" t="n">
        <v>143.3</v>
      </c>
      <c r="T239" s="7" t="n">
        <v>0</v>
      </c>
      <c r="V239" s="7" t="n">
        <v>213.5</v>
      </c>
      <c r="X239" s="7" t="n">
        <v>47.2</v>
      </c>
      <c r="Z239" s="7" t="n">
        <v>4.8</v>
      </c>
      <c r="AB239" s="7" t="n">
        <v>1095.8</v>
      </c>
    </row>
    <row r="240">
      <c r="A240" s="4" t="inlineStr">
        <is>
          <t>平台服务费</t>
        </is>
      </c>
      <c r="D240" s="7" t="n">
        <v>28.3</v>
      </c>
      <c r="F240" s="7" t="n">
        <v>44.1</v>
      </c>
      <c r="H240" s="7" t="n">
        <v>78.3</v>
      </c>
      <c r="J240" s="7" t="n">
        <v>53.5</v>
      </c>
      <c r="L240" s="7" t="n">
        <v>104.4</v>
      </c>
      <c r="N240" s="7" t="n">
        <v>119.3</v>
      </c>
      <c r="P240" s="7" t="n">
        <v>173.1</v>
      </c>
      <c r="R240" s="7" t="n">
        <v>86.09999999999999</v>
      </c>
      <c r="T240" s="7" t="n">
        <v>0</v>
      </c>
      <c r="V240" s="7" t="n">
        <v>138.3</v>
      </c>
      <c r="X240" s="7" t="n">
        <v>50.1</v>
      </c>
      <c r="Z240" s="7" t="n">
        <v>4.9</v>
      </c>
      <c r="AB240" s="7" t="n">
        <v>880.4</v>
      </c>
    </row>
    <row r="241">
      <c r="A241" s="4" t="inlineStr">
        <is>
          <t>无形资产摊销</t>
        </is>
      </c>
      <c r="D241" s="7" t="n">
        <v>66.59999999999999</v>
      </c>
      <c r="F241" s="7" t="n">
        <v>112.5</v>
      </c>
      <c r="H241" s="7" t="n">
        <v>146.8</v>
      </c>
      <c r="J241" s="7" t="n">
        <v>100.5</v>
      </c>
      <c r="L241" s="7" t="n">
        <v>242</v>
      </c>
      <c r="N241" s="7" t="n">
        <v>238.9</v>
      </c>
      <c r="P241" s="7" t="n">
        <v>401.7</v>
      </c>
      <c r="R241" s="7" t="n">
        <v>278.4</v>
      </c>
      <c r="T241" s="7" t="n">
        <v>0</v>
      </c>
      <c r="V241" s="7" t="n">
        <v>441.4</v>
      </c>
      <c r="X241" s="7" t="n">
        <v>110.7</v>
      </c>
      <c r="Z241" s="7" t="n">
        <v>11.7</v>
      </c>
      <c r="AB241" s="7" t="n">
        <v>2151.2</v>
      </c>
    </row>
    <row r="242">
      <c r="A242" s="4" t="inlineStr">
        <is>
          <t>研发材料</t>
        </is>
      </c>
      <c r="D242" s="7" t="n">
        <v>33.7</v>
      </c>
      <c r="F242" s="7" t="n">
        <v>39.8</v>
      </c>
      <c r="H242" s="7" t="n">
        <v>54</v>
      </c>
      <c r="J242" s="7" t="n">
        <v>36.6</v>
      </c>
      <c r="L242" s="7" t="n">
        <v>109.7</v>
      </c>
      <c r="N242" s="7" t="n">
        <v>123.8</v>
      </c>
      <c r="P242" s="7" t="n">
        <v>180</v>
      </c>
      <c r="R242" s="7" t="n">
        <v>79</v>
      </c>
      <c r="T242" s="7" t="n">
        <v>0</v>
      </c>
      <c r="V242" s="7" t="n">
        <v>108.9</v>
      </c>
      <c r="X242" s="7" t="n">
        <v>54.7</v>
      </c>
      <c r="Z242" s="7" t="n">
        <v>4.6</v>
      </c>
      <c r="AB242" s="7" t="n">
        <v>824.8</v>
      </c>
    </row>
    <row r="243">
      <c r="A243" s="4" t="inlineStr">
        <is>
          <t>项目名称</t>
        </is>
      </c>
      <c r="D243" s="7" t="n">
        <v>11.7</v>
      </c>
      <c r="F243" s="7" t="n">
        <v>13.9</v>
      </c>
      <c r="H243" s="7" t="n">
        <v>22.9</v>
      </c>
      <c r="J243" s="7" t="n">
        <v>13.4</v>
      </c>
      <c r="L243" s="7" t="n">
        <v>32.6</v>
      </c>
      <c r="N243" s="7" t="n">
        <v>28.9</v>
      </c>
      <c r="P243" s="7" t="n">
        <v>45.2</v>
      </c>
      <c r="R243" s="7" t="n">
        <v>21.1</v>
      </c>
      <c r="T243" s="7" t="n">
        <v>0</v>
      </c>
      <c r="V243" s="7" t="n">
        <v>45.7</v>
      </c>
      <c r="X243" s="7" t="n">
        <v>17.2</v>
      </c>
      <c r="Z243" s="7" t="n">
        <v>0.9</v>
      </c>
      <c r="AB243" s="7" t="n">
        <v>253.5</v>
      </c>
    </row>
    <row r="244">
      <c r="A244" s="4" t="inlineStr">
        <is>
          <t>研发费</t>
        </is>
      </c>
      <c r="D244" s="7" t="n">
        <v>115.3</v>
      </c>
      <c r="F244" s="7" t="n">
        <v>89</v>
      </c>
      <c r="H244" s="7" t="n">
        <v>145.4</v>
      </c>
      <c r="J244" s="7" t="n">
        <v>131.7</v>
      </c>
      <c r="L244" s="7" t="n">
        <v>335</v>
      </c>
      <c r="N244" s="7" t="n">
        <v>182.8</v>
      </c>
      <c r="P244" s="7" t="n">
        <v>311.7</v>
      </c>
      <c r="R244" s="7" t="n">
        <v>288.8</v>
      </c>
      <c r="T244" s="7" t="n">
        <v>0</v>
      </c>
      <c r="V244" s="7" t="n">
        <v>373.1</v>
      </c>
      <c r="X244" s="7" t="n">
        <v>124.2</v>
      </c>
      <c r="Z244" s="7" t="n">
        <v>8</v>
      </c>
      <c r="AB244" s="7" t="n">
        <v>2105</v>
      </c>
    </row>
    <row r="245">
      <c r="A245" s="4" t="inlineStr">
        <is>
          <t>残保金</t>
        </is>
      </c>
      <c r="D245" s="7" t="n">
        <v>29.2</v>
      </c>
      <c r="F245" s="7" t="n">
        <v>43.3</v>
      </c>
      <c r="H245" s="7" t="n">
        <v>55.9</v>
      </c>
      <c r="J245" s="7" t="n">
        <v>37.5</v>
      </c>
      <c r="L245" s="7" t="n">
        <v>77.2</v>
      </c>
      <c r="N245" s="7" t="n">
        <v>111.6</v>
      </c>
      <c r="P245" s="7" t="n">
        <v>180</v>
      </c>
      <c r="R245" s="7" t="n">
        <v>66.90000000000001</v>
      </c>
      <c r="T245" s="7" t="n">
        <v>0</v>
      </c>
      <c r="V245" s="7" t="n">
        <v>128.9</v>
      </c>
      <c r="X245" s="7" t="n">
        <v>35.4</v>
      </c>
      <c r="Z245" s="7" t="n">
        <v>2.8</v>
      </c>
      <c r="AB245" s="7" t="n">
        <v>768.7</v>
      </c>
    </row>
    <row r="246">
      <c r="A246" s="4" t="inlineStr">
        <is>
          <t>环保费</t>
        </is>
      </c>
      <c r="D246" s="7" t="n">
        <v>96.5</v>
      </c>
      <c r="F246" s="7" t="n">
        <v>84.7</v>
      </c>
      <c r="H246" s="7" t="n">
        <v>112</v>
      </c>
      <c r="J246" s="7" t="n">
        <v>124.7</v>
      </c>
      <c r="L246" s="7" t="n">
        <v>253.8</v>
      </c>
      <c r="N246" s="7" t="n">
        <v>180.6</v>
      </c>
      <c r="P246" s="7" t="n">
        <v>450.3</v>
      </c>
      <c r="R246" s="7" t="n">
        <v>242</v>
      </c>
      <c r="T246" s="7" t="n">
        <v>0</v>
      </c>
      <c r="V246" s="7" t="n">
        <v>380.9</v>
      </c>
      <c r="X246" s="7" t="n">
        <v>100.3</v>
      </c>
      <c r="Z246" s="7" t="n">
        <v>8.1</v>
      </c>
      <c r="AB246" s="7" t="n">
        <v>2033.9</v>
      </c>
    </row>
    <row r="247">
      <c r="A247" s="4" t="inlineStr">
        <is>
          <t>报废损失</t>
        </is>
      </c>
      <c r="D247" s="7" t="n">
        <v>42.3</v>
      </c>
      <c r="F247" s="7" t="n">
        <v>54.7</v>
      </c>
      <c r="H247" s="7" t="n">
        <v>92.09999999999999</v>
      </c>
      <c r="J247" s="7" t="n">
        <v>63.4</v>
      </c>
      <c r="L247" s="7" t="n">
        <v>185.3</v>
      </c>
      <c r="N247" s="7" t="n">
        <v>159.2</v>
      </c>
      <c r="P247" s="7" t="n">
        <v>244.9</v>
      </c>
      <c r="R247" s="7" t="n">
        <v>110.4</v>
      </c>
      <c r="T247" s="7" t="n">
        <v>0</v>
      </c>
      <c r="V247" s="7" t="n">
        <v>263.4</v>
      </c>
      <c r="X247" s="7" t="n">
        <v>79.40000000000001</v>
      </c>
      <c r="Z247" s="7" t="n">
        <v>8</v>
      </c>
      <c r="AB247" s="7" t="n">
        <v>1303.1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4288.3</v>
      </c>
      <c r="D248" s="7" t="n">
        <v>8330.1</v>
      </c>
      <c r="E248" s="7" t="n">
        <v>4547.1</v>
      </c>
      <c r="F248" s="7" t="n">
        <v>1115.4</v>
      </c>
      <c r="G248" s="7" t="n">
        <v>4653.8</v>
      </c>
      <c r="H248" s="7" t="n">
        <v>-4569.7</v>
      </c>
      <c r="I248" s="7" t="n">
        <v>4238.3</v>
      </c>
      <c r="J248" s="7" t="n">
        <v>7425.9</v>
      </c>
      <c r="K248" s="7" t="n">
        <v>4877.2</v>
      </c>
      <c r="L248" s="7" t="n">
        <v>4841.1</v>
      </c>
      <c r="M248" s="7" t="n">
        <v>5099.6</v>
      </c>
      <c r="N248" s="7" t="n">
        <v>4318.4</v>
      </c>
      <c r="O248" s="7" t="n">
        <v>3920.9</v>
      </c>
      <c r="P248" s="7" t="n">
        <v>8664.5</v>
      </c>
      <c r="Q248" s="7" t="n">
        <v>4019.8</v>
      </c>
      <c r="R248" s="7" t="n">
        <v>-2292.4</v>
      </c>
      <c r="S248" s="7" t="n">
        <v>4951</v>
      </c>
      <c r="T248" s="7" t="n">
        <v>601.5</v>
      </c>
      <c r="U248" s="7" t="n">
        <v>4449</v>
      </c>
      <c r="V248" s="7" t="n">
        <v>19379.8</v>
      </c>
      <c r="W248" s="7" t="n">
        <v>4127.9</v>
      </c>
      <c r="X248" s="7" t="n">
        <v>4933.7</v>
      </c>
      <c r="Y248" s="7" t="n">
        <v>3982.4</v>
      </c>
      <c r="Z248" s="7" t="n">
        <v>802.9</v>
      </c>
      <c r="AA248" s="8" t="n">
        <v>53155.3</v>
      </c>
      <c r="AB248" s="8" t="n">
        <v>53551.2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1164.9</v>
      </c>
      <c r="E250" s="7" t="n">
        <v>0</v>
      </c>
      <c r="F250" s="7" t="n">
        <v>-264.9</v>
      </c>
      <c r="G250" s="7" t="n">
        <v>0</v>
      </c>
      <c r="H250" s="7" t="n">
        <v>2230.3</v>
      </c>
      <c r="I250" s="7" t="n">
        <v>0</v>
      </c>
      <c r="J250" s="7" t="n">
        <v>666.4</v>
      </c>
      <c r="K250" s="7" t="n">
        <v>0</v>
      </c>
      <c r="L250" s="7" t="n">
        <v>-2675.7</v>
      </c>
      <c r="M250" s="7" t="n">
        <v>0</v>
      </c>
      <c r="N250" s="7" t="n">
        <v>2674.1</v>
      </c>
      <c r="O250" s="7" t="n">
        <v>0</v>
      </c>
      <c r="P250" s="7" t="n">
        <v>-2479.8</v>
      </c>
      <c r="Q250" s="7" t="n">
        <v>0</v>
      </c>
      <c r="R250" s="7" t="n">
        <v>-1885.5</v>
      </c>
      <c r="S250" s="7" t="n">
        <v>0</v>
      </c>
      <c r="T250" s="7" t="n">
        <v>-1621.3</v>
      </c>
      <c r="U250" s="7" t="n">
        <v>0</v>
      </c>
      <c r="V250" s="7" t="n">
        <v>-3493.9</v>
      </c>
      <c r="W250" s="7" t="n">
        <v>0</v>
      </c>
      <c r="X250" s="7" t="n">
        <v>-1785.6</v>
      </c>
      <c r="Y250" s="7" t="n">
        <v>0</v>
      </c>
      <c r="Z250" s="7" t="n">
        <v>653.1</v>
      </c>
      <c r="AA250" s="7" t="n">
        <v>0</v>
      </c>
      <c r="AB250" s="7" t="n">
        <v>-6817.9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18843.4</v>
      </c>
      <c r="D255" s="7" t="n">
        <v>12196</v>
      </c>
      <c r="E255" s="7" t="n">
        <v>14355.2</v>
      </c>
      <c r="F255" s="7" t="n">
        <v>167.2</v>
      </c>
      <c r="G255" s="7" t="n">
        <v>14471.4</v>
      </c>
      <c r="H255" s="7" t="n">
        <v>20711.9</v>
      </c>
      <c r="I255" s="7" t="n">
        <v>17397.9</v>
      </c>
      <c r="J255" s="7" t="n">
        <v>22651.1</v>
      </c>
      <c r="K255" s="7" t="n">
        <v>15804.4</v>
      </c>
      <c r="L255" s="7" t="n">
        <v>23840.9</v>
      </c>
      <c r="M255" s="7" t="n">
        <v>17681.8</v>
      </c>
      <c r="N255" s="7" t="n">
        <v>16367.7</v>
      </c>
      <c r="O255" s="7" t="n">
        <v>14752.4</v>
      </c>
      <c r="P255" s="7" t="n">
        <v>9390.5</v>
      </c>
      <c r="Q255" s="7" t="n">
        <v>17638.7</v>
      </c>
      <c r="R255" s="7" t="n">
        <v>19560.3</v>
      </c>
      <c r="S255" s="7" t="n">
        <v>14772.6</v>
      </c>
      <c r="T255" s="7" t="n">
        <v>9655.1</v>
      </c>
      <c r="U255" s="7" t="n">
        <v>16109.3</v>
      </c>
      <c r="V255" s="7" t="n">
        <v>21266</v>
      </c>
      <c r="W255" s="7" t="n">
        <v>18740.8</v>
      </c>
      <c r="X255" s="7" t="n">
        <v>15432.9</v>
      </c>
      <c r="Y255" s="7" t="n">
        <v>14146.5</v>
      </c>
      <c r="Z255" s="7" t="n">
        <v>25759.6</v>
      </c>
      <c r="AA255" s="7" t="n">
        <v>194714.4</v>
      </c>
      <c r="AB255" s="7" t="n">
        <v>196999.2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158365.4</v>
      </c>
      <c r="D256" s="7" t="n">
        <v>109525.7</v>
      </c>
      <c r="E256" s="7" t="n">
        <v>162736.3</v>
      </c>
      <c r="F256" s="7" t="n">
        <v>116100.7</v>
      </c>
      <c r="G256" s="7" t="n">
        <v>151246.7</v>
      </c>
      <c r="H256" s="7" t="n">
        <v>222869.7</v>
      </c>
      <c r="I256" s="7" t="n">
        <v>164393.7</v>
      </c>
      <c r="J256" s="7" t="n">
        <v>57036.5</v>
      </c>
      <c r="K256" s="7" t="n">
        <v>140387.3</v>
      </c>
      <c r="L256" s="7" t="n">
        <v>277223</v>
      </c>
      <c r="M256" s="7" t="n">
        <v>158401.8</v>
      </c>
      <c r="N256" s="7" t="n">
        <v>139247.6</v>
      </c>
      <c r="O256" s="7" t="n">
        <v>143357.7</v>
      </c>
      <c r="P256" s="7" t="n">
        <v>196955.3</v>
      </c>
      <c r="Q256" s="7" t="n">
        <v>162684.3</v>
      </c>
      <c r="R256" s="7" t="n">
        <v>192534.4</v>
      </c>
      <c r="S256" s="7" t="n">
        <v>167425.9</v>
      </c>
      <c r="T256" s="7" t="n">
        <v>0</v>
      </c>
      <c r="U256" s="7" t="n">
        <v>158219.1</v>
      </c>
      <c r="V256" s="7" t="n">
        <v>273413.5</v>
      </c>
      <c r="W256" s="7" t="n">
        <v>145565.2</v>
      </c>
      <c r="X256" s="7" t="n">
        <v>292770.9</v>
      </c>
      <c r="Y256" s="7" t="n">
        <v>155552.8</v>
      </c>
      <c r="Z256" s="7" t="n">
        <v>9977.200000000001</v>
      </c>
      <c r="AA256" s="8" t="n">
        <v>1868336.2</v>
      </c>
      <c r="AB256" s="8" t="n">
        <v>1887654.5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4681</v>
      </c>
      <c r="E257" s="7" t="n">
        <v>0</v>
      </c>
      <c r="F257" s="7" t="n">
        <v>4635.4</v>
      </c>
      <c r="G257" s="7" t="n">
        <v>0</v>
      </c>
      <c r="H257" s="7" t="n">
        <v>3600.7</v>
      </c>
      <c r="I257" s="7" t="n">
        <v>0</v>
      </c>
      <c r="J257" s="7" t="n">
        <v>4262</v>
      </c>
      <c r="K257" s="7" t="n">
        <v>0</v>
      </c>
      <c r="L257" s="7" t="n">
        <v>676.7</v>
      </c>
      <c r="M257" s="7" t="n">
        <v>0</v>
      </c>
      <c r="N257" s="7" t="n">
        <v>2621.9</v>
      </c>
      <c r="O257" s="7" t="n">
        <v>0</v>
      </c>
      <c r="P257" s="7" t="n">
        <v>4147</v>
      </c>
      <c r="Q257" s="7" t="n">
        <v>0</v>
      </c>
      <c r="R257" s="7" t="n">
        <v>49.1</v>
      </c>
      <c r="S257" s="7" t="n">
        <v>0</v>
      </c>
      <c r="T257" s="7" t="n">
        <v>2081.5</v>
      </c>
      <c r="U257" s="7" t="n">
        <v>0</v>
      </c>
      <c r="V257" s="7" t="n">
        <v>751.7</v>
      </c>
      <c r="W257" s="7" t="n">
        <v>0</v>
      </c>
      <c r="X257" s="7" t="n">
        <v>335.2</v>
      </c>
      <c r="Y257" s="7" t="n">
        <v>0</v>
      </c>
      <c r="Z257" s="7" t="n">
        <v>4884.9</v>
      </c>
      <c r="AA257" s="7" t="n">
        <v>0</v>
      </c>
      <c r="AB257" s="7" t="n">
        <v>32727.1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935.5</v>
      </c>
      <c r="E258" s="7" t="n">
        <v>0</v>
      </c>
      <c r="F258" s="7" t="n">
        <v>563</v>
      </c>
      <c r="G258" s="7" t="n">
        <v>0</v>
      </c>
      <c r="H258" s="7" t="n">
        <v>2082.1</v>
      </c>
      <c r="I258" s="7" t="n">
        <v>0</v>
      </c>
      <c r="J258" s="7" t="n">
        <v>1613.2</v>
      </c>
      <c r="K258" s="7" t="n">
        <v>0</v>
      </c>
      <c r="L258" s="7" t="n">
        <v>993.1</v>
      </c>
      <c r="M258" s="7" t="n">
        <v>0</v>
      </c>
      <c r="N258" s="7" t="n">
        <v>183.3</v>
      </c>
      <c r="O258" s="7" t="n">
        <v>0</v>
      </c>
      <c r="P258" s="7" t="n">
        <v>1406.1</v>
      </c>
      <c r="Q258" s="7" t="n">
        <v>0</v>
      </c>
      <c r="R258" s="7" t="n">
        <v>469.4</v>
      </c>
      <c r="S258" s="7" t="n">
        <v>0</v>
      </c>
      <c r="T258" s="7" t="n">
        <v>1051.4</v>
      </c>
      <c r="U258" s="7" t="n">
        <v>0</v>
      </c>
      <c r="V258" s="7" t="n">
        <v>1677.5</v>
      </c>
      <c r="W258" s="7" t="n">
        <v>0</v>
      </c>
      <c r="X258" s="7" t="n">
        <v>678.1</v>
      </c>
      <c r="Y258" s="7" t="n">
        <v>0</v>
      </c>
      <c r="Z258" s="7" t="n">
        <v>1886.5</v>
      </c>
      <c r="AA258" s="7" t="n">
        <v>0</v>
      </c>
      <c r="AB258" s="7" t="n">
        <v>13539.2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143426.2</v>
      </c>
      <c r="D259" s="7" t="n">
        <v>118898.5</v>
      </c>
      <c r="E259" s="7" t="n">
        <v>171202.9</v>
      </c>
      <c r="F259" s="7" t="n">
        <v>110866.4</v>
      </c>
      <c r="G259" s="7" t="n">
        <v>149554</v>
      </c>
      <c r="H259" s="7" t="n">
        <v>237167</v>
      </c>
      <c r="I259" s="7" t="n">
        <v>148735.1</v>
      </c>
      <c r="J259" s="7" t="n">
        <v>61235.4</v>
      </c>
      <c r="K259" s="7" t="n">
        <v>141019.6</v>
      </c>
      <c r="L259" s="7" t="n">
        <v>281906.3</v>
      </c>
      <c r="M259" s="7" t="n">
        <v>174384.2</v>
      </c>
      <c r="N259" s="7" t="n">
        <v>133837.8</v>
      </c>
      <c r="O259" s="7" t="n">
        <v>164317.2</v>
      </c>
      <c r="P259" s="7" t="n">
        <v>201859.5</v>
      </c>
      <c r="Q259" s="7" t="n">
        <v>172903.2</v>
      </c>
      <c r="R259" s="7" t="n">
        <v>188809.6</v>
      </c>
      <c r="S259" s="7" t="n">
        <v>151964.2</v>
      </c>
      <c r="T259" s="7" t="n">
        <v>0</v>
      </c>
      <c r="U259" s="7" t="n">
        <v>173187.8</v>
      </c>
      <c r="V259" s="7" t="n">
        <v>275656.4</v>
      </c>
      <c r="W259" s="7" t="n">
        <v>164550.3</v>
      </c>
      <c r="X259" s="7" t="n">
        <v>302102.5</v>
      </c>
      <c r="Y259" s="7" t="n">
        <v>149422</v>
      </c>
      <c r="Z259" s="7" t="n">
        <v>9134.1</v>
      </c>
      <c r="AA259" s="8" t="n">
        <v>1904666.7</v>
      </c>
      <c r="AB259" s="8" t="n">
        <v>1921473.5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43721.1</v>
      </c>
      <c r="D260" s="7" t="n">
        <v>29724.6</v>
      </c>
      <c r="E260" s="7" t="n">
        <v>44490.2</v>
      </c>
      <c r="F260" s="7" t="n">
        <v>27716.6</v>
      </c>
      <c r="G260" s="7" t="n">
        <v>42054.2</v>
      </c>
      <c r="H260" s="7" t="n">
        <v>59291.8</v>
      </c>
      <c r="I260" s="7" t="n">
        <v>39711.3</v>
      </c>
      <c r="J260" s="7" t="n">
        <v>15308.9</v>
      </c>
      <c r="K260" s="7" t="n">
        <v>36044.8</v>
      </c>
      <c r="L260" s="7" t="n">
        <v>70476.60000000001</v>
      </c>
      <c r="M260" s="7" t="n">
        <v>43433.7</v>
      </c>
      <c r="N260" s="7" t="n">
        <v>33459.4</v>
      </c>
      <c r="O260" s="7" t="n">
        <v>45904.3</v>
      </c>
      <c r="P260" s="7" t="n">
        <v>50464.9</v>
      </c>
      <c r="Q260" s="7" t="n">
        <v>35123</v>
      </c>
      <c r="R260" s="7" t="n">
        <v>47202.4</v>
      </c>
      <c r="S260" s="7" t="n">
        <v>43673.7</v>
      </c>
      <c r="T260" s="7" t="n">
        <v>0</v>
      </c>
      <c r="U260" s="7" t="n">
        <v>35785.3</v>
      </c>
      <c r="V260" s="7" t="n">
        <v>68914.10000000001</v>
      </c>
      <c r="W260" s="7" t="n">
        <v>36005.4</v>
      </c>
      <c r="X260" s="7" t="n">
        <v>75525.60000000001</v>
      </c>
      <c r="Y260" s="7" t="n">
        <v>44529.5</v>
      </c>
      <c r="Z260" s="7" t="n">
        <v>2283.5</v>
      </c>
      <c r="AA260" s="7" t="n">
        <v>490476.5</v>
      </c>
      <c r="AB260" s="7" t="n">
        <v>480368.4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99512.10000000001</v>
      </c>
      <c r="D261" s="7" t="n">
        <v>89173.89999999999</v>
      </c>
      <c r="E261" s="7" t="n">
        <v>125528.1</v>
      </c>
      <c r="F261" s="7" t="n">
        <v>83149.8</v>
      </c>
      <c r="G261" s="7" t="n">
        <v>174771.2</v>
      </c>
      <c r="H261" s="7" t="n">
        <v>177875.2</v>
      </c>
      <c r="I261" s="7" t="n">
        <v>116288.3</v>
      </c>
      <c r="J261" s="7" t="n">
        <v>45926.5</v>
      </c>
      <c r="K261" s="7" t="n">
        <v>158427.8</v>
      </c>
      <c r="L261" s="7" t="n">
        <v>211429.7</v>
      </c>
      <c r="M261" s="7" t="n">
        <v>131703.2</v>
      </c>
      <c r="N261" s="7" t="n">
        <v>100378.4</v>
      </c>
      <c r="O261" s="7" t="n">
        <v>129104.3</v>
      </c>
      <c r="P261" s="7" t="n">
        <v>151394.6</v>
      </c>
      <c r="Q261" s="7" t="n">
        <v>172497.9</v>
      </c>
      <c r="R261" s="7" t="n">
        <v>141607.2</v>
      </c>
      <c r="S261" s="7" t="n">
        <v>175592.6</v>
      </c>
      <c r="T261" s="7" t="n">
        <v>0</v>
      </c>
      <c r="U261" s="7" t="n">
        <v>139886.4</v>
      </c>
      <c r="V261" s="7" t="n">
        <v>206742.3</v>
      </c>
      <c r="W261" s="7" t="n">
        <v>153095.1</v>
      </c>
      <c r="X261" s="7" t="n">
        <v>226576.9</v>
      </c>
      <c r="Y261" s="7" t="n">
        <v>107321.7</v>
      </c>
      <c r="Z261" s="7" t="n">
        <v>6850.6</v>
      </c>
      <c r="AA261" s="8" t="n">
        <v>1683728.7</v>
      </c>
      <c r="AB261" s="8" t="n">
        <v>1441105.1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8650</v>
      </c>
      <c r="E262" s="7" t="n">
        <v>0</v>
      </c>
      <c r="F262" s="7" t="n">
        <v>22349.5</v>
      </c>
      <c r="G262" s="7" t="n">
        <v>0</v>
      </c>
      <c r="H262" s="7" t="n">
        <v>2784.9</v>
      </c>
      <c r="I262" s="7" t="n">
        <v>0</v>
      </c>
      <c r="J262" s="7" t="n">
        <v>7050.2</v>
      </c>
      <c r="K262" s="7" t="n">
        <v>0</v>
      </c>
      <c r="L262" s="7" t="n">
        <v>27889</v>
      </c>
      <c r="M262" s="7" t="n">
        <v>0</v>
      </c>
      <c r="N262" s="7" t="n">
        <v>20020.7</v>
      </c>
      <c r="O262" s="7" t="n">
        <v>0</v>
      </c>
      <c r="P262" s="7" t="n">
        <v>14855.9</v>
      </c>
      <c r="Q262" s="7" t="n">
        <v>0</v>
      </c>
      <c r="R262" s="7" t="n">
        <v>21257</v>
      </c>
      <c r="S262" s="7" t="n">
        <v>0</v>
      </c>
      <c r="T262" s="7" t="n">
        <v>0</v>
      </c>
      <c r="U262" s="7" t="n">
        <v>0</v>
      </c>
      <c r="V262" s="7" t="n">
        <v>34741.7</v>
      </c>
      <c r="W262" s="7" t="n">
        <v>0</v>
      </c>
      <c r="X262" s="7" t="n">
        <v>25646.9</v>
      </c>
      <c r="Y262" s="7" t="n">
        <v>0</v>
      </c>
      <c r="Z262" s="7" t="n">
        <v>792.3</v>
      </c>
      <c r="AA262" s="7" t="n">
        <v>0</v>
      </c>
      <c r="AB262" s="7" t="n">
        <v>186038.1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99512.10000000001</v>
      </c>
      <c r="D263" s="7" t="n">
        <v>80523.89999999999</v>
      </c>
      <c r="E263" s="7" t="n">
        <v>125528.1</v>
      </c>
      <c r="F263" s="7" t="n">
        <v>60800.3</v>
      </c>
      <c r="G263" s="7" t="n">
        <v>174771.2</v>
      </c>
      <c r="H263" s="7" t="n">
        <v>175090.3</v>
      </c>
      <c r="I263" s="7" t="n">
        <v>116288.3</v>
      </c>
      <c r="J263" s="7" t="n">
        <v>38876.3</v>
      </c>
      <c r="K263" s="7" t="n">
        <v>158427.8</v>
      </c>
      <c r="L263" s="7" t="n">
        <v>183540.7</v>
      </c>
      <c r="M263" s="7" t="n">
        <v>131703.2</v>
      </c>
      <c r="N263" s="7" t="n">
        <v>80357.7</v>
      </c>
      <c r="O263" s="7" t="n">
        <v>129104.3</v>
      </c>
      <c r="P263" s="7" t="n">
        <v>136538.7</v>
      </c>
      <c r="Q263" s="7" t="n">
        <v>172497.9</v>
      </c>
      <c r="R263" s="7" t="n">
        <v>120350.2</v>
      </c>
      <c r="S263" s="7" t="n">
        <v>175592.6</v>
      </c>
      <c r="T263" s="7" t="n">
        <v>0</v>
      </c>
      <c r="U263" s="7" t="n">
        <v>139886.4</v>
      </c>
      <c r="V263" s="7" t="n">
        <v>172000.6</v>
      </c>
      <c r="W263" s="7" t="n">
        <v>153095.1</v>
      </c>
      <c r="X263" s="7" t="n">
        <v>200930</v>
      </c>
      <c r="Y263" s="7" t="n">
        <v>107321.7</v>
      </c>
      <c r="Z263" s="7" t="n">
        <v>6058.3</v>
      </c>
      <c r="AA263" s="8" t="n">
        <v>1683728.7</v>
      </c>
      <c r="AB263" s="8" t="n">
        <v>1255067</v>
      </c>
    </row>
    <row r="264">
      <c r="A264" s="4" t="inlineStr">
        <is>
          <t>净利率</t>
        </is>
      </c>
      <c r="D264" s="13" t="n">
        <v>7.3</v>
      </c>
      <c r="F264" s="13" t="n">
        <v>5.7</v>
      </c>
      <c r="H264" s="13" t="n">
        <v>10.2</v>
      </c>
      <c r="J264" s="13" t="n">
        <v>6.7</v>
      </c>
      <c r="L264" s="13" t="n">
        <v>9.9</v>
      </c>
      <c r="N264" s="13" t="n">
        <v>6.7</v>
      </c>
      <c r="P264" s="13" t="n">
        <v>7.2</v>
      </c>
      <c r="R264" s="13" t="n">
        <v>5.8</v>
      </c>
      <c r="T264" s="13" t="n">
        <v>0</v>
      </c>
      <c r="V264" s="13" t="n">
        <v>5.7</v>
      </c>
      <c r="X264" s="13" t="n">
        <v>9.9</v>
      </c>
      <c r="Z264" s="13" t="n">
        <v>7.4</v>
      </c>
    </row>
    <row r="265">
      <c r="A265" s="4" t="inlineStr">
        <is>
          <t>销售达成率</t>
        </is>
      </c>
      <c r="D265" s="13" t="n">
        <v>85.5</v>
      </c>
      <c r="F265" s="13" t="n">
        <v>93.09999999999999</v>
      </c>
      <c r="H265" s="13" t="n">
        <v>112.6</v>
      </c>
      <c r="J265" s="13" t="n">
        <v>38</v>
      </c>
      <c r="L265" s="13" t="n">
        <v>142.3</v>
      </c>
      <c r="N265" s="13" t="n">
        <v>102</v>
      </c>
      <c r="P265" s="13" t="n">
        <v>131.1</v>
      </c>
      <c r="R265" s="13" t="n">
        <v>154.5</v>
      </c>
      <c r="T265" s="13" t="n">
        <v>0</v>
      </c>
      <c r="V265" s="13" t="n">
        <v>240.3</v>
      </c>
      <c r="X265" s="13" t="n">
        <v>125.1</v>
      </c>
      <c r="Z265" s="13" t="n">
        <v>5.8</v>
      </c>
    </row>
    <row r="266">
      <c r="A266" s="4" t="inlineStr">
        <is>
          <t>净利达成率</t>
        </is>
      </c>
      <c r="D266" s="13" t="n">
        <v>89.59999999999999</v>
      </c>
      <c r="F266" s="13" t="n">
        <v>66.2</v>
      </c>
      <c r="H266" s="13" t="n">
        <v>101.8</v>
      </c>
      <c r="J266" s="13" t="n">
        <v>39.5</v>
      </c>
      <c r="L266" s="13" t="n">
        <v>133.5</v>
      </c>
      <c r="N266" s="13" t="n">
        <v>76.2</v>
      </c>
      <c r="P266" s="13" t="n">
        <v>117.3</v>
      </c>
      <c r="R266" s="13" t="n">
        <v>82.09999999999999</v>
      </c>
      <c r="T266" s="13" t="n">
        <v>0</v>
      </c>
      <c r="V266" s="13" t="n">
        <v>147.8</v>
      </c>
      <c r="X266" s="13" t="n">
        <v>148</v>
      </c>
      <c r="Z266" s="13" t="n">
        <v>6.4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1404569.8</v>
      </c>
      <c r="D6" s="7" t="n">
        <v>1093554.2</v>
      </c>
      <c r="E6" s="7" t="n">
        <v>1586376.7</v>
      </c>
      <c r="F6" s="7" t="n">
        <v>164955.6</v>
      </c>
      <c r="G6" s="7" t="n">
        <v>1541707.7</v>
      </c>
      <c r="H6" s="7" t="n">
        <v>1859396</v>
      </c>
      <c r="I6" s="7" t="n">
        <v>1275648.8</v>
      </c>
      <c r="J6" s="7" t="n">
        <v>942541.4</v>
      </c>
      <c r="K6" s="7" t="n">
        <v>1239586.1</v>
      </c>
      <c r="L6" s="7" t="n">
        <v>2044493</v>
      </c>
      <c r="M6" s="7" t="n">
        <v>1422523.8</v>
      </c>
      <c r="N6" s="7" t="n">
        <v>1685062</v>
      </c>
      <c r="O6" s="7" t="n">
        <v>1472431.6</v>
      </c>
      <c r="P6" s="7" t="n">
        <v>1331121.2</v>
      </c>
      <c r="Q6" s="7" t="n">
        <v>1345949.9</v>
      </c>
      <c r="R6" s="7" t="n">
        <v>1509329.9</v>
      </c>
      <c r="S6" s="7" t="n">
        <v>1551222.4</v>
      </c>
      <c r="T6" s="7" t="n">
        <v>1181842.9</v>
      </c>
      <c r="U6" s="7" t="n">
        <v>1522640.4</v>
      </c>
      <c r="V6" s="7" t="n">
        <v>2378580.5</v>
      </c>
      <c r="W6" s="7" t="n">
        <v>1489361.5</v>
      </c>
      <c r="X6" s="7" t="n">
        <v>1893345.3</v>
      </c>
      <c r="Y6" s="7" t="n">
        <v>1298990.6</v>
      </c>
      <c r="Z6" s="7" t="n">
        <v>647242.4</v>
      </c>
      <c r="AA6" s="8" t="n">
        <v>17151009.3</v>
      </c>
      <c r="AB6" s="8" t="n">
        <v>16731464.4</v>
      </c>
    </row>
    <row r="7">
      <c r="A7" s="4" t="inlineStr">
        <is>
          <t>中式汤底</t>
        </is>
      </c>
      <c r="D7" s="7" t="n">
        <v>314296.5</v>
      </c>
      <c r="F7" s="7" t="n">
        <v>0</v>
      </c>
      <c r="H7" s="7" t="n">
        <v>472794.2</v>
      </c>
      <c r="J7" s="7" t="n">
        <v>0</v>
      </c>
      <c r="L7" s="7" t="n">
        <v>0</v>
      </c>
      <c r="N7" s="7" t="n">
        <v>486965.2</v>
      </c>
      <c r="P7" s="7" t="n">
        <v>0</v>
      </c>
      <c r="R7" s="7" t="n">
        <v>424622.1</v>
      </c>
      <c r="T7" s="7" t="n">
        <v>423924</v>
      </c>
      <c r="V7" s="7" t="n">
        <v>0</v>
      </c>
      <c r="X7" s="7" t="n">
        <v>472657.8</v>
      </c>
      <c r="Z7" s="7" t="n">
        <v>0</v>
      </c>
      <c r="AB7" s="7" t="n">
        <v>2595259.8</v>
      </c>
    </row>
    <row r="8">
      <c r="A8" s="4" t="inlineStr">
        <is>
          <t>酱料</t>
        </is>
      </c>
      <c r="D8" s="7" t="n">
        <v>0</v>
      </c>
      <c r="F8" s="7" t="n">
        <v>0</v>
      </c>
      <c r="H8" s="7" t="n">
        <v>311366.2</v>
      </c>
      <c r="J8" s="7" t="n">
        <v>0</v>
      </c>
      <c r="L8" s="7" t="n">
        <v>555659</v>
      </c>
      <c r="N8" s="7" t="n">
        <v>0</v>
      </c>
      <c r="P8" s="7" t="n">
        <v>434289.7</v>
      </c>
      <c r="R8" s="7" t="n">
        <v>525480.5</v>
      </c>
      <c r="T8" s="7" t="n">
        <v>0</v>
      </c>
      <c r="V8" s="7" t="n">
        <v>560059.4</v>
      </c>
      <c r="X8" s="7" t="n">
        <v>373415.1</v>
      </c>
      <c r="Z8" s="7" t="n">
        <v>0</v>
      </c>
      <c r="AB8" s="7" t="n">
        <v>2760269.9</v>
      </c>
    </row>
    <row r="9">
      <c r="A9" s="4" t="inlineStr">
        <is>
          <t>川味底料</t>
        </is>
      </c>
      <c r="D9" s="7" t="n">
        <v>228683.6</v>
      </c>
      <c r="F9" s="7" t="n">
        <v>0</v>
      </c>
      <c r="H9" s="7" t="n">
        <v>0</v>
      </c>
      <c r="J9" s="7" t="n">
        <v>0</v>
      </c>
      <c r="L9" s="7" t="n">
        <v>506604.8</v>
      </c>
      <c r="N9" s="7" t="n">
        <v>427485.9</v>
      </c>
      <c r="P9" s="7" t="n">
        <v>0</v>
      </c>
      <c r="R9" s="7" t="n">
        <v>592542.4</v>
      </c>
      <c r="T9" s="7" t="n">
        <v>0</v>
      </c>
      <c r="V9" s="7" t="n">
        <v>0</v>
      </c>
      <c r="X9" s="7" t="n">
        <v>453403.2</v>
      </c>
      <c r="Z9" s="7" t="n">
        <v>259987</v>
      </c>
      <c r="AB9" s="7" t="n">
        <v>2468706.9</v>
      </c>
    </row>
    <row r="10">
      <c r="A10" s="4" t="inlineStr">
        <is>
          <t>调味汁</t>
        </is>
      </c>
      <c r="D10" s="7" t="n">
        <v>0</v>
      </c>
      <c r="F10" s="7" t="n">
        <v>165030.8</v>
      </c>
      <c r="H10" s="7" t="n">
        <v>353764.7</v>
      </c>
      <c r="J10" s="7" t="n">
        <v>379909.9</v>
      </c>
      <c r="L10" s="7" t="n">
        <v>0</v>
      </c>
      <c r="N10" s="7" t="n">
        <v>335991.2</v>
      </c>
      <c r="P10" s="7" t="n">
        <v>484388.4</v>
      </c>
      <c r="R10" s="7" t="n">
        <v>0</v>
      </c>
      <c r="T10" s="7" t="n">
        <v>0</v>
      </c>
      <c r="V10" s="7" t="n">
        <v>443481.5</v>
      </c>
      <c r="X10" s="7" t="n">
        <v>268757.2</v>
      </c>
      <c r="Z10" s="7" t="n">
        <v>175569.8</v>
      </c>
      <c r="AB10" s="7" t="n">
        <v>2606893.5</v>
      </c>
    </row>
    <row r="11">
      <c r="A11" s="4" t="inlineStr">
        <is>
          <t>复合调味粉</t>
        </is>
      </c>
      <c r="D11" s="7" t="n">
        <v>350399.4</v>
      </c>
      <c r="F11" s="7" t="n">
        <v>0</v>
      </c>
      <c r="H11" s="7" t="n">
        <v>0</v>
      </c>
      <c r="J11" s="7" t="n">
        <v>571628.8</v>
      </c>
      <c r="L11" s="7" t="n">
        <v>608780.6</v>
      </c>
      <c r="N11" s="7" t="n">
        <v>468798.6</v>
      </c>
      <c r="P11" s="7" t="n">
        <v>451635.8</v>
      </c>
      <c r="R11" s="7" t="n">
        <v>0</v>
      </c>
      <c r="T11" s="7" t="n">
        <v>0</v>
      </c>
      <c r="V11" s="7" t="n">
        <v>481352</v>
      </c>
      <c r="X11" s="7" t="n">
        <v>0</v>
      </c>
      <c r="Z11" s="7" t="n">
        <v>0</v>
      </c>
      <c r="AB11" s="7" t="n">
        <v>2932595.2</v>
      </c>
    </row>
    <row r="12">
      <c r="A12" s="4" t="inlineStr">
        <is>
          <t>团餐</t>
        </is>
      </c>
      <c r="D12" s="7" t="n">
        <v>0</v>
      </c>
      <c r="F12" s="7" t="n">
        <v>0</v>
      </c>
      <c r="H12" s="7" t="n">
        <v>526682.6</v>
      </c>
      <c r="J12" s="7" t="n">
        <v>0</v>
      </c>
      <c r="L12" s="7" t="n">
        <v>0</v>
      </c>
      <c r="N12" s="7" t="n">
        <v>0</v>
      </c>
      <c r="P12" s="7" t="n">
        <v>0</v>
      </c>
      <c r="R12" s="7" t="n">
        <v>0</v>
      </c>
      <c r="T12" s="7" t="n">
        <v>483045</v>
      </c>
      <c r="V12" s="7" t="n">
        <v>507392.1</v>
      </c>
      <c r="X12" s="7" t="n">
        <v>348549.8</v>
      </c>
      <c r="Z12" s="7" t="n">
        <v>222834.9</v>
      </c>
      <c r="AB12" s="7" t="n">
        <v>2088504.4</v>
      </c>
    </row>
    <row r="13">
      <c r="A13" s="4" t="inlineStr">
        <is>
          <t>预制菜</t>
        </is>
      </c>
      <c r="D13" s="7" t="n">
        <v>210872.4</v>
      </c>
      <c r="F13" s="7" t="n">
        <v>0</v>
      </c>
      <c r="H13" s="7" t="n">
        <v>207391.3</v>
      </c>
      <c r="J13" s="7" t="n">
        <v>0</v>
      </c>
      <c r="L13" s="7" t="n">
        <v>412956</v>
      </c>
      <c r="N13" s="7" t="n">
        <v>0</v>
      </c>
      <c r="P13" s="7" t="n">
        <v>0</v>
      </c>
      <c r="R13" s="7" t="n">
        <v>0</v>
      </c>
      <c r="T13" s="7" t="n">
        <v>295741.6</v>
      </c>
      <c r="V13" s="7" t="n">
        <v>412328.3</v>
      </c>
      <c r="X13" s="7" t="n">
        <v>0</v>
      </c>
      <c r="Z13" s="7" t="n">
        <v>0</v>
      </c>
      <c r="AB13" s="7" t="n">
        <v>1539289.6</v>
      </c>
    </row>
    <row r="14">
      <c r="A14" s="4" t="inlineStr">
        <is>
          <t>返利</t>
        </is>
      </c>
      <c r="D14" s="7" t="n">
        <v>-21521.4</v>
      </c>
      <c r="F14" s="7" t="n">
        <v>-2679.3</v>
      </c>
      <c r="H14" s="7" t="n">
        <v>-38263.1</v>
      </c>
      <c r="J14" s="7" t="n">
        <v>-19614.7</v>
      </c>
      <c r="L14" s="7" t="n">
        <v>-57655.4</v>
      </c>
      <c r="N14" s="7" t="n">
        <v>-46151</v>
      </c>
      <c r="P14" s="7" t="n">
        <v>-39886</v>
      </c>
      <c r="R14" s="7" t="n">
        <v>-44597.6</v>
      </c>
      <c r="T14" s="7" t="n">
        <v>-32078.8</v>
      </c>
      <c r="V14" s="7" t="n">
        <v>-58256.5</v>
      </c>
      <c r="X14" s="7" t="n">
        <v>-51365</v>
      </c>
      <c r="Z14" s="7" t="n">
        <v>-13964.3</v>
      </c>
      <c r="AB14" s="7" t="n">
        <v>-426033.1</v>
      </c>
    </row>
    <row r="15">
      <c r="A15" s="4" t="inlineStr">
        <is>
          <t>其他</t>
        </is>
      </c>
      <c r="D15" s="7" t="n">
        <v>10823.7</v>
      </c>
      <c r="F15" s="7" t="n">
        <v>2604.1</v>
      </c>
      <c r="H15" s="7" t="n">
        <v>25660.1</v>
      </c>
      <c r="J15" s="7" t="n">
        <v>10617.4</v>
      </c>
      <c r="L15" s="7" t="n">
        <v>18148</v>
      </c>
      <c r="N15" s="7" t="n">
        <v>11972.1</v>
      </c>
      <c r="P15" s="7" t="n">
        <v>693.3</v>
      </c>
      <c r="R15" s="7" t="n">
        <v>11282.5</v>
      </c>
      <c r="T15" s="7" t="n">
        <v>11211.1</v>
      </c>
      <c r="V15" s="7" t="n">
        <v>32223.7</v>
      </c>
      <c r="X15" s="7" t="n">
        <v>27927.2</v>
      </c>
      <c r="Z15" s="7" t="n">
        <v>2815</v>
      </c>
      <c r="AB15" s="7" t="n">
        <v>165978.2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914166.6</v>
      </c>
      <c r="D16" s="7" t="n">
        <v>734129.1</v>
      </c>
      <c r="E16" s="7" t="n">
        <v>881305.7</v>
      </c>
      <c r="F16" s="7" t="n">
        <v>120617.4</v>
      </c>
      <c r="G16" s="7" t="n">
        <v>1071950.8</v>
      </c>
      <c r="H16" s="7" t="n">
        <v>1275459.1</v>
      </c>
      <c r="I16" s="7" t="n">
        <v>982084.4</v>
      </c>
      <c r="J16" s="7" t="n">
        <v>656200.8</v>
      </c>
      <c r="K16" s="7" t="n">
        <v>818433.7</v>
      </c>
      <c r="L16" s="7" t="n">
        <v>1379875.6</v>
      </c>
      <c r="M16" s="7" t="n">
        <v>887355.3</v>
      </c>
      <c r="N16" s="7" t="n">
        <v>1183650.6</v>
      </c>
      <c r="O16" s="7" t="n">
        <v>945531.6</v>
      </c>
      <c r="P16" s="7" t="n">
        <v>924284.3</v>
      </c>
      <c r="Q16" s="7" t="n">
        <v>821399.6</v>
      </c>
      <c r="R16" s="7" t="n">
        <v>1038045.4</v>
      </c>
      <c r="S16" s="7" t="n">
        <v>1007413.6</v>
      </c>
      <c r="T16" s="7" t="n">
        <v>784206.6</v>
      </c>
      <c r="U16" s="7" t="n">
        <v>881099.5</v>
      </c>
      <c r="V16" s="7" t="n">
        <v>1584514.4</v>
      </c>
      <c r="W16" s="7" t="n">
        <v>987364.7</v>
      </c>
      <c r="X16" s="7" t="n">
        <v>1288250.4</v>
      </c>
      <c r="Y16" s="7" t="n">
        <v>1086104</v>
      </c>
      <c r="Z16" s="7" t="n">
        <v>449994.8</v>
      </c>
      <c r="AA16" s="8" t="n">
        <v>11284209.5</v>
      </c>
      <c r="AB16" s="8" t="n">
        <v>11419228.5</v>
      </c>
    </row>
    <row r="17">
      <c r="A17" s="4" t="inlineStr">
        <is>
          <t>中式汤底</t>
        </is>
      </c>
      <c r="D17" s="7" t="n">
        <v>190898.3</v>
      </c>
      <c r="F17" s="7" t="n">
        <v>0</v>
      </c>
      <c r="H17" s="7" t="n">
        <v>287167</v>
      </c>
      <c r="J17" s="7" t="n">
        <v>0</v>
      </c>
      <c r="L17" s="7" t="n">
        <v>0</v>
      </c>
      <c r="N17" s="7" t="n">
        <v>295774.3</v>
      </c>
      <c r="P17" s="7" t="n">
        <v>0</v>
      </c>
      <c r="R17" s="7" t="n">
        <v>257908.1</v>
      </c>
      <c r="T17" s="7" t="n">
        <v>257484.1</v>
      </c>
      <c r="V17" s="7" t="n">
        <v>0</v>
      </c>
      <c r="X17" s="7" t="n">
        <v>287084.2</v>
      </c>
      <c r="Z17" s="7" t="n">
        <v>0</v>
      </c>
      <c r="AB17" s="7" t="n">
        <v>1576316</v>
      </c>
    </row>
    <row r="18">
      <c r="A18" s="4" t="inlineStr">
        <is>
          <t>酱料</t>
        </is>
      </c>
      <c r="D18" s="7" t="n">
        <v>0</v>
      </c>
      <c r="F18" s="7" t="n">
        <v>0</v>
      </c>
      <c r="H18" s="7" t="n">
        <v>198021.9</v>
      </c>
      <c r="J18" s="7" t="n">
        <v>0</v>
      </c>
      <c r="L18" s="7" t="n">
        <v>353386.7</v>
      </c>
      <c r="N18" s="7" t="n">
        <v>0</v>
      </c>
      <c r="P18" s="7" t="n">
        <v>276198.5</v>
      </c>
      <c r="R18" s="7" t="n">
        <v>334193.8</v>
      </c>
      <c r="T18" s="7" t="n">
        <v>0</v>
      </c>
      <c r="V18" s="7" t="n">
        <v>356185.2</v>
      </c>
      <c r="X18" s="7" t="n">
        <v>237483.7</v>
      </c>
      <c r="Z18" s="7" t="n">
        <v>0</v>
      </c>
      <c r="AB18" s="7" t="n">
        <v>1755469.8</v>
      </c>
    </row>
    <row r="19">
      <c r="A19" s="4" t="inlineStr">
        <is>
          <t>川味底料</t>
        </is>
      </c>
      <c r="D19" s="7" t="n">
        <v>152302.6</v>
      </c>
      <c r="F19" s="7" t="n">
        <v>0</v>
      </c>
      <c r="H19" s="7" t="n">
        <v>0</v>
      </c>
      <c r="J19" s="7" t="n">
        <v>0</v>
      </c>
      <c r="L19" s="7" t="n">
        <v>337397.3</v>
      </c>
      <c r="N19" s="7" t="n">
        <v>284704.3</v>
      </c>
      <c r="P19" s="7" t="n">
        <v>0</v>
      </c>
      <c r="R19" s="7" t="n">
        <v>394631.4</v>
      </c>
      <c r="T19" s="7" t="n">
        <v>0</v>
      </c>
      <c r="V19" s="7" t="n">
        <v>0</v>
      </c>
      <c r="X19" s="7" t="n">
        <v>301965.2</v>
      </c>
      <c r="Z19" s="7" t="n">
        <v>173150.6</v>
      </c>
      <c r="AB19" s="7" t="n">
        <v>1644151.4</v>
      </c>
    </row>
    <row r="20">
      <c r="A20" s="4" t="inlineStr">
        <is>
          <t>调味汁</t>
        </is>
      </c>
      <c r="D20" s="7" t="n">
        <v>0</v>
      </c>
      <c r="F20" s="7" t="n">
        <v>112376.3</v>
      </c>
      <c r="H20" s="7" t="n">
        <v>240892.9</v>
      </c>
      <c r="J20" s="7" t="n">
        <v>258696.3</v>
      </c>
      <c r="L20" s="7" t="n">
        <v>0</v>
      </c>
      <c r="N20" s="7" t="n">
        <v>228790.2</v>
      </c>
      <c r="P20" s="7" t="n">
        <v>329840</v>
      </c>
      <c r="R20" s="7" t="n">
        <v>0</v>
      </c>
      <c r="T20" s="7" t="n">
        <v>0</v>
      </c>
      <c r="V20" s="7" t="n">
        <v>301984.8</v>
      </c>
      <c r="X20" s="7" t="n">
        <v>183007.8</v>
      </c>
      <c r="Z20" s="7" t="n">
        <v>119552.7</v>
      </c>
      <c r="AB20" s="7" t="n">
        <v>1775141</v>
      </c>
    </row>
    <row r="21">
      <c r="A21" s="4" t="inlineStr">
        <is>
          <t>复合调味粉</t>
        </is>
      </c>
      <c r="D21" s="7" t="n">
        <v>225306</v>
      </c>
      <c r="F21" s="7" t="n">
        <v>0</v>
      </c>
      <c r="H21" s="7" t="n">
        <v>0</v>
      </c>
      <c r="J21" s="7" t="n">
        <v>367556</v>
      </c>
      <c r="L21" s="7" t="n">
        <v>391444.5</v>
      </c>
      <c r="N21" s="7" t="n">
        <v>301436.4</v>
      </c>
      <c r="P21" s="7" t="n">
        <v>290400.8</v>
      </c>
      <c r="R21" s="7" t="n">
        <v>0</v>
      </c>
      <c r="T21" s="7" t="n">
        <v>0</v>
      </c>
      <c r="V21" s="7" t="n">
        <v>309508.2</v>
      </c>
      <c r="X21" s="7" t="n">
        <v>0</v>
      </c>
      <c r="Z21" s="7" t="n">
        <v>0</v>
      </c>
      <c r="AB21" s="7" t="n">
        <v>1885651.9</v>
      </c>
    </row>
    <row r="22">
      <c r="A22" s="4" t="inlineStr">
        <is>
          <t>团餐</t>
        </is>
      </c>
      <c r="D22" s="7" t="n">
        <v>0</v>
      </c>
      <c r="F22" s="7" t="n">
        <v>0</v>
      </c>
      <c r="H22" s="7" t="n">
        <v>336251</v>
      </c>
      <c r="J22" s="7" t="n">
        <v>0</v>
      </c>
      <c r="L22" s="7" t="n">
        <v>0</v>
      </c>
      <c r="N22" s="7" t="n">
        <v>0</v>
      </c>
      <c r="P22" s="7" t="n">
        <v>0</v>
      </c>
      <c r="R22" s="7" t="n">
        <v>0</v>
      </c>
      <c r="T22" s="7" t="n">
        <v>308391.4</v>
      </c>
      <c r="V22" s="7" t="n">
        <v>323935.3</v>
      </c>
      <c r="X22" s="7" t="n">
        <v>222525.3</v>
      </c>
      <c r="Z22" s="7" t="n">
        <v>142264.9</v>
      </c>
      <c r="AB22" s="7" t="n">
        <v>1333367.9</v>
      </c>
    </row>
    <row r="23">
      <c r="A23" s="4" t="inlineStr">
        <is>
          <t>预制菜</t>
        </is>
      </c>
      <c r="D23" s="7" t="n">
        <v>124992.6</v>
      </c>
      <c r="F23" s="7" t="n">
        <v>0</v>
      </c>
      <c r="H23" s="7" t="n">
        <v>122929.2</v>
      </c>
      <c r="J23" s="7" t="n">
        <v>0</v>
      </c>
      <c r="L23" s="7" t="n">
        <v>244775.7</v>
      </c>
      <c r="N23" s="7" t="n">
        <v>0</v>
      </c>
      <c r="P23" s="7" t="n">
        <v>0</v>
      </c>
      <c r="R23" s="7" t="n">
        <v>0</v>
      </c>
      <c r="T23" s="7" t="n">
        <v>175298</v>
      </c>
      <c r="V23" s="7" t="n">
        <v>244403.6</v>
      </c>
      <c r="X23" s="7" t="n">
        <v>0</v>
      </c>
      <c r="Z23" s="7" t="n">
        <v>0</v>
      </c>
      <c r="AB23" s="7" t="n">
        <v>912399.1</v>
      </c>
    </row>
    <row r="24">
      <c r="A24" s="4" t="inlineStr">
        <is>
          <t>其他</t>
        </is>
      </c>
      <c r="D24" s="7" t="n">
        <v>11419.5</v>
      </c>
      <c r="F24" s="7" t="n">
        <v>1940</v>
      </c>
      <c r="H24" s="7" t="n">
        <v>21988.4</v>
      </c>
      <c r="J24" s="7" t="n">
        <v>12490.4</v>
      </c>
      <c r="L24" s="7" t="n">
        <v>16779.7</v>
      </c>
      <c r="N24" s="7" t="n">
        <v>10891.6</v>
      </c>
      <c r="P24" s="7" t="n">
        <v>8488.4</v>
      </c>
      <c r="R24" s="7" t="n">
        <v>17266.6</v>
      </c>
      <c r="T24" s="7" t="n">
        <v>11126.3</v>
      </c>
      <c r="V24" s="7" t="n">
        <v>24804.5</v>
      </c>
      <c r="X24" s="7" t="n">
        <v>941.1</v>
      </c>
      <c r="Z24" s="7" t="n">
        <v>250.9</v>
      </c>
      <c r="AB24" s="7" t="n">
        <v>138387.4</v>
      </c>
    </row>
    <row r="25">
      <c r="A25" s="4" t="inlineStr">
        <is>
          <t>运费</t>
        </is>
      </c>
      <c r="D25" s="7" t="n">
        <v>40629.6</v>
      </c>
      <c r="F25" s="7" t="n">
        <v>8241.1</v>
      </c>
      <c r="H25" s="7" t="n">
        <v>90197.10000000001</v>
      </c>
      <c r="J25" s="7" t="n">
        <v>29948.5</v>
      </c>
      <c r="L25" s="7" t="n">
        <v>52871.4</v>
      </c>
      <c r="N25" s="7" t="n">
        <v>72945.39999999999</v>
      </c>
      <c r="P25" s="7" t="n">
        <v>27845</v>
      </c>
      <c r="R25" s="7" t="n">
        <v>51312.1</v>
      </c>
      <c r="T25" s="7" t="n">
        <v>43033.1</v>
      </c>
      <c r="V25" s="7" t="n">
        <v>48497.3</v>
      </c>
      <c r="X25" s="7" t="n">
        <v>56184.2</v>
      </c>
      <c r="Z25" s="7" t="n">
        <v>15026.6</v>
      </c>
      <c r="AB25" s="7" t="n">
        <v>536731.4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490403.2</v>
      </c>
      <c r="D26" s="7" t="n">
        <v>359425.1</v>
      </c>
      <c r="E26" s="7" t="n">
        <v>705071</v>
      </c>
      <c r="F26" s="7" t="n">
        <v>44338.2</v>
      </c>
      <c r="G26" s="7" t="n">
        <v>469756.9</v>
      </c>
      <c r="H26" s="7" t="n">
        <v>583936.9</v>
      </c>
      <c r="I26" s="7" t="n">
        <v>293564.4</v>
      </c>
      <c r="J26" s="7" t="n">
        <v>286340.6</v>
      </c>
      <c r="K26" s="7" t="n">
        <v>421152.4</v>
      </c>
      <c r="L26" s="7" t="n">
        <v>664617.4</v>
      </c>
      <c r="M26" s="7" t="n">
        <v>535168.5</v>
      </c>
      <c r="N26" s="7" t="n">
        <v>501411.4</v>
      </c>
      <c r="O26" s="7" t="n">
        <v>526900</v>
      </c>
      <c r="P26" s="7" t="n">
        <v>406836.9</v>
      </c>
      <c r="Q26" s="7" t="n">
        <v>524550.3</v>
      </c>
      <c r="R26" s="7" t="n">
        <v>471284.5</v>
      </c>
      <c r="S26" s="7" t="n">
        <v>543808.8</v>
      </c>
      <c r="T26" s="7" t="n">
        <v>397636.3</v>
      </c>
      <c r="U26" s="7" t="n">
        <v>641540.9</v>
      </c>
      <c r="V26" s="7" t="n">
        <v>794066.1</v>
      </c>
      <c r="W26" s="7" t="n">
        <v>501996.8</v>
      </c>
      <c r="X26" s="7" t="n">
        <v>605094.9</v>
      </c>
      <c r="Y26" s="7" t="n">
        <v>212886.6</v>
      </c>
      <c r="Z26" s="7" t="n">
        <v>197247.6</v>
      </c>
      <c r="AA26" s="8" t="n">
        <v>5866799.8</v>
      </c>
      <c r="AB26" s="8" t="n">
        <v>5312235.9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34.9</v>
      </c>
      <c r="D27" s="13" t="n">
        <v>32.9</v>
      </c>
      <c r="E27" s="13" t="n">
        <v>44.4</v>
      </c>
      <c r="F27" s="13" t="n">
        <v>26.9</v>
      </c>
      <c r="G27" s="13" t="n">
        <v>30.5</v>
      </c>
      <c r="H27" s="13" t="n">
        <v>31.4</v>
      </c>
      <c r="I27" s="13" t="n">
        <v>23</v>
      </c>
      <c r="J27" s="13" t="n">
        <v>30.4</v>
      </c>
      <c r="K27" s="13" t="n">
        <v>34</v>
      </c>
      <c r="L27" s="13" t="n">
        <v>32.5</v>
      </c>
      <c r="M27" s="13" t="n">
        <v>37.6</v>
      </c>
      <c r="N27" s="13" t="n">
        <v>29.8</v>
      </c>
      <c r="O27" s="13" t="n">
        <v>35.8</v>
      </c>
      <c r="P27" s="13" t="n">
        <v>30.6</v>
      </c>
      <c r="Q27" s="13" t="n">
        <v>39</v>
      </c>
      <c r="R27" s="13" t="n">
        <v>31.2</v>
      </c>
      <c r="S27" s="13" t="n">
        <v>35.1</v>
      </c>
      <c r="T27" s="13" t="n">
        <v>33.6</v>
      </c>
      <c r="U27" s="13" t="n">
        <v>42.1</v>
      </c>
      <c r="V27" s="13" t="n">
        <v>33.4</v>
      </c>
      <c r="W27" s="13" t="n">
        <v>33.7</v>
      </c>
      <c r="X27" s="13" t="n">
        <v>32</v>
      </c>
      <c r="Y27" s="13" t="n">
        <v>16.4</v>
      </c>
      <c r="Z27" s="13" t="n">
        <v>30.5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14488</v>
      </c>
      <c r="D28" s="7" t="n">
        <v>15247</v>
      </c>
      <c r="E28" s="7" t="n">
        <v>11492.2</v>
      </c>
      <c r="F28" s="7" t="n">
        <v>1077.5</v>
      </c>
      <c r="G28" s="7" t="n">
        <v>13085.8</v>
      </c>
      <c r="H28" s="7" t="n">
        <v>22985.8</v>
      </c>
      <c r="I28" s="7" t="n">
        <v>10818.4</v>
      </c>
      <c r="J28" s="7" t="n">
        <v>12921.4</v>
      </c>
      <c r="K28" s="7" t="n">
        <v>13933.3</v>
      </c>
      <c r="L28" s="7" t="n">
        <v>12914</v>
      </c>
      <c r="M28" s="7" t="n">
        <v>13974.9</v>
      </c>
      <c r="N28" s="7" t="n">
        <v>15495.4</v>
      </c>
      <c r="O28" s="7" t="n">
        <v>11956.4</v>
      </c>
      <c r="P28" s="7" t="n">
        <v>17914.3</v>
      </c>
      <c r="Q28" s="7" t="n">
        <v>13447.6</v>
      </c>
      <c r="R28" s="7" t="n">
        <v>8392.6</v>
      </c>
      <c r="S28" s="7" t="n">
        <v>14193.2</v>
      </c>
      <c r="T28" s="7" t="n">
        <v>13443.2</v>
      </c>
      <c r="U28" s="7" t="n">
        <v>12982.7</v>
      </c>
      <c r="V28" s="7" t="n">
        <v>13375.4</v>
      </c>
      <c r="W28" s="7" t="n">
        <v>14339.6</v>
      </c>
      <c r="X28" s="7" t="n">
        <v>11312.3</v>
      </c>
      <c r="Y28" s="7" t="n">
        <v>12715.1</v>
      </c>
      <c r="Z28" s="7" t="n">
        <v>6757.8</v>
      </c>
      <c r="AA28" s="8" t="n">
        <v>157427.2</v>
      </c>
      <c r="AB28" s="8" t="n">
        <v>151836.7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244565.5</v>
      </c>
      <c r="D29" s="7" t="n">
        <v>263636</v>
      </c>
      <c r="E29" s="7" t="n">
        <v>220210.2</v>
      </c>
      <c r="F29" s="7" t="n">
        <v>26471.4</v>
      </c>
      <c r="G29" s="7" t="n">
        <v>262245.2</v>
      </c>
      <c r="H29" s="7" t="n">
        <v>419586.7</v>
      </c>
      <c r="I29" s="7" t="n">
        <v>268913.2</v>
      </c>
      <c r="J29" s="7" t="n">
        <v>188928.8</v>
      </c>
      <c r="K29" s="7" t="n">
        <v>207776.5</v>
      </c>
      <c r="L29" s="7" t="n">
        <v>224369.3</v>
      </c>
      <c r="M29" s="7" t="n">
        <v>227593.3</v>
      </c>
      <c r="N29" s="7" t="n">
        <v>377044.6</v>
      </c>
      <c r="O29" s="7" t="n">
        <v>233227.8</v>
      </c>
      <c r="P29" s="7" t="n">
        <v>233250.8</v>
      </c>
      <c r="Q29" s="7" t="n">
        <v>232551.6</v>
      </c>
      <c r="R29" s="7" t="n">
        <v>315968.5</v>
      </c>
      <c r="S29" s="7" t="n">
        <v>249158.8</v>
      </c>
      <c r="T29" s="7" t="n">
        <v>133070</v>
      </c>
      <c r="U29" s="7" t="n">
        <v>258543.4</v>
      </c>
      <c r="V29" s="7" t="n">
        <v>396057</v>
      </c>
      <c r="W29" s="7" t="n">
        <v>249013.4</v>
      </c>
      <c r="X29" s="7" t="n">
        <v>267584.3</v>
      </c>
      <c r="Y29" s="7" t="n">
        <v>241455.3</v>
      </c>
      <c r="Z29" s="7" t="n">
        <v>84013.7</v>
      </c>
      <c r="AA29" s="8" t="n">
        <v>2895254.2</v>
      </c>
      <c r="AB29" s="8" t="n">
        <v>2929981.1</v>
      </c>
    </row>
    <row r="30">
      <c r="A30" s="4" t="inlineStr">
        <is>
          <t>职工薪酬</t>
        </is>
      </c>
      <c r="D30" s="7" t="n">
        <v>121916.2</v>
      </c>
      <c r="F30" s="7" t="n">
        <v>15133.2</v>
      </c>
      <c r="H30" s="7" t="n">
        <v>226081.2</v>
      </c>
      <c r="J30" s="7" t="n">
        <v>110140.6</v>
      </c>
      <c r="L30" s="7" t="n">
        <v>98772.39999999999</v>
      </c>
      <c r="N30" s="7" t="n">
        <v>217808.4</v>
      </c>
      <c r="P30" s="7" t="n">
        <v>98775.60000000001</v>
      </c>
      <c r="R30" s="7" t="n">
        <v>140234.1</v>
      </c>
      <c r="T30" s="7" t="n">
        <v>73208.7</v>
      </c>
      <c r="V30" s="7" t="n">
        <v>183344.3</v>
      </c>
      <c r="X30" s="7" t="n">
        <v>125849.2</v>
      </c>
      <c r="Z30" s="7" t="n">
        <v>39000.4</v>
      </c>
      <c r="AB30" s="7" t="n">
        <v>1450264.3</v>
      </c>
    </row>
    <row r="31">
      <c r="A31" s="4" t="inlineStr">
        <is>
          <t>工资</t>
        </is>
      </c>
      <c r="D31" s="7" t="n">
        <v>67072.10000000001</v>
      </c>
      <c r="F31" s="7" t="n">
        <v>9548.6</v>
      </c>
      <c r="H31" s="7" t="n">
        <v>136624.6</v>
      </c>
      <c r="J31" s="7" t="n">
        <v>70331.8</v>
      </c>
      <c r="L31" s="7" t="n">
        <v>54834.8</v>
      </c>
      <c r="N31" s="7" t="n">
        <v>130476.2</v>
      </c>
      <c r="P31" s="7" t="n">
        <v>54555.6</v>
      </c>
      <c r="R31" s="7" t="n">
        <v>69386.8</v>
      </c>
      <c r="T31" s="7" t="n">
        <v>44853.2</v>
      </c>
      <c r="V31" s="7" t="n">
        <v>95861.89999999999</v>
      </c>
      <c r="X31" s="7" t="n">
        <v>62956.3</v>
      </c>
      <c r="Z31" s="7" t="n">
        <v>22414.6</v>
      </c>
      <c r="AB31" s="7" t="n">
        <v>818916.5</v>
      </c>
    </row>
    <row r="32">
      <c r="A32" s="4" t="inlineStr">
        <is>
          <t>奖金及提成</t>
        </is>
      </c>
      <c r="D32" s="7" t="n">
        <v>22028.8</v>
      </c>
      <c r="F32" s="7" t="n">
        <v>2152</v>
      </c>
      <c r="H32" s="7" t="n">
        <v>51615.1</v>
      </c>
      <c r="J32" s="7" t="n">
        <v>15232.7</v>
      </c>
      <c r="L32" s="7" t="n">
        <v>19676.3</v>
      </c>
      <c r="N32" s="7" t="n">
        <v>42173.8</v>
      </c>
      <c r="P32" s="7" t="n">
        <v>20029.9</v>
      </c>
      <c r="R32" s="7" t="n">
        <v>31405.1</v>
      </c>
      <c r="T32" s="7" t="n">
        <v>13935.3</v>
      </c>
      <c r="V32" s="7" t="n">
        <v>36014.1</v>
      </c>
      <c r="X32" s="7" t="n">
        <v>29035.5</v>
      </c>
      <c r="Z32" s="7" t="n">
        <v>8147.7</v>
      </c>
      <c r="AB32" s="7" t="n">
        <v>291446.3</v>
      </c>
    </row>
    <row r="33">
      <c r="A33" s="4" t="inlineStr">
        <is>
          <t>社保</t>
        </is>
      </c>
      <c r="D33" s="7" t="n">
        <v>22749</v>
      </c>
      <c r="F33" s="7" t="n">
        <v>2539.2</v>
      </c>
      <c r="H33" s="7" t="n">
        <v>24236.6</v>
      </c>
      <c r="J33" s="7" t="n">
        <v>18149.8</v>
      </c>
      <c r="L33" s="7" t="n">
        <v>16718.4</v>
      </c>
      <c r="N33" s="7" t="n">
        <v>30850.4</v>
      </c>
      <c r="P33" s="7" t="n">
        <v>15420.6</v>
      </c>
      <c r="R33" s="7" t="n">
        <v>28344</v>
      </c>
      <c r="T33" s="7" t="n">
        <v>9667.799999999999</v>
      </c>
      <c r="V33" s="7" t="n">
        <v>37595.2</v>
      </c>
      <c r="X33" s="7" t="n">
        <v>25212.1</v>
      </c>
      <c r="Z33" s="7" t="n">
        <v>5541.3</v>
      </c>
      <c r="AB33" s="7" t="n">
        <v>237024.4</v>
      </c>
    </row>
    <row r="34">
      <c r="A34" s="4" t="inlineStr">
        <is>
          <t>养老</t>
        </is>
      </c>
      <c r="D34" s="7" t="n">
        <v>1212.3</v>
      </c>
      <c r="F34" s="7" t="n">
        <v>145.5</v>
      </c>
      <c r="H34" s="7" t="n">
        <v>2264.9</v>
      </c>
      <c r="J34" s="7" t="n">
        <v>654</v>
      </c>
      <c r="L34" s="7" t="n">
        <v>1198.2</v>
      </c>
      <c r="N34" s="7" t="n">
        <v>1478.9</v>
      </c>
      <c r="P34" s="7" t="n">
        <v>1049.4</v>
      </c>
      <c r="R34" s="7" t="n">
        <v>1042.1</v>
      </c>
      <c r="T34" s="7" t="n">
        <v>469.6</v>
      </c>
      <c r="V34" s="7" t="n">
        <v>1989.7</v>
      </c>
      <c r="X34" s="7" t="n">
        <v>996.7</v>
      </c>
      <c r="Z34" s="7" t="n">
        <v>302.1</v>
      </c>
      <c r="AB34" s="7" t="n">
        <v>12803.4</v>
      </c>
    </row>
    <row r="35">
      <c r="A35" s="4" t="inlineStr">
        <is>
          <t>医疗</t>
        </is>
      </c>
      <c r="D35" s="7" t="n">
        <v>936.7</v>
      </c>
      <c r="F35" s="7" t="n">
        <v>94.40000000000001</v>
      </c>
      <c r="H35" s="7" t="n">
        <v>1700.2</v>
      </c>
      <c r="J35" s="7" t="n">
        <v>523.7</v>
      </c>
      <c r="L35" s="7" t="n">
        <v>967.6</v>
      </c>
      <c r="N35" s="7" t="n">
        <v>1563.6</v>
      </c>
      <c r="P35" s="7" t="n">
        <v>1096.4</v>
      </c>
      <c r="R35" s="7" t="n">
        <v>856.9</v>
      </c>
      <c r="T35" s="7" t="n">
        <v>487.9</v>
      </c>
      <c r="V35" s="7" t="n">
        <v>1372.9</v>
      </c>
      <c r="X35" s="7" t="n">
        <v>1121</v>
      </c>
      <c r="Z35" s="7" t="n">
        <v>245.7</v>
      </c>
      <c r="AB35" s="7" t="n">
        <v>10967</v>
      </c>
    </row>
    <row r="36">
      <c r="A36" s="4" t="inlineStr">
        <is>
          <t>工伤</t>
        </is>
      </c>
      <c r="D36" s="7" t="n">
        <v>1395.1</v>
      </c>
      <c r="F36" s="7" t="n">
        <v>155.4</v>
      </c>
      <c r="H36" s="7" t="n">
        <v>2039.3</v>
      </c>
      <c r="J36" s="7" t="n">
        <v>806.7</v>
      </c>
      <c r="L36" s="7" t="n">
        <v>1592.8</v>
      </c>
      <c r="N36" s="7" t="n">
        <v>2198.7</v>
      </c>
      <c r="P36" s="7" t="n">
        <v>1460.3</v>
      </c>
      <c r="R36" s="7" t="n">
        <v>1818.2</v>
      </c>
      <c r="T36" s="7" t="n">
        <v>748.7</v>
      </c>
      <c r="V36" s="7" t="n">
        <v>2846.9</v>
      </c>
      <c r="X36" s="7" t="n">
        <v>1364.4</v>
      </c>
      <c r="Z36" s="7" t="n">
        <v>464.8</v>
      </c>
      <c r="AB36" s="7" t="n">
        <v>16891.3</v>
      </c>
    </row>
    <row r="37">
      <c r="A37" s="4" t="inlineStr">
        <is>
          <t>失业</t>
        </is>
      </c>
      <c r="D37" s="7" t="n">
        <v>646.7</v>
      </c>
      <c r="F37" s="7" t="n">
        <v>51.6</v>
      </c>
      <c r="H37" s="7" t="n">
        <v>1192.2</v>
      </c>
      <c r="J37" s="7" t="n">
        <v>513.4</v>
      </c>
      <c r="L37" s="7" t="n">
        <v>575.6</v>
      </c>
      <c r="N37" s="7" t="n">
        <v>1036.3</v>
      </c>
      <c r="P37" s="7" t="n">
        <v>518.9</v>
      </c>
      <c r="R37" s="7" t="n">
        <v>666.9</v>
      </c>
      <c r="T37" s="7" t="n">
        <v>343.3</v>
      </c>
      <c r="V37" s="7" t="n">
        <v>1116.5</v>
      </c>
      <c r="X37" s="7" t="n">
        <v>557.6</v>
      </c>
      <c r="Z37" s="7" t="n">
        <v>133.5</v>
      </c>
      <c r="AB37" s="7" t="n">
        <v>7352.5</v>
      </c>
    </row>
    <row r="38">
      <c r="A38" s="4" t="inlineStr">
        <is>
          <t>生育</t>
        </is>
      </c>
      <c r="D38" s="7" t="n">
        <v>1109.9</v>
      </c>
      <c r="F38" s="7" t="n">
        <v>109.5</v>
      </c>
      <c r="H38" s="7" t="n">
        <v>1802.7</v>
      </c>
      <c r="J38" s="7" t="n">
        <v>803.2</v>
      </c>
      <c r="L38" s="7" t="n">
        <v>617.3</v>
      </c>
      <c r="N38" s="7" t="n">
        <v>1625.4</v>
      </c>
      <c r="P38" s="7" t="n">
        <v>901.8</v>
      </c>
      <c r="R38" s="7" t="n">
        <v>825.6</v>
      </c>
      <c r="T38" s="7" t="n">
        <v>402.2</v>
      </c>
      <c r="V38" s="7" t="n">
        <v>1697.3</v>
      </c>
      <c r="X38" s="7" t="n">
        <v>1152.4</v>
      </c>
      <c r="Z38" s="7" t="n">
        <v>249.9</v>
      </c>
      <c r="AB38" s="7" t="n">
        <v>11297.2</v>
      </c>
    </row>
    <row r="39">
      <c r="A39" s="4" t="inlineStr">
        <is>
          <t>公积金</t>
        </is>
      </c>
      <c r="D39" s="7" t="n">
        <v>1563.4</v>
      </c>
      <c r="F39" s="7" t="n">
        <v>129.6</v>
      </c>
      <c r="H39" s="7" t="n">
        <v>1684</v>
      </c>
      <c r="J39" s="7" t="n">
        <v>664.6</v>
      </c>
      <c r="L39" s="7" t="n">
        <v>888.4</v>
      </c>
      <c r="N39" s="7" t="n">
        <v>2328.5</v>
      </c>
      <c r="P39" s="7" t="n">
        <v>1031.7</v>
      </c>
      <c r="R39" s="7" t="n">
        <v>1187.2</v>
      </c>
      <c r="T39" s="7" t="n">
        <v>562.5</v>
      </c>
      <c r="V39" s="7" t="n">
        <v>1634.9</v>
      </c>
      <c r="X39" s="7" t="n">
        <v>1013.3</v>
      </c>
      <c r="Z39" s="7" t="n">
        <v>357.3</v>
      </c>
      <c r="AB39" s="7" t="n">
        <v>13045.4</v>
      </c>
    </row>
    <row r="40">
      <c r="A40" s="4" t="inlineStr">
        <is>
          <t>工会经费</t>
        </is>
      </c>
      <c r="D40" s="7" t="n">
        <v>1429.2</v>
      </c>
      <c r="F40" s="7" t="n">
        <v>109.9</v>
      </c>
      <c r="H40" s="7" t="n">
        <v>1858.3</v>
      </c>
      <c r="J40" s="7" t="n">
        <v>769.2</v>
      </c>
      <c r="L40" s="7" t="n">
        <v>989.8</v>
      </c>
      <c r="N40" s="7" t="n">
        <v>1882.6</v>
      </c>
      <c r="P40" s="7" t="n">
        <v>1172.2</v>
      </c>
      <c r="R40" s="7" t="n">
        <v>1770.1</v>
      </c>
      <c r="T40" s="7" t="n">
        <v>657.9</v>
      </c>
      <c r="V40" s="7" t="n">
        <v>2131.8</v>
      </c>
      <c r="X40" s="7" t="n">
        <v>1350.1</v>
      </c>
      <c r="Z40" s="7" t="n">
        <v>436.8</v>
      </c>
      <c r="AB40" s="7" t="n">
        <v>14557.9</v>
      </c>
    </row>
    <row r="41">
      <c r="A41" s="4" t="inlineStr">
        <is>
          <t>职工教育经费</t>
        </is>
      </c>
      <c r="D41" s="7" t="n">
        <v>128.7</v>
      </c>
      <c r="F41" s="7" t="n">
        <v>19.3</v>
      </c>
      <c r="H41" s="7" t="n">
        <v>205.7</v>
      </c>
      <c r="J41" s="7" t="n">
        <v>138.2</v>
      </c>
      <c r="L41" s="7" t="n">
        <v>174.7</v>
      </c>
      <c r="N41" s="7" t="n">
        <v>282.4</v>
      </c>
      <c r="P41" s="7" t="n">
        <v>166.8</v>
      </c>
      <c r="R41" s="7" t="n">
        <v>189.6</v>
      </c>
      <c r="T41" s="7" t="n">
        <v>78.3</v>
      </c>
      <c r="V41" s="7" t="n">
        <v>184.9</v>
      </c>
      <c r="X41" s="7" t="n">
        <v>167</v>
      </c>
      <c r="Z41" s="7" t="n">
        <v>60.4</v>
      </c>
      <c r="AB41" s="7" t="n">
        <v>1796</v>
      </c>
    </row>
    <row r="42">
      <c r="A42" s="4" t="inlineStr">
        <is>
          <t>福利费</t>
        </is>
      </c>
      <c r="D42" s="7" t="n">
        <v>6945</v>
      </c>
      <c r="F42" s="7" t="n">
        <v>634.6</v>
      </c>
      <c r="H42" s="7" t="n">
        <v>9856.9</v>
      </c>
      <c r="J42" s="7" t="n">
        <v>4854.3</v>
      </c>
      <c r="L42" s="7" t="n">
        <v>5490</v>
      </c>
      <c r="N42" s="7" t="n">
        <v>9814.5</v>
      </c>
      <c r="P42" s="7" t="n">
        <v>6398.8</v>
      </c>
      <c r="R42" s="7" t="n">
        <v>7951.3</v>
      </c>
      <c r="T42" s="7" t="n">
        <v>3453.7</v>
      </c>
      <c r="V42" s="7" t="n">
        <v>9921.5</v>
      </c>
      <c r="X42" s="7" t="n">
        <v>6114.9</v>
      </c>
      <c r="Z42" s="7" t="n">
        <v>2042.3</v>
      </c>
      <c r="AB42" s="7" t="n">
        <v>73477.8</v>
      </c>
    </row>
    <row r="43">
      <c r="A43" s="4" t="inlineStr">
        <is>
          <t>职工房租</t>
        </is>
      </c>
      <c r="D43" s="7" t="n">
        <v>268.7</v>
      </c>
      <c r="F43" s="7" t="n">
        <v>31.4</v>
      </c>
      <c r="H43" s="7" t="n">
        <v>467.4</v>
      </c>
      <c r="J43" s="7" t="n">
        <v>254.4</v>
      </c>
      <c r="L43" s="7" t="n">
        <v>264.2</v>
      </c>
      <c r="N43" s="7" t="n">
        <v>404.8</v>
      </c>
      <c r="P43" s="7" t="n">
        <v>268</v>
      </c>
      <c r="R43" s="7" t="n">
        <v>464.5</v>
      </c>
      <c r="T43" s="7" t="n">
        <v>118.2</v>
      </c>
      <c r="V43" s="7" t="n">
        <v>622.5</v>
      </c>
      <c r="X43" s="7" t="n">
        <v>314.3</v>
      </c>
      <c r="Z43" s="7" t="n">
        <v>82.59999999999999</v>
      </c>
      <c r="AB43" s="7" t="n">
        <v>3561</v>
      </c>
    </row>
    <row r="44">
      <c r="A44" s="4" t="inlineStr">
        <is>
          <t>水电物业费</t>
        </is>
      </c>
      <c r="D44" s="7" t="n">
        <v>1416.2</v>
      </c>
      <c r="F44" s="7" t="n">
        <v>115.9</v>
      </c>
      <c r="H44" s="7" t="n">
        <v>1407.3</v>
      </c>
      <c r="J44" s="7" t="n">
        <v>939.7</v>
      </c>
      <c r="L44" s="7" t="n">
        <v>763.8</v>
      </c>
      <c r="N44" s="7" t="n">
        <v>2053.9</v>
      </c>
      <c r="P44" s="7" t="n">
        <v>1233.7</v>
      </c>
      <c r="R44" s="7" t="n">
        <v>1000</v>
      </c>
      <c r="T44" s="7" t="n">
        <v>530.8</v>
      </c>
      <c r="V44" s="7" t="n">
        <v>1851.5</v>
      </c>
      <c r="X44" s="7" t="n">
        <v>1113.9</v>
      </c>
      <c r="Z44" s="7" t="n">
        <v>365.7</v>
      </c>
      <c r="AB44" s="7" t="n">
        <v>12792.4</v>
      </c>
    </row>
    <row r="45">
      <c r="A45" s="4" t="inlineStr">
        <is>
          <t>员工餐</t>
        </is>
      </c>
      <c r="D45" s="7" t="n">
        <v>1072.3</v>
      </c>
      <c r="F45" s="7" t="n">
        <v>79.40000000000001</v>
      </c>
      <c r="H45" s="7" t="n">
        <v>1555.3</v>
      </c>
      <c r="J45" s="7" t="n">
        <v>531.1</v>
      </c>
      <c r="L45" s="7" t="n">
        <v>611.7</v>
      </c>
      <c r="N45" s="7" t="n">
        <v>1298.7</v>
      </c>
      <c r="P45" s="7" t="n">
        <v>789.8</v>
      </c>
      <c r="R45" s="7" t="n">
        <v>1190</v>
      </c>
      <c r="T45" s="7" t="n">
        <v>411.5</v>
      </c>
      <c r="V45" s="7" t="n">
        <v>1166.2</v>
      </c>
      <c r="X45" s="7" t="n">
        <v>839.5</v>
      </c>
      <c r="Z45" s="7" t="n">
        <v>241.3</v>
      </c>
      <c r="AB45" s="7" t="n">
        <v>9786.799999999999</v>
      </c>
    </row>
    <row r="46">
      <c r="A46" s="4" t="inlineStr">
        <is>
          <t>节日礼品</t>
        </is>
      </c>
      <c r="D46" s="7" t="n">
        <v>849.9</v>
      </c>
      <c r="F46" s="7" t="n">
        <v>108.8</v>
      </c>
      <c r="H46" s="7" t="n">
        <v>1896.7</v>
      </c>
      <c r="J46" s="7" t="n">
        <v>675.4</v>
      </c>
      <c r="L46" s="7" t="n">
        <v>732.1</v>
      </c>
      <c r="N46" s="7" t="n">
        <v>1461.5</v>
      </c>
      <c r="P46" s="7" t="n">
        <v>646.7</v>
      </c>
      <c r="R46" s="7" t="n">
        <v>1000.2</v>
      </c>
      <c r="T46" s="7" t="n">
        <v>588.5</v>
      </c>
      <c r="V46" s="7" t="n">
        <v>1464.7</v>
      </c>
      <c r="X46" s="7" t="n">
        <v>768.5</v>
      </c>
      <c r="Z46" s="7" t="n">
        <v>350.1</v>
      </c>
      <c r="AB46" s="7" t="n">
        <v>10543.1</v>
      </c>
    </row>
    <row r="47">
      <c r="A47" s="4" t="inlineStr">
        <is>
          <t>生日礼品</t>
        </is>
      </c>
      <c r="D47" s="7" t="n">
        <v>1223.9</v>
      </c>
      <c r="F47" s="7" t="n">
        <v>92.09999999999999</v>
      </c>
      <c r="H47" s="7" t="n">
        <v>1739.8</v>
      </c>
      <c r="J47" s="7" t="n">
        <v>696.8</v>
      </c>
      <c r="L47" s="7" t="n">
        <v>1063.9</v>
      </c>
      <c r="N47" s="7" t="n">
        <v>1655.6</v>
      </c>
      <c r="P47" s="7" t="n">
        <v>1372.8</v>
      </c>
      <c r="R47" s="7" t="n">
        <v>1676.2</v>
      </c>
      <c r="T47" s="7" t="n">
        <v>540.6</v>
      </c>
      <c r="V47" s="7" t="n">
        <v>1705.4</v>
      </c>
      <c r="X47" s="7" t="n">
        <v>1120.6</v>
      </c>
      <c r="Z47" s="7" t="n">
        <v>477.6</v>
      </c>
      <c r="AB47" s="7" t="n">
        <v>13365.3</v>
      </c>
    </row>
    <row r="48">
      <c r="A48" s="4" t="inlineStr">
        <is>
          <t>体检</t>
        </is>
      </c>
      <c r="D48" s="7" t="n">
        <v>757.4</v>
      </c>
      <c r="F48" s="7" t="n">
        <v>86.09999999999999</v>
      </c>
      <c r="H48" s="7" t="n">
        <v>1061</v>
      </c>
      <c r="J48" s="7" t="n">
        <v>601.6</v>
      </c>
      <c r="L48" s="7" t="n">
        <v>863.7</v>
      </c>
      <c r="N48" s="7" t="n">
        <v>1419</v>
      </c>
      <c r="P48" s="7" t="n">
        <v>759</v>
      </c>
      <c r="R48" s="7" t="n">
        <v>811.9</v>
      </c>
      <c r="T48" s="7" t="n">
        <v>541.4</v>
      </c>
      <c r="V48" s="7" t="n">
        <v>1197</v>
      </c>
      <c r="X48" s="7" t="n">
        <v>714.7</v>
      </c>
      <c r="Z48" s="7" t="n">
        <v>226.3</v>
      </c>
      <c r="AB48" s="7" t="n">
        <v>9039.1</v>
      </c>
    </row>
    <row r="49">
      <c r="A49" s="4" t="inlineStr">
        <is>
          <t>其他福利支出</t>
        </is>
      </c>
      <c r="D49" s="7" t="n">
        <v>1356.6</v>
      </c>
      <c r="F49" s="7" t="n">
        <v>120.9</v>
      </c>
      <c r="H49" s="7" t="n">
        <v>1729.4</v>
      </c>
      <c r="J49" s="7" t="n">
        <v>1155.3</v>
      </c>
      <c r="L49" s="7" t="n">
        <v>1190.6</v>
      </c>
      <c r="N49" s="7" t="n">
        <v>1521</v>
      </c>
      <c r="P49" s="7" t="n">
        <v>1328.8</v>
      </c>
      <c r="R49" s="7" t="n">
        <v>1808.5</v>
      </c>
      <c r="T49" s="7" t="n">
        <v>722.7</v>
      </c>
      <c r="V49" s="7" t="n">
        <v>1914.2</v>
      </c>
      <c r="X49" s="7" t="n">
        <v>1243.4</v>
      </c>
      <c r="Z49" s="7" t="n">
        <v>298.7</v>
      </c>
      <c r="AB49" s="7" t="n">
        <v>14390.1</v>
      </c>
    </row>
    <row r="50">
      <c r="A50" s="4" t="inlineStr">
        <is>
          <t>招聘费</t>
        </is>
      </c>
      <c r="D50" s="7" t="n">
        <v>507.9</v>
      </c>
      <c r="F50" s="7" t="n">
        <v>83.2</v>
      </c>
      <c r="H50" s="7" t="n">
        <v>1110.5</v>
      </c>
      <c r="J50" s="7" t="n">
        <v>567.7</v>
      </c>
      <c r="L50" s="7" t="n">
        <v>509.6</v>
      </c>
      <c r="N50" s="7" t="n">
        <v>1187.3</v>
      </c>
      <c r="P50" s="7" t="n">
        <v>426.1</v>
      </c>
      <c r="R50" s="7" t="n">
        <v>970.5</v>
      </c>
      <c r="T50" s="7" t="n">
        <v>373.9</v>
      </c>
      <c r="V50" s="7" t="n">
        <v>923.2</v>
      </c>
      <c r="X50" s="7" t="n">
        <v>466.7</v>
      </c>
      <c r="Z50" s="7" t="n">
        <v>260.9</v>
      </c>
      <c r="AB50" s="7" t="n">
        <v>7387.5</v>
      </c>
    </row>
    <row r="51">
      <c r="A51" s="4" t="inlineStr">
        <is>
          <t>办公费</t>
        </is>
      </c>
      <c r="D51" s="7" t="n">
        <v>6755.3</v>
      </c>
      <c r="F51" s="7" t="n">
        <v>867</v>
      </c>
      <c r="H51" s="7" t="n">
        <v>15479.7</v>
      </c>
      <c r="J51" s="7" t="n">
        <v>6813.4</v>
      </c>
      <c r="L51" s="7" t="n">
        <v>6462.2</v>
      </c>
      <c r="N51" s="7" t="n">
        <v>8708.1</v>
      </c>
      <c r="P51" s="7" t="n">
        <v>5702.9</v>
      </c>
      <c r="R51" s="7" t="n">
        <v>8119.6</v>
      </c>
      <c r="T51" s="7" t="n">
        <v>3520.7</v>
      </c>
      <c r="V51" s="7" t="n">
        <v>11981.8</v>
      </c>
      <c r="X51" s="7" t="n">
        <v>9733.700000000001</v>
      </c>
      <c r="Z51" s="7" t="n">
        <v>2132.9</v>
      </c>
      <c r="AB51" s="7" t="n">
        <v>86277.3</v>
      </c>
    </row>
    <row r="52">
      <c r="A52" s="4" t="inlineStr">
        <is>
          <t>市内交通费</t>
        </is>
      </c>
      <c r="D52" s="7" t="n">
        <v>1277</v>
      </c>
      <c r="F52" s="7" t="n">
        <v>136.4</v>
      </c>
      <c r="H52" s="7" t="n">
        <v>2542.1</v>
      </c>
      <c r="J52" s="7" t="n">
        <v>952.4</v>
      </c>
      <c r="L52" s="7" t="n">
        <v>1349.6</v>
      </c>
      <c r="N52" s="7" t="n">
        <v>2305.2</v>
      </c>
      <c r="P52" s="7" t="n">
        <v>1058.4</v>
      </c>
      <c r="R52" s="7" t="n">
        <v>1825.7</v>
      </c>
      <c r="T52" s="7" t="n">
        <v>740.9</v>
      </c>
      <c r="V52" s="7" t="n">
        <v>2585.1</v>
      </c>
      <c r="X52" s="7" t="n">
        <v>1551.8</v>
      </c>
      <c r="Z52" s="7" t="n">
        <v>380.1</v>
      </c>
      <c r="AB52" s="7" t="n">
        <v>16704.7</v>
      </c>
    </row>
    <row r="53">
      <c r="A53" s="4" t="inlineStr">
        <is>
          <t>差旅费</t>
        </is>
      </c>
      <c r="D53" s="7" t="n">
        <v>14937.2</v>
      </c>
      <c r="F53" s="7" t="n">
        <v>1129.6</v>
      </c>
      <c r="H53" s="7" t="n">
        <v>23881.1</v>
      </c>
      <c r="J53" s="7" t="n">
        <v>8817.6</v>
      </c>
      <c r="L53" s="7" t="n">
        <v>11580.6</v>
      </c>
      <c r="N53" s="7" t="n">
        <v>23967.5</v>
      </c>
      <c r="P53" s="7" t="n">
        <v>17991.2</v>
      </c>
      <c r="R53" s="7" t="n">
        <v>16889.7</v>
      </c>
      <c r="T53" s="7" t="n">
        <v>6649.2</v>
      </c>
      <c r="V53" s="7" t="n">
        <v>16892.1</v>
      </c>
      <c r="X53" s="7" t="n">
        <v>14365.5</v>
      </c>
      <c r="Z53" s="7" t="n">
        <v>3721.3</v>
      </c>
      <c r="AB53" s="7" t="n">
        <v>160822.6</v>
      </c>
    </row>
    <row r="54">
      <c r="A54" s="4" t="inlineStr">
        <is>
          <t>交通费</t>
        </is>
      </c>
      <c r="D54" s="7" t="n">
        <v>560.9</v>
      </c>
      <c r="F54" s="7" t="n">
        <v>59.8</v>
      </c>
      <c r="H54" s="7" t="n">
        <v>833.7</v>
      </c>
      <c r="J54" s="7" t="n">
        <v>385.4</v>
      </c>
      <c r="L54" s="7" t="n">
        <v>380</v>
      </c>
      <c r="N54" s="7" t="n">
        <v>664.3</v>
      </c>
      <c r="P54" s="7" t="n">
        <v>553.8</v>
      </c>
      <c r="R54" s="7" t="n">
        <v>422</v>
      </c>
      <c r="T54" s="7" t="n">
        <v>227.1</v>
      </c>
      <c r="V54" s="7" t="n">
        <v>678.6</v>
      </c>
      <c r="X54" s="7" t="n">
        <v>488.2</v>
      </c>
      <c r="Z54" s="7" t="n">
        <v>154.9</v>
      </c>
      <c r="AB54" s="7" t="n">
        <v>5408.7</v>
      </c>
    </row>
    <row r="55">
      <c r="A55" s="4" t="inlineStr">
        <is>
          <t>住宿费</t>
        </is>
      </c>
      <c r="D55" s="7" t="n">
        <v>1060.9</v>
      </c>
      <c r="F55" s="7" t="n">
        <v>144.2</v>
      </c>
      <c r="H55" s="7" t="n">
        <v>2255.2</v>
      </c>
      <c r="J55" s="7" t="n">
        <v>785.1</v>
      </c>
      <c r="L55" s="7" t="n">
        <v>785.9</v>
      </c>
      <c r="N55" s="7" t="n">
        <v>2224</v>
      </c>
      <c r="P55" s="7" t="n">
        <v>1454.5</v>
      </c>
      <c r="R55" s="7" t="n">
        <v>1659.8</v>
      </c>
      <c r="T55" s="7" t="n">
        <v>671.8</v>
      </c>
      <c r="V55" s="7" t="n">
        <v>1749.5</v>
      </c>
      <c r="X55" s="7" t="n">
        <v>1074.3</v>
      </c>
      <c r="Z55" s="7" t="n">
        <v>528.1</v>
      </c>
      <c r="AB55" s="7" t="n">
        <v>14393.3</v>
      </c>
    </row>
    <row r="56">
      <c r="A56" s="4" t="inlineStr">
        <is>
          <t>餐补</t>
        </is>
      </c>
      <c r="D56" s="7" t="n">
        <v>558.5</v>
      </c>
      <c r="F56" s="7" t="n">
        <v>57</v>
      </c>
      <c r="H56" s="7" t="n">
        <v>1122.1</v>
      </c>
      <c r="J56" s="7" t="n">
        <v>328.3</v>
      </c>
      <c r="L56" s="7" t="n">
        <v>583.9</v>
      </c>
      <c r="N56" s="7" t="n">
        <v>730.3</v>
      </c>
      <c r="P56" s="7" t="n">
        <v>514.4</v>
      </c>
      <c r="R56" s="7" t="n">
        <v>733.5</v>
      </c>
      <c r="T56" s="7" t="n">
        <v>418</v>
      </c>
      <c r="V56" s="7" t="n">
        <v>684.6</v>
      </c>
      <c r="X56" s="7" t="n">
        <v>831.8</v>
      </c>
      <c r="Z56" s="7" t="n">
        <v>210.3</v>
      </c>
      <c r="AB56" s="7" t="n">
        <v>6772.7</v>
      </c>
    </row>
    <row r="57">
      <c r="A57" s="4" t="inlineStr">
        <is>
          <t>交通补助</t>
        </is>
      </c>
      <c r="D57" s="7" t="n">
        <v>713.4</v>
      </c>
      <c r="F57" s="7" t="n">
        <v>106.7</v>
      </c>
      <c r="H57" s="7" t="n">
        <v>1051.9</v>
      </c>
      <c r="J57" s="7" t="n">
        <v>647.1</v>
      </c>
      <c r="L57" s="7" t="n">
        <v>873.5</v>
      </c>
      <c r="N57" s="7" t="n">
        <v>920</v>
      </c>
      <c r="P57" s="7" t="n">
        <v>623.8</v>
      </c>
      <c r="R57" s="7" t="n">
        <v>1317.1</v>
      </c>
      <c r="T57" s="7" t="n">
        <v>446.4</v>
      </c>
      <c r="V57" s="7" t="n">
        <v>1028.8</v>
      </c>
      <c r="X57" s="7" t="n">
        <v>685</v>
      </c>
      <c r="Z57" s="7" t="n">
        <v>315.4</v>
      </c>
      <c r="AB57" s="7" t="n">
        <v>8729.1</v>
      </c>
    </row>
    <row r="58">
      <c r="A58" s="4" t="inlineStr">
        <is>
          <t>通讯补助</t>
        </is>
      </c>
      <c r="D58" s="7" t="n">
        <v>1194.4</v>
      </c>
      <c r="F58" s="7" t="n">
        <v>120.5</v>
      </c>
      <c r="H58" s="7" t="n">
        <v>2325.5</v>
      </c>
      <c r="J58" s="7" t="n">
        <v>865.2</v>
      </c>
      <c r="L58" s="7" t="n">
        <v>1144.9</v>
      </c>
      <c r="N58" s="7" t="n">
        <v>1619.1</v>
      </c>
      <c r="P58" s="7" t="n">
        <v>1031.1</v>
      </c>
      <c r="R58" s="7" t="n">
        <v>1161.7</v>
      </c>
      <c r="T58" s="7" t="n">
        <v>788.8</v>
      </c>
      <c r="V58" s="7" t="n">
        <v>2434.2</v>
      </c>
      <c r="X58" s="7" t="n">
        <v>1491.1</v>
      </c>
      <c r="Z58" s="7" t="n">
        <v>360.4</v>
      </c>
      <c r="AB58" s="7" t="n">
        <v>14536.9</v>
      </c>
    </row>
    <row r="59">
      <c r="A59" s="4" t="inlineStr">
        <is>
          <t>招待费</t>
        </is>
      </c>
      <c r="D59" s="7" t="n">
        <v>10770.9</v>
      </c>
      <c r="F59" s="7" t="n">
        <v>990.4</v>
      </c>
      <c r="H59" s="7" t="n">
        <v>20399.2</v>
      </c>
      <c r="J59" s="7" t="n">
        <v>7533.7</v>
      </c>
      <c r="L59" s="7" t="n">
        <v>8780.5</v>
      </c>
      <c r="N59" s="7" t="n">
        <v>18033</v>
      </c>
      <c r="P59" s="7" t="n">
        <v>9047.1</v>
      </c>
      <c r="R59" s="7" t="n">
        <v>15853.4</v>
      </c>
      <c r="T59" s="7" t="n">
        <v>4293.2</v>
      </c>
      <c r="V59" s="7" t="n">
        <v>13831</v>
      </c>
      <c r="X59" s="7" t="n">
        <v>10913.2</v>
      </c>
      <c r="Z59" s="7" t="n">
        <v>3025.9</v>
      </c>
      <c r="AB59" s="7" t="n">
        <v>123471.5</v>
      </c>
    </row>
    <row r="60">
      <c r="A60" s="4" t="inlineStr">
        <is>
          <t>通讯费</t>
        </is>
      </c>
      <c r="D60" s="7" t="n">
        <v>644.4</v>
      </c>
      <c r="F60" s="7" t="n">
        <v>100.2</v>
      </c>
      <c r="H60" s="7" t="n">
        <v>1187.3</v>
      </c>
      <c r="J60" s="7" t="n">
        <v>627.7</v>
      </c>
      <c r="L60" s="7" t="n">
        <v>877</v>
      </c>
      <c r="N60" s="7" t="n">
        <v>1085.5</v>
      </c>
      <c r="P60" s="7" t="n">
        <v>767.8</v>
      </c>
      <c r="R60" s="7" t="n">
        <v>1030</v>
      </c>
      <c r="T60" s="7" t="n">
        <v>317.1</v>
      </c>
      <c r="V60" s="7" t="n">
        <v>1291.8</v>
      </c>
      <c r="X60" s="7" t="n">
        <v>1057.9</v>
      </c>
      <c r="Z60" s="7" t="n">
        <v>270.9</v>
      </c>
      <c r="AB60" s="7" t="n">
        <v>9257.6</v>
      </c>
    </row>
    <row r="61">
      <c r="A61" s="4" t="inlineStr">
        <is>
          <t>网络费</t>
        </is>
      </c>
      <c r="D61" s="7" t="n">
        <v>1604</v>
      </c>
      <c r="F61" s="7" t="n">
        <v>113.7</v>
      </c>
      <c r="H61" s="7" t="n">
        <v>1712.2</v>
      </c>
      <c r="J61" s="7" t="n">
        <v>944.8</v>
      </c>
      <c r="L61" s="7" t="n">
        <v>1059</v>
      </c>
      <c r="N61" s="7" t="n">
        <v>1365.9</v>
      </c>
      <c r="P61" s="7" t="n">
        <v>1032.7</v>
      </c>
      <c r="R61" s="7" t="n">
        <v>1738.1</v>
      </c>
      <c r="T61" s="7" t="n">
        <v>785.9</v>
      </c>
      <c r="V61" s="7" t="n">
        <v>2077.3</v>
      </c>
      <c r="X61" s="7" t="n">
        <v>1324.8</v>
      </c>
      <c r="Z61" s="7" t="n">
        <v>491.3</v>
      </c>
      <c r="AB61" s="7" t="n">
        <v>14249.7</v>
      </c>
    </row>
    <row r="62">
      <c r="A62" s="4" t="inlineStr">
        <is>
          <t>修理费</t>
        </is>
      </c>
      <c r="D62" s="7" t="n">
        <v>1171.3</v>
      </c>
      <c r="F62" s="7" t="n">
        <v>136</v>
      </c>
      <c r="H62" s="7" t="n">
        <v>2865.4</v>
      </c>
      <c r="J62" s="7" t="n">
        <v>848.1</v>
      </c>
      <c r="L62" s="7" t="n">
        <v>1579.2</v>
      </c>
      <c r="N62" s="7" t="n">
        <v>2633.9</v>
      </c>
      <c r="P62" s="7" t="n">
        <v>1162.2</v>
      </c>
      <c r="R62" s="7" t="n">
        <v>1542.9</v>
      </c>
      <c r="T62" s="7" t="n">
        <v>917.6</v>
      </c>
      <c r="V62" s="7" t="n">
        <v>1820.1</v>
      </c>
      <c r="X62" s="7" t="n">
        <v>1457.2</v>
      </c>
      <c r="Z62" s="7" t="n">
        <v>396.8</v>
      </c>
      <c r="AB62" s="7" t="n">
        <v>16530.7</v>
      </c>
    </row>
    <row r="63">
      <c r="A63" s="4" t="inlineStr">
        <is>
          <t>车辆费</t>
        </is>
      </c>
      <c r="D63" s="7" t="n">
        <v>1349.3</v>
      </c>
      <c r="F63" s="7" t="n">
        <v>123.4</v>
      </c>
      <c r="H63" s="7" t="n">
        <v>2130.6</v>
      </c>
      <c r="J63" s="7" t="n">
        <v>747.4</v>
      </c>
      <c r="L63" s="7" t="n">
        <v>680.5</v>
      </c>
      <c r="N63" s="7" t="n">
        <v>1584.6</v>
      </c>
      <c r="P63" s="7" t="n">
        <v>829.3</v>
      </c>
      <c r="R63" s="7" t="n">
        <v>1565</v>
      </c>
      <c r="T63" s="7" t="n">
        <v>418.8</v>
      </c>
      <c r="V63" s="7" t="n">
        <v>1531.2</v>
      </c>
      <c r="X63" s="7" t="n">
        <v>1352.2</v>
      </c>
      <c r="Z63" s="7" t="n">
        <v>234</v>
      </c>
      <c r="AB63" s="7" t="n">
        <v>12546.3</v>
      </c>
    </row>
    <row r="64">
      <c r="A64" s="4" t="inlineStr">
        <is>
          <t>租赁费</t>
        </is>
      </c>
      <c r="D64" s="7" t="n">
        <v>9482.9</v>
      </c>
      <c r="F64" s="7" t="n">
        <v>1464</v>
      </c>
      <c r="H64" s="7" t="n">
        <v>25599.8</v>
      </c>
      <c r="J64" s="7" t="n">
        <v>12255.1</v>
      </c>
      <c r="L64" s="7" t="n">
        <v>13656.3</v>
      </c>
      <c r="N64" s="7" t="n">
        <v>13992.5</v>
      </c>
      <c r="P64" s="7" t="n">
        <v>11082.4</v>
      </c>
      <c r="R64" s="7" t="n">
        <v>13523.7</v>
      </c>
      <c r="T64" s="7" t="n">
        <v>7515.7</v>
      </c>
      <c r="V64" s="7" t="n">
        <v>15299.5</v>
      </c>
      <c r="X64" s="7" t="n">
        <v>15599.6</v>
      </c>
      <c r="Z64" s="7" t="n">
        <v>4571.4</v>
      </c>
      <c r="AB64" s="7" t="n">
        <v>144042.9</v>
      </c>
    </row>
    <row r="65">
      <c r="A65" s="4" t="inlineStr">
        <is>
          <t>能源费</t>
        </is>
      </c>
      <c r="D65" s="7" t="n">
        <v>3230.4</v>
      </c>
      <c r="F65" s="7" t="n">
        <v>288.3</v>
      </c>
      <c r="H65" s="7" t="n">
        <v>4877.8</v>
      </c>
      <c r="J65" s="7" t="n">
        <v>2481.8</v>
      </c>
      <c r="L65" s="7" t="n">
        <v>3059.4</v>
      </c>
      <c r="N65" s="7" t="n">
        <v>3983</v>
      </c>
      <c r="P65" s="7" t="n">
        <v>3071.6</v>
      </c>
      <c r="R65" s="7" t="n">
        <v>3649</v>
      </c>
      <c r="T65" s="7" t="n">
        <v>1836.9</v>
      </c>
      <c r="V65" s="7" t="n">
        <v>5271.9</v>
      </c>
      <c r="X65" s="7" t="n">
        <v>3828.6</v>
      </c>
      <c r="Z65" s="7" t="n">
        <v>1089.4</v>
      </c>
      <c r="AB65" s="7" t="n">
        <v>36668.1</v>
      </c>
    </row>
    <row r="66">
      <c r="A66" s="4" t="inlineStr">
        <is>
          <t>水费</t>
        </is>
      </c>
      <c r="D66" s="7" t="n">
        <v>573.8</v>
      </c>
      <c r="F66" s="7" t="n">
        <v>58.6</v>
      </c>
      <c r="H66" s="7" t="n">
        <v>1011.2</v>
      </c>
      <c r="J66" s="7" t="n">
        <v>634.6</v>
      </c>
      <c r="L66" s="7" t="n">
        <v>726.5</v>
      </c>
      <c r="N66" s="7" t="n">
        <v>812.8</v>
      </c>
      <c r="P66" s="7" t="n">
        <v>525.3</v>
      </c>
      <c r="R66" s="7" t="n">
        <v>841.6</v>
      </c>
      <c r="T66" s="7" t="n">
        <v>338</v>
      </c>
      <c r="V66" s="7" t="n">
        <v>1388.9</v>
      </c>
      <c r="X66" s="7" t="n">
        <v>885.4</v>
      </c>
      <c r="Z66" s="7" t="n">
        <v>195</v>
      </c>
      <c r="AB66" s="7" t="n">
        <v>7991.7</v>
      </c>
    </row>
    <row r="67">
      <c r="A67" s="4" t="inlineStr">
        <is>
          <t>电费</t>
        </is>
      </c>
      <c r="D67" s="7" t="n">
        <v>182.2</v>
      </c>
      <c r="F67" s="7" t="n">
        <v>12.6</v>
      </c>
      <c r="H67" s="7" t="n">
        <v>331.2</v>
      </c>
      <c r="J67" s="7" t="n">
        <v>119.7</v>
      </c>
      <c r="L67" s="7" t="n">
        <v>121</v>
      </c>
      <c r="N67" s="7" t="n">
        <v>205.6</v>
      </c>
      <c r="P67" s="7" t="n">
        <v>130.3</v>
      </c>
      <c r="R67" s="7" t="n">
        <v>194.6</v>
      </c>
      <c r="T67" s="7" t="n">
        <v>99.40000000000001</v>
      </c>
      <c r="V67" s="7" t="n">
        <v>282.4</v>
      </c>
      <c r="X67" s="7" t="n">
        <v>177.4</v>
      </c>
      <c r="Z67" s="7" t="n">
        <v>56.5</v>
      </c>
      <c r="AB67" s="7" t="n">
        <v>1912.9</v>
      </c>
    </row>
    <row r="68">
      <c r="A68" s="4" t="inlineStr">
        <is>
          <t>燃气费</t>
        </is>
      </c>
      <c r="D68" s="7" t="n">
        <v>1038.2</v>
      </c>
      <c r="F68" s="7" t="n">
        <v>115.4</v>
      </c>
      <c r="H68" s="7" t="n">
        <v>1744.1</v>
      </c>
      <c r="J68" s="7" t="n">
        <v>870.1</v>
      </c>
      <c r="L68" s="7" t="n">
        <v>1027.9</v>
      </c>
      <c r="N68" s="7" t="n">
        <v>1646.5</v>
      </c>
      <c r="P68" s="7" t="n">
        <v>1475.2</v>
      </c>
      <c r="R68" s="7" t="n">
        <v>1254</v>
      </c>
      <c r="T68" s="7" t="n">
        <v>717.7</v>
      </c>
      <c r="V68" s="7" t="n">
        <v>1947.9</v>
      </c>
      <c r="X68" s="7" t="n">
        <v>1287.7</v>
      </c>
      <c r="Z68" s="7" t="n">
        <v>367.8</v>
      </c>
      <c r="AB68" s="7" t="n">
        <v>13492.5</v>
      </c>
    </row>
    <row r="69">
      <c r="A69" s="4" t="inlineStr">
        <is>
          <t>蒸汽费</t>
        </is>
      </c>
      <c r="D69" s="7" t="n">
        <v>1436.2</v>
      </c>
      <c r="F69" s="7" t="n">
        <v>101.7</v>
      </c>
      <c r="H69" s="7" t="n">
        <v>1791.3</v>
      </c>
      <c r="J69" s="7" t="n">
        <v>857.4</v>
      </c>
      <c r="L69" s="7" t="n">
        <v>1184</v>
      </c>
      <c r="N69" s="7" t="n">
        <v>1318.1</v>
      </c>
      <c r="P69" s="7" t="n">
        <v>940.8</v>
      </c>
      <c r="R69" s="7" t="n">
        <v>1358.8</v>
      </c>
      <c r="T69" s="7" t="n">
        <v>681.8</v>
      </c>
      <c r="V69" s="7" t="n">
        <v>1652.7</v>
      </c>
      <c r="X69" s="7" t="n">
        <v>1478.1</v>
      </c>
      <c r="Z69" s="7" t="n">
        <v>470.1</v>
      </c>
      <c r="AB69" s="7" t="n">
        <v>13271</v>
      </c>
    </row>
    <row r="70">
      <c r="A70" s="4" t="inlineStr">
        <is>
          <t>物业费</t>
        </is>
      </c>
      <c r="D70" s="7" t="n">
        <v>1624.8</v>
      </c>
      <c r="F70" s="7" t="n">
        <v>185.2</v>
      </c>
      <c r="H70" s="7" t="n">
        <v>2198.7</v>
      </c>
      <c r="J70" s="7" t="n">
        <v>1118.7</v>
      </c>
      <c r="L70" s="7" t="n">
        <v>1163</v>
      </c>
      <c r="N70" s="7" t="n">
        <v>2983.9</v>
      </c>
      <c r="P70" s="7" t="n">
        <v>1353.8</v>
      </c>
      <c r="R70" s="7" t="n">
        <v>1908.3</v>
      </c>
      <c r="T70" s="7" t="n">
        <v>1059.8</v>
      </c>
      <c r="V70" s="7" t="n">
        <v>2564.1</v>
      </c>
      <c r="X70" s="7" t="n">
        <v>1400.8</v>
      </c>
      <c r="Z70" s="7" t="n">
        <v>557.1</v>
      </c>
      <c r="AB70" s="7" t="n">
        <v>18118.2</v>
      </c>
    </row>
    <row r="71">
      <c r="A71" s="4" t="inlineStr">
        <is>
          <t>劳动保护费</t>
        </is>
      </c>
      <c r="D71" s="7" t="n">
        <v>375.4</v>
      </c>
      <c r="F71" s="7" t="n">
        <v>21.6</v>
      </c>
      <c r="H71" s="7" t="n">
        <v>612</v>
      </c>
      <c r="J71" s="7" t="n">
        <v>196.7</v>
      </c>
      <c r="L71" s="7" t="n">
        <v>228.5</v>
      </c>
      <c r="N71" s="7" t="n">
        <v>361.9</v>
      </c>
      <c r="P71" s="7" t="n">
        <v>232.6</v>
      </c>
      <c r="R71" s="7" t="n">
        <v>424</v>
      </c>
      <c r="T71" s="7" t="n">
        <v>179.6</v>
      </c>
      <c r="V71" s="7" t="n">
        <v>496.5</v>
      </c>
      <c r="X71" s="7" t="n">
        <v>281.2</v>
      </c>
      <c r="Z71" s="7" t="n">
        <v>94.3</v>
      </c>
      <c r="AB71" s="7" t="n">
        <v>3504.3</v>
      </c>
    </row>
    <row r="72">
      <c r="A72" s="4" t="inlineStr">
        <is>
          <t>顾问费</t>
        </is>
      </c>
      <c r="D72" s="7" t="n">
        <v>1962.5</v>
      </c>
      <c r="F72" s="7" t="n">
        <v>190.7</v>
      </c>
      <c r="H72" s="7" t="n">
        <v>3032.1</v>
      </c>
      <c r="J72" s="7" t="n">
        <v>1322.8</v>
      </c>
      <c r="L72" s="7" t="n">
        <v>1362.3</v>
      </c>
      <c r="N72" s="7" t="n">
        <v>1888.8</v>
      </c>
      <c r="P72" s="7" t="n">
        <v>1146.8</v>
      </c>
      <c r="R72" s="7" t="n">
        <v>2077.4</v>
      </c>
      <c r="T72" s="7" t="n">
        <v>747.9</v>
      </c>
      <c r="V72" s="7" t="n">
        <v>1799.8</v>
      </c>
      <c r="X72" s="7" t="n">
        <v>1437.7</v>
      </c>
      <c r="Z72" s="7" t="n">
        <v>372.2</v>
      </c>
      <c r="AB72" s="7" t="n">
        <v>17341</v>
      </c>
    </row>
    <row r="73">
      <c r="A73" s="4" t="inlineStr">
        <is>
          <t>快递费</t>
        </is>
      </c>
      <c r="D73" s="7" t="n">
        <v>976.4</v>
      </c>
      <c r="F73" s="7" t="n">
        <v>109.9</v>
      </c>
      <c r="H73" s="7" t="n">
        <v>1862.6</v>
      </c>
      <c r="J73" s="7" t="n">
        <v>878.9</v>
      </c>
      <c r="L73" s="7" t="n">
        <v>597.2</v>
      </c>
      <c r="N73" s="7" t="n">
        <v>1422.7</v>
      </c>
      <c r="P73" s="7" t="n">
        <v>718.3</v>
      </c>
      <c r="R73" s="7" t="n">
        <v>978.6</v>
      </c>
      <c r="T73" s="7" t="n">
        <v>552.1</v>
      </c>
      <c r="V73" s="7" t="n">
        <v>1600.5</v>
      </c>
      <c r="X73" s="7" t="n">
        <v>1058.7</v>
      </c>
      <c r="Z73" s="7" t="n">
        <v>258.2</v>
      </c>
      <c r="AB73" s="7" t="n">
        <v>11014.1</v>
      </c>
    </row>
    <row r="74">
      <c r="A74" s="4" t="inlineStr">
        <is>
          <t>诉讼费</t>
        </is>
      </c>
      <c r="D74" s="7" t="n">
        <v>1160.8</v>
      </c>
      <c r="F74" s="7" t="n">
        <v>86.7</v>
      </c>
      <c r="H74" s="7" t="n">
        <v>2021.7</v>
      </c>
      <c r="J74" s="7" t="n">
        <v>881</v>
      </c>
      <c r="L74" s="7" t="n">
        <v>765.9</v>
      </c>
      <c r="N74" s="7" t="n">
        <v>1387.9</v>
      </c>
      <c r="P74" s="7" t="n">
        <v>1264.1</v>
      </c>
      <c r="R74" s="7" t="n">
        <v>1054.8</v>
      </c>
      <c r="T74" s="7" t="n">
        <v>747.3</v>
      </c>
      <c r="V74" s="7" t="n">
        <v>1815.3</v>
      </c>
      <c r="X74" s="7" t="n">
        <v>891.2</v>
      </c>
      <c r="Z74" s="7" t="n">
        <v>317.8</v>
      </c>
      <c r="AB74" s="7" t="n">
        <v>12394.5</v>
      </c>
    </row>
    <row r="75">
      <c r="A75" s="4" t="inlineStr">
        <is>
          <t>会员费</t>
        </is>
      </c>
      <c r="D75" s="7" t="n">
        <v>1061.9</v>
      </c>
      <c r="F75" s="7" t="n">
        <v>99.5</v>
      </c>
      <c r="H75" s="7" t="n">
        <v>1647.1</v>
      </c>
      <c r="J75" s="7" t="n">
        <v>848.1</v>
      </c>
      <c r="L75" s="7" t="n">
        <v>768</v>
      </c>
      <c r="N75" s="7" t="n">
        <v>1564.4</v>
      </c>
      <c r="P75" s="7" t="n">
        <v>732.6</v>
      </c>
      <c r="R75" s="7" t="n">
        <v>934.2</v>
      </c>
      <c r="T75" s="7" t="n">
        <v>383.3</v>
      </c>
      <c r="V75" s="7" t="n">
        <v>1244.9</v>
      </c>
      <c r="X75" s="7" t="n">
        <v>1053.8</v>
      </c>
      <c r="Z75" s="7" t="n">
        <v>267.5</v>
      </c>
      <c r="AB75" s="7" t="n">
        <v>10605.3</v>
      </c>
    </row>
    <row r="76">
      <c r="A76" s="4" t="inlineStr">
        <is>
          <t>广告宣传费</t>
        </is>
      </c>
      <c r="D76" s="7" t="n">
        <v>7848.5</v>
      </c>
      <c r="F76" s="7" t="n">
        <v>827.2</v>
      </c>
      <c r="H76" s="7" t="n">
        <v>13204.7</v>
      </c>
      <c r="J76" s="7" t="n">
        <v>6896</v>
      </c>
      <c r="L76" s="7" t="n">
        <v>5162.2</v>
      </c>
      <c r="N76" s="7" t="n">
        <v>13934.6</v>
      </c>
      <c r="P76" s="7" t="n">
        <v>8162.2</v>
      </c>
      <c r="R76" s="7" t="n">
        <v>7743.2</v>
      </c>
      <c r="T76" s="7" t="n">
        <v>4724.5</v>
      </c>
      <c r="V76" s="7" t="n">
        <v>12697.4</v>
      </c>
      <c r="X76" s="7" t="n">
        <v>7816.8</v>
      </c>
      <c r="Z76" s="7" t="n">
        <v>1765</v>
      </c>
      <c r="AB76" s="7" t="n">
        <v>90782.3</v>
      </c>
    </row>
    <row r="77">
      <c r="A77" s="4" t="inlineStr">
        <is>
          <t>会务费</t>
        </is>
      </c>
      <c r="D77" s="7" t="n">
        <v>1383.8</v>
      </c>
      <c r="F77" s="7" t="n">
        <v>130.4</v>
      </c>
      <c r="H77" s="7" t="n">
        <v>1673.2</v>
      </c>
      <c r="J77" s="7" t="n">
        <v>938.9</v>
      </c>
      <c r="L77" s="7" t="n">
        <v>1119.6</v>
      </c>
      <c r="N77" s="7" t="n">
        <v>2370.9</v>
      </c>
      <c r="P77" s="7" t="n">
        <v>1015.4</v>
      </c>
      <c r="R77" s="7" t="n">
        <v>1907.9</v>
      </c>
      <c r="T77" s="7" t="n">
        <v>559.3</v>
      </c>
      <c r="V77" s="7" t="n">
        <v>1695.4</v>
      </c>
      <c r="X77" s="7" t="n">
        <v>1372.7</v>
      </c>
      <c r="Z77" s="7" t="n">
        <v>368</v>
      </c>
      <c r="AB77" s="7" t="n">
        <v>14535.5</v>
      </c>
    </row>
    <row r="78">
      <c r="A78" s="4" t="inlineStr">
        <is>
          <t>装修费</t>
        </is>
      </c>
      <c r="D78" s="7" t="n">
        <v>978.6</v>
      </c>
      <c r="F78" s="7" t="n">
        <v>96.8</v>
      </c>
      <c r="H78" s="7" t="n">
        <v>1201.7</v>
      </c>
      <c r="J78" s="7" t="n">
        <v>486</v>
      </c>
      <c r="L78" s="7" t="n">
        <v>831.7</v>
      </c>
      <c r="N78" s="7" t="n">
        <v>1068.7</v>
      </c>
      <c r="P78" s="7" t="n">
        <v>537</v>
      </c>
      <c r="R78" s="7" t="n">
        <v>674.1</v>
      </c>
      <c r="T78" s="7" t="n">
        <v>368.3</v>
      </c>
      <c r="V78" s="7" t="n">
        <v>1008.9</v>
      </c>
      <c r="X78" s="7" t="n">
        <v>969.2</v>
      </c>
      <c r="Z78" s="7" t="n">
        <v>234.2</v>
      </c>
      <c r="AB78" s="7" t="n">
        <v>8455.200000000001</v>
      </c>
    </row>
    <row r="79">
      <c r="A79" s="4" t="inlineStr">
        <is>
          <t>推广费</t>
        </is>
      </c>
      <c r="D79" s="7" t="n">
        <v>1128.3</v>
      </c>
      <c r="F79" s="7" t="n">
        <v>89.59999999999999</v>
      </c>
      <c r="H79" s="7" t="n">
        <v>2048.6</v>
      </c>
      <c r="J79" s="7" t="n">
        <v>914.9</v>
      </c>
      <c r="L79" s="7" t="n">
        <v>777</v>
      </c>
      <c r="N79" s="7" t="n">
        <v>1578.8</v>
      </c>
      <c r="P79" s="7" t="n">
        <v>870.3</v>
      </c>
      <c r="R79" s="7" t="n">
        <v>1345.8</v>
      </c>
      <c r="T79" s="7" t="n">
        <v>424</v>
      </c>
      <c r="V79" s="7" t="n">
        <v>1457.9</v>
      </c>
      <c r="X79" s="7" t="n">
        <v>1192.8</v>
      </c>
      <c r="Z79" s="7" t="n">
        <v>366.4</v>
      </c>
      <c r="AB79" s="7" t="n">
        <v>12194.4</v>
      </c>
    </row>
    <row r="80">
      <c r="A80" s="4" t="inlineStr">
        <is>
          <t>展会费</t>
        </is>
      </c>
      <c r="D80" s="7" t="n">
        <v>212.2</v>
      </c>
      <c r="F80" s="7" t="n">
        <v>31.1</v>
      </c>
      <c r="H80" s="7" t="n">
        <v>498.3</v>
      </c>
      <c r="J80" s="7" t="n">
        <v>232</v>
      </c>
      <c r="L80" s="7" t="n">
        <v>242.5</v>
      </c>
      <c r="N80" s="7" t="n">
        <v>303.6</v>
      </c>
      <c r="P80" s="7" t="n">
        <v>301.3</v>
      </c>
      <c r="R80" s="7" t="n">
        <v>412.8</v>
      </c>
      <c r="T80" s="7" t="n">
        <v>147.3</v>
      </c>
      <c r="V80" s="7" t="n">
        <v>471.1</v>
      </c>
      <c r="X80" s="7" t="n">
        <v>316.8</v>
      </c>
      <c r="Z80" s="7" t="n">
        <v>73.40000000000001</v>
      </c>
      <c r="AB80" s="7" t="n">
        <v>3242.4</v>
      </c>
    </row>
    <row r="81">
      <c r="A81" s="4" t="inlineStr">
        <is>
          <t>设计费</t>
        </is>
      </c>
      <c r="D81" s="7" t="n">
        <v>1585.6</v>
      </c>
      <c r="F81" s="7" t="n">
        <v>196.5</v>
      </c>
      <c r="H81" s="7" t="n">
        <v>2264.2</v>
      </c>
      <c r="J81" s="7" t="n">
        <v>909.5</v>
      </c>
      <c r="L81" s="7" t="n">
        <v>1235.5</v>
      </c>
      <c r="N81" s="7" t="n">
        <v>2104.3</v>
      </c>
      <c r="P81" s="7" t="n">
        <v>1636.7</v>
      </c>
      <c r="R81" s="7" t="n">
        <v>1874.5</v>
      </c>
      <c r="T81" s="7" t="n">
        <v>777.5</v>
      </c>
      <c r="V81" s="7" t="n">
        <v>2267.9</v>
      </c>
      <c r="X81" s="7" t="n">
        <v>1555.4</v>
      </c>
      <c r="Z81" s="7" t="n">
        <v>594.8</v>
      </c>
      <c r="AB81" s="7" t="n">
        <v>17002.4</v>
      </c>
    </row>
    <row r="82">
      <c r="A82" s="4" t="inlineStr">
        <is>
          <t>折旧费</t>
        </is>
      </c>
      <c r="D82" s="7" t="n">
        <v>9938.5</v>
      </c>
      <c r="F82" s="7" t="n">
        <v>1356.6</v>
      </c>
      <c r="H82" s="7" t="n">
        <v>15309.3</v>
      </c>
      <c r="J82" s="7" t="n">
        <v>8941.799999999999</v>
      </c>
      <c r="L82" s="7" t="n">
        <v>11532.5</v>
      </c>
      <c r="N82" s="7" t="n">
        <v>17498.3</v>
      </c>
      <c r="P82" s="7" t="n">
        <v>6640.1</v>
      </c>
      <c r="R82" s="7" t="n">
        <v>14188.3</v>
      </c>
      <c r="T82" s="7" t="n">
        <v>4392.2</v>
      </c>
      <c r="V82" s="7" t="n">
        <v>17901.8</v>
      </c>
      <c r="X82" s="7" t="n">
        <v>9385.6</v>
      </c>
      <c r="Z82" s="7" t="n">
        <v>3105.4</v>
      </c>
      <c r="AB82" s="7" t="n">
        <v>120190.4</v>
      </c>
    </row>
    <row r="83">
      <c r="A83" s="4" t="inlineStr">
        <is>
          <t>认证费</t>
        </is>
      </c>
      <c r="D83" s="7" t="n">
        <v>653.5</v>
      </c>
      <c r="F83" s="7" t="n">
        <v>50</v>
      </c>
      <c r="H83" s="7" t="n">
        <v>917.4</v>
      </c>
      <c r="J83" s="7" t="n">
        <v>326.8</v>
      </c>
      <c r="L83" s="7" t="n">
        <v>392.5</v>
      </c>
      <c r="N83" s="7" t="n">
        <v>797.1</v>
      </c>
      <c r="P83" s="7" t="n">
        <v>597.5</v>
      </c>
      <c r="R83" s="7" t="n">
        <v>509.5</v>
      </c>
      <c r="T83" s="7" t="n">
        <v>237.6</v>
      </c>
      <c r="V83" s="7" t="n">
        <v>748.3</v>
      </c>
      <c r="X83" s="7" t="n">
        <v>557.8</v>
      </c>
      <c r="Z83" s="7" t="n">
        <v>200.8</v>
      </c>
      <c r="AB83" s="7" t="n">
        <v>5988.8</v>
      </c>
    </row>
    <row r="84">
      <c r="A84" s="4" t="inlineStr">
        <is>
          <t>样品费</t>
        </is>
      </c>
      <c r="D84" s="7" t="n">
        <v>5177.4</v>
      </c>
      <c r="F84" s="7" t="n">
        <v>679.1</v>
      </c>
      <c r="H84" s="7" t="n">
        <v>6105.8</v>
      </c>
      <c r="J84" s="7" t="n">
        <v>4140</v>
      </c>
      <c r="L84" s="7" t="n">
        <v>4993</v>
      </c>
      <c r="N84" s="7" t="n">
        <v>9390.9</v>
      </c>
      <c r="P84" s="7" t="n">
        <v>4628.7</v>
      </c>
      <c r="R84" s="7" t="n">
        <v>5485.8</v>
      </c>
      <c r="T84" s="7" t="n">
        <v>2831.8</v>
      </c>
      <c r="V84" s="7" t="n">
        <v>7327.1</v>
      </c>
      <c r="X84" s="7" t="n">
        <v>4071.9</v>
      </c>
      <c r="Z84" s="7" t="n">
        <v>1821</v>
      </c>
      <c r="AB84" s="7" t="n">
        <v>56652.5</v>
      </c>
    </row>
    <row r="85">
      <c r="A85" s="4" t="inlineStr">
        <is>
          <t>劳务费</t>
        </is>
      </c>
      <c r="D85" s="7" t="n">
        <v>439.8</v>
      </c>
      <c r="F85" s="7" t="n">
        <v>60.1</v>
      </c>
      <c r="H85" s="7" t="n">
        <v>582.3</v>
      </c>
      <c r="J85" s="7" t="n">
        <v>266.9</v>
      </c>
      <c r="L85" s="7" t="n">
        <v>467</v>
      </c>
      <c r="N85" s="7" t="n">
        <v>610.7</v>
      </c>
      <c r="P85" s="7" t="n">
        <v>491.9</v>
      </c>
      <c r="R85" s="7" t="n">
        <v>542.4</v>
      </c>
      <c r="T85" s="7" t="n">
        <v>190.5</v>
      </c>
      <c r="V85" s="7" t="n">
        <v>566.5</v>
      </c>
      <c r="X85" s="7" t="n">
        <v>425.9</v>
      </c>
      <c r="Z85" s="7" t="n">
        <v>124.7</v>
      </c>
      <c r="AB85" s="7" t="n">
        <v>4768.7</v>
      </c>
    </row>
    <row r="86">
      <c r="A86" s="4" t="inlineStr">
        <is>
          <t>销售佣金</t>
        </is>
      </c>
      <c r="D86" s="7" t="n">
        <v>128.9</v>
      </c>
      <c r="F86" s="7" t="n">
        <v>15.9</v>
      </c>
      <c r="H86" s="7" t="n">
        <v>280.3</v>
      </c>
      <c r="J86" s="7" t="n">
        <v>93.40000000000001</v>
      </c>
      <c r="L86" s="7" t="n">
        <v>131.9</v>
      </c>
      <c r="N86" s="7" t="n">
        <v>190.4</v>
      </c>
      <c r="P86" s="7" t="n">
        <v>96</v>
      </c>
      <c r="R86" s="7" t="n">
        <v>212.1</v>
      </c>
      <c r="T86" s="7" t="n">
        <v>56.9</v>
      </c>
      <c r="V86" s="7" t="n">
        <v>267.8</v>
      </c>
      <c r="X86" s="7" t="n">
        <v>174</v>
      </c>
      <c r="Z86" s="7" t="n">
        <v>43.1</v>
      </c>
      <c r="AB86" s="7" t="n">
        <v>1690.7</v>
      </c>
    </row>
    <row r="87">
      <c r="A87" s="4" t="inlineStr">
        <is>
          <t>检测费</t>
        </is>
      </c>
      <c r="D87" s="7" t="n">
        <v>1834</v>
      </c>
      <c r="F87" s="7" t="n">
        <v>143.3</v>
      </c>
      <c r="H87" s="7" t="n">
        <v>2890</v>
      </c>
      <c r="J87" s="7" t="n">
        <v>856.9</v>
      </c>
      <c r="L87" s="7" t="n">
        <v>1231.8</v>
      </c>
      <c r="N87" s="7" t="n">
        <v>2060.4</v>
      </c>
      <c r="P87" s="7" t="n">
        <v>1174.6</v>
      </c>
      <c r="R87" s="7" t="n">
        <v>1956.7</v>
      </c>
      <c r="T87" s="7" t="n">
        <v>835.9</v>
      </c>
      <c r="V87" s="7" t="n">
        <v>1891.1</v>
      </c>
      <c r="X87" s="7" t="n">
        <v>1720</v>
      </c>
      <c r="Z87" s="7" t="n">
        <v>335.6</v>
      </c>
      <c r="AB87" s="7" t="n">
        <v>16930.3</v>
      </c>
    </row>
    <row r="88">
      <c r="A88" s="4" t="inlineStr">
        <is>
          <t>质量赔偿</t>
        </is>
      </c>
      <c r="D88" s="7" t="n">
        <v>195</v>
      </c>
      <c r="F88" s="7" t="n">
        <v>19.4</v>
      </c>
      <c r="H88" s="7" t="n">
        <v>325.3</v>
      </c>
      <c r="J88" s="7" t="n">
        <v>107.6</v>
      </c>
      <c r="L88" s="7" t="n">
        <v>178.3</v>
      </c>
      <c r="N88" s="7" t="n">
        <v>367.7</v>
      </c>
      <c r="P88" s="7" t="n">
        <v>183.6</v>
      </c>
      <c r="R88" s="7" t="n">
        <v>175.3</v>
      </c>
      <c r="T88" s="7" t="n">
        <v>100.1</v>
      </c>
      <c r="V88" s="7" t="n">
        <v>222.6</v>
      </c>
      <c r="X88" s="7" t="n">
        <v>209.7</v>
      </c>
      <c r="Z88" s="7" t="n">
        <v>77.40000000000001</v>
      </c>
      <c r="AB88" s="7" t="n">
        <v>2162</v>
      </c>
    </row>
    <row r="89">
      <c r="A89" s="4" t="inlineStr">
        <is>
          <t>保险费</t>
        </is>
      </c>
      <c r="D89" s="7" t="n">
        <v>1359.4</v>
      </c>
      <c r="F89" s="7" t="n">
        <v>143.3</v>
      </c>
      <c r="H89" s="7" t="n">
        <v>2349.3</v>
      </c>
      <c r="J89" s="7" t="n">
        <v>1116.6</v>
      </c>
      <c r="L89" s="7" t="n">
        <v>1208.1</v>
      </c>
      <c r="N89" s="7" t="n">
        <v>2509.4</v>
      </c>
      <c r="P89" s="7" t="n">
        <v>1412</v>
      </c>
      <c r="R89" s="7" t="n">
        <v>1668.3</v>
      </c>
      <c r="T89" s="7" t="n">
        <v>813</v>
      </c>
      <c r="V89" s="7" t="n">
        <v>2478.4</v>
      </c>
      <c r="X89" s="7" t="n">
        <v>1043.5</v>
      </c>
      <c r="Z89" s="7" t="n">
        <v>545.6</v>
      </c>
      <c r="AB89" s="7" t="n">
        <v>16646.9</v>
      </c>
    </row>
    <row r="90">
      <c r="A90" s="4" t="inlineStr">
        <is>
          <t>清洁费</t>
        </is>
      </c>
      <c r="D90" s="7" t="n">
        <v>1366.5</v>
      </c>
      <c r="F90" s="7" t="n">
        <v>121.9</v>
      </c>
      <c r="H90" s="7" t="n">
        <v>1947.4</v>
      </c>
      <c r="J90" s="7" t="n">
        <v>724.4</v>
      </c>
      <c r="L90" s="7" t="n">
        <v>777.4</v>
      </c>
      <c r="N90" s="7" t="n">
        <v>1464.2</v>
      </c>
      <c r="P90" s="7" t="n">
        <v>1146.1</v>
      </c>
      <c r="R90" s="7" t="n">
        <v>1445.1</v>
      </c>
      <c r="T90" s="7" t="n">
        <v>580.4</v>
      </c>
      <c r="V90" s="7" t="n">
        <v>1178.4</v>
      </c>
      <c r="X90" s="7" t="n">
        <v>1165.3</v>
      </c>
      <c r="Z90" s="7" t="n">
        <v>303.8</v>
      </c>
      <c r="AB90" s="7" t="n">
        <v>12220.9</v>
      </c>
    </row>
    <row r="91">
      <c r="A91" s="4" t="inlineStr">
        <is>
          <t>低值易耗品</t>
        </is>
      </c>
      <c r="D91" s="7" t="n">
        <v>1017.7</v>
      </c>
      <c r="F91" s="7" t="n">
        <v>109.2</v>
      </c>
      <c r="H91" s="7" t="n">
        <v>1393.1</v>
      </c>
      <c r="J91" s="7" t="n">
        <v>466.1</v>
      </c>
      <c r="L91" s="7" t="n">
        <v>811.2</v>
      </c>
      <c r="N91" s="7" t="n">
        <v>918.3</v>
      </c>
      <c r="P91" s="7" t="n">
        <v>966.1</v>
      </c>
      <c r="R91" s="7" t="n">
        <v>777.7</v>
      </c>
      <c r="T91" s="7" t="n">
        <v>384.6</v>
      </c>
      <c r="V91" s="7" t="n">
        <v>1310.6</v>
      </c>
      <c r="X91" s="7" t="n">
        <v>792</v>
      </c>
      <c r="Z91" s="7" t="n">
        <v>242.4</v>
      </c>
      <c r="AB91" s="7" t="n">
        <v>9189</v>
      </c>
    </row>
    <row r="92">
      <c r="A92" s="4" t="inlineStr">
        <is>
          <t>物料消耗</t>
        </is>
      </c>
      <c r="D92" s="7" t="n">
        <v>1044.8</v>
      </c>
      <c r="F92" s="7" t="n">
        <v>114.1</v>
      </c>
      <c r="H92" s="7" t="n">
        <v>2040.1</v>
      </c>
      <c r="J92" s="7" t="n">
        <v>971</v>
      </c>
      <c r="L92" s="7" t="n">
        <v>1036.8</v>
      </c>
      <c r="N92" s="7" t="n">
        <v>1522.3</v>
      </c>
      <c r="P92" s="7" t="n">
        <v>1267.1</v>
      </c>
      <c r="R92" s="7" t="n">
        <v>1705.5</v>
      </c>
      <c r="T92" s="7" t="n">
        <v>465.9</v>
      </c>
      <c r="V92" s="7" t="n">
        <v>2038.8</v>
      </c>
      <c r="X92" s="7" t="n">
        <v>974.9</v>
      </c>
      <c r="Z92" s="7" t="n">
        <v>300.6</v>
      </c>
      <c r="AB92" s="7" t="n">
        <v>13481.9</v>
      </c>
    </row>
    <row r="93">
      <c r="A93" s="4" t="inlineStr">
        <is>
          <t>盘盈盘亏</t>
        </is>
      </c>
      <c r="D93" s="7" t="n">
        <v>48.1</v>
      </c>
      <c r="F93" s="7" t="n">
        <v>5.5</v>
      </c>
      <c r="H93" s="7" t="n">
        <v>84.3</v>
      </c>
      <c r="J93" s="7" t="n">
        <v>33.3</v>
      </c>
      <c r="L93" s="7" t="n">
        <v>49.1</v>
      </c>
      <c r="N93" s="7" t="n">
        <v>58.1</v>
      </c>
      <c r="P93" s="7" t="n">
        <v>35.7</v>
      </c>
      <c r="R93" s="7" t="n">
        <v>45.5</v>
      </c>
      <c r="T93" s="7" t="n">
        <v>18.9</v>
      </c>
      <c r="V93" s="7" t="n">
        <v>60.1</v>
      </c>
      <c r="X93" s="7" t="n">
        <v>43.9</v>
      </c>
      <c r="Z93" s="7" t="n">
        <v>12.5</v>
      </c>
      <c r="AB93" s="7" t="n">
        <v>495</v>
      </c>
    </row>
    <row r="94">
      <c r="A94" s="4" t="inlineStr">
        <is>
          <t>平台服务费</t>
        </is>
      </c>
      <c r="D94" s="7" t="n">
        <v>1344</v>
      </c>
      <c r="F94" s="7" t="n">
        <v>148.4</v>
      </c>
      <c r="H94" s="7" t="n">
        <v>2015.5</v>
      </c>
      <c r="J94" s="7" t="n">
        <v>1437.6</v>
      </c>
      <c r="L94" s="7" t="n">
        <v>1327.7</v>
      </c>
      <c r="N94" s="7" t="n">
        <v>2779.1</v>
      </c>
      <c r="P94" s="7" t="n">
        <v>1324.8</v>
      </c>
      <c r="R94" s="7" t="n">
        <v>1874.7</v>
      </c>
      <c r="T94" s="7" t="n">
        <v>936.6</v>
      </c>
      <c r="V94" s="7" t="n">
        <v>2781.7</v>
      </c>
      <c r="X94" s="7" t="n">
        <v>1525</v>
      </c>
      <c r="Z94" s="7" t="n">
        <v>499.4</v>
      </c>
      <c r="AB94" s="7" t="n">
        <v>17994.5</v>
      </c>
    </row>
    <row r="95">
      <c r="A95" s="4" t="inlineStr">
        <is>
          <t>无形资产摊销</t>
        </is>
      </c>
      <c r="D95" s="7" t="n">
        <v>568.2</v>
      </c>
      <c r="F95" s="7" t="n">
        <v>64.3</v>
      </c>
      <c r="H95" s="7" t="n">
        <v>1305.5</v>
      </c>
      <c r="J95" s="7" t="n">
        <v>373.7</v>
      </c>
      <c r="L95" s="7" t="n">
        <v>472.8</v>
      </c>
      <c r="N95" s="7" t="n">
        <v>1231.7</v>
      </c>
      <c r="P95" s="7" t="n">
        <v>692.8</v>
      </c>
      <c r="R95" s="7" t="n">
        <v>639.3</v>
      </c>
      <c r="T95" s="7" t="n">
        <v>401.9</v>
      </c>
      <c r="V95" s="7" t="n">
        <v>800.6</v>
      </c>
      <c r="X95" s="7" t="n">
        <v>695.8</v>
      </c>
      <c r="Z95" s="7" t="n">
        <v>233.7</v>
      </c>
      <c r="AB95" s="7" t="n">
        <v>7480.3</v>
      </c>
    </row>
    <row r="96">
      <c r="A96" s="4" t="inlineStr">
        <is>
          <t>研发材料</t>
        </is>
      </c>
      <c r="D96" s="7" t="n">
        <v>1153.6</v>
      </c>
      <c r="F96" s="7" t="n">
        <v>106</v>
      </c>
      <c r="H96" s="7" t="n">
        <v>2663.1</v>
      </c>
      <c r="J96" s="7" t="n">
        <v>1095.8</v>
      </c>
      <c r="L96" s="7" t="n">
        <v>1010.2</v>
      </c>
      <c r="N96" s="7" t="n">
        <v>1581.4</v>
      </c>
      <c r="P96" s="7" t="n">
        <v>879.7</v>
      </c>
      <c r="R96" s="7" t="n">
        <v>1513.2</v>
      </c>
      <c r="T96" s="7" t="n">
        <v>460.8</v>
      </c>
      <c r="V96" s="7" t="n">
        <v>2301.4</v>
      </c>
      <c r="X96" s="7" t="n">
        <v>1236.7</v>
      </c>
      <c r="Z96" s="7" t="n">
        <v>501.6</v>
      </c>
      <c r="AB96" s="7" t="n">
        <v>14503.5</v>
      </c>
    </row>
    <row r="97">
      <c r="A97" s="4" t="inlineStr">
        <is>
          <t>项目名称</t>
        </is>
      </c>
      <c r="D97" s="7" t="n">
        <v>777.1</v>
      </c>
      <c r="F97" s="7" t="n">
        <v>74</v>
      </c>
      <c r="H97" s="7" t="n">
        <v>937.3</v>
      </c>
      <c r="J97" s="7" t="n">
        <v>531.1</v>
      </c>
      <c r="L97" s="7" t="n">
        <v>459.4</v>
      </c>
      <c r="N97" s="7" t="n">
        <v>1139.8</v>
      </c>
      <c r="P97" s="7" t="n">
        <v>407.2</v>
      </c>
      <c r="R97" s="7" t="n">
        <v>798.2</v>
      </c>
      <c r="T97" s="7" t="n">
        <v>289</v>
      </c>
      <c r="V97" s="7" t="n">
        <v>905.3</v>
      </c>
      <c r="X97" s="7" t="n">
        <v>790.9</v>
      </c>
      <c r="Z97" s="7" t="n">
        <v>169</v>
      </c>
      <c r="AB97" s="7" t="n">
        <v>7278.3</v>
      </c>
    </row>
    <row r="98">
      <c r="A98" s="4" t="inlineStr">
        <is>
          <t>研发费</t>
        </is>
      </c>
      <c r="D98" s="7" t="n">
        <v>1000.5</v>
      </c>
      <c r="F98" s="7" t="n">
        <v>88.09999999999999</v>
      </c>
      <c r="H98" s="7" t="n">
        <v>1512.9</v>
      </c>
      <c r="J98" s="7" t="n">
        <v>833.1</v>
      </c>
      <c r="L98" s="7" t="n">
        <v>739.8</v>
      </c>
      <c r="N98" s="7" t="n">
        <v>1270</v>
      </c>
      <c r="P98" s="7" t="n">
        <v>1106</v>
      </c>
      <c r="R98" s="7" t="n">
        <v>1552.4</v>
      </c>
      <c r="T98" s="7" t="n">
        <v>416.2</v>
      </c>
      <c r="V98" s="7" t="n">
        <v>1986.3</v>
      </c>
      <c r="X98" s="7" t="n">
        <v>1385.6</v>
      </c>
      <c r="Z98" s="7" t="n">
        <v>391.1</v>
      </c>
      <c r="AB98" s="7" t="n">
        <v>12282</v>
      </c>
    </row>
    <row r="99">
      <c r="A99" s="4" t="inlineStr">
        <is>
          <t>残保金</t>
        </is>
      </c>
      <c r="D99" s="7" t="n">
        <v>609.8</v>
      </c>
      <c r="F99" s="7" t="n">
        <v>51.3</v>
      </c>
      <c r="H99" s="7" t="n">
        <v>821.7</v>
      </c>
      <c r="J99" s="7" t="n">
        <v>581</v>
      </c>
      <c r="L99" s="7" t="n">
        <v>699.6</v>
      </c>
      <c r="N99" s="7" t="n">
        <v>1052.4</v>
      </c>
      <c r="P99" s="7" t="n">
        <v>674.4</v>
      </c>
      <c r="R99" s="7" t="n">
        <v>623</v>
      </c>
      <c r="T99" s="7" t="n">
        <v>398.1</v>
      </c>
      <c r="V99" s="7" t="n">
        <v>739.1</v>
      </c>
      <c r="X99" s="7" t="n">
        <v>520.1</v>
      </c>
      <c r="Z99" s="7" t="n">
        <v>204.5</v>
      </c>
      <c r="AB99" s="7" t="n">
        <v>6975</v>
      </c>
    </row>
    <row r="100">
      <c r="A100" s="4" t="inlineStr">
        <is>
          <t>环保费</t>
        </is>
      </c>
      <c r="D100" s="7" t="n">
        <v>568.9</v>
      </c>
      <c r="F100" s="7" t="n">
        <v>66.2</v>
      </c>
      <c r="H100" s="7" t="n">
        <v>723.5</v>
      </c>
      <c r="J100" s="7" t="n">
        <v>338.5</v>
      </c>
      <c r="L100" s="7" t="n">
        <v>526.8</v>
      </c>
      <c r="N100" s="7" t="n">
        <v>680.3</v>
      </c>
      <c r="P100" s="7" t="n">
        <v>577.3</v>
      </c>
      <c r="R100" s="7" t="n">
        <v>456.9</v>
      </c>
      <c r="T100" s="7" t="n">
        <v>326.7</v>
      </c>
      <c r="V100" s="7" t="n">
        <v>992.1</v>
      </c>
      <c r="X100" s="7" t="n">
        <v>390.9</v>
      </c>
      <c r="Z100" s="7" t="n">
        <v>156.2</v>
      </c>
      <c r="AB100" s="7" t="n">
        <v>5804.3</v>
      </c>
    </row>
    <row r="101">
      <c r="A101" s="4" t="inlineStr">
        <is>
          <t>报废损失</t>
        </is>
      </c>
      <c r="D101" s="7" t="n">
        <v>1050.3</v>
      </c>
      <c r="F101" s="7" t="n">
        <v>82.59999999999999</v>
      </c>
      <c r="H101" s="7" t="n">
        <v>1167.5</v>
      </c>
      <c r="J101" s="7" t="n">
        <v>918.2</v>
      </c>
      <c r="L101" s="7" t="n">
        <v>665.1</v>
      </c>
      <c r="N101" s="7" t="n">
        <v>1913.2</v>
      </c>
      <c r="P101" s="7" t="n">
        <v>702.5</v>
      </c>
      <c r="R101" s="7" t="n">
        <v>1222</v>
      </c>
      <c r="T101" s="7" t="n">
        <v>673.7</v>
      </c>
      <c r="V101" s="7" t="n">
        <v>1886.5</v>
      </c>
      <c r="X101" s="7" t="n">
        <v>1073.3</v>
      </c>
      <c r="Z101" s="7" t="n">
        <v>257.4</v>
      </c>
      <c r="AB101" s="7" t="n">
        <v>11612.3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88129</v>
      </c>
      <c r="D102" s="7" t="n">
        <v>65792.10000000001</v>
      </c>
      <c r="E102" s="7" t="n">
        <v>72449.2</v>
      </c>
      <c r="F102" s="7" t="n">
        <v>10201.3</v>
      </c>
      <c r="G102" s="7" t="n">
        <v>72999.8</v>
      </c>
      <c r="H102" s="7" t="n">
        <v>84735.5</v>
      </c>
      <c r="I102" s="7" t="n">
        <v>70859.5</v>
      </c>
      <c r="J102" s="7" t="n">
        <v>50401.8</v>
      </c>
      <c r="K102" s="7" t="n">
        <v>90288.89999999999</v>
      </c>
      <c r="L102" s="7" t="n">
        <v>153631.7</v>
      </c>
      <c r="M102" s="7" t="n">
        <v>73149.10000000001</v>
      </c>
      <c r="N102" s="7" t="n">
        <v>61353</v>
      </c>
      <c r="O102" s="7" t="n">
        <v>69720.7</v>
      </c>
      <c r="P102" s="7" t="n">
        <v>83619.3</v>
      </c>
      <c r="Q102" s="7" t="n">
        <v>70022.10000000001</v>
      </c>
      <c r="R102" s="7" t="n">
        <v>72869.10000000001</v>
      </c>
      <c r="S102" s="7" t="n">
        <v>77412.60000000001</v>
      </c>
      <c r="T102" s="7" t="n">
        <v>71714.8</v>
      </c>
      <c r="U102" s="7" t="n">
        <v>88964.7</v>
      </c>
      <c r="V102" s="7" t="n">
        <v>156548.1</v>
      </c>
      <c r="W102" s="7" t="n">
        <v>70271.7</v>
      </c>
      <c r="X102" s="7" t="n">
        <v>102031.4</v>
      </c>
      <c r="Y102" s="7" t="n">
        <v>73165.10000000001</v>
      </c>
      <c r="Z102" s="7" t="n">
        <v>43647.4</v>
      </c>
      <c r="AA102" s="8" t="n">
        <v>917432.4</v>
      </c>
      <c r="AB102" s="8" t="n">
        <v>956545.5</v>
      </c>
    </row>
    <row r="103">
      <c r="A103" s="4" t="inlineStr">
        <is>
          <t>职工薪酬</t>
        </is>
      </c>
      <c r="D103" s="7" t="n">
        <v>33242.1</v>
      </c>
      <c r="F103" s="7" t="n">
        <v>6228.6</v>
      </c>
      <c r="H103" s="7" t="n">
        <v>37858.6</v>
      </c>
      <c r="J103" s="7" t="n">
        <v>28813.8</v>
      </c>
      <c r="L103" s="7" t="n">
        <v>80475</v>
      </c>
      <c r="N103" s="7" t="n">
        <v>26726.1</v>
      </c>
      <c r="P103" s="7" t="n">
        <v>40043.2</v>
      </c>
      <c r="R103" s="7" t="n">
        <v>32838.1</v>
      </c>
      <c r="T103" s="7" t="n">
        <v>31171.8</v>
      </c>
      <c r="V103" s="7" t="n">
        <v>69497.7</v>
      </c>
      <c r="X103" s="7" t="n">
        <v>58719.8</v>
      </c>
      <c r="Z103" s="7" t="n">
        <v>18435.1</v>
      </c>
      <c r="AB103" s="7" t="n">
        <v>464049.9</v>
      </c>
    </row>
    <row r="104">
      <c r="A104" s="4" t="inlineStr">
        <is>
          <t>工资</t>
        </is>
      </c>
      <c r="D104" s="7" t="n">
        <v>20677.6</v>
      </c>
      <c r="F104" s="7" t="n">
        <v>3858.5</v>
      </c>
      <c r="H104" s="7" t="n">
        <v>18316.5</v>
      </c>
      <c r="J104" s="7" t="n">
        <v>18804</v>
      </c>
      <c r="L104" s="7" t="n">
        <v>42910.2</v>
      </c>
      <c r="N104" s="7" t="n">
        <v>13414.4</v>
      </c>
      <c r="P104" s="7" t="n">
        <v>20538.7</v>
      </c>
      <c r="R104" s="7" t="n">
        <v>17692</v>
      </c>
      <c r="T104" s="7" t="n">
        <v>16905.5</v>
      </c>
      <c r="V104" s="7" t="n">
        <v>33836.4</v>
      </c>
      <c r="X104" s="7" t="n">
        <v>36023.1</v>
      </c>
      <c r="Z104" s="7" t="n">
        <v>10437.8</v>
      </c>
      <c r="AB104" s="7" t="n">
        <v>253414.7</v>
      </c>
    </row>
    <row r="105">
      <c r="A105" s="4" t="inlineStr">
        <is>
          <t>奖金及提成</t>
        </is>
      </c>
      <c r="D105" s="7" t="n">
        <v>5878.7</v>
      </c>
      <c r="F105" s="7" t="n">
        <v>1064.3</v>
      </c>
      <c r="H105" s="7" t="n">
        <v>8391.4</v>
      </c>
      <c r="J105" s="7" t="n">
        <v>4568.1</v>
      </c>
      <c r="L105" s="7" t="n">
        <v>16549.6</v>
      </c>
      <c r="N105" s="7" t="n">
        <v>7302.2</v>
      </c>
      <c r="P105" s="7" t="n">
        <v>8749.299999999999</v>
      </c>
      <c r="R105" s="7" t="n">
        <v>7077.5</v>
      </c>
      <c r="T105" s="7" t="n">
        <v>5944.5</v>
      </c>
      <c r="V105" s="7" t="n">
        <v>16794.3</v>
      </c>
      <c r="X105" s="7" t="n">
        <v>10484</v>
      </c>
      <c r="Z105" s="7" t="n">
        <v>3363.9</v>
      </c>
      <c r="AB105" s="7" t="n">
        <v>96167.8</v>
      </c>
    </row>
    <row r="106">
      <c r="A106" s="4" t="inlineStr">
        <is>
          <t>社保</t>
        </is>
      </c>
      <c r="D106" s="7" t="n">
        <v>4566.4</v>
      </c>
      <c r="F106" s="7" t="n">
        <v>947.6</v>
      </c>
      <c r="H106" s="7" t="n">
        <v>8502.9</v>
      </c>
      <c r="J106" s="7" t="n">
        <v>3638.4</v>
      </c>
      <c r="L106" s="7" t="n">
        <v>15185.2</v>
      </c>
      <c r="N106" s="7" t="n">
        <v>4187.6</v>
      </c>
      <c r="P106" s="7" t="n">
        <v>7921.7</v>
      </c>
      <c r="R106" s="7" t="n">
        <v>5785.3</v>
      </c>
      <c r="T106" s="7" t="n">
        <v>5905.5</v>
      </c>
      <c r="V106" s="7" t="n">
        <v>13750.5</v>
      </c>
      <c r="X106" s="7" t="n">
        <v>8985.4</v>
      </c>
      <c r="Z106" s="7" t="n">
        <v>3161.6</v>
      </c>
      <c r="AB106" s="7" t="n">
        <v>82538.10000000001</v>
      </c>
    </row>
    <row r="107">
      <c r="A107" s="4" t="inlineStr">
        <is>
          <t>养老</t>
        </is>
      </c>
      <c r="D107" s="7" t="n">
        <v>165.2</v>
      </c>
      <c r="F107" s="7" t="n">
        <v>31.9</v>
      </c>
      <c r="H107" s="7" t="n">
        <v>313</v>
      </c>
      <c r="J107" s="7" t="n">
        <v>219.4</v>
      </c>
      <c r="L107" s="7" t="n">
        <v>405.7</v>
      </c>
      <c r="N107" s="7" t="n">
        <v>174.6</v>
      </c>
      <c r="P107" s="7" t="n">
        <v>277.4</v>
      </c>
      <c r="R107" s="7" t="n">
        <v>190.2</v>
      </c>
      <c r="T107" s="7" t="n">
        <v>251.5</v>
      </c>
      <c r="V107" s="7" t="n">
        <v>467.5</v>
      </c>
      <c r="X107" s="7" t="n">
        <v>425.1</v>
      </c>
      <c r="Z107" s="7" t="n">
        <v>131.4</v>
      </c>
      <c r="AB107" s="7" t="n">
        <v>3052.9</v>
      </c>
    </row>
    <row r="108">
      <c r="A108" s="4" t="inlineStr">
        <is>
          <t>医疗</t>
        </is>
      </c>
      <c r="D108" s="7" t="n">
        <v>242.9</v>
      </c>
      <c r="F108" s="7" t="n">
        <v>21.9</v>
      </c>
      <c r="H108" s="7" t="n">
        <v>295.7</v>
      </c>
      <c r="J108" s="7" t="n">
        <v>144.6</v>
      </c>
      <c r="L108" s="7" t="n">
        <v>412.4</v>
      </c>
      <c r="N108" s="7" t="n">
        <v>221.9</v>
      </c>
      <c r="P108" s="7" t="n">
        <v>310.7</v>
      </c>
      <c r="R108" s="7" t="n">
        <v>170.3</v>
      </c>
      <c r="T108" s="7" t="n">
        <v>247</v>
      </c>
      <c r="V108" s="7" t="n">
        <v>373</v>
      </c>
      <c r="X108" s="7" t="n">
        <v>207.2</v>
      </c>
      <c r="Z108" s="7" t="n">
        <v>142.3</v>
      </c>
      <c r="AB108" s="7" t="n">
        <v>2789.9</v>
      </c>
    </row>
    <row r="109">
      <c r="A109" s="4" t="inlineStr">
        <is>
          <t>工伤</t>
        </is>
      </c>
      <c r="D109" s="7" t="n">
        <v>161.9</v>
      </c>
      <c r="F109" s="7" t="n">
        <v>18.7</v>
      </c>
      <c r="H109" s="7" t="n">
        <v>239.1</v>
      </c>
      <c r="J109" s="7" t="n">
        <v>118.7</v>
      </c>
      <c r="L109" s="7" t="n">
        <v>420.8</v>
      </c>
      <c r="N109" s="7" t="n">
        <v>130.7</v>
      </c>
      <c r="P109" s="7" t="n">
        <v>162.7</v>
      </c>
      <c r="R109" s="7" t="n">
        <v>214.5</v>
      </c>
      <c r="T109" s="7" t="n">
        <v>169.5</v>
      </c>
      <c r="V109" s="7" t="n">
        <v>336</v>
      </c>
      <c r="X109" s="7" t="n">
        <v>180</v>
      </c>
      <c r="Z109" s="7" t="n">
        <v>81</v>
      </c>
      <c r="AB109" s="7" t="n">
        <v>2233.6</v>
      </c>
    </row>
    <row r="110">
      <c r="A110" s="4" t="inlineStr">
        <is>
          <t>失业</t>
        </is>
      </c>
      <c r="D110" s="7" t="n">
        <v>293.1</v>
      </c>
      <c r="F110" s="7" t="n">
        <v>51.2</v>
      </c>
      <c r="H110" s="7" t="n">
        <v>405.6</v>
      </c>
      <c r="J110" s="7" t="n">
        <v>165.9</v>
      </c>
      <c r="L110" s="7" t="n">
        <v>808.6</v>
      </c>
      <c r="N110" s="7" t="n">
        <v>272</v>
      </c>
      <c r="P110" s="7" t="n">
        <v>422.6</v>
      </c>
      <c r="R110" s="7" t="n">
        <v>262.8</v>
      </c>
      <c r="T110" s="7" t="n">
        <v>380.5</v>
      </c>
      <c r="V110" s="7" t="n">
        <v>826.5</v>
      </c>
      <c r="X110" s="7" t="n">
        <v>372.6</v>
      </c>
      <c r="Z110" s="7" t="n">
        <v>225.2</v>
      </c>
      <c r="AB110" s="7" t="n">
        <v>4486.6</v>
      </c>
    </row>
    <row r="111">
      <c r="A111" s="4" t="inlineStr">
        <is>
          <t>生育</t>
        </is>
      </c>
      <c r="D111" s="7" t="n">
        <v>518.4</v>
      </c>
      <c r="F111" s="7" t="n">
        <v>63.8</v>
      </c>
      <c r="H111" s="7" t="n">
        <v>422.2</v>
      </c>
      <c r="J111" s="7" t="n">
        <v>405.7</v>
      </c>
      <c r="L111" s="7" t="n">
        <v>685.7</v>
      </c>
      <c r="N111" s="7" t="n">
        <v>332.7</v>
      </c>
      <c r="P111" s="7" t="n">
        <v>550.8</v>
      </c>
      <c r="R111" s="7" t="n">
        <v>412</v>
      </c>
      <c r="T111" s="7" t="n">
        <v>573.1</v>
      </c>
      <c r="V111" s="7" t="n">
        <v>1065.5</v>
      </c>
      <c r="X111" s="7" t="n">
        <v>829.5</v>
      </c>
      <c r="Z111" s="7" t="n">
        <v>204.6</v>
      </c>
      <c r="AB111" s="7" t="n">
        <v>6064</v>
      </c>
    </row>
    <row r="112">
      <c r="A112" s="4" t="inlineStr">
        <is>
          <t>公积金</t>
        </is>
      </c>
      <c r="D112" s="7" t="n">
        <v>139.2</v>
      </c>
      <c r="F112" s="7" t="n">
        <v>32.8</v>
      </c>
      <c r="H112" s="7" t="n">
        <v>264.2</v>
      </c>
      <c r="J112" s="7" t="n">
        <v>160.6</v>
      </c>
      <c r="L112" s="7" t="n">
        <v>525.3</v>
      </c>
      <c r="N112" s="7" t="n">
        <v>139.6</v>
      </c>
      <c r="P112" s="7" t="n">
        <v>263.7</v>
      </c>
      <c r="R112" s="7" t="n">
        <v>213.3</v>
      </c>
      <c r="T112" s="7" t="n">
        <v>180.4</v>
      </c>
      <c r="V112" s="7" t="n">
        <v>343.8</v>
      </c>
      <c r="X112" s="7" t="n">
        <v>329.6</v>
      </c>
      <c r="Z112" s="7" t="n">
        <v>87.2</v>
      </c>
      <c r="AB112" s="7" t="n">
        <v>2679.7</v>
      </c>
    </row>
    <row r="113">
      <c r="A113" s="4" t="inlineStr">
        <is>
          <t>工会经费</t>
        </is>
      </c>
      <c r="D113" s="7" t="n">
        <v>359.8</v>
      </c>
      <c r="F113" s="7" t="n">
        <v>79.59999999999999</v>
      </c>
      <c r="H113" s="7" t="n">
        <v>414.4</v>
      </c>
      <c r="J113" s="7" t="n">
        <v>364.2</v>
      </c>
      <c r="L113" s="7" t="n">
        <v>1229.2</v>
      </c>
      <c r="N113" s="7" t="n">
        <v>306.6</v>
      </c>
      <c r="P113" s="7" t="n">
        <v>510.3</v>
      </c>
      <c r="R113" s="7" t="n">
        <v>507.9</v>
      </c>
      <c r="T113" s="7" t="n">
        <v>523.9</v>
      </c>
      <c r="V113" s="7" t="n">
        <v>698.6</v>
      </c>
      <c r="X113" s="7" t="n">
        <v>496.5</v>
      </c>
      <c r="Z113" s="7" t="n">
        <v>244.5</v>
      </c>
      <c r="AB113" s="7" t="n">
        <v>5735.5</v>
      </c>
    </row>
    <row r="114">
      <c r="A114" s="4" t="inlineStr">
        <is>
          <t>职工教育经费</t>
        </is>
      </c>
      <c r="D114" s="7" t="n">
        <v>47.7</v>
      </c>
      <c r="F114" s="7" t="n">
        <v>6.7</v>
      </c>
      <c r="H114" s="7" t="n">
        <v>62.5</v>
      </c>
      <c r="J114" s="7" t="n">
        <v>29.8</v>
      </c>
      <c r="L114" s="7" t="n">
        <v>80.09999999999999</v>
      </c>
      <c r="N114" s="7" t="n">
        <v>47.3</v>
      </c>
      <c r="P114" s="7" t="n">
        <v>54.7</v>
      </c>
      <c r="R114" s="7" t="n">
        <v>36.4</v>
      </c>
      <c r="T114" s="7" t="n">
        <v>62.1</v>
      </c>
      <c r="V114" s="7" t="n">
        <v>131.3</v>
      </c>
      <c r="X114" s="7" t="n">
        <v>62.1</v>
      </c>
      <c r="Z114" s="7" t="n">
        <v>25.4</v>
      </c>
      <c r="AB114" s="7" t="n">
        <v>646.1</v>
      </c>
    </row>
    <row r="115">
      <c r="A115" s="4" t="inlineStr">
        <is>
          <t>福利费</t>
        </is>
      </c>
      <c r="D115" s="7" t="n">
        <v>1572.7</v>
      </c>
      <c r="F115" s="7" t="n">
        <v>239.1</v>
      </c>
      <c r="H115" s="7" t="n">
        <v>1906.7</v>
      </c>
      <c r="J115" s="7" t="n">
        <v>1248.7</v>
      </c>
      <c r="L115" s="7" t="n">
        <v>3995.4</v>
      </c>
      <c r="N115" s="7" t="n">
        <v>1328.4</v>
      </c>
      <c r="P115" s="7" t="n">
        <v>2004.8</v>
      </c>
      <c r="R115" s="7" t="n">
        <v>1525.7</v>
      </c>
      <c r="T115" s="7" t="n">
        <v>1649.9</v>
      </c>
      <c r="V115" s="7" t="n">
        <v>3942.8</v>
      </c>
      <c r="X115" s="7" t="n">
        <v>2339.1</v>
      </c>
      <c r="Z115" s="7" t="n">
        <v>1114.7</v>
      </c>
      <c r="AB115" s="7" t="n">
        <v>22868</v>
      </c>
    </row>
    <row r="116">
      <c r="A116" s="4" t="inlineStr">
        <is>
          <t>职工房租</t>
        </is>
      </c>
      <c r="D116" s="7" t="n">
        <v>457.1</v>
      </c>
      <c r="F116" s="7" t="n">
        <v>70.7</v>
      </c>
      <c r="H116" s="7" t="n">
        <v>508.6</v>
      </c>
      <c r="J116" s="7" t="n">
        <v>402.8</v>
      </c>
      <c r="L116" s="7" t="n">
        <v>1104.5</v>
      </c>
      <c r="N116" s="7" t="n">
        <v>482.4</v>
      </c>
      <c r="P116" s="7" t="n">
        <v>699</v>
      </c>
      <c r="R116" s="7" t="n">
        <v>454.3</v>
      </c>
      <c r="T116" s="7" t="n">
        <v>508</v>
      </c>
      <c r="V116" s="7" t="n">
        <v>1248.5</v>
      </c>
      <c r="X116" s="7" t="n">
        <v>579.4</v>
      </c>
      <c r="Z116" s="7" t="n">
        <v>323.9</v>
      </c>
      <c r="AB116" s="7" t="n">
        <v>6839.2</v>
      </c>
    </row>
    <row r="117">
      <c r="A117" s="4" t="inlineStr">
        <is>
          <t>水电物业费</t>
        </is>
      </c>
      <c r="D117" s="7" t="n">
        <v>101.3</v>
      </c>
      <c r="F117" s="7" t="n">
        <v>18.5</v>
      </c>
      <c r="H117" s="7" t="n">
        <v>145.9</v>
      </c>
      <c r="J117" s="7" t="n">
        <v>109.6</v>
      </c>
      <c r="L117" s="7" t="n">
        <v>358.5</v>
      </c>
      <c r="N117" s="7" t="n">
        <v>83.2</v>
      </c>
      <c r="P117" s="7" t="n">
        <v>115.1</v>
      </c>
      <c r="R117" s="7" t="n">
        <v>156</v>
      </c>
      <c r="T117" s="7" t="n">
        <v>109.7</v>
      </c>
      <c r="V117" s="7" t="n">
        <v>282.3</v>
      </c>
      <c r="X117" s="7" t="n">
        <v>194.7</v>
      </c>
      <c r="Z117" s="7" t="n">
        <v>86.8</v>
      </c>
      <c r="AB117" s="7" t="n">
        <v>1761.6</v>
      </c>
    </row>
    <row r="118">
      <c r="A118" s="4" t="inlineStr">
        <is>
          <t>员工餐</t>
        </is>
      </c>
      <c r="D118" s="7" t="n">
        <v>52.4</v>
      </c>
      <c r="F118" s="7" t="n">
        <v>7.8</v>
      </c>
      <c r="H118" s="7" t="n">
        <v>59.9</v>
      </c>
      <c r="J118" s="7" t="n">
        <v>41.3</v>
      </c>
      <c r="L118" s="7" t="n">
        <v>96.90000000000001</v>
      </c>
      <c r="N118" s="7" t="n">
        <v>42.3</v>
      </c>
      <c r="P118" s="7" t="n">
        <v>71.59999999999999</v>
      </c>
      <c r="R118" s="7" t="n">
        <v>46.2</v>
      </c>
      <c r="T118" s="7" t="n">
        <v>51.9</v>
      </c>
      <c r="V118" s="7" t="n">
        <v>112.5</v>
      </c>
      <c r="X118" s="7" t="n">
        <v>81.8</v>
      </c>
      <c r="Z118" s="7" t="n">
        <v>37.9</v>
      </c>
      <c r="AB118" s="7" t="n">
        <v>702.5</v>
      </c>
    </row>
    <row r="119">
      <c r="A119" s="4" t="inlineStr">
        <is>
          <t>节日礼品</t>
        </is>
      </c>
      <c r="D119" s="7" t="n">
        <v>191.3</v>
      </c>
      <c r="F119" s="7" t="n">
        <v>44.6</v>
      </c>
      <c r="H119" s="7" t="n">
        <v>293.1</v>
      </c>
      <c r="J119" s="7" t="n">
        <v>209.9</v>
      </c>
      <c r="L119" s="7" t="n">
        <v>720.4</v>
      </c>
      <c r="N119" s="7" t="n">
        <v>220.7</v>
      </c>
      <c r="P119" s="7" t="n">
        <v>295.5</v>
      </c>
      <c r="R119" s="7" t="n">
        <v>315.4</v>
      </c>
      <c r="T119" s="7" t="n">
        <v>245.9</v>
      </c>
      <c r="V119" s="7" t="n">
        <v>693.1</v>
      </c>
      <c r="X119" s="7" t="n">
        <v>466.5</v>
      </c>
      <c r="Z119" s="7" t="n">
        <v>172</v>
      </c>
      <c r="AB119" s="7" t="n">
        <v>3868.4</v>
      </c>
    </row>
    <row r="120">
      <c r="A120" s="4" t="inlineStr">
        <is>
          <t>生日礼品</t>
        </is>
      </c>
      <c r="D120" s="7" t="n">
        <v>285.1</v>
      </c>
      <c r="F120" s="7" t="n">
        <v>41.5</v>
      </c>
      <c r="H120" s="7" t="n">
        <v>312.8</v>
      </c>
      <c r="J120" s="7" t="n">
        <v>201.6</v>
      </c>
      <c r="L120" s="7" t="n">
        <v>580.1</v>
      </c>
      <c r="N120" s="7" t="n">
        <v>150.5</v>
      </c>
      <c r="P120" s="7" t="n">
        <v>298.2</v>
      </c>
      <c r="R120" s="7" t="n">
        <v>178.5</v>
      </c>
      <c r="T120" s="7" t="n">
        <v>311.6</v>
      </c>
      <c r="V120" s="7" t="n">
        <v>407.5</v>
      </c>
      <c r="X120" s="7" t="n">
        <v>438</v>
      </c>
      <c r="Z120" s="7" t="n">
        <v>176.7</v>
      </c>
      <c r="AB120" s="7" t="n">
        <v>3382.1</v>
      </c>
    </row>
    <row r="121">
      <c r="A121" s="4" t="inlineStr">
        <is>
          <t>体检</t>
        </is>
      </c>
      <c r="D121" s="7" t="n">
        <v>380.5</v>
      </c>
      <c r="F121" s="7" t="n">
        <v>41.6</v>
      </c>
      <c r="H121" s="7" t="n">
        <v>482.5</v>
      </c>
      <c r="J121" s="7" t="n">
        <v>218.4</v>
      </c>
      <c r="L121" s="7" t="n">
        <v>943.2</v>
      </c>
      <c r="N121" s="7" t="n">
        <v>249.1</v>
      </c>
      <c r="P121" s="7" t="n">
        <v>386.8</v>
      </c>
      <c r="R121" s="7" t="n">
        <v>253.8</v>
      </c>
      <c r="T121" s="7" t="n">
        <v>334.2</v>
      </c>
      <c r="V121" s="7" t="n">
        <v>968.9</v>
      </c>
      <c r="X121" s="7" t="n">
        <v>418.5</v>
      </c>
      <c r="Z121" s="7" t="n">
        <v>245.4</v>
      </c>
      <c r="AB121" s="7" t="n">
        <v>4922.9</v>
      </c>
    </row>
    <row r="122">
      <c r="A122" s="4" t="inlineStr">
        <is>
          <t>其他福利支出</t>
        </is>
      </c>
      <c r="D122" s="7" t="n">
        <v>105</v>
      </c>
      <c r="F122" s="7" t="n">
        <v>14.4</v>
      </c>
      <c r="H122" s="7" t="n">
        <v>103.9</v>
      </c>
      <c r="J122" s="7" t="n">
        <v>65.09999999999999</v>
      </c>
      <c r="L122" s="7" t="n">
        <v>191.8</v>
      </c>
      <c r="N122" s="7" t="n">
        <v>100.2</v>
      </c>
      <c r="P122" s="7" t="n">
        <v>138.6</v>
      </c>
      <c r="R122" s="7" t="n">
        <v>121.5</v>
      </c>
      <c r="T122" s="7" t="n">
        <v>88.59999999999999</v>
      </c>
      <c r="V122" s="7" t="n">
        <v>230</v>
      </c>
      <c r="X122" s="7" t="n">
        <v>160.2</v>
      </c>
      <c r="Z122" s="7" t="n">
        <v>72</v>
      </c>
      <c r="AB122" s="7" t="n">
        <v>1391.3</v>
      </c>
    </row>
    <row r="123">
      <c r="A123" s="4" t="inlineStr">
        <is>
          <t>招聘费</t>
        </is>
      </c>
      <c r="D123" s="7" t="n">
        <v>117.5</v>
      </c>
      <c r="F123" s="7" t="n">
        <v>11.6</v>
      </c>
      <c r="H123" s="7" t="n">
        <v>143.3</v>
      </c>
      <c r="J123" s="7" t="n">
        <v>81.5</v>
      </c>
      <c r="L123" s="7" t="n">
        <v>203.5</v>
      </c>
      <c r="N123" s="7" t="n">
        <v>91.40000000000001</v>
      </c>
      <c r="P123" s="7" t="n">
        <v>101.3</v>
      </c>
      <c r="R123" s="7" t="n">
        <v>101.1</v>
      </c>
      <c r="T123" s="7" t="n">
        <v>91.90000000000001</v>
      </c>
      <c r="V123" s="7" t="n">
        <v>262.7</v>
      </c>
      <c r="X123" s="7" t="n">
        <v>138.6</v>
      </c>
      <c r="Z123" s="7" t="n">
        <v>77.09999999999999</v>
      </c>
      <c r="AB123" s="7" t="n">
        <v>1421.5</v>
      </c>
    </row>
    <row r="124">
      <c r="A124" s="4" t="inlineStr">
        <is>
          <t>办公费</t>
        </is>
      </c>
      <c r="D124" s="7" t="n">
        <v>2442.5</v>
      </c>
      <c r="F124" s="7" t="n">
        <v>352.8</v>
      </c>
      <c r="H124" s="7" t="n">
        <v>3242.6</v>
      </c>
      <c r="J124" s="7" t="n">
        <v>1351.3</v>
      </c>
      <c r="L124" s="7" t="n">
        <v>3534.6</v>
      </c>
      <c r="N124" s="7" t="n">
        <v>1931</v>
      </c>
      <c r="P124" s="7" t="n">
        <v>3123.9</v>
      </c>
      <c r="R124" s="7" t="n">
        <v>2448.7</v>
      </c>
      <c r="T124" s="7" t="n">
        <v>2229.5</v>
      </c>
      <c r="V124" s="7" t="n">
        <v>5420</v>
      </c>
      <c r="X124" s="7" t="n">
        <v>3131.2</v>
      </c>
      <c r="Z124" s="7" t="n">
        <v>1229.3</v>
      </c>
      <c r="AB124" s="7" t="n">
        <v>30437.4</v>
      </c>
    </row>
    <row r="125">
      <c r="A125" s="4" t="inlineStr">
        <is>
          <t>市内交通费</t>
        </is>
      </c>
      <c r="D125" s="7" t="n">
        <v>245.8</v>
      </c>
      <c r="F125" s="7" t="n">
        <v>35.1</v>
      </c>
      <c r="H125" s="7" t="n">
        <v>409.2</v>
      </c>
      <c r="J125" s="7" t="n">
        <v>281.9</v>
      </c>
      <c r="L125" s="7" t="n">
        <v>660.7</v>
      </c>
      <c r="N125" s="7" t="n">
        <v>240.1</v>
      </c>
      <c r="P125" s="7" t="n">
        <v>430.8</v>
      </c>
      <c r="R125" s="7" t="n">
        <v>338.9</v>
      </c>
      <c r="T125" s="7" t="n">
        <v>306.9</v>
      </c>
      <c r="V125" s="7" t="n">
        <v>894.6</v>
      </c>
      <c r="X125" s="7" t="n">
        <v>354.7</v>
      </c>
      <c r="Z125" s="7" t="n">
        <v>253.6</v>
      </c>
      <c r="AB125" s="7" t="n">
        <v>4452.3</v>
      </c>
    </row>
    <row r="126">
      <c r="A126" s="4" t="inlineStr">
        <is>
          <t>差旅费</t>
        </is>
      </c>
      <c r="D126" s="7" t="n">
        <v>4692.6</v>
      </c>
      <c r="F126" s="7" t="n">
        <v>754.4</v>
      </c>
      <c r="H126" s="7" t="n">
        <v>4455.5</v>
      </c>
      <c r="J126" s="7" t="n">
        <v>3151.3</v>
      </c>
      <c r="L126" s="7" t="n">
        <v>6907.2</v>
      </c>
      <c r="N126" s="7" t="n">
        <v>4784.3</v>
      </c>
      <c r="P126" s="7" t="n">
        <v>4844.2</v>
      </c>
      <c r="R126" s="7" t="n">
        <v>3167.5</v>
      </c>
      <c r="T126" s="7" t="n">
        <v>4426.8</v>
      </c>
      <c r="V126" s="7" t="n">
        <v>10337</v>
      </c>
      <c r="X126" s="7" t="n">
        <v>5291</v>
      </c>
      <c r="Z126" s="7" t="n">
        <v>2610.2</v>
      </c>
      <c r="AB126" s="7" t="n">
        <v>55422</v>
      </c>
    </row>
    <row r="127">
      <c r="A127" s="4" t="inlineStr">
        <is>
          <t>交通费</t>
        </is>
      </c>
      <c r="D127" s="7" t="n">
        <v>463.7</v>
      </c>
      <c r="F127" s="7" t="n">
        <v>47.2</v>
      </c>
      <c r="H127" s="7" t="n">
        <v>386.8</v>
      </c>
      <c r="J127" s="7" t="n">
        <v>299.8</v>
      </c>
      <c r="L127" s="7" t="n">
        <v>696.4</v>
      </c>
      <c r="N127" s="7" t="n">
        <v>237.2</v>
      </c>
      <c r="P127" s="7" t="n">
        <v>386.6</v>
      </c>
      <c r="R127" s="7" t="n">
        <v>283.7</v>
      </c>
      <c r="T127" s="7" t="n">
        <v>418.2</v>
      </c>
      <c r="V127" s="7" t="n">
        <v>1028.8</v>
      </c>
      <c r="X127" s="7" t="n">
        <v>528.9</v>
      </c>
      <c r="Z127" s="7" t="n">
        <v>245.8</v>
      </c>
      <c r="AB127" s="7" t="n">
        <v>5023.1</v>
      </c>
    </row>
    <row r="128">
      <c r="A128" s="4" t="inlineStr">
        <is>
          <t>住宿费</t>
        </is>
      </c>
      <c r="D128" s="7" t="n">
        <v>232.2</v>
      </c>
      <c r="F128" s="7" t="n">
        <v>45.9</v>
      </c>
      <c r="H128" s="7" t="n">
        <v>331</v>
      </c>
      <c r="J128" s="7" t="n">
        <v>202.1</v>
      </c>
      <c r="L128" s="7" t="n">
        <v>705.7</v>
      </c>
      <c r="N128" s="7" t="n">
        <v>294.3</v>
      </c>
      <c r="P128" s="7" t="n">
        <v>357.6</v>
      </c>
      <c r="R128" s="7" t="n">
        <v>305.1</v>
      </c>
      <c r="T128" s="7" t="n">
        <v>344.4</v>
      </c>
      <c r="V128" s="7" t="n">
        <v>689.3</v>
      </c>
      <c r="X128" s="7" t="n">
        <v>326.2</v>
      </c>
      <c r="Z128" s="7" t="n">
        <v>149.9</v>
      </c>
      <c r="AB128" s="7" t="n">
        <v>3983.7</v>
      </c>
    </row>
    <row r="129">
      <c r="A129" s="4" t="inlineStr">
        <is>
          <t>餐补</t>
        </is>
      </c>
      <c r="D129" s="7" t="n">
        <v>490.1</v>
      </c>
      <c r="F129" s="7" t="n">
        <v>53.7</v>
      </c>
      <c r="H129" s="7" t="n">
        <v>457.2</v>
      </c>
      <c r="J129" s="7" t="n">
        <v>379.2</v>
      </c>
      <c r="L129" s="7" t="n">
        <v>707.9</v>
      </c>
      <c r="N129" s="7" t="n">
        <v>440.3</v>
      </c>
      <c r="P129" s="7" t="n">
        <v>637.5</v>
      </c>
      <c r="R129" s="7" t="n">
        <v>364.8</v>
      </c>
      <c r="T129" s="7" t="n">
        <v>433</v>
      </c>
      <c r="V129" s="7" t="n">
        <v>718.1</v>
      </c>
      <c r="X129" s="7" t="n">
        <v>776</v>
      </c>
      <c r="Z129" s="7" t="n">
        <v>301.5</v>
      </c>
      <c r="AB129" s="7" t="n">
        <v>5759.3</v>
      </c>
    </row>
    <row r="130">
      <c r="A130" s="4" t="inlineStr">
        <is>
          <t>交通补助</t>
        </is>
      </c>
      <c r="D130" s="7" t="n">
        <v>215.7</v>
      </c>
      <c r="F130" s="7" t="n">
        <v>30.1</v>
      </c>
      <c r="H130" s="7" t="n">
        <v>333.9</v>
      </c>
      <c r="J130" s="7" t="n">
        <v>178.2</v>
      </c>
      <c r="L130" s="7" t="n">
        <v>578.7</v>
      </c>
      <c r="N130" s="7" t="n">
        <v>230.8</v>
      </c>
      <c r="P130" s="7" t="n">
        <v>302.5</v>
      </c>
      <c r="R130" s="7" t="n">
        <v>250.3</v>
      </c>
      <c r="T130" s="7" t="n">
        <v>308.1</v>
      </c>
      <c r="V130" s="7" t="n">
        <v>510.1</v>
      </c>
      <c r="X130" s="7" t="n">
        <v>354.6</v>
      </c>
      <c r="Z130" s="7" t="n">
        <v>106.3</v>
      </c>
      <c r="AB130" s="7" t="n">
        <v>3399.3</v>
      </c>
    </row>
    <row r="131">
      <c r="A131" s="4" t="inlineStr">
        <is>
          <t>通讯补助</t>
        </is>
      </c>
      <c r="D131" s="7" t="n">
        <v>266.5</v>
      </c>
      <c r="F131" s="7" t="n">
        <v>39.8</v>
      </c>
      <c r="H131" s="7" t="n">
        <v>437.3</v>
      </c>
      <c r="J131" s="7" t="n">
        <v>164.2</v>
      </c>
      <c r="L131" s="7" t="n">
        <v>645.8</v>
      </c>
      <c r="N131" s="7" t="n">
        <v>257.8</v>
      </c>
      <c r="P131" s="7" t="n">
        <v>249.2</v>
      </c>
      <c r="R131" s="7" t="n">
        <v>268.6</v>
      </c>
      <c r="T131" s="7" t="n">
        <v>355.2</v>
      </c>
      <c r="V131" s="7" t="n">
        <v>501</v>
      </c>
      <c r="X131" s="7" t="n">
        <v>459.2</v>
      </c>
      <c r="Z131" s="7" t="n">
        <v>130.9</v>
      </c>
      <c r="AB131" s="7" t="n">
        <v>3775.5</v>
      </c>
    </row>
    <row r="132">
      <c r="A132" s="4" t="inlineStr">
        <is>
          <t>招待费</t>
        </is>
      </c>
      <c r="D132" s="7" t="n">
        <v>2977.3</v>
      </c>
      <c r="F132" s="7" t="n">
        <v>425.1</v>
      </c>
      <c r="H132" s="7" t="n">
        <v>4299.2</v>
      </c>
      <c r="J132" s="7" t="n">
        <v>2291.6</v>
      </c>
      <c r="L132" s="7" t="n">
        <v>6932.9</v>
      </c>
      <c r="N132" s="7" t="n">
        <v>2440.6</v>
      </c>
      <c r="P132" s="7" t="n">
        <v>3754.6</v>
      </c>
      <c r="R132" s="7" t="n">
        <v>3689.1</v>
      </c>
      <c r="T132" s="7" t="n">
        <v>3705.4</v>
      </c>
      <c r="V132" s="7" t="n">
        <v>5191.9</v>
      </c>
      <c r="X132" s="7" t="n">
        <v>3964</v>
      </c>
      <c r="Z132" s="7" t="n">
        <v>1786.1</v>
      </c>
      <c r="AB132" s="7" t="n">
        <v>41457.8</v>
      </c>
    </row>
    <row r="133">
      <c r="A133" s="4" t="inlineStr">
        <is>
          <t>通讯费</t>
        </is>
      </c>
      <c r="D133" s="7" t="n">
        <v>261.5</v>
      </c>
      <c r="F133" s="7" t="n">
        <v>47</v>
      </c>
      <c r="H133" s="7" t="n">
        <v>459.4</v>
      </c>
      <c r="J133" s="7" t="n">
        <v>282.7</v>
      </c>
      <c r="L133" s="7" t="n">
        <v>534.6</v>
      </c>
      <c r="N133" s="7" t="n">
        <v>277.9</v>
      </c>
      <c r="P133" s="7" t="n">
        <v>410.2</v>
      </c>
      <c r="R133" s="7" t="n">
        <v>286.5</v>
      </c>
      <c r="T133" s="7" t="n">
        <v>223.4</v>
      </c>
      <c r="V133" s="7" t="n">
        <v>738.1</v>
      </c>
      <c r="X133" s="7" t="n">
        <v>508.8</v>
      </c>
      <c r="Z133" s="7" t="n">
        <v>176.7</v>
      </c>
      <c r="AB133" s="7" t="n">
        <v>4206.8</v>
      </c>
    </row>
    <row r="134">
      <c r="A134" s="4" t="inlineStr">
        <is>
          <t>网络费</t>
        </is>
      </c>
      <c r="D134" s="7" t="n">
        <v>66.40000000000001</v>
      </c>
      <c r="F134" s="7" t="n">
        <v>8.6</v>
      </c>
      <c r="H134" s="7" t="n">
        <v>67.7</v>
      </c>
      <c r="J134" s="7" t="n">
        <v>45</v>
      </c>
      <c r="L134" s="7" t="n">
        <v>137.4</v>
      </c>
      <c r="N134" s="7" t="n">
        <v>40.9</v>
      </c>
      <c r="P134" s="7" t="n">
        <v>69.59999999999999</v>
      </c>
      <c r="R134" s="7" t="n">
        <v>66.09999999999999</v>
      </c>
      <c r="T134" s="7" t="n">
        <v>45.5</v>
      </c>
      <c r="V134" s="7" t="n">
        <v>99.40000000000001</v>
      </c>
      <c r="X134" s="7" t="n">
        <v>87.3</v>
      </c>
      <c r="Z134" s="7" t="n">
        <v>34.2</v>
      </c>
      <c r="AB134" s="7" t="n">
        <v>768.1</v>
      </c>
    </row>
    <row r="135">
      <c r="A135" s="4" t="inlineStr">
        <is>
          <t>修理费</t>
        </is>
      </c>
      <c r="D135" s="7" t="n">
        <v>38.8</v>
      </c>
      <c r="F135" s="7" t="n">
        <v>10.1</v>
      </c>
      <c r="H135" s="7" t="n">
        <v>69.3</v>
      </c>
      <c r="J135" s="7" t="n">
        <v>50.1</v>
      </c>
      <c r="L135" s="7" t="n">
        <v>112.3</v>
      </c>
      <c r="N135" s="7" t="n">
        <v>45.4</v>
      </c>
      <c r="P135" s="7" t="n">
        <v>73.2</v>
      </c>
      <c r="R135" s="7" t="n">
        <v>44.7</v>
      </c>
      <c r="T135" s="7" t="n">
        <v>50.9</v>
      </c>
      <c r="V135" s="7" t="n">
        <v>92.90000000000001</v>
      </c>
      <c r="X135" s="7" t="n">
        <v>73</v>
      </c>
      <c r="Z135" s="7" t="n">
        <v>38.5</v>
      </c>
      <c r="AB135" s="7" t="n">
        <v>699.2</v>
      </c>
    </row>
    <row r="136">
      <c r="A136" s="4" t="inlineStr">
        <is>
          <t>车辆费</t>
        </is>
      </c>
      <c r="D136" s="7" t="n">
        <v>379.2</v>
      </c>
      <c r="F136" s="7" t="n">
        <v>47.7</v>
      </c>
      <c r="H136" s="7" t="n">
        <v>459.6</v>
      </c>
      <c r="J136" s="7" t="n">
        <v>242.9</v>
      </c>
      <c r="L136" s="7" t="n">
        <v>1143.6</v>
      </c>
      <c r="N136" s="7" t="n">
        <v>381.9</v>
      </c>
      <c r="P136" s="7" t="n">
        <v>435.7</v>
      </c>
      <c r="R136" s="7" t="n">
        <v>483.5</v>
      </c>
      <c r="T136" s="7" t="n">
        <v>419.3</v>
      </c>
      <c r="V136" s="7" t="n">
        <v>642.7</v>
      </c>
      <c r="X136" s="7" t="n">
        <v>625.6</v>
      </c>
      <c r="Z136" s="7" t="n">
        <v>324.4</v>
      </c>
      <c r="AB136" s="7" t="n">
        <v>5586.1</v>
      </c>
    </row>
    <row r="137">
      <c r="A137" s="4" t="inlineStr">
        <is>
          <t>租赁费</t>
        </is>
      </c>
      <c r="D137" s="7" t="n">
        <v>2419.5</v>
      </c>
      <c r="F137" s="7" t="n">
        <v>471.2</v>
      </c>
      <c r="H137" s="7" t="n">
        <v>3394.1</v>
      </c>
      <c r="J137" s="7" t="n">
        <v>3221.1</v>
      </c>
      <c r="L137" s="7" t="n">
        <v>7815.8</v>
      </c>
      <c r="N137" s="7" t="n">
        <v>2155.9</v>
      </c>
      <c r="P137" s="7" t="n">
        <v>3891.9</v>
      </c>
      <c r="R137" s="7" t="n">
        <v>2610.9</v>
      </c>
      <c r="T137" s="7" t="n">
        <v>4457.4</v>
      </c>
      <c r="V137" s="7" t="n">
        <v>8125</v>
      </c>
      <c r="X137" s="7" t="n">
        <v>6201.5</v>
      </c>
      <c r="Z137" s="7" t="n">
        <v>2779.1</v>
      </c>
      <c r="AB137" s="7" t="n">
        <v>47543.4</v>
      </c>
    </row>
    <row r="138">
      <c r="A138" s="4" t="inlineStr">
        <is>
          <t>能源费</t>
        </is>
      </c>
      <c r="D138" s="7" t="n">
        <v>515.1</v>
      </c>
      <c r="F138" s="7" t="n">
        <v>75.09999999999999</v>
      </c>
      <c r="H138" s="7" t="n">
        <v>649.6</v>
      </c>
      <c r="J138" s="7" t="n">
        <v>389</v>
      </c>
      <c r="L138" s="7" t="n">
        <v>1262.1</v>
      </c>
      <c r="N138" s="7" t="n">
        <v>519.4</v>
      </c>
      <c r="P138" s="7" t="n">
        <v>763.1</v>
      </c>
      <c r="R138" s="7" t="n">
        <v>606.3</v>
      </c>
      <c r="T138" s="7" t="n">
        <v>528.5</v>
      </c>
      <c r="V138" s="7" t="n">
        <v>1198.2</v>
      </c>
      <c r="X138" s="7" t="n">
        <v>693.7</v>
      </c>
      <c r="Z138" s="7" t="n">
        <v>333.9</v>
      </c>
      <c r="AB138" s="7" t="n">
        <v>7534</v>
      </c>
    </row>
    <row r="139">
      <c r="A139" s="4" t="inlineStr">
        <is>
          <t>水费</t>
        </is>
      </c>
      <c r="D139" s="7" t="n">
        <v>60.4</v>
      </c>
      <c r="F139" s="7" t="n">
        <v>14.1</v>
      </c>
      <c r="H139" s="7" t="n">
        <v>70.8</v>
      </c>
      <c r="J139" s="7" t="n">
        <v>42.4</v>
      </c>
      <c r="L139" s="7" t="n">
        <v>182.8</v>
      </c>
      <c r="N139" s="7" t="n">
        <v>91</v>
      </c>
      <c r="P139" s="7" t="n">
        <v>123.1</v>
      </c>
      <c r="R139" s="7" t="n">
        <v>100.4</v>
      </c>
      <c r="T139" s="7" t="n">
        <v>74</v>
      </c>
      <c r="V139" s="7" t="n">
        <v>159.4</v>
      </c>
      <c r="X139" s="7" t="n">
        <v>108</v>
      </c>
      <c r="Z139" s="7" t="n">
        <v>41.1</v>
      </c>
      <c r="AB139" s="7" t="n">
        <v>1067.5</v>
      </c>
    </row>
    <row r="140">
      <c r="A140" s="4" t="inlineStr">
        <is>
          <t>电费</t>
        </is>
      </c>
      <c r="D140" s="7" t="n">
        <v>277.4</v>
      </c>
      <c r="F140" s="7" t="n">
        <v>34.6</v>
      </c>
      <c r="H140" s="7" t="n">
        <v>306</v>
      </c>
      <c r="J140" s="7" t="n">
        <v>222.5</v>
      </c>
      <c r="L140" s="7" t="n">
        <v>654</v>
      </c>
      <c r="N140" s="7" t="n">
        <v>263.4</v>
      </c>
      <c r="P140" s="7" t="n">
        <v>357.4</v>
      </c>
      <c r="R140" s="7" t="n">
        <v>254.9</v>
      </c>
      <c r="T140" s="7" t="n">
        <v>227.6</v>
      </c>
      <c r="V140" s="7" t="n">
        <v>515.6</v>
      </c>
      <c r="X140" s="7" t="n">
        <v>267.1</v>
      </c>
      <c r="Z140" s="7" t="n">
        <v>153.2</v>
      </c>
      <c r="AB140" s="7" t="n">
        <v>3533.7</v>
      </c>
    </row>
    <row r="141">
      <c r="A141" s="4" t="inlineStr">
        <is>
          <t>燃气费</t>
        </is>
      </c>
      <c r="D141" s="7" t="n">
        <v>134.2</v>
      </c>
      <c r="F141" s="7" t="n">
        <v>19.1</v>
      </c>
      <c r="H141" s="7" t="n">
        <v>223.8</v>
      </c>
      <c r="J141" s="7" t="n">
        <v>90.90000000000001</v>
      </c>
      <c r="L141" s="7" t="n">
        <v>321.3</v>
      </c>
      <c r="N141" s="7" t="n">
        <v>124.5</v>
      </c>
      <c r="P141" s="7" t="n">
        <v>231.9</v>
      </c>
      <c r="R141" s="7" t="n">
        <v>202.5</v>
      </c>
      <c r="T141" s="7" t="n">
        <v>188.8</v>
      </c>
      <c r="V141" s="7" t="n">
        <v>432.7</v>
      </c>
      <c r="X141" s="7" t="n">
        <v>254.6</v>
      </c>
      <c r="Z141" s="7" t="n">
        <v>116.5</v>
      </c>
      <c r="AB141" s="7" t="n">
        <v>2340.8</v>
      </c>
    </row>
    <row r="142">
      <c r="A142" s="4" t="inlineStr">
        <is>
          <t>蒸汽费</t>
        </is>
      </c>
      <c r="D142" s="7" t="n">
        <v>43.1</v>
      </c>
      <c r="F142" s="7" t="n">
        <v>7.3</v>
      </c>
      <c r="H142" s="7" t="n">
        <v>49</v>
      </c>
      <c r="J142" s="7" t="n">
        <v>33.2</v>
      </c>
      <c r="L142" s="7" t="n">
        <v>104</v>
      </c>
      <c r="N142" s="7" t="n">
        <v>40.5</v>
      </c>
      <c r="P142" s="7" t="n">
        <v>50.7</v>
      </c>
      <c r="R142" s="7" t="n">
        <v>48.5</v>
      </c>
      <c r="T142" s="7" t="n">
        <v>38.1</v>
      </c>
      <c r="V142" s="7" t="n">
        <v>90.5</v>
      </c>
      <c r="X142" s="7" t="n">
        <v>64</v>
      </c>
      <c r="Z142" s="7" t="n">
        <v>23.1</v>
      </c>
      <c r="AB142" s="7" t="n">
        <v>592</v>
      </c>
    </row>
    <row r="143">
      <c r="A143" s="4" t="inlineStr">
        <is>
          <t>物业费</t>
        </is>
      </c>
      <c r="D143" s="7" t="n">
        <v>389.4</v>
      </c>
      <c r="F143" s="7" t="n">
        <v>60.7</v>
      </c>
      <c r="H143" s="7" t="n">
        <v>393.2</v>
      </c>
      <c r="J143" s="7" t="n">
        <v>222.9</v>
      </c>
      <c r="L143" s="7" t="n">
        <v>725.4</v>
      </c>
      <c r="N143" s="7" t="n">
        <v>393.8</v>
      </c>
      <c r="P143" s="7" t="n">
        <v>551.8</v>
      </c>
      <c r="R143" s="7" t="n">
        <v>398.6</v>
      </c>
      <c r="T143" s="7" t="n">
        <v>575.2</v>
      </c>
      <c r="V143" s="7" t="n">
        <v>1126.8</v>
      </c>
      <c r="X143" s="7" t="n">
        <v>734.4</v>
      </c>
      <c r="Z143" s="7" t="n">
        <v>302.5</v>
      </c>
      <c r="AB143" s="7" t="n">
        <v>5874.7</v>
      </c>
    </row>
    <row r="144">
      <c r="A144" s="4" t="inlineStr">
        <is>
          <t>劳动保护费</t>
        </is>
      </c>
      <c r="D144" s="7" t="n">
        <v>165</v>
      </c>
      <c r="F144" s="7" t="n">
        <v>44.7</v>
      </c>
      <c r="H144" s="7" t="n">
        <v>259.2</v>
      </c>
      <c r="J144" s="7" t="n">
        <v>183.5</v>
      </c>
      <c r="L144" s="7" t="n">
        <v>659.1</v>
      </c>
      <c r="N144" s="7" t="n">
        <v>217.7</v>
      </c>
      <c r="P144" s="7" t="n">
        <v>313.7</v>
      </c>
      <c r="R144" s="7" t="n">
        <v>288.3</v>
      </c>
      <c r="T144" s="7" t="n">
        <v>253.2</v>
      </c>
      <c r="V144" s="7" t="n">
        <v>394.4</v>
      </c>
      <c r="X144" s="7" t="n">
        <v>311.2</v>
      </c>
      <c r="Z144" s="7" t="n">
        <v>122.7</v>
      </c>
      <c r="AB144" s="7" t="n">
        <v>3212.7</v>
      </c>
    </row>
    <row r="145">
      <c r="A145" s="4" t="inlineStr">
        <is>
          <t>顾问费</t>
        </is>
      </c>
      <c r="D145" s="7" t="n">
        <v>304.3</v>
      </c>
      <c r="F145" s="7" t="n">
        <v>77.09999999999999</v>
      </c>
      <c r="H145" s="7" t="n">
        <v>655.9</v>
      </c>
      <c r="J145" s="7" t="n">
        <v>364.3</v>
      </c>
      <c r="L145" s="7" t="n">
        <v>985.3</v>
      </c>
      <c r="N145" s="7" t="n">
        <v>313</v>
      </c>
      <c r="P145" s="7" t="n">
        <v>487.7</v>
      </c>
      <c r="R145" s="7" t="n">
        <v>515.8</v>
      </c>
      <c r="T145" s="7" t="n">
        <v>565.1</v>
      </c>
      <c r="V145" s="7" t="n">
        <v>751.4</v>
      </c>
      <c r="X145" s="7" t="n">
        <v>819.3</v>
      </c>
      <c r="Z145" s="7" t="n">
        <v>340.9</v>
      </c>
      <c r="AB145" s="7" t="n">
        <v>6180.1</v>
      </c>
    </row>
    <row r="146">
      <c r="A146" s="4" t="inlineStr">
        <is>
          <t>快递费</t>
        </is>
      </c>
      <c r="D146" s="7" t="n">
        <v>228.6</v>
      </c>
      <c r="F146" s="7" t="n">
        <v>39.2</v>
      </c>
      <c r="H146" s="7" t="n">
        <v>326.2</v>
      </c>
      <c r="J146" s="7" t="n">
        <v>255.3</v>
      </c>
      <c r="L146" s="7" t="n">
        <v>509.1</v>
      </c>
      <c r="N146" s="7" t="n">
        <v>359.2</v>
      </c>
      <c r="P146" s="7" t="n">
        <v>321.7</v>
      </c>
      <c r="R146" s="7" t="n">
        <v>379.1</v>
      </c>
      <c r="T146" s="7" t="n">
        <v>420.3</v>
      </c>
      <c r="V146" s="7" t="n">
        <v>514</v>
      </c>
      <c r="X146" s="7" t="n">
        <v>402.4</v>
      </c>
      <c r="Z146" s="7" t="n">
        <v>242.3</v>
      </c>
      <c r="AB146" s="7" t="n">
        <v>3997.4</v>
      </c>
    </row>
    <row r="147">
      <c r="A147" s="4" t="inlineStr">
        <is>
          <t>诉讼费</t>
        </is>
      </c>
      <c r="D147" s="7" t="n">
        <v>462.9</v>
      </c>
      <c r="F147" s="7" t="n">
        <v>71.90000000000001</v>
      </c>
      <c r="H147" s="7" t="n">
        <v>552.4</v>
      </c>
      <c r="J147" s="7" t="n">
        <v>253.6</v>
      </c>
      <c r="L147" s="7" t="n">
        <v>1007.2</v>
      </c>
      <c r="N147" s="7" t="n">
        <v>243.1</v>
      </c>
      <c r="P147" s="7" t="n">
        <v>357.8</v>
      </c>
      <c r="R147" s="7" t="n">
        <v>336.7</v>
      </c>
      <c r="T147" s="7" t="n">
        <v>430.5</v>
      </c>
      <c r="V147" s="7" t="n">
        <v>1048.9</v>
      </c>
      <c r="X147" s="7" t="n">
        <v>530.4</v>
      </c>
      <c r="Z147" s="7" t="n">
        <v>248</v>
      </c>
      <c r="AB147" s="7" t="n">
        <v>5543.4</v>
      </c>
    </row>
    <row r="148">
      <c r="A148" s="4" t="inlineStr">
        <is>
          <t>会员费</t>
        </is>
      </c>
      <c r="D148" s="7" t="n">
        <v>400.9</v>
      </c>
      <c r="F148" s="7" t="n">
        <v>47.5</v>
      </c>
      <c r="H148" s="7" t="n">
        <v>589</v>
      </c>
      <c r="J148" s="7" t="n">
        <v>326</v>
      </c>
      <c r="L148" s="7" t="n">
        <v>751.4</v>
      </c>
      <c r="N148" s="7" t="n">
        <v>387.2</v>
      </c>
      <c r="P148" s="7" t="n">
        <v>449.7</v>
      </c>
      <c r="R148" s="7" t="n">
        <v>391.3</v>
      </c>
      <c r="T148" s="7" t="n">
        <v>352.1</v>
      </c>
      <c r="V148" s="7" t="n">
        <v>1100</v>
      </c>
      <c r="X148" s="7" t="n">
        <v>687.7</v>
      </c>
      <c r="Z148" s="7" t="n">
        <v>245.5</v>
      </c>
      <c r="AB148" s="7" t="n">
        <v>5728.3</v>
      </c>
    </row>
    <row r="149">
      <c r="A149" s="4" t="inlineStr">
        <is>
          <t>广告宣传费</t>
        </is>
      </c>
      <c r="D149" s="7" t="n">
        <v>2092.3</v>
      </c>
      <c r="F149" s="7" t="n">
        <v>329.3</v>
      </c>
      <c r="H149" s="7" t="n">
        <v>2382.6</v>
      </c>
      <c r="J149" s="7" t="n">
        <v>1689.9</v>
      </c>
      <c r="L149" s="7" t="n">
        <v>4468.3</v>
      </c>
      <c r="N149" s="7" t="n">
        <v>2020.6</v>
      </c>
      <c r="P149" s="7" t="n">
        <v>2091.6</v>
      </c>
      <c r="R149" s="7" t="n">
        <v>2366.6</v>
      </c>
      <c r="T149" s="7" t="n">
        <v>1654.8</v>
      </c>
      <c r="V149" s="7" t="n">
        <v>5829.8</v>
      </c>
      <c r="X149" s="7" t="n">
        <v>3039.9</v>
      </c>
      <c r="Z149" s="7" t="n">
        <v>1060.7</v>
      </c>
      <c r="AB149" s="7" t="n">
        <v>29026.4</v>
      </c>
    </row>
    <row r="150">
      <c r="A150" s="4" t="inlineStr">
        <is>
          <t>会务费</t>
        </is>
      </c>
      <c r="D150" s="7" t="n">
        <v>178.8</v>
      </c>
      <c r="F150" s="7" t="n">
        <v>18.7</v>
      </c>
      <c r="H150" s="7" t="n">
        <v>201.7</v>
      </c>
      <c r="J150" s="7" t="n">
        <v>136.2</v>
      </c>
      <c r="L150" s="7" t="n">
        <v>309.7</v>
      </c>
      <c r="N150" s="7" t="n">
        <v>134.6</v>
      </c>
      <c r="P150" s="7" t="n">
        <v>156.3</v>
      </c>
      <c r="R150" s="7" t="n">
        <v>163</v>
      </c>
      <c r="T150" s="7" t="n">
        <v>117.8</v>
      </c>
      <c r="V150" s="7" t="n">
        <v>259.3</v>
      </c>
      <c r="X150" s="7" t="n">
        <v>261.5</v>
      </c>
      <c r="Z150" s="7" t="n">
        <v>115.3</v>
      </c>
      <c r="AB150" s="7" t="n">
        <v>2052.9</v>
      </c>
    </row>
    <row r="151">
      <c r="A151" s="4" t="inlineStr">
        <is>
          <t>装修费</t>
        </is>
      </c>
      <c r="D151" s="7" t="n">
        <v>423.4</v>
      </c>
      <c r="F151" s="7" t="n">
        <v>63.5</v>
      </c>
      <c r="H151" s="7" t="n">
        <v>409.9</v>
      </c>
      <c r="J151" s="7" t="n">
        <v>407.4</v>
      </c>
      <c r="L151" s="7" t="n">
        <v>939.4</v>
      </c>
      <c r="N151" s="7" t="n">
        <v>292.7</v>
      </c>
      <c r="P151" s="7" t="n">
        <v>436.2</v>
      </c>
      <c r="R151" s="7" t="n">
        <v>544.8</v>
      </c>
      <c r="T151" s="7" t="n">
        <v>362.3</v>
      </c>
      <c r="V151" s="7" t="n">
        <v>1129.1</v>
      </c>
      <c r="X151" s="7" t="n">
        <v>752.6</v>
      </c>
      <c r="Z151" s="7" t="n">
        <v>229.8</v>
      </c>
      <c r="AB151" s="7" t="n">
        <v>5991.1</v>
      </c>
    </row>
    <row r="152">
      <c r="A152" s="4" t="inlineStr">
        <is>
          <t>推广费</t>
        </is>
      </c>
      <c r="D152" s="7" t="n">
        <v>255.6</v>
      </c>
      <c r="F152" s="7" t="n">
        <v>32.3</v>
      </c>
      <c r="H152" s="7" t="n">
        <v>361.8</v>
      </c>
      <c r="J152" s="7" t="n">
        <v>147.4</v>
      </c>
      <c r="L152" s="7" t="n">
        <v>781.2</v>
      </c>
      <c r="N152" s="7" t="n">
        <v>287.2</v>
      </c>
      <c r="P152" s="7" t="n">
        <v>274.4</v>
      </c>
      <c r="R152" s="7" t="n">
        <v>242.9</v>
      </c>
      <c r="T152" s="7" t="n">
        <v>257.7</v>
      </c>
      <c r="V152" s="7" t="n">
        <v>657.7</v>
      </c>
      <c r="X152" s="7" t="n">
        <v>522.5</v>
      </c>
      <c r="Z152" s="7" t="n">
        <v>159.3</v>
      </c>
      <c r="AB152" s="7" t="n">
        <v>3980</v>
      </c>
    </row>
    <row r="153">
      <c r="A153" s="4" t="inlineStr">
        <is>
          <t>展会费</t>
        </is>
      </c>
      <c r="D153" s="7" t="n">
        <v>513.8</v>
      </c>
      <c r="F153" s="7" t="n">
        <v>57.9</v>
      </c>
      <c r="H153" s="7" t="n">
        <v>433.2</v>
      </c>
      <c r="J153" s="7" t="n">
        <v>341.3</v>
      </c>
      <c r="L153" s="7" t="n">
        <v>895</v>
      </c>
      <c r="N153" s="7" t="n">
        <v>302.8</v>
      </c>
      <c r="P153" s="7" t="n">
        <v>456</v>
      </c>
      <c r="R153" s="7" t="n">
        <v>335.2</v>
      </c>
      <c r="T153" s="7" t="n">
        <v>362.2</v>
      </c>
      <c r="V153" s="7" t="n">
        <v>796.7</v>
      </c>
      <c r="X153" s="7" t="n">
        <v>696.2</v>
      </c>
      <c r="Z153" s="7" t="n">
        <v>262</v>
      </c>
      <c r="AB153" s="7" t="n">
        <v>5452.3</v>
      </c>
    </row>
    <row r="154">
      <c r="A154" s="4" t="inlineStr">
        <is>
          <t>设计费</t>
        </is>
      </c>
      <c r="D154" s="7" t="n">
        <v>278.8</v>
      </c>
      <c r="F154" s="7" t="n">
        <v>49.4</v>
      </c>
      <c r="H154" s="7" t="n">
        <v>492.4</v>
      </c>
      <c r="J154" s="7" t="n">
        <v>297.8</v>
      </c>
      <c r="L154" s="7" t="n">
        <v>690</v>
      </c>
      <c r="N154" s="7" t="n">
        <v>448.2</v>
      </c>
      <c r="P154" s="7" t="n">
        <v>350.7</v>
      </c>
      <c r="R154" s="7" t="n">
        <v>462.5</v>
      </c>
      <c r="T154" s="7" t="n">
        <v>387.6</v>
      </c>
      <c r="V154" s="7" t="n">
        <v>912.9</v>
      </c>
      <c r="X154" s="7" t="n">
        <v>624.5</v>
      </c>
      <c r="Z154" s="7" t="n">
        <v>200</v>
      </c>
      <c r="AB154" s="7" t="n">
        <v>5194.8</v>
      </c>
    </row>
    <row r="155">
      <c r="A155" s="4" t="inlineStr">
        <is>
          <t>折旧费</t>
        </is>
      </c>
      <c r="D155" s="7" t="n">
        <v>3315.1</v>
      </c>
      <c r="F155" s="7" t="n">
        <v>376.3</v>
      </c>
      <c r="H155" s="7" t="n">
        <v>2664.4</v>
      </c>
      <c r="J155" s="7" t="n">
        <v>1536.8</v>
      </c>
      <c r="L155" s="7" t="n">
        <v>5163.2</v>
      </c>
      <c r="N155" s="7" t="n">
        <v>2279.2</v>
      </c>
      <c r="P155" s="7" t="n">
        <v>3470.6</v>
      </c>
      <c r="R155" s="7" t="n">
        <v>3463.4</v>
      </c>
      <c r="T155" s="7" t="n">
        <v>3331.1</v>
      </c>
      <c r="V155" s="7" t="n">
        <v>4832.9</v>
      </c>
      <c r="X155" s="7" t="n">
        <v>3406.7</v>
      </c>
      <c r="Z155" s="7" t="n">
        <v>1880.3</v>
      </c>
      <c r="AB155" s="7" t="n">
        <v>35720</v>
      </c>
    </row>
    <row r="156">
      <c r="A156" s="4" t="inlineStr">
        <is>
          <t>认证费</t>
        </is>
      </c>
      <c r="D156" s="7" t="n">
        <v>181</v>
      </c>
      <c r="F156" s="7" t="n">
        <v>41.1</v>
      </c>
      <c r="H156" s="7" t="n">
        <v>390.4</v>
      </c>
      <c r="J156" s="7" t="n">
        <v>235.2</v>
      </c>
      <c r="L156" s="7" t="n">
        <v>617.2</v>
      </c>
      <c r="N156" s="7" t="n">
        <v>197.2</v>
      </c>
      <c r="P156" s="7" t="n">
        <v>330.6</v>
      </c>
      <c r="R156" s="7" t="n">
        <v>261.2</v>
      </c>
      <c r="T156" s="7" t="n">
        <v>304.5</v>
      </c>
      <c r="V156" s="7" t="n">
        <v>642.1</v>
      </c>
      <c r="X156" s="7" t="n">
        <v>402.6</v>
      </c>
      <c r="Z156" s="7" t="n">
        <v>146.3</v>
      </c>
      <c r="AB156" s="7" t="n">
        <v>3749.4</v>
      </c>
    </row>
    <row r="157">
      <c r="A157" s="4" t="inlineStr">
        <is>
          <t>样品费</t>
        </is>
      </c>
      <c r="D157" s="7" t="n">
        <v>1701.1</v>
      </c>
      <c r="F157" s="7" t="n">
        <v>198.5</v>
      </c>
      <c r="H157" s="7" t="n">
        <v>2121.2</v>
      </c>
      <c r="J157" s="7" t="n">
        <v>798.2</v>
      </c>
      <c r="L157" s="7" t="n">
        <v>3139.8</v>
      </c>
      <c r="N157" s="7" t="n">
        <v>1124.1</v>
      </c>
      <c r="P157" s="7" t="n">
        <v>1315.6</v>
      </c>
      <c r="R157" s="7" t="n">
        <v>1577.3</v>
      </c>
      <c r="T157" s="7" t="n">
        <v>1154.1</v>
      </c>
      <c r="V157" s="7" t="n">
        <v>4009</v>
      </c>
      <c r="X157" s="7" t="n">
        <v>2651.8</v>
      </c>
      <c r="Z157" s="7" t="n">
        <v>1073</v>
      </c>
      <c r="AB157" s="7" t="n">
        <v>20863.7</v>
      </c>
    </row>
    <row r="158">
      <c r="A158" s="4" t="inlineStr">
        <is>
          <t>劳务费</t>
        </is>
      </c>
      <c r="D158" s="7" t="n">
        <v>113.2</v>
      </c>
      <c r="F158" s="7" t="n">
        <v>29.1</v>
      </c>
      <c r="H158" s="7" t="n">
        <v>160.8</v>
      </c>
      <c r="J158" s="7" t="n">
        <v>118.7</v>
      </c>
      <c r="L158" s="7" t="n">
        <v>417.7</v>
      </c>
      <c r="N158" s="7" t="n">
        <v>151.8</v>
      </c>
      <c r="P158" s="7" t="n">
        <v>168.8</v>
      </c>
      <c r="R158" s="7" t="n">
        <v>165.6</v>
      </c>
      <c r="T158" s="7" t="n">
        <v>208.4</v>
      </c>
      <c r="V158" s="7" t="n">
        <v>344.5</v>
      </c>
      <c r="X158" s="7" t="n">
        <v>311.6</v>
      </c>
      <c r="Z158" s="7" t="n">
        <v>100.4</v>
      </c>
      <c r="AB158" s="7" t="n">
        <v>2290.6</v>
      </c>
    </row>
    <row r="159">
      <c r="A159" s="4" t="inlineStr">
        <is>
          <t>销售佣金</t>
        </is>
      </c>
      <c r="D159" s="7" t="n">
        <v>205.5</v>
      </c>
      <c r="F159" s="7" t="n">
        <v>27</v>
      </c>
      <c r="H159" s="7" t="n">
        <v>216.6</v>
      </c>
      <c r="J159" s="7" t="n">
        <v>126.8</v>
      </c>
      <c r="L159" s="7" t="n">
        <v>376.9</v>
      </c>
      <c r="N159" s="7" t="n">
        <v>157.9</v>
      </c>
      <c r="P159" s="7" t="n">
        <v>259.7</v>
      </c>
      <c r="R159" s="7" t="n">
        <v>164.4</v>
      </c>
      <c r="T159" s="7" t="n">
        <v>163.1</v>
      </c>
      <c r="V159" s="7" t="n">
        <v>349.3</v>
      </c>
      <c r="X159" s="7" t="n">
        <v>228.3</v>
      </c>
      <c r="Z159" s="7" t="n">
        <v>146.4</v>
      </c>
      <c r="AB159" s="7" t="n">
        <v>2421.9</v>
      </c>
    </row>
    <row r="160">
      <c r="A160" s="4" t="inlineStr">
        <is>
          <t>检测费</t>
        </is>
      </c>
      <c r="D160" s="7" t="n">
        <v>304.7</v>
      </c>
      <c r="F160" s="7" t="n">
        <v>54.7</v>
      </c>
      <c r="H160" s="7" t="n">
        <v>376.9</v>
      </c>
      <c r="J160" s="7" t="n">
        <v>252.4</v>
      </c>
      <c r="L160" s="7" t="n">
        <v>627.6</v>
      </c>
      <c r="N160" s="7" t="n">
        <v>288.2</v>
      </c>
      <c r="P160" s="7" t="n">
        <v>299.4</v>
      </c>
      <c r="R160" s="7" t="n">
        <v>247.2</v>
      </c>
      <c r="T160" s="7" t="n">
        <v>237.3</v>
      </c>
      <c r="V160" s="7" t="n">
        <v>738.7</v>
      </c>
      <c r="X160" s="7" t="n">
        <v>388.3</v>
      </c>
      <c r="Z160" s="7" t="n">
        <v>226.4</v>
      </c>
      <c r="AB160" s="7" t="n">
        <v>4041.8</v>
      </c>
    </row>
    <row r="161">
      <c r="A161" s="4" t="inlineStr">
        <is>
          <t>质量赔偿</t>
        </is>
      </c>
      <c r="D161" s="7" t="n">
        <v>359</v>
      </c>
      <c r="F161" s="7" t="n">
        <v>37.9</v>
      </c>
      <c r="H161" s="7" t="n">
        <v>357.4</v>
      </c>
      <c r="J161" s="7" t="n">
        <v>263.9</v>
      </c>
      <c r="L161" s="7" t="n">
        <v>619.6</v>
      </c>
      <c r="N161" s="7" t="n">
        <v>290</v>
      </c>
      <c r="P161" s="7" t="n">
        <v>429.2</v>
      </c>
      <c r="R161" s="7" t="n">
        <v>299.1</v>
      </c>
      <c r="T161" s="7" t="n">
        <v>351.8</v>
      </c>
      <c r="V161" s="7" t="n">
        <v>887.7</v>
      </c>
      <c r="X161" s="7" t="n">
        <v>482.8</v>
      </c>
      <c r="Z161" s="7" t="n">
        <v>243.9</v>
      </c>
      <c r="AB161" s="7" t="n">
        <v>4622.3</v>
      </c>
    </row>
    <row r="162">
      <c r="A162" s="4" t="inlineStr">
        <is>
          <t>保险费</t>
        </is>
      </c>
      <c r="D162" s="7" t="n">
        <v>135.3</v>
      </c>
      <c r="F162" s="7" t="n">
        <v>19</v>
      </c>
      <c r="H162" s="7" t="n">
        <v>120.5</v>
      </c>
      <c r="J162" s="7" t="n">
        <v>85</v>
      </c>
      <c r="L162" s="7" t="n">
        <v>321.9</v>
      </c>
      <c r="N162" s="7" t="n">
        <v>90</v>
      </c>
      <c r="P162" s="7" t="n">
        <v>141.9</v>
      </c>
      <c r="R162" s="7" t="n">
        <v>128.1</v>
      </c>
      <c r="T162" s="7" t="n">
        <v>156.9</v>
      </c>
      <c r="V162" s="7" t="n">
        <v>218.4</v>
      </c>
      <c r="X162" s="7" t="n">
        <v>230.2</v>
      </c>
      <c r="Z162" s="7" t="n">
        <v>69.59999999999999</v>
      </c>
      <c r="AB162" s="7" t="n">
        <v>1716.8</v>
      </c>
    </row>
    <row r="163">
      <c r="A163" s="4" t="inlineStr">
        <is>
          <t>清洁费</t>
        </is>
      </c>
      <c r="D163" s="7" t="n">
        <v>429.7</v>
      </c>
      <c r="F163" s="7" t="n">
        <v>71.2</v>
      </c>
      <c r="H163" s="7" t="n">
        <v>635.4</v>
      </c>
      <c r="J163" s="7" t="n">
        <v>341</v>
      </c>
      <c r="L163" s="7" t="n">
        <v>1101.8</v>
      </c>
      <c r="N163" s="7" t="n">
        <v>282.1</v>
      </c>
      <c r="P163" s="7" t="n">
        <v>360.8</v>
      </c>
      <c r="R163" s="7" t="n">
        <v>542.7</v>
      </c>
      <c r="T163" s="7" t="n">
        <v>321</v>
      </c>
      <c r="V163" s="7" t="n">
        <v>1160.4</v>
      </c>
      <c r="X163" s="7" t="n">
        <v>554.3</v>
      </c>
      <c r="Z163" s="7" t="n">
        <v>331.4</v>
      </c>
      <c r="AB163" s="7" t="n">
        <v>6131.8</v>
      </c>
    </row>
    <row r="164">
      <c r="A164" s="4" t="inlineStr">
        <is>
          <t>低值易耗品</t>
        </is>
      </c>
      <c r="D164" s="7" t="n">
        <v>69.2</v>
      </c>
      <c r="F164" s="7" t="n">
        <v>11.2</v>
      </c>
      <c r="H164" s="7" t="n">
        <v>135.9</v>
      </c>
      <c r="J164" s="7" t="n">
        <v>61.6</v>
      </c>
      <c r="L164" s="7" t="n">
        <v>254.7</v>
      </c>
      <c r="N164" s="7" t="n">
        <v>85.8</v>
      </c>
      <c r="P164" s="7" t="n">
        <v>133.2</v>
      </c>
      <c r="R164" s="7" t="n">
        <v>95.59999999999999</v>
      </c>
      <c r="T164" s="7" t="n">
        <v>107.1</v>
      </c>
      <c r="V164" s="7" t="n">
        <v>182.1</v>
      </c>
      <c r="X164" s="7" t="n">
        <v>103.3</v>
      </c>
      <c r="Z164" s="7" t="n">
        <v>60.3</v>
      </c>
      <c r="AB164" s="7" t="n">
        <v>1300</v>
      </c>
    </row>
    <row r="165">
      <c r="A165" s="4" t="inlineStr">
        <is>
          <t>物料消耗</t>
        </is>
      </c>
      <c r="D165" s="7" t="n">
        <v>307.5</v>
      </c>
      <c r="F165" s="7" t="n">
        <v>57.2</v>
      </c>
      <c r="H165" s="7" t="n">
        <v>510.2</v>
      </c>
      <c r="J165" s="7" t="n">
        <v>318.9</v>
      </c>
      <c r="L165" s="7" t="n">
        <v>721.4</v>
      </c>
      <c r="N165" s="7" t="n">
        <v>373.8</v>
      </c>
      <c r="P165" s="7" t="n">
        <v>484.9</v>
      </c>
      <c r="R165" s="7" t="n">
        <v>555.3</v>
      </c>
      <c r="T165" s="7" t="n">
        <v>471.9</v>
      </c>
      <c r="V165" s="7" t="n">
        <v>1148.7</v>
      </c>
      <c r="X165" s="7" t="n">
        <v>774.9</v>
      </c>
      <c r="Z165" s="7" t="n">
        <v>283.2</v>
      </c>
      <c r="AB165" s="7" t="n">
        <v>6007.9</v>
      </c>
    </row>
    <row r="166">
      <c r="A166" s="4" t="inlineStr">
        <is>
          <t>盘盈盘亏</t>
        </is>
      </c>
      <c r="D166" s="7" t="n">
        <v>61.2</v>
      </c>
      <c r="F166" s="7" t="n">
        <v>11.3</v>
      </c>
      <c r="H166" s="7" t="n">
        <v>63.7</v>
      </c>
      <c r="J166" s="7" t="n">
        <v>45</v>
      </c>
      <c r="L166" s="7" t="n">
        <v>137</v>
      </c>
      <c r="N166" s="7" t="n">
        <v>47.3</v>
      </c>
      <c r="P166" s="7" t="n">
        <v>57.2</v>
      </c>
      <c r="R166" s="7" t="n">
        <v>78</v>
      </c>
      <c r="T166" s="7" t="n">
        <v>82.09999999999999</v>
      </c>
      <c r="V166" s="7" t="n">
        <v>189.5</v>
      </c>
      <c r="X166" s="7" t="n">
        <v>103.1</v>
      </c>
      <c r="Z166" s="7" t="n">
        <v>34</v>
      </c>
      <c r="AB166" s="7" t="n">
        <v>909.4</v>
      </c>
    </row>
    <row r="167">
      <c r="A167" s="4" t="inlineStr">
        <is>
          <t>平台服务费</t>
        </is>
      </c>
      <c r="D167" s="7" t="n">
        <v>494.5</v>
      </c>
      <c r="F167" s="7" t="n">
        <v>75.8</v>
      </c>
      <c r="H167" s="7" t="n">
        <v>516.6</v>
      </c>
      <c r="J167" s="7" t="n">
        <v>363.8</v>
      </c>
      <c r="L167" s="7" t="n">
        <v>1164.2</v>
      </c>
      <c r="N167" s="7" t="n">
        <v>443.1</v>
      </c>
      <c r="P167" s="7" t="n">
        <v>363.4</v>
      </c>
      <c r="R167" s="7" t="n">
        <v>333.6</v>
      </c>
      <c r="T167" s="7" t="n">
        <v>370</v>
      </c>
      <c r="V167" s="7" t="n">
        <v>859.1</v>
      </c>
      <c r="X167" s="7" t="n">
        <v>472.3</v>
      </c>
      <c r="Z167" s="7" t="n">
        <v>331.5</v>
      </c>
      <c r="AB167" s="7" t="n">
        <v>5787.9</v>
      </c>
    </row>
    <row r="168">
      <c r="A168" s="4" t="inlineStr">
        <is>
          <t>无形资产摊销</t>
        </is>
      </c>
      <c r="D168" s="7" t="n">
        <v>375.8</v>
      </c>
      <c r="F168" s="7" t="n">
        <v>67.59999999999999</v>
      </c>
      <c r="H168" s="7" t="n">
        <v>392.2</v>
      </c>
      <c r="J168" s="7" t="n">
        <v>294.6</v>
      </c>
      <c r="L168" s="7" t="n">
        <v>1011.4</v>
      </c>
      <c r="N168" s="7" t="n">
        <v>238.6</v>
      </c>
      <c r="P168" s="7" t="n">
        <v>460.5</v>
      </c>
      <c r="R168" s="7" t="n">
        <v>445.8</v>
      </c>
      <c r="T168" s="7" t="n">
        <v>263.9</v>
      </c>
      <c r="V168" s="7" t="n">
        <v>1002.5</v>
      </c>
      <c r="X168" s="7" t="n">
        <v>503.1</v>
      </c>
      <c r="Z168" s="7" t="n">
        <v>181.4</v>
      </c>
      <c r="AB168" s="7" t="n">
        <v>5237.4</v>
      </c>
    </row>
    <row r="169">
      <c r="A169" s="4" t="inlineStr">
        <is>
          <t>研发材料</t>
        </is>
      </c>
      <c r="D169" s="7" t="n">
        <v>299.4</v>
      </c>
      <c r="F169" s="7" t="n">
        <v>49.4</v>
      </c>
      <c r="H169" s="7" t="n">
        <v>478.8</v>
      </c>
      <c r="J169" s="7" t="n">
        <v>351.6</v>
      </c>
      <c r="L169" s="7" t="n">
        <v>852.2</v>
      </c>
      <c r="N169" s="7" t="n">
        <v>425.9</v>
      </c>
      <c r="P169" s="7" t="n">
        <v>341.3</v>
      </c>
      <c r="R169" s="7" t="n">
        <v>343</v>
      </c>
      <c r="T169" s="7" t="n">
        <v>353.9</v>
      </c>
      <c r="V169" s="7" t="n">
        <v>847.1</v>
      </c>
      <c r="X169" s="7" t="n">
        <v>546.6</v>
      </c>
      <c r="Z169" s="7" t="n">
        <v>176.5</v>
      </c>
      <c r="AB169" s="7" t="n">
        <v>5065.7</v>
      </c>
    </row>
    <row r="170">
      <c r="A170" s="4" t="inlineStr">
        <is>
          <t>项目名称</t>
        </is>
      </c>
      <c r="D170" s="7" t="n">
        <v>374</v>
      </c>
      <c r="F170" s="7" t="n">
        <v>48.9</v>
      </c>
      <c r="H170" s="7" t="n">
        <v>311.8</v>
      </c>
      <c r="J170" s="7" t="n">
        <v>255.5</v>
      </c>
      <c r="L170" s="7" t="n">
        <v>588.1</v>
      </c>
      <c r="N170" s="7" t="n">
        <v>388.3</v>
      </c>
      <c r="P170" s="7" t="n">
        <v>441.9</v>
      </c>
      <c r="R170" s="7" t="n">
        <v>408.8</v>
      </c>
      <c r="T170" s="7" t="n">
        <v>251</v>
      </c>
      <c r="V170" s="7" t="n">
        <v>714.8</v>
      </c>
      <c r="X170" s="7" t="n">
        <v>623.6</v>
      </c>
      <c r="Z170" s="7" t="n">
        <v>199.2</v>
      </c>
      <c r="AB170" s="7" t="n">
        <v>4605.9</v>
      </c>
    </row>
    <row r="171">
      <c r="A171" s="4" t="inlineStr">
        <is>
          <t>研发费</t>
        </is>
      </c>
      <c r="D171" s="7" t="n">
        <v>17.1</v>
      </c>
      <c r="F171" s="7" t="n">
        <v>2.7</v>
      </c>
      <c r="H171" s="7" t="n">
        <v>18</v>
      </c>
      <c r="J171" s="7" t="n">
        <v>14.1</v>
      </c>
      <c r="L171" s="7" t="n">
        <v>43.9</v>
      </c>
      <c r="N171" s="7" t="n">
        <v>16.9</v>
      </c>
      <c r="P171" s="7" t="n">
        <v>18.6</v>
      </c>
      <c r="R171" s="7" t="n">
        <v>15.6</v>
      </c>
      <c r="T171" s="7" t="n">
        <v>21.4</v>
      </c>
      <c r="V171" s="7" t="n">
        <v>41.8</v>
      </c>
      <c r="X171" s="7" t="n">
        <v>24.8</v>
      </c>
      <c r="Z171" s="7" t="n">
        <v>10.2</v>
      </c>
      <c r="AB171" s="7" t="n">
        <v>245.1</v>
      </c>
    </row>
    <row r="172">
      <c r="A172" s="4" t="inlineStr">
        <is>
          <t>残保金</t>
        </is>
      </c>
      <c r="D172" s="7" t="n">
        <v>143.6</v>
      </c>
      <c r="F172" s="7" t="n">
        <v>22.3</v>
      </c>
      <c r="H172" s="7" t="n">
        <v>111.3</v>
      </c>
      <c r="J172" s="7" t="n">
        <v>96.90000000000001</v>
      </c>
      <c r="L172" s="7" t="n">
        <v>239.4</v>
      </c>
      <c r="N172" s="7" t="n">
        <v>107.9</v>
      </c>
      <c r="P172" s="7" t="n">
        <v>112.3</v>
      </c>
      <c r="R172" s="7" t="n">
        <v>151.2</v>
      </c>
      <c r="T172" s="7" t="n">
        <v>148.4</v>
      </c>
      <c r="V172" s="7" t="n">
        <v>209.2</v>
      </c>
      <c r="X172" s="7" t="n">
        <v>132.9</v>
      </c>
      <c r="Z172" s="7" t="n">
        <v>70.5</v>
      </c>
      <c r="AB172" s="7" t="n">
        <v>1545.9</v>
      </c>
    </row>
    <row r="173">
      <c r="A173" s="4" t="inlineStr">
        <is>
          <t>环保费</t>
        </is>
      </c>
      <c r="D173" s="7" t="n">
        <v>78.5</v>
      </c>
      <c r="F173" s="7" t="n">
        <v>12</v>
      </c>
      <c r="H173" s="7" t="n">
        <v>104.2</v>
      </c>
      <c r="J173" s="7" t="n">
        <v>35.9</v>
      </c>
      <c r="L173" s="7" t="n">
        <v>109.9</v>
      </c>
      <c r="N173" s="7" t="n">
        <v>73.40000000000001</v>
      </c>
      <c r="P173" s="7" t="n">
        <v>103.2</v>
      </c>
      <c r="R173" s="7" t="n">
        <v>78.8</v>
      </c>
      <c r="T173" s="7" t="n">
        <v>57.5</v>
      </c>
      <c r="V173" s="7" t="n">
        <v>170.1</v>
      </c>
      <c r="X173" s="7" t="n">
        <v>126</v>
      </c>
      <c r="Z173" s="7" t="n">
        <v>43</v>
      </c>
      <c r="AB173" s="7" t="n">
        <v>992.5</v>
      </c>
    </row>
    <row r="174">
      <c r="A174" s="4" t="inlineStr">
        <is>
          <t>报废损失</t>
        </is>
      </c>
      <c r="D174" s="7" t="n">
        <v>441.5</v>
      </c>
      <c r="F174" s="7" t="n">
        <v>44.6</v>
      </c>
      <c r="H174" s="7" t="n">
        <v>375.2</v>
      </c>
      <c r="J174" s="7" t="n">
        <v>324</v>
      </c>
      <c r="L174" s="7" t="n">
        <v>721.3</v>
      </c>
      <c r="N174" s="7" t="n">
        <v>403.3</v>
      </c>
      <c r="P174" s="7" t="n">
        <v>358.6</v>
      </c>
      <c r="R174" s="7" t="n">
        <v>315.1</v>
      </c>
      <c r="T174" s="7" t="n">
        <v>522</v>
      </c>
      <c r="V174" s="7" t="n">
        <v>629.7</v>
      </c>
      <c r="X174" s="7" t="n">
        <v>686.6</v>
      </c>
      <c r="Z174" s="7" t="n">
        <v>209.9</v>
      </c>
      <c r="AB174" s="7" t="n">
        <v>5031.8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28264.4</v>
      </c>
      <c r="D175" s="7" t="n">
        <v>12575.8</v>
      </c>
      <c r="E175" s="7" t="n">
        <v>29471.9</v>
      </c>
      <c r="F175" s="7" t="n">
        <v>2042.5</v>
      </c>
      <c r="G175" s="7" t="n">
        <v>27727.8</v>
      </c>
      <c r="H175" s="7" t="n">
        <v>36466.8</v>
      </c>
      <c r="I175" s="7" t="n">
        <v>29383.3</v>
      </c>
      <c r="J175" s="7" t="n">
        <v>24393</v>
      </c>
      <c r="K175" s="7" t="n">
        <v>29596.8</v>
      </c>
      <c r="L175" s="7" t="n">
        <v>49643</v>
      </c>
      <c r="M175" s="7" t="n">
        <v>29071.2</v>
      </c>
      <c r="N175" s="7" t="n">
        <v>26824.5</v>
      </c>
      <c r="O175" s="7" t="n">
        <v>32958.6</v>
      </c>
      <c r="P175" s="7" t="n">
        <v>52762.8</v>
      </c>
      <c r="Q175" s="7" t="n">
        <v>37164.4</v>
      </c>
      <c r="R175" s="7" t="n">
        <v>42508.4</v>
      </c>
      <c r="S175" s="7" t="n">
        <v>34501</v>
      </c>
      <c r="T175" s="7" t="n">
        <v>18415.4</v>
      </c>
      <c r="U175" s="7" t="n">
        <v>34529.4</v>
      </c>
      <c r="V175" s="7" t="n">
        <v>44341.3</v>
      </c>
      <c r="W175" s="7" t="n">
        <v>28406.1</v>
      </c>
      <c r="X175" s="7" t="n">
        <v>57339.5</v>
      </c>
      <c r="Y175" s="7" t="n">
        <v>29492.6</v>
      </c>
      <c r="Z175" s="7" t="n">
        <v>23268.5</v>
      </c>
      <c r="AA175" s="8" t="n">
        <v>370567.5</v>
      </c>
      <c r="AB175" s="8" t="n">
        <v>390581.5</v>
      </c>
    </row>
    <row r="176">
      <c r="A176" s="4" t="inlineStr">
        <is>
          <t>职工薪酬</t>
        </is>
      </c>
      <c r="D176" s="7" t="n">
        <v>6843</v>
      </c>
      <c r="F176" s="7" t="n">
        <v>1174.1</v>
      </c>
      <c r="H176" s="7" t="n">
        <v>17340.9</v>
      </c>
      <c r="J176" s="7" t="n">
        <v>12907.2</v>
      </c>
      <c r="L176" s="7" t="n">
        <v>22215.8</v>
      </c>
      <c r="N176" s="7" t="n">
        <v>11871.8</v>
      </c>
      <c r="P176" s="7" t="n">
        <v>26051.8</v>
      </c>
      <c r="R176" s="7" t="n">
        <v>23292.5</v>
      </c>
      <c r="T176" s="7" t="n">
        <v>9963.4</v>
      </c>
      <c r="V176" s="7" t="n">
        <v>22920.2</v>
      </c>
      <c r="X176" s="7" t="n">
        <v>23484</v>
      </c>
      <c r="Z176" s="7" t="n">
        <v>13364</v>
      </c>
      <c r="AB176" s="7" t="n">
        <v>191428.7</v>
      </c>
    </row>
    <row r="177">
      <c r="A177" s="4" t="inlineStr">
        <is>
          <t>工资</t>
        </is>
      </c>
      <c r="D177" s="7" t="n">
        <v>4123.2</v>
      </c>
      <c r="F177" s="7" t="n">
        <v>784.9</v>
      </c>
      <c r="H177" s="7" t="n">
        <v>9310</v>
      </c>
      <c r="J177" s="7" t="n">
        <v>8434.5</v>
      </c>
      <c r="L177" s="7" t="n">
        <v>11002.8</v>
      </c>
      <c r="N177" s="7" t="n">
        <v>5936.3</v>
      </c>
      <c r="P177" s="7" t="n">
        <v>14349.4</v>
      </c>
      <c r="R177" s="7" t="n">
        <v>14534.7</v>
      </c>
      <c r="T177" s="7" t="n">
        <v>5921.9</v>
      </c>
      <c r="V177" s="7" t="n">
        <v>15838.1</v>
      </c>
      <c r="X177" s="7" t="n">
        <v>12866.5</v>
      </c>
      <c r="Z177" s="7" t="n">
        <v>8088.1</v>
      </c>
      <c r="AB177" s="7" t="n">
        <v>111190.4</v>
      </c>
    </row>
    <row r="178">
      <c r="A178" s="4" t="inlineStr">
        <is>
          <t>奖金及提成</t>
        </is>
      </c>
      <c r="D178" s="7" t="n">
        <v>1420.6</v>
      </c>
      <c r="F178" s="7" t="n">
        <v>144.4</v>
      </c>
      <c r="H178" s="7" t="n">
        <v>4181.1</v>
      </c>
      <c r="J178" s="7" t="n">
        <v>1836.6</v>
      </c>
      <c r="L178" s="7" t="n">
        <v>5226.8</v>
      </c>
      <c r="N178" s="7" t="n">
        <v>3352.5</v>
      </c>
      <c r="P178" s="7" t="n">
        <v>4837.8</v>
      </c>
      <c r="R178" s="7" t="n">
        <v>4712.7</v>
      </c>
      <c r="T178" s="7" t="n">
        <v>2038.4</v>
      </c>
      <c r="V178" s="7" t="n">
        <v>3279.2</v>
      </c>
      <c r="X178" s="7" t="n">
        <v>4916.6</v>
      </c>
      <c r="Z178" s="7" t="n">
        <v>2801.1</v>
      </c>
      <c r="AB178" s="7" t="n">
        <v>38747.8</v>
      </c>
    </row>
    <row r="179">
      <c r="A179" s="4" t="inlineStr">
        <is>
          <t>社保</t>
        </is>
      </c>
      <c r="D179" s="7" t="n">
        <v>976.4</v>
      </c>
      <c r="F179" s="7" t="n">
        <v>187.1</v>
      </c>
      <c r="H179" s="7" t="n">
        <v>2883.1</v>
      </c>
      <c r="J179" s="7" t="n">
        <v>1951.1</v>
      </c>
      <c r="L179" s="7" t="n">
        <v>4599.1</v>
      </c>
      <c r="N179" s="7" t="n">
        <v>1905.8</v>
      </c>
      <c r="P179" s="7" t="n">
        <v>5485</v>
      </c>
      <c r="R179" s="7" t="n">
        <v>2768.7</v>
      </c>
      <c r="T179" s="7" t="n">
        <v>1550.3</v>
      </c>
      <c r="V179" s="7" t="n">
        <v>2574</v>
      </c>
      <c r="X179" s="7" t="n">
        <v>4182.3</v>
      </c>
      <c r="Z179" s="7" t="n">
        <v>1822.3</v>
      </c>
      <c r="AB179" s="7" t="n">
        <v>30885.2</v>
      </c>
    </row>
    <row r="180">
      <c r="A180" s="4" t="inlineStr">
        <is>
          <t>养老</t>
        </is>
      </c>
      <c r="D180" s="7" t="n">
        <v>47.7</v>
      </c>
      <c r="F180" s="7" t="n">
        <v>7.5</v>
      </c>
      <c r="H180" s="7" t="n">
        <v>141.7</v>
      </c>
      <c r="J180" s="7" t="n">
        <v>72.2</v>
      </c>
      <c r="L180" s="7" t="n">
        <v>186.3</v>
      </c>
      <c r="N180" s="7" t="n">
        <v>78.90000000000001</v>
      </c>
      <c r="P180" s="7" t="n">
        <v>125.4</v>
      </c>
      <c r="R180" s="7" t="n">
        <v>148</v>
      </c>
      <c r="T180" s="7" t="n">
        <v>53.1</v>
      </c>
      <c r="V180" s="7" t="n">
        <v>95.90000000000001</v>
      </c>
      <c r="X180" s="7" t="n">
        <v>136</v>
      </c>
      <c r="Z180" s="7" t="n">
        <v>62.7</v>
      </c>
      <c r="AB180" s="7" t="n">
        <v>1155.4</v>
      </c>
    </row>
    <row r="181">
      <c r="A181" s="4" t="inlineStr">
        <is>
          <t>医疗</t>
        </is>
      </c>
      <c r="D181" s="7" t="n">
        <v>88.09999999999999</v>
      </c>
      <c r="F181" s="7" t="n">
        <v>12.5</v>
      </c>
      <c r="H181" s="7" t="n">
        <v>167.7</v>
      </c>
      <c r="J181" s="7" t="n">
        <v>186</v>
      </c>
      <c r="L181" s="7" t="n">
        <v>353.5</v>
      </c>
      <c r="N181" s="7" t="n">
        <v>139.9</v>
      </c>
      <c r="P181" s="7" t="n">
        <v>361.5</v>
      </c>
      <c r="R181" s="7" t="n">
        <v>223.6</v>
      </c>
      <c r="T181" s="7" t="n">
        <v>90.5</v>
      </c>
      <c r="V181" s="7" t="n">
        <v>269</v>
      </c>
      <c r="X181" s="7" t="n">
        <v>294</v>
      </c>
      <c r="Z181" s="7" t="n">
        <v>136.3</v>
      </c>
      <c r="AB181" s="7" t="n">
        <v>2322.6</v>
      </c>
    </row>
    <row r="182">
      <c r="A182" s="4" t="inlineStr">
        <is>
          <t>工伤</t>
        </is>
      </c>
      <c r="D182" s="7" t="n">
        <v>1.7</v>
      </c>
      <c r="F182" s="7" t="n">
        <v>0.3</v>
      </c>
      <c r="H182" s="7" t="n">
        <v>6.6</v>
      </c>
      <c r="J182" s="7" t="n">
        <v>3.6</v>
      </c>
      <c r="L182" s="7" t="n">
        <v>5.9</v>
      </c>
      <c r="N182" s="7" t="n">
        <v>3.8</v>
      </c>
      <c r="P182" s="7" t="n">
        <v>8.5</v>
      </c>
      <c r="R182" s="7" t="n">
        <v>5.8</v>
      </c>
      <c r="T182" s="7" t="n">
        <v>3.3</v>
      </c>
      <c r="V182" s="7" t="n">
        <v>5</v>
      </c>
      <c r="X182" s="7" t="n">
        <v>10.4</v>
      </c>
      <c r="Z182" s="7" t="n">
        <v>2.4</v>
      </c>
      <c r="AB182" s="7" t="n">
        <v>57.3</v>
      </c>
    </row>
    <row r="183">
      <c r="A183" s="4" t="inlineStr">
        <is>
          <t>失业</t>
        </is>
      </c>
      <c r="D183" s="7" t="n">
        <v>58.7</v>
      </c>
      <c r="F183" s="7" t="n">
        <v>11.5</v>
      </c>
      <c r="H183" s="7" t="n">
        <v>226.7</v>
      </c>
      <c r="J183" s="7" t="n">
        <v>134.3</v>
      </c>
      <c r="L183" s="7" t="n">
        <v>263.2</v>
      </c>
      <c r="N183" s="7" t="n">
        <v>214.1</v>
      </c>
      <c r="P183" s="7" t="n">
        <v>393.2</v>
      </c>
      <c r="R183" s="7" t="n">
        <v>254.5</v>
      </c>
      <c r="T183" s="7" t="n">
        <v>82.2</v>
      </c>
      <c r="V183" s="7" t="n">
        <v>247.3</v>
      </c>
      <c r="X183" s="7" t="n">
        <v>287.4</v>
      </c>
      <c r="Z183" s="7" t="n">
        <v>158.2</v>
      </c>
      <c r="AB183" s="7" t="n">
        <v>2331.3</v>
      </c>
    </row>
    <row r="184">
      <c r="A184" s="4" t="inlineStr">
        <is>
          <t>生育</t>
        </is>
      </c>
      <c r="D184" s="7" t="n">
        <v>54</v>
      </c>
      <c r="F184" s="7" t="n">
        <v>7.1</v>
      </c>
      <c r="H184" s="7" t="n">
        <v>127.2</v>
      </c>
      <c r="J184" s="7" t="n">
        <v>95.09999999999999</v>
      </c>
      <c r="L184" s="7" t="n">
        <v>252.7</v>
      </c>
      <c r="N184" s="7" t="n">
        <v>142.5</v>
      </c>
      <c r="P184" s="7" t="n">
        <v>288.4</v>
      </c>
      <c r="R184" s="7" t="n">
        <v>175.8</v>
      </c>
      <c r="T184" s="7" t="n">
        <v>105.9</v>
      </c>
      <c r="V184" s="7" t="n">
        <v>146.8</v>
      </c>
      <c r="X184" s="7" t="n">
        <v>249</v>
      </c>
      <c r="Z184" s="7" t="n">
        <v>99.2</v>
      </c>
      <c r="AB184" s="7" t="n">
        <v>1743.7</v>
      </c>
    </row>
    <row r="185">
      <c r="A185" s="4" t="inlineStr">
        <is>
          <t>公积金</t>
        </is>
      </c>
      <c r="D185" s="7" t="n">
        <v>15.5</v>
      </c>
      <c r="F185" s="7" t="n">
        <v>2.4</v>
      </c>
      <c r="H185" s="7" t="n">
        <v>61.3</v>
      </c>
      <c r="J185" s="7" t="n">
        <v>29.7</v>
      </c>
      <c r="L185" s="7" t="n">
        <v>85.2</v>
      </c>
      <c r="N185" s="7" t="n">
        <v>47.3</v>
      </c>
      <c r="P185" s="7" t="n">
        <v>84.90000000000001</v>
      </c>
      <c r="R185" s="7" t="n">
        <v>60.3</v>
      </c>
      <c r="T185" s="7" t="n">
        <v>26.5</v>
      </c>
      <c r="V185" s="7" t="n">
        <v>54.7</v>
      </c>
      <c r="X185" s="7" t="n">
        <v>64.3</v>
      </c>
      <c r="Z185" s="7" t="n">
        <v>24.8</v>
      </c>
      <c r="AB185" s="7" t="n">
        <v>556.9</v>
      </c>
    </row>
    <row r="186">
      <c r="A186" s="4" t="inlineStr">
        <is>
          <t>工会经费</t>
        </is>
      </c>
      <c r="D186" s="7" t="n">
        <v>28.7</v>
      </c>
      <c r="F186" s="7" t="n">
        <v>5.5</v>
      </c>
      <c r="H186" s="7" t="n">
        <v>64.40000000000001</v>
      </c>
      <c r="J186" s="7" t="n">
        <v>54.3</v>
      </c>
      <c r="L186" s="7" t="n">
        <v>88.2</v>
      </c>
      <c r="N186" s="7" t="n">
        <v>67.5</v>
      </c>
      <c r="P186" s="7" t="n">
        <v>110.6</v>
      </c>
      <c r="R186" s="7" t="n">
        <v>88.09999999999999</v>
      </c>
      <c r="T186" s="7" t="n">
        <v>27.7</v>
      </c>
      <c r="V186" s="7" t="n">
        <v>94.2</v>
      </c>
      <c r="X186" s="7" t="n">
        <v>91.59999999999999</v>
      </c>
      <c r="Z186" s="7" t="n">
        <v>56.5</v>
      </c>
      <c r="AB186" s="7" t="n">
        <v>777.3</v>
      </c>
    </row>
    <row r="187">
      <c r="A187" s="4" t="inlineStr">
        <is>
          <t>职工教育经费</t>
        </is>
      </c>
      <c r="D187" s="7" t="n">
        <v>38.5</v>
      </c>
      <c r="F187" s="7" t="n">
        <v>8.300000000000001</v>
      </c>
      <c r="H187" s="7" t="n">
        <v>158.3</v>
      </c>
      <c r="J187" s="7" t="n">
        <v>123.1</v>
      </c>
      <c r="L187" s="7" t="n">
        <v>258.8</v>
      </c>
      <c r="N187" s="7" t="n">
        <v>94.3</v>
      </c>
      <c r="P187" s="7" t="n">
        <v>209.2</v>
      </c>
      <c r="R187" s="7" t="n">
        <v>202.8</v>
      </c>
      <c r="T187" s="7" t="n">
        <v>88.5</v>
      </c>
      <c r="V187" s="7" t="n">
        <v>157</v>
      </c>
      <c r="X187" s="7" t="n">
        <v>184.3</v>
      </c>
      <c r="Z187" s="7" t="n">
        <v>115</v>
      </c>
      <c r="AB187" s="7" t="n">
        <v>1638.1</v>
      </c>
    </row>
    <row r="188">
      <c r="A188" s="4" t="inlineStr">
        <is>
          <t>福利费</t>
        </is>
      </c>
      <c r="D188" s="7" t="n">
        <v>240.1</v>
      </c>
      <c r="F188" s="7" t="n">
        <v>41.5</v>
      </c>
      <c r="H188" s="7" t="n">
        <v>682.7</v>
      </c>
      <c r="J188" s="7" t="n">
        <v>477.9</v>
      </c>
      <c r="L188" s="7" t="n">
        <v>954.9</v>
      </c>
      <c r="N188" s="7" t="n">
        <v>468.1</v>
      </c>
      <c r="P188" s="7" t="n">
        <v>974.9</v>
      </c>
      <c r="R188" s="7" t="n">
        <v>925.2</v>
      </c>
      <c r="T188" s="7" t="n">
        <v>310.1</v>
      </c>
      <c r="V188" s="7" t="n">
        <v>923</v>
      </c>
      <c r="X188" s="7" t="n">
        <v>1178.4</v>
      </c>
      <c r="Z188" s="7" t="n">
        <v>456.2</v>
      </c>
      <c r="AB188" s="7" t="n">
        <v>7633</v>
      </c>
    </row>
    <row r="189">
      <c r="A189" s="4" t="inlineStr">
        <is>
          <t>职工房租</t>
        </is>
      </c>
      <c r="D189" s="7" t="n">
        <v>73.90000000000001</v>
      </c>
      <c r="F189" s="7" t="n">
        <v>14.1</v>
      </c>
      <c r="H189" s="7" t="n">
        <v>208.6</v>
      </c>
      <c r="J189" s="7" t="n">
        <v>101.8</v>
      </c>
      <c r="L189" s="7" t="n">
        <v>305.9</v>
      </c>
      <c r="N189" s="7" t="n">
        <v>165.4</v>
      </c>
      <c r="P189" s="7" t="n">
        <v>232.9</v>
      </c>
      <c r="R189" s="7" t="n">
        <v>270.9</v>
      </c>
      <c r="T189" s="7" t="n">
        <v>86.5</v>
      </c>
      <c r="V189" s="7" t="n">
        <v>281.4</v>
      </c>
      <c r="X189" s="7" t="n">
        <v>295.6</v>
      </c>
      <c r="Z189" s="7" t="n">
        <v>149.8</v>
      </c>
      <c r="AB189" s="7" t="n">
        <v>2186.8</v>
      </c>
    </row>
    <row r="190">
      <c r="A190" s="4" t="inlineStr">
        <is>
          <t>水电物业费</t>
        </is>
      </c>
      <c r="D190" s="7" t="n">
        <v>0.8</v>
      </c>
      <c r="F190" s="7" t="n">
        <v>0.1</v>
      </c>
      <c r="H190" s="7" t="n">
        <v>1.9</v>
      </c>
      <c r="J190" s="7" t="n">
        <v>1.9</v>
      </c>
      <c r="L190" s="7" t="n">
        <v>4.1</v>
      </c>
      <c r="N190" s="7" t="n">
        <v>1.4</v>
      </c>
      <c r="P190" s="7" t="n">
        <v>3.7</v>
      </c>
      <c r="R190" s="7" t="n">
        <v>3.8</v>
      </c>
      <c r="T190" s="7" t="n">
        <v>1</v>
      </c>
      <c r="V190" s="7" t="n">
        <v>3.4</v>
      </c>
      <c r="X190" s="7" t="n">
        <v>4.2</v>
      </c>
      <c r="Z190" s="7" t="n">
        <v>1.8</v>
      </c>
      <c r="AB190" s="7" t="n">
        <v>28.1</v>
      </c>
    </row>
    <row r="191">
      <c r="A191" s="4" t="inlineStr">
        <is>
          <t>员工餐</t>
        </is>
      </c>
      <c r="D191" s="7" t="n">
        <v>47.8</v>
      </c>
      <c r="F191" s="7" t="n">
        <v>8.800000000000001</v>
      </c>
      <c r="H191" s="7" t="n">
        <v>157</v>
      </c>
      <c r="J191" s="7" t="n">
        <v>136.3</v>
      </c>
      <c r="L191" s="7" t="n">
        <v>240</v>
      </c>
      <c r="N191" s="7" t="n">
        <v>106.4</v>
      </c>
      <c r="P191" s="7" t="n">
        <v>203.9</v>
      </c>
      <c r="R191" s="7" t="n">
        <v>269.3</v>
      </c>
      <c r="T191" s="7" t="n">
        <v>70.90000000000001</v>
      </c>
      <c r="V191" s="7" t="n">
        <v>269.2</v>
      </c>
      <c r="X191" s="7" t="n">
        <v>294.2</v>
      </c>
      <c r="Z191" s="7" t="n">
        <v>106.6</v>
      </c>
      <c r="AB191" s="7" t="n">
        <v>1910.4</v>
      </c>
    </row>
    <row r="192">
      <c r="A192" s="4" t="inlineStr">
        <is>
          <t>节日礼品</t>
        </is>
      </c>
      <c r="D192" s="7" t="n">
        <v>29.4</v>
      </c>
      <c r="F192" s="7" t="n">
        <v>4.3</v>
      </c>
      <c r="H192" s="7" t="n">
        <v>81.2</v>
      </c>
      <c r="J192" s="7" t="n">
        <v>54.9</v>
      </c>
      <c r="L192" s="7" t="n">
        <v>96.2</v>
      </c>
      <c r="N192" s="7" t="n">
        <v>49.7</v>
      </c>
      <c r="P192" s="7" t="n">
        <v>131.1</v>
      </c>
      <c r="R192" s="7" t="n">
        <v>63.3</v>
      </c>
      <c r="T192" s="7" t="n">
        <v>33.1</v>
      </c>
      <c r="V192" s="7" t="n">
        <v>95.3</v>
      </c>
      <c r="X192" s="7" t="n">
        <v>123.4</v>
      </c>
      <c r="Z192" s="7" t="n">
        <v>59.2</v>
      </c>
      <c r="AB192" s="7" t="n">
        <v>821.1</v>
      </c>
    </row>
    <row r="193">
      <c r="A193" s="4" t="inlineStr">
        <is>
          <t>生日礼品</t>
        </is>
      </c>
      <c r="D193" s="7" t="n">
        <v>5.2</v>
      </c>
      <c r="F193" s="7" t="n">
        <v>0.6</v>
      </c>
      <c r="H193" s="7" t="n">
        <v>9.9</v>
      </c>
      <c r="J193" s="7" t="n">
        <v>6.6</v>
      </c>
      <c r="L193" s="7" t="n">
        <v>14.4</v>
      </c>
      <c r="N193" s="7" t="n">
        <v>10</v>
      </c>
      <c r="P193" s="7" t="n">
        <v>24.4</v>
      </c>
      <c r="R193" s="7" t="n">
        <v>13.1</v>
      </c>
      <c r="T193" s="7" t="n">
        <v>7.8</v>
      </c>
      <c r="V193" s="7" t="n">
        <v>20.8</v>
      </c>
      <c r="X193" s="7" t="n">
        <v>19</v>
      </c>
      <c r="Z193" s="7" t="n">
        <v>8.1</v>
      </c>
      <c r="AB193" s="7" t="n">
        <v>139.9</v>
      </c>
    </row>
    <row r="194">
      <c r="A194" s="4" t="inlineStr">
        <is>
          <t>体检</t>
        </is>
      </c>
      <c r="D194" s="7" t="n">
        <v>61.6</v>
      </c>
      <c r="F194" s="7" t="n">
        <v>10.3</v>
      </c>
      <c r="H194" s="7" t="n">
        <v>182.2</v>
      </c>
      <c r="J194" s="7" t="n">
        <v>130.3</v>
      </c>
      <c r="L194" s="7" t="n">
        <v>229.2</v>
      </c>
      <c r="N194" s="7" t="n">
        <v>104.7</v>
      </c>
      <c r="P194" s="7" t="n">
        <v>310.1</v>
      </c>
      <c r="R194" s="7" t="n">
        <v>248.8</v>
      </c>
      <c r="T194" s="7" t="n">
        <v>87.90000000000001</v>
      </c>
      <c r="V194" s="7" t="n">
        <v>167.9</v>
      </c>
      <c r="X194" s="7" t="n">
        <v>352</v>
      </c>
      <c r="Z194" s="7" t="n">
        <v>98.09999999999999</v>
      </c>
      <c r="AB194" s="7" t="n">
        <v>1983.1</v>
      </c>
    </row>
    <row r="195">
      <c r="A195" s="4" t="inlineStr">
        <is>
          <t>其他福利支出</t>
        </is>
      </c>
      <c r="D195" s="7" t="n">
        <v>21.4</v>
      </c>
      <c r="F195" s="7" t="n">
        <v>3.3</v>
      </c>
      <c r="H195" s="7" t="n">
        <v>41.9</v>
      </c>
      <c r="J195" s="7" t="n">
        <v>46.1</v>
      </c>
      <c r="L195" s="7" t="n">
        <v>65.09999999999999</v>
      </c>
      <c r="N195" s="7" t="n">
        <v>30.5</v>
      </c>
      <c r="P195" s="7" t="n">
        <v>68.8</v>
      </c>
      <c r="R195" s="7" t="n">
        <v>56</v>
      </c>
      <c r="T195" s="7" t="n">
        <v>22.9</v>
      </c>
      <c r="V195" s="7" t="n">
        <v>85</v>
      </c>
      <c r="X195" s="7" t="n">
        <v>90</v>
      </c>
      <c r="Z195" s="7" t="n">
        <v>32.6</v>
      </c>
      <c r="AB195" s="7" t="n">
        <v>563.6</v>
      </c>
    </row>
    <row r="196">
      <c r="A196" s="4" t="inlineStr">
        <is>
          <t>招聘费</t>
        </is>
      </c>
      <c r="D196" s="7" t="n">
        <v>68.7</v>
      </c>
      <c r="F196" s="7" t="n">
        <v>7.2</v>
      </c>
      <c r="H196" s="7" t="n">
        <v>209.6</v>
      </c>
      <c r="J196" s="7" t="n">
        <v>120.4</v>
      </c>
      <c r="L196" s="7" t="n">
        <v>271.1</v>
      </c>
      <c r="N196" s="7" t="n">
        <v>148.7</v>
      </c>
      <c r="P196" s="7" t="n">
        <v>269.4</v>
      </c>
      <c r="R196" s="7" t="n">
        <v>152.6</v>
      </c>
      <c r="T196" s="7" t="n">
        <v>96.2</v>
      </c>
      <c r="V196" s="7" t="n">
        <v>181.4</v>
      </c>
      <c r="X196" s="7" t="n">
        <v>298.4</v>
      </c>
      <c r="Z196" s="7" t="n">
        <v>81.2</v>
      </c>
      <c r="AB196" s="7" t="n">
        <v>1904.9</v>
      </c>
    </row>
    <row r="197">
      <c r="A197" s="4" t="inlineStr">
        <is>
          <t>办公费</t>
        </is>
      </c>
      <c r="D197" s="7" t="n">
        <v>423</v>
      </c>
      <c r="F197" s="7" t="n">
        <v>64.3</v>
      </c>
      <c r="H197" s="7" t="n">
        <v>1007.4</v>
      </c>
      <c r="J197" s="7" t="n">
        <v>906.8</v>
      </c>
      <c r="L197" s="7" t="n">
        <v>1189.2</v>
      </c>
      <c r="N197" s="7" t="n">
        <v>666.1</v>
      </c>
      <c r="P197" s="7" t="n">
        <v>1617.3</v>
      </c>
      <c r="R197" s="7" t="n">
        <v>1592.9</v>
      </c>
      <c r="T197" s="7" t="n">
        <v>633.4</v>
      </c>
      <c r="V197" s="7" t="n">
        <v>1155.8</v>
      </c>
      <c r="X197" s="7" t="n">
        <v>1778.3</v>
      </c>
      <c r="Z197" s="7" t="n">
        <v>702.6</v>
      </c>
      <c r="AB197" s="7" t="n">
        <v>11737.1</v>
      </c>
    </row>
    <row r="198">
      <c r="A198" s="4" t="inlineStr">
        <is>
          <t>市内交通费</t>
        </is>
      </c>
      <c r="D198" s="7" t="n">
        <v>10.8</v>
      </c>
      <c r="F198" s="7" t="n">
        <v>2.3</v>
      </c>
      <c r="H198" s="7" t="n">
        <v>34.4</v>
      </c>
      <c r="J198" s="7" t="n">
        <v>22.9</v>
      </c>
      <c r="L198" s="7" t="n">
        <v>44.6</v>
      </c>
      <c r="N198" s="7" t="n">
        <v>21.7</v>
      </c>
      <c r="P198" s="7" t="n">
        <v>48.2</v>
      </c>
      <c r="R198" s="7" t="n">
        <v>32</v>
      </c>
      <c r="T198" s="7" t="n">
        <v>20.5</v>
      </c>
      <c r="V198" s="7" t="n">
        <v>50.7</v>
      </c>
      <c r="X198" s="7" t="n">
        <v>60.5</v>
      </c>
      <c r="Z198" s="7" t="n">
        <v>23</v>
      </c>
      <c r="AB198" s="7" t="n">
        <v>371.6</v>
      </c>
    </row>
    <row r="199">
      <c r="A199" s="4" t="inlineStr">
        <is>
          <t>差旅费</t>
        </is>
      </c>
      <c r="D199" s="7" t="n">
        <v>611.9</v>
      </c>
      <c r="F199" s="7" t="n">
        <v>88.8</v>
      </c>
      <c r="H199" s="7" t="n">
        <v>2587.9</v>
      </c>
      <c r="J199" s="7" t="n">
        <v>1676.8</v>
      </c>
      <c r="L199" s="7" t="n">
        <v>3647.4</v>
      </c>
      <c r="N199" s="7" t="n">
        <v>1319.9</v>
      </c>
      <c r="P199" s="7" t="n">
        <v>3299.1</v>
      </c>
      <c r="R199" s="7" t="n">
        <v>2928.9</v>
      </c>
      <c r="T199" s="7" t="n">
        <v>1325.6</v>
      </c>
      <c r="V199" s="7" t="n">
        <v>2938.6</v>
      </c>
      <c r="X199" s="7" t="n">
        <v>4238.5</v>
      </c>
      <c r="Z199" s="7" t="n">
        <v>1662.4</v>
      </c>
      <c r="AB199" s="7" t="n">
        <v>26325.8</v>
      </c>
    </row>
    <row r="200">
      <c r="A200" s="4" t="inlineStr">
        <is>
          <t>交通费</t>
        </is>
      </c>
      <c r="D200" s="7" t="n">
        <v>21.8</v>
      </c>
      <c r="F200" s="7" t="n">
        <v>5.2</v>
      </c>
      <c r="H200" s="7" t="n">
        <v>89.8</v>
      </c>
      <c r="J200" s="7" t="n">
        <v>71</v>
      </c>
      <c r="L200" s="7" t="n">
        <v>100</v>
      </c>
      <c r="N200" s="7" t="n">
        <v>63.9</v>
      </c>
      <c r="P200" s="7" t="n">
        <v>110.6</v>
      </c>
      <c r="R200" s="7" t="n">
        <v>83.5</v>
      </c>
      <c r="T200" s="7" t="n">
        <v>35.2</v>
      </c>
      <c r="V200" s="7" t="n">
        <v>94.5</v>
      </c>
      <c r="X200" s="7" t="n">
        <v>135.7</v>
      </c>
      <c r="Z200" s="7" t="n">
        <v>62.3</v>
      </c>
      <c r="AB200" s="7" t="n">
        <v>873.5</v>
      </c>
    </row>
    <row r="201">
      <c r="A201" s="4" t="inlineStr">
        <is>
          <t>住宿费</t>
        </is>
      </c>
      <c r="D201" s="7" t="n">
        <v>57.9</v>
      </c>
      <c r="F201" s="7" t="n">
        <v>9</v>
      </c>
      <c r="H201" s="7" t="n">
        <v>198.4</v>
      </c>
      <c r="J201" s="7" t="n">
        <v>144.2</v>
      </c>
      <c r="L201" s="7" t="n">
        <v>231.6</v>
      </c>
      <c r="N201" s="7" t="n">
        <v>134</v>
      </c>
      <c r="P201" s="7" t="n">
        <v>293.2</v>
      </c>
      <c r="R201" s="7" t="n">
        <v>220.8</v>
      </c>
      <c r="T201" s="7" t="n">
        <v>109.8</v>
      </c>
      <c r="V201" s="7" t="n">
        <v>156.3</v>
      </c>
      <c r="X201" s="7" t="n">
        <v>206.9</v>
      </c>
      <c r="Z201" s="7" t="n">
        <v>76.90000000000001</v>
      </c>
      <c r="AB201" s="7" t="n">
        <v>1839</v>
      </c>
    </row>
    <row r="202">
      <c r="A202" s="4" t="inlineStr">
        <is>
          <t>餐补</t>
        </is>
      </c>
      <c r="D202" s="7" t="n">
        <v>1.9</v>
      </c>
      <c r="F202" s="7" t="n">
        <v>0.3</v>
      </c>
      <c r="H202" s="7" t="n">
        <v>6.5</v>
      </c>
      <c r="J202" s="7" t="n">
        <v>3.5</v>
      </c>
      <c r="L202" s="7" t="n">
        <v>9.800000000000001</v>
      </c>
      <c r="N202" s="7" t="n">
        <v>6.2</v>
      </c>
      <c r="P202" s="7" t="n">
        <v>13.8</v>
      </c>
      <c r="R202" s="7" t="n">
        <v>6.6</v>
      </c>
      <c r="T202" s="7" t="n">
        <v>3.5</v>
      </c>
      <c r="V202" s="7" t="n">
        <v>9.9</v>
      </c>
      <c r="X202" s="7" t="n">
        <v>15</v>
      </c>
      <c r="Z202" s="7" t="n">
        <v>5.5</v>
      </c>
      <c r="AB202" s="7" t="n">
        <v>82.5</v>
      </c>
    </row>
    <row r="203">
      <c r="A203" s="4" t="inlineStr">
        <is>
          <t>交通补助</t>
        </is>
      </c>
      <c r="D203" s="7" t="n">
        <v>26.7</v>
      </c>
      <c r="F203" s="7" t="n">
        <v>5.5</v>
      </c>
      <c r="H203" s="7" t="n">
        <v>78.3</v>
      </c>
      <c r="J203" s="7" t="n">
        <v>43</v>
      </c>
      <c r="L203" s="7" t="n">
        <v>93.7</v>
      </c>
      <c r="N203" s="7" t="n">
        <v>51.5</v>
      </c>
      <c r="P203" s="7" t="n">
        <v>125.7</v>
      </c>
      <c r="R203" s="7" t="n">
        <v>130.9</v>
      </c>
      <c r="T203" s="7" t="n">
        <v>58.1</v>
      </c>
      <c r="V203" s="7" t="n">
        <v>135.4</v>
      </c>
      <c r="X203" s="7" t="n">
        <v>108.2</v>
      </c>
      <c r="Z203" s="7" t="n">
        <v>61.6</v>
      </c>
      <c r="AB203" s="7" t="n">
        <v>918.6</v>
      </c>
    </row>
    <row r="204">
      <c r="A204" s="4" t="inlineStr">
        <is>
          <t>通讯补助</t>
        </is>
      </c>
      <c r="D204" s="7" t="n">
        <v>92.3</v>
      </c>
      <c r="F204" s="7" t="n">
        <v>15.7</v>
      </c>
      <c r="H204" s="7" t="n">
        <v>286.8</v>
      </c>
      <c r="J204" s="7" t="n">
        <v>122.6</v>
      </c>
      <c r="L204" s="7" t="n">
        <v>238</v>
      </c>
      <c r="N204" s="7" t="n">
        <v>190.1</v>
      </c>
      <c r="P204" s="7" t="n">
        <v>320.7</v>
      </c>
      <c r="R204" s="7" t="n">
        <v>327</v>
      </c>
      <c r="T204" s="7" t="n">
        <v>128.5</v>
      </c>
      <c r="V204" s="7" t="n">
        <v>239.2</v>
      </c>
      <c r="X204" s="7" t="n">
        <v>255.5</v>
      </c>
      <c r="Z204" s="7" t="n">
        <v>150.8</v>
      </c>
      <c r="AB204" s="7" t="n">
        <v>2367.2</v>
      </c>
    </row>
    <row r="205">
      <c r="A205" s="4" t="inlineStr">
        <is>
          <t>招待费</t>
        </is>
      </c>
      <c r="D205" s="7" t="n">
        <v>371.2</v>
      </c>
      <c r="F205" s="7" t="n">
        <v>91.09999999999999</v>
      </c>
      <c r="H205" s="7" t="n">
        <v>1209.7</v>
      </c>
      <c r="J205" s="7" t="n">
        <v>915.7</v>
      </c>
      <c r="L205" s="7" t="n">
        <v>1839.7</v>
      </c>
      <c r="N205" s="7" t="n">
        <v>775</v>
      </c>
      <c r="P205" s="7" t="n">
        <v>2025</v>
      </c>
      <c r="R205" s="7" t="n">
        <v>1665.3</v>
      </c>
      <c r="T205" s="7" t="n">
        <v>593</v>
      </c>
      <c r="V205" s="7" t="n">
        <v>1255.7</v>
      </c>
      <c r="X205" s="7" t="n">
        <v>2840.5</v>
      </c>
      <c r="Z205" s="7" t="n">
        <v>1018.2</v>
      </c>
      <c r="AB205" s="7" t="n">
        <v>14600.1</v>
      </c>
    </row>
    <row r="206">
      <c r="A206" s="4" t="inlineStr">
        <is>
          <t>通讯费</t>
        </is>
      </c>
      <c r="D206" s="7" t="n">
        <v>97</v>
      </c>
      <c r="F206" s="7" t="n">
        <v>14.5</v>
      </c>
      <c r="H206" s="7" t="n">
        <v>259.6</v>
      </c>
      <c r="J206" s="7" t="n">
        <v>126.1</v>
      </c>
      <c r="L206" s="7" t="n">
        <v>268.7</v>
      </c>
      <c r="N206" s="7" t="n">
        <v>186.1</v>
      </c>
      <c r="P206" s="7" t="n">
        <v>424.2</v>
      </c>
      <c r="R206" s="7" t="n">
        <v>217.4</v>
      </c>
      <c r="T206" s="7" t="n">
        <v>129</v>
      </c>
      <c r="V206" s="7" t="n">
        <v>330.9</v>
      </c>
      <c r="X206" s="7" t="n">
        <v>468.1</v>
      </c>
      <c r="Z206" s="7" t="n">
        <v>106.3</v>
      </c>
      <c r="AB206" s="7" t="n">
        <v>2627.9</v>
      </c>
    </row>
    <row r="207">
      <c r="A207" s="4" t="inlineStr">
        <is>
          <t>网络费</t>
        </is>
      </c>
      <c r="D207" s="7" t="n">
        <v>56.4</v>
      </c>
      <c r="F207" s="7" t="n">
        <v>7.8</v>
      </c>
      <c r="H207" s="7" t="n">
        <v>151.1</v>
      </c>
      <c r="J207" s="7" t="n">
        <v>105.9</v>
      </c>
      <c r="L207" s="7" t="n">
        <v>207.1</v>
      </c>
      <c r="N207" s="7" t="n">
        <v>113.5</v>
      </c>
      <c r="P207" s="7" t="n">
        <v>169.9</v>
      </c>
      <c r="R207" s="7" t="n">
        <v>118.2</v>
      </c>
      <c r="T207" s="7" t="n">
        <v>62.6</v>
      </c>
      <c r="V207" s="7" t="n">
        <v>195.3</v>
      </c>
      <c r="X207" s="7" t="n">
        <v>217.4</v>
      </c>
      <c r="Z207" s="7" t="n">
        <v>79.40000000000001</v>
      </c>
      <c r="AB207" s="7" t="n">
        <v>1484.6</v>
      </c>
    </row>
    <row r="208">
      <c r="A208" s="4" t="inlineStr">
        <is>
          <t>修理费</t>
        </is>
      </c>
      <c r="D208" s="7" t="n">
        <v>84.5</v>
      </c>
      <c r="F208" s="7" t="n">
        <v>12.4</v>
      </c>
      <c r="H208" s="7" t="n">
        <v>192.5</v>
      </c>
      <c r="J208" s="7" t="n">
        <v>156.3</v>
      </c>
      <c r="L208" s="7" t="n">
        <v>277.2</v>
      </c>
      <c r="N208" s="7" t="n">
        <v>166.3</v>
      </c>
      <c r="P208" s="7" t="n">
        <v>288.1</v>
      </c>
      <c r="R208" s="7" t="n">
        <v>324.3</v>
      </c>
      <c r="T208" s="7" t="n">
        <v>126.4</v>
      </c>
      <c r="V208" s="7" t="n">
        <v>206.8</v>
      </c>
      <c r="X208" s="7" t="n">
        <v>374.2</v>
      </c>
      <c r="Z208" s="7" t="n">
        <v>169.8</v>
      </c>
      <c r="AB208" s="7" t="n">
        <v>2378.8</v>
      </c>
    </row>
    <row r="209">
      <c r="A209" s="4" t="inlineStr">
        <is>
          <t>车辆费</t>
        </is>
      </c>
      <c r="D209" s="7" t="n">
        <v>52.6</v>
      </c>
      <c r="F209" s="7" t="n">
        <v>11.6</v>
      </c>
      <c r="H209" s="7" t="n">
        <v>121.5</v>
      </c>
      <c r="J209" s="7" t="n">
        <v>92.09999999999999</v>
      </c>
      <c r="L209" s="7" t="n">
        <v>172.1</v>
      </c>
      <c r="N209" s="7" t="n">
        <v>149.1</v>
      </c>
      <c r="P209" s="7" t="n">
        <v>254.2</v>
      </c>
      <c r="R209" s="7" t="n">
        <v>182.8</v>
      </c>
      <c r="T209" s="7" t="n">
        <v>83.5</v>
      </c>
      <c r="V209" s="7" t="n">
        <v>217.7</v>
      </c>
      <c r="X209" s="7" t="n">
        <v>313.5</v>
      </c>
      <c r="Z209" s="7" t="n">
        <v>93.40000000000001</v>
      </c>
      <c r="AB209" s="7" t="n">
        <v>1744.1</v>
      </c>
    </row>
    <row r="210">
      <c r="A210" s="4" t="inlineStr">
        <is>
          <t>租赁费</t>
        </is>
      </c>
      <c r="D210" s="7" t="n">
        <v>786.6</v>
      </c>
      <c r="F210" s="7" t="n">
        <v>131.7</v>
      </c>
      <c r="H210" s="7" t="n">
        <v>1435</v>
      </c>
      <c r="J210" s="7" t="n">
        <v>1103.8</v>
      </c>
      <c r="L210" s="7" t="n">
        <v>2679.8</v>
      </c>
      <c r="N210" s="7" t="n">
        <v>1538.2</v>
      </c>
      <c r="P210" s="7" t="n">
        <v>3193.9</v>
      </c>
      <c r="R210" s="7" t="n">
        <v>2219.4</v>
      </c>
      <c r="T210" s="7" t="n">
        <v>1184.4</v>
      </c>
      <c r="V210" s="7" t="n">
        <v>2605.9</v>
      </c>
      <c r="X210" s="7" t="n">
        <v>3425.5</v>
      </c>
      <c r="Z210" s="7" t="n">
        <v>1091.1</v>
      </c>
      <c r="AB210" s="7" t="n">
        <v>21395.3</v>
      </c>
    </row>
    <row r="211">
      <c r="A211" s="4" t="inlineStr">
        <is>
          <t>能源费</t>
        </is>
      </c>
      <c r="D211" s="7" t="n">
        <v>178.6</v>
      </c>
      <c r="F211" s="7" t="n">
        <v>29.2</v>
      </c>
      <c r="H211" s="7" t="n">
        <v>506.1</v>
      </c>
      <c r="J211" s="7" t="n">
        <v>297.2</v>
      </c>
      <c r="L211" s="7" t="n">
        <v>624.3</v>
      </c>
      <c r="N211" s="7" t="n">
        <v>354.9</v>
      </c>
      <c r="P211" s="7" t="n">
        <v>622.8</v>
      </c>
      <c r="R211" s="7" t="n">
        <v>590.2</v>
      </c>
      <c r="T211" s="7" t="n">
        <v>216.6</v>
      </c>
      <c r="V211" s="7" t="n">
        <v>611</v>
      </c>
      <c r="X211" s="7" t="n">
        <v>812.6</v>
      </c>
      <c r="Z211" s="7" t="n">
        <v>305.4</v>
      </c>
      <c r="AB211" s="7" t="n">
        <v>5148.9</v>
      </c>
    </row>
    <row r="212">
      <c r="A212" s="4" t="inlineStr">
        <is>
          <t>水费</t>
        </is>
      </c>
      <c r="D212" s="7" t="n">
        <v>36.1</v>
      </c>
      <c r="F212" s="7" t="n">
        <v>7.9</v>
      </c>
      <c r="H212" s="7" t="n">
        <v>108.1</v>
      </c>
      <c r="J212" s="7" t="n">
        <v>98.8</v>
      </c>
      <c r="L212" s="7" t="n">
        <v>161.5</v>
      </c>
      <c r="N212" s="7" t="n">
        <v>102.5</v>
      </c>
      <c r="P212" s="7" t="n">
        <v>140.7</v>
      </c>
      <c r="R212" s="7" t="n">
        <v>124.2</v>
      </c>
      <c r="T212" s="7" t="n">
        <v>55.8</v>
      </c>
      <c r="V212" s="7" t="n">
        <v>163.7</v>
      </c>
      <c r="X212" s="7" t="n">
        <v>140.5</v>
      </c>
      <c r="Z212" s="7" t="n">
        <v>80.90000000000001</v>
      </c>
      <c r="AB212" s="7" t="n">
        <v>1220.7</v>
      </c>
    </row>
    <row r="213">
      <c r="A213" s="4" t="inlineStr">
        <is>
          <t>电费</t>
        </is>
      </c>
      <c r="D213" s="7" t="n">
        <v>44.9</v>
      </c>
      <c r="F213" s="7" t="n">
        <v>7.5</v>
      </c>
      <c r="H213" s="7" t="n">
        <v>88.2</v>
      </c>
      <c r="J213" s="7" t="n">
        <v>50.8</v>
      </c>
      <c r="L213" s="7" t="n">
        <v>173.7</v>
      </c>
      <c r="N213" s="7" t="n">
        <v>80</v>
      </c>
      <c r="P213" s="7" t="n">
        <v>120</v>
      </c>
      <c r="R213" s="7" t="n">
        <v>99.5</v>
      </c>
      <c r="T213" s="7" t="n">
        <v>40.7</v>
      </c>
      <c r="V213" s="7" t="n">
        <v>167.5</v>
      </c>
      <c r="X213" s="7" t="n">
        <v>144.2</v>
      </c>
      <c r="Z213" s="7" t="n">
        <v>65.3</v>
      </c>
      <c r="AB213" s="7" t="n">
        <v>1082.3</v>
      </c>
    </row>
    <row r="214">
      <c r="A214" s="4" t="inlineStr">
        <is>
          <t>燃气费</t>
        </is>
      </c>
      <c r="D214" s="7" t="n">
        <v>69.8</v>
      </c>
      <c r="F214" s="7" t="n">
        <v>8.4</v>
      </c>
      <c r="H214" s="7" t="n">
        <v>234.6</v>
      </c>
      <c r="J214" s="7" t="n">
        <v>94.3</v>
      </c>
      <c r="L214" s="7" t="n">
        <v>193.1</v>
      </c>
      <c r="N214" s="7" t="n">
        <v>112.2</v>
      </c>
      <c r="P214" s="7" t="n">
        <v>231.7</v>
      </c>
      <c r="R214" s="7" t="n">
        <v>268.1</v>
      </c>
      <c r="T214" s="7" t="n">
        <v>74</v>
      </c>
      <c r="V214" s="7" t="n">
        <v>204.4</v>
      </c>
      <c r="X214" s="7" t="n">
        <v>394.2</v>
      </c>
      <c r="Z214" s="7" t="n">
        <v>120</v>
      </c>
      <c r="AB214" s="7" t="n">
        <v>2004.8</v>
      </c>
    </row>
    <row r="215">
      <c r="A215" s="4" t="inlineStr">
        <is>
          <t>蒸汽费</t>
        </is>
      </c>
      <c r="D215" s="7" t="n">
        <v>27.8</v>
      </c>
      <c r="F215" s="7" t="n">
        <v>5.4</v>
      </c>
      <c r="H215" s="7" t="n">
        <v>75.2</v>
      </c>
      <c r="J215" s="7" t="n">
        <v>53.3</v>
      </c>
      <c r="L215" s="7" t="n">
        <v>96</v>
      </c>
      <c r="N215" s="7" t="n">
        <v>60.2</v>
      </c>
      <c r="P215" s="7" t="n">
        <v>130.4</v>
      </c>
      <c r="R215" s="7" t="n">
        <v>98.40000000000001</v>
      </c>
      <c r="T215" s="7" t="n">
        <v>46.1</v>
      </c>
      <c r="V215" s="7" t="n">
        <v>75.40000000000001</v>
      </c>
      <c r="X215" s="7" t="n">
        <v>133.7</v>
      </c>
      <c r="Z215" s="7" t="n">
        <v>39.2</v>
      </c>
      <c r="AB215" s="7" t="n">
        <v>841.1</v>
      </c>
    </row>
    <row r="216">
      <c r="A216" s="4" t="inlineStr">
        <is>
          <t>物业费</t>
        </is>
      </c>
      <c r="D216" s="7" t="n">
        <v>18.9</v>
      </c>
      <c r="F216" s="7" t="n">
        <v>4.8</v>
      </c>
      <c r="H216" s="7" t="n">
        <v>93</v>
      </c>
      <c r="J216" s="7" t="n">
        <v>47.6</v>
      </c>
      <c r="L216" s="7" t="n">
        <v>106.5</v>
      </c>
      <c r="N216" s="7" t="n">
        <v>42.7</v>
      </c>
      <c r="P216" s="7" t="n">
        <v>123.1</v>
      </c>
      <c r="R216" s="7" t="n">
        <v>95.5</v>
      </c>
      <c r="T216" s="7" t="n">
        <v>35.1</v>
      </c>
      <c r="V216" s="7" t="n">
        <v>119.2</v>
      </c>
      <c r="X216" s="7" t="n">
        <v>119.5</v>
      </c>
      <c r="Z216" s="7" t="n">
        <v>34.9</v>
      </c>
      <c r="AB216" s="7" t="n">
        <v>840.8</v>
      </c>
    </row>
    <row r="217">
      <c r="A217" s="4" t="inlineStr">
        <is>
          <t>劳动保护费</t>
        </is>
      </c>
      <c r="D217" s="7" t="n">
        <v>3.2</v>
      </c>
      <c r="F217" s="7" t="n">
        <v>0.6</v>
      </c>
      <c r="H217" s="7" t="n">
        <v>9.1</v>
      </c>
      <c r="J217" s="7" t="n">
        <v>6.3</v>
      </c>
      <c r="L217" s="7" t="n">
        <v>9.4</v>
      </c>
      <c r="N217" s="7" t="n">
        <v>7.7</v>
      </c>
      <c r="P217" s="7" t="n">
        <v>15.1</v>
      </c>
      <c r="R217" s="7" t="n">
        <v>13.5</v>
      </c>
      <c r="T217" s="7" t="n">
        <v>4.5</v>
      </c>
      <c r="V217" s="7" t="n">
        <v>12.9</v>
      </c>
      <c r="X217" s="7" t="n">
        <v>12.3</v>
      </c>
      <c r="Z217" s="7" t="n">
        <v>7.6</v>
      </c>
      <c r="AB217" s="7" t="n">
        <v>102.2</v>
      </c>
    </row>
    <row r="218">
      <c r="A218" s="4" t="inlineStr">
        <is>
          <t>顾问费</t>
        </is>
      </c>
      <c r="D218" s="7" t="n">
        <v>2.5</v>
      </c>
      <c r="F218" s="7" t="n">
        <v>0.5</v>
      </c>
      <c r="H218" s="7" t="n">
        <v>10</v>
      </c>
      <c r="J218" s="7" t="n">
        <v>4.6</v>
      </c>
      <c r="L218" s="7" t="n">
        <v>10.6</v>
      </c>
      <c r="N218" s="7" t="n">
        <v>4.3</v>
      </c>
      <c r="P218" s="7" t="n">
        <v>9.199999999999999</v>
      </c>
      <c r="R218" s="7" t="n">
        <v>11.7</v>
      </c>
      <c r="T218" s="7" t="n">
        <v>4.8</v>
      </c>
      <c r="V218" s="7" t="n">
        <v>12.6</v>
      </c>
      <c r="X218" s="7" t="n">
        <v>12.5</v>
      </c>
      <c r="Z218" s="7" t="n">
        <v>5.2</v>
      </c>
      <c r="AB218" s="7" t="n">
        <v>88.5</v>
      </c>
    </row>
    <row r="219">
      <c r="A219" s="4" t="inlineStr">
        <is>
          <t>快递费</t>
        </is>
      </c>
      <c r="D219" s="7" t="n">
        <v>42.7</v>
      </c>
      <c r="F219" s="7" t="n">
        <v>5.8</v>
      </c>
      <c r="H219" s="7" t="n">
        <v>139</v>
      </c>
      <c r="J219" s="7" t="n">
        <v>80.90000000000001</v>
      </c>
      <c r="L219" s="7" t="n">
        <v>110</v>
      </c>
      <c r="N219" s="7" t="n">
        <v>85.7</v>
      </c>
      <c r="P219" s="7" t="n">
        <v>179.3</v>
      </c>
      <c r="R219" s="7" t="n">
        <v>128.4</v>
      </c>
      <c r="T219" s="7" t="n">
        <v>69.40000000000001</v>
      </c>
      <c r="V219" s="7" t="n">
        <v>118</v>
      </c>
      <c r="X219" s="7" t="n">
        <v>138.9</v>
      </c>
      <c r="Z219" s="7" t="n">
        <v>61.8</v>
      </c>
      <c r="AB219" s="7" t="n">
        <v>1159.9</v>
      </c>
    </row>
    <row r="220">
      <c r="A220" s="4" t="inlineStr">
        <is>
          <t>诉讼费</t>
        </is>
      </c>
      <c r="D220" s="7" t="n">
        <v>20.9</v>
      </c>
      <c r="F220" s="7" t="n">
        <v>3.5</v>
      </c>
      <c r="H220" s="7" t="n">
        <v>95.3</v>
      </c>
      <c r="J220" s="7" t="n">
        <v>43.4</v>
      </c>
      <c r="L220" s="7" t="n">
        <v>107</v>
      </c>
      <c r="N220" s="7" t="n">
        <v>41</v>
      </c>
      <c r="P220" s="7" t="n">
        <v>133.6</v>
      </c>
      <c r="R220" s="7" t="n">
        <v>109.4</v>
      </c>
      <c r="T220" s="7" t="n">
        <v>49.8</v>
      </c>
      <c r="V220" s="7" t="n">
        <v>112.1</v>
      </c>
      <c r="X220" s="7" t="n">
        <v>90.5</v>
      </c>
      <c r="Z220" s="7" t="n">
        <v>40.9</v>
      </c>
      <c r="AB220" s="7" t="n">
        <v>847.4</v>
      </c>
    </row>
    <row r="221">
      <c r="A221" s="4" t="inlineStr">
        <is>
          <t>会员费</t>
        </is>
      </c>
      <c r="D221" s="7" t="n">
        <v>31.1</v>
      </c>
      <c r="F221" s="7" t="n">
        <v>5.5</v>
      </c>
      <c r="H221" s="7" t="n">
        <v>68.09999999999999</v>
      </c>
      <c r="J221" s="7" t="n">
        <v>52.6</v>
      </c>
      <c r="L221" s="7" t="n">
        <v>124</v>
      </c>
      <c r="N221" s="7" t="n">
        <v>74.59999999999999</v>
      </c>
      <c r="P221" s="7" t="n">
        <v>89.5</v>
      </c>
      <c r="R221" s="7" t="n">
        <v>74.3</v>
      </c>
      <c r="T221" s="7" t="n">
        <v>47</v>
      </c>
      <c r="V221" s="7" t="n">
        <v>125.4</v>
      </c>
      <c r="X221" s="7" t="n">
        <v>132.7</v>
      </c>
      <c r="Z221" s="7" t="n">
        <v>50</v>
      </c>
      <c r="AB221" s="7" t="n">
        <v>874.8</v>
      </c>
    </row>
    <row r="222">
      <c r="A222" s="4" t="inlineStr">
        <is>
          <t>广告宣传费</t>
        </is>
      </c>
      <c r="D222" s="7" t="n">
        <v>347.1</v>
      </c>
      <c r="F222" s="7" t="n">
        <v>68.59999999999999</v>
      </c>
      <c r="H222" s="7" t="n">
        <v>779.3</v>
      </c>
      <c r="J222" s="7" t="n">
        <v>742.8</v>
      </c>
      <c r="L222" s="7" t="n">
        <v>1662.5</v>
      </c>
      <c r="N222" s="7" t="n">
        <v>869.8</v>
      </c>
      <c r="P222" s="7" t="n">
        <v>1209</v>
      </c>
      <c r="R222" s="7" t="n">
        <v>1255.1</v>
      </c>
      <c r="T222" s="7" t="n">
        <v>479.2</v>
      </c>
      <c r="V222" s="7" t="n">
        <v>1376</v>
      </c>
      <c r="X222" s="7" t="n">
        <v>1639.9</v>
      </c>
      <c r="Z222" s="7" t="n">
        <v>515.9</v>
      </c>
      <c r="AB222" s="7" t="n">
        <v>10945.2</v>
      </c>
    </row>
    <row r="223">
      <c r="A223" s="4" t="inlineStr">
        <is>
          <t>会务费</t>
        </is>
      </c>
      <c r="D223" s="7" t="n">
        <v>27.5</v>
      </c>
      <c r="F223" s="7" t="n">
        <v>3.2</v>
      </c>
      <c r="H223" s="7" t="n">
        <v>59.1</v>
      </c>
      <c r="J223" s="7" t="n">
        <v>52.6</v>
      </c>
      <c r="L223" s="7" t="n">
        <v>106.4</v>
      </c>
      <c r="N223" s="7" t="n">
        <v>56.6</v>
      </c>
      <c r="P223" s="7" t="n">
        <v>70.2</v>
      </c>
      <c r="R223" s="7" t="n">
        <v>58.4</v>
      </c>
      <c r="T223" s="7" t="n">
        <v>33.1</v>
      </c>
      <c r="V223" s="7" t="n">
        <v>84</v>
      </c>
      <c r="X223" s="7" t="n">
        <v>95.59999999999999</v>
      </c>
      <c r="Z223" s="7" t="n">
        <v>52</v>
      </c>
      <c r="AB223" s="7" t="n">
        <v>698.7</v>
      </c>
    </row>
    <row r="224">
      <c r="A224" s="4" t="inlineStr">
        <is>
          <t>装修费</t>
        </is>
      </c>
      <c r="D224" s="7" t="n">
        <v>26.4</v>
      </c>
      <c r="F224" s="7" t="n">
        <v>3.7</v>
      </c>
      <c r="H224" s="7" t="n">
        <v>104.8</v>
      </c>
      <c r="J224" s="7" t="n">
        <v>48.4</v>
      </c>
      <c r="L224" s="7" t="n">
        <v>115.2</v>
      </c>
      <c r="N224" s="7" t="n">
        <v>68</v>
      </c>
      <c r="P224" s="7" t="n">
        <v>108.4</v>
      </c>
      <c r="R224" s="7" t="n">
        <v>82</v>
      </c>
      <c r="T224" s="7" t="n">
        <v>35.2</v>
      </c>
      <c r="V224" s="7" t="n">
        <v>121.7</v>
      </c>
      <c r="X224" s="7" t="n">
        <v>99.2</v>
      </c>
      <c r="Z224" s="7" t="n">
        <v>41.9</v>
      </c>
      <c r="AB224" s="7" t="n">
        <v>854.9</v>
      </c>
    </row>
    <row r="225">
      <c r="A225" s="4" t="inlineStr">
        <is>
          <t>推广费</t>
        </is>
      </c>
      <c r="D225" s="7" t="n">
        <v>49.9</v>
      </c>
      <c r="F225" s="7" t="n">
        <v>11.6</v>
      </c>
      <c r="H225" s="7" t="n">
        <v>198.1</v>
      </c>
      <c r="J225" s="7" t="n">
        <v>88.90000000000001</v>
      </c>
      <c r="L225" s="7" t="n">
        <v>315.1</v>
      </c>
      <c r="N225" s="7" t="n">
        <v>108.4</v>
      </c>
      <c r="P225" s="7" t="n">
        <v>341.5</v>
      </c>
      <c r="R225" s="7" t="n">
        <v>267.2</v>
      </c>
      <c r="T225" s="7" t="n">
        <v>112.4</v>
      </c>
      <c r="V225" s="7" t="n">
        <v>186.3</v>
      </c>
      <c r="X225" s="7" t="n">
        <v>291.8</v>
      </c>
      <c r="Z225" s="7" t="n">
        <v>118.7</v>
      </c>
      <c r="AB225" s="7" t="n">
        <v>2089.9</v>
      </c>
    </row>
    <row r="226">
      <c r="A226" s="4" t="inlineStr">
        <is>
          <t>展会费</t>
        </is>
      </c>
      <c r="D226" s="7" t="n">
        <v>7.6</v>
      </c>
      <c r="F226" s="7" t="n">
        <v>1.4</v>
      </c>
      <c r="H226" s="7" t="n">
        <v>24.3</v>
      </c>
      <c r="J226" s="7" t="n">
        <v>18.7</v>
      </c>
      <c r="L226" s="7" t="n">
        <v>25.4</v>
      </c>
      <c r="N226" s="7" t="n">
        <v>13.5</v>
      </c>
      <c r="P226" s="7" t="n">
        <v>34.5</v>
      </c>
      <c r="R226" s="7" t="n">
        <v>33.6</v>
      </c>
      <c r="T226" s="7" t="n">
        <v>8.9</v>
      </c>
      <c r="V226" s="7" t="n">
        <v>29</v>
      </c>
      <c r="X226" s="7" t="n">
        <v>48.1</v>
      </c>
      <c r="Z226" s="7" t="n">
        <v>15.7</v>
      </c>
      <c r="AB226" s="7" t="n">
        <v>260.7</v>
      </c>
    </row>
    <row r="227">
      <c r="A227" s="4" t="inlineStr">
        <is>
          <t>设计费</t>
        </is>
      </c>
      <c r="D227" s="7" t="n">
        <v>23.5</v>
      </c>
      <c r="F227" s="7" t="n">
        <v>4</v>
      </c>
      <c r="H227" s="7" t="n">
        <v>54.2</v>
      </c>
      <c r="J227" s="7" t="n">
        <v>33</v>
      </c>
      <c r="L227" s="7" t="n">
        <v>69</v>
      </c>
      <c r="N227" s="7" t="n">
        <v>32</v>
      </c>
      <c r="P227" s="7" t="n">
        <v>82</v>
      </c>
      <c r="R227" s="7" t="n">
        <v>84.2</v>
      </c>
      <c r="T227" s="7" t="n">
        <v>34.9</v>
      </c>
      <c r="V227" s="7" t="n">
        <v>51.5</v>
      </c>
      <c r="X227" s="7" t="n">
        <v>102.5</v>
      </c>
      <c r="Z227" s="7" t="n">
        <v>47.4</v>
      </c>
      <c r="AB227" s="7" t="n">
        <v>618.2</v>
      </c>
    </row>
    <row r="228">
      <c r="A228" s="4" t="inlineStr">
        <is>
          <t>折旧费</t>
        </is>
      </c>
      <c r="D228" s="7" t="n">
        <v>470.1</v>
      </c>
      <c r="F228" s="7" t="n">
        <v>86.90000000000001</v>
      </c>
      <c r="H228" s="7" t="n">
        <v>1779.8</v>
      </c>
      <c r="J228" s="7" t="n">
        <v>1121.3</v>
      </c>
      <c r="L228" s="7" t="n">
        <v>1541.7</v>
      </c>
      <c r="N228" s="7" t="n">
        <v>1146.9</v>
      </c>
      <c r="P228" s="7" t="n">
        <v>2478.3</v>
      </c>
      <c r="R228" s="7" t="n">
        <v>2096.9</v>
      </c>
      <c r="T228" s="7" t="n">
        <v>801.2</v>
      </c>
      <c r="V228" s="7" t="n">
        <v>2045.5</v>
      </c>
      <c r="X228" s="7" t="n">
        <v>1822</v>
      </c>
      <c r="Z228" s="7" t="n">
        <v>986</v>
      </c>
      <c r="AB228" s="7" t="n">
        <v>16376.6</v>
      </c>
    </row>
    <row r="229">
      <c r="A229" s="4" t="inlineStr">
        <is>
          <t>认证费</t>
        </is>
      </c>
      <c r="D229" s="7" t="n">
        <v>27.6</v>
      </c>
      <c r="F229" s="7" t="n">
        <v>3.7</v>
      </c>
      <c r="H229" s="7" t="n">
        <v>49.4</v>
      </c>
      <c r="J229" s="7" t="n">
        <v>34</v>
      </c>
      <c r="L229" s="7" t="n">
        <v>70.3</v>
      </c>
      <c r="N229" s="7" t="n">
        <v>62.5</v>
      </c>
      <c r="P229" s="7" t="n">
        <v>78.40000000000001</v>
      </c>
      <c r="R229" s="7" t="n">
        <v>87</v>
      </c>
      <c r="T229" s="7" t="n">
        <v>32</v>
      </c>
      <c r="V229" s="7" t="n">
        <v>78.3</v>
      </c>
      <c r="X229" s="7" t="n">
        <v>105.8</v>
      </c>
      <c r="Z229" s="7" t="n">
        <v>52</v>
      </c>
      <c r="AB229" s="7" t="n">
        <v>681</v>
      </c>
    </row>
    <row r="230">
      <c r="A230" s="4" t="inlineStr">
        <is>
          <t>样品费</t>
        </is>
      </c>
      <c r="D230" s="7" t="n">
        <v>314.5</v>
      </c>
      <c r="F230" s="7" t="n">
        <v>36</v>
      </c>
      <c r="H230" s="7" t="n">
        <v>744.8</v>
      </c>
      <c r="J230" s="7" t="n">
        <v>437.2</v>
      </c>
      <c r="L230" s="7" t="n">
        <v>878.6</v>
      </c>
      <c r="N230" s="7" t="n">
        <v>680.9</v>
      </c>
      <c r="P230" s="7" t="n">
        <v>1062.5</v>
      </c>
      <c r="R230" s="7" t="n">
        <v>792.1</v>
      </c>
      <c r="T230" s="7" t="n">
        <v>450.3</v>
      </c>
      <c r="V230" s="7" t="n">
        <v>987.1</v>
      </c>
      <c r="X230" s="7" t="n">
        <v>1281.1</v>
      </c>
      <c r="Z230" s="7" t="n">
        <v>583.6</v>
      </c>
      <c r="AB230" s="7" t="n">
        <v>8248.700000000001</v>
      </c>
    </row>
    <row r="231">
      <c r="A231" s="4" t="inlineStr">
        <is>
          <t>劳务费</t>
        </is>
      </c>
      <c r="D231" s="7" t="n">
        <v>54.7</v>
      </c>
      <c r="F231" s="7" t="n">
        <v>8.5</v>
      </c>
      <c r="H231" s="7" t="n">
        <v>142.1</v>
      </c>
      <c r="J231" s="7" t="n">
        <v>73</v>
      </c>
      <c r="L231" s="7" t="n">
        <v>195.8</v>
      </c>
      <c r="N231" s="7" t="n">
        <v>96.40000000000001</v>
      </c>
      <c r="P231" s="7" t="n">
        <v>211.5</v>
      </c>
      <c r="R231" s="7" t="n">
        <v>182</v>
      </c>
      <c r="T231" s="7" t="n">
        <v>62.2</v>
      </c>
      <c r="V231" s="7" t="n">
        <v>151.5</v>
      </c>
      <c r="X231" s="7" t="n">
        <v>196.3</v>
      </c>
      <c r="Z231" s="7" t="n">
        <v>80.59999999999999</v>
      </c>
      <c r="AB231" s="7" t="n">
        <v>1454.6</v>
      </c>
    </row>
    <row r="232">
      <c r="A232" s="4" t="inlineStr">
        <is>
          <t>销售佣金</t>
        </is>
      </c>
      <c r="D232" s="7" t="n">
        <v>37.6</v>
      </c>
      <c r="F232" s="7" t="n">
        <v>8.6</v>
      </c>
      <c r="H232" s="7" t="n">
        <v>152.8</v>
      </c>
      <c r="J232" s="7" t="n">
        <v>85.40000000000001</v>
      </c>
      <c r="L232" s="7" t="n">
        <v>152</v>
      </c>
      <c r="N232" s="7" t="n">
        <v>79.8</v>
      </c>
      <c r="P232" s="7" t="n">
        <v>212.4</v>
      </c>
      <c r="R232" s="7" t="n">
        <v>144.7</v>
      </c>
      <c r="T232" s="7" t="n">
        <v>58.7</v>
      </c>
      <c r="V232" s="7" t="n">
        <v>128.2</v>
      </c>
      <c r="X232" s="7" t="n">
        <v>184.3</v>
      </c>
      <c r="Z232" s="7" t="n">
        <v>85.8</v>
      </c>
      <c r="AB232" s="7" t="n">
        <v>1330.3</v>
      </c>
    </row>
    <row r="233">
      <c r="A233" s="4" t="inlineStr">
        <is>
          <t>检测费</t>
        </is>
      </c>
      <c r="D233" s="7" t="n">
        <v>78.2</v>
      </c>
      <c r="F233" s="7" t="n">
        <v>8.1</v>
      </c>
      <c r="H233" s="7" t="n">
        <v>213.5</v>
      </c>
      <c r="J233" s="7" t="n">
        <v>107.8</v>
      </c>
      <c r="L233" s="7" t="n">
        <v>278.2</v>
      </c>
      <c r="N233" s="7" t="n">
        <v>123.9</v>
      </c>
      <c r="P233" s="7" t="n">
        <v>272.6</v>
      </c>
      <c r="R233" s="7" t="n">
        <v>191.2</v>
      </c>
      <c r="T233" s="7" t="n">
        <v>109.4</v>
      </c>
      <c r="V233" s="7" t="n">
        <v>234.4</v>
      </c>
      <c r="X233" s="7" t="n">
        <v>232.3</v>
      </c>
      <c r="Z233" s="7" t="n">
        <v>133</v>
      </c>
      <c r="AB233" s="7" t="n">
        <v>1982.6</v>
      </c>
    </row>
    <row r="234">
      <c r="A234" s="4" t="inlineStr">
        <is>
          <t>质量赔偿</t>
        </is>
      </c>
      <c r="D234" s="7" t="n">
        <v>78.3</v>
      </c>
      <c r="F234" s="7" t="n">
        <v>9.699999999999999</v>
      </c>
      <c r="H234" s="7" t="n">
        <v>246</v>
      </c>
      <c r="J234" s="7" t="n">
        <v>167.9</v>
      </c>
      <c r="L234" s="7" t="n">
        <v>231</v>
      </c>
      <c r="N234" s="7" t="n">
        <v>167.7</v>
      </c>
      <c r="P234" s="7" t="n">
        <v>302.6</v>
      </c>
      <c r="R234" s="7" t="n">
        <v>206.9</v>
      </c>
      <c r="T234" s="7" t="n">
        <v>104.8</v>
      </c>
      <c r="V234" s="7" t="n">
        <v>219.7</v>
      </c>
      <c r="X234" s="7" t="n">
        <v>342.9</v>
      </c>
      <c r="Z234" s="7" t="n">
        <v>136.7</v>
      </c>
      <c r="AB234" s="7" t="n">
        <v>2214.2</v>
      </c>
    </row>
    <row r="235">
      <c r="A235" s="4" t="inlineStr">
        <is>
          <t>保险费</t>
        </is>
      </c>
      <c r="D235" s="7" t="n">
        <v>12.8</v>
      </c>
      <c r="F235" s="7" t="n">
        <v>1.7</v>
      </c>
      <c r="H235" s="7" t="n">
        <v>44.8</v>
      </c>
      <c r="J235" s="7" t="n">
        <v>27.8</v>
      </c>
      <c r="L235" s="7" t="n">
        <v>61.5</v>
      </c>
      <c r="N235" s="7" t="n">
        <v>18.1</v>
      </c>
      <c r="P235" s="7" t="n">
        <v>41.2</v>
      </c>
      <c r="R235" s="7" t="n">
        <v>51.4</v>
      </c>
      <c r="T235" s="7" t="n">
        <v>22.2</v>
      </c>
      <c r="V235" s="7" t="n">
        <v>41.4</v>
      </c>
      <c r="X235" s="7" t="n">
        <v>71.2</v>
      </c>
      <c r="Z235" s="7" t="n">
        <v>23.4</v>
      </c>
      <c r="AB235" s="7" t="n">
        <v>417.5</v>
      </c>
    </row>
    <row r="236">
      <c r="A236" s="4" t="inlineStr">
        <is>
          <t>清洁费</t>
        </is>
      </c>
      <c r="D236" s="7" t="n">
        <v>23.8</v>
      </c>
      <c r="F236" s="7" t="n">
        <v>3</v>
      </c>
      <c r="H236" s="7" t="n">
        <v>48.4</v>
      </c>
      <c r="J236" s="7" t="n">
        <v>42.4</v>
      </c>
      <c r="L236" s="7" t="n">
        <v>116.3</v>
      </c>
      <c r="N236" s="7" t="n">
        <v>51.5</v>
      </c>
      <c r="P236" s="7" t="n">
        <v>94.5</v>
      </c>
      <c r="R236" s="7" t="n">
        <v>72</v>
      </c>
      <c r="T236" s="7" t="n">
        <v>25.8</v>
      </c>
      <c r="V236" s="7" t="n">
        <v>65.2</v>
      </c>
      <c r="X236" s="7" t="n">
        <v>95.5</v>
      </c>
      <c r="Z236" s="7" t="n">
        <v>49.9</v>
      </c>
      <c r="AB236" s="7" t="n">
        <v>688.3</v>
      </c>
    </row>
    <row r="237">
      <c r="A237" s="4" t="inlineStr">
        <is>
          <t>低值易耗品</t>
        </is>
      </c>
      <c r="D237" s="7" t="n">
        <v>5.4</v>
      </c>
      <c r="F237" s="7" t="n">
        <v>0.6</v>
      </c>
      <c r="H237" s="7" t="n">
        <v>13.4</v>
      </c>
      <c r="J237" s="7" t="n">
        <v>7.5</v>
      </c>
      <c r="L237" s="7" t="n">
        <v>20.8</v>
      </c>
      <c r="N237" s="7" t="n">
        <v>12</v>
      </c>
      <c r="P237" s="7" t="n">
        <v>21</v>
      </c>
      <c r="R237" s="7" t="n">
        <v>12.5</v>
      </c>
      <c r="T237" s="7" t="n">
        <v>8.1</v>
      </c>
      <c r="V237" s="7" t="n">
        <v>16.5</v>
      </c>
      <c r="X237" s="7" t="n">
        <v>14.5</v>
      </c>
      <c r="Z237" s="7" t="n">
        <v>7.5</v>
      </c>
      <c r="AB237" s="7" t="n">
        <v>139.8</v>
      </c>
    </row>
    <row r="238">
      <c r="A238" s="4" t="inlineStr">
        <is>
          <t>物料消耗</t>
        </is>
      </c>
      <c r="D238" s="7" t="n">
        <v>44.6</v>
      </c>
      <c r="F238" s="7" t="n">
        <v>8</v>
      </c>
      <c r="H238" s="7" t="n">
        <v>125.2</v>
      </c>
      <c r="J238" s="7" t="n">
        <v>107</v>
      </c>
      <c r="L238" s="7" t="n">
        <v>211.9</v>
      </c>
      <c r="N238" s="7" t="n">
        <v>94.5</v>
      </c>
      <c r="P238" s="7" t="n">
        <v>222.8</v>
      </c>
      <c r="R238" s="7" t="n">
        <v>209.6</v>
      </c>
      <c r="T238" s="7" t="n">
        <v>59.6</v>
      </c>
      <c r="V238" s="7" t="n">
        <v>187.4</v>
      </c>
      <c r="X238" s="7" t="n">
        <v>208.9</v>
      </c>
      <c r="Z238" s="7" t="n">
        <v>79.3</v>
      </c>
      <c r="AB238" s="7" t="n">
        <v>1558.8</v>
      </c>
    </row>
    <row r="239">
      <c r="A239" s="4" t="inlineStr">
        <is>
          <t>盘盈盘亏</t>
        </is>
      </c>
      <c r="D239" s="7" t="n">
        <v>79.40000000000001</v>
      </c>
      <c r="F239" s="7" t="n">
        <v>8.9</v>
      </c>
      <c r="H239" s="7" t="n">
        <v>206.1</v>
      </c>
      <c r="J239" s="7" t="n">
        <v>164</v>
      </c>
      <c r="L239" s="7" t="n">
        <v>197.9</v>
      </c>
      <c r="N239" s="7" t="n">
        <v>162.2</v>
      </c>
      <c r="P239" s="7" t="n">
        <v>358.8</v>
      </c>
      <c r="R239" s="7" t="n">
        <v>193.6</v>
      </c>
      <c r="T239" s="7" t="n">
        <v>96.5</v>
      </c>
      <c r="V239" s="7" t="n">
        <v>177.4</v>
      </c>
      <c r="X239" s="7" t="n">
        <v>365.7</v>
      </c>
      <c r="Z239" s="7" t="n">
        <v>102.4</v>
      </c>
      <c r="AB239" s="7" t="n">
        <v>2112.9</v>
      </c>
    </row>
    <row r="240">
      <c r="A240" s="4" t="inlineStr">
        <is>
          <t>平台服务费</t>
        </is>
      </c>
      <c r="D240" s="7" t="n">
        <v>30.3</v>
      </c>
      <c r="F240" s="7" t="n">
        <v>4.9</v>
      </c>
      <c r="H240" s="7" t="n">
        <v>91.40000000000001</v>
      </c>
      <c r="J240" s="7" t="n">
        <v>56.2</v>
      </c>
      <c r="L240" s="7" t="n">
        <v>126.1</v>
      </c>
      <c r="N240" s="7" t="n">
        <v>71.5</v>
      </c>
      <c r="P240" s="7" t="n">
        <v>166.6</v>
      </c>
      <c r="R240" s="7" t="n">
        <v>135.7</v>
      </c>
      <c r="T240" s="7" t="n">
        <v>51.7</v>
      </c>
      <c r="V240" s="7" t="n">
        <v>110.6</v>
      </c>
      <c r="X240" s="7" t="n">
        <v>131.3</v>
      </c>
      <c r="Z240" s="7" t="n">
        <v>52.5</v>
      </c>
      <c r="AB240" s="7" t="n">
        <v>1028.8</v>
      </c>
    </row>
    <row r="241">
      <c r="A241" s="4" t="inlineStr">
        <is>
          <t>无形资产摊销</t>
        </is>
      </c>
      <c r="D241" s="7" t="n">
        <v>56.7</v>
      </c>
      <c r="F241" s="7" t="n">
        <v>10.9</v>
      </c>
      <c r="H241" s="7" t="n">
        <v>158.6</v>
      </c>
      <c r="J241" s="7" t="n">
        <v>121.8</v>
      </c>
      <c r="L241" s="7" t="n">
        <v>215.2</v>
      </c>
      <c r="N241" s="7" t="n">
        <v>128.4</v>
      </c>
      <c r="P241" s="7" t="n">
        <v>212.7</v>
      </c>
      <c r="R241" s="7" t="n">
        <v>244.1</v>
      </c>
      <c r="T241" s="7" t="n">
        <v>85.59999999999999</v>
      </c>
      <c r="V241" s="7" t="n">
        <v>243.1</v>
      </c>
      <c r="X241" s="7" t="n">
        <v>271.7</v>
      </c>
      <c r="Z241" s="7" t="n">
        <v>97.09999999999999</v>
      </c>
      <c r="AB241" s="7" t="n">
        <v>1845.9</v>
      </c>
    </row>
    <row r="242">
      <c r="A242" s="4" t="inlineStr">
        <is>
          <t>研发材料</t>
        </is>
      </c>
      <c r="D242" s="7" t="n">
        <v>44</v>
      </c>
      <c r="F242" s="7" t="n">
        <v>8</v>
      </c>
      <c r="H242" s="7" t="n">
        <v>127</v>
      </c>
      <c r="J242" s="7" t="n">
        <v>73.7</v>
      </c>
      <c r="L242" s="7" t="n">
        <v>182.3</v>
      </c>
      <c r="N242" s="7" t="n">
        <v>93.09999999999999</v>
      </c>
      <c r="P242" s="7" t="n">
        <v>193.3</v>
      </c>
      <c r="R242" s="7" t="n">
        <v>128.9</v>
      </c>
      <c r="T242" s="7" t="n">
        <v>70.7</v>
      </c>
      <c r="V242" s="7" t="n">
        <v>119.6</v>
      </c>
      <c r="X242" s="7" t="n">
        <v>166.7</v>
      </c>
      <c r="Z242" s="7" t="n">
        <v>71.8</v>
      </c>
      <c r="AB242" s="7" t="n">
        <v>1279.1</v>
      </c>
    </row>
    <row r="243">
      <c r="A243" s="4" t="inlineStr">
        <is>
          <t>项目名称</t>
        </is>
      </c>
      <c r="D243" s="7" t="n">
        <v>17.9</v>
      </c>
      <c r="F243" s="7" t="n">
        <v>2.8</v>
      </c>
      <c r="H243" s="7" t="n">
        <v>63.1</v>
      </c>
      <c r="J243" s="7" t="n">
        <v>39.1</v>
      </c>
      <c r="L243" s="7" t="n">
        <v>57.9</v>
      </c>
      <c r="N243" s="7" t="n">
        <v>55.2</v>
      </c>
      <c r="P243" s="7" t="n">
        <v>72.90000000000001</v>
      </c>
      <c r="R243" s="7" t="n">
        <v>77.59999999999999</v>
      </c>
      <c r="T243" s="7" t="n">
        <v>29.2</v>
      </c>
      <c r="V243" s="7" t="n">
        <v>85.40000000000001</v>
      </c>
      <c r="X243" s="7" t="n">
        <v>87.3</v>
      </c>
      <c r="Z243" s="7" t="n">
        <v>34.4</v>
      </c>
      <c r="AB243" s="7" t="n">
        <v>622.8</v>
      </c>
    </row>
    <row r="244">
      <c r="A244" s="4" t="inlineStr">
        <is>
          <t>研发费</t>
        </is>
      </c>
      <c r="D244" s="7" t="n">
        <v>31.2</v>
      </c>
      <c r="F244" s="7" t="n">
        <v>5.8</v>
      </c>
      <c r="H244" s="7" t="n">
        <v>113.5</v>
      </c>
      <c r="J244" s="7" t="n">
        <v>45.9</v>
      </c>
      <c r="L244" s="7" t="n">
        <v>105.8</v>
      </c>
      <c r="N244" s="7" t="n">
        <v>56.1</v>
      </c>
      <c r="P244" s="7" t="n">
        <v>121.3</v>
      </c>
      <c r="R244" s="7" t="n">
        <v>137.9</v>
      </c>
      <c r="T244" s="7" t="n">
        <v>45.4</v>
      </c>
      <c r="V244" s="7" t="n">
        <v>88.7</v>
      </c>
      <c r="X244" s="7" t="n">
        <v>173.6</v>
      </c>
      <c r="Z244" s="7" t="n">
        <v>63.2</v>
      </c>
      <c r="AB244" s="7" t="n">
        <v>988.4</v>
      </c>
    </row>
    <row r="245">
      <c r="A245" s="4" t="inlineStr">
        <is>
          <t>残保金</t>
        </is>
      </c>
      <c r="D245" s="7" t="n">
        <v>58.6</v>
      </c>
      <c r="F245" s="7" t="n">
        <v>9.699999999999999</v>
      </c>
      <c r="H245" s="7" t="n">
        <v>184.4</v>
      </c>
      <c r="J245" s="7" t="n">
        <v>88</v>
      </c>
      <c r="L245" s="7" t="n">
        <v>225.5</v>
      </c>
      <c r="N245" s="7" t="n">
        <v>79.5</v>
      </c>
      <c r="P245" s="7" t="n">
        <v>259</v>
      </c>
      <c r="R245" s="7" t="n">
        <v>126.2</v>
      </c>
      <c r="T245" s="7" t="n">
        <v>80.8</v>
      </c>
      <c r="V245" s="7" t="n">
        <v>127.2</v>
      </c>
      <c r="X245" s="7" t="n">
        <v>168.4</v>
      </c>
      <c r="Z245" s="7" t="n">
        <v>115.1</v>
      </c>
      <c r="AB245" s="7" t="n">
        <v>1522.4</v>
      </c>
    </row>
    <row r="246">
      <c r="A246" s="4" t="inlineStr">
        <is>
          <t>环保费</t>
        </is>
      </c>
      <c r="D246" s="7" t="n">
        <v>32.7</v>
      </c>
      <c r="F246" s="7" t="n">
        <v>7.4</v>
      </c>
      <c r="H246" s="7" t="n">
        <v>93.90000000000001</v>
      </c>
      <c r="J246" s="7" t="n">
        <v>90.59999999999999</v>
      </c>
      <c r="L246" s="7" t="n">
        <v>123.5</v>
      </c>
      <c r="N246" s="7" t="n">
        <v>70.7</v>
      </c>
      <c r="P246" s="7" t="n">
        <v>158.7</v>
      </c>
      <c r="R246" s="7" t="n">
        <v>106</v>
      </c>
      <c r="T246" s="7" t="n">
        <v>41.3</v>
      </c>
      <c r="V246" s="7" t="n">
        <v>96.3</v>
      </c>
      <c r="X246" s="7" t="n">
        <v>186.2</v>
      </c>
      <c r="Z246" s="7" t="n">
        <v>80.90000000000001</v>
      </c>
      <c r="AB246" s="7" t="n">
        <v>1088.2</v>
      </c>
    </row>
    <row r="247">
      <c r="A247" s="4" t="inlineStr">
        <is>
          <t>报废损失</t>
        </is>
      </c>
      <c r="D247" s="7" t="n">
        <v>99.5</v>
      </c>
      <c r="F247" s="7" t="n">
        <v>10.3</v>
      </c>
      <c r="H247" s="7" t="n">
        <v>234.6</v>
      </c>
      <c r="J247" s="7" t="n">
        <v>193</v>
      </c>
      <c r="L247" s="7" t="n">
        <v>384.1</v>
      </c>
      <c r="N247" s="7" t="n">
        <v>141.2</v>
      </c>
      <c r="P247" s="7" t="n">
        <v>390.9</v>
      </c>
      <c r="R247" s="7" t="n">
        <v>217.3</v>
      </c>
      <c r="T247" s="7" t="n">
        <v>129.9</v>
      </c>
      <c r="V247" s="7" t="n">
        <v>205.4</v>
      </c>
      <c r="X247" s="7" t="n">
        <v>272.9</v>
      </c>
      <c r="Z247" s="7" t="n">
        <v>173.2</v>
      </c>
      <c r="AB247" s="7" t="n">
        <v>2452.3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5928.8</v>
      </c>
      <c r="D248" s="7" t="n">
        <v>-531.7</v>
      </c>
      <c r="E248" s="7" t="n">
        <v>6933.8</v>
      </c>
      <c r="F248" s="7" t="n">
        <v>-1896.6</v>
      </c>
      <c r="G248" s="7" t="n">
        <v>6003.9</v>
      </c>
      <c r="H248" s="7" t="n">
        <v>6563.4</v>
      </c>
      <c r="I248" s="7" t="n">
        <v>6166.1</v>
      </c>
      <c r="J248" s="7" t="n">
        <v>14021.5</v>
      </c>
      <c r="K248" s="7" t="n">
        <v>5986.2</v>
      </c>
      <c r="L248" s="7" t="n">
        <v>13080.2</v>
      </c>
      <c r="M248" s="7" t="n">
        <v>6209.7</v>
      </c>
      <c r="N248" s="7" t="n">
        <v>-1182</v>
      </c>
      <c r="O248" s="7" t="n">
        <v>6160.6</v>
      </c>
      <c r="P248" s="7" t="n">
        <v>18303.8</v>
      </c>
      <c r="Q248" s="7" t="n">
        <v>7675.8</v>
      </c>
      <c r="R248" s="7" t="n">
        <v>1141.2</v>
      </c>
      <c r="S248" s="7" t="n">
        <v>7618.9</v>
      </c>
      <c r="T248" s="7" t="n">
        <v>-4781.3</v>
      </c>
      <c r="U248" s="7" t="n">
        <v>7077.9</v>
      </c>
      <c r="V248" s="7" t="n">
        <v>16385.2</v>
      </c>
      <c r="W248" s="7" t="n">
        <v>6465.9</v>
      </c>
      <c r="X248" s="7" t="n">
        <v>14158.7</v>
      </c>
      <c r="Y248" s="7" t="n">
        <v>6396.4</v>
      </c>
      <c r="Z248" s="7" t="n">
        <v>7831.1</v>
      </c>
      <c r="AA248" s="8" t="n">
        <v>78624</v>
      </c>
      <c r="AB248" s="8" t="n">
        <v>83093.5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-3248.5</v>
      </c>
      <c r="E250" s="7" t="n">
        <v>0</v>
      </c>
      <c r="F250" s="7" t="n">
        <v>-3901.2</v>
      </c>
      <c r="G250" s="7" t="n">
        <v>0</v>
      </c>
      <c r="H250" s="7" t="n">
        <v>-2517.9</v>
      </c>
      <c r="I250" s="7" t="n">
        <v>0</v>
      </c>
      <c r="J250" s="7" t="n">
        <v>1401.4</v>
      </c>
      <c r="K250" s="7" t="n">
        <v>0</v>
      </c>
      <c r="L250" s="7" t="n">
        <v>2545.1</v>
      </c>
      <c r="M250" s="7" t="n">
        <v>0</v>
      </c>
      <c r="N250" s="7" t="n">
        <v>-4329.3</v>
      </c>
      <c r="O250" s="7" t="n">
        <v>0</v>
      </c>
      <c r="P250" s="7" t="n">
        <v>-1225.7</v>
      </c>
      <c r="Q250" s="7" t="n">
        <v>0</v>
      </c>
      <c r="R250" s="7" t="n">
        <v>-4994.3</v>
      </c>
      <c r="S250" s="7" t="n">
        <v>0</v>
      </c>
      <c r="T250" s="7" t="n">
        <v>-392.3</v>
      </c>
      <c r="U250" s="7" t="n">
        <v>0</v>
      </c>
      <c r="V250" s="7" t="n">
        <v>2988.4</v>
      </c>
      <c r="W250" s="7" t="n">
        <v>0</v>
      </c>
      <c r="X250" s="7" t="n">
        <v>1775.3</v>
      </c>
      <c r="Y250" s="7" t="n">
        <v>0</v>
      </c>
      <c r="Z250" s="7" t="n">
        <v>-1049.8</v>
      </c>
      <c r="AA250" s="7" t="n">
        <v>0</v>
      </c>
      <c r="AB250" s="7" t="n">
        <v>-12948.8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18732</v>
      </c>
      <c r="D255" s="7" t="n">
        <v>16244.1</v>
      </c>
      <c r="E255" s="7" t="n">
        <v>18712.8</v>
      </c>
      <c r="F255" s="7" t="n">
        <v>12117</v>
      </c>
      <c r="G255" s="7" t="n">
        <v>20425.8</v>
      </c>
      <c r="H255" s="7" t="n">
        <v>15751.5</v>
      </c>
      <c r="I255" s="7" t="n">
        <v>17068.8</v>
      </c>
      <c r="J255" s="7" t="n">
        <v>28863.1</v>
      </c>
      <c r="K255" s="7" t="n">
        <v>19274.6</v>
      </c>
      <c r="L255" s="7" t="n">
        <v>28298.6</v>
      </c>
      <c r="M255" s="7" t="n">
        <v>17970.5</v>
      </c>
      <c r="N255" s="7" t="n">
        <v>10618.1</v>
      </c>
      <c r="O255" s="7" t="n">
        <v>17582.7</v>
      </c>
      <c r="P255" s="7" t="n">
        <v>18165.5</v>
      </c>
      <c r="Q255" s="7" t="n">
        <v>19300.5</v>
      </c>
      <c r="R255" s="7" t="n">
        <v>21550.7</v>
      </c>
      <c r="S255" s="7" t="n">
        <v>18222.6</v>
      </c>
      <c r="T255" s="7" t="n">
        <v>22480.3</v>
      </c>
      <c r="U255" s="7" t="n">
        <v>18017.9</v>
      </c>
      <c r="V255" s="7" t="n">
        <v>22548.9</v>
      </c>
      <c r="W255" s="7" t="n">
        <v>18004.8</v>
      </c>
      <c r="X255" s="7" t="n">
        <v>15704.1</v>
      </c>
      <c r="Y255" s="7" t="n">
        <v>17673.2</v>
      </c>
      <c r="Z255" s="7" t="n">
        <v>12230.3</v>
      </c>
      <c r="AA255" s="7" t="n">
        <v>220986.2</v>
      </c>
      <c r="AB255" s="7" t="n">
        <v>224572.2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135564.3</v>
      </c>
      <c r="D256" s="7" t="n">
        <v>93310.7</v>
      </c>
      <c r="E256" s="7" t="n">
        <v>144953</v>
      </c>
      <c r="F256" s="7" t="n">
        <v>9081</v>
      </c>
      <c r="G256" s="7" t="n">
        <v>147068.2</v>
      </c>
      <c r="H256" s="7" t="n">
        <v>193085.3</v>
      </c>
      <c r="I256" s="7" t="n">
        <v>146163.3</v>
      </c>
      <c r="J256" s="7" t="n">
        <v>112112.7</v>
      </c>
      <c r="K256" s="7" t="n">
        <v>146112.7</v>
      </c>
      <c r="L256" s="7" t="n">
        <v>162267</v>
      </c>
      <c r="M256" s="7" t="n">
        <v>164592.1</v>
      </c>
      <c r="N256" s="7" t="n">
        <v>230428.2</v>
      </c>
      <c r="O256" s="7" t="n">
        <v>146028.3</v>
      </c>
      <c r="P256" s="7" t="n">
        <v>177851.7</v>
      </c>
      <c r="Q256" s="7" t="n">
        <v>143924.2</v>
      </c>
      <c r="R256" s="7" t="n">
        <v>200186.4</v>
      </c>
      <c r="S256" s="7" t="n">
        <v>127780.3</v>
      </c>
      <c r="T256" s="7" t="n">
        <v>156955.6</v>
      </c>
      <c r="U256" s="7" t="n">
        <v>167486.5</v>
      </c>
      <c r="V256" s="7" t="n">
        <v>230749</v>
      </c>
      <c r="W256" s="7" t="n">
        <v>165241.3</v>
      </c>
      <c r="X256" s="7" t="n">
        <v>165401.2</v>
      </c>
      <c r="Y256" s="7" t="n">
        <v>166380</v>
      </c>
      <c r="Z256" s="7" t="n">
        <v>40418.7</v>
      </c>
      <c r="AA256" s="8" t="n">
        <v>1801294.2</v>
      </c>
      <c r="AB256" s="8" t="n">
        <v>1771847.5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1477.1</v>
      </c>
      <c r="E257" s="7" t="n">
        <v>0</v>
      </c>
      <c r="F257" s="7" t="n">
        <v>265.6</v>
      </c>
      <c r="G257" s="7" t="n">
        <v>0</v>
      </c>
      <c r="H257" s="7" t="n">
        <v>2325.4</v>
      </c>
      <c r="I257" s="7" t="n">
        <v>0</v>
      </c>
      <c r="J257" s="7" t="n">
        <v>1932.8</v>
      </c>
      <c r="K257" s="7" t="n">
        <v>0</v>
      </c>
      <c r="L257" s="7" t="n">
        <v>3267.2</v>
      </c>
      <c r="M257" s="7" t="n">
        <v>0</v>
      </c>
      <c r="N257" s="7" t="n">
        <v>2166.9</v>
      </c>
      <c r="O257" s="7" t="n">
        <v>0</v>
      </c>
      <c r="P257" s="7" t="n">
        <v>2991.2</v>
      </c>
      <c r="Q257" s="7" t="n">
        <v>0</v>
      </c>
      <c r="R257" s="7" t="n">
        <v>1773.9</v>
      </c>
      <c r="S257" s="7" t="n">
        <v>0</v>
      </c>
      <c r="T257" s="7" t="n">
        <v>2562.8</v>
      </c>
      <c r="U257" s="7" t="n">
        <v>0</v>
      </c>
      <c r="V257" s="7" t="n">
        <v>2385.5</v>
      </c>
      <c r="W257" s="7" t="n">
        <v>0</v>
      </c>
      <c r="X257" s="7" t="n">
        <v>4669.9</v>
      </c>
      <c r="Y257" s="7" t="n">
        <v>0</v>
      </c>
      <c r="Z257" s="7" t="n">
        <v>4343.1</v>
      </c>
      <c r="AA257" s="7" t="n">
        <v>0</v>
      </c>
      <c r="AB257" s="7" t="n">
        <v>30161.4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1438.4</v>
      </c>
      <c r="E258" s="7" t="n">
        <v>0</v>
      </c>
      <c r="F258" s="7" t="n">
        <v>1057.4</v>
      </c>
      <c r="G258" s="7" t="n">
        <v>0</v>
      </c>
      <c r="H258" s="7" t="n">
        <v>580.4</v>
      </c>
      <c r="I258" s="7" t="n">
        <v>0</v>
      </c>
      <c r="J258" s="7" t="n">
        <v>2766</v>
      </c>
      <c r="K258" s="7" t="n">
        <v>0</v>
      </c>
      <c r="L258" s="7" t="n">
        <v>497.8</v>
      </c>
      <c r="M258" s="7" t="n">
        <v>0</v>
      </c>
      <c r="N258" s="7" t="n">
        <v>2976.3</v>
      </c>
      <c r="O258" s="7" t="n">
        <v>0</v>
      </c>
      <c r="P258" s="7" t="n">
        <v>437.8</v>
      </c>
      <c r="Q258" s="7" t="n">
        <v>0</v>
      </c>
      <c r="R258" s="7" t="n">
        <v>2133.3</v>
      </c>
      <c r="S258" s="7" t="n">
        <v>0</v>
      </c>
      <c r="T258" s="7" t="n">
        <v>808.8</v>
      </c>
      <c r="U258" s="7" t="n">
        <v>0</v>
      </c>
      <c r="V258" s="7" t="n">
        <v>74.09999999999999</v>
      </c>
      <c r="W258" s="7" t="n">
        <v>0</v>
      </c>
      <c r="X258" s="7" t="n">
        <v>656.1</v>
      </c>
      <c r="Y258" s="7" t="n">
        <v>0</v>
      </c>
      <c r="Z258" s="7" t="n">
        <v>1563.3</v>
      </c>
      <c r="AA258" s="7" t="n">
        <v>0</v>
      </c>
      <c r="AB258" s="7" t="n">
        <v>14989.7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124767.2</v>
      </c>
      <c r="D259" s="7" t="n">
        <v>84430.10000000001</v>
      </c>
      <c r="E259" s="7" t="n">
        <v>157079.9</v>
      </c>
      <c r="F259" s="7" t="n">
        <v>8905.6</v>
      </c>
      <c r="G259" s="7" t="n">
        <v>154877.9</v>
      </c>
      <c r="H259" s="7" t="n">
        <v>204612.9</v>
      </c>
      <c r="I259" s="7" t="n">
        <v>147820.4</v>
      </c>
      <c r="J259" s="7" t="n">
        <v>111222.3</v>
      </c>
      <c r="K259" s="7" t="n">
        <v>126120.9</v>
      </c>
      <c r="L259" s="7" t="n">
        <v>166218.9</v>
      </c>
      <c r="M259" s="7" t="n">
        <v>165290</v>
      </c>
      <c r="N259" s="7" t="n">
        <v>220516.4</v>
      </c>
      <c r="O259" s="7" t="n">
        <v>163760.3</v>
      </c>
      <c r="P259" s="7" t="n">
        <v>161877.6</v>
      </c>
      <c r="Q259" s="7" t="n">
        <v>139627.6</v>
      </c>
      <c r="R259" s="7" t="n">
        <v>200866.9</v>
      </c>
      <c r="S259" s="7" t="n">
        <v>151919.2</v>
      </c>
      <c r="T259" s="7" t="n">
        <v>145130.5</v>
      </c>
      <c r="U259" s="7" t="n">
        <v>142320.6</v>
      </c>
      <c r="V259" s="7" t="n">
        <v>227906.1</v>
      </c>
      <c r="W259" s="7" t="n">
        <v>154611.8</v>
      </c>
      <c r="X259" s="7" t="n">
        <v>164988.3</v>
      </c>
      <c r="Y259" s="7" t="n">
        <v>134809.1</v>
      </c>
      <c r="Z259" s="7" t="n">
        <v>42549.9</v>
      </c>
      <c r="AA259" s="8" t="n">
        <v>1763004.9</v>
      </c>
      <c r="AB259" s="8" t="n">
        <v>1739225.5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32344.6</v>
      </c>
      <c r="D260" s="7" t="n">
        <v>21107.5</v>
      </c>
      <c r="E260" s="7" t="n">
        <v>40744.9</v>
      </c>
      <c r="F260" s="7" t="n">
        <v>2226.4</v>
      </c>
      <c r="G260" s="7" t="n">
        <v>31811.8</v>
      </c>
      <c r="H260" s="7" t="n">
        <v>51153.2</v>
      </c>
      <c r="I260" s="7" t="n">
        <v>34971.7</v>
      </c>
      <c r="J260" s="7" t="n">
        <v>27805.6</v>
      </c>
      <c r="K260" s="7" t="n">
        <v>35086</v>
      </c>
      <c r="L260" s="7" t="n">
        <v>41554.7</v>
      </c>
      <c r="M260" s="7" t="n">
        <v>31254.1</v>
      </c>
      <c r="N260" s="7" t="n">
        <v>55129.1</v>
      </c>
      <c r="O260" s="7" t="n">
        <v>34091.5</v>
      </c>
      <c r="P260" s="7" t="n">
        <v>40469.4</v>
      </c>
      <c r="Q260" s="7" t="n">
        <v>41164.1</v>
      </c>
      <c r="R260" s="7" t="n">
        <v>50216.7</v>
      </c>
      <c r="S260" s="7" t="n">
        <v>32913</v>
      </c>
      <c r="T260" s="7" t="n">
        <v>36282.6</v>
      </c>
      <c r="U260" s="7" t="n">
        <v>36987.1</v>
      </c>
      <c r="V260" s="7" t="n">
        <v>56976.5</v>
      </c>
      <c r="W260" s="7" t="n">
        <v>35338</v>
      </c>
      <c r="X260" s="7" t="n">
        <v>41247.1</v>
      </c>
      <c r="Y260" s="7" t="n">
        <v>39776.7</v>
      </c>
      <c r="Z260" s="7" t="n">
        <v>10637.5</v>
      </c>
      <c r="AA260" s="7" t="n">
        <v>426483.5</v>
      </c>
      <c r="AB260" s="7" t="n">
        <v>434806.3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100110.6</v>
      </c>
      <c r="D261" s="7" t="n">
        <v>63322.6</v>
      </c>
      <c r="E261" s="7" t="n">
        <v>64382.1</v>
      </c>
      <c r="F261" s="7" t="n">
        <v>6679.2</v>
      </c>
      <c r="G261" s="7" t="n">
        <v>105323.2</v>
      </c>
      <c r="H261" s="7" t="n">
        <v>153459.7</v>
      </c>
      <c r="I261" s="7" t="n">
        <v>106371.3</v>
      </c>
      <c r="J261" s="7" t="n">
        <v>83416.7</v>
      </c>
      <c r="K261" s="7" t="n">
        <v>69931.7</v>
      </c>
      <c r="L261" s="7" t="n">
        <v>124664.2</v>
      </c>
      <c r="M261" s="7" t="n">
        <v>87428.10000000001</v>
      </c>
      <c r="N261" s="7" t="n">
        <v>165387.3</v>
      </c>
      <c r="O261" s="7" t="n">
        <v>73737.89999999999</v>
      </c>
      <c r="P261" s="7" t="n">
        <v>121408.2</v>
      </c>
      <c r="Q261" s="7" t="n">
        <v>116692.5</v>
      </c>
      <c r="R261" s="7" t="n">
        <v>150650.2</v>
      </c>
      <c r="S261" s="7" t="n">
        <v>92525.7</v>
      </c>
      <c r="T261" s="7" t="n">
        <v>108847.9</v>
      </c>
      <c r="U261" s="7" t="n">
        <v>66835.7</v>
      </c>
      <c r="V261" s="7" t="n">
        <v>170929.6</v>
      </c>
      <c r="W261" s="7" t="n">
        <v>77764.39999999999</v>
      </c>
      <c r="X261" s="7" t="n">
        <v>123741.2</v>
      </c>
      <c r="Y261" s="7" t="n">
        <v>110671.2</v>
      </c>
      <c r="Z261" s="7" t="n">
        <v>31912.4</v>
      </c>
      <c r="AA261" s="8" t="n">
        <v>1071774.4</v>
      </c>
      <c r="AB261" s="8" t="n">
        <v>1304419.2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2880.8</v>
      </c>
      <c r="E262" s="7" t="n">
        <v>0</v>
      </c>
      <c r="F262" s="7" t="n">
        <v>1096.2</v>
      </c>
      <c r="G262" s="7" t="n">
        <v>0</v>
      </c>
      <c r="H262" s="7" t="n">
        <v>11746.5</v>
      </c>
      <c r="I262" s="7" t="n">
        <v>0</v>
      </c>
      <c r="J262" s="7" t="n">
        <v>22924.7</v>
      </c>
      <c r="K262" s="7" t="n">
        <v>0</v>
      </c>
      <c r="L262" s="7" t="n">
        <v>21.2</v>
      </c>
      <c r="M262" s="7" t="n">
        <v>0</v>
      </c>
      <c r="N262" s="7" t="n">
        <v>3286</v>
      </c>
      <c r="O262" s="7" t="n">
        <v>0</v>
      </c>
      <c r="P262" s="7" t="n">
        <v>31281.1</v>
      </c>
      <c r="Q262" s="7" t="n">
        <v>0</v>
      </c>
      <c r="R262" s="7" t="n">
        <v>11999.6</v>
      </c>
      <c r="S262" s="7" t="n">
        <v>0</v>
      </c>
      <c r="T262" s="7" t="n">
        <v>15761.1</v>
      </c>
      <c r="U262" s="7" t="n">
        <v>0</v>
      </c>
      <c r="V262" s="7" t="n">
        <v>3389</v>
      </c>
      <c r="W262" s="7" t="n">
        <v>0</v>
      </c>
      <c r="X262" s="7" t="n">
        <v>17384.6</v>
      </c>
      <c r="Y262" s="7" t="n">
        <v>0</v>
      </c>
      <c r="Z262" s="7" t="n">
        <v>9393.700000000001</v>
      </c>
      <c r="AA262" s="7" t="n">
        <v>0</v>
      </c>
      <c r="AB262" s="7" t="n">
        <v>131164.5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100110.6</v>
      </c>
      <c r="D263" s="7" t="n">
        <v>60441.8</v>
      </c>
      <c r="E263" s="7" t="n">
        <v>64382.1</v>
      </c>
      <c r="F263" s="7" t="n">
        <v>5583</v>
      </c>
      <c r="G263" s="7" t="n">
        <v>105323.2</v>
      </c>
      <c r="H263" s="7" t="n">
        <v>141713.2</v>
      </c>
      <c r="I263" s="7" t="n">
        <v>106371.3</v>
      </c>
      <c r="J263" s="7" t="n">
        <v>60492</v>
      </c>
      <c r="K263" s="7" t="n">
        <v>69931.7</v>
      </c>
      <c r="L263" s="7" t="n">
        <v>124643</v>
      </c>
      <c r="M263" s="7" t="n">
        <v>87428.10000000001</v>
      </c>
      <c r="N263" s="7" t="n">
        <v>162101.3</v>
      </c>
      <c r="O263" s="7" t="n">
        <v>73737.89999999999</v>
      </c>
      <c r="P263" s="7" t="n">
        <v>90127.10000000001</v>
      </c>
      <c r="Q263" s="7" t="n">
        <v>116692.5</v>
      </c>
      <c r="R263" s="7" t="n">
        <v>138650.6</v>
      </c>
      <c r="S263" s="7" t="n">
        <v>92525.7</v>
      </c>
      <c r="T263" s="7" t="n">
        <v>93086.8</v>
      </c>
      <c r="U263" s="7" t="n">
        <v>66835.7</v>
      </c>
      <c r="V263" s="7" t="n">
        <v>167540.6</v>
      </c>
      <c r="W263" s="7" t="n">
        <v>77764.39999999999</v>
      </c>
      <c r="X263" s="7" t="n">
        <v>106356.6</v>
      </c>
      <c r="Y263" s="7" t="n">
        <v>110671.2</v>
      </c>
      <c r="Z263" s="7" t="n">
        <v>22518.7</v>
      </c>
      <c r="AA263" s="8" t="n">
        <v>1071774.4</v>
      </c>
      <c r="AB263" s="8" t="n">
        <v>1173254.7</v>
      </c>
    </row>
    <row r="264">
      <c r="A264" s="4" t="inlineStr">
        <is>
          <t>净利率</t>
        </is>
      </c>
      <c r="D264" s="13" t="n">
        <v>5.8</v>
      </c>
      <c r="F264" s="13" t="n">
        <v>4</v>
      </c>
      <c r="H264" s="13" t="n">
        <v>8.300000000000001</v>
      </c>
      <c r="J264" s="13" t="n">
        <v>8.9</v>
      </c>
      <c r="L264" s="13" t="n">
        <v>6.1</v>
      </c>
      <c r="N264" s="13" t="n">
        <v>9.800000000000001</v>
      </c>
      <c r="P264" s="13" t="n">
        <v>9.1</v>
      </c>
      <c r="R264" s="13" t="n">
        <v>10</v>
      </c>
      <c r="T264" s="13" t="n">
        <v>9.199999999999999</v>
      </c>
      <c r="V264" s="13" t="n">
        <v>7.2</v>
      </c>
      <c r="X264" s="13" t="n">
        <v>6.5</v>
      </c>
      <c r="Z264" s="13" t="n">
        <v>4.9</v>
      </c>
    </row>
    <row r="265">
      <c r="A265" s="4" t="inlineStr">
        <is>
          <t>销售达成率</t>
        </is>
      </c>
      <c r="D265" s="13" t="n">
        <v>77.90000000000001</v>
      </c>
      <c r="F265" s="13" t="n">
        <v>10.4</v>
      </c>
      <c r="H265" s="13" t="n">
        <v>120.6</v>
      </c>
      <c r="J265" s="13" t="n">
        <v>73.90000000000001</v>
      </c>
      <c r="L265" s="13" t="n">
        <v>164.9</v>
      </c>
      <c r="N265" s="13" t="n">
        <v>118.5</v>
      </c>
      <c r="P265" s="13" t="n">
        <v>90.40000000000001</v>
      </c>
      <c r="R265" s="13" t="n">
        <v>112.1</v>
      </c>
      <c r="T265" s="13" t="n">
        <v>76.2</v>
      </c>
      <c r="V265" s="13" t="n">
        <v>156.2</v>
      </c>
      <c r="X265" s="13" t="n">
        <v>127.1</v>
      </c>
      <c r="Z265" s="13" t="n">
        <v>49.8</v>
      </c>
    </row>
    <row r="266">
      <c r="A266" s="4" t="inlineStr">
        <is>
          <t>净利达成率</t>
        </is>
      </c>
      <c r="D266" s="13" t="n">
        <v>63.3</v>
      </c>
      <c r="F266" s="13" t="n">
        <v>10.4</v>
      </c>
      <c r="H266" s="13" t="n">
        <v>145.7</v>
      </c>
      <c r="J266" s="13" t="n">
        <v>78.40000000000001</v>
      </c>
      <c r="L266" s="13" t="n">
        <v>178.3</v>
      </c>
      <c r="N266" s="13" t="n">
        <v>189.2</v>
      </c>
      <c r="P266" s="13" t="n">
        <v>164.6</v>
      </c>
      <c r="R266" s="13" t="n">
        <v>129.1</v>
      </c>
      <c r="T266" s="13" t="n">
        <v>117.6</v>
      </c>
      <c r="V266" s="13" t="n">
        <v>255.7</v>
      </c>
      <c r="X266" s="13" t="n">
        <v>159.1</v>
      </c>
      <c r="Z266" s="13" t="n">
        <v>28.8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1398404</v>
      </c>
      <c r="D6" s="7" t="n">
        <v>508794.9</v>
      </c>
      <c r="E6" s="7" t="n">
        <v>1432454.5</v>
      </c>
      <c r="F6" s="7" t="n">
        <v>1385109.8</v>
      </c>
      <c r="G6" s="7" t="n">
        <v>1397882.7</v>
      </c>
      <c r="H6" s="7" t="n">
        <v>2471785.4</v>
      </c>
      <c r="I6" s="7" t="n">
        <v>1594961.4</v>
      </c>
      <c r="J6" s="7" t="n">
        <v>1767308.6</v>
      </c>
      <c r="K6" s="7" t="n">
        <v>1702102.9</v>
      </c>
      <c r="L6" s="7" t="n">
        <v>1575804.1</v>
      </c>
      <c r="M6" s="7" t="n">
        <v>1428935.1</v>
      </c>
      <c r="N6" s="7" t="n">
        <v>3511204</v>
      </c>
      <c r="O6" s="7" t="n">
        <v>1443721.5</v>
      </c>
      <c r="P6" s="7" t="n">
        <v>1501800.7</v>
      </c>
      <c r="Q6" s="7" t="n">
        <v>1570503.3</v>
      </c>
      <c r="R6" s="7" t="n">
        <v>1284461.4</v>
      </c>
      <c r="S6" s="7" t="n">
        <v>1684301</v>
      </c>
      <c r="T6" s="7" t="n">
        <v>2285036.3</v>
      </c>
      <c r="U6" s="7" t="n">
        <v>1803607</v>
      </c>
      <c r="V6" s="7" t="n">
        <v>1723223.7</v>
      </c>
      <c r="W6" s="7" t="n">
        <v>1589646.6</v>
      </c>
      <c r="X6" s="7" t="n">
        <v>0</v>
      </c>
      <c r="Y6" s="7" t="n">
        <v>1475256.2</v>
      </c>
      <c r="Z6" s="7" t="n">
        <v>759063.2</v>
      </c>
      <c r="AA6" s="8" t="n">
        <v>18521776.2</v>
      </c>
      <c r="AB6" s="8" t="n">
        <v>18773592.1</v>
      </c>
    </row>
    <row r="7">
      <c r="A7" s="4" t="inlineStr">
        <is>
          <t>中式汤底</t>
        </is>
      </c>
      <c r="D7" s="7" t="n">
        <v>391848.2</v>
      </c>
      <c r="F7" s="7" t="n">
        <v>439180.1</v>
      </c>
      <c r="H7" s="7" t="n">
        <v>659503.1</v>
      </c>
      <c r="J7" s="7" t="n">
        <v>671486.7</v>
      </c>
      <c r="L7" s="7" t="n">
        <v>782224.5</v>
      </c>
      <c r="N7" s="7" t="n">
        <v>881807.9</v>
      </c>
      <c r="P7" s="7" t="n">
        <v>0</v>
      </c>
      <c r="R7" s="7" t="n">
        <v>553761.5</v>
      </c>
      <c r="T7" s="7" t="n">
        <v>688057.1</v>
      </c>
      <c r="V7" s="7" t="n">
        <v>0</v>
      </c>
      <c r="X7" s="7" t="n">
        <v>0</v>
      </c>
      <c r="Z7" s="7" t="n">
        <v>0</v>
      </c>
      <c r="AB7" s="7" t="n">
        <v>5067869.1</v>
      </c>
    </row>
    <row r="8">
      <c r="A8" s="4" t="inlineStr">
        <is>
          <t>酱料</t>
        </is>
      </c>
      <c r="D8" s="7" t="n">
        <v>0</v>
      </c>
      <c r="F8" s="7" t="n">
        <v>338578.8</v>
      </c>
      <c r="H8" s="7" t="n">
        <v>0</v>
      </c>
      <c r="J8" s="7" t="n">
        <v>0</v>
      </c>
      <c r="L8" s="7" t="n">
        <v>0</v>
      </c>
      <c r="N8" s="7" t="n">
        <v>646207.6</v>
      </c>
      <c r="P8" s="7" t="n">
        <v>629320.8</v>
      </c>
      <c r="R8" s="7" t="n">
        <v>0</v>
      </c>
      <c r="T8" s="7" t="n">
        <v>0</v>
      </c>
      <c r="V8" s="7" t="n">
        <v>598989.7</v>
      </c>
      <c r="X8" s="7" t="n">
        <v>0</v>
      </c>
      <c r="Z8" s="7" t="n">
        <v>348326.2</v>
      </c>
      <c r="AB8" s="7" t="n">
        <v>2561423.1</v>
      </c>
    </row>
    <row r="9">
      <c r="A9" s="4" t="inlineStr">
        <is>
          <t>川味底料</t>
        </is>
      </c>
      <c r="D9" s="7" t="n">
        <v>0</v>
      </c>
      <c r="F9" s="7" t="n">
        <v>0</v>
      </c>
      <c r="H9" s="7" t="n">
        <v>382987.4</v>
      </c>
      <c r="J9" s="7" t="n">
        <v>0</v>
      </c>
      <c r="L9" s="7" t="n">
        <v>0</v>
      </c>
      <c r="N9" s="7" t="n">
        <v>0</v>
      </c>
      <c r="P9" s="7" t="n">
        <v>574514.5</v>
      </c>
      <c r="R9" s="7" t="n">
        <v>371838.8</v>
      </c>
      <c r="T9" s="7" t="n">
        <v>0</v>
      </c>
      <c r="V9" s="7" t="n">
        <v>0</v>
      </c>
      <c r="X9" s="7" t="n">
        <v>0</v>
      </c>
      <c r="Z9" s="7" t="n">
        <v>0</v>
      </c>
      <c r="AB9" s="7" t="n">
        <v>1329340.7</v>
      </c>
    </row>
    <row r="10">
      <c r="A10" s="4" t="inlineStr">
        <is>
          <t>调味汁</t>
        </is>
      </c>
      <c r="D10" s="7" t="n">
        <v>0</v>
      </c>
      <c r="F10" s="7" t="n">
        <v>0</v>
      </c>
      <c r="H10" s="7" t="n">
        <v>518803.2</v>
      </c>
      <c r="J10" s="7" t="n">
        <v>512434.2</v>
      </c>
      <c r="L10" s="7" t="n">
        <v>723966.7</v>
      </c>
      <c r="N10" s="7" t="n">
        <v>778834.6</v>
      </c>
      <c r="P10" s="7" t="n">
        <v>0</v>
      </c>
      <c r="R10" s="7" t="n">
        <v>0</v>
      </c>
      <c r="T10" s="7" t="n">
        <v>620385.5</v>
      </c>
      <c r="V10" s="7" t="n">
        <v>561402.9</v>
      </c>
      <c r="X10" s="7" t="n">
        <v>0</v>
      </c>
      <c r="Z10" s="7" t="n">
        <v>419556</v>
      </c>
      <c r="AB10" s="7" t="n">
        <v>4135383.1</v>
      </c>
    </row>
    <row r="11">
      <c r="A11" s="4" t="inlineStr">
        <is>
          <t>复合调味粉</t>
        </is>
      </c>
      <c r="D11" s="7" t="n">
        <v>123235.2</v>
      </c>
      <c r="F11" s="7" t="n">
        <v>0</v>
      </c>
      <c r="H11" s="7" t="n">
        <v>137629.5</v>
      </c>
      <c r="J11" s="7" t="n">
        <v>0</v>
      </c>
      <c r="L11" s="7" t="n">
        <v>0</v>
      </c>
      <c r="N11" s="7" t="n">
        <v>230499.6</v>
      </c>
      <c r="P11" s="7" t="n">
        <v>170556.5</v>
      </c>
      <c r="R11" s="7" t="n">
        <v>229457</v>
      </c>
      <c r="T11" s="7" t="n">
        <v>133178.3</v>
      </c>
      <c r="V11" s="7" t="n">
        <v>0</v>
      </c>
      <c r="X11" s="7" t="n">
        <v>0</v>
      </c>
      <c r="Z11" s="7" t="n">
        <v>0</v>
      </c>
      <c r="AB11" s="7" t="n">
        <v>1024556.1</v>
      </c>
    </row>
    <row r="12">
      <c r="A12" s="4" t="inlineStr">
        <is>
          <t>团餐</t>
        </is>
      </c>
      <c r="D12" s="7" t="n">
        <v>0</v>
      </c>
      <c r="F12" s="7" t="n">
        <v>556611.6</v>
      </c>
      <c r="H12" s="7" t="n">
        <v>671213.6</v>
      </c>
      <c r="J12" s="7" t="n">
        <v>598822.6</v>
      </c>
      <c r="L12" s="7" t="n">
        <v>0</v>
      </c>
      <c r="N12" s="7" t="n">
        <v>885753.4</v>
      </c>
      <c r="P12" s="7" t="n">
        <v>0</v>
      </c>
      <c r="R12" s="7" t="n">
        <v>0</v>
      </c>
      <c r="T12" s="7" t="n">
        <v>754391.6</v>
      </c>
      <c r="V12" s="7" t="n">
        <v>562134.8</v>
      </c>
      <c r="X12" s="7" t="n">
        <v>0</v>
      </c>
      <c r="Z12" s="7" t="n">
        <v>0</v>
      </c>
      <c r="AB12" s="7" t="n">
        <v>4028927.6</v>
      </c>
    </row>
    <row r="13">
      <c r="A13" s="4" t="inlineStr">
        <is>
          <t>预制菜</t>
        </is>
      </c>
      <c r="D13" s="7" t="n">
        <v>0</v>
      </c>
      <c r="F13" s="7" t="n">
        <v>69349.3</v>
      </c>
      <c r="H13" s="7" t="n">
        <v>97455.10000000001</v>
      </c>
      <c r="J13" s="7" t="n">
        <v>0</v>
      </c>
      <c r="L13" s="7" t="n">
        <v>93014.2</v>
      </c>
      <c r="N13" s="7" t="n">
        <v>107976.6</v>
      </c>
      <c r="P13" s="7" t="n">
        <v>154615.4</v>
      </c>
      <c r="R13" s="7" t="n">
        <v>146796.7</v>
      </c>
      <c r="T13" s="7" t="n">
        <v>119096.1</v>
      </c>
      <c r="V13" s="7" t="n">
        <v>0</v>
      </c>
      <c r="X13" s="7" t="n">
        <v>0</v>
      </c>
      <c r="Z13" s="7" t="n">
        <v>0</v>
      </c>
      <c r="AB13" s="7" t="n">
        <v>788303.4</v>
      </c>
    </row>
    <row r="14">
      <c r="A14" s="4" t="inlineStr">
        <is>
          <t>返利</t>
        </is>
      </c>
      <c r="D14" s="7" t="n">
        <v>-14678</v>
      </c>
      <c r="F14" s="7" t="n">
        <v>-27891.4</v>
      </c>
      <c r="H14" s="7" t="n">
        <v>-28622.6</v>
      </c>
      <c r="J14" s="7" t="n">
        <v>-34214.6</v>
      </c>
      <c r="L14" s="7" t="n">
        <v>-44758.7</v>
      </c>
      <c r="N14" s="7" t="n">
        <v>-78870.10000000001</v>
      </c>
      <c r="P14" s="7" t="n">
        <v>-45242</v>
      </c>
      <c r="R14" s="7" t="n">
        <v>-35165.5</v>
      </c>
      <c r="T14" s="7" t="n">
        <v>-67400.60000000001</v>
      </c>
      <c r="V14" s="7" t="n">
        <v>-26116.4</v>
      </c>
      <c r="X14" s="7" t="n">
        <v>-0</v>
      </c>
      <c r="Z14" s="7" t="n">
        <v>-21334.4</v>
      </c>
      <c r="AB14" s="7" t="n">
        <v>-424294.3</v>
      </c>
    </row>
    <row r="15">
      <c r="A15" s="4" t="inlineStr">
        <is>
          <t>其他</t>
        </is>
      </c>
      <c r="D15" s="7" t="n">
        <v>8389.5</v>
      </c>
      <c r="F15" s="7" t="n">
        <v>9281.4</v>
      </c>
      <c r="H15" s="7" t="n">
        <v>32816.1</v>
      </c>
      <c r="J15" s="7" t="n">
        <v>18779.7</v>
      </c>
      <c r="L15" s="7" t="n">
        <v>21357.4</v>
      </c>
      <c r="N15" s="7" t="n">
        <v>58994.4</v>
      </c>
      <c r="P15" s="7" t="n">
        <v>18035.5</v>
      </c>
      <c r="R15" s="7" t="n">
        <v>17772.9</v>
      </c>
      <c r="T15" s="7" t="n">
        <v>37328.3</v>
      </c>
      <c r="V15" s="7" t="n">
        <v>26812.7</v>
      </c>
      <c r="X15" s="7" t="n">
        <v>0</v>
      </c>
      <c r="Z15" s="7" t="n">
        <v>12515.4</v>
      </c>
      <c r="AB15" s="7" t="n">
        <v>262083.3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1175627.6</v>
      </c>
      <c r="D16" s="7" t="n">
        <v>359233.5</v>
      </c>
      <c r="E16" s="7" t="n">
        <v>975673.1</v>
      </c>
      <c r="F16" s="7" t="n">
        <v>920675.9</v>
      </c>
      <c r="G16" s="7" t="n">
        <v>1211329.2</v>
      </c>
      <c r="H16" s="7" t="n">
        <v>1698213.1</v>
      </c>
      <c r="I16" s="7" t="n">
        <v>1054114.4</v>
      </c>
      <c r="J16" s="7" t="n">
        <v>1169888.3</v>
      </c>
      <c r="K16" s="7" t="n">
        <v>954673.7</v>
      </c>
      <c r="L16" s="7" t="n">
        <v>1093849.7</v>
      </c>
      <c r="M16" s="7" t="n">
        <v>937201.1</v>
      </c>
      <c r="N16" s="7" t="n">
        <v>2403704.6</v>
      </c>
      <c r="O16" s="7" t="n">
        <v>1079003.2</v>
      </c>
      <c r="P16" s="7" t="n">
        <v>1044901.9</v>
      </c>
      <c r="Q16" s="7" t="n">
        <v>1021716.1</v>
      </c>
      <c r="R16" s="7" t="n">
        <v>919076</v>
      </c>
      <c r="S16" s="7" t="n">
        <v>1143034.3</v>
      </c>
      <c r="T16" s="7" t="n">
        <v>1554979.9</v>
      </c>
      <c r="U16" s="7" t="n">
        <v>1039712.1</v>
      </c>
      <c r="V16" s="7" t="n">
        <v>1113728.7</v>
      </c>
      <c r="W16" s="7" t="n">
        <v>1011557.6</v>
      </c>
      <c r="X16" s="7" t="n">
        <v>0</v>
      </c>
      <c r="Y16" s="7" t="n">
        <v>931617.4</v>
      </c>
      <c r="Z16" s="7" t="n">
        <v>507878.3</v>
      </c>
      <c r="AA16" s="8" t="n">
        <v>12535259.8</v>
      </c>
      <c r="AB16" s="8" t="n">
        <v>12786129.9</v>
      </c>
    </row>
    <row r="17">
      <c r="A17" s="4" t="inlineStr">
        <is>
          <t>中式汤底</t>
        </is>
      </c>
      <c r="D17" s="7" t="n">
        <v>257124.7</v>
      </c>
      <c r="F17" s="7" t="n">
        <v>288183.1</v>
      </c>
      <c r="H17" s="7" t="n">
        <v>432755.6</v>
      </c>
      <c r="J17" s="7" t="n">
        <v>440619.1</v>
      </c>
      <c r="L17" s="7" t="n">
        <v>513283.5</v>
      </c>
      <c r="N17" s="7" t="n">
        <v>578628.6</v>
      </c>
      <c r="P17" s="7" t="n">
        <v>0</v>
      </c>
      <c r="R17" s="7" t="n">
        <v>363369.6</v>
      </c>
      <c r="T17" s="7" t="n">
        <v>451492.3</v>
      </c>
      <c r="V17" s="7" t="n">
        <v>0</v>
      </c>
      <c r="X17" s="7" t="n">
        <v>0</v>
      </c>
      <c r="Z17" s="7" t="n">
        <v>0</v>
      </c>
      <c r="AB17" s="7" t="n">
        <v>3325456.5</v>
      </c>
    </row>
    <row r="18">
      <c r="A18" s="4" t="inlineStr">
        <is>
          <t>酱料</t>
        </is>
      </c>
      <c r="D18" s="7" t="n">
        <v>0</v>
      </c>
      <c r="F18" s="7" t="n">
        <v>215031.7</v>
      </c>
      <c r="H18" s="7" t="n">
        <v>0</v>
      </c>
      <c r="J18" s="7" t="n">
        <v>0</v>
      </c>
      <c r="L18" s="7" t="n">
        <v>0</v>
      </c>
      <c r="N18" s="7" t="n">
        <v>410406.9</v>
      </c>
      <c r="P18" s="7" t="n">
        <v>399682.1</v>
      </c>
      <c r="R18" s="7" t="n">
        <v>0</v>
      </c>
      <c r="T18" s="7" t="n">
        <v>0</v>
      </c>
      <c r="V18" s="7" t="n">
        <v>380418.8</v>
      </c>
      <c r="X18" s="7" t="n">
        <v>0</v>
      </c>
      <c r="Z18" s="7" t="n">
        <v>221222.2</v>
      </c>
      <c r="AB18" s="7" t="n">
        <v>1626761.7</v>
      </c>
    </row>
    <row r="19">
      <c r="A19" s="4" t="inlineStr">
        <is>
          <t>川味底料</t>
        </is>
      </c>
      <c r="D19" s="7" t="n">
        <v>0</v>
      </c>
      <c r="F19" s="7" t="n">
        <v>0</v>
      </c>
      <c r="H19" s="7" t="n">
        <v>267779.8</v>
      </c>
      <c r="J19" s="7" t="n">
        <v>0</v>
      </c>
      <c r="L19" s="7" t="n">
        <v>0</v>
      </c>
      <c r="N19" s="7" t="n">
        <v>0</v>
      </c>
      <c r="P19" s="7" t="n">
        <v>401693.1</v>
      </c>
      <c r="R19" s="7" t="n">
        <v>259984.9</v>
      </c>
      <c r="T19" s="7" t="n">
        <v>0</v>
      </c>
      <c r="V19" s="7" t="n">
        <v>0</v>
      </c>
      <c r="X19" s="7" t="n">
        <v>0</v>
      </c>
      <c r="Z19" s="7" t="n">
        <v>0</v>
      </c>
      <c r="AB19" s="7" t="n">
        <v>929457.8</v>
      </c>
    </row>
    <row r="20">
      <c r="A20" s="4" t="inlineStr">
        <is>
          <t>调味汁</t>
        </is>
      </c>
      <c r="D20" s="7" t="n">
        <v>0</v>
      </c>
      <c r="F20" s="7" t="n">
        <v>0</v>
      </c>
      <c r="H20" s="7" t="n">
        <v>319664.9</v>
      </c>
      <c r="J20" s="7" t="n">
        <v>315740.6</v>
      </c>
      <c r="L20" s="7" t="n">
        <v>446078.1</v>
      </c>
      <c r="N20" s="7" t="n">
        <v>479885.4</v>
      </c>
      <c r="P20" s="7" t="n">
        <v>0</v>
      </c>
      <c r="R20" s="7" t="n">
        <v>0</v>
      </c>
      <c r="T20" s="7" t="n">
        <v>382255.6</v>
      </c>
      <c r="V20" s="7" t="n">
        <v>345913</v>
      </c>
      <c r="X20" s="7" t="n">
        <v>0</v>
      </c>
      <c r="Z20" s="7" t="n">
        <v>258512.9</v>
      </c>
      <c r="AB20" s="7" t="n">
        <v>2548050.5</v>
      </c>
    </row>
    <row r="21">
      <c r="A21" s="4" t="inlineStr">
        <is>
          <t>复合调味粉</t>
        </is>
      </c>
      <c r="D21" s="7" t="n">
        <v>85102.7</v>
      </c>
      <c r="F21" s="7" t="n">
        <v>0</v>
      </c>
      <c r="H21" s="7" t="n">
        <v>95042.89999999999</v>
      </c>
      <c r="J21" s="7" t="n">
        <v>0</v>
      </c>
      <c r="L21" s="7" t="n">
        <v>0</v>
      </c>
      <c r="N21" s="7" t="n">
        <v>159176.3</v>
      </c>
      <c r="P21" s="7" t="n">
        <v>117781.4</v>
      </c>
      <c r="R21" s="7" t="n">
        <v>158456.3</v>
      </c>
      <c r="T21" s="7" t="n">
        <v>91969.10000000001</v>
      </c>
      <c r="V21" s="7" t="n">
        <v>0</v>
      </c>
      <c r="X21" s="7" t="n">
        <v>0</v>
      </c>
      <c r="Z21" s="7" t="n">
        <v>0</v>
      </c>
      <c r="AB21" s="7" t="n">
        <v>707528.7</v>
      </c>
    </row>
    <row r="22">
      <c r="A22" s="4" t="inlineStr">
        <is>
          <t>团餐</t>
        </is>
      </c>
      <c r="D22" s="7" t="n">
        <v>0</v>
      </c>
      <c r="F22" s="7" t="n">
        <v>336295.4</v>
      </c>
      <c r="H22" s="7" t="n">
        <v>405536</v>
      </c>
      <c r="J22" s="7" t="n">
        <v>361798.6</v>
      </c>
      <c r="L22" s="7" t="n">
        <v>0</v>
      </c>
      <c r="N22" s="7" t="n">
        <v>535157.4</v>
      </c>
      <c r="P22" s="7" t="n">
        <v>0</v>
      </c>
      <c r="R22" s="7" t="n">
        <v>0</v>
      </c>
      <c r="T22" s="7" t="n">
        <v>455790.8</v>
      </c>
      <c r="V22" s="7" t="n">
        <v>339632.5</v>
      </c>
      <c r="X22" s="7" t="n">
        <v>0</v>
      </c>
      <c r="Z22" s="7" t="n">
        <v>0</v>
      </c>
      <c r="AB22" s="7" t="n">
        <v>2434210.7</v>
      </c>
    </row>
    <row r="23">
      <c r="A23" s="4" t="inlineStr">
        <is>
          <t>预制菜</t>
        </is>
      </c>
      <c r="D23" s="7" t="n">
        <v>0</v>
      </c>
      <c r="F23" s="7" t="n">
        <v>41629</v>
      </c>
      <c r="H23" s="7" t="n">
        <v>58500.4</v>
      </c>
      <c r="J23" s="7" t="n">
        <v>0</v>
      </c>
      <c r="L23" s="7" t="n">
        <v>55834.6</v>
      </c>
      <c r="N23" s="7" t="n">
        <v>64816.3</v>
      </c>
      <c r="P23" s="7" t="n">
        <v>92812.60000000001</v>
      </c>
      <c r="R23" s="7" t="n">
        <v>88119.2</v>
      </c>
      <c r="T23" s="7" t="n">
        <v>71491.10000000001</v>
      </c>
      <c r="V23" s="7" t="n">
        <v>0</v>
      </c>
      <c r="X23" s="7" t="n">
        <v>0</v>
      </c>
      <c r="Z23" s="7" t="n">
        <v>0</v>
      </c>
      <c r="AB23" s="7" t="n">
        <v>473203.2</v>
      </c>
    </row>
    <row r="24">
      <c r="A24" s="4" t="inlineStr">
        <is>
          <t>其他</t>
        </is>
      </c>
      <c r="D24" s="7" t="n">
        <v>1111.9</v>
      </c>
      <c r="F24" s="7" t="n">
        <v>8479.6</v>
      </c>
      <c r="H24" s="7" t="n">
        <v>29324.4</v>
      </c>
      <c r="J24" s="7" t="n">
        <v>1483.1</v>
      </c>
      <c r="L24" s="7" t="n">
        <v>6374.6</v>
      </c>
      <c r="N24" s="7" t="n">
        <v>39628.8</v>
      </c>
      <c r="P24" s="7" t="n">
        <v>8816.700000000001</v>
      </c>
      <c r="R24" s="7" t="n">
        <v>14180.9</v>
      </c>
      <c r="T24" s="7" t="n">
        <v>4476.6</v>
      </c>
      <c r="V24" s="7" t="n">
        <v>10087.7</v>
      </c>
      <c r="X24" s="7" t="n">
        <v>0</v>
      </c>
      <c r="Z24" s="7" t="n">
        <v>8995.9</v>
      </c>
      <c r="AB24" s="7" t="n">
        <v>132960.2</v>
      </c>
    </row>
    <row r="25">
      <c r="A25" s="4" t="inlineStr">
        <is>
          <t>运费</t>
        </is>
      </c>
      <c r="D25" s="7" t="n">
        <v>17006.1</v>
      </c>
      <c r="F25" s="7" t="n">
        <v>39536.7</v>
      </c>
      <c r="H25" s="7" t="n">
        <v>118933.5</v>
      </c>
      <c r="J25" s="7" t="n">
        <v>51730</v>
      </c>
      <c r="L25" s="7" t="n">
        <v>78653.5</v>
      </c>
      <c r="N25" s="7" t="n">
        <v>175633.7</v>
      </c>
      <c r="P25" s="7" t="n">
        <v>32932.7</v>
      </c>
      <c r="R25" s="7" t="n">
        <v>49146</v>
      </c>
      <c r="T25" s="7" t="n">
        <v>101981</v>
      </c>
      <c r="V25" s="7" t="n">
        <v>47764.4</v>
      </c>
      <c r="X25" s="7" t="n">
        <v>0</v>
      </c>
      <c r="Z25" s="7" t="n">
        <v>28143.2</v>
      </c>
      <c r="AB25" s="7" t="n">
        <v>741460.8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222776.4</v>
      </c>
      <c r="D26" s="7" t="n">
        <v>149561.4</v>
      </c>
      <c r="E26" s="7" t="n">
        <v>456781.4</v>
      </c>
      <c r="F26" s="7" t="n">
        <v>464433.9</v>
      </c>
      <c r="G26" s="7" t="n">
        <v>186553.5</v>
      </c>
      <c r="H26" s="7" t="n">
        <v>773572.3</v>
      </c>
      <c r="I26" s="7" t="n">
        <v>540847</v>
      </c>
      <c r="J26" s="7" t="n">
        <v>597420.3</v>
      </c>
      <c r="K26" s="7" t="n">
        <v>747429.2</v>
      </c>
      <c r="L26" s="7" t="n">
        <v>481954.4</v>
      </c>
      <c r="M26" s="7" t="n">
        <v>491734</v>
      </c>
      <c r="N26" s="7" t="n">
        <v>1107499.4</v>
      </c>
      <c r="O26" s="7" t="n">
        <v>364718.3</v>
      </c>
      <c r="P26" s="7" t="n">
        <v>456898.8</v>
      </c>
      <c r="Q26" s="7" t="n">
        <v>548787.2</v>
      </c>
      <c r="R26" s="7" t="n">
        <v>365385.4</v>
      </c>
      <c r="S26" s="7" t="n">
        <v>541266.7</v>
      </c>
      <c r="T26" s="7" t="n">
        <v>730056.4</v>
      </c>
      <c r="U26" s="7" t="n">
        <v>763894.9</v>
      </c>
      <c r="V26" s="7" t="n">
        <v>609495</v>
      </c>
      <c r="W26" s="7" t="n">
        <v>578089</v>
      </c>
      <c r="X26" s="7" t="n">
        <v>0</v>
      </c>
      <c r="Y26" s="7" t="n">
        <v>543638.8</v>
      </c>
      <c r="Z26" s="7" t="n">
        <v>251184.9</v>
      </c>
      <c r="AA26" s="8" t="n">
        <v>5986516.4</v>
      </c>
      <c r="AB26" s="8" t="n">
        <v>5987462.2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15.9</v>
      </c>
      <c r="D27" s="13" t="n">
        <v>29.4</v>
      </c>
      <c r="E27" s="13" t="n">
        <v>31.9</v>
      </c>
      <c r="F27" s="13" t="n">
        <v>33.5</v>
      </c>
      <c r="G27" s="13" t="n">
        <v>13.3</v>
      </c>
      <c r="H27" s="13" t="n">
        <v>31.3</v>
      </c>
      <c r="I27" s="13" t="n">
        <v>33.9</v>
      </c>
      <c r="J27" s="13" t="n">
        <v>33.8</v>
      </c>
      <c r="K27" s="13" t="n">
        <v>43.9</v>
      </c>
      <c r="L27" s="13" t="n">
        <v>30.6</v>
      </c>
      <c r="M27" s="13" t="n">
        <v>34.4</v>
      </c>
      <c r="N27" s="13" t="n">
        <v>31.5</v>
      </c>
      <c r="O27" s="13" t="n">
        <v>25.3</v>
      </c>
      <c r="P27" s="13" t="n">
        <v>30.4</v>
      </c>
      <c r="Q27" s="13" t="n">
        <v>34.9</v>
      </c>
      <c r="R27" s="13" t="n">
        <v>28.4</v>
      </c>
      <c r="S27" s="13" t="n">
        <v>32.1</v>
      </c>
      <c r="T27" s="13" t="n">
        <v>31.9</v>
      </c>
      <c r="U27" s="13" t="n">
        <v>42.4</v>
      </c>
      <c r="V27" s="13" t="n">
        <v>35.4</v>
      </c>
      <c r="W27" s="13" t="n">
        <v>36.4</v>
      </c>
      <c r="X27" s="13" t="n">
        <v>0</v>
      </c>
      <c r="Y27" s="13" t="n">
        <v>36.9</v>
      </c>
      <c r="Z27" s="13" t="n">
        <v>33.1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15738.5</v>
      </c>
      <c r="D28" s="7" t="n">
        <v>3145.5</v>
      </c>
      <c r="E28" s="7" t="n">
        <v>15986</v>
      </c>
      <c r="F28" s="7" t="n">
        <v>10190</v>
      </c>
      <c r="G28" s="7" t="n">
        <v>14522.1</v>
      </c>
      <c r="H28" s="7" t="n">
        <v>34088.5</v>
      </c>
      <c r="I28" s="7" t="n">
        <v>14518.2</v>
      </c>
      <c r="J28" s="7" t="n">
        <v>17529.2</v>
      </c>
      <c r="K28" s="7" t="n">
        <v>18074.3</v>
      </c>
      <c r="L28" s="7" t="n">
        <v>22979.5</v>
      </c>
      <c r="M28" s="7" t="n">
        <v>14151.7</v>
      </c>
      <c r="N28" s="7" t="n">
        <v>38216.8</v>
      </c>
      <c r="O28" s="7" t="n">
        <v>16800.3</v>
      </c>
      <c r="P28" s="7" t="n">
        <v>13596.1</v>
      </c>
      <c r="Q28" s="7" t="n">
        <v>16562.7</v>
      </c>
      <c r="R28" s="7" t="n">
        <v>17333.2</v>
      </c>
      <c r="S28" s="7" t="n">
        <v>14569.1</v>
      </c>
      <c r="T28" s="7" t="n">
        <v>17971.1</v>
      </c>
      <c r="U28" s="7" t="n">
        <v>18940.1</v>
      </c>
      <c r="V28" s="7" t="n">
        <v>19137.7</v>
      </c>
      <c r="W28" s="7" t="n">
        <v>18133.5</v>
      </c>
      <c r="X28" s="7" t="n">
        <v>0</v>
      </c>
      <c r="Y28" s="7" t="n">
        <v>17336.1</v>
      </c>
      <c r="Z28" s="7" t="n">
        <v>5003.7</v>
      </c>
      <c r="AA28" s="8" t="n">
        <v>195332.6</v>
      </c>
      <c r="AB28" s="8" t="n">
        <v>199191.3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250398.1</v>
      </c>
      <c r="D29" s="7" t="n">
        <v>126575.8</v>
      </c>
      <c r="E29" s="7" t="n">
        <v>227348.8</v>
      </c>
      <c r="F29" s="7" t="n">
        <v>138944.6</v>
      </c>
      <c r="G29" s="7" t="n">
        <v>270401.8</v>
      </c>
      <c r="H29" s="7" t="n">
        <v>313016.9</v>
      </c>
      <c r="I29" s="7" t="n">
        <v>302484.1</v>
      </c>
      <c r="J29" s="7" t="n">
        <v>212116.8</v>
      </c>
      <c r="K29" s="7" t="n">
        <v>272895.1</v>
      </c>
      <c r="L29" s="7" t="n">
        <v>390098.4</v>
      </c>
      <c r="M29" s="7" t="n">
        <v>289285</v>
      </c>
      <c r="N29" s="7" t="n">
        <v>544289.5</v>
      </c>
      <c r="O29" s="7" t="n">
        <v>239483.4</v>
      </c>
      <c r="P29" s="7" t="n">
        <v>304639.2</v>
      </c>
      <c r="Q29" s="7" t="n">
        <v>237717.2</v>
      </c>
      <c r="R29" s="7" t="n">
        <v>287736.8</v>
      </c>
      <c r="S29" s="7" t="n">
        <v>255204.5</v>
      </c>
      <c r="T29" s="7" t="n">
        <v>350953.2</v>
      </c>
      <c r="U29" s="7" t="n">
        <v>302903.3</v>
      </c>
      <c r="V29" s="7" t="n">
        <v>320174.3</v>
      </c>
      <c r="W29" s="7" t="n">
        <v>232778.4</v>
      </c>
      <c r="X29" s="7" t="n">
        <v>0</v>
      </c>
      <c r="Y29" s="7" t="n">
        <v>271233.4</v>
      </c>
      <c r="Z29" s="7" t="n">
        <v>177569.1</v>
      </c>
      <c r="AA29" s="8" t="n">
        <v>3152133.1</v>
      </c>
      <c r="AB29" s="8" t="n">
        <v>3166114.6</v>
      </c>
    </row>
    <row r="30">
      <c r="A30" s="4" t="inlineStr">
        <is>
          <t>职工薪酬</t>
        </is>
      </c>
      <c r="D30" s="7" t="n">
        <v>55223</v>
      </c>
      <c r="F30" s="7" t="n">
        <v>79594</v>
      </c>
      <c r="H30" s="7" t="n">
        <v>168569.9</v>
      </c>
      <c r="J30" s="7" t="n">
        <v>113006.7</v>
      </c>
      <c r="L30" s="7" t="n">
        <v>216374.4</v>
      </c>
      <c r="N30" s="7" t="n">
        <v>251240.5</v>
      </c>
      <c r="P30" s="7" t="n">
        <v>143806.2</v>
      </c>
      <c r="R30" s="7" t="n">
        <v>138966.2</v>
      </c>
      <c r="T30" s="7" t="n">
        <v>191972.1</v>
      </c>
      <c r="V30" s="7" t="n">
        <v>150023.4</v>
      </c>
      <c r="X30" s="7" t="n">
        <v>0</v>
      </c>
      <c r="Z30" s="7" t="n">
        <v>81521.2</v>
      </c>
      <c r="AB30" s="7" t="n">
        <v>1590297.6</v>
      </c>
    </row>
    <row r="31">
      <c r="A31" s="4" t="inlineStr">
        <is>
          <t>工资</t>
        </is>
      </c>
      <c r="D31" s="7" t="n">
        <v>27310.8</v>
      </c>
      <c r="F31" s="7" t="n">
        <v>50490.8</v>
      </c>
      <c r="H31" s="7" t="n">
        <v>103202.2</v>
      </c>
      <c r="J31" s="7" t="n">
        <v>71076.89999999999</v>
      </c>
      <c r="L31" s="7" t="n">
        <v>138816</v>
      </c>
      <c r="N31" s="7" t="n">
        <v>149448.5</v>
      </c>
      <c r="P31" s="7" t="n">
        <v>91878.5</v>
      </c>
      <c r="R31" s="7" t="n">
        <v>75633.8</v>
      </c>
      <c r="T31" s="7" t="n">
        <v>118277.7</v>
      </c>
      <c r="V31" s="7" t="n">
        <v>90352.2</v>
      </c>
      <c r="X31" s="7" t="n">
        <v>0</v>
      </c>
      <c r="Z31" s="7" t="n">
        <v>44804.7</v>
      </c>
      <c r="AB31" s="7" t="n">
        <v>961292.1</v>
      </c>
    </row>
    <row r="32">
      <c r="A32" s="4" t="inlineStr">
        <is>
          <t>奖金及提成</t>
        </is>
      </c>
      <c r="D32" s="7" t="n">
        <v>16337.9</v>
      </c>
      <c r="F32" s="7" t="n">
        <v>12304.9</v>
      </c>
      <c r="H32" s="7" t="n">
        <v>28045.2</v>
      </c>
      <c r="J32" s="7" t="n">
        <v>17911.3</v>
      </c>
      <c r="L32" s="7" t="n">
        <v>30787.8</v>
      </c>
      <c r="N32" s="7" t="n">
        <v>43169.3</v>
      </c>
      <c r="P32" s="7" t="n">
        <v>22777</v>
      </c>
      <c r="R32" s="7" t="n">
        <v>30287.5</v>
      </c>
      <c r="T32" s="7" t="n">
        <v>27045.5</v>
      </c>
      <c r="V32" s="7" t="n">
        <v>24480.7</v>
      </c>
      <c r="X32" s="7" t="n">
        <v>0</v>
      </c>
      <c r="Z32" s="7" t="n">
        <v>14020.8</v>
      </c>
      <c r="AB32" s="7" t="n">
        <v>267167.9</v>
      </c>
    </row>
    <row r="33">
      <c r="A33" s="4" t="inlineStr">
        <is>
          <t>社保</t>
        </is>
      </c>
      <c r="D33" s="7" t="n">
        <v>7534.5</v>
      </c>
      <c r="F33" s="7" t="n">
        <v>12918.7</v>
      </c>
      <c r="H33" s="7" t="n">
        <v>27861.9</v>
      </c>
      <c r="J33" s="7" t="n">
        <v>17776.4</v>
      </c>
      <c r="L33" s="7" t="n">
        <v>35301.9</v>
      </c>
      <c r="N33" s="7" t="n">
        <v>41853.7</v>
      </c>
      <c r="P33" s="7" t="n">
        <v>18852.8</v>
      </c>
      <c r="R33" s="7" t="n">
        <v>25012.1</v>
      </c>
      <c r="T33" s="7" t="n">
        <v>35531.8</v>
      </c>
      <c r="V33" s="7" t="n">
        <v>26414.9</v>
      </c>
      <c r="X33" s="7" t="n">
        <v>0</v>
      </c>
      <c r="Z33" s="7" t="n">
        <v>17933.9</v>
      </c>
      <c r="AB33" s="7" t="n">
        <v>266992.6</v>
      </c>
    </row>
    <row r="34">
      <c r="A34" s="4" t="inlineStr">
        <is>
          <t>养老</t>
        </is>
      </c>
      <c r="D34" s="7" t="n">
        <v>171.3</v>
      </c>
      <c r="F34" s="7" t="n">
        <v>137.7</v>
      </c>
      <c r="H34" s="7" t="n">
        <v>341.8</v>
      </c>
      <c r="J34" s="7" t="n">
        <v>237.8</v>
      </c>
      <c r="L34" s="7" t="n">
        <v>396.9</v>
      </c>
      <c r="N34" s="7" t="n">
        <v>538.2</v>
      </c>
      <c r="P34" s="7" t="n">
        <v>507.8</v>
      </c>
      <c r="R34" s="7" t="n">
        <v>336.9</v>
      </c>
      <c r="T34" s="7" t="n">
        <v>392</v>
      </c>
      <c r="V34" s="7" t="n">
        <v>439.8</v>
      </c>
      <c r="X34" s="7" t="n">
        <v>0</v>
      </c>
      <c r="Z34" s="7" t="n">
        <v>229.2</v>
      </c>
      <c r="AB34" s="7" t="n">
        <v>3729.4</v>
      </c>
    </row>
    <row r="35">
      <c r="A35" s="4" t="inlineStr">
        <is>
          <t>医疗</t>
        </is>
      </c>
      <c r="D35" s="7" t="n">
        <v>526.3</v>
      </c>
      <c r="F35" s="7" t="n">
        <v>503.8</v>
      </c>
      <c r="H35" s="7" t="n">
        <v>1304.4</v>
      </c>
      <c r="J35" s="7" t="n">
        <v>1262.6</v>
      </c>
      <c r="L35" s="7" t="n">
        <v>1729.5</v>
      </c>
      <c r="N35" s="7" t="n">
        <v>2249.7</v>
      </c>
      <c r="P35" s="7" t="n">
        <v>1769.8</v>
      </c>
      <c r="R35" s="7" t="n">
        <v>1391.4</v>
      </c>
      <c r="T35" s="7" t="n">
        <v>1827.7</v>
      </c>
      <c r="V35" s="7" t="n">
        <v>1048.8</v>
      </c>
      <c r="X35" s="7" t="n">
        <v>0</v>
      </c>
      <c r="Z35" s="7" t="n">
        <v>1050.8</v>
      </c>
      <c r="AB35" s="7" t="n">
        <v>14664.8</v>
      </c>
    </row>
    <row r="36">
      <c r="A36" s="4" t="inlineStr">
        <is>
          <t>工伤</t>
        </is>
      </c>
      <c r="D36" s="7" t="n">
        <v>342.4</v>
      </c>
      <c r="F36" s="7" t="n">
        <v>489.8</v>
      </c>
      <c r="H36" s="7" t="n">
        <v>673.3</v>
      </c>
      <c r="J36" s="7" t="n">
        <v>711.7</v>
      </c>
      <c r="L36" s="7" t="n">
        <v>897.7</v>
      </c>
      <c r="N36" s="7" t="n">
        <v>1576.6</v>
      </c>
      <c r="P36" s="7" t="n">
        <v>1058.4</v>
      </c>
      <c r="R36" s="7" t="n">
        <v>976.3</v>
      </c>
      <c r="T36" s="7" t="n">
        <v>1083.7</v>
      </c>
      <c r="V36" s="7" t="n">
        <v>830</v>
      </c>
      <c r="X36" s="7" t="n">
        <v>0</v>
      </c>
      <c r="Z36" s="7" t="n">
        <v>522.4</v>
      </c>
      <c r="AB36" s="7" t="n">
        <v>9162.299999999999</v>
      </c>
    </row>
    <row r="37">
      <c r="A37" s="4" t="inlineStr">
        <is>
          <t>失业</t>
        </is>
      </c>
      <c r="D37" s="7" t="n">
        <v>696.8</v>
      </c>
      <c r="F37" s="7" t="n">
        <v>598.8</v>
      </c>
      <c r="H37" s="7" t="n">
        <v>1024.5</v>
      </c>
      <c r="J37" s="7" t="n">
        <v>979.2</v>
      </c>
      <c r="L37" s="7" t="n">
        <v>2173.8</v>
      </c>
      <c r="N37" s="7" t="n">
        <v>2540.6</v>
      </c>
      <c r="P37" s="7" t="n">
        <v>1174.7</v>
      </c>
      <c r="R37" s="7" t="n">
        <v>1207.3</v>
      </c>
      <c r="T37" s="7" t="n">
        <v>1792.9</v>
      </c>
      <c r="V37" s="7" t="n">
        <v>1705.5</v>
      </c>
      <c r="X37" s="7" t="n">
        <v>0</v>
      </c>
      <c r="Z37" s="7" t="n">
        <v>843.6</v>
      </c>
      <c r="AB37" s="7" t="n">
        <v>14737.7</v>
      </c>
    </row>
    <row r="38">
      <c r="A38" s="4" t="inlineStr">
        <is>
          <t>生育</t>
        </is>
      </c>
      <c r="D38" s="7" t="n">
        <v>957</v>
      </c>
      <c r="F38" s="7" t="n">
        <v>865.2</v>
      </c>
      <c r="H38" s="7" t="n">
        <v>1948.9</v>
      </c>
      <c r="J38" s="7" t="n">
        <v>1189</v>
      </c>
      <c r="L38" s="7" t="n">
        <v>2889.7</v>
      </c>
      <c r="N38" s="7" t="n">
        <v>3747.1</v>
      </c>
      <c r="P38" s="7" t="n">
        <v>1729</v>
      </c>
      <c r="R38" s="7" t="n">
        <v>1899.1</v>
      </c>
      <c r="T38" s="7" t="n">
        <v>2105.1</v>
      </c>
      <c r="V38" s="7" t="n">
        <v>1911.2</v>
      </c>
      <c r="X38" s="7" t="n">
        <v>0</v>
      </c>
      <c r="Z38" s="7" t="n">
        <v>752.7</v>
      </c>
      <c r="AB38" s="7" t="n">
        <v>19994</v>
      </c>
    </row>
    <row r="39">
      <c r="A39" s="4" t="inlineStr">
        <is>
          <t>公积金</t>
        </is>
      </c>
      <c r="D39" s="7" t="n">
        <v>260.7</v>
      </c>
      <c r="F39" s="7" t="n">
        <v>326.1</v>
      </c>
      <c r="H39" s="7" t="n">
        <v>802.2</v>
      </c>
      <c r="J39" s="7" t="n">
        <v>455.6</v>
      </c>
      <c r="L39" s="7" t="n">
        <v>1043.9</v>
      </c>
      <c r="N39" s="7" t="n">
        <v>1492.7</v>
      </c>
      <c r="P39" s="7" t="n">
        <v>829.5</v>
      </c>
      <c r="R39" s="7" t="n">
        <v>668.5</v>
      </c>
      <c r="T39" s="7" t="n">
        <v>641.9</v>
      </c>
      <c r="V39" s="7" t="n">
        <v>620.9</v>
      </c>
      <c r="X39" s="7" t="n">
        <v>0</v>
      </c>
      <c r="Z39" s="7" t="n">
        <v>375.5</v>
      </c>
      <c r="AB39" s="7" t="n">
        <v>7517.5</v>
      </c>
    </row>
    <row r="40">
      <c r="A40" s="4" t="inlineStr">
        <is>
          <t>工会经费</t>
        </is>
      </c>
      <c r="D40" s="7" t="n">
        <v>272</v>
      </c>
      <c r="F40" s="7" t="n">
        <v>197.9</v>
      </c>
      <c r="H40" s="7" t="n">
        <v>516.3</v>
      </c>
      <c r="J40" s="7" t="n">
        <v>519</v>
      </c>
      <c r="L40" s="7" t="n">
        <v>654.8</v>
      </c>
      <c r="N40" s="7" t="n">
        <v>920.9</v>
      </c>
      <c r="P40" s="7" t="n">
        <v>610.9</v>
      </c>
      <c r="R40" s="7" t="n">
        <v>410.4</v>
      </c>
      <c r="T40" s="7" t="n">
        <v>878.5</v>
      </c>
      <c r="V40" s="7" t="n">
        <v>611.2</v>
      </c>
      <c r="X40" s="7" t="n">
        <v>0</v>
      </c>
      <c r="Z40" s="7" t="n">
        <v>335</v>
      </c>
      <c r="AB40" s="7" t="n">
        <v>5926.9</v>
      </c>
    </row>
    <row r="41">
      <c r="A41" s="4" t="inlineStr">
        <is>
          <t>职工教育经费</t>
        </is>
      </c>
      <c r="D41" s="7" t="n">
        <v>940</v>
      </c>
      <c r="F41" s="7" t="n">
        <v>754.8</v>
      </c>
      <c r="H41" s="7" t="n">
        <v>2338.9</v>
      </c>
      <c r="J41" s="7" t="n">
        <v>1370.6</v>
      </c>
      <c r="L41" s="7" t="n">
        <v>2329.7</v>
      </c>
      <c r="N41" s="7" t="n">
        <v>3425.1</v>
      </c>
      <c r="P41" s="7" t="n">
        <v>2435</v>
      </c>
      <c r="R41" s="7" t="n">
        <v>2128.5</v>
      </c>
      <c r="T41" s="7" t="n">
        <v>2391.5</v>
      </c>
      <c r="V41" s="7" t="n">
        <v>1778.6</v>
      </c>
      <c r="X41" s="7" t="n">
        <v>0</v>
      </c>
      <c r="Z41" s="7" t="n">
        <v>815.6</v>
      </c>
      <c r="AB41" s="7" t="n">
        <v>20708.3</v>
      </c>
    </row>
    <row r="42">
      <c r="A42" s="4" t="inlineStr">
        <is>
          <t>福利费</t>
        </is>
      </c>
      <c r="D42" s="7" t="n">
        <v>2567.1</v>
      </c>
      <c r="F42" s="7" t="n">
        <v>2600.8</v>
      </c>
      <c r="H42" s="7" t="n">
        <v>5803.2</v>
      </c>
      <c r="J42" s="7" t="n">
        <v>3896.9</v>
      </c>
      <c r="L42" s="7" t="n">
        <v>7440.3</v>
      </c>
      <c r="N42" s="7" t="n">
        <v>10930.3</v>
      </c>
      <c r="P42" s="7" t="n">
        <v>6422.5</v>
      </c>
      <c r="R42" s="7" t="n">
        <v>4825.4</v>
      </c>
      <c r="T42" s="7" t="n">
        <v>7205.2</v>
      </c>
      <c r="V42" s="7" t="n">
        <v>5764.9</v>
      </c>
      <c r="X42" s="7" t="n">
        <v>0</v>
      </c>
      <c r="Z42" s="7" t="n">
        <v>3235.7</v>
      </c>
      <c r="AB42" s="7" t="n">
        <v>60692.3</v>
      </c>
    </row>
    <row r="43">
      <c r="A43" s="4" t="inlineStr">
        <is>
          <t>职工房租</t>
        </is>
      </c>
      <c r="D43" s="7" t="n">
        <v>72</v>
      </c>
      <c r="F43" s="7" t="n">
        <v>92</v>
      </c>
      <c r="H43" s="7" t="n">
        <v>116.5</v>
      </c>
      <c r="J43" s="7" t="n">
        <v>86.2</v>
      </c>
      <c r="L43" s="7" t="n">
        <v>234.3</v>
      </c>
      <c r="N43" s="7" t="n">
        <v>243.1</v>
      </c>
      <c r="P43" s="7" t="n">
        <v>174.2</v>
      </c>
      <c r="R43" s="7" t="n">
        <v>165.8</v>
      </c>
      <c r="T43" s="7" t="n">
        <v>174.1</v>
      </c>
      <c r="V43" s="7" t="n">
        <v>208</v>
      </c>
      <c r="X43" s="7" t="n">
        <v>0</v>
      </c>
      <c r="Z43" s="7" t="n">
        <v>74.09999999999999</v>
      </c>
      <c r="AB43" s="7" t="n">
        <v>1640.3</v>
      </c>
    </row>
    <row r="44">
      <c r="A44" s="4" t="inlineStr">
        <is>
          <t>水电物业费</t>
        </is>
      </c>
      <c r="D44" s="7" t="n">
        <v>102</v>
      </c>
      <c r="F44" s="7" t="n">
        <v>78.8</v>
      </c>
      <c r="H44" s="7" t="n">
        <v>205.4</v>
      </c>
      <c r="J44" s="7" t="n">
        <v>139.7</v>
      </c>
      <c r="L44" s="7" t="n">
        <v>185</v>
      </c>
      <c r="N44" s="7" t="n">
        <v>449.3</v>
      </c>
      <c r="P44" s="7" t="n">
        <v>238.6</v>
      </c>
      <c r="R44" s="7" t="n">
        <v>223.2</v>
      </c>
      <c r="T44" s="7" t="n">
        <v>157.7</v>
      </c>
      <c r="V44" s="7" t="n">
        <v>172.9</v>
      </c>
      <c r="X44" s="7" t="n">
        <v>0</v>
      </c>
      <c r="Z44" s="7" t="n">
        <v>133.7</v>
      </c>
      <c r="AB44" s="7" t="n">
        <v>2086.3</v>
      </c>
    </row>
    <row r="45">
      <c r="A45" s="4" t="inlineStr">
        <is>
          <t>员工餐</t>
        </is>
      </c>
      <c r="D45" s="7" t="n">
        <v>1002.6</v>
      </c>
      <c r="F45" s="7" t="n">
        <v>660.8</v>
      </c>
      <c r="H45" s="7" t="n">
        <v>1881.7</v>
      </c>
      <c r="J45" s="7" t="n">
        <v>1015.2</v>
      </c>
      <c r="L45" s="7" t="n">
        <v>2801.2</v>
      </c>
      <c r="N45" s="7" t="n">
        <v>3935.9</v>
      </c>
      <c r="P45" s="7" t="n">
        <v>1847.2</v>
      </c>
      <c r="R45" s="7" t="n">
        <v>1377.8</v>
      </c>
      <c r="T45" s="7" t="n">
        <v>2392.4</v>
      </c>
      <c r="V45" s="7" t="n">
        <v>1719</v>
      </c>
      <c r="X45" s="7" t="n">
        <v>0</v>
      </c>
      <c r="Z45" s="7" t="n">
        <v>1290.3</v>
      </c>
      <c r="AB45" s="7" t="n">
        <v>19924.1</v>
      </c>
    </row>
    <row r="46">
      <c r="A46" s="4" t="inlineStr">
        <is>
          <t>节日礼品</t>
        </is>
      </c>
      <c r="D46" s="7" t="n">
        <v>273.5</v>
      </c>
      <c r="F46" s="7" t="n">
        <v>261.8</v>
      </c>
      <c r="H46" s="7" t="n">
        <v>918.6</v>
      </c>
      <c r="J46" s="7" t="n">
        <v>557.8</v>
      </c>
      <c r="L46" s="7" t="n">
        <v>1126.4</v>
      </c>
      <c r="N46" s="7" t="n">
        <v>1351.8</v>
      </c>
      <c r="P46" s="7" t="n">
        <v>904.4</v>
      </c>
      <c r="R46" s="7" t="n">
        <v>773.1</v>
      </c>
      <c r="T46" s="7" t="n">
        <v>1053</v>
      </c>
      <c r="V46" s="7" t="n">
        <v>591.4</v>
      </c>
      <c r="X46" s="7" t="n">
        <v>0</v>
      </c>
      <c r="Z46" s="7" t="n">
        <v>416.8</v>
      </c>
      <c r="AB46" s="7" t="n">
        <v>8228.6</v>
      </c>
    </row>
    <row r="47">
      <c r="A47" s="4" t="inlineStr">
        <is>
          <t>生日礼品</t>
        </is>
      </c>
      <c r="D47" s="7" t="n">
        <v>467.3</v>
      </c>
      <c r="F47" s="7" t="n">
        <v>813.4</v>
      </c>
      <c r="H47" s="7" t="n">
        <v>1633.8</v>
      </c>
      <c r="J47" s="7" t="n">
        <v>873.6</v>
      </c>
      <c r="L47" s="7" t="n">
        <v>1594.7</v>
      </c>
      <c r="N47" s="7" t="n">
        <v>2297.5</v>
      </c>
      <c r="P47" s="7" t="n">
        <v>1589.6</v>
      </c>
      <c r="R47" s="7" t="n">
        <v>991.5</v>
      </c>
      <c r="T47" s="7" t="n">
        <v>1598.7</v>
      </c>
      <c r="V47" s="7" t="n">
        <v>1718.5</v>
      </c>
      <c r="X47" s="7" t="n">
        <v>0</v>
      </c>
      <c r="Z47" s="7" t="n">
        <v>653.6</v>
      </c>
      <c r="AB47" s="7" t="n">
        <v>14232.2</v>
      </c>
    </row>
    <row r="48">
      <c r="A48" s="4" t="inlineStr">
        <is>
          <t>体检</t>
        </is>
      </c>
      <c r="D48" s="7" t="n">
        <v>615.9</v>
      </c>
      <c r="F48" s="7" t="n">
        <v>667.2</v>
      </c>
      <c r="H48" s="7" t="n">
        <v>968.5</v>
      </c>
      <c r="J48" s="7" t="n">
        <v>1149</v>
      </c>
      <c r="L48" s="7" t="n">
        <v>1363.4</v>
      </c>
      <c r="N48" s="7" t="n">
        <v>2489.6</v>
      </c>
      <c r="P48" s="7" t="n">
        <v>1588.9</v>
      </c>
      <c r="R48" s="7" t="n">
        <v>1198.8</v>
      </c>
      <c r="T48" s="7" t="n">
        <v>1705.5</v>
      </c>
      <c r="V48" s="7" t="n">
        <v>1247.9</v>
      </c>
      <c r="X48" s="7" t="n">
        <v>0</v>
      </c>
      <c r="Z48" s="7" t="n">
        <v>608.3</v>
      </c>
      <c r="AB48" s="7" t="n">
        <v>13603</v>
      </c>
    </row>
    <row r="49">
      <c r="A49" s="4" t="inlineStr">
        <is>
          <t>其他福利支出</t>
        </is>
      </c>
      <c r="D49" s="7" t="n">
        <v>33.8</v>
      </c>
      <c r="F49" s="7" t="n">
        <v>26.8</v>
      </c>
      <c r="H49" s="7" t="n">
        <v>78.7</v>
      </c>
      <c r="J49" s="7" t="n">
        <v>75.40000000000001</v>
      </c>
      <c r="L49" s="7" t="n">
        <v>135.3</v>
      </c>
      <c r="N49" s="7" t="n">
        <v>163.1</v>
      </c>
      <c r="P49" s="7" t="n">
        <v>79.59999999999999</v>
      </c>
      <c r="R49" s="7" t="n">
        <v>95.2</v>
      </c>
      <c r="T49" s="7" t="n">
        <v>123.8</v>
      </c>
      <c r="V49" s="7" t="n">
        <v>107.2</v>
      </c>
      <c r="X49" s="7" t="n">
        <v>0</v>
      </c>
      <c r="Z49" s="7" t="n">
        <v>58.9</v>
      </c>
      <c r="AB49" s="7" t="n">
        <v>977.8</v>
      </c>
    </row>
    <row r="50">
      <c r="A50" s="4" t="inlineStr">
        <is>
          <t>招聘费</t>
        </is>
      </c>
      <c r="D50" s="7" t="n">
        <v>511.7</v>
      </c>
      <c r="F50" s="7" t="n">
        <v>417.1</v>
      </c>
      <c r="H50" s="7" t="n">
        <v>953.8</v>
      </c>
      <c r="J50" s="7" t="n">
        <v>824.3</v>
      </c>
      <c r="L50" s="7" t="n">
        <v>1973.9</v>
      </c>
      <c r="N50" s="7" t="n">
        <v>2410</v>
      </c>
      <c r="P50" s="7" t="n">
        <v>1074.4</v>
      </c>
      <c r="R50" s="7" t="n">
        <v>1206.1</v>
      </c>
      <c r="T50" s="7" t="n">
        <v>984.6</v>
      </c>
      <c r="V50" s="7" t="n">
        <v>1499.6</v>
      </c>
      <c r="X50" s="7" t="n">
        <v>0</v>
      </c>
      <c r="Z50" s="7" t="n">
        <v>614.3</v>
      </c>
      <c r="AB50" s="7" t="n">
        <v>12469.8</v>
      </c>
    </row>
    <row r="51">
      <c r="A51" s="4" t="inlineStr">
        <is>
          <t>办公费</t>
        </is>
      </c>
      <c r="D51" s="7" t="n">
        <v>4531.3</v>
      </c>
      <c r="F51" s="7" t="n">
        <v>3651.8</v>
      </c>
      <c r="H51" s="7" t="n">
        <v>11411.3</v>
      </c>
      <c r="J51" s="7" t="n">
        <v>4664.1</v>
      </c>
      <c r="L51" s="7" t="n">
        <v>10300</v>
      </c>
      <c r="N51" s="7" t="n">
        <v>20875.4</v>
      </c>
      <c r="P51" s="7" t="n">
        <v>7148.2</v>
      </c>
      <c r="R51" s="7" t="n">
        <v>7380.2</v>
      </c>
      <c r="T51" s="7" t="n">
        <v>9767.9</v>
      </c>
      <c r="V51" s="7" t="n">
        <v>7605.6</v>
      </c>
      <c r="X51" s="7" t="n">
        <v>0</v>
      </c>
      <c r="Z51" s="7" t="n">
        <v>5045.9</v>
      </c>
      <c r="AB51" s="7" t="n">
        <v>92381.7</v>
      </c>
    </row>
    <row r="52">
      <c r="A52" s="4" t="inlineStr">
        <is>
          <t>市内交通费</t>
        </is>
      </c>
      <c r="D52" s="7" t="n">
        <v>62.9</v>
      </c>
      <c r="F52" s="7" t="n">
        <v>50.5</v>
      </c>
      <c r="H52" s="7" t="n">
        <v>135.1</v>
      </c>
      <c r="J52" s="7" t="n">
        <v>91.09999999999999</v>
      </c>
      <c r="L52" s="7" t="n">
        <v>135.8</v>
      </c>
      <c r="N52" s="7" t="n">
        <v>342.2</v>
      </c>
      <c r="P52" s="7" t="n">
        <v>133.3</v>
      </c>
      <c r="R52" s="7" t="n">
        <v>158.2</v>
      </c>
      <c r="T52" s="7" t="n">
        <v>209.2</v>
      </c>
      <c r="V52" s="7" t="n">
        <v>196.6</v>
      </c>
      <c r="X52" s="7" t="n">
        <v>0</v>
      </c>
      <c r="Z52" s="7" t="n">
        <v>104.9</v>
      </c>
      <c r="AB52" s="7" t="n">
        <v>1619.8</v>
      </c>
    </row>
    <row r="53">
      <c r="A53" s="4" t="inlineStr">
        <is>
          <t>差旅费</t>
        </is>
      </c>
      <c r="D53" s="7" t="n">
        <v>6968.1</v>
      </c>
      <c r="F53" s="7" t="n">
        <v>6311.7</v>
      </c>
      <c r="H53" s="7" t="n">
        <v>16123.9</v>
      </c>
      <c r="J53" s="7" t="n">
        <v>11457.8</v>
      </c>
      <c r="L53" s="7" t="n">
        <v>28860.5</v>
      </c>
      <c r="N53" s="7" t="n">
        <v>26438.5</v>
      </c>
      <c r="P53" s="7" t="n">
        <v>15123.3</v>
      </c>
      <c r="R53" s="7" t="n">
        <v>20375.6</v>
      </c>
      <c r="T53" s="7" t="n">
        <v>17665.1</v>
      </c>
      <c r="V53" s="7" t="n">
        <v>16634.5</v>
      </c>
      <c r="X53" s="7" t="n">
        <v>0</v>
      </c>
      <c r="Z53" s="7" t="n">
        <v>10975.1</v>
      </c>
      <c r="AB53" s="7" t="n">
        <v>176934.1</v>
      </c>
    </row>
    <row r="54">
      <c r="A54" s="4" t="inlineStr">
        <is>
          <t>交通费</t>
        </is>
      </c>
      <c r="D54" s="7" t="n">
        <v>546.1</v>
      </c>
      <c r="F54" s="7" t="n">
        <v>585.4</v>
      </c>
      <c r="H54" s="7" t="n">
        <v>1143.7</v>
      </c>
      <c r="J54" s="7" t="n">
        <v>787.9</v>
      </c>
      <c r="L54" s="7" t="n">
        <v>1542.9</v>
      </c>
      <c r="N54" s="7" t="n">
        <v>1696.9</v>
      </c>
      <c r="P54" s="7" t="n">
        <v>1115.3</v>
      </c>
      <c r="R54" s="7" t="n">
        <v>897.3</v>
      </c>
      <c r="T54" s="7" t="n">
        <v>1541.2</v>
      </c>
      <c r="V54" s="7" t="n">
        <v>1308.5</v>
      </c>
      <c r="X54" s="7" t="n">
        <v>0</v>
      </c>
      <c r="Z54" s="7" t="n">
        <v>788.7</v>
      </c>
      <c r="AB54" s="7" t="n">
        <v>11953.9</v>
      </c>
    </row>
    <row r="55">
      <c r="A55" s="4" t="inlineStr">
        <is>
          <t>住宿费</t>
        </is>
      </c>
      <c r="D55" s="7" t="n">
        <v>381.8</v>
      </c>
      <c r="F55" s="7" t="n">
        <v>329.8</v>
      </c>
      <c r="H55" s="7" t="n">
        <v>630.6</v>
      </c>
      <c r="J55" s="7" t="n">
        <v>433.2</v>
      </c>
      <c r="L55" s="7" t="n">
        <v>1364.3</v>
      </c>
      <c r="N55" s="7" t="n">
        <v>1579.1</v>
      </c>
      <c r="P55" s="7" t="n">
        <v>641.3</v>
      </c>
      <c r="R55" s="7" t="n">
        <v>781.8</v>
      </c>
      <c r="T55" s="7" t="n">
        <v>949.1</v>
      </c>
      <c r="V55" s="7" t="n">
        <v>808.6</v>
      </c>
      <c r="X55" s="7" t="n">
        <v>0</v>
      </c>
      <c r="Z55" s="7" t="n">
        <v>420</v>
      </c>
      <c r="AB55" s="7" t="n">
        <v>8319.6</v>
      </c>
    </row>
    <row r="56">
      <c r="A56" s="4" t="inlineStr">
        <is>
          <t>餐补</t>
        </is>
      </c>
      <c r="D56" s="7" t="n">
        <v>508.4</v>
      </c>
      <c r="F56" s="7" t="n">
        <v>633.3</v>
      </c>
      <c r="H56" s="7" t="n">
        <v>908.6</v>
      </c>
      <c r="J56" s="7" t="n">
        <v>658.3</v>
      </c>
      <c r="L56" s="7" t="n">
        <v>1646.1</v>
      </c>
      <c r="N56" s="7" t="n">
        <v>2196.1</v>
      </c>
      <c r="P56" s="7" t="n">
        <v>1440</v>
      </c>
      <c r="R56" s="7" t="n">
        <v>1202.3</v>
      </c>
      <c r="T56" s="7" t="n">
        <v>965.6</v>
      </c>
      <c r="V56" s="7" t="n">
        <v>1030.9</v>
      </c>
      <c r="X56" s="7" t="n">
        <v>0</v>
      </c>
      <c r="Z56" s="7" t="n">
        <v>551.5</v>
      </c>
      <c r="AB56" s="7" t="n">
        <v>11741.1</v>
      </c>
    </row>
    <row r="57">
      <c r="A57" s="4" t="inlineStr">
        <is>
          <t>交通补助</t>
        </is>
      </c>
      <c r="D57" s="7" t="n">
        <v>968</v>
      </c>
      <c r="F57" s="7" t="n">
        <v>877.3</v>
      </c>
      <c r="H57" s="7" t="n">
        <v>2542.2</v>
      </c>
      <c r="J57" s="7" t="n">
        <v>936.3</v>
      </c>
      <c r="L57" s="7" t="n">
        <v>2482.5</v>
      </c>
      <c r="N57" s="7" t="n">
        <v>2952</v>
      </c>
      <c r="P57" s="7" t="n">
        <v>2250.4</v>
      </c>
      <c r="R57" s="7" t="n">
        <v>2105.6</v>
      </c>
      <c r="T57" s="7" t="n">
        <v>1790</v>
      </c>
      <c r="V57" s="7" t="n">
        <v>2067.2</v>
      </c>
      <c r="X57" s="7" t="n">
        <v>0</v>
      </c>
      <c r="Z57" s="7" t="n">
        <v>921.4</v>
      </c>
      <c r="AB57" s="7" t="n">
        <v>19892.9</v>
      </c>
    </row>
    <row r="58">
      <c r="A58" s="4" t="inlineStr">
        <is>
          <t>通讯补助</t>
        </is>
      </c>
      <c r="D58" s="7" t="n">
        <v>451.4</v>
      </c>
      <c r="F58" s="7" t="n">
        <v>617.7</v>
      </c>
      <c r="H58" s="7" t="n">
        <v>1240.9</v>
      </c>
      <c r="J58" s="7" t="n">
        <v>874.4</v>
      </c>
      <c r="L58" s="7" t="n">
        <v>1798.8</v>
      </c>
      <c r="N58" s="7" t="n">
        <v>2966.8</v>
      </c>
      <c r="P58" s="7" t="n">
        <v>1162.5</v>
      </c>
      <c r="R58" s="7" t="n">
        <v>1068.8</v>
      </c>
      <c r="T58" s="7" t="n">
        <v>1862.7</v>
      </c>
      <c r="V58" s="7" t="n">
        <v>1084.8</v>
      </c>
      <c r="X58" s="7" t="n">
        <v>0</v>
      </c>
      <c r="Z58" s="7" t="n">
        <v>845.6</v>
      </c>
      <c r="AB58" s="7" t="n">
        <v>13974.4</v>
      </c>
    </row>
    <row r="59">
      <c r="A59" s="4" t="inlineStr">
        <is>
          <t>招待费</t>
        </is>
      </c>
      <c r="D59" s="7" t="n">
        <v>5056</v>
      </c>
      <c r="F59" s="7" t="n">
        <v>7151.1</v>
      </c>
      <c r="H59" s="7" t="n">
        <v>11811.1</v>
      </c>
      <c r="J59" s="7" t="n">
        <v>6912.5</v>
      </c>
      <c r="L59" s="7" t="n">
        <v>13290.8</v>
      </c>
      <c r="N59" s="7" t="n">
        <v>16914.7</v>
      </c>
      <c r="P59" s="7" t="n">
        <v>9877.799999999999</v>
      </c>
      <c r="R59" s="7" t="n">
        <v>12481.9</v>
      </c>
      <c r="T59" s="7" t="n">
        <v>10837.2</v>
      </c>
      <c r="V59" s="7" t="n">
        <v>14121.2</v>
      </c>
      <c r="X59" s="7" t="n">
        <v>0</v>
      </c>
      <c r="Z59" s="7" t="n">
        <v>5143.3</v>
      </c>
      <c r="AB59" s="7" t="n">
        <v>113597.6</v>
      </c>
    </row>
    <row r="60">
      <c r="A60" s="4" t="inlineStr">
        <is>
          <t>通讯费</t>
        </is>
      </c>
      <c r="D60" s="7" t="n">
        <v>950.2</v>
      </c>
      <c r="F60" s="7" t="n">
        <v>1035.6</v>
      </c>
      <c r="H60" s="7" t="n">
        <v>2275</v>
      </c>
      <c r="J60" s="7" t="n">
        <v>1082.6</v>
      </c>
      <c r="L60" s="7" t="n">
        <v>2121.5</v>
      </c>
      <c r="N60" s="7" t="n">
        <v>4544.5</v>
      </c>
      <c r="P60" s="7" t="n">
        <v>2083.1</v>
      </c>
      <c r="R60" s="7" t="n">
        <v>2054.9</v>
      </c>
      <c r="T60" s="7" t="n">
        <v>2596.5</v>
      </c>
      <c r="V60" s="7" t="n">
        <v>2510.5</v>
      </c>
      <c r="X60" s="7" t="n">
        <v>0</v>
      </c>
      <c r="Z60" s="7" t="n">
        <v>888.1</v>
      </c>
      <c r="AB60" s="7" t="n">
        <v>22142.5</v>
      </c>
    </row>
    <row r="61">
      <c r="A61" s="4" t="inlineStr">
        <is>
          <t>网络费</t>
        </is>
      </c>
      <c r="D61" s="7" t="n">
        <v>134.7</v>
      </c>
      <c r="F61" s="7" t="n">
        <v>213.3</v>
      </c>
      <c r="H61" s="7" t="n">
        <v>496.1</v>
      </c>
      <c r="J61" s="7" t="n">
        <v>350.5</v>
      </c>
      <c r="L61" s="7" t="n">
        <v>472.4</v>
      </c>
      <c r="N61" s="7" t="n">
        <v>697.2</v>
      </c>
      <c r="P61" s="7" t="n">
        <v>451.6</v>
      </c>
      <c r="R61" s="7" t="n">
        <v>431.4</v>
      </c>
      <c r="T61" s="7" t="n">
        <v>458.7</v>
      </c>
      <c r="V61" s="7" t="n">
        <v>355.6</v>
      </c>
      <c r="X61" s="7" t="n">
        <v>0</v>
      </c>
      <c r="Z61" s="7" t="n">
        <v>198</v>
      </c>
      <c r="AB61" s="7" t="n">
        <v>4259.5</v>
      </c>
    </row>
    <row r="62">
      <c r="A62" s="4" t="inlineStr">
        <is>
          <t>修理费</t>
        </is>
      </c>
      <c r="D62" s="7" t="n">
        <v>358.2</v>
      </c>
      <c r="F62" s="7" t="n">
        <v>390.9</v>
      </c>
      <c r="H62" s="7" t="n">
        <v>795.5</v>
      </c>
      <c r="J62" s="7" t="n">
        <v>488.3</v>
      </c>
      <c r="L62" s="7" t="n">
        <v>1146.9</v>
      </c>
      <c r="N62" s="7" t="n">
        <v>1213.2</v>
      </c>
      <c r="P62" s="7" t="n">
        <v>600.6</v>
      </c>
      <c r="R62" s="7" t="n">
        <v>639.7</v>
      </c>
      <c r="T62" s="7" t="n">
        <v>646.3</v>
      </c>
      <c r="V62" s="7" t="n">
        <v>866.7</v>
      </c>
      <c r="X62" s="7" t="n">
        <v>0</v>
      </c>
      <c r="Z62" s="7" t="n">
        <v>472.5</v>
      </c>
      <c r="AB62" s="7" t="n">
        <v>7618.8</v>
      </c>
    </row>
    <row r="63">
      <c r="A63" s="4" t="inlineStr">
        <is>
          <t>车辆费</t>
        </is>
      </c>
      <c r="D63" s="7" t="n">
        <v>357.8</v>
      </c>
      <c r="F63" s="7" t="n">
        <v>366</v>
      </c>
      <c r="H63" s="7" t="n">
        <v>938.7</v>
      </c>
      <c r="J63" s="7" t="n">
        <v>634.5</v>
      </c>
      <c r="L63" s="7" t="n">
        <v>1081.3</v>
      </c>
      <c r="N63" s="7" t="n">
        <v>2173.3</v>
      </c>
      <c r="P63" s="7" t="n">
        <v>1030.5</v>
      </c>
      <c r="R63" s="7" t="n">
        <v>1145.1</v>
      </c>
      <c r="T63" s="7" t="n">
        <v>891.9</v>
      </c>
      <c r="V63" s="7" t="n">
        <v>1070.6</v>
      </c>
      <c r="X63" s="7" t="n">
        <v>0</v>
      </c>
      <c r="Z63" s="7" t="n">
        <v>509.5</v>
      </c>
      <c r="AB63" s="7" t="n">
        <v>10199.2</v>
      </c>
    </row>
    <row r="64">
      <c r="A64" s="4" t="inlineStr">
        <is>
          <t>租赁费</t>
        </is>
      </c>
      <c r="D64" s="7" t="n">
        <v>5193.1</v>
      </c>
      <c r="F64" s="7" t="n">
        <v>8463.9</v>
      </c>
      <c r="H64" s="7" t="n">
        <v>18838.6</v>
      </c>
      <c r="J64" s="7" t="n">
        <v>13555.4</v>
      </c>
      <c r="L64" s="7" t="n">
        <v>16809</v>
      </c>
      <c r="N64" s="7" t="n">
        <v>26893.6</v>
      </c>
      <c r="P64" s="7" t="n">
        <v>14666.5</v>
      </c>
      <c r="R64" s="7" t="n">
        <v>11223.1</v>
      </c>
      <c r="T64" s="7" t="n">
        <v>20506.3</v>
      </c>
      <c r="V64" s="7" t="n">
        <v>17403.6</v>
      </c>
      <c r="X64" s="7" t="n">
        <v>0</v>
      </c>
      <c r="Z64" s="7" t="n">
        <v>11470</v>
      </c>
      <c r="AB64" s="7" t="n">
        <v>165023.1</v>
      </c>
    </row>
    <row r="65">
      <c r="A65" s="4" t="inlineStr">
        <is>
          <t>能源费</t>
        </is>
      </c>
      <c r="D65" s="7" t="n">
        <v>1575.1</v>
      </c>
      <c r="F65" s="7" t="n">
        <v>2137</v>
      </c>
      <c r="H65" s="7" t="n">
        <v>4349.8</v>
      </c>
      <c r="J65" s="7" t="n">
        <v>2804.2</v>
      </c>
      <c r="L65" s="7" t="n">
        <v>5538.3</v>
      </c>
      <c r="N65" s="7" t="n">
        <v>8602.200000000001</v>
      </c>
      <c r="P65" s="7" t="n">
        <v>4476.6</v>
      </c>
      <c r="R65" s="7" t="n">
        <v>4482.2</v>
      </c>
      <c r="T65" s="7" t="n">
        <v>4986.2</v>
      </c>
      <c r="V65" s="7" t="n">
        <v>5080.5</v>
      </c>
      <c r="X65" s="7" t="n">
        <v>0</v>
      </c>
      <c r="Z65" s="7" t="n">
        <v>2688</v>
      </c>
      <c r="AB65" s="7" t="n">
        <v>46720.1</v>
      </c>
    </row>
    <row r="66">
      <c r="A66" s="4" t="inlineStr">
        <is>
          <t>水费</t>
        </is>
      </c>
      <c r="D66" s="7" t="n">
        <v>607.2</v>
      </c>
      <c r="F66" s="7" t="n">
        <v>1080.7</v>
      </c>
      <c r="H66" s="7" t="n">
        <v>1672.4</v>
      </c>
      <c r="J66" s="7" t="n">
        <v>1127.1</v>
      </c>
      <c r="L66" s="7" t="n">
        <v>3120.8</v>
      </c>
      <c r="N66" s="7" t="n">
        <v>4300.4</v>
      </c>
      <c r="P66" s="7" t="n">
        <v>2320.3</v>
      </c>
      <c r="R66" s="7" t="n">
        <v>1886.6</v>
      </c>
      <c r="T66" s="7" t="n">
        <v>2763.7</v>
      </c>
      <c r="V66" s="7" t="n">
        <v>2518.2</v>
      </c>
      <c r="X66" s="7" t="n">
        <v>0</v>
      </c>
      <c r="Z66" s="7" t="n">
        <v>1433.8</v>
      </c>
      <c r="AB66" s="7" t="n">
        <v>22831.2</v>
      </c>
    </row>
    <row r="67">
      <c r="A67" s="4" t="inlineStr">
        <is>
          <t>电费</t>
        </is>
      </c>
      <c r="D67" s="7" t="n">
        <v>3.6</v>
      </c>
      <c r="F67" s="7" t="n">
        <v>2.8</v>
      </c>
      <c r="H67" s="7" t="n">
        <v>7.7</v>
      </c>
      <c r="J67" s="7" t="n">
        <v>4.8</v>
      </c>
      <c r="L67" s="7" t="n">
        <v>9</v>
      </c>
      <c r="N67" s="7" t="n">
        <v>8.4</v>
      </c>
      <c r="P67" s="7" t="n">
        <v>5.5</v>
      </c>
      <c r="R67" s="7" t="n">
        <v>4.9</v>
      </c>
      <c r="T67" s="7" t="n">
        <v>6.9</v>
      </c>
      <c r="V67" s="7" t="n">
        <v>8.199999999999999</v>
      </c>
      <c r="X67" s="7" t="n">
        <v>0</v>
      </c>
      <c r="Z67" s="7" t="n">
        <v>4.6</v>
      </c>
      <c r="AB67" s="7" t="n">
        <v>66.40000000000001</v>
      </c>
    </row>
    <row r="68">
      <c r="A68" s="4" t="inlineStr">
        <is>
          <t>燃气费</t>
        </is>
      </c>
      <c r="D68" s="7" t="n">
        <v>524.2</v>
      </c>
      <c r="F68" s="7" t="n">
        <v>588.5</v>
      </c>
      <c r="H68" s="7" t="n">
        <v>1535.8</v>
      </c>
      <c r="J68" s="7" t="n">
        <v>847.3</v>
      </c>
      <c r="L68" s="7" t="n">
        <v>1370.7</v>
      </c>
      <c r="N68" s="7" t="n">
        <v>1941.4</v>
      </c>
      <c r="P68" s="7" t="n">
        <v>1258.6</v>
      </c>
      <c r="R68" s="7" t="n">
        <v>1365</v>
      </c>
      <c r="T68" s="7" t="n">
        <v>1207.1</v>
      </c>
      <c r="V68" s="7" t="n">
        <v>1494.9</v>
      </c>
      <c r="X68" s="7" t="n">
        <v>0</v>
      </c>
      <c r="Z68" s="7" t="n">
        <v>788.6</v>
      </c>
      <c r="AB68" s="7" t="n">
        <v>12922.1</v>
      </c>
    </row>
    <row r="69">
      <c r="A69" s="4" t="inlineStr">
        <is>
          <t>蒸汽费</t>
        </is>
      </c>
      <c r="D69" s="7" t="n">
        <v>440.1</v>
      </c>
      <c r="F69" s="7" t="n">
        <v>465</v>
      </c>
      <c r="H69" s="7" t="n">
        <v>1133.9</v>
      </c>
      <c r="J69" s="7" t="n">
        <v>825</v>
      </c>
      <c r="L69" s="7" t="n">
        <v>1037.8</v>
      </c>
      <c r="N69" s="7" t="n">
        <v>2352</v>
      </c>
      <c r="P69" s="7" t="n">
        <v>892.2</v>
      </c>
      <c r="R69" s="7" t="n">
        <v>1225.7</v>
      </c>
      <c r="T69" s="7" t="n">
        <v>1008.5</v>
      </c>
      <c r="V69" s="7" t="n">
        <v>1059.2</v>
      </c>
      <c r="X69" s="7" t="n">
        <v>0</v>
      </c>
      <c r="Z69" s="7" t="n">
        <v>461</v>
      </c>
      <c r="AB69" s="7" t="n">
        <v>10900.4</v>
      </c>
    </row>
    <row r="70">
      <c r="A70" s="4" t="inlineStr">
        <is>
          <t>物业费</t>
        </is>
      </c>
      <c r="D70" s="7" t="n">
        <v>726.6</v>
      </c>
      <c r="F70" s="7" t="n">
        <v>598.6</v>
      </c>
      <c r="H70" s="7" t="n">
        <v>1092.2</v>
      </c>
      <c r="J70" s="7" t="n">
        <v>1082.4</v>
      </c>
      <c r="L70" s="7" t="n">
        <v>1447.7</v>
      </c>
      <c r="N70" s="7" t="n">
        <v>1842.5</v>
      </c>
      <c r="P70" s="7" t="n">
        <v>1161.5</v>
      </c>
      <c r="R70" s="7" t="n">
        <v>1607.2</v>
      </c>
      <c r="T70" s="7" t="n">
        <v>1481.7</v>
      </c>
      <c r="V70" s="7" t="n">
        <v>1851.1</v>
      </c>
      <c r="X70" s="7" t="n">
        <v>0</v>
      </c>
      <c r="Z70" s="7" t="n">
        <v>978.3</v>
      </c>
      <c r="AB70" s="7" t="n">
        <v>13869.8</v>
      </c>
    </row>
    <row r="71">
      <c r="A71" s="4" t="inlineStr">
        <is>
          <t>劳动保护费</t>
        </is>
      </c>
      <c r="D71" s="7" t="n">
        <v>560.5</v>
      </c>
      <c r="F71" s="7" t="n">
        <v>1020.5</v>
      </c>
      <c r="H71" s="7" t="n">
        <v>1956.1</v>
      </c>
      <c r="J71" s="7" t="n">
        <v>939.3</v>
      </c>
      <c r="L71" s="7" t="n">
        <v>1942.3</v>
      </c>
      <c r="N71" s="7" t="n">
        <v>3375.6</v>
      </c>
      <c r="P71" s="7" t="n">
        <v>2047.9</v>
      </c>
      <c r="R71" s="7" t="n">
        <v>2128.2</v>
      </c>
      <c r="T71" s="7" t="n">
        <v>1736.2</v>
      </c>
      <c r="V71" s="7" t="n">
        <v>1848.1</v>
      </c>
      <c r="X71" s="7" t="n">
        <v>0</v>
      </c>
      <c r="Z71" s="7" t="n">
        <v>832.2</v>
      </c>
      <c r="AB71" s="7" t="n">
        <v>18386.9</v>
      </c>
    </row>
    <row r="72">
      <c r="A72" s="4" t="inlineStr">
        <is>
          <t>顾问费</t>
        </is>
      </c>
      <c r="D72" s="7" t="n">
        <v>714.8</v>
      </c>
      <c r="F72" s="7" t="n">
        <v>866.5</v>
      </c>
      <c r="H72" s="7" t="n">
        <v>1544.7</v>
      </c>
      <c r="J72" s="7" t="n">
        <v>1364.5</v>
      </c>
      <c r="L72" s="7" t="n">
        <v>2281</v>
      </c>
      <c r="N72" s="7" t="n">
        <v>3331.4</v>
      </c>
      <c r="P72" s="7" t="n">
        <v>1149.9</v>
      </c>
      <c r="R72" s="7" t="n">
        <v>1432.1</v>
      </c>
      <c r="T72" s="7" t="n">
        <v>1459.8</v>
      </c>
      <c r="V72" s="7" t="n">
        <v>1662.2</v>
      </c>
      <c r="X72" s="7" t="n">
        <v>0</v>
      </c>
      <c r="Z72" s="7" t="n">
        <v>985.7</v>
      </c>
      <c r="AB72" s="7" t="n">
        <v>16792.6</v>
      </c>
    </row>
    <row r="73">
      <c r="A73" s="4" t="inlineStr">
        <is>
          <t>快递费</t>
        </is>
      </c>
      <c r="D73" s="7" t="n">
        <v>893.7</v>
      </c>
      <c r="F73" s="7" t="n">
        <v>880.3</v>
      </c>
      <c r="H73" s="7" t="n">
        <v>1532</v>
      </c>
      <c r="J73" s="7" t="n">
        <v>1486.4</v>
      </c>
      <c r="L73" s="7" t="n">
        <v>3080.4</v>
      </c>
      <c r="N73" s="7" t="n">
        <v>3479.4</v>
      </c>
      <c r="P73" s="7" t="n">
        <v>2054.5</v>
      </c>
      <c r="R73" s="7" t="n">
        <v>1438.2</v>
      </c>
      <c r="T73" s="7" t="n">
        <v>2566.9</v>
      </c>
      <c r="V73" s="7" t="n">
        <v>1649.4</v>
      </c>
      <c r="X73" s="7" t="n">
        <v>0</v>
      </c>
      <c r="Z73" s="7" t="n">
        <v>878.9</v>
      </c>
      <c r="AB73" s="7" t="n">
        <v>19940.1</v>
      </c>
    </row>
    <row r="74">
      <c r="A74" s="4" t="inlineStr">
        <is>
          <t>诉讼费</t>
        </is>
      </c>
      <c r="D74" s="7" t="n">
        <v>562.1</v>
      </c>
      <c r="F74" s="7" t="n">
        <v>661</v>
      </c>
      <c r="H74" s="7" t="n">
        <v>1251.1</v>
      </c>
      <c r="J74" s="7" t="n">
        <v>1115.8</v>
      </c>
      <c r="L74" s="7" t="n">
        <v>2266.8</v>
      </c>
      <c r="N74" s="7" t="n">
        <v>2122.6</v>
      </c>
      <c r="P74" s="7" t="n">
        <v>1876.4</v>
      </c>
      <c r="R74" s="7" t="n">
        <v>1770.7</v>
      </c>
      <c r="T74" s="7" t="n">
        <v>1751.5</v>
      </c>
      <c r="V74" s="7" t="n">
        <v>2004.3</v>
      </c>
      <c r="X74" s="7" t="n">
        <v>0</v>
      </c>
      <c r="Z74" s="7" t="n">
        <v>1156.7</v>
      </c>
      <c r="AB74" s="7" t="n">
        <v>16539</v>
      </c>
    </row>
    <row r="75">
      <c r="A75" s="4" t="inlineStr">
        <is>
          <t>会员费</t>
        </is>
      </c>
      <c r="D75" s="7" t="n">
        <v>398.8</v>
      </c>
      <c r="F75" s="7" t="n">
        <v>472.2</v>
      </c>
      <c r="H75" s="7" t="n">
        <v>705</v>
      </c>
      <c r="J75" s="7" t="n">
        <v>556.7</v>
      </c>
      <c r="L75" s="7" t="n">
        <v>886.8</v>
      </c>
      <c r="N75" s="7" t="n">
        <v>1111.3</v>
      </c>
      <c r="P75" s="7" t="n">
        <v>694.5</v>
      </c>
      <c r="R75" s="7" t="n">
        <v>982.4</v>
      </c>
      <c r="T75" s="7" t="n">
        <v>946.3</v>
      </c>
      <c r="V75" s="7" t="n">
        <v>680.8</v>
      </c>
      <c r="X75" s="7" t="n">
        <v>0</v>
      </c>
      <c r="Z75" s="7" t="n">
        <v>374.1</v>
      </c>
      <c r="AB75" s="7" t="n">
        <v>7808.9</v>
      </c>
    </row>
    <row r="76">
      <c r="A76" s="4" t="inlineStr">
        <is>
          <t>广告宣传费</t>
        </is>
      </c>
      <c r="D76" s="7" t="n">
        <v>3603.7</v>
      </c>
      <c r="F76" s="7" t="n">
        <v>4004.8</v>
      </c>
      <c r="H76" s="7" t="n">
        <v>10515.6</v>
      </c>
      <c r="J76" s="7" t="n">
        <v>5089</v>
      </c>
      <c r="L76" s="7" t="n">
        <v>13203.5</v>
      </c>
      <c r="N76" s="7" t="n">
        <v>18422.6</v>
      </c>
      <c r="P76" s="7" t="n">
        <v>11243.9</v>
      </c>
      <c r="R76" s="7" t="n">
        <v>8792</v>
      </c>
      <c r="T76" s="7" t="n">
        <v>13061.2</v>
      </c>
      <c r="V76" s="7" t="n">
        <v>10133.6</v>
      </c>
      <c r="X76" s="7" t="n">
        <v>0</v>
      </c>
      <c r="Z76" s="7" t="n">
        <v>5600.7</v>
      </c>
      <c r="AB76" s="7" t="n">
        <v>103670.6</v>
      </c>
    </row>
    <row r="77">
      <c r="A77" s="4" t="inlineStr">
        <is>
          <t>会务费</t>
        </is>
      </c>
      <c r="D77" s="7" t="n">
        <v>266.2</v>
      </c>
      <c r="F77" s="7" t="n">
        <v>360</v>
      </c>
      <c r="H77" s="7" t="n">
        <v>715.8</v>
      </c>
      <c r="J77" s="7" t="n">
        <v>503.3</v>
      </c>
      <c r="L77" s="7" t="n">
        <v>700.2</v>
      </c>
      <c r="N77" s="7" t="n">
        <v>1142</v>
      </c>
      <c r="P77" s="7" t="n">
        <v>529.6</v>
      </c>
      <c r="R77" s="7" t="n">
        <v>748.5</v>
      </c>
      <c r="T77" s="7" t="n">
        <v>734.5</v>
      </c>
      <c r="V77" s="7" t="n">
        <v>616.3</v>
      </c>
      <c r="X77" s="7" t="n">
        <v>0</v>
      </c>
      <c r="Z77" s="7" t="n">
        <v>482.6</v>
      </c>
      <c r="AB77" s="7" t="n">
        <v>6799</v>
      </c>
    </row>
    <row r="78">
      <c r="A78" s="4" t="inlineStr">
        <is>
          <t>装修费</t>
        </is>
      </c>
      <c r="D78" s="7" t="n">
        <v>796</v>
      </c>
      <c r="F78" s="7" t="n">
        <v>594.8</v>
      </c>
      <c r="H78" s="7" t="n">
        <v>1437.6</v>
      </c>
      <c r="J78" s="7" t="n">
        <v>1292</v>
      </c>
      <c r="L78" s="7" t="n">
        <v>1999</v>
      </c>
      <c r="N78" s="7" t="n">
        <v>2150.1</v>
      </c>
      <c r="P78" s="7" t="n">
        <v>1672.6</v>
      </c>
      <c r="R78" s="7" t="n">
        <v>1774.3</v>
      </c>
      <c r="T78" s="7" t="n">
        <v>1425.8</v>
      </c>
      <c r="V78" s="7" t="n">
        <v>1227.3</v>
      </c>
      <c r="X78" s="7" t="n">
        <v>0</v>
      </c>
      <c r="Z78" s="7" t="n">
        <v>948.2</v>
      </c>
      <c r="AB78" s="7" t="n">
        <v>15317.7</v>
      </c>
    </row>
    <row r="79">
      <c r="A79" s="4" t="inlineStr">
        <is>
          <t>推广费</t>
        </is>
      </c>
      <c r="D79" s="7" t="n">
        <v>737.1</v>
      </c>
      <c r="F79" s="7" t="n">
        <v>731.6</v>
      </c>
      <c r="H79" s="7" t="n">
        <v>1917.4</v>
      </c>
      <c r="J79" s="7" t="n">
        <v>1344.2</v>
      </c>
      <c r="L79" s="7" t="n">
        <v>2609.3</v>
      </c>
      <c r="N79" s="7" t="n">
        <v>2238.5</v>
      </c>
      <c r="P79" s="7" t="n">
        <v>1383.3</v>
      </c>
      <c r="R79" s="7" t="n">
        <v>1982</v>
      </c>
      <c r="T79" s="7" t="n">
        <v>2326.5</v>
      </c>
      <c r="V79" s="7" t="n">
        <v>1519.4</v>
      </c>
      <c r="X79" s="7" t="n">
        <v>0</v>
      </c>
      <c r="Z79" s="7" t="n">
        <v>1212.7</v>
      </c>
      <c r="AB79" s="7" t="n">
        <v>18002</v>
      </c>
    </row>
    <row r="80">
      <c r="A80" s="4" t="inlineStr">
        <is>
          <t>展会费</t>
        </is>
      </c>
      <c r="D80" s="7" t="n">
        <v>336</v>
      </c>
      <c r="F80" s="7" t="n">
        <v>506.9</v>
      </c>
      <c r="H80" s="7" t="n">
        <v>837.1</v>
      </c>
      <c r="J80" s="7" t="n">
        <v>767.6</v>
      </c>
      <c r="L80" s="7" t="n">
        <v>1051.6</v>
      </c>
      <c r="N80" s="7" t="n">
        <v>1662.3</v>
      </c>
      <c r="P80" s="7" t="n">
        <v>1117.9</v>
      </c>
      <c r="R80" s="7" t="n">
        <v>1227.7</v>
      </c>
      <c r="T80" s="7" t="n">
        <v>908.9</v>
      </c>
      <c r="V80" s="7" t="n">
        <v>1134.9</v>
      </c>
      <c r="X80" s="7" t="n">
        <v>0</v>
      </c>
      <c r="Z80" s="7" t="n">
        <v>496.2</v>
      </c>
      <c r="AB80" s="7" t="n">
        <v>10047.1</v>
      </c>
    </row>
    <row r="81">
      <c r="A81" s="4" t="inlineStr">
        <is>
          <t>设计费</t>
        </is>
      </c>
      <c r="D81" s="7" t="n">
        <v>733.9</v>
      </c>
      <c r="F81" s="7" t="n">
        <v>542.5</v>
      </c>
      <c r="H81" s="7" t="n">
        <v>1278.9</v>
      </c>
      <c r="J81" s="7" t="n">
        <v>1060.9</v>
      </c>
      <c r="L81" s="7" t="n">
        <v>1926.5</v>
      </c>
      <c r="N81" s="7" t="n">
        <v>3046.2</v>
      </c>
      <c r="P81" s="7" t="n">
        <v>1180.6</v>
      </c>
      <c r="R81" s="7" t="n">
        <v>1723.3</v>
      </c>
      <c r="T81" s="7" t="n">
        <v>1775.5</v>
      </c>
      <c r="V81" s="7" t="n">
        <v>1839.1</v>
      </c>
      <c r="X81" s="7" t="n">
        <v>0</v>
      </c>
      <c r="Z81" s="7" t="n">
        <v>830.3</v>
      </c>
      <c r="AB81" s="7" t="n">
        <v>15937.7</v>
      </c>
    </row>
    <row r="82">
      <c r="A82" s="4" t="inlineStr">
        <is>
          <t>折旧费</t>
        </is>
      </c>
      <c r="D82" s="7" t="n">
        <v>3644.7</v>
      </c>
      <c r="F82" s="7" t="n">
        <v>3928.9</v>
      </c>
      <c r="H82" s="7" t="n">
        <v>8969.700000000001</v>
      </c>
      <c r="J82" s="7" t="n">
        <v>9324.1</v>
      </c>
      <c r="L82" s="7" t="n">
        <v>11149.4</v>
      </c>
      <c r="N82" s="7" t="n">
        <v>25815.8</v>
      </c>
      <c r="P82" s="7" t="n">
        <v>8751.799999999999</v>
      </c>
      <c r="R82" s="7" t="n">
        <v>10283.7</v>
      </c>
      <c r="T82" s="7" t="n">
        <v>16207.5</v>
      </c>
      <c r="V82" s="7" t="n">
        <v>15173.5</v>
      </c>
      <c r="X82" s="7" t="n">
        <v>0</v>
      </c>
      <c r="Z82" s="7" t="n">
        <v>5324.1</v>
      </c>
      <c r="AB82" s="7" t="n">
        <v>118573.2</v>
      </c>
    </row>
    <row r="83">
      <c r="A83" s="4" t="inlineStr">
        <is>
          <t>认证费</t>
        </is>
      </c>
      <c r="D83" s="7" t="n">
        <v>201</v>
      </c>
      <c r="F83" s="7" t="n">
        <v>131.7</v>
      </c>
      <c r="H83" s="7" t="n">
        <v>457.4</v>
      </c>
      <c r="J83" s="7" t="n">
        <v>271.1</v>
      </c>
      <c r="L83" s="7" t="n">
        <v>449.6</v>
      </c>
      <c r="N83" s="7" t="n">
        <v>796.9</v>
      </c>
      <c r="P83" s="7" t="n">
        <v>437.1</v>
      </c>
      <c r="R83" s="7" t="n">
        <v>381.9</v>
      </c>
      <c r="T83" s="7" t="n">
        <v>495.9</v>
      </c>
      <c r="V83" s="7" t="n">
        <v>516.9</v>
      </c>
      <c r="X83" s="7" t="n">
        <v>0</v>
      </c>
      <c r="Z83" s="7" t="n">
        <v>244.6</v>
      </c>
      <c r="AB83" s="7" t="n">
        <v>4384.1</v>
      </c>
    </row>
    <row r="84">
      <c r="A84" s="4" t="inlineStr">
        <is>
          <t>样品费</t>
        </is>
      </c>
      <c r="D84" s="7" t="n">
        <v>2979.1</v>
      </c>
      <c r="F84" s="7" t="n">
        <v>2785.6</v>
      </c>
      <c r="H84" s="7" t="n">
        <v>5471</v>
      </c>
      <c r="J84" s="7" t="n">
        <v>3713.2</v>
      </c>
      <c r="L84" s="7" t="n">
        <v>6207</v>
      </c>
      <c r="N84" s="7" t="n">
        <v>11184.8</v>
      </c>
      <c r="P84" s="7" t="n">
        <v>4805.8</v>
      </c>
      <c r="R84" s="7" t="n">
        <v>6335.3</v>
      </c>
      <c r="T84" s="7" t="n">
        <v>7187.6</v>
      </c>
      <c r="V84" s="7" t="n">
        <v>5585.8</v>
      </c>
      <c r="X84" s="7" t="n">
        <v>0</v>
      </c>
      <c r="Z84" s="7" t="n">
        <v>4122.4</v>
      </c>
      <c r="AB84" s="7" t="n">
        <v>60377.6</v>
      </c>
    </row>
    <row r="85">
      <c r="A85" s="4" t="inlineStr">
        <is>
          <t>劳务费</t>
        </is>
      </c>
      <c r="D85" s="7" t="n">
        <v>149.3</v>
      </c>
      <c r="F85" s="7" t="n">
        <v>119.8</v>
      </c>
      <c r="H85" s="7" t="n">
        <v>331.6</v>
      </c>
      <c r="J85" s="7" t="n">
        <v>151.9</v>
      </c>
      <c r="L85" s="7" t="n">
        <v>357.3</v>
      </c>
      <c r="N85" s="7" t="n">
        <v>389.2</v>
      </c>
      <c r="P85" s="7" t="n">
        <v>289</v>
      </c>
      <c r="R85" s="7" t="n">
        <v>203.4</v>
      </c>
      <c r="T85" s="7" t="n">
        <v>367.2</v>
      </c>
      <c r="V85" s="7" t="n">
        <v>221.8</v>
      </c>
      <c r="X85" s="7" t="n">
        <v>0</v>
      </c>
      <c r="Z85" s="7" t="n">
        <v>148.6</v>
      </c>
      <c r="AB85" s="7" t="n">
        <v>2729.1</v>
      </c>
    </row>
    <row r="86">
      <c r="A86" s="4" t="inlineStr">
        <is>
          <t>销售佣金</t>
        </is>
      </c>
      <c r="D86" s="7" t="n">
        <v>259.4</v>
      </c>
      <c r="F86" s="7" t="n">
        <v>288.5</v>
      </c>
      <c r="H86" s="7" t="n">
        <v>715.6</v>
      </c>
      <c r="J86" s="7" t="n">
        <v>489</v>
      </c>
      <c r="L86" s="7" t="n">
        <v>833.2</v>
      </c>
      <c r="N86" s="7" t="n">
        <v>1279.2</v>
      </c>
      <c r="P86" s="7" t="n">
        <v>580.5</v>
      </c>
      <c r="R86" s="7" t="n">
        <v>514.5</v>
      </c>
      <c r="T86" s="7" t="n">
        <v>684.8</v>
      </c>
      <c r="V86" s="7" t="n">
        <v>606.7</v>
      </c>
      <c r="X86" s="7" t="n">
        <v>0</v>
      </c>
      <c r="Z86" s="7" t="n">
        <v>441</v>
      </c>
      <c r="AB86" s="7" t="n">
        <v>6692.4</v>
      </c>
    </row>
    <row r="87">
      <c r="A87" s="4" t="inlineStr">
        <is>
          <t>检测费</t>
        </is>
      </c>
      <c r="D87" s="7" t="n">
        <v>362.6</v>
      </c>
      <c r="F87" s="7" t="n">
        <v>390.7</v>
      </c>
      <c r="H87" s="7" t="n">
        <v>695.4</v>
      </c>
      <c r="J87" s="7" t="n">
        <v>369.4</v>
      </c>
      <c r="L87" s="7" t="n">
        <v>1057.2</v>
      </c>
      <c r="N87" s="7" t="n">
        <v>1405.1</v>
      </c>
      <c r="P87" s="7" t="n">
        <v>535.4</v>
      </c>
      <c r="R87" s="7" t="n">
        <v>569.9</v>
      </c>
      <c r="T87" s="7" t="n">
        <v>797.4</v>
      </c>
      <c r="V87" s="7" t="n">
        <v>933.1</v>
      </c>
      <c r="X87" s="7" t="n">
        <v>0</v>
      </c>
      <c r="Z87" s="7" t="n">
        <v>456.6</v>
      </c>
      <c r="AB87" s="7" t="n">
        <v>7572.8</v>
      </c>
    </row>
    <row r="88">
      <c r="A88" s="4" t="inlineStr">
        <is>
          <t>质量赔偿</t>
        </is>
      </c>
      <c r="D88" s="7" t="n">
        <v>463.6</v>
      </c>
      <c r="F88" s="7" t="n">
        <v>770.1</v>
      </c>
      <c r="H88" s="7" t="n">
        <v>1746.4</v>
      </c>
      <c r="J88" s="7" t="n">
        <v>1381.9</v>
      </c>
      <c r="L88" s="7" t="n">
        <v>2524.6</v>
      </c>
      <c r="N88" s="7" t="n">
        <v>2276.2</v>
      </c>
      <c r="P88" s="7" t="n">
        <v>1160.6</v>
      </c>
      <c r="R88" s="7" t="n">
        <v>1277.3</v>
      </c>
      <c r="T88" s="7" t="n">
        <v>1318.1</v>
      </c>
      <c r="V88" s="7" t="n">
        <v>1277.2</v>
      </c>
      <c r="X88" s="7" t="n">
        <v>0</v>
      </c>
      <c r="Z88" s="7" t="n">
        <v>1099.8</v>
      </c>
      <c r="AB88" s="7" t="n">
        <v>15295.8</v>
      </c>
    </row>
    <row r="89">
      <c r="A89" s="4" t="inlineStr">
        <is>
          <t>保险费</t>
        </is>
      </c>
      <c r="D89" s="7" t="n">
        <v>106.6</v>
      </c>
      <c r="F89" s="7" t="n">
        <v>115.2</v>
      </c>
      <c r="H89" s="7" t="n">
        <v>179.3</v>
      </c>
      <c r="J89" s="7" t="n">
        <v>185.9</v>
      </c>
      <c r="L89" s="7" t="n">
        <v>271.8</v>
      </c>
      <c r="N89" s="7" t="n">
        <v>538.5</v>
      </c>
      <c r="P89" s="7" t="n">
        <v>200.2</v>
      </c>
      <c r="R89" s="7" t="n">
        <v>297.5</v>
      </c>
      <c r="T89" s="7" t="n">
        <v>285.7</v>
      </c>
      <c r="V89" s="7" t="n">
        <v>328.3</v>
      </c>
      <c r="X89" s="7" t="n">
        <v>0</v>
      </c>
      <c r="Z89" s="7" t="n">
        <v>134.1</v>
      </c>
      <c r="AB89" s="7" t="n">
        <v>2643.1</v>
      </c>
    </row>
    <row r="90">
      <c r="A90" s="4" t="inlineStr">
        <is>
          <t>清洁费</t>
        </is>
      </c>
      <c r="D90" s="7" t="n">
        <v>644.8</v>
      </c>
      <c r="F90" s="7" t="n">
        <v>514</v>
      </c>
      <c r="H90" s="7" t="n">
        <v>1349.4</v>
      </c>
      <c r="J90" s="7" t="n">
        <v>842.4</v>
      </c>
      <c r="L90" s="7" t="n">
        <v>1444.6</v>
      </c>
      <c r="N90" s="7" t="n">
        <v>3047.9</v>
      </c>
      <c r="P90" s="7" t="n">
        <v>1634.9</v>
      </c>
      <c r="R90" s="7" t="n">
        <v>1264.1</v>
      </c>
      <c r="T90" s="7" t="n">
        <v>1410.7</v>
      </c>
      <c r="V90" s="7" t="n">
        <v>1672.4</v>
      </c>
      <c r="X90" s="7" t="n">
        <v>0</v>
      </c>
      <c r="Z90" s="7" t="n">
        <v>1012.5</v>
      </c>
      <c r="AB90" s="7" t="n">
        <v>14837.7</v>
      </c>
    </row>
    <row r="91">
      <c r="A91" s="4" t="inlineStr">
        <is>
          <t>低值易耗品</t>
        </is>
      </c>
      <c r="D91" s="7" t="n">
        <v>269</v>
      </c>
      <c r="F91" s="7" t="n">
        <v>314.1</v>
      </c>
      <c r="H91" s="7" t="n">
        <v>796.4</v>
      </c>
      <c r="J91" s="7" t="n">
        <v>640.8</v>
      </c>
      <c r="L91" s="7" t="n">
        <v>960.3</v>
      </c>
      <c r="N91" s="7" t="n">
        <v>1651.5</v>
      </c>
      <c r="P91" s="7" t="n">
        <v>828.2</v>
      </c>
      <c r="R91" s="7" t="n">
        <v>637.1</v>
      </c>
      <c r="T91" s="7" t="n">
        <v>830.9</v>
      </c>
      <c r="V91" s="7" t="n">
        <v>998.8</v>
      </c>
      <c r="X91" s="7" t="n">
        <v>0</v>
      </c>
      <c r="Z91" s="7" t="n">
        <v>581</v>
      </c>
      <c r="AB91" s="7" t="n">
        <v>8508.1</v>
      </c>
    </row>
    <row r="92">
      <c r="A92" s="4" t="inlineStr">
        <is>
          <t>物料消耗</t>
        </is>
      </c>
      <c r="D92" s="7" t="n">
        <v>597</v>
      </c>
      <c r="F92" s="7" t="n">
        <v>965.7</v>
      </c>
      <c r="H92" s="7" t="n">
        <v>1575.8</v>
      </c>
      <c r="J92" s="7" t="n">
        <v>1043.7</v>
      </c>
      <c r="L92" s="7" t="n">
        <v>2418.6</v>
      </c>
      <c r="N92" s="7" t="n">
        <v>3387.5</v>
      </c>
      <c r="P92" s="7" t="n">
        <v>2003</v>
      </c>
      <c r="R92" s="7" t="n">
        <v>1125.1</v>
      </c>
      <c r="T92" s="7" t="n">
        <v>1782</v>
      </c>
      <c r="V92" s="7" t="n">
        <v>1445.3</v>
      </c>
      <c r="X92" s="7" t="n">
        <v>0</v>
      </c>
      <c r="Z92" s="7" t="n">
        <v>865.2</v>
      </c>
      <c r="AB92" s="7" t="n">
        <v>17208.9</v>
      </c>
    </row>
    <row r="93">
      <c r="A93" s="4" t="inlineStr">
        <is>
          <t>盘盈盘亏</t>
        </is>
      </c>
      <c r="D93" s="7" t="n">
        <v>496.9</v>
      </c>
      <c r="F93" s="7" t="n">
        <v>794</v>
      </c>
      <c r="H93" s="7" t="n">
        <v>1748.4</v>
      </c>
      <c r="J93" s="7" t="n">
        <v>678.4</v>
      </c>
      <c r="L93" s="7" t="n">
        <v>1312</v>
      </c>
      <c r="N93" s="7" t="n">
        <v>2258.8</v>
      </c>
      <c r="P93" s="7" t="n">
        <v>1292</v>
      </c>
      <c r="R93" s="7" t="n">
        <v>1118.7</v>
      </c>
      <c r="T93" s="7" t="n">
        <v>1374.7</v>
      </c>
      <c r="V93" s="7" t="n">
        <v>1499.5</v>
      </c>
      <c r="X93" s="7" t="n">
        <v>0</v>
      </c>
      <c r="Z93" s="7" t="n">
        <v>798</v>
      </c>
      <c r="AB93" s="7" t="n">
        <v>13371.4</v>
      </c>
    </row>
    <row r="94">
      <c r="A94" s="4" t="inlineStr">
        <is>
          <t>平台服务费</t>
        </is>
      </c>
      <c r="D94" s="7" t="n">
        <v>886.4</v>
      </c>
      <c r="F94" s="7" t="n">
        <v>952.3</v>
      </c>
      <c r="H94" s="7" t="n">
        <v>1735.5</v>
      </c>
      <c r="J94" s="7" t="n">
        <v>1319.9</v>
      </c>
      <c r="L94" s="7" t="n">
        <v>2349.8</v>
      </c>
      <c r="N94" s="7" t="n">
        <v>2644.5</v>
      </c>
      <c r="P94" s="7" t="n">
        <v>2364.6</v>
      </c>
      <c r="R94" s="7" t="n">
        <v>1557.1</v>
      </c>
      <c r="T94" s="7" t="n">
        <v>2711.7</v>
      </c>
      <c r="V94" s="7" t="n">
        <v>1887.8</v>
      </c>
      <c r="X94" s="7" t="n">
        <v>0</v>
      </c>
      <c r="Z94" s="7" t="n">
        <v>787.7</v>
      </c>
      <c r="AB94" s="7" t="n">
        <v>19197.3</v>
      </c>
    </row>
    <row r="95">
      <c r="A95" s="4" t="inlineStr">
        <is>
          <t>无形资产摊销</t>
        </is>
      </c>
      <c r="D95" s="7" t="n">
        <v>412.7</v>
      </c>
      <c r="F95" s="7" t="n">
        <v>697.4</v>
      </c>
      <c r="H95" s="7" t="n">
        <v>1037.6</v>
      </c>
      <c r="J95" s="7" t="n">
        <v>1160.1</v>
      </c>
      <c r="L95" s="7" t="n">
        <v>1484.7</v>
      </c>
      <c r="N95" s="7" t="n">
        <v>3070.3</v>
      </c>
      <c r="P95" s="7" t="n">
        <v>1134.8</v>
      </c>
      <c r="R95" s="7" t="n">
        <v>1505.1</v>
      </c>
      <c r="T95" s="7" t="n">
        <v>1446.2</v>
      </c>
      <c r="V95" s="7" t="n">
        <v>1729.8</v>
      </c>
      <c r="X95" s="7" t="n">
        <v>0</v>
      </c>
      <c r="Z95" s="7" t="n">
        <v>712.5</v>
      </c>
      <c r="AB95" s="7" t="n">
        <v>14391.2</v>
      </c>
    </row>
    <row r="96">
      <c r="A96" s="4" t="inlineStr">
        <is>
          <t>研发材料</t>
        </is>
      </c>
      <c r="D96" s="7" t="n">
        <v>551.2</v>
      </c>
      <c r="F96" s="7" t="n">
        <v>538.1</v>
      </c>
      <c r="H96" s="7" t="n">
        <v>1142</v>
      </c>
      <c r="J96" s="7" t="n">
        <v>750.6</v>
      </c>
      <c r="L96" s="7" t="n">
        <v>1372.2</v>
      </c>
      <c r="N96" s="7" t="n">
        <v>2681.6</v>
      </c>
      <c r="P96" s="7" t="n">
        <v>1438.3</v>
      </c>
      <c r="R96" s="7" t="n">
        <v>1515.1</v>
      </c>
      <c r="T96" s="7" t="n">
        <v>1912.7</v>
      </c>
      <c r="V96" s="7" t="n">
        <v>1527.9</v>
      </c>
      <c r="X96" s="7" t="n">
        <v>0</v>
      </c>
      <c r="Z96" s="7" t="n">
        <v>676.2</v>
      </c>
      <c r="AB96" s="7" t="n">
        <v>14105.9</v>
      </c>
    </row>
    <row r="97">
      <c r="A97" s="4" t="inlineStr">
        <is>
          <t>项目名称</t>
        </is>
      </c>
      <c r="D97" s="7" t="n">
        <v>531.1</v>
      </c>
      <c r="F97" s="7" t="n">
        <v>442.6</v>
      </c>
      <c r="H97" s="7" t="n">
        <v>1010.9</v>
      </c>
      <c r="J97" s="7" t="n">
        <v>778.2</v>
      </c>
      <c r="L97" s="7" t="n">
        <v>1356.6</v>
      </c>
      <c r="N97" s="7" t="n">
        <v>1769.1</v>
      </c>
      <c r="P97" s="7" t="n">
        <v>1457.2</v>
      </c>
      <c r="R97" s="7" t="n">
        <v>1357.8</v>
      </c>
      <c r="T97" s="7" t="n">
        <v>1548.4</v>
      </c>
      <c r="V97" s="7" t="n">
        <v>1586.6</v>
      </c>
      <c r="X97" s="7" t="n">
        <v>0</v>
      </c>
      <c r="Z97" s="7" t="n">
        <v>737.2</v>
      </c>
      <c r="AB97" s="7" t="n">
        <v>12575.7</v>
      </c>
    </row>
    <row r="98">
      <c r="A98" s="4" t="inlineStr">
        <is>
          <t>研发费</t>
        </is>
      </c>
      <c r="D98" s="7" t="n">
        <v>484</v>
      </c>
      <c r="F98" s="7" t="n">
        <v>412.4</v>
      </c>
      <c r="H98" s="7" t="n">
        <v>967.5</v>
      </c>
      <c r="J98" s="7" t="n">
        <v>686.1</v>
      </c>
      <c r="L98" s="7" t="n">
        <v>1292</v>
      </c>
      <c r="N98" s="7" t="n">
        <v>1701.7</v>
      </c>
      <c r="P98" s="7" t="n">
        <v>1040.4</v>
      </c>
      <c r="R98" s="7" t="n">
        <v>1160.7</v>
      </c>
      <c r="T98" s="7" t="n">
        <v>1435.1</v>
      </c>
      <c r="V98" s="7" t="n">
        <v>748.8</v>
      </c>
      <c r="X98" s="7" t="n">
        <v>0</v>
      </c>
      <c r="Z98" s="7" t="n">
        <v>700.9</v>
      </c>
      <c r="AB98" s="7" t="n">
        <v>10629.6</v>
      </c>
    </row>
    <row r="99">
      <c r="A99" s="4" t="inlineStr">
        <is>
          <t>残保金</t>
        </is>
      </c>
      <c r="D99" s="7" t="n">
        <v>594</v>
      </c>
      <c r="F99" s="7" t="n">
        <v>694.2</v>
      </c>
      <c r="H99" s="7" t="n">
        <v>2389.2</v>
      </c>
      <c r="J99" s="7" t="n">
        <v>1064.2</v>
      </c>
      <c r="L99" s="7" t="n">
        <v>1981.5</v>
      </c>
      <c r="N99" s="7" t="n">
        <v>3766.9</v>
      </c>
      <c r="P99" s="7" t="n">
        <v>2499.4</v>
      </c>
      <c r="R99" s="7" t="n">
        <v>1593.1</v>
      </c>
      <c r="T99" s="7" t="n">
        <v>2126.1</v>
      </c>
      <c r="V99" s="7" t="n">
        <v>2058.9</v>
      </c>
      <c r="X99" s="7" t="n">
        <v>0</v>
      </c>
      <c r="Z99" s="7" t="n">
        <v>996.7</v>
      </c>
      <c r="AB99" s="7" t="n">
        <v>19764.2</v>
      </c>
    </row>
    <row r="100">
      <c r="A100" s="4" t="inlineStr">
        <is>
          <t>环保费</t>
        </is>
      </c>
      <c r="D100" s="7" t="n">
        <v>303.1</v>
      </c>
      <c r="F100" s="7" t="n">
        <v>199.5</v>
      </c>
      <c r="H100" s="7" t="n">
        <v>660.7</v>
      </c>
      <c r="J100" s="7" t="n">
        <v>374.5</v>
      </c>
      <c r="L100" s="7" t="n">
        <v>509.2</v>
      </c>
      <c r="N100" s="7" t="n">
        <v>1085.9</v>
      </c>
      <c r="P100" s="7" t="n">
        <v>469.3</v>
      </c>
      <c r="R100" s="7" t="n">
        <v>492.8</v>
      </c>
      <c r="T100" s="7" t="n">
        <v>767.2</v>
      </c>
      <c r="V100" s="7" t="n">
        <v>464.7</v>
      </c>
      <c r="X100" s="7" t="n">
        <v>0</v>
      </c>
      <c r="Z100" s="7" t="n">
        <v>292.9</v>
      </c>
      <c r="AB100" s="7" t="n">
        <v>5619.8</v>
      </c>
    </row>
    <row r="101">
      <c r="A101" s="4" t="inlineStr">
        <is>
          <t>报废损失</t>
        </is>
      </c>
      <c r="D101" s="7" t="n">
        <v>45.6</v>
      </c>
      <c r="F101" s="7" t="n">
        <v>65.59999999999999</v>
      </c>
      <c r="H101" s="7" t="n">
        <v>169.3</v>
      </c>
      <c r="J101" s="7" t="n">
        <v>86</v>
      </c>
      <c r="L101" s="7" t="n">
        <v>185.7</v>
      </c>
      <c r="N101" s="7" t="n">
        <v>211.5</v>
      </c>
      <c r="P101" s="7" t="n">
        <v>132.9</v>
      </c>
      <c r="R101" s="7" t="n">
        <v>132</v>
      </c>
      <c r="T101" s="7" t="n">
        <v>196.3</v>
      </c>
      <c r="V101" s="7" t="n">
        <v>156.6</v>
      </c>
      <c r="X101" s="7" t="n">
        <v>0</v>
      </c>
      <c r="Z101" s="7" t="n">
        <v>78</v>
      </c>
      <c r="AB101" s="7" t="n">
        <v>1459.5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90225.3</v>
      </c>
      <c r="D102" s="7" t="n">
        <v>19603.9</v>
      </c>
      <c r="E102" s="7" t="n">
        <v>76453.39999999999</v>
      </c>
      <c r="F102" s="7" t="n">
        <v>91621.8</v>
      </c>
      <c r="G102" s="7" t="n">
        <v>81972</v>
      </c>
      <c r="H102" s="7" t="n">
        <v>190525.2</v>
      </c>
      <c r="I102" s="7" t="n">
        <v>79223.3</v>
      </c>
      <c r="J102" s="7" t="n">
        <v>106618.9</v>
      </c>
      <c r="K102" s="7" t="n">
        <v>87532.8</v>
      </c>
      <c r="L102" s="7" t="n">
        <v>87130.39999999999</v>
      </c>
      <c r="M102" s="7" t="n">
        <v>89548.2</v>
      </c>
      <c r="N102" s="7" t="n">
        <v>118240.1</v>
      </c>
      <c r="O102" s="7" t="n">
        <v>84680.7</v>
      </c>
      <c r="P102" s="7" t="n">
        <v>78941.5</v>
      </c>
      <c r="Q102" s="7" t="n">
        <v>88287.60000000001</v>
      </c>
      <c r="R102" s="7" t="n">
        <v>60060.9</v>
      </c>
      <c r="S102" s="7" t="n">
        <v>77517.89999999999</v>
      </c>
      <c r="T102" s="7" t="n">
        <v>116339.1</v>
      </c>
      <c r="U102" s="7" t="n">
        <v>81304.39999999999</v>
      </c>
      <c r="V102" s="7" t="n">
        <v>59642.9</v>
      </c>
      <c r="W102" s="7" t="n">
        <v>78936</v>
      </c>
      <c r="X102" s="7" t="n">
        <v>0</v>
      </c>
      <c r="Y102" s="7" t="n">
        <v>79910.8</v>
      </c>
      <c r="Z102" s="7" t="n">
        <v>49165.2</v>
      </c>
      <c r="AA102" s="8" t="n">
        <v>995592.4</v>
      </c>
      <c r="AB102" s="8" t="n">
        <v>977889.9</v>
      </c>
    </row>
    <row r="103">
      <c r="A103" s="4" t="inlineStr">
        <is>
          <t>职工薪酬</t>
        </is>
      </c>
      <c r="D103" s="7" t="n">
        <v>10571.2</v>
      </c>
      <c r="F103" s="7" t="n">
        <v>53536.7</v>
      </c>
      <c r="H103" s="7" t="n">
        <v>85322.8</v>
      </c>
      <c r="J103" s="7" t="n">
        <v>63892.7</v>
      </c>
      <c r="L103" s="7" t="n">
        <v>33808.1</v>
      </c>
      <c r="N103" s="7" t="n">
        <v>52225.9</v>
      </c>
      <c r="P103" s="7" t="n">
        <v>39804.3</v>
      </c>
      <c r="R103" s="7" t="n">
        <v>30854.4</v>
      </c>
      <c r="T103" s="7" t="n">
        <v>66238.39999999999</v>
      </c>
      <c r="V103" s="7" t="n">
        <v>27153.4</v>
      </c>
      <c r="X103" s="7" t="n">
        <v>0</v>
      </c>
      <c r="Z103" s="7" t="n">
        <v>22178.9</v>
      </c>
      <c r="AB103" s="7" t="n">
        <v>485586.8</v>
      </c>
    </row>
    <row r="104">
      <c r="A104" s="4" t="inlineStr">
        <is>
          <t>工资</t>
        </is>
      </c>
      <c r="D104" s="7" t="n">
        <v>5495.1</v>
      </c>
      <c r="F104" s="7" t="n">
        <v>33828.3</v>
      </c>
      <c r="H104" s="7" t="n">
        <v>43041.2</v>
      </c>
      <c r="J104" s="7" t="n">
        <v>39110.2</v>
      </c>
      <c r="L104" s="7" t="n">
        <v>18725.1</v>
      </c>
      <c r="N104" s="7" t="n">
        <v>28107.9</v>
      </c>
      <c r="P104" s="7" t="n">
        <v>23052</v>
      </c>
      <c r="R104" s="7" t="n">
        <v>16076.4</v>
      </c>
      <c r="T104" s="7" t="n">
        <v>40035.7</v>
      </c>
      <c r="V104" s="7" t="n">
        <v>13598</v>
      </c>
      <c r="X104" s="7" t="n">
        <v>0</v>
      </c>
      <c r="Z104" s="7" t="n">
        <v>12259.3</v>
      </c>
      <c r="AB104" s="7" t="n">
        <v>273329.2</v>
      </c>
    </row>
    <row r="105">
      <c r="A105" s="4" t="inlineStr">
        <is>
          <t>奖金及提成</t>
        </is>
      </c>
      <c r="D105" s="7" t="n">
        <v>2427.9</v>
      </c>
      <c r="F105" s="7" t="n">
        <v>8369.4</v>
      </c>
      <c r="H105" s="7" t="n">
        <v>22680.9</v>
      </c>
      <c r="J105" s="7" t="n">
        <v>10719.9</v>
      </c>
      <c r="L105" s="7" t="n">
        <v>7057.9</v>
      </c>
      <c r="N105" s="7" t="n">
        <v>12335.1</v>
      </c>
      <c r="P105" s="7" t="n">
        <v>7824.9</v>
      </c>
      <c r="R105" s="7" t="n">
        <v>7258.1</v>
      </c>
      <c r="T105" s="7" t="n">
        <v>11106.7</v>
      </c>
      <c r="V105" s="7" t="n">
        <v>6183.9</v>
      </c>
      <c r="X105" s="7" t="n">
        <v>0</v>
      </c>
      <c r="Z105" s="7" t="n">
        <v>5274</v>
      </c>
      <c r="AB105" s="7" t="n">
        <v>101238.7</v>
      </c>
    </row>
    <row r="106">
      <c r="A106" s="4" t="inlineStr">
        <is>
          <t>社保</t>
        </is>
      </c>
      <c r="D106" s="7" t="n">
        <v>2023.7</v>
      </c>
      <c r="F106" s="7" t="n">
        <v>8787.200000000001</v>
      </c>
      <c r="H106" s="7" t="n">
        <v>13325.2</v>
      </c>
      <c r="J106" s="7" t="n">
        <v>10899.7</v>
      </c>
      <c r="L106" s="7" t="n">
        <v>5363.7</v>
      </c>
      <c r="N106" s="7" t="n">
        <v>8346.799999999999</v>
      </c>
      <c r="P106" s="7" t="n">
        <v>6521.9</v>
      </c>
      <c r="R106" s="7" t="n">
        <v>5651.9</v>
      </c>
      <c r="T106" s="7" t="n">
        <v>12016.3</v>
      </c>
      <c r="V106" s="7" t="n">
        <v>5573.7</v>
      </c>
      <c r="X106" s="7" t="n">
        <v>0</v>
      </c>
      <c r="Z106" s="7" t="n">
        <v>3313.6</v>
      </c>
      <c r="AB106" s="7" t="n">
        <v>81823.7</v>
      </c>
    </row>
    <row r="107">
      <c r="A107" s="4" t="inlineStr">
        <is>
          <t>养老</t>
        </is>
      </c>
      <c r="D107" s="7" t="n">
        <v>138.4</v>
      </c>
      <c r="F107" s="7" t="n">
        <v>592</v>
      </c>
      <c r="H107" s="7" t="n">
        <v>1096.5</v>
      </c>
      <c r="J107" s="7" t="n">
        <v>569.7</v>
      </c>
      <c r="L107" s="7" t="n">
        <v>407.8</v>
      </c>
      <c r="N107" s="7" t="n">
        <v>727.3</v>
      </c>
      <c r="P107" s="7" t="n">
        <v>477.3</v>
      </c>
      <c r="R107" s="7" t="n">
        <v>263.2</v>
      </c>
      <c r="T107" s="7" t="n">
        <v>501.2</v>
      </c>
      <c r="V107" s="7" t="n">
        <v>311.2</v>
      </c>
      <c r="X107" s="7" t="n">
        <v>0</v>
      </c>
      <c r="Z107" s="7" t="n">
        <v>197.7</v>
      </c>
      <c r="AB107" s="7" t="n">
        <v>5282.3</v>
      </c>
    </row>
    <row r="108">
      <c r="A108" s="4" t="inlineStr">
        <is>
          <t>医疗</t>
        </is>
      </c>
      <c r="D108" s="7" t="n">
        <v>106.2</v>
      </c>
      <c r="F108" s="7" t="n">
        <v>640.2</v>
      </c>
      <c r="H108" s="7" t="n">
        <v>1077.1</v>
      </c>
      <c r="J108" s="7" t="n">
        <v>424.8</v>
      </c>
      <c r="L108" s="7" t="n">
        <v>410.4</v>
      </c>
      <c r="N108" s="7" t="n">
        <v>665.9</v>
      </c>
      <c r="P108" s="7" t="n">
        <v>536.7</v>
      </c>
      <c r="R108" s="7" t="n">
        <v>365.5</v>
      </c>
      <c r="T108" s="7" t="n">
        <v>609.6</v>
      </c>
      <c r="V108" s="7" t="n">
        <v>274.4</v>
      </c>
      <c r="X108" s="7" t="n">
        <v>0</v>
      </c>
      <c r="Z108" s="7" t="n">
        <v>249.6</v>
      </c>
      <c r="AB108" s="7" t="n">
        <v>5360.4</v>
      </c>
    </row>
    <row r="109">
      <c r="A109" s="4" t="inlineStr">
        <is>
          <t>工伤</t>
        </is>
      </c>
      <c r="D109" s="7" t="n">
        <v>80.2</v>
      </c>
      <c r="F109" s="7" t="n">
        <v>454.6</v>
      </c>
      <c r="H109" s="7" t="n">
        <v>711.4</v>
      </c>
      <c r="J109" s="7" t="n">
        <v>449.2</v>
      </c>
      <c r="L109" s="7" t="n">
        <v>404.7</v>
      </c>
      <c r="N109" s="7" t="n">
        <v>566.3</v>
      </c>
      <c r="P109" s="7" t="n">
        <v>338.6</v>
      </c>
      <c r="R109" s="7" t="n">
        <v>282.1</v>
      </c>
      <c r="T109" s="7" t="n">
        <v>494.9</v>
      </c>
      <c r="V109" s="7" t="n">
        <v>270.2</v>
      </c>
      <c r="X109" s="7" t="n">
        <v>0</v>
      </c>
      <c r="Z109" s="7" t="n">
        <v>213.1</v>
      </c>
      <c r="AB109" s="7" t="n">
        <v>4265.3</v>
      </c>
    </row>
    <row r="110">
      <c r="A110" s="4" t="inlineStr">
        <is>
          <t>失业</t>
        </is>
      </c>
      <c r="D110" s="7" t="n">
        <v>118.6</v>
      </c>
      <c r="F110" s="7" t="n">
        <v>344.7</v>
      </c>
      <c r="H110" s="7" t="n">
        <v>963.5</v>
      </c>
      <c r="J110" s="7" t="n">
        <v>418.8</v>
      </c>
      <c r="L110" s="7" t="n">
        <v>508.8</v>
      </c>
      <c r="N110" s="7" t="n">
        <v>618.2</v>
      </c>
      <c r="P110" s="7" t="n">
        <v>426.3</v>
      </c>
      <c r="R110" s="7" t="n">
        <v>312.1</v>
      </c>
      <c r="T110" s="7" t="n">
        <v>457.6</v>
      </c>
      <c r="V110" s="7" t="n">
        <v>309.3</v>
      </c>
      <c r="X110" s="7" t="n">
        <v>0</v>
      </c>
      <c r="Z110" s="7" t="n">
        <v>285.5</v>
      </c>
      <c r="AB110" s="7" t="n">
        <v>4763.4</v>
      </c>
    </row>
    <row r="111">
      <c r="A111" s="4" t="inlineStr">
        <is>
          <t>生育</t>
        </is>
      </c>
      <c r="D111" s="7" t="n">
        <v>118.8</v>
      </c>
      <c r="F111" s="7" t="n">
        <v>626.6</v>
      </c>
      <c r="H111" s="7" t="n">
        <v>1345.9</v>
      </c>
      <c r="J111" s="7" t="n">
        <v>789.1</v>
      </c>
      <c r="L111" s="7" t="n">
        <v>625.8</v>
      </c>
      <c r="N111" s="7" t="n">
        <v>526.3</v>
      </c>
      <c r="P111" s="7" t="n">
        <v>552.8</v>
      </c>
      <c r="R111" s="7" t="n">
        <v>413.9</v>
      </c>
      <c r="T111" s="7" t="n">
        <v>564.4</v>
      </c>
      <c r="V111" s="7" t="n">
        <v>405.5</v>
      </c>
      <c r="X111" s="7" t="n">
        <v>0</v>
      </c>
      <c r="Z111" s="7" t="n">
        <v>274</v>
      </c>
      <c r="AB111" s="7" t="n">
        <v>6243.1</v>
      </c>
    </row>
    <row r="112">
      <c r="A112" s="4" t="inlineStr">
        <is>
          <t>公积金</t>
        </is>
      </c>
      <c r="D112" s="7" t="n">
        <v>92.5</v>
      </c>
      <c r="F112" s="7" t="n">
        <v>248.3</v>
      </c>
      <c r="H112" s="7" t="n">
        <v>756.2</v>
      </c>
      <c r="J112" s="7" t="n">
        <v>281.4</v>
      </c>
      <c r="L112" s="7" t="n">
        <v>333.4</v>
      </c>
      <c r="N112" s="7" t="n">
        <v>346.7</v>
      </c>
      <c r="P112" s="7" t="n">
        <v>316.5</v>
      </c>
      <c r="R112" s="7" t="n">
        <v>216.4</v>
      </c>
      <c r="T112" s="7" t="n">
        <v>409</v>
      </c>
      <c r="V112" s="7" t="n">
        <v>272.4</v>
      </c>
      <c r="X112" s="7" t="n">
        <v>0</v>
      </c>
      <c r="Z112" s="7" t="n">
        <v>146.2</v>
      </c>
      <c r="AB112" s="7" t="n">
        <v>3419</v>
      </c>
    </row>
    <row r="113">
      <c r="A113" s="4" t="inlineStr">
        <is>
          <t>工会经费</t>
        </is>
      </c>
      <c r="D113" s="7" t="n">
        <v>28.8</v>
      </c>
      <c r="F113" s="7" t="n">
        <v>168.2</v>
      </c>
      <c r="H113" s="7" t="n">
        <v>225.7</v>
      </c>
      <c r="J113" s="7" t="n">
        <v>160.6</v>
      </c>
      <c r="L113" s="7" t="n">
        <v>110.5</v>
      </c>
      <c r="N113" s="7" t="n">
        <v>183.7</v>
      </c>
      <c r="P113" s="7" t="n">
        <v>139.1</v>
      </c>
      <c r="R113" s="7" t="n">
        <v>92.7</v>
      </c>
      <c r="T113" s="7" t="n">
        <v>204.1</v>
      </c>
      <c r="V113" s="7" t="n">
        <v>85.5</v>
      </c>
      <c r="X113" s="7" t="n">
        <v>0</v>
      </c>
      <c r="Z113" s="7" t="n">
        <v>72.2</v>
      </c>
      <c r="AB113" s="7" t="n">
        <v>1471.1</v>
      </c>
    </row>
    <row r="114">
      <c r="A114" s="4" t="inlineStr">
        <is>
          <t>职工教育经费</t>
        </is>
      </c>
      <c r="D114" s="7" t="n">
        <v>2.7</v>
      </c>
      <c r="F114" s="7" t="n">
        <v>9.199999999999999</v>
      </c>
      <c r="H114" s="7" t="n">
        <v>15.3</v>
      </c>
      <c r="J114" s="7" t="n">
        <v>11.1</v>
      </c>
      <c r="L114" s="7" t="n">
        <v>9.4</v>
      </c>
      <c r="N114" s="7" t="n">
        <v>14.9</v>
      </c>
      <c r="P114" s="7" t="n">
        <v>11.7</v>
      </c>
      <c r="R114" s="7" t="n">
        <v>8.6</v>
      </c>
      <c r="T114" s="7" t="n">
        <v>13.9</v>
      </c>
      <c r="V114" s="7" t="n">
        <v>6.6</v>
      </c>
      <c r="X114" s="7" t="n">
        <v>0</v>
      </c>
      <c r="Z114" s="7" t="n">
        <v>6.7</v>
      </c>
      <c r="AB114" s="7" t="n">
        <v>110.1</v>
      </c>
    </row>
    <row r="115">
      <c r="A115" s="4" t="inlineStr">
        <is>
          <t>福利费</t>
        </is>
      </c>
      <c r="D115" s="7" t="n">
        <v>500.5</v>
      </c>
      <c r="F115" s="7" t="n">
        <v>2126.1</v>
      </c>
      <c r="H115" s="7" t="n">
        <v>5278.3</v>
      </c>
      <c r="J115" s="7" t="n">
        <v>2709.8</v>
      </c>
      <c r="L115" s="7" t="n">
        <v>2208.1</v>
      </c>
      <c r="N115" s="7" t="n">
        <v>2890.8</v>
      </c>
      <c r="P115" s="7" t="n">
        <v>1938.2</v>
      </c>
      <c r="R115" s="7" t="n">
        <v>1550.3</v>
      </c>
      <c r="T115" s="7" t="n">
        <v>2452.7</v>
      </c>
      <c r="V115" s="7" t="n">
        <v>1433.3</v>
      </c>
      <c r="X115" s="7" t="n">
        <v>0</v>
      </c>
      <c r="Z115" s="7" t="n">
        <v>1106.9</v>
      </c>
      <c r="AB115" s="7" t="n">
        <v>24195</v>
      </c>
    </row>
    <row r="116">
      <c r="A116" s="4" t="inlineStr">
        <is>
          <t>职工房租</t>
        </is>
      </c>
      <c r="D116" s="7" t="n">
        <v>28.9</v>
      </c>
      <c r="F116" s="7" t="n">
        <v>154.3</v>
      </c>
      <c r="H116" s="7" t="n">
        <v>205.4</v>
      </c>
      <c r="J116" s="7" t="n">
        <v>181.5</v>
      </c>
      <c r="L116" s="7" t="n">
        <v>152.2</v>
      </c>
      <c r="N116" s="7" t="n">
        <v>194.8</v>
      </c>
      <c r="P116" s="7" t="n">
        <v>132.8</v>
      </c>
      <c r="R116" s="7" t="n">
        <v>75.8</v>
      </c>
      <c r="T116" s="7" t="n">
        <v>149.1</v>
      </c>
      <c r="V116" s="7" t="n">
        <v>106.3</v>
      </c>
      <c r="X116" s="7" t="n">
        <v>0</v>
      </c>
      <c r="Z116" s="7" t="n">
        <v>84.2</v>
      </c>
      <c r="AB116" s="7" t="n">
        <v>1465.3</v>
      </c>
    </row>
    <row r="117">
      <c r="A117" s="4" t="inlineStr">
        <is>
          <t>水电物业费</t>
        </is>
      </c>
      <c r="D117" s="7" t="n">
        <v>93.8</v>
      </c>
      <c r="F117" s="7" t="n">
        <v>368.6</v>
      </c>
      <c r="H117" s="7" t="n">
        <v>1022.1</v>
      </c>
      <c r="J117" s="7" t="n">
        <v>632.4</v>
      </c>
      <c r="L117" s="7" t="n">
        <v>537.3</v>
      </c>
      <c r="N117" s="7" t="n">
        <v>520.1</v>
      </c>
      <c r="P117" s="7" t="n">
        <v>498.6</v>
      </c>
      <c r="R117" s="7" t="n">
        <v>371.2</v>
      </c>
      <c r="T117" s="7" t="n">
        <v>711.2</v>
      </c>
      <c r="V117" s="7" t="n">
        <v>242.7</v>
      </c>
      <c r="X117" s="7" t="n">
        <v>0</v>
      </c>
      <c r="Z117" s="7" t="n">
        <v>175.5</v>
      </c>
      <c r="AB117" s="7" t="n">
        <v>5173.5</v>
      </c>
    </row>
    <row r="118">
      <c r="A118" s="4" t="inlineStr">
        <is>
          <t>员工餐</t>
        </is>
      </c>
      <c r="D118" s="7" t="n">
        <v>86.59999999999999</v>
      </c>
      <c r="F118" s="7" t="n">
        <v>425.3</v>
      </c>
      <c r="H118" s="7" t="n">
        <v>1038.1</v>
      </c>
      <c r="J118" s="7" t="n">
        <v>435.8</v>
      </c>
      <c r="L118" s="7" t="n">
        <v>495.6</v>
      </c>
      <c r="N118" s="7" t="n">
        <v>398.7</v>
      </c>
      <c r="P118" s="7" t="n">
        <v>445.1</v>
      </c>
      <c r="R118" s="7" t="n">
        <v>245.2</v>
      </c>
      <c r="T118" s="7" t="n">
        <v>418.3</v>
      </c>
      <c r="V118" s="7" t="n">
        <v>195.5</v>
      </c>
      <c r="X118" s="7" t="n">
        <v>0</v>
      </c>
      <c r="Z118" s="7" t="n">
        <v>229.7</v>
      </c>
      <c r="AB118" s="7" t="n">
        <v>4413.9</v>
      </c>
    </row>
    <row r="119">
      <c r="A119" s="4" t="inlineStr">
        <is>
          <t>节日礼品</t>
        </is>
      </c>
      <c r="D119" s="7" t="n">
        <v>126.4</v>
      </c>
      <c r="F119" s="7" t="n">
        <v>353.9</v>
      </c>
      <c r="H119" s="7" t="n">
        <v>1303.8</v>
      </c>
      <c r="J119" s="7" t="n">
        <v>532.7</v>
      </c>
      <c r="L119" s="7" t="n">
        <v>345.2</v>
      </c>
      <c r="N119" s="7" t="n">
        <v>695.4</v>
      </c>
      <c r="P119" s="7" t="n">
        <v>318.9</v>
      </c>
      <c r="R119" s="7" t="n">
        <v>349.6</v>
      </c>
      <c r="T119" s="7" t="n">
        <v>467.4</v>
      </c>
      <c r="V119" s="7" t="n">
        <v>368</v>
      </c>
      <c r="X119" s="7" t="n">
        <v>0</v>
      </c>
      <c r="Z119" s="7" t="n">
        <v>250.8</v>
      </c>
      <c r="AB119" s="7" t="n">
        <v>5112.1</v>
      </c>
    </row>
    <row r="120">
      <c r="A120" s="4" t="inlineStr">
        <is>
          <t>生日礼品</t>
        </is>
      </c>
      <c r="D120" s="7" t="n">
        <v>24.5</v>
      </c>
      <c r="F120" s="7" t="n">
        <v>87</v>
      </c>
      <c r="H120" s="7" t="n">
        <v>232.3</v>
      </c>
      <c r="J120" s="7" t="n">
        <v>119.7</v>
      </c>
      <c r="L120" s="7" t="n">
        <v>95.8</v>
      </c>
      <c r="N120" s="7" t="n">
        <v>108</v>
      </c>
      <c r="P120" s="7" t="n">
        <v>104.4</v>
      </c>
      <c r="R120" s="7" t="n">
        <v>58.1</v>
      </c>
      <c r="T120" s="7" t="n">
        <v>117.3</v>
      </c>
      <c r="V120" s="7" t="n">
        <v>49.2</v>
      </c>
      <c r="X120" s="7" t="n">
        <v>0</v>
      </c>
      <c r="Z120" s="7" t="n">
        <v>55.2</v>
      </c>
      <c r="AB120" s="7" t="n">
        <v>1051.5</v>
      </c>
    </row>
    <row r="121">
      <c r="A121" s="4" t="inlineStr">
        <is>
          <t>体检</t>
        </is>
      </c>
      <c r="D121" s="7" t="n">
        <v>28.9</v>
      </c>
      <c r="F121" s="7" t="n">
        <v>190.9</v>
      </c>
      <c r="H121" s="7" t="n">
        <v>340.9</v>
      </c>
      <c r="J121" s="7" t="n">
        <v>154.3</v>
      </c>
      <c r="L121" s="7" t="n">
        <v>151.5</v>
      </c>
      <c r="N121" s="7" t="n">
        <v>265.8</v>
      </c>
      <c r="P121" s="7" t="n">
        <v>160.7</v>
      </c>
      <c r="R121" s="7" t="n">
        <v>117.3</v>
      </c>
      <c r="T121" s="7" t="n">
        <v>194.7</v>
      </c>
      <c r="V121" s="7" t="n">
        <v>113.8</v>
      </c>
      <c r="X121" s="7" t="n">
        <v>0</v>
      </c>
      <c r="Z121" s="7" t="n">
        <v>111</v>
      </c>
      <c r="AB121" s="7" t="n">
        <v>1829.8</v>
      </c>
    </row>
    <row r="122">
      <c r="A122" s="4" t="inlineStr">
        <is>
          <t>其他福利支出</t>
        </is>
      </c>
      <c r="D122" s="7" t="n">
        <v>111.4</v>
      </c>
      <c r="F122" s="7" t="n">
        <v>546.1</v>
      </c>
      <c r="H122" s="7" t="n">
        <v>1135.7</v>
      </c>
      <c r="J122" s="7" t="n">
        <v>653.4</v>
      </c>
      <c r="L122" s="7" t="n">
        <v>430.5</v>
      </c>
      <c r="N122" s="7" t="n">
        <v>708</v>
      </c>
      <c r="P122" s="7" t="n">
        <v>277.7</v>
      </c>
      <c r="R122" s="7" t="n">
        <v>333.1</v>
      </c>
      <c r="T122" s="7" t="n">
        <v>394.7</v>
      </c>
      <c r="V122" s="7" t="n">
        <v>357.8</v>
      </c>
      <c r="X122" s="7" t="n">
        <v>0</v>
      </c>
      <c r="Z122" s="7" t="n">
        <v>200.5</v>
      </c>
      <c r="AB122" s="7" t="n">
        <v>5148.9</v>
      </c>
    </row>
    <row r="123">
      <c r="A123" s="4" t="inlineStr">
        <is>
          <t>招聘费</t>
        </is>
      </c>
      <c r="D123" s="7" t="n">
        <v>102.2</v>
      </c>
      <c r="F123" s="7" t="n">
        <v>566.8</v>
      </c>
      <c r="H123" s="7" t="n">
        <v>913.4</v>
      </c>
      <c r="J123" s="7" t="n">
        <v>528.9</v>
      </c>
      <c r="L123" s="7" t="n">
        <v>697.9</v>
      </c>
      <c r="N123" s="7" t="n">
        <v>688.2</v>
      </c>
      <c r="P123" s="7" t="n">
        <v>632</v>
      </c>
      <c r="R123" s="7" t="n">
        <v>314</v>
      </c>
      <c r="T123" s="7" t="n">
        <v>924.9</v>
      </c>
      <c r="V123" s="7" t="n">
        <v>357</v>
      </c>
      <c r="X123" s="7" t="n">
        <v>0</v>
      </c>
      <c r="Z123" s="7" t="n">
        <v>393</v>
      </c>
      <c r="AB123" s="7" t="n">
        <v>6118.3</v>
      </c>
    </row>
    <row r="124">
      <c r="A124" s="4" t="inlineStr">
        <is>
          <t>办公费</t>
        </is>
      </c>
      <c r="D124" s="7" t="n">
        <v>575.5</v>
      </c>
      <c r="F124" s="7" t="n">
        <v>2262</v>
      </c>
      <c r="H124" s="7" t="n">
        <v>7417.1</v>
      </c>
      <c r="J124" s="7" t="n">
        <v>3980.9</v>
      </c>
      <c r="L124" s="7" t="n">
        <v>2893.1</v>
      </c>
      <c r="N124" s="7" t="n">
        <v>2650.3</v>
      </c>
      <c r="P124" s="7" t="n">
        <v>1889.9</v>
      </c>
      <c r="R124" s="7" t="n">
        <v>1671.9</v>
      </c>
      <c r="T124" s="7" t="n">
        <v>2901.5</v>
      </c>
      <c r="V124" s="7" t="n">
        <v>1705.4</v>
      </c>
      <c r="X124" s="7" t="n">
        <v>0</v>
      </c>
      <c r="Z124" s="7" t="n">
        <v>1899.3</v>
      </c>
      <c r="AB124" s="7" t="n">
        <v>29846.9</v>
      </c>
    </row>
    <row r="125">
      <c r="A125" s="4" t="inlineStr">
        <is>
          <t>市内交通费</t>
        </is>
      </c>
      <c r="D125" s="7" t="n">
        <v>40.1</v>
      </c>
      <c r="F125" s="7" t="n">
        <v>196.2</v>
      </c>
      <c r="H125" s="7" t="n">
        <v>510.5</v>
      </c>
      <c r="J125" s="7" t="n">
        <v>205.6</v>
      </c>
      <c r="L125" s="7" t="n">
        <v>147.8</v>
      </c>
      <c r="N125" s="7" t="n">
        <v>238.6</v>
      </c>
      <c r="P125" s="7" t="n">
        <v>203.1</v>
      </c>
      <c r="R125" s="7" t="n">
        <v>128.5</v>
      </c>
      <c r="T125" s="7" t="n">
        <v>214.4</v>
      </c>
      <c r="V125" s="7" t="n">
        <v>131.2</v>
      </c>
      <c r="X125" s="7" t="n">
        <v>0</v>
      </c>
      <c r="Z125" s="7" t="n">
        <v>82.09999999999999</v>
      </c>
      <c r="AB125" s="7" t="n">
        <v>2098.1</v>
      </c>
    </row>
    <row r="126">
      <c r="A126" s="4" t="inlineStr">
        <is>
          <t>差旅费</t>
        </is>
      </c>
      <c r="D126" s="7" t="n">
        <v>1231.9</v>
      </c>
      <c r="F126" s="7" t="n">
        <v>4005.7</v>
      </c>
      <c r="H126" s="7" t="n">
        <v>13929</v>
      </c>
      <c r="J126" s="7" t="n">
        <v>5606.5</v>
      </c>
      <c r="L126" s="7" t="n">
        <v>3794.4</v>
      </c>
      <c r="N126" s="7" t="n">
        <v>8445.700000000001</v>
      </c>
      <c r="P126" s="7" t="n">
        <v>4540.9</v>
      </c>
      <c r="R126" s="7" t="n">
        <v>3138.3</v>
      </c>
      <c r="T126" s="7" t="n">
        <v>5107.8</v>
      </c>
      <c r="V126" s="7" t="n">
        <v>3474.9</v>
      </c>
      <c r="X126" s="7" t="n">
        <v>0</v>
      </c>
      <c r="Z126" s="7" t="n">
        <v>3537.5</v>
      </c>
      <c r="AB126" s="7" t="n">
        <v>56812.6</v>
      </c>
    </row>
    <row r="127">
      <c r="A127" s="4" t="inlineStr">
        <is>
          <t>交通费</t>
        </is>
      </c>
      <c r="D127" s="7" t="n">
        <v>52.3</v>
      </c>
      <c r="F127" s="7" t="n">
        <v>300.7</v>
      </c>
      <c r="H127" s="7" t="n">
        <v>618.6</v>
      </c>
      <c r="J127" s="7" t="n">
        <v>318.8</v>
      </c>
      <c r="L127" s="7" t="n">
        <v>227.6</v>
      </c>
      <c r="N127" s="7" t="n">
        <v>311.3</v>
      </c>
      <c r="P127" s="7" t="n">
        <v>257.6</v>
      </c>
      <c r="R127" s="7" t="n">
        <v>116.9</v>
      </c>
      <c r="T127" s="7" t="n">
        <v>364.8</v>
      </c>
      <c r="V127" s="7" t="n">
        <v>168.8</v>
      </c>
      <c r="X127" s="7" t="n">
        <v>0</v>
      </c>
      <c r="Z127" s="7" t="n">
        <v>158.8</v>
      </c>
      <c r="AB127" s="7" t="n">
        <v>2896.2</v>
      </c>
    </row>
    <row r="128">
      <c r="A128" s="4" t="inlineStr">
        <is>
          <t>住宿费</t>
        </is>
      </c>
      <c r="D128" s="7" t="n">
        <v>90.59999999999999</v>
      </c>
      <c r="F128" s="7" t="n">
        <v>269.4</v>
      </c>
      <c r="H128" s="7" t="n">
        <v>600.5</v>
      </c>
      <c r="J128" s="7" t="n">
        <v>416.6</v>
      </c>
      <c r="L128" s="7" t="n">
        <v>432.2</v>
      </c>
      <c r="N128" s="7" t="n">
        <v>366.7</v>
      </c>
      <c r="P128" s="7" t="n">
        <v>313.3</v>
      </c>
      <c r="R128" s="7" t="n">
        <v>264.6</v>
      </c>
      <c r="T128" s="7" t="n">
        <v>447</v>
      </c>
      <c r="V128" s="7" t="n">
        <v>262.3</v>
      </c>
      <c r="X128" s="7" t="n">
        <v>0</v>
      </c>
      <c r="Z128" s="7" t="n">
        <v>159.6</v>
      </c>
      <c r="AB128" s="7" t="n">
        <v>3622.8</v>
      </c>
    </row>
    <row r="129">
      <c r="A129" s="4" t="inlineStr">
        <is>
          <t>餐补</t>
        </is>
      </c>
      <c r="D129" s="7" t="n">
        <v>65.5</v>
      </c>
      <c r="F129" s="7" t="n">
        <v>313.5</v>
      </c>
      <c r="H129" s="7" t="n">
        <v>544.8</v>
      </c>
      <c r="J129" s="7" t="n">
        <v>365.2</v>
      </c>
      <c r="L129" s="7" t="n">
        <v>294.2</v>
      </c>
      <c r="N129" s="7" t="n">
        <v>266.3</v>
      </c>
      <c r="P129" s="7" t="n">
        <v>244.5</v>
      </c>
      <c r="R129" s="7" t="n">
        <v>149.5</v>
      </c>
      <c r="T129" s="7" t="n">
        <v>233.2</v>
      </c>
      <c r="V129" s="7" t="n">
        <v>139.5</v>
      </c>
      <c r="X129" s="7" t="n">
        <v>0</v>
      </c>
      <c r="Z129" s="7" t="n">
        <v>175.2</v>
      </c>
      <c r="AB129" s="7" t="n">
        <v>2791.4</v>
      </c>
    </row>
    <row r="130">
      <c r="A130" s="4" t="inlineStr">
        <is>
          <t>交通补助</t>
        </is>
      </c>
      <c r="D130" s="7" t="n">
        <v>3.5</v>
      </c>
      <c r="F130" s="7" t="n">
        <v>14.5</v>
      </c>
      <c r="H130" s="7" t="n">
        <v>32.4</v>
      </c>
      <c r="J130" s="7" t="n">
        <v>15.3</v>
      </c>
      <c r="L130" s="7" t="n">
        <v>14.5</v>
      </c>
      <c r="N130" s="7" t="n">
        <v>23</v>
      </c>
      <c r="P130" s="7" t="n">
        <v>11.5</v>
      </c>
      <c r="R130" s="7" t="n">
        <v>10.1</v>
      </c>
      <c r="T130" s="7" t="n">
        <v>16.5</v>
      </c>
      <c r="V130" s="7" t="n">
        <v>11.3</v>
      </c>
      <c r="X130" s="7" t="n">
        <v>0</v>
      </c>
      <c r="Z130" s="7" t="n">
        <v>7</v>
      </c>
      <c r="AB130" s="7" t="n">
        <v>159.6</v>
      </c>
    </row>
    <row r="131">
      <c r="A131" s="4" t="inlineStr">
        <is>
          <t>通讯补助</t>
        </is>
      </c>
      <c r="D131" s="7" t="n">
        <v>79</v>
      </c>
      <c r="F131" s="7" t="n">
        <v>550.8</v>
      </c>
      <c r="H131" s="7" t="n">
        <v>895.5</v>
      </c>
      <c r="J131" s="7" t="n">
        <v>382.4</v>
      </c>
      <c r="L131" s="7" t="n">
        <v>456.4</v>
      </c>
      <c r="N131" s="7" t="n">
        <v>453.9</v>
      </c>
      <c r="P131" s="7" t="n">
        <v>486.2</v>
      </c>
      <c r="R131" s="7" t="n">
        <v>248.3</v>
      </c>
      <c r="T131" s="7" t="n">
        <v>641.1</v>
      </c>
      <c r="V131" s="7" t="n">
        <v>273.5</v>
      </c>
      <c r="X131" s="7" t="n">
        <v>0</v>
      </c>
      <c r="Z131" s="7" t="n">
        <v>325.7</v>
      </c>
      <c r="AB131" s="7" t="n">
        <v>4792.8</v>
      </c>
    </row>
    <row r="132">
      <c r="A132" s="4" t="inlineStr">
        <is>
          <t>招待费</t>
        </is>
      </c>
      <c r="D132" s="7" t="n">
        <v>868.3</v>
      </c>
      <c r="F132" s="7" t="n">
        <v>4015.7</v>
      </c>
      <c r="H132" s="7" t="n">
        <v>5402.5</v>
      </c>
      <c r="J132" s="7" t="n">
        <v>3842.7</v>
      </c>
      <c r="L132" s="7" t="n">
        <v>4507.5</v>
      </c>
      <c r="N132" s="7" t="n">
        <v>5969.9</v>
      </c>
      <c r="P132" s="7" t="n">
        <v>3511.5</v>
      </c>
      <c r="R132" s="7" t="n">
        <v>2265.4</v>
      </c>
      <c r="T132" s="7" t="n">
        <v>3677.3</v>
      </c>
      <c r="V132" s="7" t="n">
        <v>1774.3</v>
      </c>
      <c r="X132" s="7" t="n">
        <v>0</v>
      </c>
      <c r="Z132" s="7" t="n">
        <v>2482.3</v>
      </c>
      <c r="AB132" s="7" t="n">
        <v>38317.4</v>
      </c>
    </row>
    <row r="133">
      <c r="A133" s="4" t="inlineStr">
        <is>
          <t>通讯费</t>
        </is>
      </c>
      <c r="D133" s="7" t="n">
        <v>9.699999999999999</v>
      </c>
      <c r="F133" s="7" t="n">
        <v>39.2</v>
      </c>
      <c r="H133" s="7" t="n">
        <v>85.3</v>
      </c>
      <c r="J133" s="7" t="n">
        <v>49.5</v>
      </c>
      <c r="L133" s="7" t="n">
        <v>43.9</v>
      </c>
      <c r="N133" s="7" t="n">
        <v>40.8</v>
      </c>
      <c r="P133" s="7" t="n">
        <v>39.7</v>
      </c>
      <c r="R133" s="7" t="n">
        <v>33.3</v>
      </c>
      <c r="T133" s="7" t="n">
        <v>47.8</v>
      </c>
      <c r="V133" s="7" t="n">
        <v>27.3</v>
      </c>
      <c r="X133" s="7" t="n">
        <v>0</v>
      </c>
      <c r="Z133" s="7" t="n">
        <v>20.5</v>
      </c>
      <c r="AB133" s="7" t="n">
        <v>437</v>
      </c>
    </row>
    <row r="134">
      <c r="A134" s="4" t="inlineStr">
        <is>
          <t>网络费</t>
        </is>
      </c>
      <c r="D134" s="7" t="n">
        <v>49.9</v>
      </c>
      <c r="F134" s="7" t="n">
        <v>261.1</v>
      </c>
      <c r="H134" s="7" t="n">
        <v>843.8</v>
      </c>
      <c r="J134" s="7" t="n">
        <v>276.2</v>
      </c>
      <c r="L134" s="7" t="n">
        <v>280.7</v>
      </c>
      <c r="N134" s="7" t="n">
        <v>305.4</v>
      </c>
      <c r="P134" s="7" t="n">
        <v>300.9</v>
      </c>
      <c r="R134" s="7" t="n">
        <v>245</v>
      </c>
      <c r="T134" s="7" t="n">
        <v>457.7</v>
      </c>
      <c r="V134" s="7" t="n">
        <v>219.2</v>
      </c>
      <c r="X134" s="7" t="n">
        <v>0</v>
      </c>
      <c r="Z134" s="7" t="n">
        <v>186.6</v>
      </c>
      <c r="AB134" s="7" t="n">
        <v>3426.5</v>
      </c>
    </row>
    <row r="135">
      <c r="A135" s="4" t="inlineStr">
        <is>
          <t>修理费</t>
        </is>
      </c>
      <c r="D135" s="7" t="n">
        <v>89.3</v>
      </c>
      <c r="F135" s="7" t="n">
        <v>363.5</v>
      </c>
      <c r="H135" s="7" t="n">
        <v>672</v>
      </c>
      <c r="J135" s="7" t="n">
        <v>594.3</v>
      </c>
      <c r="L135" s="7" t="n">
        <v>356.6</v>
      </c>
      <c r="N135" s="7" t="n">
        <v>611.8</v>
      </c>
      <c r="P135" s="7" t="n">
        <v>360.5</v>
      </c>
      <c r="R135" s="7" t="n">
        <v>293.5</v>
      </c>
      <c r="T135" s="7" t="n">
        <v>574.1</v>
      </c>
      <c r="V135" s="7" t="n">
        <v>235.3</v>
      </c>
      <c r="X135" s="7" t="n">
        <v>0</v>
      </c>
      <c r="Z135" s="7" t="n">
        <v>229</v>
      </c>
      <c r="AB135" s="7" t="n">
        <v>4379.9</v>
      </c>
    </row>
    <row r="136">
      <c r="A136" s="4" t="inlineStr">
        <is>
          <t>车辆费</t>
        </is>
      </c>
      <c r="D136" s="7" t="n">
        <v>69.8</v>
      </c>
      <c r="F136" s="7" t="n">
        <v>343.3</v>
      </c>
      <c r="H136" s="7" t="n">
        <v>639.1</v>
      </c>
      <c r="J136" s="7" t="n">
        <v>308.9</v>
      </c>
      <c r="L136" s="7" t="n">
        <v>239.2</v>
      </c>
      <c r="N136" s="7" t="n">
        <v>286.7</v>
      </c>
      <c r="P136" s="7" t="n">
        <v>293.2</v>
      </c>
      <c r="R136" s="7" t="n">
        <v>169.7</v>
      </c>
      <c r="T136" s="7" t="n">
        <v>326.4</v>
      </c>
      <c r="V136" s="7" t="n">
        <v>146.4</v>
      </c>
      <c r="X136" s="7" t="n">
        <v>0</v>
      </c>
      <c r="Z136" s="7" t="n">
        <v>161.5</v>
      </c>
      <c r="AB136" s="7" t="n">
        <v>2984.2</v>
      </c>
    </row>
    <row r="137">
      <c r="A137" s="4" t="inlineStr">
        <is>
          <t>租赁费</t>
        </is>
      </c>
      <c r="D137" s="7" t="n">
        <v>701.6</v>
      </c>
      <c r="F137" s="7" t="n">
        <v>4898.8</v>
      </c>
      <c r="H137" s="7" t="n">
        <v>8239.6</v>
      </c>
      <c r="J137" s="7" t="n">
        <v>6227.3</v>
      </c>
      <c r="L137" s="7" t="n">
        <v>5568.1</v>
      </c>
      <c r="N137" s="7" t="n">
        <v>4363.6</v>
      </c>
      <c r="P137" s="7" t="n">
        <v>4249.8</v>
      </c>
      <c r="R137" s="7" t="n">
        <v>3856</v>
      </c>
      <c r="T137" s="7" t="n">
        <v>5799.1</v>
      </c>
      <c r="V137" s="7" t="n">
        <v>3039.8</v>
      </c>
      <c r="X137" s="7" t="n">
        <v>0</v>
      </c>
      <c r="Z137" s="7" t="n">
        <v>1941.9</v>
      </c>
      <c r="AB137" s="7" t="n">
        <v>48885.6</v>
      </c>
    </row>
    <row r="138">
      <c r="A138" s="4" t="inlineStr">
        <is>
          <t>能源费</t>
        </is>
      </c>
      <c r="D138" s="7" t="n">
        <v>267</v>
      </c>
      <c r="F138" s="7" t="n">
        <v>1573.4</v>
      </c>
      <c r="H138" s="7" t="n">
        <v>3153.9</v>
      </c>
      <c r="J138" s="7" t="n">
        <v>1470.5</v>
      </c>
      <c r="L138" s="7" t="n">
        <v>1291.4</v>
      </c>
      <c r="N138" s="7" t="n">
        <v>1810.6</v>
      </c>
      <c r="P138" s="7" t="n">
        <v>1398.4</v>
      </c>
      <c r="R138" s="7" t="n">
        <v>1093.6</v>
      </c>
      <c r="T138" s="7" t="n">
        <v>1798.5</v>
      </c>
      <c r="V138" s="7" t="n">
        <v>1019</v>
      </c>
      <c r="X138" s="7" t="n">
        <v>0</v>
      </c>
      <c r="Z138" s="7" t="n">
        <v>842.1</v>
      </c>
      <c r="AB138" s="7" t="n">
        <v>15718.4</v>
      </c>
    </row>
    <row r="139">
      <c r="A139" s="4" t="inlineStr">
        <is>
          <t>水费</t>
        </is>
      </c>
      <c r="D139" s="7" t="n">
        <v>61.4</v>
      </c>
      <c r="F139" s="7" t="n">
        <v>444.8</v>
      </c>
      <c r="H139" s="7" t="n">
        <v>944.7</v>
      </c>
      <c r="J139" s="7" t="n">
        <v>560.1</v>
      </c>
      <c r="L139" s="7" t="n">
        <v>358.7</v>
      </c>
      <c r="N139" s="7" t="n">
        <v>590.4</v>
      </c>
      <c r="P139" s="7" t="n">
        <v>433.9</v>
      </c>
      <c r="R139" s="7" t="n">
        <v>294.8</v>
      </c>
      <c r="T139" s="7" t="n">
        <v>634.7</v>
      </c>
      <c r="V139" s="7" t="n">
        <v>307.4</v>
      </c>
      <c r="X139" s="7" t="n">
        <v>0</v>
      </c>
      <c r="Z139" s="7" t="n">
        <v>249.8</v>
      </c>
      <c r="AB139" s="7" t="n">
        <v>4880.7</v>
      </c>
    </row>
    <row r="140">
      <c r="A140" s="4" t="inlineStr">
        <is>
          <t>电费</t>
        </is>
      </c>
      <c r="D140" s="7" t="n">
        <v>41.6</v>
      </c>
      <c r="F140" s="7" t="n">
        <v>144.2</v>
      </c>
      <c r="H140" s="7" t="n">
        <v>457.7</v>
      </c>
      <c r="J140" s="7" t="n">
        <v>185.8</v>
      </c>
      <c r="L140" s="7" t="n">
        <v>235.1</v>
      </c>
      <c r="N140" s="7" t="n">
        <v>207.3</v>
      </c>
      <c r="P140" s="7" t="n">
        <v>197.2</v>
      </c>
      <c r="R140" s="7" t="n">
        <v>158.4</v>
      </c>
      <c r="T140" s="7" t="n">
        <v>218</v>
      </c>
      <c r="V140" s="7" t="n">
        <v>105.1</v>
      </c>
      <c r="X140" s="7" t="n">
        <v>0</v>
      </c>
      <c r="Z140" s="7" t="n">
        <v>104.5</v>
      </c>
      <c r="AB140" s="7" t="n">
        <v>2054.9</v>
      </c>
    </row>
    <row r="141">
      <c r="A141" s="4" t="inlineStr">
        <is>
          <t>燃气费</t>
        </is>
      </c>
      <c r="D141" s="7" t="n">
        <v>39.7</v>
      </c>
      <c r="F141" s="7" t="n">
        <v>283.1</v>
      </c>
      <c r="H141" s="7" t="n">
        <v>525.2</v>
      </c>
      <c r="J141" s="7" t="n">
        <v>223.6</v>
      </c>
      <c r="L141" s="7" t="n">
        <v>190.9</v>
      </c>
      <c r="N141" s="7" t="n">
        <v>388.3</v>
      </c>
      <c r="P141" s="7" t="n">
        <v>226.5</v>
      </c>
      <c r="R141" s="7" t="n">
        <v>177.5</v>
      </c>
      <c r="T141" s="7" t="n">
        <v>363.2</v>
      </c>
      <c r="V141" s="7" t="n">
        <v>180.9</v>
      </c>
      <c r="X141" s="7" t="n">
        <v>0</v>
      </c>
      <c r="Z141" s="7" t="n">
        <v>105.9</v>
      </c>
      <c r="AB141" s="7" t="n">
        <v>2704.8</v>
      </c>
    </row>
    <row r="142">
      <c r="A142" s="4" t="inlineStr">
        <is>
          <t>蒸汽费</t>
        </is>
      </c>
      <c r="D142" s="7" t="n">
        <v>124.3</v>
      </c>
      <c r="F142" s="7" t="n">
        <v>701.3</v>
      </c>
      <c r="H142" s="7" t="n">
        <v>1226.3</v>
      </c>
      <c r="J142" s="7" t="n">
        <v>501</v>
      </c>
      <c r="L142" s="7" t="n">
        <v>506.7</v>
      </c>
      <c r="N142" s="7" t="n">
        <v>624.6</v>
      </c>
      <c r="P142" s="7" t="n">
        <v>540.8</v>
      </c>
      <c r="R142" s="7" t="n">
        <v>462.9</v>
      </c>
      <c r="T142" s="7" t="n">
        <v>582.6</v>
      </c>
      <c r="V142" s="7" t="n">
        <v>425.6</v>
      </c>
      <c r="X142" s="7" t="n">
        <v>0</v>
      </c>
      <c r="Z142" s="7" t="n">
        <v>381.9</v>
      </c>
      <c r="AB142" s="7" t="n">
        <v>6078</v>
      </c>
    </row>
    <row r="143">
      <c r="A143" s="4" t="inlineStr">
        <is>
          <t>物业费</t>
        </is>
      </c>
      <c r="D143" s="7" t="n">
        <v>29</v>
      </c>
      <c r="F143" s="7" t="n">
        <v>99.8</v>
      </c>
      <c r="H143" s="7" t="n">
        <v>284.8</v>
      </c>
      <c r="J143" s="7" t="n">
        <v>99.90000000000001</v>
      </c>
      <c r="L143" s="7" t="n">
        <v>128.8</v>
      </c>
      <c r="N143" s="7" t="n">
        <v>114.9</v>
      </c>
      <c r="P143" s="7" t="n">
        <v>102.8</v>
      </c>
      <c r="R143" s="7" t="n">
        <v>63.5</v>
      </c>
      <c r="T143" s="7" t="n">
        <v>144.5</v>
      </c>
      <c r="V143" s="7" t="n">
        <v>77.40000000000001</v>
      </c>
      <c r="X143" s="7" t="n">
        <v>0</v>
      </c>
      <c r="Z143" s="7" t="n">
        <v>69.8</v>
      </c>
      <c r="AB143" s="7" t="n">
        <v>1215.2</v>
      </c>
    </row>
    <row r="144">
      <c r="A144" s="4" t="inlineStr">
        <is>
          <t>劳动保护费</t>
        </is>
      </c>
      <c r="D144" s="7" t="n">
        <v>92.2</v>
      </c>
      <c r="F144" s="7" t="n">
        <v>635.8</v>
      </c>
      <c r="H144" s="7" t="n">
        <v>1081.8</v>
      </c>
      <c r="J144" s="7" t="n">
        <v>469.9</v>
      </c>
      <c r="L144" s="7" t="n">
        <v>583.8</v>
      </c>
      <c r="N144" s="7" t="n">
        <v>736.8</v>
      </c>
      <c r="P144" s="7" t="n">
        <v>619.5</v>
      </c>
      <c r="R144" s="7" t="n">
        <v>469.9</v>
      </c>
      <c r="T144" s="7" t="n">
        <v>742</v>
      </c>
      <c r="V144" s="7" t="n">
        <v>260.7</v>
      </c>
      <c r="X144" s="7" t="n">
        <v>0</v>
      </c>
      <c r="Z144" s="7" t="n">
        <v>300.7</v>
      </c>
      <c r="AB144" s="7" t="n">
        <v>5993.1</v>
      </c>
    </row>
    <row r="145">
      <c r="A145" s="4" t="inlineStr">
        <is>
          <t>顾问费</t>
        </is>
      </c>
      <c r="D145" s="7" t="n">
        <v>104.5</v>
      </c>
      <c r="F145" s="7" t="n">
        <v>341</v>
      </c>
      <c r="H145" s="7" t="n">
        <v>693.8</v>
      </c>
      <c r="J145" s="7" t="n">
        <v>512</v>
      </c>
      <c r="L145" s="7" t="n">
        <v>300</v>
      </c>
      <c r="N145" s="7" t="n">
        <v>582.8</v>
      </c>
      <c r="P145" s="7" t="n">
        <v>354.7</v>
      </c>
      <c r="R145" s="7" t="n">
        <v>280.2</v>
      </c>
      <c r="T145" s="7" t="n">
        <v>651.6</v>
      </c>
      <c r="V145" s="7" t="n">
        <v>204.3</v>
      </c>
      <c r="X145" s="7" t="n">
        <v>0</v>
      </c>
      <c r="Z145" s="7" t="n">
        <v>217.2</v>
      </c>
      <c r="AB145" s="7" t="n">
        <v>4242.1</v>
      </c>
    </row>
    <row r="146">
      <c r="A146" s="4" t="inlineStr">
        <is>
          <t>快递费</t>
        </is>
      </c>
      <c r="D146" s="7" t="n">
        <v>6.1</v>
      </c>
      <c r="F146" s="7" t="n">
        <v>31.6</v>
      </c>
      <c r="H146" s="7" t="n">
        <v>61.5</v>
      </c>
      <c r="J146" s="7" t="n">
        <v>28.2</v>
      </c>
      <c r="L146" s="7" t="n">
        <v>19.4</v>
      </c>
      <c r="N146" s="7" t="n">
        <v>43.7</v>
      </c>
      <c r="P146" s="7" t="n">
        <v>20.1</v>
      </c>
      <c r="R146" s="7" t="n">
        <v>16.3</v>
      </c>
      <c r="T146" s="7" t="n">
        <v>32</v>
      </c>
      <c r="V146" s="7" t="n">
        <v>17.8</v>
      </c>
      <c r="X146" s="7" t="n">
        <v>0</v>
      </c>
      <c r="Z146" s="7" t="n">
        <v>13.6</v>
      </c>
      <c r="AB146" s="7" t="n">
        <v>290.3</v>
      </c>
    </row>
    <row r="147">
      <c r="A147" s="4" t="inlineStr">
        <is>
          <t>诉讼费</t>
        </is>
      </c>
      <c r="D147" s="7" t="n">
        <v>15.7</v>
      </c>
      <c r="F147" s="7" t="n">
        <v>59.2</v>
      </c>
      <c r="H147" s="7" t="n">
        <v>165</v>
      </c>
      <c r="J147" s="7" t="n">
        <v>89.2</v>
      </c>
      <c r="L147" s="7" t="n">
        <v>60.4</v>
      </c>
      <c r="N147" s="7" t="n">
        <v>100.4</v>
      </c>
      <c r="P147" s="7" t="n">
        <v>56.3</v>
      </c>
      <c r="R147" s="7" t="n">
        <v>35.6</v>
      </c>
      <c r="T147" s="7" t="n">
        <v>78.2</v>
      </c>
      <c r="V147" s="7" t="n">
        <v>50.8</v>
      </c>
      <c r="X147" s="7" t="n">
        <v>0</v>
      </c>
      <c r="Z147" s="7" t="n">
        <v>44.1</v>
      </c>
      <c r="AB147" s="7" t="n">
        <v>754.9</v>
      </c>
    </row>
    <row r="148">
      <c r="A148" s="4" t="inlineStr">
        <is>
          <t>会员费</t>
        </is>
      </c>
      <c r="D148" s="7" t="n">
        <v>41.3</v>
      </c>
      <c r="F148" s="7" t="n">
        <v>178.5</v>
      </c>
      <c r="H148" s="7" t="n">
        <v>360.6</v>
      </c>
      <c r="J148" s="7" t="n">
        <v>142.2</v>
      </c>
      <c r="L148" s="7" t="n">
        <v>192.9</v>
      </c>
      <c r="N148" s="7" t="n">
        <v>242.2</v>
      </c>
      <c r="P148" s="7" t="n">
        <v>99.2</v>
      </c>
      <c r="R148" s="7" t="n">
        <v>95.5</v>
      </c>
      <c r="T148" s="7" t="n">
        <v>197.5</v>
      </c>
      <c r="V148" s="7" t="n">
        <v>111.2</v>
      </c>
      <c r="X148" s="7" t="n">
        <v>0</v>
      </c>
      <c r="Z148" s="7" t="n">
        <v>66.2</v>
      </c>
      <c r="AB148" s="7" t="n">
        <v>1727.3</v>
      </c>
    </row>
    <row r="149">
      <c r="A149" s="4" t="inlineStr">
        <is>
          <t>广告宣传费</t>
        </is>
      </c>
      <c r="D149" s="7" t="n">
        <v>620.5</v>
      </c>
      <c r="F149" s="7" t="n">
        <v>2703.9</v>
      </c>
      <c r="H149" s="7" t="n">
        <v>4207.3</v>
      </c>
      <c r="J149" s="7" t="n">
        <v>3644.8</v>
      </c>
      <c r="L149" s="7" t="n">
        <v>2036.2</v>
      </c>
      <c r="N149" s="7" t="n">
        <v>3500.4</v>
      </c>
      <c r="P149" s="7" t="n">
        <v>2043.8</v>
      </c>
      <c r="R149" s="7" t="n">
        <v>1401.6</v>
      </c>
      <c r="T149" s="7" t="n">
        <v>4212</v>
      </c>
      <c r="V149" s="7" t="n">
        <v>1818</v>
      </c>
      <c r="X149" s="7" t="n">
        <v>0</v>
      </c>
      <c r="Z149" s="7" t="n">
        <v>1340.7</v>
      </c>
      <c r="AB149" s="7" t="n">
        <v>27529.2</v>
      </c>
    </row>
    <row r="150">
      <c r="A150" s="4" t="inlineStr">
        <is>
          <t>会务费</t>
        </is>
      </c>
      <c r="D150" s="7" t="n">
        <v>16.4</v>
      </c>
      <c r="F150" s="7" t="n">
        <v>87.90000000000001</v>
      </c>
      <c r="H150" s="7" t="n">
        <v>241.1</v>
      </c>
      <c r="J150" s="7" t="n">
        <v>134.9</v>
      </c>
      <c r="L150" s="7" t="n">
        <v>89</v>
      </c>
      <c r="N150" s="7" t="n">
        <v>92.8</v>
      </c>
      <c r="P150" s="7" t="n">
        <v>75.40000000000001</v>
      </c>
      <c r="R150" s="7" t="n">
        <v>74.59999999999999</v>
      </c>
      <c r="T150" s="7" t="n">
        <v>124.7</v>
      </c>
      <c r="V150" s="7" t="n">
        <v>74.8</v>
      </c>
      <c r="X150" s="7" t="n">
        <v>0</v>
      </c>
      <c r="Z150" s="7" t="n">
        <v>50.7</v>
      </c>
      <c r="AB150" s="7" t="n">
        <v>1062.3</v>
      </c>
    </row>
    <row r="151">
      <c r="A151" s="4" t="inlineStr">
        <is>
          <t>装修费</t>
        </is>
      </c>
      <c r="D151" s="7" t="n">
        <v>30.7</v>
      </c>
      <c r="F151" s="7" t="n">
        <v>178.6</v>
      </c>
      <c r="H151" s="7" t="n">
        <v>336.8</v>
      </c>
      <c r="J151" s="7" t="n">
        <v>188.4</v>
      </c>
      <c r="L151" s="7" t="n">
        <v>195.3</v>
      </c>
      <c r="N151" s="7" t="n">
        <v>255.1</v>
      </c>
      <c r="P151" s="7" t="n">
        <v>158.4</v>
      </c>
      <c r="R151" s="7" t="n">
        <v>106.3</v>
      </c>
      <c r="T151" s="7" t="n">
        <v>239.9</v>
      </c>
      <c r="V151" s="7" t="n">
        <v>149.4</v>
      </c>
      <c r="X151" s="7" t="n">
        <v>0</v>
      </c>
      <c r="Z151" s="7" t="n">
        <v>85.7</v>
      </c>
      <c r="AB151" s="7" t="n">
        <v>1924.6</v>
      </c>
    </row>
    <row r="152">
      <c r="A152" s="4" t="inlineStr">
        <is>
          <t>推广费</t>
        </is>
      </c>
      <c r="D152" s="7" t="n">
        <v>97.90000000000001</v>
      </c>
      <c r="F152" s="7" t="n">
        <v>345.4</v>
      </c>
      <c r="H152" s="7" t="n">
        <v>692.1</v>
      </c>
      <c r="J152" s="7" t="n">
        <v>635.2</v>
      </c>
      <c r="L152" s="7" t="n">
        <v>507.5</v>
      </c>
      <c r="N152" s="7" t="n">
        <v>707.6</v>
      </c>
      <c r="P152" s="7" t="n">
        <v>438.1</v>
      </c>
      <c r="R152" s="7" t="n">
        <v>268.6</v>
      </c>
      <c r="T152" s="7" t="n">
        <v>489</v>
      </c>
      <c r="V152" s="7" t="n">
        <v>217.9</v>
      </c>
      <c r="X152" s="7" t="n">
        <v>0</v>
      </c>
      <c r="Z152" s="7" t="n">
        <v>282.5</v>
      </c>
      <c r="AB152" s="7" t="n">
        <v>4681.8</v>
      </c>
    </row>
    <row r="153">
      <c r="A153" s="4" t="inlineStr">
        <is>
          <t>展会费</t>
        </is>
      </c>
      <c r="D153" s="7" t="n">
        <v>6.5</v>
      </c>
      <c r="F153" s="7" t="n">
        <v>23.8</v>
      </c>
      <c r="H153" s="7" t="n">
        <v>44.9</v>
      </c>
      <c r="J153" s="7" t="n">
        <v>32.6</v>
      </c>
      <c r="L153" s="7" t="n">
        <v>20.6</v>
      </c>
      <c r="N153" s="7" t="n">
        <v>42.4</v>
      </c>
      <c r="P153" s="7" t="n">
        <v>17.3</v>
      </c>
      <c r="R153" s="7" t="n">
        <v>20.7</v>
      </c>
      <c r="T153" s="7" t="n">
        <v>40.2</v>
      </c>
      <c r="V153" s="7" t="n">
        <v>20.1</v>
      </c>
      <c r="X153" s="7" t="n">
        <v>0</v>
      </c>
      <c r="Z153" s="7" t="n">
        <v>16.9</v>
      </c>
      <c r="AB153" s="7" t="n">
        <v>286</v>
      </c>
    </row>
    <row r="154">
      <c r="A154" s="4" t="inlineStr">
        <is>
          <t>设计费</t>
        </is>
      </c>
      <c r="D154" s="7" t="n">
        <v>6.3</v>
      </c>
      <c r="F154" s="7" t="n">
        <v>37.6</v>
      </c>
      <c r="H154" s="7" t="n">
        <v>62.3</v>
      </c>
      <c r="J154" s="7" t="n">
        <v>39.8</v>
      </c>
      <c r="L154" s="7" t="n">
        <v>42.7</v>
      </c>
      <c r="N154" s="7" t="n">
        <v>55.5</v>
      </c>
      <c r="P154" s="7" t="n">
        <v>29</v>
      </c>
      <c r="R154" s="7" t="n">
        <v>20.7</v>
      </c>
      <c r="T154" s="7" t="n">
        <v>46.6</v>
      </c>
      <c r="V154" s="7" t="n">
        <v>32.8</v>
      </c>
      <c r="X154" s="7" t="n">
        <v>0</v>
      </c>
      <c r="Z154" s="7" t="n">
        <v>20.8</v>
      </c>
      <c r="AB154" s="7" t="n">
        <v>394.1</v>
      </c>
    </row>
    <row r="155">
      <c r="A155" s="4" t="inlineStr">
        <is>
          <t>折旧费</t>
        </is>
      </c>
      <c r="D155" s="7" t="n">
        <v>824.8</v>
      </c>
      <c r="F155" s="7" t="n">
        <v>4753.6</v>
      </c>
      <c r="H155" s="7" t="n">
        <v>7578.2</v>
      </c>
      <c r="J155" s="7" t="n">
        <v>4263.7</v>
      </c>
      <c r="L155" s="7" t="n">
        <v>4217.8</v>
      </c>
      <c r="N155" s="7" t="n">
        <v>6121.4</v>
      </c>
      <c r="P155" s="7" t="n">
        <v>2631.1</v>
      </c>
      <c r="R155" s="7" t="n">
        <v>2328.9</v>
      </c>
      <c r="T155" s="7" t="n">
        <v>5037</v>
      </c>
      <c r="V155" s="7" t="n">
        <v>2301.4</v>
      </c>
      <c r="X155" s="7" t="n">
        <v>0</v>
      </c>
      <c r="Z155" s="7" t="n">
        <v>2135.5</v>
      </c>
      <c r="AB155" s="7" t="n">
        <v>42193.4</v>
      </c>
    </row>
    <row r="156">
      <c r="A156" s="4" t="inlineStr">
        <is>
          <t>认证费</t>
        </is>
      </c>
      <c r="D156" s="7" t="n">
        <v>13.5</v>
      </c>
      <c r="F156" s="7" t="n">
        <v>82.7</v>
      </c>
      <c r="H156" s="7" t="n">
        <v>188.8</v>
      </c>
      <c r="J156" s="7" t="n">
        <v>119.7</v>
      </c>
      <c r="L156" s="7" t="n">
        <v>68.5</v>
      </c>
      <c r="N156" s="7" t="n">
        <v>106.9</v>
      </c>
      <c r="P156" s="7" t="n">
        <v>64</v>
      </c>
      <c r="R156" s="7" t="n">
        <v>75.2</v>
      </c>
      <c r="T156" s="7" t="n">
        <v>116</v>
      </c>
      <c r="V156" s="7" t="n">
        <v>69.3</v>
      </c>
      <c r="X156" s="7" t="n">
        <v>0</v>
      </c>
      <c r="Z156" s="7" t="n">
        <v>49.5</v>
      </c>
      <c r="AB156" s="7" t="n">
        <v>954.1</v>
      </c>
    </row>
    <row r="157">
      <c r="A157" s="4" t="inlineStr">
        <is>
          <t>样品费</t>
        </is>
      </c>
      <c r="D157" s="7" t="n">
        <v>466.5</v>
      </c>
      <c r="F157" s="7" t="n">
        <v>2093.1</v>
      </c>
      <c r="H157" s="7" t="n">
        <v>3102.7</v>
      </c>
      <c r="J157" s="7" t="n">
        <v>1573.2</v>
      </c>
      <c r="L157" s="7" t="n">
        <v>1429.1</v>
      </c>
      <c r="N157" s="7" t="n">
        <v>1858.6</v>
      </c>
      <c r="P157" s="7" t="n">
        <v>1902</v>
      </c>
      <c r="R157" s="7" t="n">
        <v>846</v>
      </c>
      <c r="T157" s="7" t="n">
        <v>2054.4</v>
      </c>
      <c r="V157" s="7" t="n">
        <v>901.3</v>
      </c>
      <c r="X157" s="7" t="n">
        <v>0</v>
      </c>
      <c r="Z157" s="7" t="n">
        <v>693.1</v>
      </c>
      <c r="AB157" s="7" t="n">
        <v>16920</v>
      </c>
    </row>
    <row r="158">
      <c r="A158" s="4" t="inlineStr">
        <is>
          <t>劳务费</t>
        </is>
      </c>
      <c r="D158" s="7" t="n">
        <v>9.800000000000001</v>
      </c>
      <c r="F158" s="7" t="n">
        <v>46.3</v>
      </c>
      <c r="H158" s="7" t="n">
        <v>89.40000000000001</v>
      </c>
      <c r="J158" s="7" t="n">
        <v>71</v>
      </c>
      <c r="L158" s="7" t="n">
        <v>50.2</v>
      </c>
      <c r="N158" s="7" t="n">
        <v>49.8</v>
      </c>
      <c r="P158" s="7" t="n">
        <v>37.2</v>
      </c>
      <c r="R158" s="7" t="n">
        <v>34.8</v>
      </c>
      <c r="T158" s="7" t="n">
        <v>69.3</v>
      </c>
      <c r="V158" s="7" t="n">
        <v>26.4</v>
      </c>
      <c r="X158" s="7" t="n">
        <v>0</v>
      </c>
      <c r="Z158" s="7" t="n">
        <v>34</v>
      </c>
      <c r="AB158" s="7" t="n">
        <v>518.2</v>
      </c>
    </row>
    <row r="159">
      <c r="A159" s="4" t="inlineStr">
        <is>
          <t>销售佣金</t>
        </is>
      </c>
      <c r="D159" s="7" t="n">
        <v>114.3</v>
      </c>
      <c r="F159" s="7" t="n">
        <v>482.5</v>
      </c>
      <c r="H159" s="7" t="n">
        <v>1290.7</v>
      </c>
      <c r="J159" s="7" t="n">
        <v>577.5</v>
      </c>
      <c r="L159" s="7" t="n">
        <v>553.5</v>
      </c>
      <c r="N159" s="7" t="n">
        <v>690.9</v>
      </c>
      <c r="P159" s="7" t="n">
        <v>432</v>
      </c>
      <c r="R159" s="7" t="n">
        <v>431.5</v>
      </c>
      <c r="T159" s="7" t="n">
        <v>868.6</v>
      </c>
      <c r="V159" s="7" t="n">
        <v>315.1</v>
      </c>
      <c r="X159" s="7" t="n">
        <v>0</v>
      </c>
      <c r="Z159" s="7" t="n">
        <v>292</v>
      </c>
      <c r="AB159" s="7" t="n">
        <v>6048.6</v>
      </c>
    </row>
    <row r="160">
      <c r="A160" s="4" t="inlineStr">
        <is>
          <t>检测费</t>
        </is>
      </c>
      <c r="D160" s="7" t="n">
        <v>109.8</v>
      </c>
      <c r="F160" s="7" t="n">
        <v>453</v>
      </c>
      <c r="H160" s="7" t="n">
        <v>1201.2</v>
      </c>
      <c r="J160" s="7" t="n">
        <v>559.7</v>
      </c>
      <c r="L160" s="7" t="n">
        <v>504.1</v>
      </c>
      <c r="N160" s="7" t="n">
        <v>562.5</v>
      </c>
      <c r="P160" s="7" t="n">
        <v>413.3</v>
      </c>
      <c r="R160" s="7" t="n">
        <v>247.1</v>
      </c>
      <c r="T160" s="7" t="n">
        <v>570.2</v>
      </c>
      <c r="V160" s="7" t="n">
        <v>234.3</v>
      </c>
      <c r="X160" s="7" t="n">
        <v>0</v>
      </c>
      <c r="Z160" s="7" t="n">
        <v>184.5</v>
      </c>
      <c r="AB160" s="7" t="n">
        <v>5039.7</v>
      </c>
    </row>
    <row r="161">
      <c r="A161" s="4" t="inlineStr">
        <is>
          <t>质量赔偿</t>
        </is>
      </c>
      <c r="D161" s="7" t="n">
        <v>72.40000000000001</v>
      </c>
      <c r="F161" s="7" t="n">
        <v>484.2</v>
      </c>
      <c r="H161" s="7" t="n">
        <v>976.6</v>
      </c>
      <c r="J161" s="7" t="n">
        <v>603.4</v>
      </c>
      <c r="L161" s="7" t="n">
        <v>429.4</v>
      </c>
      <c r="N161" s="7" t="n">
        <v>682.3</v>
      </c>
      <c r="P161" s="7" t="n">
        <v>453.4</v>
      </c>
      <c r="R161" s="7" t="n">
        <v>340</v>
      </c>
      <c r="T161" s="7" t="n">
        <v>469.7</v>
      </c>
      <c r="V161" s="7" t="n">
        <v>216</v>
      </c>
      <c r="X161" s="7" t="n">
        <v>0</v>
      </c>
      <c r="Z161" s="7" t="n">
        <v>230.5</v>
      </c>
      <c r="AB161" s="7" t="n">
        <v>4957.9</v>
      </c>
    </row>
    <row r="162">
      <c r="A162" s="4" t="inlineStr">
        <is>
          <t>保险费</t>
        </is>
      </c>
      <c r="D162" s="7" t="n">
        <v>90.5</v>
      </c>
      <c r="F162" s="7" t="n">
        <v>453.9</v>
      </c>
      <c r="H162" s="7" t="n">
        <v>978</v>
      </c>
      <c r="J162" s="7" t="n">
        <v>489.9</v>
      </c>
      <c r="L162" s="7" t="n">
        <v>414.4</v>
      </c>
      <c r="N162" s="7" t="n">
        <v>521.7</v>
      </c>
      <c r="P162" s="7" t="n">
        <v>334.5</v>
      </c>
      <c r="R162" s="7" t="n">
        <v>262.5</v>
      </c>
      <c r="T162" s="7" t="n">
        <v>394.8</v>
      </c>
      <c r="V162" s="7" t="n">
        <v>247.8</v>
      </c>
      <c r="X162" s="7" t="n">
        <v>0</v>
      </c>
      <c r="Z162" s="7" t="n">
        <v>158.6</v>
      </c>
      <c r="AB162" s="7" t="n">
        <v>4346.6</v>
      </c>
    </row>
    <row r="163">
      <c r="A163" s="4" t="inlineStr">
        <is>
          <t>清洁费</t>
        </is>
      </c>
      <c r="D163" s="7" t="n">
        <v>94.2</v>
      </c>
      <c r="F163" s="7" t="n">
        <v>332.3</v>
      </c>
      <c r="H163" s="7" t="n">
        <v>854.2</v>
      </c>
      <c r="J163" s="7" t="n">
        <v>564.9</v>
      </c>
      <c r="L163" s="7" t="n">
        <v>306.8</v>
      </c>
      <c r="N163" s="7" t="n">
        <v>523.6</v>
      </c>
      <c r="P163" s="7" t="n">
        <v>299.2</v>
      </c>
      <c r="R163" s="7" t="n">
        <v>244.6</v>
      </c>
      <c r="T163" s="7" t="n">
        <v>495.1</v>
      </c>
      <c r="V163" s="7" t="n">
        <v>277.7</v>
      </c>
      <c r="X163" s="7" t="n">
        <v>0</v>
      </c>
      <c r="Z163" s="7" t="n">
        <v>259</v>
      </c>
      <c r="AB163" s="7" t="n">
        <v>4251.6</v>
      </c>
    </row>
    <row r="164">
      <c r="A164" s="4" t="inlineStr">
        <is>
          <t>低值易耗品</t>
        </is>
      </c>
      <c r="D164" s="7" t="n">
        <v>33.3</v>
      </c>
      <c r="F164" s="7" t="n">
        <v>114.9</v>
      </c>
      <c r="H164" s="7" t="n">
        <v>345.9</v>
      </c>
      <c r="J164" s="7" t="n">
        <v>159.5</v>
      </c>
      <c r="L164" s="7" t="n">
        <v>107.1</v>
      </c>
      <c r="N164" s="7" t="n">
        <v>144.6</v>
      </c>
      <c r="P164" s="7" t="n">
        <v>134.4</v>
      </c>
      <c r="R164" s="7" t="n">
        <v>100.4</v>
      </c>
      <c r="T164" s="7" t="n">
        <v>178.1</v>
      </c>
      <c r="V164" s="7" t="n">
        <v>97.2</v>
      </c>
      <c r="X164" s="7" t="n">
        <v>0</v>
      </c>
      <c r="Z164" s="7" t="n">
        <v>68.3</v>
      </c>
      <c r="AB164" s="7" t="n">
        <v>1483.7</v>
      </c>
    </row>
    <row r="165">
      <c r="A165" s="4" t="inlineStr">
        <is>
          <t>物料消耗</t>
        </is>
      </c>
      <c r="D165" s="7" t="n">
        <v>129</v>
      </c>
      <c r="F165" s="7" t="n">
        <v>477.4</v>
      </c>
      <c r="H165" s="7" t="n">
        <v>836.9</v>
      </c>
      <c r="J165" s="7" t="n">
        <v>464</v>
      </c>
      <c r="L165" s="7" t="n">
        <v>349.7</v>
      </c>
      <c r="N165" s="7" t="n">
        <v>469</v>
      </c>
      <c r="P165" s="7" t="n">
        <v>362</v>
      </c>
      <c r="R165" s="7" t="n">
        <v>403</v>
      </c>
      <c r="T165" s="7" t="n">
        <v>617.4</v>
      </c>
      <c r="V165" s="7" t="n">
        <v>327.8</v>
      </c>
      <c r="X165" s="7" t="n">
        <v>0</v>
      </c>
      <c r="Z165" s="7" t="n">
        <v>204.1</v>
      </c>
      <c r="AB165" s="7" t="n">
        <v>4640.3</v>
      </c>
    </row>
    <row r="166">
      <c r="A166" s="4" t="inlineStr">
        <is>
          <t>盘盈盘亏</t>
        </is>
      </c>
      <c r="D166" s="7" t="n">
        <v>78</v>
      </c>
      <c r="F166" s="7" t="n">
        <v>264</v>
      </c>
      <c r="H166" s="7" t="n">
        <v>641.8</v>
      </c>
      <c r="J166" s="7" t="n">
        <v>354.8</v>
      </c>
      <c r="L166" s="7" t="n">
        <v>349.9</v>
      </c>
      <c r="N166" s="7" t="n">
        <v>321.6</v>
      </c>
      <c r="P166" s="7" t="n">
        <v>200.4</v>
      </c>
      <c r="R166" s="7" t="n">
        <v>229.3</v>
      </c>
      <c r="T166" s="7" t="n">
        <v>430.8</v>
      </c>
      <c r="V166" s="7" t="n">
        <v>145.6</v>
      </c>
      <c r="X166" s="7" t="n">
        <v>0</v>
      </c>
      <c r="Z166" s="7" t="n">
        <v>148.3</v>
      </c>
      <c r="AB166" s="7" t="n">
        <v>3164.5</v>
      </c>
    </row>
    <row r="167">
      <c r="A167" s="4" t="inlineStr">
        <is>
          <t>平台服务费</t>
        </is>
      </c>
      <c r="D167" s="7" t="n">
        <v>123.8</v>
      </c>
      <c r="F167" s="7" t="n">
        <v>488.7</v>
      </c>
      <c r="H167" s="7" t="n">
        <v>794.1</v>
      </c>
      <c r="J167" s="7" t="n">
        <v>679.9</v>
      </c>
      <c r="L167" s="7" t="n">
        <v>388.1</v>
      </c>
      <c r="N167" s="7" t="n">
        <v>632.9</v>
      </c>
      <c r="P167" s="7" t="n">
        <v>435.4</v>
      </c>
      <c r="R167" s="7" t="n">
        <v>393.5</v>
      </c>
      <c r="T167" s="7" t="n">
        <v>742.4</v>
      </c>
      <c r="V167" s="7" t="n">
        <v>312.7</v>
      </c>
      <c r="X167" s="7" t="n">
        <v>0</v>
      </c>
      <c r="Z167" s="7" t="n">
        <v>265.4</v>
      </c>
      <c r="AB167" s="7" t="n">
        <v>5256.9</v>
      </c>
    </row>
    <row r="168">
      <c r="A168" s="4" t="inlineStr">
        <is>
          <t>无形资产摊销</t>
        </is>
      </c>
      <c r="D168" s="7" t="n">
        <v>37.1</v>
      </c>
      <c r="F168" s="7" t="n">
        <v>240.1</v>
      </c>
      <c r="H168" s="7" t="n">
        <v>490.1</v>
      </c>
      <c r="J168" s="7" t="n">
        <v>225.5</v>
      </c>
      <c r="L168" s="7" t="n">
        <v>201.3</v>
      </c>
      <c r="N168" s="7" t="n">
        <v>219.6</v>
      </c>
      <c r="P168" s="7" t="n">
        <v>195.7</v>
      </c>
      <c r="R168" s="7" t="n">
        <v>128.9</v>
      </c>
      <c r="T168" s="7" t="n">
        <v>196.3</v>
      </c>
      <c r="V168" s="7" t="n">
        <v>164.3</v>
      </c>
      <c r="X168" s="7" t="n">
        <v>0</v>
      </c>
      <c r="Z168" s="7" t="n">
        <v>146.2</v>
      </c>
      <c r="AB168" s="7" t="n">
        <v>2245.1</v>
      </c>
    </row>
    <row r="169">
      <c r="A169" s="4" t="inlineStr">
        <is>
          <t>研发材料</t>
        </is>
      </c>
      <c r="D169" s="7" t="n">
        <v>81.09999999999999</v>
      </c>
      <c r="F169" s="7" t="n">
        <v>400.3</v>
      </c>
      <c r="H169" s="7" t="n">
        <v>846.2</v>
      </c>
      <c r="J169" s="7" t="n">
        <v>673.6</v>
      </c>
      <c r="L169" s="7" t="n">
        <v>477.4</v>
      </c>
      <c r="N169" s="7" t="n">
        <v>708.4</v>
      </c>
      <c r="P169" s="7" t="n">
        <v>482.6</v>
      </c>
      <c r="R169" s="7" t="n">
        <v>316.1</v>
      </c>
      <c r="T169" s="7" t="n">
        <v>448.9</v>
      </c>
      <c r="V169" s="7" t="n">
        <v>222.4</v>
      </c>
      <c r="X169" s="7" t="n">
        <v>0</v>
      </c>
      <c r="Z169" s="7" t="n">
        <v>197.7</v>
      </c>
      <c r="AB169" s="7" t="n">
        <v>4854.7</v>
      </c>
    </row>
    <row r="170">
      <c r="A170" s="4" t="inlineStr">
        <is>
          <t>项目名称</t>
        </is>
      </c>
      <c r="D170" s="7" t="n">
        <v>30.7</v>
      </c>
      <c r="F170" s="7" t="n">
        <v>156.4</v>
      </c>
      <c r="H170" s="7" t="n">
        <v>320.3</v>
      </c>
      <c r="J170" s="7" t="n">
        <v>104.8</v>
      </c>
      <c r="L170" s="7" t="n">
        <v>94.8</v>
      </c>
      <c r="N170" s="7" t="n">
        <v>170.4</v>
      </c>
      <c r="P170" s="7" t="n">
        <v>126.9</v>
      </c>
      <c r="R170" s="7" t="n">
        <v>94.09999999999999</v>
      </c>
      <c r="T170" s="7" t="n">
        <v>168.6</v>
      </c>
      <c r="V170" s="7" t="n">
        <v>74.7</v>
      </c>
      <c r="X170" s="7" t="n">
        <v>0</v>
      </c>
      <c r="Z170" s="7" t="n">
        <v>59.7</v>
      </c>
      <c r="AB170" s="7" t="n">
        <v>1401.4</v>
      </c>
    </row>
    <row r="171">
      <c r="A171" s="4" t="inlineStr">
        <is>
          <t>研发费</t>
        </is>
      </c>
      <c r="D171" s="7" t="n">
        <v>67.09999999999999</v>
      </c>
      <c r="F171" s="7" t="n">
        <v>327.6</v>
      </c>
      <c r="H171" s="7" t="n">
        <v>487.1</v>
      </c>
      <c r="J171" s="7" t="n">
        <v>356.6</v>
      </c>
      <c r="L171" s="7" t="n">
        <v>223.3</v>
      </c>
      <c r="N171" s="7" t="n">
        <v>260.5</v>
      </c>
      <c r="P171" s="7" t="n">
        <v>234.9</v>
      </c>
      <c r="R171" s="7" t="n">
        <v>184.9</v>
      </c>
      <c r="T171" s="7" t="n">
        <v>301.3</v>
      </c>
      <c r="V171" s="7" t="n">
        <v>197.4</v>
      </c>
      <c r="X171" s="7" t="n">
        <v>0</v>
      </c>
      <c r="Z171" s="7" t="n">
        <v>197.3</v>
      </c>
      <c r="AB171" s="7" t="n">
        <v>2838</v>
      </c>
    </row>
    <row r="172">
      <c r="A172" s="4" t="inlineStr">
        <is>
          <t>残保金</t>
        </is>
      </c>
      <c r="D172" s="7" t="n">
        <v>13.6</v>
      </c>
      <c r="F172" s="7" t="n">
        <v>69</v>
      </c>
      <c r="H172" s="7" t="n">
        <v>143.5</v>
      </c>
      <c r="J172" s="7" t="n">
        <v>83.7</v>
      </c>
      <c r="L172" s="7" t="n">
        <v>63.9</v>
      </c>
      <c r="N172" s="7" t="n">
        <v>125.2</v>
      </c>
      <c r="P172" s="7" t="n">
        <v>84.2</v>
      </c>
      <c r="R172" s="7" t="n">
        <v>55.8</v>
      </c>
      <c r="T172" s="7" t="n">
        <v>108.5</v>
      </c>
      <c r="V172" s="7" t="n">
        <v>62.2</v>
      </c>
      <c r="X172" s="7" t="n">
        <v>0</v>
      </c>
      <c r="Z172" s="7" t="n">
        <v>49.8</v>
      </c>
      <c r="AB172" s="7" t="n">
        <v>859.4</v>
      </c>
    </row>
    <row r="173">
      <c r="A173" s="4" t="inlineStr">
        <is>
          <t>环保费</t>
        </is>
      </c>
      <c r="D173" s="7" t="n">
        <v>72.3</v>
      </c>
      <c r="F173" s="7" t="n">
        <v>344.1</v>
      </c>
      <c r="H173" s="7" t="n">
        <v>877.6</v>
      </c>
      <c r="J173" s="7" t="n">
        <v>405.6</v>
      </c>
      <c r="L173" s="7" t="n">
        <v>344.6</v>
      </c>
      <c r="N173" s="7" t="n">
        <v>446.9</v>
      </c>
      <c r="P173" s="7" t="n">
        <v>437.5</v>
      </c>
      <c r="R173" s="7" t="n">
        <v>284.4</v>
      </c>
      <c r="T173" s="7" t="n">
        <v>645.3</v>
      </c>
      <c r="V173" s="7" t="n">
        <v>320.1</v>
      </c>
      <c r="X173" s="7" t="n">
        <v>0</v>
      </c>
      <c r="Z173" s="7" t="n">
        <v>278</v>
      </c>
      <c r="AB173" s="7" t="n">
        <v>4456.4</v>
      </c>
    </row>
    <row r="174">
      <c r="A174" s="4" t="inlineStr">
        <is>
          <t>报废损失</t>
        </is>
      </c>
      <c r="D174" s="7" t="n">
        <v>98.09999999999999</v>
      </c>
      <c r="F174" s="7" t="n">
        <v>601.5</v>
      </c>
      <c r="H174" s="7" t="n">
        <v>1325.4</v>
      </c>
      <c r="J174" s="7" t="n">
        <v>470.8</v>
      </c>
      <c r="L174" s="7" t="n">
        <v>555.7</v>
      </c>
      <c r="N174" s="7" t="n">
        <v>693.2</v>
      </c>
      <c r="P174" s="7" t="n">
        <v>435.5</v>
      </c>
      <c r="R174" s="7" t="n">
        <v>375.2</v>
      </c>
      <c r="T174" s="7" t="n">
        <v>779.7</v>
      </c>
      <c r="V174" s="7" t="n">
        <v>354.9</v>
      </c>
      <c r="X174" s="7" t="n">
        <v>0</v>
      </c>
      <c r="Z174" s="7" t="n">
        <v>356.7</v>
      </c>
      <c r="AB174" s="7" t="n">
        <v>6046.7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36949</v>
      </c>
      <c r="D175" s="7" t="n">
        <v>16942.6</v>
      </c>
      <c r="E175" s="7" t="n">
        <v>40297.8</v>
      </c>
      <c r="F175" s="7" t="n">
        <v>18157.2</v>
      </c>
      <c r="G175" s="7" t="n">
        <v>31511.7</v>
      </c>
      <c r="H175" s="7" t="n">
        <v>81397.89999999999</v>
      </c>
      <c r="I175" s="7" t="n">
        <v>32954.3</v>
      </c>
      <c r="J175" s="7" t="n">
        <v>32626.9</v>
      </c>
      <c r="K175" s="7" t="n">
        <v>31286.5</v>
      </c>
      <c r="L175" s="7" t="n">
        <v>20507.1</v>
      </c>
      <c r="M175" s="7" t="n">
        <v>38798.1</v>
      </c>
      <c r="N175" s="7" t="n">
        <v>65074.9</v>
      </c>
      <c r="O175" s="7" t="n">
        <v>36172.4</v>
      </c>
      <c r="P175" s="7" t="n">
        <v>50603.3</v>
      </c>
      <c r="Q175" s="7" t="n">
        <v>37326.1</v>
      </c>
      <c r="R175" s="7" t="n">
        <v>39164.8</v>
      </c>
      <c r="S175" s="7" t="n">
        <v>33799.4</v>
      </c>
      <c r="T175" s="7" t="n">
        <v>65718.7</v>
      </c>
      <c r="U175" s="7" t="n">
        <v>40146.7</v>
      </c>
      <c r="V175" s="7" t="n">
        <v>24501.4</v>
      </c>
      <c r="W175" s="7" t="n">
        <v>37547.3</v>
      </c>
      <c r="X175" s="7" t="n">
        <v>0</v>
      </c>
      <c r="Y175" s="7" t="n">
        <v>38794.4</v>
      </c>
      <c r="Z175" s="7" t="n">
        <v>7789.7</v>
      </c>
      <c r="AA175" s="8" t="n">
        <v>435583.7</v>
      </c>
      <c r="AB175" s="8" t="n">
        <v>422484.5</v>
      </c>
    </row>
    <row r="176">
      <c r="A176" s="4" t="inlineStr">
        <is>
          <t>职工薪酬</t>
        </is>
      </c>
      <c r="D176" s="7" t="n">
        <v>10161.5</v>
      </c>
      <c r="F176" s="7" t="n">
        <v>8635.299999999999</v>
      </c>
      <c r="H176" s="7" t="n">
        <v>38378.6</v>
      </c>
      <c r="J176" s="7" t="n">
        <v>17352.2</v>
      </c>
      <c r="L176" s="7" t="n">
        <v>11003.2</v>
      </c>
      <c r="N176" s="7" t="n">
        <v>29488.3</v>
      </c>
      <c r="P176" s="7" t="n">
        <v>23764</v>
      </c>
      <c r="R176" s="7" t="n">
        <v>17271</v>
      </c>
      <c r="T176" s="7" t="n">
        <v>37326.5</v>
      </c>
      <c r="V176" s="7" t="n">
        <v>11535.2</v>
      </c>
      <c r="X176" s="7" t="n">
        <v>0</v>
      </c>
      <c r="Z176" s="7" t="n">
        <v>4654.1</v>
      </c>
      <c r="AB176" s="7" t="n">
        <v>209569.9</v>
      </c>
    </row>
    <row r="177">
      <c r="A177" s="4" t="inlineStr">
        <is>
          <t>工资</t>
        </is>
      </c>
      <c r="D177" s="7" t="n">
        <v>6512.7</v>
      </c>
      <c r="F177" s="7" t="n">
        <v>4200.8</v>
      </c>
      <c r="H177" s="7" t="n">
        <v>21129.5</v>
      </c>
      <c r="J177" s="7" t="n">
        <v>9340.9</v>
      </c>
      <c r="L177" s="7" t="n">
        <v>5631.7</v>
      </c>
      <c r="N177" s="7" t="n">
        <v>17491.8</v>
      </c>
      <c r="P177" s="7" t="n">
        <v>13966.7</v>
      </c>
      <c r="R177" s="7" t="n">
        <v>10388.5</v>
      </c>
      <c r="T177" s="7" t="n">
        <v>24731.5</v>
      </c>
      <c r="V177" s="7" t="n">
        <v>6080.3</v>
      </c>
      <c r="X177" s="7" t="n">
        <v>0</v>
      </c>
      <c r="Z177" s="7" t="n">
        <v>2956</v>
      </c>
      <c r="AB177" s="7" t="n">
        <v>122430.4</v>
      </c>
    </row>
    <row r="178">
      <c r="A178" s="4" t="inlineStr">
        <is>
          <t>奖金及提成</t>
        </is>
      </c>
      <c r="D178" s="7" t="n">
        <v>2088.8</v>
      </c>
      <c r="F178" s="7" t="n">
        <v>2119.1</v>
      </c>
      <c r="H178" s="7" t="n">
        <v>5823.1</v>
      </c>
      <c r="J178" s="7" t="n">
        <v>4222.1</v>
      </c>
      <c r="L178" s="7" t="n">
        <v>2580</v>
      </c>
      <c r="N178" s="7" t="n">
        <v>6204.7</v>
      </c>
      <c r="P178" s="7" t="n">
        <v>4640.8</v>
      </c>
      <c r="R178" s="7" t="n">
        <v>3122.1</v>
      </c>
      <c r="T178" s="7" t="n">
        <v>5510.4</v>
      </c>
      <c r="V178" s="7" t="n">
        <v>2442.6</v>
      </c>
      <c r="X178" s="7" t="n">
        <v>0</v>
      </c>
      <c r="Z178" s="7" t="n">
        <v>825.3</v>
      </c>
      <c r="AB178" s="7" t="n">
        <v>39579</v>
      </c>
    </row>
    <row r="179">
      <c r="A179" s="4" t="inlineStr">
        <is>
          <t>社保</t>
        </is>
      </c>
      <c r="D179" s="7" t="n">
        <v>998.8</v>
      </c>
      <c r="F179" s="7" t="n">
        <v>1643.3</v>
      </c>
      <c r="H179" s="7" t="n">
        <v>8324.700000000001</v>
      </c>
      <c r="J179" s="7" t="n">
        <v>2502.4</v>
      </c>
      <c r="L179" s="7" t="n">
        <v>1996.9</v>
      </c>
      <c r="N179" s="7" t="n">
        <v>3714.1</v>
      </c>
      <c r="P179" s="7" t="n">
        <v>3388.1</v>
      </c>
      <c r="R179" s="7" t="n">
        <v>2431</v>
      </c>
      <c r="T179" s="7" t="n">
        <v>4567.9</v>
      </c>
      <c r="V179" s="7" t="n">
        <v>2136.6</v>
      </c>
      <c r="X179" s="7" t="n">
        <v>0</v>
      </c>
      <c r="Z179" s="7" t="n">
        <v>564.2</v>
      </c>
      <c r="AB179" s="7" t="n">
        <v>32268</v>
      </c>
    </row>
    <row r="180">
      <c r="A180" s="4" t="inlineStr">
        <is>
          <t>养老</t>
        </is>
      </c>
      <c r="D180" s="7" t="n">
        <v>35.3</v>
      </c>
      <c r="F180" s="7" t="n">
        <v>37.2</v>
      </c>
      <c r="H180" s="7" t="n">
        <v>154.8</v>
      </c>
      <c r="J180" s="7" t="n">
        <v>60.6</v>
      </c>
      <c r="L180" s="7" t="n">
        <v>29.2</v>
      </c>
      <c r="N180" s="7" t="n">
        <v>125.5</v>
      </c>
      <c r="P180" s="7" t="n">
        <v>75.5</v>
      </c>
      <c r="R180" s="7" t="n">
        <v>57</v>
      </c>
      <c r="T180" s="7" t="n">
        <v>87.2</v>
      </c>
      <c r="V180" s="7" t="n">
        <v>44.9</v>
      </c>
      <c r="X180" s="7" t="n">
        <v>0</v>
      </c>
      <c r="Z180" s="7" t="n">
        <v>12.6</v>
      </c>
      <c r="AB180" s="7" t="n">
        <v>719.8</v>
      </c>
    </row>
    <row r="181">
      <c r="A181" s="4" t="inlineStr">
        <is>
          <t>医疗</t>
        </is>
      </c>
      <c r="D181" s="7" t="n">
        <v>68.90000000000001</v>
      </c>
      <c r="F181" s="7" t="n">
        <v>64.09999999999999</v>
      </c>
      <c r="H181" s="7" t="n">
        <v>244.1</v>
      </c>
      <c r="J181" s="7" t="n">
        <v>131.2</v>
      </c>
      <c r="L181" s="7" t="n">
        <v>59.1</v>
      </c>
      <c r="N181" s="7" t="n">
        <v>156.5</v>
      </c>
      <c r="P181" s="7" t="n">
        <v>159.1</v>
      </c>
      <c r="R181" s="7" t="n">
        <v>141</v>
      </c>
      <c r="T181" s="7" t="n">
        <v>277.8</v>
      </c>
      <c r="V181" s="7" t="n">
        <v>73.59999999999999</v>
      </c>
      <c r="X181" s="7" t="n">
        <v>0</v>
      </c>
      <c r="Z181" s="7" t="n">
        <v>20.4</v>
      </c>
      <c r="AB181" s="7" t="n">
        <v>1395.8</v>
      </c>
    </row>
    <row r="182">
      <c r="A182" s="4" t="inlineStr">
        <is>
          <t>工伤</t>
        </is>
      </c>
      <c r="D182" s="7" t="n">
        <v>27</v>
      </c>
      <c r="F182" s="7" t="n">
        <v>22.4</v>
      </c>
      <c r="H182" s="7" t="n">
        <v>157.9</v>
      </c>
      <c r="J182" s="7" t="n">
        <v>44.8</v>
      </c>
      <c r="L182" s="7" t="n">
        <v>31.8</v>
      </c>
      <c r="N182" s="7" t="n">
        <v>80.5</v>
      </c>
      <c r="P182" s="7" t="n">
        <v>84.40000000000001</v>
      </c>
      <c r="R182" s="7" t="n">
        <v>73.40000000000001</v>
      </c>
      <c r="T182" s="7" t="n">
        <v>125</v>
      </c>
      <c r="V182" s="7" t="n">
        <v>39.9</v>
      </c>
      <c r="X182" s="7" t="n">
        <v>0</v>
      </c>
      <c r="Z182" s="7" t="n">
        <v>9</v>
      </c>
      <c r="AB182" s="7" t="n">
        <v>696.1</v>
      </c>
    </row>
    <row r="183">
      <c r="A183" s="4" t="inlineStr">
        <is>
          <t>失业</t>
        </is>
      </c>
      <c r="D183" s="7" t="n">
        <v>119</v>
      </c>
      <c r="F183" s="7" t="n">
        <v>112</v>
      </c>
      <c r="H183" s="7" t="n">
        <v>369.9</v>
      </c>
      <c r="J183" s="7" t="n">
        <v>183.1</v>
      </c>
      <c r="L183" s="7" t="n">
        <v>141.9</v>
      </c>
      <c r="N183" s="7" t="n">
        <v>293.3</v>
      </c>
      <c r="P183" s="7" t="n">
        <v>241.1</v>
      </c>
      <c r="R183" s="7" t="n">
        <v>236.4</v>
      </c>
      <c r="T183" s="7" t="n">
        <v>403.2</v>
      </c>
      <c r="V183" s="7" t="n">
        <v>147.9</v>
      </c>
      <c r="X183" s="7" t="n">
        <v>0</v>
      </c>
      <c r="Z183" s="7" t="n">
        <v>51.3</v>
      </c>
      <c r="AB183" s="7" t="n">
        <v>2299.1</v>
      </c>
    </row>
    <row r="184">
      <c r="A184" s="4" t="inlineStr">
        <is>
          <t>生育</t>
        </is>
      </c>
      <c r="D184" s="7" t="n">
        <v>39.2</v>
      </c>
      <c r="F184" s="7" t="n">
        <v>38.3</v>
      </c>
      <c r="H184" s="7" t="n">
        <v>270.5</v>
      </c>
      <c r="J184" s="7" t="n">
        <v>123.1</v>
      </c>
      <c r="L184" s="7" t="n">
        <v>67.59999999999999</v>
      </c>
      <c r="N184" s="7" t="n">
        <v>186.9</v>
      </c>
      <c r="P184" s="7" t="n">
        <v>121.4</v>
      </c>
      <c r="R184" s="7" t="n">
        <v>83.40000000000001</v>
      </c>
      <c r="T184" s="7" t="n">
        <v>187.5</v>
      </c>
      <c r="V184" s="7" t="n">
        <v>61</v>
      </c>
      <c r="X184" s="7" t="n">
        <v>0</v>
      </c>
      <c r="Z184" s="7" t="n">
        <v>19.2</v>
      </c>
      <c r="AB184" s="7" t="n">
        <v>1198.1</v>
      </c>
    </row>
    <row r="185">
      <c r="A185" s="4" t="inlineStr">
        <is>
          <t>公积金</t>
        </is>
      </c>
      <c r="D185" s="7" t="n">
        <v>6.5</v>
      </c>
      <c r="F185" s="7" t="n">
        <v>11.6</v>
      </c>
      <c r="H185" s="7" t="n">
        <v>39</v>
      </c>
      <c r="J185" s="7" t="n">
        <v>17.4</v>
      </c>
      <c r="L185" s="7" t="n">
        <v>9.300000000000001</v>
      </c>
      <c r="N185" s="7" t="n">
        <v>29.9</v>
      </c>
      <c r="P185" s="7" t="n">
        <v>31.2</v>
      </c>
      <c r="R185" s="7" t="n">
        <v>16.5</v>
      </c>
      <c r="T185" s="7" t="n">
        <v>38.6</v>
      </c>
      <c r="V185" s="7" t="n">
        <v>9.199999999999999</v>
      </c>
      <c r="X185" s="7" t="n">
        <v>0</v>
      </c>
      <c r="Z185" s="7" t="n">
        <v>3.3</v>
      </c>
      <c r="AB185" s="7" t="n">
        <v>212.5</v>
      </c>
    </row>
    <row r="186">
      <c r="A186" s="4" t="inlineStr">
        <is>
          <t>工会经费</t>
        </is>
      </c>
      <c r="D186" s="7" t="n">
        <v>60.1</v>
      </c>
      <c r="F186" s="7" t="n">
        <v>57.8</v>
      </c>
      <c r="H186" s="7" t="n">
        <v>271.2</v>
      </c>
      <c r="J186" s="7" t="n">
        <v>108.9</v>
      </c>
      <c r="L186" s="7" t="n">
        <v>60.9</v>
      </c>
      <c r="N186" s="7" t="n">
        <v>162.9</v>
      </c>
      <c r="P186" s="7" t="n">
        <v>136.3</v>
      </c>
      <c r="R186" s="7" t="n">
        <v>96</v>
      </c>
      <c r="T186" s="7" t="n">
        <v>187.7</v>
      </c>
      <c r="V186" s="7" t="n">
        <v>94.2</v>
      </c>
      <c r="X186" s="7" t="n">
        <v>0</v>
      </c>
      <c r="Z186" s="7" t="n">
        <v>22.3</v>
      </c>
      <c r="AB186" s="7" t="n">
        <v>1258.3</v>
      </c>
    </row>
    <row r="187">
      <c r="A187" s="4" t="inlineStr">
        <is>
          <t>职工教育经费</t>
        </is>
      </c>
      <c r="D187" s="7" t="n">
        <v>53.4</v>
      </c>
      <c r="F187" s="7" t="n">
        <v>60</v>
      </c>
      <c r="H187" s="7" t="n">
        <v>207.1</v>
      </c>
      <c r="J187" s="7" t="n">
        <v>73.40000000000001</v>
      </c>
      <c r="L187" s="7" t="n">
        <v>52.1</v>
      </c>
      <c r="N187" s="7" t="n">
        <v>160.8</v>
      </c>
      <c r="P187" s="7" t="n">
        <v>159.5</v>
      </c>
      <c r="R187" s="7" t="n">
        <v>77.3</v>
      </c>
      <c r="T187" s="7" t="n">
        <v>182.4</v>
      </c>
      <c r="V187" s="7" t="n">
        <v>65.59999999999999</v>
      </c>
      <c r="X187" s="7" t="n">
        <v>0</v>
      </c>
      <c r="Z187" s="7" t="n">
        <v>23</v>
      </c>
      <c r="AB187" s="7" t="n">
        <v>1114.6</v>
      </c>
    </row>
    <row r="188">
      <c r="A188" s="4" t="inlineStr">
        <is>
          <t>福利费</t>
        </is>
      </c>
      <c r="D188" s="7" t="n">
        <v>441.2</v>
      </c>
      <c r="F188" s="7" t="n">
        <v>542.7</v>
      </c>
      <c r="H188" s="7" t="n">
        <v>2584</v>
      </c>
      <c r="J188" s="7" t="n">
        <v>1087.1</v>
      </c>
      <c r="L188" s="7" t="n">
        <v>672.3</v>
      </c>
      <c r="N188" s="7" t="n">
        <v>1724.1</v>
      </c>
      <c r="P188" s="7" t="n">
        <v>1441.4</v>
      </c>
      <c r="R188" s="7" t="n">
        <v>1139.6</v>
      </c>
      <c r="T188" s="7" t="n">
        <v>2108</v>
      </c>
      <c r="V188" s="7" t="n">
        <v>706.7</v>
      </c>
      <c r="X188" s="7" t="n">
        <v>0</v>
      </c>
      <c r="Z188" s="7" t="n">
        <v>260</v>
      </c>
      <c r="AB188" s="7" t="n">
        <v>12707.1</v>
      </c>
    </row>
    <row r="189">
      <c r="A189" s="4" t="inlineStr">
        <is>
          <t>职工房租</t>
        </is>
      </c>
      <c r="D189" s="7" t="n">
        <v>57.4</v>
      </c>
      <c r="F189" s="7" t="n">
        <v>67.59999999999999</v>
      </c>
      <c r="H189" s="7" t="n">
        <v>253.2</v>
      </c>
      <c r="J189" s="7" t="n">
        <v>155.9</v>
      </c>
      <c r="L189" s="7" t="n">
        <v>94.2</v>
      </c>
      <c r="N189" s="7" t="n">
        <v>291.9</v>
      </c>
      <c r="P189" s="7" t="n">
        <v>279.8</v>
      </c>
      <c r="R189" s="7" t="n">
        <v>126.8</v>
      </c>
      <c r="T189" s="7" t="n">
        <v>324.3</v>
      </c>
      <c r="V189" s="7" t="n">
        <v>123.6</v>
      </c>
      <c r="X189" s="7" t="n">
        <v>0</v>
      </c>
      <c r="Z189" s="7" t="n">
        <v>36.7</v>
      </c>
      <c r="AB189" s="7" t="n">
        <v>1811.4</v>
      </c>
    </row>
    <row r="190">
      <c r="A190" s="4" t="inlineStr">
        <is>
          <t>水电物业费</t>
        </is>
      </c>
      <c r="D190" s="7" t="n">
        <v>21</v>
      </c>
      <c r="F190" s="7" t="n">
        <v>27.3</v>
      </c>
      <c r="H190" s="7" t="n">
        <v>186.8</v>
      </c>
      <c r="J190" s="7" t="n">
        <v>42.6</v>
      </c>
      <c r="L190" s="7" t="n">
        <v>42.4</v>
      </c>
      <c r="N190" s="7" t="n">
        <v>83.40000000000001</v>
      </c>
      <c r="P190" s="7" t="n">
        <v>95.40000000000001</v>
      </c>
      <c r="R190" s="7" t="n">
        <v>69.3</v>
      </c>
      <c r="T190" s="7" t="n">
        <v>137.6</v>
      </c>
      <c r="V190" s="7" t="n">
        <v>38</v>
      </c>
      <c r="X190" s="7" t="n">
        <v>0</v>
      </c>
      <c r="Z190" s="7" t="n">
        <v>16.4</v>
      </c>
      <c r="AB190" s="7" t="n">
        <v>760.2</v>
      </c>
    </row>
    <row r="191">
      <c r="A191" s="4" t="inlineStr">
        <is>
          <t>员工餐</t>
        </is>
      </c>
      <c r="D191" s="7" t="n">
        <v>96.7</v>
      </c>
      <c r="F191" s="7" t="n">
        <v>117.7</v>
      </c>
      <c r="H191" s="7" t="n">
        <v>641.7</v>
      </c>
      <c r="J191" s="7" t="n">
        <v>215.4</v>
      </c>
      <c r="L191" s="7" t="n">
        <v>136.1</v>
      </c>
      <c r="N191" s="7" t="n">
        <v>324.8</v>
      </c>
      <c r="P191" s="7" t="n">
        <v>325.1</v>
      </c>
      <c r="R191" s="7" t="n">
        <v>265.2</v>
      </c>
      <c r="T191" s="7" t="n">
        <v>475.8</v>
      </c>
      <c r="V191" s="7" t="n">
        <v>138.7</v>
      </c>
      <c r="X191" s="7" t="n">
        <v>0</v>
      </c>
      <c r="Z191" s="7" t="n">
        <v>41.6</v>
      </c>
      <c r="AB191" s="7" t="n">
        <v>2778.8</v>
      </c>
    </row>
    <row r="192">
      <c r="A192" s="4" t="inlineStr">
        <is>
          <t>节日礼品</t>
        </is>
      </c>
      <c r="D192" s="7" t="n">
        <v>42.4</v>
      </c>
      <c r="F192" s="7" t="n">
        <v>37.2</v>
      </c>
      <c r="H192" s="7" t="n">
        <v>182</v>
      </c>
      <c r="J192" s="7" t="n">
        <v>76.7</v>
      </c>
      <c r="L192" s="7" t="n">
        <v>40.3</v>
      </c>
      <c r="N192" s="7" t="n">
        <v>173.2</v>
      </c>
      <c r="P192" s="7" t="n">
        <v>117.2</v>
      </c>
      <c r="R192" s="7" t="n">
        <v>88.59999999999999</v>
      </c>
      <c r="T192" s="7" t="n">
        <v>142.5</v>
      </c>
      <c r="V192" s="7" t="n">
        <v>59</v>
      </c>
      <c r="X192" s="7" t="n">
        <v>0</v>
      </c>
      <c r="Z192" s="7" t="n">
        <v>24</v>
      </c>
      <c r="AB192" s="7" t="n">
        <v>983.1</v>
      </c>
    </row>
    <row r="193">
      <c r="A193" s="4" t="inlineStr">
        <is>
          <t>生日礼品</t>
        </is>
      </c>
      <c r="D193" s="7" t="n">
        <v>118.4</v>
      </c>
      <c r="F193" s="7" t="n">
        <v>121.7</v>
      </c>
      <c r="H193" s="7" t="n">
        <v>541.8</v>
      </c>
      <c r="J193" s="7" t="n">
        <v>258</v>
      </c>
      <c r="L193" s="7" t="n">
        <v>168.7</v>
      </c>
      <c r="N193" s="7" t="n">
        <v>399.3</v>
      </c>
      <c r="P193" s="7" t="n">
        <v>227.4</v>
      </c>
      <c r="R193" s="7" t="n">
        <v>279.9</v>
      </c>
      <c r="T193" s="7" t="n">
        <v>519.5</v>
      </c>
      <c r="V193" s="7" t="n">
        <v>124.2</v>
      </c>
      <c r="X193" s="7" t="n">
        <v>0</v>
      </c>
      <c r="Z193" s="7" t="n">
        <v>63.9</v>
      </c>
      <c r="AB193" s="7" t="n">
        <v>2822.8</v>
      </c>
    </row>
    <row r="194">
      <c r="A194" s="4" t="inlineStr">
        <is>
          <t>体检</t>
        </is>
      </c>
      <c r="D194" s="7" t="n">
        <v>52.5</v>
      </c>
      <c r="F194" s="7" t="n">
        <v>77.09999999999999</v>
      </c>
      <c r="H194" s="7" t="n">
        <v>355.7</v>
      </c>
      <c r="J194" s="7" t="n">
        <v>168.4</v>
      </c>
      <c r="L194" s="7" t="n">
        <v>91</v>
      </c>
      <c r="N194" s="7" t="n">
        <v>226.2</v>
      </c>
      <c r="P194" s="7" t="n">
        <v>165.1</v>
      </c>
      <c r="R194" s="7" t="n">
        <v>124.3</v>
      </c>
      <c r="T194" s="7" t="n">
        <v>226.2</v>
      </c>
      <c r="V194" s="7" t="n">
        <v>116.6</v>
      </c>
      <c r="X194" s="7" t="n">
        <v>0</v>
      </c>
      <c r="Z194" s="7" t="n">
        <v>39.9</v>
      </c>
      <c r="AB194" s="7" t="n">
        <v>1643</v>
      </c>
    </row>
    <row r="195">
      <c r="A195" s="4" t="inlineStr">
        <is>
          <t>其他福利支出</t>
        </is>
      </c>
      <c r="D195" s="7" t="n">
        <v>52.8</v>
      </c>
      <c r="F195" s="7" t="n">
        <v>94.09999999999999</v>
      </c>
      <c r="H195" s="7" t="n">
        <v>422.8</v>
      </c>
      <c r="J195" s="7" t="n">
        <v>170.1</v>
      </c>
      <c r="L195" s="7" t="n">
        <v>99.59999999999999</v>
      </c>
      <c r="N195" s="7" t="n">
        <v>225.3</v>
      </c>
      <c r="P195" s="7" t="n">
        <v>231.4</v>
      </c>
      <c r="R195" s="7" t="n">
        <v>185.5</v>
      </c>
      <c r="T195" s="7" t="n">
        <v>282.1</v>
      </c>
      <c r="V195" s="7" t="n">
        <v>106.6</v>
      </c>
      <c r="X195" s="7" t="n">
        <v>0</v>
      </c>
      <c r="Z195" s="7" t="n">
        <v>37.5</v>
      </c>
      <c r="AB195" s="7" t="n">
        <v>1907.8</v>
      </c>
    </row>
    <row r="196">
      <c r="A196" s="4" t="inlineStr">
        <is>
          <t>招聘费</t>
        </is>
      </c>
      <c r="D196" s="7" t="n">
        <v>39.3</v>
      </c>
      <c r="F196" s="7" t="n">
        <v>41</v>
      </c>
      <c r="H196" s="7" t="n">
        <v>307.8</v>
      </c>
      <c r="J196" s="7" t="n">
        <v>122.6</v>
      </c>
      <c r="L196" s="7" t="n">
        <v>68.7</v>
      </c>
      <c r="N196" s="7" t="n">
        <v>195.7</v>
      </c>
      <c r="P196" s="7" t="n">
        <v>160.1</v>
      </c>
      <c r="R196" s="7" t="n">
        <v>147.3</v>
      </c>
      <c r="T196" s="7" t="n">
        <v>242.9</v>
      </c>
      <c r="V196" s="7" t="n">
        <v>72.40000000000001</v>
      </c>
      <c r="X196" s="7" t="n">
        <v>0</v>
      </c>
      <c r="Z196" s="7" t="n">
        <v>27.7</v>
      </c>
      <c r="AB196" s="7" t="n">
        <v>1425.5</v>
      </c>
    </row>
    <row r="197">
      <c r="A197" s="4" t="inlineStr">
        <is>
          <t>办公费</t>
        </is>
      </c>
      <c r="D197" s="7" t="n">
        <v>651.8</v>
      </c>
      <c r="F197" s="7" t="n">
        <v>684.6</v>
      </c>
      <c r="H197" s="7" t="n">
        <v>3019.5</v>
      </c>
      <c r="J197" s="7" t="n">
        <v>863.8</v>
      </c>
      <c r="L197" s="7" t="n">
        <v>481.7</v>
      </c>
      <c r="N197" s="7" t="n">
        <v>2254.3</v>
      </c>
      <c r="P197" s="7" t="n">
        <v>1473.7</v>
      </c>
      <c r="R197" s="7" t="n">
        <v>1443</v>
      </c>
      <c r="T197" s="7" t="n">
        <v>1801.3</v>
      </c>
      <c r="V197" s="7" t="n">
        <v>740.8</v>
      </c>
      <c r="X197" s="7" t="n">
        <v>0</v>
      </c>
      <c r="Z197" s="7" t="n">
        <v>243.7</v>
      </c>
      <c r="AB197" s="7" t="n">
        <v>13658.2</v>
      </c>
    </row>
    <row r="198">
      <c r="A198" s="4" t="inlineStr">
        <is>
          <t>市内交通费</t>
        </is>
      </c>
      <c r="D198" s="7" t="n">
        <v>49.1</v>
      </c>
      <c r="F198" s="7" t="n">
        <v>50.5</v>
      </c>
      <c r="H198" s="7" t="n">
        <v>166.2</v>
      </c>
      <c r="J198" s="7" t="n">
        <v>75.7</v>
      </c>
      <c r="L198" s="7" t="n">
        <v>70.3</v>
      </c>
      <c r="N198" s="7" t="n">
        <v>160.8</v>
      </c>
      <c r="P198" s="7" t="n">
        <v>106.4</v>
      </c>
      <c r="R198" s="7" t="n">
        <v>111.3</v>
      </c>
      <c r="T198" s="7" t="n">
        <v>186.7</v>
      </c>
      <c r="V198" s="7" t="n">
        <v>53.5</v>
      </c>
      <c r="X198" s="7" t="n">
        <v>0</v>
      </c>
      <c r="Z198" s="7" t="n">
        <v>27.1</v>
      </c>
      <c r="AB198" s="7" t="n">
        <v>1057.6</v>
      </c>
    </row>
    <row r="199">
      <c r="A199" s="4" t="inlineStr">
        <is>
          <t>差旅费</t>
        </is>
      </c>
      <c r="D199" s="7" t="n">
        <v>943.5</v>
      </c>
      <c r="F199" s="7" t="n">
        <v>818.2</v>
      </c>
      <c r="H199" s="7" t="n">
        <v>5164.2</v>
      </c>
      <c r="J199" s="7" t="n">
        <v>1477.8</v>
      </c>
      <c r="L199" s="7" t="n">
        <v>1339.7</v>
      </c>
      <c r="N199" s="7" t="n">
        <v>2930</v>
      </c>
      <c r="P199" s="7" t="n">
        <v>2412.9</v>
      </c>
      <c r="R199" s="7" t="n">
        <v>2901.2</v>
      </c>
      <c r="T199" s="7" t="n">
        <v>4355.6</v>
      </c>
      <c r="V199" s="7" t="n">
        <v>1549.8</v>
      </c>
      <c r="X199" s="7" t="n">
        <v>0</v>
      </c>
      <c r="Z199" s="7" t="n">
        <v>495.4</v>
      </c>
      <c r="AB199" s="7" t="n">
        <v>24388.3</v>
      </c>
    </row>
    <row r="200">
      <c r="A200" s="4" t="inlineStr">
        <is>
          <t>交通费</t>
        </is>
      </c>
      <c r="D200" s="7" t="n">
        <v>58.4</v>
      </c>
      <c r="F200" s="7" t="n">
        <v>39.8</v>
      </c>
      <c r="H200" s="7" t="n">
        <v>256.7</v>
      </c>
      <c r="J200" s="7" t="n">
        <v>84.7</v>
      </c>
      <c r="L200" s="7" t="n">
        <v>72.09999999999999</v>
      </c>
      <c r="N200" s="7" t="n">
        <v>199.2</v>
      </c>
      <c r="P200" s="7" t="n">
        <v>169.9</v>
      </c>
      <c r="R200" s="7" t="n">
        <v>119.5</v>
      </c>
      <c r="T200" s="7" t="n">
        <v>133.2</v>
      </c>
      <c r="V200" s="7" t="n">
        <v>49.4</v>
      </c>
      <c r="X200" s="7" t="n">
        <v>0</v>
      </c>
      <c r="Z200" s="7" t="n">
        <v>24.4</v>
      </c>
      <c r="AB200" s="7" t="n">
        <v>1207.3</v>
      </c>
    </row>
    <row r="201">
      <c r="A201" s="4" t="inlineStr">
        <is>
          <t>住宿费</t>
        </is>
      </c>
      <c r="D201" s="7" t="n">
        <v>33.7</v>
      </c>
      <c r="F201" s="7" t="n">
        <v>36.2</v>
      </c>
      <c r="H201" s="7" t="n">
        <v>131.7</v>
      </c>
      <c r="J201" s="7" t="n">
        <v>50.5</v>
      </c>
      <c r="L201" s="7" t="n">
        <v>25.3</v>
      </c>
      <c r="N201" s="7" t="n">
        <v>136.8</v>
      </c>
      <c r="P201" s="7" t="n">
        <v>93.2</v>
      </c>
      <c r="R201" s="7" t="n">
        <v>53.6</v>
      </c>
      <c r="T201" s="7" t="n">
        <v>97</v>
      </c>
      <c r="V201" s="7" t="n">
        <v>51.4</v>
      </c>
      <c r="X201" s="7" t="n">
        <v>0</v>
      </c>
      <c r="Z201" s="7" t="n">
        <v>13.7</v>
      </c>
      <c r="AB201" s="7" t="n">
        <v>723.1</v>
      </c>
    </row>
    <row r="202">
      <c r="A202" s="4" t="inlineStr">
        <is>
          <t>餐补</t>
        </is>
      </c>
      <c r="D202" s="7" t="n">
        <v>34.3</v>
      </c>
      <c r="F202" s="7" t="n">
        <v>30.3</v>
      </c>
      <c r="H202" s="7" t="n">
        <v>223.9</v>
      </c>
      <c r="J202" s="7" t="n">
        <v>74.8</v>
      </c>
      <c r="L202" s="7" t="n">
        <v>54.5</v>
      </c>
      <c r="N202" s="7" t="n">
        <v>155.8</v>
      </c>
      <c r="P202" s="7" t="n">
        <v>120</v>
      </c>
      <c r="R202" s="7" t="n">
        <v>69.3</v>
      </c>
      <c r="T202" s="7" t="n">
        <v>155.7</v>
      </c>
      <c r="V202" s="7" t="n">
        <v>65.90000000000001</v>
      </c>
      <c r="X202" s="7" t="n">
        <v>0</v>
      </c>
      <c r="Z202" s="7" t="n">
        <v>19.1</v>
      </c>
      <c r="AB202" s="7" t="n">
        <v>1003.6</v>
      </c>
    </row>
    <row r="203">
      <c r="A203" s="4" t="inlineStr">
        <is>
          <t>交通补助</t>
        </is>
      </c>
      <c r="D203" s="7" t="n">
        <v>33.5</v>
      </c>
      <c r="F203" s="7" t="n">
        <v>31.3</v>
      </c>
      <c r="H203" s="7" t="n">
        <v>128.3</v>
      </c>
      <c r="J203" s="7" t="n">
        <v>52</v>
      </c>
      <c r="L203" s="7" t="n">
        <v>40.6</v>
      </c>
      <c r="N203" s="7" t="n">
        <v>86.40000000000001</v>
      </c>
      <c r="P203" s="7" t="n">
        <v>91.3</v>
      </c>
      <c r="R203" s="7" t="n">
        <v>64.5</v>
      </c>
      <c r="T203" s="7" t="n">
        <v>90.09999999999999</v>
      </c>
      <c r="V203" s="7" t="n">
        <v>32.1</v>
      </c>
      <c r="X203" s="7" t="n">
        <v>0</v>
      </c>
      <c r="Z203" s="7" t="n">
        <v>11</v>
      </c>
      <c r="AB203" s="7" t="n">
        <v>661.1</v>
      </c>
    </row>
    <row r="204">
      <c r="A204" s="4" t="inlineStr">
        <is>
          <t>通讯补助</t>
        </is>
      </c>
      <c r="D204" s="7" t="n">
        <v>20.4</v>
      </c>
      <c r="F204" s="7" t="n">
        <v>15.5</v>
      </c>
      <c r="H204" s="7" t="n">
        <v>87.8</v>
      </c>
      <c r="J204" s="7" t="n">
        <v>36.4</v>
      </c>
      <c r="L204" s="7" t="n">
        <v>18.1</v>
      </c>
      <c r="N204" s="7" t="n">
        <v>62.3</v>
      </c>
      <c r="P204" s="7" t="n">
        <v>36.6</v>
      </c>
      <c r="R204" s="7" t="n">
        <v>36.6</v>
      </c>
      <c r="T204" s="7" t="n">
        <v>64.09999999999999</v>
      </c>
      <c r="V204" s="7" t="n">
        <v>26.8</v>
      </c>
      <c r="X204" s="7" t="n">
        <v>0</v>
      </c>
      <c r="Z204" s="7" t="n">
        <v>7.4</v>
      </c>
      <c r="AB204" s="7" t="n">
        <v>412</v>
      </c>
    </row>
    <row r="205">
      <c r="A205" s="4" t="inlineStr">
        <is>
          <t>招待费</t>
        </is>
      </c>
      <c r="D205" s="7" t="n">
        <v>691</v>
      </c>
      <c r="F205" s="7" t="n">
        <v>727.1</v>
      </c>
      <c r="H205" s="7" t="n">
        <v>3478.8</v>
      </c>
      <c r="J205" s="7" t="n">
        <v>1602.9</v>
      </c>
      <c r="L205" s="7" t="n">
        <v>641.9</v>
      </c>
      <c r="N205" s="7" t="n">
        <v>2225.9</v>
      </c>
      <c r="P205" s="7" t="n">
        <v>1999.3</v>
      </c>
      <c r="R205" s="7" t="n">
        <v>2027.7</v>
      </c>
      <c r="T205" s="7" t="n">
        <v>3027.6</v>
      </c>
      <c r="V205" s="7" t="n">
        <v>947.8</v>
      </c>
      <c r="X205" s="7" t="n">
        <v>0</v>
      </c>
      <c r="Z205" s="7" t="n">
        <v>297.6</v>
      </c>
      <c r="AB205" s="7" t="n">
        <v>17667.6</v>
      </c>
    </row>
    <row r="206">
      <c r="A206" s="4" t="inlineStr">
        <is>
          <t>通讯费</t>
        </is>
      </c>
      <c r="D206" s="7" t="n">
        <v>51.1</v>
      </c>
      <c r="F206" s="7" t="n">
        <v>65.3</v>
      </c>
      <c r="H206" s="7" t="n">
        <v>275.7</v>
      </c>
      <c r="J206" s="7" t="n">
        <v>159.7</v>
      </c>
      <c r="L206" s="7" t="n">
        <v>88.2</v>
      </c>
      <c r="N206" s="7" t="n">
        <v>306.9</v>
      </c>
      <c r="P206" s="7" t="n">
        <v>234.7</v>
      </c>
      <c r="R206" s="7" t="n">
        <v>146.4</v>
      </c>
      <c r="T206" s="7" t="n">
        <v>309.8</v>
      </c>
      <c r="V206" s="7" t="n">
        <v>106.1</v>
      </c>
      <c r="X206" s="7" t="n">
        <v>0</v>
      </c>
      <c r="Z206" s="7" t="n">
        <v>41.4</v>
      </c>
      <c r="AB206" s="7" t="n">
        <v>1785.3</v>
      </c>
    </row>
    <row r="207">
      <c r="A207" s="4" t="inlineStr">
        <is>
          <t>网络费</t>
        </is>
      </c>
      <c r="D207" s="7" t="n">
        <v>109.5</v>
      </c>
      <c r="F207" s="7" t="n">
        <v>79.5</v>
      </c>
      <c r="H207" s="7" t="n">
        <v>385.9</v>
      </c>
      <c r="J207" s="7" t="n">
        <v>211.4</v>
      </c>
      <c r="L207" s="7" t="n">
        <v>145.2</v>
      </c>
      <c r="N207" s="7" t="n">
        <v>337.2</v>
      </c>
      <c r="P207" s="7" t="n">
        <v>373.3</v>
      </c>
      <c r="R207" s="7" t="n">
        <v>162.9</v>
      </c>
      <c r="T207" s="7" t="n">
        <v>320.8</v>
      </c>
      <c r="V207" s="7" t="n">
        <v>145</v>
      </c>
      <c r="X207" s="7" t="n">
        <v>0</v>
      </c>
      <c r="Z207" s="7" t="n">
        <v>40.1</v>
      </c>
      <c r="AB207" s="7" t="n">
        <v>2310.8</v>
      </c>
    </row>
    <row r="208">
      <c r="A208" s="4" t="inlineStr">
        <is>
          <t>修理费</t>
        </is>
      </c>
      <c r="D208" s="7" t="n">
        <v>65.8</v>
      </c>
      <c r="F208" s="7" t="n">
        <v>79</v>
      </c>
      <c r="H208" s="7" t="n">
        <v>551.1</v>
      </c>
      <c r="J208" s="7" t="n">
        <v>154</v>
      </c>
      <c r="L208" s="7" t="n">
        <v>98.40000000000001</v>
      </c>
      <c r="N208" s="7" t="n">
        <v>278.7</v>
      </c>
      <c r="P208" s="7" t="n">
        <v>213.4</v>
      </c>
      <c r="R208" s="7" t="n">
        <v>161.7</v>
      </c>
      <c r="T208" s="7" t="n">
        <v>318.6</v>
      </c>
      <c r="V208" s="7" t="n">
        <v>95.90000000000001</v>
      </c>
      <c r="X208" s="7" t="n">
        <v>0</v>
      </c>
      <c r="Z208" s="7" t="n">
        <v>37</v>
      </c>
      <c r="AB208" s="7" t="n">
        <v>2053.6</v>
      </c>
    </row>
    <row r="209">
      <c r="A209" s="4" t="inlineStr">
        <is>
          <t>车辆费</t>
        </is>
      </c>
      <c r="D209" s="7" t="n">
        <v>3.3</v>
      </c>
      <c r="F209" s="7" t="n">
        <v>3.2</v>
      </c>
      <c r="H209" s="7" t="n">
        <v>11.1</v>
      </c>
      <c r="J209" s="7" t="n">
        <v>7</v>
      </c>
      <c r="L209" s="7" t="n">
        <v>3.8</v>
      </c>
      <c r="N209" s="7" t="n">
        <v>15</v>
      </c>
      <c r="P209" s="7" t="n">
        <v>10.8</v>
      </c>
      <c r="R209" s="7" t="n">
        <v>8.4</v>
      </c>
      <c r="T209" s="7" t="n">
        <v>9.4</v>
      </c>
      <c r="V209" s="7" t="n">
        <v>3.9</v>
      </c>
      <c r="X209" s="7" t="n">
        <v>0</v>
      </c>
      <c r="Z209" s="7" t="n">
        <v>1.7</v>
      </c>
      <c r="AB209" s="7" t="n">
        <v>77.59999999999999</v>
      </c>
    </row>
    <row r="210">
      <c r="A210" s="4" t="inlineStr">
        <is>
          <t>租赁费</t>
        </is>
      </c>
      <c r="D210" s="7" t="n">
        <v>913.5</v>
      </c>
      <c r="F210" s="7" t="n">
        <v>933.3</v>
      </c>
      <c r="H210" s="7" t="n">
        <v>5184.5</v>
      </c>
      <c r="J210" s="7" t="n">
        <v>1856</v>
      </c>
      <c r="L210" s="7" t="n">
        <v>1250.7</v>
      </c>
      <c r="N210" s="7" t="n">
        <v>3179</v>
      </c>
      <c r="P210" s="7" t="n">
        <v>2607.8</v>
      </c>
      <c r="R210" s="7" t="n">
        <v>1484.6</v>
      </c>
      <c r="T210" s="7" t="n">
        <v>2457.1</v>
      </c>
      <c r="V210" s="7" t="n">
        <v>1056.6</v>
      </c>
      <c r="X210" s="7" t="n">
        <v>0</v>
      </c>
      <c r="Z210" s="7" t="n">
        <v>505.2</v>
      </c>
      <c r="AB210" s="7" t="n">
        <v>21428.3</v>
      </c>
    </row>
    <row r="211">
      <c r="A211" s="4" t="inlineStr">
        <is>
          <t>能源费</t>
        </is>
      </c>
      <c r="D211" s="7" t="n">
        <v>210.6</v>
      </c>
      <c r="F211" s="7" t="n">
        <v>267.8</v>
      </c>
      <c r="H211" s="7" t="n">
        <v>1024.3</v>
      </c>
      <c r="J211" s="7" t="n">
        <v>478.8</v>
      </c>
      <c r="L211" s="7" t="n">
        <v>292</v>
      </c>
      <c r="N211" s="7" t="n">
        <v>828.9</v>
      </c>
      <c r="P211" s="7" t="n">
        <v>624.7</v>
      </c>
      <c r="R211" s="7" t="n">
        <v>501.7</v>
      </c>
      <c r="T211" s="7" t="n">
        <v>940.9</v>
      </c>
      <c r="V211" s="7" t="n">
        <v>279.7</v>
      </c>
      <c r="X211" s="7" t="n">
        <v>0</v>
      </c>
      <c r="Z211" s="7" t="n">
        <v>86.40000000000001</v>
      </c>
      <c r="AB211" s="7" t="n">
        <v>5535.8</v>
      </c>
    </row>
    <row r="212">
      <c r="A212" s="4" t="inlineStr">
        <is>
          <t>水费</t>
        </is>
      </c>
      <c r="D212" s="7" t="n">
        <v>47.1</v>
      </c>
      <c r="F212" s="7" t="n">
        <v>45.4</v>
      </c>
      <c r="H212" s="7" t="n">
        <v>265.8</v>
      </c>
      <c r="J212" s="7" t="n">
        <v>78.59999999999999</v>
      </c>
      <c r="L212" s="7" t="n">
        <v>47.2</v>
      </c>
      <c r="N212" s="7" t="n">
        <v>208.7</v>
      </c>
      <c r="P212" s="7" t="n">
        <v>99.09999999999999</v>
      </c>
      <c r="R212" s="7" t="n">
        <v>91.90000000000001</v>
      </c>
      <c r="T212" s="7" t="n">
        <v>146.1</v>
      </c>
      <c r="V212" s="7" t="n">
        <v>56.5</v>
      </c>
      <c r="X212" s="7" t="n">
        <v>0</v>
      </c>
      <c r="Z212" s="7" t="n">
        <v>15.5</v>
      </c>
      <c r="AB212" s="7" t="n">
        <v>1101.9</v>
      </c>
    </row>
    <row r="213">
      <c r="A213" s="4" t="inlineStr">
        <is>
          <t>电费</t>
        </is>
      </c>
      <c r="D213" s="7" t="n">
        <v>77.3</v>
      </c>
      <c r="F213" s="7" t="n">
        <v>80.90000000000001</v>
      </c>
      <c r="H213" s="7" t="n">
        <v>240.8</v>
      </c>
      <c r="J213" s="7" t="n">
        <v>146.1</v>
      </c>
      <c r="L213" s="7" t="n">
        <v>81.40000000000001</v>
      </c>
      <c r="N213" s="7" t="n">
        <v>240.1</v>
      </c>
      <c r="P213" s="7" t="n">
        <v>227.7</v>
      </c>
      <c r="R213" s="7" t="n">
        <v>146.4</v>
      </c>
      <c r="T213" s="7" t="n">
        <v>295.4</v>
      </c>
      <c r="V213" s="7" t="n">
        <v>89.8</v>
      </c>
      <c r="X213" s="7" t="n">
        <v>0</v>
      </c>
      <c r="Z213" s="7" t="n">
        <v>23.4</v>
      </c>
      <c r="AB213" s="7" t="n">
        <v>1649.3</v>
      </c>
    </row>
    <row r="214">
      <c r="A214" s="4" t="inlineStr">
        <is>
          <t>燃气费</t>
        </is>
      </c>
      <c r="D214" s="7" t="n">
        <v>55.9</v>
      </c>
      <c r="F214" s="7" t="n">
        <v>97.5</v>
      </c>
      <c r="H214" s="7" t="n">
        <v>372.7</v>
      </c>
      <c r="J214" s="7" t="n">
        <v>169.9</v>
      </c>
      <c r="L214" s="7" t="n">
        <v>108.8</v>
      </c>
      <c r="N214" s="7" t="n">
        <v>240.2</v>
      </c>
      <c r="P214" s="7" t="n">
        <v>201.3</v>
      </c>
      <c r="R214" s="7" t="n">
        <v>166</v>
      </c>
      <c r="T214" s="7" t="n">
        <v>331.2</v>
      </c>
      <c r="V214" s="7" t="n">
        <v>85.09999999999999</v>
      </c>
      <c r="X214" s="7" t="n">
        <v>0</v>
      </c>
      <c r="Z214" s="7" t="n">
        <v>29.9</v>
      </c>
      <c r="AB214" s="7" t="n">
        <v>1858.5</v>
      </c>
    </row>
    <row r="215">
      <c r="A215" s="4" t="inlineStr">
        <is>
          <t>蒸汽费</t>
        </is>
      </c>
      <c r="D215" s="7" t="n">
        <v>30.3</v>
      </c>
      <c r="F215" s="7" t="n">
        <v>44</v>
      </c>
      <c r="H215" s="7" t="n">
        <v>145</v>
      </c>
      <c r="J215" s="7" t="n">
        <v>84.2</v>
      </c>
      <c r="L215" s="7" t="n">
        <v>54.6</v>
      </c>
      <c r="N215" s="7" t="n">
        <v>139.9</v>
      </c>
      <c r="P215" s="7" t="n">
        <v>96.59999999999999</v>
      </c>
      <c r="R215" s="7" t="n">
        <v>97.40000000000001</v>
      </c>
      <c r="T215" s="7" t="n">
        <v>168.2</v>
      </c>
      <c r="V215" s="7" t="n">
        <v>48.3</v>
      </c>
      <c r="X215" s="7" t="n">
        <v>0</v>
      </c>
      <c r="Z215" s="7" t="n">
        <v>17.6</v>
      </c>
      <c r="AB215" s="7" t="n">
        <v>926.1</v>
      </c>
    </row>
    <row r="216">
      <c r="A216" s="4" t="inlineStr">
        <is>
          <t>物业费</t>
        </is>
      </c>
      <c r="D216" s="7" t="n">
        <v>50.8</v>
      </c>
      <c r="F216" s="7" t="n">
        <v>52.3</v>
      </c>
      <c r="H216" s="7" t="n">
        <v>229.1</v>
      </c>
      <c r="J216" s="7" t="n">
        <v>83</v>
      </c>
      <c r="L216" s="7" t="n">
        <v>48.5</v>
      </c>
      <c r="N216" s="7" t="n">
        <v>159.8</v>
      </c>
      <c r="P216" s="7" t="n">
        <v>90.8</v>
      </c>
      <c r="R216" s="7" t="n">
        <v>113</v>
      </c>
      <c r="T216" s="7" t="n">
        <v>138.6</v>
      </c>
      <c r="V216" s="7" t="n">
        <v>42.7</v>
      </c>
      <c r="X216" s="7" t="n">
        <v>0</v>
      </c>
      <c r="Z216" s="7" t="n">
        <v>17</v>
      </c>
      <c r="AB216" s="7" t="n">
        <v>1025.6</v>
      </c>
    </row>
    <row r="217">
      <c r="A217" s="4" t="inlineStr">
        <is>
          <t>劳动保护费</t>
        </is>
      </c>
      <c r="D217" s="7" t="n">
        <v>43.2</v>
      </c>
      <c r="F217" s="7" t="n">
        <v>58.2</v>
      </c>
      <c r="H217" s="7" t="n">
        <v>204.4</v>
      </c>
      <c r="J217" s="7" t="n">
        <v>112</v>
      </c>
      <c r="L217" s="7" t="n">
        <v>59.4</v>
      </c>
      <c r="N217" s="7" t="n">
        <v>211.4</v>
      </c>
      <c r="P217" s="7" t="n">
        <v>124.4</v>
      </c>
      <c r="R217" s="7" t="n">
        <v>97</v>
      </c>
      <c r="T217" s="7" t="n">
        <v>152</v>
      </c>
      <c r="V217" s="7" t="n">
        <v>79.5</v>
      </c>
      <c r="X217" s="7" t="n">
        <v>0</v>
      </c>
      <c r="Z217" s="7" t="n">
        <v>15.5</v>
      </c>
      <c r="AB217" s="7" t="n">
        <v>1157</v>
      </c>
    </row>
    <row r="218">
      <c r="A218" s="4" t="inlineStr">
        <is>
          <t>顾问费</t>
        </is>
      </c>
      <c r="D218" s="7" t="n">
        <v>17.7</v>
      </c>
      <c r="F218" s="7" t="n">
        <v>14.4</v>
      </c>
      <c r="H218" s="7" t="n">
        <v>82.40000000000001</v>
      </c>
      <c r="J218" s="7" t="n">
        <v>34.3</v>
      </c>
      <c r="L218" s="7" t="n">
        <v>20.6</v>
      </c>
      <c r="N218" s="7" t="n">
        <v>67.7</v>
      </c>
      <c r="P218" s="7" t="n">
        <v>35.2</v>
      </c>
      <c r="R218" s="7" t="n">
        <v>32</v>
      </c>
      <c r="T218" s="7" t="n">
        <v>63.2</v>
      </c>
      <c r="V218" s="7" t="n">
        <v>15.4</v>
      </c>
      <c r="X218" s="7" t="n">
        <v>0</v>
      </c>
      <c r="Z218" s="7" t="n">
        <v>6</v>
      </c>
      <c r="AB218" s="7" t="n">
        <v>388.9</v>
      </c>
    </row>
    <row r="219">
      <c r="A219" s="4" t="inlineStr">
        <is>
          <t>快递费</t>
        </is>
      </c>
      <c r="D219" s="7" t="n">
        <v>56.6</v>
      </c>
      <c r="F219" s="7" t="n">
        <v>53</v>
      </c>
      <c r="H219" s="7" t="n">
        <v>362.6</v>
      </c>
      <c r="J219" s="7" t="n">
        <v>143.8</v>
      </c>
      <c r="L219" s="7" t="n">
        <v>65.09999999999999</v>
      </c>
      <c r="N219" s="7" t="n">
        <v>210.8</v>
      </c>
      <c r="P219" s="7" t="n">
        <v>162.5</v>
      </c>
      <c r="R219" s="7" t="n">
        <v>136.9</v>
      </c>
      <c r="T219" s="7" t="n">
        <v>335</v>
      </c>
      <c r="V219" s="7" t="n">
        <v>115.2</v>
      </c>
      <c r="X219" s="7" t="n">
        <v>0</v>
      </c>
      <c r="Z219" s="7" t="n">
        <v>38.2</v>
      </c>
      <c r="AB219" s="7" t="n">
        <v>1679.7</v>
      </c>
    </row>
    <row r="220">
      <c r="A220" s="4" t="inlineStr">
        <is>
          <t>诉讼费</t>
        </is>
      </c>
      <c r="D220" s="7" t="n">
        <v>75.90000000000001</v>
      </c>
      <c r="F220" s="7" t="n">
        <v>77.7</v>
      </c>
      <c r="H220" s="7" t="n">
        <v>429</v>
      </c>
      <c r="J220" s="7" t="n">
        <v>158.6</v>
      </c>
      <c r="L220" s="7" t="n">
        <v>87.2</v>
      </c>
      <c r="N220" s="7" t="n">
        <v>225.7</v>
      </c>
      <c r="P220" s="7" t="n">
        <v>185.6</v>
      </c>
      <c r="R220" s="7" t="n">
        <v>200.6</v>
      </c>
      <c r="T220" s="7" t="n">
        <v>227.3</v>
      </c>
      <c r="V220" s="7" t="n">
        <v>103</v>
      </c>
      <c r="X220" s="7" t="n">
        <v>0</v>
      </c>
      <c r="Z220" s="7" t="n">
        <v>35.5</v>
      </c>
      <c r="AB220" s="7" t="n">
        <v>1806.1</v>
      </c>
    </row>
    <row r="221">
      <c r="A221" s="4" t="inlineStr">
        <is>
          <t>会员费</t>
        </is>
      </c>
      <c r="D221" s="7" t="n">
        <v>108.4</v>
      </c>
      <c r="F221" s="7" t="n">
        <v>115.1</v>
      </c>
      <c r="H221" s="7" t="n">
        <v>476.3</v>
      </c>
      <c r="J221" s="7" t="n">
        <v>150.6</v>
      </c>
      <c r="L221" s="7" t="n">
        <v>148.7</v>
      </c>
      <c r="N221" s="7" t="n">
        <v>525.6</v>
      </c>
      <c r="P221" s="7" t="n">
        <v>225</v>
      </c>
      <c r="R221" s="7" t="n">
        <v>241.9</v>
      </c>
      <c r="T221" s="7" t="n">
        <v>416.2</v>
      </c>
      <c r="V221" s="7" t="n">
        <v>144.1</v>
      </c>
      <c r="X221" s="7" t="n">
        <v>0</v>
      </c>
      <c r="Z221" s="7" t="n">
        <v>63.3</v>
      </c>
      <c r="AB221" s="7" t="n">
        <v>2615.2</v>
      </c>
    </row>
    <row r="222">
      <c r="A222" s="4" t="inlineStr">
        <is>
          <t>广告宣传费</t>
        </is>
      </c>
      <c r="D222" s="7" t="n">
        <v>394.8</v>
      </c>
      <c r="F222" s="7" t="n">
        <v>667.2</v>
      </c>
      <c r="H222" s="7" t="n">
        <v>1962.7</v>
      </c>
      <c r="J222" s="7" t="n">
        <v>1034.9</v>
      </c>
      <c r="L222" s="7" t="n">
        <v>778.3</v>
      </c>
      <c r="N222" s="7" t="n">
        <v>1886.8</v>
      </c>
      <c r="P222" s="7" t="n">
        <v>1778.2</v>
      </c>
      <c r="R222" s="7" t="n">
        <v>832.1</v>
      </c>
      <c r="T222" s="7" t="n">
        <v>2328.7</v>
      </c>
      <c r="V222" s="7" t="n">
        <v>711.3</v>
      </c>
      <c r="X222" s="7" t="n">
        <v>0</v>
      </c>
      <c r="Z222" s="7" t="n">
        <v>220.9</v>
      </c>
      <c r="AB222" s="7" t="n">
        <v>12595.9</v>
      </c>
    </row>
    <row r="223">
      <c r="A223" s="4" t="inlineStr">
        <is>
          <t>会务费</t>
        </is>
      </c>
      <c r="D223" s="7" t="n">
        <v>23.3</v>
      </c>
      <c r="F223" s="7" t="n">
        <v>37.2</v>
      </c>
      <c r="H223" s="7" t="n">
        <v>104.7</v>
      </c>
      <c r="J223" s="7" t="n">
        <v>64.09999999999999</v>
      </c>
      <c r="L223" s="7" t="n">
        <v>44.3</v>
      </c>
      <c r="N223" s="7" t="n">
        <v>82.2</v>
      </c>
      <c r="P223" s="7" t="n">
        <v>88.8</v>
      </c>
      <c r="R223" s="7" t="n">
        <v>56.6</v>
      </c>
      <c r="T223" s="7" t="n">
        <v>131.1</v>
      </c>
      <c r="V223" s="7" t="n">
        <v>41.7</v>
      </c>
      <c r="X223" s="7" t="n">
        <v>0</v>
      </c>
      <c r="Z223" s="7" t="n">
        <v>12.2</v>
      </c>
      <c r="AB223" s="7" t="n">
        <v>686.2</v>
      </c>
    </row>
    <row r="224">
      <c r="A224" s="4" t="inlineStr">
        <is>
          <t>装修费</t>
        </is>
      </c>
      <c r="D224" s="7" t="n">
        <v>60.9</v>
      </c>
      <c r="F224" s="7" t="n">
        <v>80.7</v>
      </c>
      <c r="H224" s="7" t="n">
        <v>229</v>
      </c>
      <c r="J224" s="7" t="n">
        <v>130</v>
      </c>
      <c r="L224" s="7" t="n">
        <v>101.7</v>
      </c>
      <c r="N224" s="7" t="n">
        <v>271.7</v>
      </c>
      <c r="P224" s="7" t="n">
        <v>179.9</v>
      </c>
      <c r="R224" s="7" t="n">
        <v>129.9</v>
      </c>
      <c r="T224" s="7" t="n">
        <v>255.9</v>
      </c>
      <c r="V224" s="7" t="n">
        <v>83.8</v>
      </c>
      <c r="X224" s="7" t="n">
        <v>0</v>
      </c>
      <c r="Z224" s="7" t="n">
        <v>31.1</v>
      </c>
      <c r="AB224" s="7" t="n">
        <v>1554.6</v>
      </c>
    </row>
    <row r="225">
      <c r="A225" s="4" t="inlineStr">
        <is>
          <t>推广费</t>
        </is>
      </c>
      <c r="D225" s="7" t="n">
        <v>83.59999999999999</v>
      </c>
      <c r="F225" s="7" t="n">
        <v>109.8</v>
      </c>
      <c r="H225" s="7" t="n">
        <v>367.8</v>
      </c>
      <c r="J225" s="7" t="n">
        <v>185.1</v>
      </c>
      <c r="L225" s="7" t="n">
        <v>128.3</v>
      </c>
      <c r="N225" s="7" t="n">
        <v>233.4</v>
      </c>
      <c r="P225" s="7" t="n">
        <v>275.6</v>
      </c>
      <c r="R225" s="7" t="n">
        <v>184.7</v>
      </c>
      <c r="T225" s="7" t="n">
        <v>285.9</v>
      </c>
      <c r="V225" s="7" t="n">
        <v>111.1</v>
      </c>
      <c r="X225" s="7" t="n">
        <v>0</v>
      </c>
      <c r="Z225" s="7" t="n">
        <v>34.7</v>
      </c>
      <c r="AB225" s="7" t="n">
        <v>2000</v>
      </c>
    </row>
    <row r="226">
      <c r="A226" s="4" t="inlineStr">
        <is>
          <t>展会费</t>
        </is>
      </c>
      <c r="D226" s="7" t="n">
        <v>13.2</v>
      </c>
      <c r="F226" s="7" t="n">
        <v>21.3</v>
      </c>
      <c r="H226" s="7" t="n">
        <v>59.6</v>
      </c>
      <c r="J226" s="7" t="n">
        <v>39.5</v>
      </c>
      <c r="L226" s="7" t="n">
        <v>15.5</v>
      </c>
      <c r="N226" s="7" t="n">
        <v>70.09999999999999</v>
      </c>
      <c r="P226" s="7" t="n">
        <v>46.8</v>
      </c>
      <c r="R226" s="7" t="n">
        <v>43.5</v>
      </c>
      <c r="T226" s="7" t="n">
        <v>67.09999999999999</v>
      </c>
      <c r="V226" s="7" t="n">
        <v>26.7</v>
      </c>
      <c r="X226" s="7" t="n">
        <v>0</v>
      </c>
      <c r="Z226" s="7" t="n">
        <v>8.300000000000001</v>
      </c>
      <c r="AB226" s="7" t="n">
        <v>411.6</v>
      </c>
    </row>
    <row r="227">
      <c r="A227" s="4" t="inlineStr">
        <is>
          <t>设计费</t>
        </is>
      </c>
      <c r="D227" s="7" t="n">
        <v>82</v>
      </c>
      <c r="F227" s="7" t="n">
        <v>55.5</v>
      </c>
      <c r="H227" s="7" t="n">
        <v>319.1</v>
      </c>
      <c r="J227" s="7" t="n">
        <v>154.6</v>
      </c>
      <c r="L227" s="7" t="n">
        <v>96.7</v>
      </c>
      <c r="N227" s="7" t="n">
        <v>224</v>
      </c>
      <c r="P227" s="7" t="n">
        <v>180.5</v>
      </c>
      <c r="R227" s="7" t="n">
        <v>173</v>
      </c>
      <c r="T227" s="7" t="n">
        <v>306.4</v>
      </c>
      <c r="V227" s="7" t="n">
        <v>99.09999999999999</v>
      </c>
      <c r="X227" s="7" t="n">
        <v>0</v>
      </c>
      <c r="Z227" s="7" t="n">
        <v>38.7</v>
      </c>
      <c r="AB227" s="7" t="n">
        <v>1729.6</v>
      </c>
    </row>
    <row r="228">
      <c r="A228" s="4" t="inlineStr">
        <is>
          <t>折旧费</t>
        </is>
      </c>
      <c r="D228" s="7" t="n">
        <v>700.1</v>
      </c>
      <c r="F228" s="7" t="n">
        <v>673.8</v>
      </c>
      <c r="H228" s="7" t="n">
        <v>2610.7</v>
      </c>
      <c r="J228" s="7" t="n">
        <v>970.5</v>
      </c>
      <c r="L228" s="7" t="n">
        <v>807.8</v>
      </c>
      <c r="N228" s="7" t="n">
        <v>2937.6</v>
      </c>
      <c r="P228" s="7" t="n">
        <v>2212.4</v>
      </c>
      <c r="R228" s="7" t="n">
        <v>1153.7</v>
      </c>
      <c r="T228" s="7" t="n">
        <v>3175.7</v>
      </c>
      <c r="V228" s="7" t="n">
        <v>1042.8</v>
      </c>
      <c r="X228" s="7" t="n">
        <v>0</v>
      </c>
      <c r="Z228" s="7" t="n">
        <v>264.3</v>
      </c>
      <c r="AB228" s="7" t="n">
        <v>16549.4</v>
      </c>
    </row>
    <row r="229">
      <c r="A229" s="4" t="inlineStr">
        <is>
          <t>认证费</t>
        </is>
      </c>
      <c r="D229" s="7" t="n">
        <v>4.2</v>
      </c>
      <c r="F229" s="7" t="n">
        <v>5.4</v>
      </c>
      <c r="H229" s="7" t="n">
        <v>16</v>
      </c>
      <c r="J229" s="7" t="n">
        <v>9.5</v>
      </c>
      <c r="L229" s="7" t="n">
        <v>6.6</v>
      </c>
      <c r="N229" s="7" t="n">
        <v>14.9</v>
      </c>
      <c r="P229" s="7" t="n">
        <v>15.7</v>
      </c>
      <c r="R229" s="7" t="n">
        <v>10.7</v>
      </c>
      <c r="T229" s="7" t="n">
        <v>14.1</v>
      </c>
      <c r="V229" s="7" t="n">
        <v>7.2</v>
      </c>
      <c r="X229" s="7" t="n">
        <v>0</v>
      </c>
      <c r="Z229" s="7" t="n">
        <v>2.6</v>
      </c>
      <c r="AB229" s="7" t="n">
        <v>106.9</v>
      </c>
    </row>
    <row r="230">
      <c r="A230" s="4" t="inlineStr">
        <is>
          <t>样品费</t>
        </is>
      </c>
      <c r="D230" s="7" t="n">
        <v>416.3</v>
      </c>
      <c r="F230" s="7" t="n">
        <v>256.8</v>
      </c>
      <c r="H230" s="7" t="n">
        <v>1977.5</v>
      </c>
      <c r="J230" s="7" t="n">
        <v>794.7</v>
      </c>
      <c r="L230" s="7" t="n">
        <v>481</v>
      </c>
      <c r="N230" s="7" t="n">
        <v>1489.2</v>
      </c>
      <c r="P230" s="7" t="n">
        <v>1021</v>
      </c>
      <c r="R230" s="7" t="n">
        <v>884.4</v>
      </c>
      <c r="T230" s="7" t="n">
        <v>1232.6</v>
      </c>
      <c r="V230" s="7" t="n">
        <v>482.4</v>
      </c>
      <c r="X230" s="7" t="n">
        <v>0</v>
      </c>
      <c r="Z230" s="7" t="n">
        <v>193.7</v>
      </c>
      <c r="AB230" s="7" t="n">
        <v>9229.6</v>
      </c>
    </row>
    <row r="231">
      <c r="A231" s="4" t="inlineStr">
        <is>
          <t>劳务费</t>
        </is>
      </c>
      <c r="D231" s="7" t="n">
        <v>84.90000000000001</v>
      </c>
      <c r="F231" s="7" t="n">
        <v>80.59999999999999</v>
      </c>
      <c r="H231" s="7" t="n">
        <v>383.4</v>
      </c>
      <c r="J231" s="7" t="n">
        <v>225.3</v>
      </c>
      <c r="L231" s="7" t="n">
        <v>144.3</v>
      </c>
      <c r="N231" s="7" t="n">
        <v>308.1</v>
      </c>
      <c r="P231" s="7" t="n">
        <v>267.4</v>
      </c>
      <c r="R231" s="7" t="n">
        <v>258.7</v>
      </c>
      <c r="T231" s="7" t="n">
        <v>300</v>
      </c>
      <c r="V231" s="7" t="n">
        <v>138.2</v>
      </c>
      <c r="X231" s="7" t="n">
        <v>0</v>
      </c>
      <c r="Z231" s="7" t="n">
        <v>31.8</v>
      </c>
      <c r="AB231" s="7" t="n">
        <v>2222.7</v>
      </c>
    </row>
    <row r="232">
      <c r="A232" s="4" t="inlineStr">
        <is>
          <t>销售佣金</t>
        </is>
      </c>
      <c r="D232" s="7" t="n">
        <v>55.6</v>
      </c>
      <c r="F232" s="7" t="n">
        <v>80.59999999999999</v>
      </c>
      <c r="H232" s="7" t="n">
        <v>331.9</v>
      </c>
      <c r="J232" s="7" t="n">
        <v>91.5</v>
      </c>
      <c r="L232" s="7" t="n">
        <v>90.09999999999999</v>
      </c>
      <c r="N232" s="7" t="n">
        <v>296.7</v>
      </c>
      <c r="P232" s="7" t="n">
        <v>236.1</v>
      </c>
      <c r="R232" s="7" t="n">
        <v>170.5</v>
      </c>
      <c r="T232" s="7" t="n">
        <v>219.4</v>
      </c>
      <c r="V232" s="7" t="n">
        <v>102.4</v>
      </c>
      <c r="X232" s="7" t="n">
        <v>0</v>
      </c>
      <c r="Z232" s="7" t="n">
        <v>30</v>
      </c>
      <c r="AB232" s="7" t="n">
        <v>1704.8</v>
      </c>
    </row>
    <row r="233">
      <c r="A233" s="4" t="inlineStr">
        <is>
          <t>检测费</t>
        </is>
      </c>
      <c r="D233" s="7" t="n">
        <v>61.2</v>
      </c>
      <c r="F233" s="7" t="n">
        <v>73.2</v>
      </c>
      <c r="H233" s="7" t="n">
        <v>306</v>
      </c>
      <c r="J233" s="7" t="n">
        <v>127.1</v>
      </c>
      <c r="L233" s="7" t="n">
        <v>70.3</v>
      </c>
      <c r="N233" s="7" t="n">
        <v>204.8</v>
      </c>
      <c r="P233" s="7" t="n">
        <v>175.3</v>
      </c>
      <c r="R233" s="7" t="n">
        <v>130.1</v>
      </c>
      <c r="T233" s="7" t="n">
        <v>171.7</v>
      </c>
      <c r="V233" s="7" t="n">
        <v>99.40000000000001</v>
      </c>
      <c r="X233" s="7" t="n">
        <v>0</v>
      </c>
      <c r="Z233" s="7" t="n">
        <v>18.9</v>
      </c>
      <c r="AB233" s="7" t="n">
        <v>1438</v>
      </c>
    </row>
    <row r="234">
      <c r="A234" s="4" t="inlineStr">
        <is>
          <t>质量赔偿</t>
        </is>
      </c>
      <c r="D234" s="7" t="n">
        <v>98.09999999999999</v>
      </c>
      <c r="F234" s="7" t="n">
        <v>123.8</v>
      </c>
      <c r="H234" s="7" t="n">
        <v>413.3</v>
      </c>
      <c r="J234" s="7" t="n">
        <v>209.9</v>
      </c>
      <c r="L234" s="7" t="n">
        <v>115.5</v>
      </c>
      <c r="N234" s="7" t="n">
        <v>411</v>
      </c>
      <c r="P234" s="7" t="n">
        <v>257.9</v>
      </c>
      <c r="R234" s="7" t="n">
        <v>236.2</v>
      </c>
      <c r="T234" s="7" t="n">
        <v>309</v>
      </c>
      <c r="V234" s="7" t="n">
        <v>120.3</v>
      </c>
      <c r="X234" s="7" t="n">
        <v>0</v>
      </c>
      <c r="Z234" s="7" t="n">
        <v>53.7</v>
      </c>
      <c r="AB234" s="7" t="n">
        <v>2348.7</v>
      </c>
    </row>
    <row r="235">
      <c r="A235" s="4" t="inlineStr">
        <is>
          <t>保险费</t>
        </is>
      </c>
      <c r="D235" s="7" t="n">
        <v>77.2</v>
      </c>
      <c r="F235" s="7" t="n">
        <v>75.8</v>
      </c>
      <c r="H235" s="7" t="n">
        <v>343.5</v>
      </c>
      <c r="J235" s="7" t="n">
        <v>198.8</v>
      </c>
      <c r="L235" s="7" t="n">
        <v>120.6</v>
      </c>
      <c r="N235" s="7" t="n">
        <v>347.5</v>
      </c>
      <c r="P235" s="7" t="n">
        <v>261.9</v>
      </c>
      <c r="R235" s="7" t="n">
        <v>153.2</v>
      </c>
      <c r="T235" s="7" t="n">
        <v>271.1</v>
      </c>
      <c r="V235" s="7" t="n">
        <v>125</v>
      </c>
      <c r="X235" s="7" t="n">
        <v>0</v>
      </c>
      <c r="Z235" s="7" t="n">
        <v>49.1</v>
      </c>
      <c r="AB235" s="7" t="n">
        <v>2023.7</v>
      </c>
    </row>
    <row r="236">
      <c r="A236" s="4" t="inlineStr">
        <is>
          <t>清洁费</t>
        </is>
      </c>
      <c r="D236" s="7" t="n">
        <v>119.9</v>
      </c>
      <c r="F236" s="7" t="n">
        <v>117.3</v>
      </c>
      <c r="H236" s="7" t="n">
        <v>491.8</v>
      </c>
      <c r="J236" s="7" t="n">
        <v>250.9</v>
      </c>
      <c r="L236" s="7" t="n">
        <v>167.8</v>
      </c>
      <c r="N236" s="7" t="n">
        <v>437.3</v>
      </c>
      <c r="P236" s="7" t="n">
        <v>421.8</v>
      </c>
      <c r="R236" s="7" t="n">
        <v>255.6</v>
      </c>
      <c r="T236" s="7" t="n">
        <v>428.4</v>
      </c>
      <c r="V236" s="7" t="n">
        <v>115.5</v>
      </c>
      <c r="X236" s="7" t="n">
        <v>0</v>
      </c>
      <c r="Z236" s="7" t="n">
        <v>63.1</v>
      </c>
      <c r="AB236" s="7" t="n">
        <v>2869.4</v>
      </c>
    </row>
    <row r="237">
      <c r="A237" s="4" t="inlineStr">
        <is>
          <t>低值易耗品</t>
        </is>
      </c>
      <c r="D237" s="7" t="n">
        <v>14.4</v>
      </c>
      <c r="F237" s="7" t="n">
        <v>23.8</v>
      </c>
      <c r="H237" s="7" t="n">
        <v>63.5</v>
      </c>
      <c r="J237" s="7" t="n">
        <v>30.1</v>
      </c>
      <c r="L237" s="7" t="n">
        <v>27.8</v>
      </c>
      <c r="N237" s="7" t="n">
        <v>50.8</v>
      </c>
      <c r="P237" s="7" t="n">
        <v>62.1</v>
      </c>
      <c r="R237" s="7" t="n">
        <v>40.1</v>
      </c>
      <c r="T237" s="7" t="n">
        <v>69.40000000000001</v>
      </c>
      <c r="V237" s="7" t="n">
        <v>20.7</v>
      </c>
      <c r="X237" s="7" t="n">
        <v>0</v>
      </c>
      <c r="Z237" s="7" t="n">
        <v>8.6</v>
      </c>
      <c r="AB237" s="7" t="n">
        <v>411.3</v>
      </c>
    </row>
    <row r="238">
      <c r="A238" s="4" t="inlineStr">
        <is>
          <t>物料消耗</t>
        </is>
      </c>
      <c r="D238" s="7" t="n">
        <v>77.40000000000001</v>
      </c>
      <c r="F238" s="7" t="n">
        <v>77.8</v>
      </c>
      <c r="H238" s="7" t="n">
        <v>398.1</v>
      </c>
      <c r="J238" s="7" t="n">
        <v>133.5</v>
      </c>
      <c r="L238" s="7" t="n">
        <v>79.09999999999999</v>
      </c>
      <c r="N238" s="7" t="n">
        <v>190.4</v>
      </c>
      <c r="P238" s="7" t="n">
        <v>157.2</v>
      </c>
      <c r="R238" s="7" t="n">
        <v>142.3</v>
      </c>
      <c r="T238" s="7" t="n">
        <v>251.3</v>
      </c>
      <c r="V238" s="7" t="n">
        <v>119.5</v>
      </c>
      <c r="X238" s="7" t="n">
        <v>0</v>
      </c>
      <c r="Z238" s="7" t="n">
        <v>40.3</v>
      </c>
      <c r="AB238" s="7" t="n">
        <v>1666.9</v>
      </c>
    </row>
    <row r="239">
      <c r="A239" s="4" t="inlineStr">
        <is>
          <t>盘盈盘亏</t>
        </is>
      </c>
      <c r="D239" s="7" t="n">
        <v>27</v>
      </c>
      <c r="F239" s="7" t="n">
        <v>35.2</v>
      </c>
      <c r="H239" s="7" t="n">
        <v>136.8</v>
      </c>
      <c r="J239" s="7" t="n">
        <v>54.6</v>
      </c>
      <c r="L239" s="7" t="n">
        <v>23.8</v>
      </c>
      <c r="N239" s="7" t="n">
        <v>101</v>
      </c>
      <c r="P239" s="7" t="n">
        <v>56.9</v>
      </c>
      <c r="R239" s="7" t="n">
        <v>59.8</v>
      </c>
      <c r="T239" s="7" t="n">
        <v>96.59999999999999</v>
      </c>
      <c r="V239" s="7" t="n">
        <v>43.5</v>
      </c>
      <c r="X239" s="7" t="n">
        <v>0</v>
      </c>
      <c r="Z239" s="7" t="n">
        <v>13</v>
      </c>
      <c r="AB239" s="7" t="n">
        <v>648.2</v>
      </c>
    </row>
    <row r="240">
      <c r="A240" s="4" t="inlineStr">
        <is>
          <t>平台服务费</t>
        </is>
      </c>
      <c r="D240" s="7" t="n">
        <v>19.2</v>
      </c>
      <c r="F240" s="7" t="n">
        <v>28.3</v>
      </c>
      <c r="H240" s="7" t="n">
        <v>109.6</v>
      </c>
      <c r="J240" s="7" t="n">
        <v>50</v>
      </c>
      <c r="L240" s="7" t="n">
        <v>30.8</v>
      </c>
      <c r="N240" s="7" t="n">
        <v>60</v>
      </c>
      <c r="P240" s="7" t="n">
        <v>53</v>
      </c>
      <c r="R240" s="7" t="n">
        <v>58.3</v>
      </c>
      <c r="T240" s="7" t="n">
        <v>59.7</v>
      </c>
      <c r="V240" s="7" t="n">
        <v>37.6</v>
      </c>
      <c r="X240" s="7" t="n">
        <v>0</v>
      </c>
      <c r="Z240" s="7" t="n">
        <v>8.1</v>
      </c>
      <c r="AB240" s="7" t="n">
        <v>514.6</v>
      </c>
    </row>
    <row r="241">
      <c r="A241" s="4" t="inlineStr">
        <is>
          <t>无形资产摊销</t>
        </is>
      </c>
      <c r="D241" s="7" t="n">
        <v>48.9</v>
      </c>
      <c r="F241" s="7" t="n">
        <v>55.8</v>
      </c>
      <c r="H241" s="7" t="n">
        <v>251.1</v>
      </c>
      <c r="J241" s="7" t="n">
        <v>83.40000000000001</v>
      </c>
      <c r="L241" s="7" t="n">
        <v>47.9</v>
      </c>
      <c r="N241" s="7" t="n">
        <v>117.6</v>
      </c>
      <c r="P241" s="7" t="n">
        <v>87.40000000000001</v>
      </c>
      <c r="R241" s="7" t="n">
        <v>105.8</v>
      </c>
      <c r="T241" s="7" t="n">
        <v>153.3</v>
      </c>
      <c r="V241" s="7" t="n">
        <v>76.3</v>
      </c>
      <c r="X241" s="7" t="n">
        <v>0</v>
      </c>
      <c r="Z241" s="7" t="n">
        <v>18</v>
      </c>
      <c r="AB241" s="7" t="n">
        <v>1045.5</v>
      </c>
    </row>
    <row r="242">
      <c r="A242" s="4" t="inlineStr">
        <is>
          <t>研发材料</t>
        </is>
      </c>
      <c r="D242" s="7" t="n">
        <v>7.2</v>
      </c>
      <c r="F242" s="7" t="n">
        <v>11.9</v>
      </c>
      <c r="H242" s="7" t="n">
        <v>61.4</v>
      </c>
      <c r="J242" s="7" t="n">
        <v>17.3</v>
      </c>
      <c r="L242" s="7" t="n">
        <v>9.300000000000001</v>
      </c>
      <c r="N242" s="7" t="n">
        <v>29.6</v>
      </c>
      <c r="P242" s="7" t="n">
        <v>36.8</v>
      </c>
      <c r="R242" s="7" t="n">
        <v>30.6</v>
      </c>
      <c r="T242" s="7" t="n">
        <v>33.1</v>
      </c>
      <c r="V242" s="7" t="n">
        <v>12.9</v>
      </c>
      <c r="X242" s="7" t="n">
        <v>0</v>
      </c>
      <c r="Z242" s="7" t="n">
        <v>4.8</v>
      </c>
      <c r="AB242" s="7" t="n">
        <v>254.9</v>
      </c>
    </row>
    <row r="243">
      <c r="A243" s="4" t="inlineStr">
        <is>
          <t>项目名称</t>
        </is>
      </c>
      <c r="D243" s="7" t="n">
        <v>11.9</v>
      </c>
      <c r="F243" s="7" t="n">
        <v>15</v>
      </c>
      <c r="H243" s="7" t="n">
        <v>56.6</v>
      </c>
      <c r="J243" s="7" t="n">
        <v>25</v>
      </c>
      <c r="L243" s="7" t="n">
        <v>13.3</v>
      </c>
      <c r="N243" s="7" t="n">
        <v>43.5</v>
      </c>
      <c r="P243" s="7" t="n">
        <v>23.7</v>
      </c>
      <c r="R243" s="7" t="n">
        <v>30.1</v>
      </c>
      <c r="T243" s="7" t="n">
        <v>50.1</v>
      </c>
      <c r="V243" s="7" t="n">
        <v>15.5</v>
      </c>
      <c r="X243" s="7" t="n">
        <v>0</v>
      </c>
      <c r="Z243" s="7" t="n">
        <v>4.5</v>
      </c>
      <c r="AB243" s="7" t="n">
        <v>289.2</v>
      </c>
    </row>
    <row r="244">
      <c r="A244" s="4" t="inlineStr">
        <is>
          <t>研发费</t>
        </is>
      </c>
      <c r="D244" s="7" t="n">
        <v>16</v>
      </c>
      <c r="F244" s="7" t="n">
        <v>17.4</v>
      </c>
      <c r="H244" s="7" t="n">
        <v>80.7</v>
      </c>
      <c r="J244" s="7" t="n">
        <v>24</v>
      </c>
      <c r="L244" s="7" t="n">
        <v>20.2</v>
      </c>
      <c r="N244" s="7" t="n">
        <v>70.40000000000001</v>
      </c>
      <c r="P244" s="7" t="n">
        <v>47.5</v>
      </c>
      <c r="R244" s="7" t="n">
        <v>37</v>
      </c>
      <c r="T244" s="7" t="n">
        <v>62.8</v>
      </c>
      <c r="V244" s="7" t="n">
        <v>22.9</v>
      </c>
      <c r="X244" s="7" t="n">
        <v>0</v>
      </c>
      <c r="Z244" s="7" t="n">
        <v>5.5</v>
      </c>
      <c r="AB244" s="7" t="n">
        <v>404.4</v>
      </c>
    </row>
    <row r="245">
      <c r="A245" s="4" t="inlineStr">
        <is>
          <t>残保金</t>
        </is>
      </c>
      <c r="D245" s="7" t="n">
        <v>65.2</v>
      </c>
      <c r="F245" s="7" t="n">
        <v>68.3</v>
      </c>
      <c r="H245" s="7" t="n">
        <v>330.1</v>
      </c>
      <c r="J245" s="7" t="n">
        <v>84.2</v>
      </c>
      <c r="L245" s="7" t="n">
        <v>51.1</v>
      </c>
      <c r="N245" s="7" t="n">
        <v>266.8</v>
      </c>
      <c r="P245" s="7" t="n">
        <v>168.1</v>
      </c>
      <c r="R245" s="7" t="n">
        <v>124.7</v>
      </c>
      <c r="T245" s="7" t="n">
        <v>275.1</v>
      </c>
      <c r="V245" s="7" t="n">
        <v>88.59999999999999</v>
      </c>
      <c r="X245" s="7" t="n">
        <v>0</v>
      </c>
      <c r="Z245" s="7" t="n">
        <v>19.3</v>
      </c>
      <c r="AB245" s="7" t="n">
        <v>1541.5</v>
      </c>
    </row>
    <row r="246">
      <c r="A246" s="4" t="inlineStr">
        <is>
          <t>环保费</t>
        </is>
      </c>
      <c r="D246" s="7" t="n">
        <v>51.3</v>
      </c>
      <c r="F246" s="7" t="n">
        <v>89.59999999999999</v>
      </c>
      <c r="H246" s="7" t="n">
        <v>247.5</v>
      </c>
      <c r="J246" s="7" t="n">
        <v>156.3</v>
      </c>
      <c r="L246" s="7" t="n">
        <v>92.59999999999999</v>
      </c>
      <c r="N246" s="7" t="n">
        <v>232.2</v>
      </c>
      <c r="P246" s="7" t="n">
        <v>238.7</v>
      </c>
      <c r="R246" s="7" t="n">
        <v>164.7</v>
      </c>
      <c r="T246" s="7" t="n">
        <v>268.2</v>
      </c>
      <c r="V246" s="7" t="n">
        <v>114.5</v>
      </c>
      <c r="X246" s="7" t="n">
        <v>0</v>
      </c>
      <c r="Z246" s="7" t="n">
        <v>21.5</v>
      </c>
      <c r="AB246" s="7" t="n">
        <v>1677.1</v>
      </c>
    </row>
    <row r="247">
      <c r="A247" s="4" t="inlineStr">
        <is>
          <t>报废损失</t>
        </is>
      </c>
      <c r="D247" s="7" t="n">
        <v>112.1</v>
      </c>
      <c r="F247" s="7" t="n">
        <v>81.90000000000001</v>
      </c>
      <c r="H247" s="7" t="n">
        <v>660.8</v>
      </c>
      <c r="J247" s="7" t="n">
        <v>259.1</v>
      </c>
      <c r="L247" s="7" t="n">
        <v>121.1</v>
      </c>
      <c r="N247" s="7" t="n">
        <v>326.9</v>
      </c>
      <c r="P247" s="7" t="n">
        <v>241.3</v>
      </c>
      <c r="R247" s="7" t="n">
        <v>245.2</v>
      </c>
      <c r="T247" s="7" t="n">
        <v>379.8</v>
      </c>
      <c r="V247" s="7" t="n">
        <v>139.6</v>
      </c>
      <c r="X247" s="7" t="n">
        <v>0</v>
      </c>
      <c r="Z247" s="7" t="n">
        <v>48.8</v>
      </c>
      <c r="AB247" s="7" t="n">
        <v>2616.6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7940</v>
      </c>
      <c r="D248" s="7" t="n">
        <v>6423</v>
      </c>
      <c r="E248" s="7" t="n">
        <v>7902.3</v>
      </c>
      <c r="F248" s="7" t="n">
        <v>12651.7</v>
      </c>
      <c r="G248" s="7" t="n">
        <v>8704.5</v>
      </c>
      <c r="H248" s="7" t="n">
        <v>11774.1</v>
      </c>
      <c r="I248" s="7" t="n">
        <v>7541.3</v>
      </c>
      <c r="J248" s="7" t="n">
        <v>-1550.8</v>
      </c>
      <c r="K248" s="7" t="n">
        <v>6944.5</v>
      </c>
      <c r="L248" s="7" t="n">
        <v>2419.9</v>
      </c>
      <c r="M248" s="7" t="n">
        <v>6861.2</v>
      </c>
      <c r="N248" s="7" t="n">
        <v>10053.1</v>
      </c>
      <c r="O248" s="7" t="n">
        <v>8711.6</v>
      </c>
      <c r="P248" s="7" t="n">
        <v>14601.5</v>
      </c>
      <c r="Q248" s="7" t="n">
        <v>7307.2</v>
      </c>
      <c r="R248" s="7" t="n">
        <v>-2585.7</v>
      </c>
      <c r="S248" s="7" t="n">
        <v>7891.7</v>
      </c>
      <c r="T248" s="7" t="n">
        <v>11824.4</v>
      </c>
      <c r="U248" s="7" t="n">
        <v>7572.6</v>
      </c>
      <c r="V248" s="7" t="n">
        <v>15869.6</v>
      </c>
      <c r="W248" s="7" t="n">
        <v>8407.4</v>
      </c>
      <c r="X248" s="7" t="n">
        <v>8785.6</v>
      </c>
      <c r="Y248" s="7" t="n">
        <v>8570</v>
      </c>
      <c r="Z248" s="7" t="n">
        <v>2008.3</v>
      </c>
      <c r="AA248" s="8" t="n">
        <v>94354.3</v>
      </c>
      <c r="AB248" s="8" t="n">
        <v>92274.7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4134.1</v>
      </c>
      <c r="E250" s="7" t="n">
        <v>0</v>
      </c>
      <c r="F250" s="7" t="n">
        <v>-2356.7</v>
      </c>
      <c r="G250" s="7" t="n">
        <v>0</v>
      </c>
      <c r="H250" s="7" t="n">
        <v>2314.1</v>
      </c>
      <c r="I250" s="7" t="n">
        <v>0</v>
      </c>
      <c r="J250" s="7" t="n">
        <v>-2336</v>
      </c>
      <c r="K250" s="7" t="n">
        <v>0</v>
      </c>
      <c r="L250" s="7" t="n">
        <v>-3681.1</v>
      </c>
      <c r="M250" s="7" t="n">
        <v>0</v>
      </c>
      <c r="N250" s="7" t="n">
        <v>3233.1</v>
      </c>
      <c r="O250" s="7" t="n">
        <v>0</v>
      </c>
      <c r="P250" s="7" t="n">
        <v>-1533.9</v>
      </c>
      <c r="Q250" s="7" t="n">
        <v>0</v>
      </c>
      <c r="R250" s="7" t="n">
        <v>-2063.5</v>
      </c>
      <c r="S250" s="7" t="n">
        <v>0</v>
      </c>
      <c r="T250" s="7" t="n">
        <v>-138.9</v>
      </c>
      <c r="U250" s="7" t="n">
        <v>0</v>
      </c>
      <c r="V250" s="7" t="n">
        <v>3350.1</v>
      </c>
      <c r="W250" s="7" t="n">
        <v>0</v>
      </c>
      <c r="X250" s="7" t="n">
        <v>-1810.4</v>
      </c>
      <c r="Y250" s="7" t="n">
        <v>0</v>
      </c>
      <c r="Z250" s="7" t="n">
        <v>2795</v>
      </c>
      <c r="AA250" s="7" t="n">
        <v>0</v>
      </c>
      <c r="AB250" s="7" t="n">
        <v>1905.9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16809.4</v>
      </c>
      <c r="D255" s="7" t="n">
        <v>3792.6</v>
      </c>
      <c r="E255" s="7" t="n">
        <v>14609.2</v>
      </c>
      <c r="F255" s="7" t="n">
        <v>25347.7</v>
      </c>
      <c r="G255" s="7" t="n">
        <v>17044.4</v>
      </c>
      <c r="H255" s="7" t="n">
        <v>4246.1</v>
      </c>
      <c r="I255" s="7" t="n">
        <v>14831.5</v>
      </c>
      <c r="J255" s="7" t="n">
        <v>25336.9</v>
      </c>
      <c r="K255" s="7" t="n">
        <v>13714</v>
      </c>
      <c r="L255" s="7" t="n">
        <v>11015.1</v>
      </c>
      <c r="M255" s="7" t="n">
        <v>13375</v>
      </c>
      <c r="N255" s="7" t="n">
        <v>24915.1</v>
      </c>
      <c r="O255" s="7" t="n">
        <v>16580.3</v>
      </c>
      <c r="P255" s="7" t="n">
        <v>21309.2</v>
      </c>
      <c r="Q255" s="7" t="n">
        <v>14879.4</v>
      </c>
      <c r="R255" s="7" t="n">
        <v>541.9</v>
      </c>
      <c r="S255" s="7" t="n">
        <v>13562.4</v>
      </c>
      <c r="T255" s="7" t="n">
        <v>22029.5</v>
      </c>
      <c r="U255" s="7" t="n">
        <v>13496.4</v>
      </c>
      <c r="V255" s="7" t="n">
        <v>1901.1</v>
      </c>
      <c r="W255" s="7" t="n">
        <v>15284.7</v>
      </c>
      <c r="X255" s="7" t="n">
        <v>11979</v>
      </c>
      <c r="Y255" s="7" t="n">
        <v>14240.2</v>
      </c>
      <c r="Z255" s="7" t="n">
        <v>27760.2</v>
      </c>
      <c r="AA255" s="7" t="n">
        <v>178426.9</v>
      </c>
      <c r="AB255" s="7" t="n">
        <v>180174.4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176495.4</v>
      </c>
      <c r="D256" s="7" t="n">
        <v>62267.8</v>
      </c>
      <c r="E256" s="7" t="n">
        <v>174856.9</v>
      </c>
      <c r="F256" s="7" t="n">
        <v>202615.9</v>
      </c>
      <c r="G256" s="7" t="n">
        <v>204397.9</v>
      </c>
      <c r="H256" s="7" t="n">
        <v>155888</v>
      </c>
      <c r="I256" s="7" t="n">
        <v>203868.1</v>
      </c>
      <c r="J256" s="7" t="n">
        <v>135427.9</v>
      </c>
      <c r="K256" s="7" t="n">
        <v>196849.8</v>
      </c>
      <c r="L256" s="7" t="n">
        <v>171600.4</v>
      </c>
      <c r="M256" s="7" t="n">
        <v>173970.1</v>
      </c>
      <c r="N256" s="7" t="n">
        <v>535582.2</v>
      </c>
      <c r="O256" s="7" t="n">
        <v>179847.6</v>
      </c>
      <c r="P256" s="7" t="n">
        <v>203342</v>
      </c>
      <c r="Q256" s="7" t="n">
        <v>156921.6</v>
      </c>
      <c r="R256" s="7" t="n">
        <v>93111.3</v>
      </c>
      <c r="S256" s="7" t="n">
        <v>172792.3</v>
      </c>
      <c r="T256" s="7" t="n">
        <v>296880.5</v>
      </c>
      <c r="U256" s="7" t="n">
        <v>184241.7</v>
      </c>
      <c r="V256" s="7" t="n">
        <v>253015.4</v>
      </c>
      <c r="W256" s="7" t="n">
        <v>191596.4</v>
      </c>
      <c r="X256" s="7" t="n">
        <v>0</v>
      </c>
      <c r="Y256" s="7" t="n">
        <v>205202.5</v>
      </c>
      <c r="Z256" s="7" t="n">
        <v>60504.1</v>
      </c>
      <c r="AA256" s="8" t="n">
        <v>2221040.3</v>
      </c>
      <c r="AB256" s="8" t="n">
        <v>2170235.5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457.3</v>
      </c>
      <c r="E257" s="7" t="n">
        <v>0</v>
      </c>
      <c r="F257" s="7" t="n">
        <v>2871.8</v>
      </c>
      <c r="G257" s="7" t="n">
        <v>0</v>
      </c>
      <c r="H257" s="7" t="n">
        <v>4873.6</v>
      </c>
      <c r="I257" s="7" t="n">
        <v>0</v>
      </c>
      <c r="J257" s="7" t="n">
        <v>3052.1</v>
      </c>
      <c r="K257" s="7" t="n">
        <v>0</v>
      </c>
      <c r="L257" s="7" t="n">
        <v>4219.2</v>
      </c>
      <c r="M257" s="7" t="n">
        <v>0</v>
      </c>
      <c r="N257" s="7" t="n">
        <v>4429.5</v>
      </c>
      <c r="O257" s="7" t="n">
        <v>0</v>
      </c>
      <c r="P257" s="7" t="n">
        <v>546</v>
      </c>
      <c r="Q257" s="7" t="n">
        <v>0</v>
      </c>
      <c r="R257" s="7" t="n">
        <v>4081.4</v>
      </c>
      <c r="S257" s="7" t="n">
        <v>0</v>
      </c>
      <c r="T257" s="7" t="n">
        <v>430.9</v>
      </c>
      <c r="U257" s="7" t="n">
        <v>0</v>
      </c>
      <c r="V257" s="7" t="n">
        <v>929.6</v>
      </c>
      <c r="W257" s="7" t="n">
        <v>0</v>
      </c>
      <c r="X257" s="7" t="n">
        <v>404.4</v>
      </c>
      <c r="Y257" s="7" t="n">
        <v>0</v>
      </c>
      <c r="Z257" s="7" t="n">
        <v>4400.6</v>
      </c>
      <c r="AA257" s="7" t="n">
        <v>0</v>
      </c>
      <c r="AB257" s="7" t="n">
        <v>30696.4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2231.6</v>
      </c>
      <c r="E258" s="7" t="n">
        <v>0</v>
      </c>
      <c r="F258" s="7" t="n">
        <v>682.2</v>
      </c>
      <c r="G258" s="7" t="n">
        <v>0</v>
      </c>
      <c r="H258" s="7" t="n">
        <v>2450.8</v>
      </c>
      <c r="I258" s="7" t="n">
        <v>0</v>
      </c>
      <c r="J258" s="7" t="n">
        <v>2381.8</v>
      </c>
      <c r="K258" s="7" t="n">
        <v>0</v>
      </c>
      <c r="L258" s="7" t="n">
        <v>159.7</v>
      </c>
      <c r="M258" s="7" t="n">
        <v>0</v>
      </c>
      <c r="N258" s="7" t="n">
        <v>1708.5</v>
      </c>
      <c r="O258" s="7" t="n">
        <v>0</v>
      </c>
      <c r="P258" s="7" t="n">
        <v>598.8</v>
      </c>
      <c r="Q258" s="7" t="n">
        <v>0</v>
      </c>
      <c r="R258" s="7" t="n">
        <v>98.5</v>
      </c>
      <c r="S258" s="7" t="n">
        <v>0</v>
      </c>
      <c r="T258" s="7" t="n">
        <v>212.6</v>
      </c>
      <c r="U258" s="7" t="n">
        <v>0</v>
      </c>
      <c r="V258" s="7" t="n">
        <v>1290.6</v>
      </c>
      <c r="W258" s="7" t="n">
        <v>0</v>
      </c>
      <c r="X258" s="7" t="n">
        <v>941.7</v>
      </c>
      <c r="Y258" s="7" t="n">
        <v>0</v>
      </c>
      <c r="Z258" s="7" t="n">
        <v>44.1</v>
      </c>
      <c r="AA258" s="7" t="n">
        <v>0</v>
      </c>
      <c r="AB258" s="7" t="n">
        <v>12800.9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183598.5</v>
      </c>
      <c r="D259" s="7" t="n">
        <v>67958.8</v>
      </c>
      <c r="E259" s="7" t="n">
        <v>178245.1</v>
      </c>
      <c r="F259" s="7" t="n">
        <v>192745.5</v>
      </c>
      <c r="G259" s="7" t="n">
        <v>184981.2</v>
      </c>
      <c r="H259" s="7" t="n">
        <v>162144.1</v>
      </c>
      <c r="I259" s="7" t="n">
        <v>183900.7</v>
      </c>
      <c r="J259" s="7" t="n">
        <v>148645</v>
      </c>
      <c r="K259" s="7" t="n">
        <v>199671.3</v>
      </c>
      <c r="L259" s="7" t="n">
        <v>157413.3</v>
      </c>
      <c r="M259" s="7" t="n">
        <v>175211.1</v>
      </c>
      <c r="N259" s="7" t="n">
        <v>536029.9</v>
      </c>
      <c r="O259" s="7" t="n">
        <v>160061.4</v>
      </c>
      <c r="P259" s="7" t="n">
        <v>214940.9</v>
      </c>
      <c r="Q259" s="7" t="n">
        <v>166841.3</v>
      </c>
      <c r="R259" s="7" t="n">
        <v>94261.7</v>
      </c>
      <c r="S259" s="7" t="n">
        <v>204602.7</v>
      </c>
      <c r="T259" s="7" t="n">
        <v>286622</v>
      </c>
      <c r="U259" s="7" t="n">
        <v>194315.1</v>
      </c>
      <c r="V259" s="7" t="n">
        <v>242542.4</v>
      </c>
      <c r="W259" s="7" t="n">
        <v>175281</v>
      </c>
      <c r="X259" s="7" t="n">
        <v>0</v>
      </c>
      <c r="Y259" s="7" t="n">
        <v>192517.9</v>
      </c>
      <c r="Z259" s="7" t="n">
        <v>56158.1</v>
      </c>
      <c r="AA259" s="8" t="n">
        <v>2199227.3</v>
      </c>
      <c r="AB259" s="8" t="n">
        <v>2159461.7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51188.3</v>
      </c>
      <c r="D260" s="7" t="n">
        <v>16989.7</v>
      </c>
      <c r="E260" s="7" t="n">
        <v>48943.7</v>
      </c>
      <c r="F260" s="7" t="n">
        <v>48186.4</v>
      </c>
      <c r="G260" s="7" t="n">
        <v>45186.8</v>
      </c>
      <c r="H260" s="7" t="n">
        <v>40536</v>
      </c>
      <c r="I260" s="7" t="n">
        <v>40146.9</v>
      </c>
      <c r="J260" s="7" t="n">
        <v>37161.2</v>
      </c>
      <c r="K260" s="7" t="n">
        <v>44639.7</v>
      </c>
      <c r="L260" s="7" t="n">
        <v>39353.3</v>
      </c>
      <c r="M260" s="7" t="n">
        <v>49102.2</v>
      </c>
      <c r="N260" s="7" t="n">
        <v>134007.5</v>
      </c>
      <c r="O260" s="7" t="n">
        <v>49185.4</v>
      </c>
      <c r="P260" s="7" t="n">
        <v>53735.2</v>
      </c>
      <c r="Q260" s="7" t="n">
        <v>39355.9</v>
      </c>
      <c r="R260" s="7" t="n">
        <v>23565.4</v>
      </c>
      <c r="S260" s="7" t="n">
        <v>50410.3</v>
      </c>
      <c r="T260" s="7" t="n">
        <v>71655.5</v>
      </c>
      <c r="U260" s="7" t="n">
        <v>48030.3</v>
      </c>
      <c r="V260" s="7" t="n">
        <v>60635.6</v>
      </c>
      <c r="W260" s="7" t="n">
        <v>39195</v>
      </c>
      <c r="X260" s="7" t="n">
        <v>0</v>
      </c>
      <c r="Y260" s="7" t="n">
        <v>41720.1</v>
      </c>
      <c r="Z260" s="7" t="n">
        <v>14039.5</v>
      </c>
      <c r="AA260" s="7" t="n">
        <v>547104.6</v>
      </c>
      <c r="AB260" s="7" t="n">
        <v>539865.3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97285.10000000001</v>
      </c>
      <c r="D261" s="7" t="n">
        <v>50969.1</v>
      </c>
      <c r="E261" s="7" t="n">
        <v>119696.2</v>
      </c>
      <c r="F261" s="7" t="n">
        <v>144559.1</v>
      </c>
      <c r="G261" s="7" t="n">
        <v>102167.5</v>
      </c>
      <c r="H261" s="7" t="n">
        <v>121608.1</v>
      </c>
      <c r="I261" s="7" t="n">
        <v>96024.3</v>
      </c>
      <c r="J261" s="7" t="n">
        <v>111483.8</v>
      </c>
      <c r="K261" s="7" t="n">
        <v>94326.5</v>
      </c>
      <c r="L261" s="7" t="n">
        <v>118060</v>
      </c>
      <c r="M261" s="7" t="n">
        <v>79295.10000000001</v>
      </c>
      <c r="N261" s="7" t="n">
        <v>402022.4</v>
      </c>
      <c r="O261" s="7" t="n">
        <v>71489.7</v>
      </c>
      <c r="P261" s="7" t="n">
        <v>161205.7</v>
      </c>
      <c r="Q261" s="7" t="n">
        <v>123707.5</v>
      </c>
      <c r="R261" s="7" t="n">
        <v>70696.3</v>
      </c>
      <c r="S261" s="7" t="n">
        <v>96513.39999999999</v>
      </c>
      <c r="T261" s="7" t="n">
        <v>214966.5</v>
      </c>
      <c r="U261" s="7" t="n">
        <v>116726.2</v>
      </c>
      <c r="V261" s="7" t="n">
        <v>181906.8</v>
      </c>
      <c r="W261" s="7" t="n">
        <v>91992.8</v>
      </c>
      <c r="X261" s="7" t="n">
        <v>0</v>
      </c>
      <c r="Y261" s="7" t="n">
        <v>72822.39999999999</v>
      </c>
      <c r="Z261" s="7" t="n">
        <v>42118.6</v>
      </c>
      <c r="AA261" s="8" t="n">
        <v>1162046.7</v>
      </c>
      <c r="AB261" s="8" t="n">
        <v>1619596.4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694.3</v>
      </c>
      <c r="E262" s="7" t="n">
        <v>0</v>
      </c>
      <c r="F262" s="7" t="n">
        <v>15256.6</v>
      </c>
      <c r="G262" s="7" t="n">
        <v>0</v>
      </c>
      <c r="H262" s="7" t="n">
        <v>20484.2</v>
      </c>
      <c r="I262" s="7" t="n">
        <v>0</v>
      </c>
      <c r="J262" s="7" t="n">
        <v>20427.4</v>
      </c>
      <c r="K262" s="7" t="n">
        <v>0</v>
      </c>
      <c r="L262" s="7" t="n">
        <v>7855</v>
      </c>
      <c r="M262" s="7" t="n">
        <v>0</v>
      </c>
      <c r="N262" s="7" t="n">
        <v>22092.2</v>
      </c>
      <c r="O262" s="7" t="n">
        <v>0</v>
      </c>
      <c r="P262" s="7" t="n">
        <v>22646.4</v>
      </c>
      <c r="Q262" s="7" t="n">
        <v>0</v>
      </c>
      <c r="R262" s="7" t="n">
        <v>6294.2</v>
      </c>
      <c r="S262" s="7" t="n">
        <v>0</v>
      </c>
      <c r="T262" s="7" t="n">
        <v>62608.1</v>
      </c>
      <c r="U262" s="7" t="n">
        <v>0</v>
      </c>
      <c r="V262" s="7" t="n">
        <v>42766.6</v>
      </c>
      <c r="W262" s="7" t="n">
        <v>0</v>
      </c>
      <c r="X262" s="7" t="n">
        <v>0</v>
      </c>
      <c r="Y262" s="7" t="n">
        <v>0</v>
      </c>
      <c r="Z262" s="7" t="n">
        <v>5532.5</v>
      </c>
      <c r="AA262" s="7" t="n">
        <v>0</v>
      </c>
      <c r="AB262" s="7" t="n">
        <v>226657.5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97285.10000000001</v>
      </c>
      <c r="D263" s="7" t="n">
        <v>50274.8</v>
      </c>
      <c r="E263" s="7" t="n">
        <v>119696.2</v>
      </c>
      <c r="F263" s="7" t="n">
        <v>129302.5</v>
      </c>
      <c r="G263" s="7" t="n">
        <v>102167.5</v>
      </c>
      <c r="H263" s="7" t="n">
        <v>101123.9</v>
      </c>
      <c r="I263" s="7" t="n">
        <v>96024.3</v>
      </c>
      <c r="J263" s="7" t="n">
        <v>91056.39999999999</v>
      </c>
      <c r="K263" s="7" t="n">
        <v>94326.5</v>
      </c>
      <c r="L263" s="7" t="n">
        <v>110205</v>
      </c>
      <c r="M263" s="7" t="n">
        <v>79295.10000000001</v>
      </c>
      <c r="N263" s="7" t="n">
        <v>379930.2</v>
      </c>
      <c r="O263" s="7" t="n">
        <v>71489.7</v>
      </c>
      <c r="P263" s="7" t="n">
        <v>138559.3</v>
      </c>
      <c r="Q263" s="7" t="n">
        <v>123707.5</v>
      </c>
      <c r="R263" s="7" t="n">
        <v>64402.1</v>
      </c>
      <c r="S263" s="7" t="n">
        <v>96513.39999999999</v>
      </c>
      <c r="T263" s="7" t="n">
        <v>152358.4</v>
      </c>
      <c r="U263" s="7" t="n">
        <v>116726.2</v>
      </c>
      <c r="V263" s="7" t="n">
        <v>139140.2</v>
      </c>
      <c r="W263" s="7" t="n">
        <v>91992.8</v>
      </c>
      <c r="X263" s="7" t="n">
        <v>0</v>
      </c>
      <c r="Y263" s="7" t="n">
        <v>72822.39999999999</v>
      </c>
      <c r="Z263" s="7" t="n">
        <v>36586.1</v>
      </c>
      <c r="AA263" s="8" t="n">
        <v>1162046.7</v>
      </c>
      <c r="AB263" s="8" t="n">
        <v>1392938.9</v>
      </c>
    </row>
    <row r="264">
      <c r="A264" s="4" t="inlineStr">
        <is>
          <t>净利率</t>
        </is>
      </c>
      <c r="D264" s="13" t="n">
        <v>10</v>
      </c>
      <c r="F264" s="13" t="n">
        <v>10.4</v>
      </c>
      <c r="H264" s="13" t="n">
        <v>4.9</v>
      </c>
      <c r="J264" s="13" t="n">
        <v>6.3</v>
      </c>
      <c r="L264" s="13" t="n">
        <v>7.5</v>
      </c>
      <c r="N264" s="13" t="n">
        <v>11.4</v>
      </c>
      <c r="P264" s="13" t="n">
        <v>10.7</v>
      </c>
      <c r="R264" s="13" t="n">
        <v>5.5</v>
      </c>
      <c r="T264" s="13" t="n">
        <v>9.4</v>
      </c>
      <c r="V264" s="13" t="n">
        <v>10.6</v>
      </c>
      <c r="X264" s="13" t="n">
        <v>0</v>
      </c>
      <c r="Z264" s="13" t="n">
        <v>5.5</v>
      </c>
    </row>
    <row r="265">
      <c r="A265" s="4" t="inlineStr">
        <is>
          <t>销售达成率</t>
        </is>
      </c>
      <c r="D265" s="13" t="n">
        <v>36.4</v>
      </c>
      <c r="F265" s="13" t="n">
        <v>96.7</v>
      </c>
      <c r="H265" s="13" t="n">
        <v>176.8</v>
      </c>
      <c r="J265" s="13" t="n">
        <v>110.8</v>
      </c>
      <c r="L265" s="13" t="n">
        <v>92.59999999999999</v>
      </c>
      <c r="N265" s="13" t="n">
        <v>245.7</v>
      </c>
      <c r="P265" s="13" t="n">
        <v>104</v>
      </c>
      <c r="R265" s="13" t="n">
        <v>81.8</v>
      </c>
      <c r="T265" s="13" t="n">
        <v>135.7</v>
      </c>
      <c r="V265" s="13" t="n">
        <v>95.5</v>
      </c>
      <c r="X265" s="13" t="n">
        <v>0</v>
      </c>
      <c r="Z265" s="13" t="n">
        <v>51.5</v>
      </c>
    </row>
    <row r="266">
      <c r="A266" s="4" t="inlineStr">
        <is>
          <t>净利达成率</t>
        </is>
      </c>
      <c r="D266" s="13" t="n">
        <v>52.4</v>
      </c>
      <c r="F266" s="13" t="n">
        <v>120.8</v>
      </c>
      <c r="H266" s="13" t="n">
        <v>119</v>
      </c>
      <c r="J266" s="13" t="n">
        <v>116.1</v>
      </c>
      <c r="L266" s="13" t="n">
        <v>125.2</v>
      </c>
      <c r="N266" s="13" t="n">
        <v>507</v>
      </c>
      <c r="P266" s="13" t="n">
        <v>225.5</v>
      </c>
      <c r="R266" s="13" t="n">
        <v>57.1</v>
      </c>
      <c r="T266" s="13" t="n">
        <v>222.7</v>
      </c>
      <c r="V266" s="13" t="n">
        <v>155.8</v>
      </c>
      <c r="X266" s="13" t="n">
        <v>0</v>
      </c>
      <c r="Z266" s="13" t="n">
        <v>57.8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赣皖区域利润表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1213109.7</v>
      </c>
      <c r="D6" s="7" t="n">
        <v>684878.1</v>
      </c>
      <c r="E6" s="7" t="n">
        <v>1348553.9</v>
      </c>
      <c r="F6" s="7" t="n">
        <v>482194.5</v>
      </c>
      <c r="G6" s="7" t="n">
        <v>1332158.8</v>
      </c>
      <c r="H6" s="7" t="n">
        <v>849435.1</v>
      </c>
      <c r="I6" s="7" t="n">
        <v>1409387.6</v>
      </c>
      <c r="J6" s="7" t="n">
        <v>1310646.4</v>
      </c>
      <c r="K6" s="7" t="n">
        <v>1409607.9</v>
      </c>
      <c r="L6" s="7" t="n">
        <v>1498080.9</v>
      </c>
      <c r="M6" s="7" t="n">
        <v>1412285.5</v>
      </c>
      <c r="N6" s="7" t="n">
        <v>1849261.4</v>
      </c>
      <c r="O6" s="7" t="n">
        <v>1228961.8</v>
      </c>
      <c r="P6" s="7" t="n">
        <v>2344225.7</v>
      </c>
      <c r="Q6" s="7" t="n">
        <v>1204733.9</v>
      </c>
      <c r="R6" s="7" t="n">
        <v>1979691</v>
      </c>
      <c r="S6" s="7" t="n">
        <v>1358502.7</v>
      </c>
      <c r="T6" s="7" t="n">
        <v>1052148.5</v>
      </c>
      <c r="U6" s="7" t="n">
        <v>1374062.7</v>
      </c>
      <c r="V6" s="7" t="n">
        <v>1341782.8</v>
      </c>
      <c r="W6" s="7" t="n">
        <v>1417273</v>
      </c>
      <c r="X6" s="7" t="n">
        <v>1026658.9</v>
      </c>
      <c r="Y6" s="7" t="n">
        <v>1097354.8</v>
      </c>
      <c r="Z6" s="7" t="n">
        <v>817417.3</v>
      </c>
      <c r="AA6" s="8" t="n">
        <v>15805992.3</v>
      </c>
      <c r="AB6" s="8" t="n">
        <v>15236420.6</v>
      </c>
    </row>
    <row r="7">
      <c r="A7" s="4" t="inlineStr">
        <is>
          <t>中式汤底</t>
        </is>
      </c>
      <c r="D7" s="7" t="n">
        <v>66765.5</v>
      </c>
      <c r="F7" s="7" t="n">
        <v>87047</v>
      </c>
      <c r="H7" s="7" t="n">
        <v>97808.3</v>
      </c>
      <c r="J7" s="7" t="n">
        <v>149932.2</v>
      </c>
      <c r="L7" s="7" t="n">
        <v>129518.7</v>
      </c>
      <c r="N7" s="7" t="n">
        <v>0</v>
      </c>
      <c r="P7" s="7" t="n">
        <v>222818.6</v>
      </c>
      <c r="R7" s="7" t="n">
        <v>136931.8</v>
      </c>
      <c r="T7" s="7" t="n">
        <v>150212.4</v>
      </c>
      <c r="V7" s="7" t="n">
        <v>0</v>
      </c>
      <c r="X7" s="7" t="n">
        <v>104853.9</v>
      </c>
      <c r="Z7" s="7" t="n">
        <v>0</v>
      </c>
      <c r="AB7" s="7" t="n">
        <v>1145888.4</v>
      </c>
    </row>
    <row r="8">
      <c r="A8" s="4" t="inlineStr">
        <is>
          <t>酱料</t>
        </is>
      </c>
      <c r="D8" s="7" t="n">
        <v>0</v>
      </c>
      <c r="F8" s="7" t="n">
        <v>0</v>
      </c>
      <c r="H8" s="7" t="n">
        <v>116775.2</v>
      </c>
      <c r="J8" s="7" t="n">
        <v>0</v>
      </c>
      <c r="L8" s="7" t="n">
        <v>189265.4</v>
      </c>
      <c r="N8" s="7" t="n">
        <v>217656.9</v>
      </c>
      <c r="P8" s="7" t="n">
        <v>220516.2</v>
      </c>
      <c r="R8" s="7" t="n">
        <v>162494.8</v>
      </c>
      <c r="T8" s="7" t="n">
        <v>168370.5</v>
      </c>
      <c r="V8" s="7" t="n">
        <v>0</v>
      </c>
      <c r="X8" s="7" t="n">
        <v>0</v>
      </c>
      <c r="Z8" s="7" t="n">
        <v>124441.5</v>
      </c>
      <c r="AB8" s="7" t="n">
        <v>1199520.5</v>
      </c>
    </row>
    <row r="9">
      <c r="A9" s="4" t="inlineStr">
        <is>
          <t>川味底料</t>
        </is>
      </c>
      <c r="D9" s="7" t="n">
        <v>135389.1</v>
      </c>
      <c r="F9" s="7" t="n">
        <v>228350.6</v>
      </c>
      <c r="H9" s="7" t="n">
        <v>0</v>
      </c>
      <c r="J9" s="7" t="n">
        <v>0</v>
      </c>
      <c r="L9" s="7" t="n">
        <v>0</v>
      </c>
      <c r="N9" s="7" t="n">
        <v>0</v>
      </c>
      <c r="P9" s="7" t="n">
        <v>483651.1</v>
      </c>
      <c r="R9" s="7" t="n">
        <v>334893.5</v>
      </c>
      <c r="T9" s="7" t="n">
        <v>378621.9</v>
      </c>
      <c r="V9" s="7" t="n">
        <v>0</v>
      </c>
      <c r="X9" s="7" t="n">
        <v>0</v>
      </c>
      <c r="Z9" s="7" t="n">
        <v>222450.5</v>
      </c>
      <c r="AB9" s="7" t="n">
        <v>1783356.7</v>
      </c>
    </row>
    <row r="10">
      <c r="A10" s="4" t="inlineStr">
        <is>
          <t>调味汁</t>
        </is>
      </c>
      <c r="D10" s="7" t="n">
        <v>140501.7</v>
      </c>
      <c r="F10" s="7" t="n">
        <v>0</v>
      </c>
      <c r="H10" s="7" t="n">
        <v>0</v>
      </c>
      <c r="J10" s="7" t="n">
        <v>245504.2</v>
      </c>
      <c r="L10" s="7" t="n">
        <v>220017.8</v>
      </c>
      <c r="N10" s="7" t="n">
        <v>233349.4</v>
      </c>
      <c r="P10" s="7" t="n">
        <v>344077.8</v>
      </c>
      <c r="R10" s="7" t="n">
        <v>0</v>
      </c>
      <c r="T10" s="7" t="n">
        <v>199143.4</v>
      </c>
      <c r="V10" s="7" t="n">
        <v>251947.9</v>
      </c>
      <c r="X10" s="7" t="n">
        <v>259205.2</v>
      </c>
      <c r="Z10" s="7" t="n">
        <v>0</v>
      </c>
      <c r="AB10" s="7" t="n">
        <v>1893747.4</v>
      </c>
    </row>
    <row r="11">
      <c r="A11" s="4" t="inlineStr">
        <is>
          <t>复合调味粉</t>
        </is>
      </c>
      <c r="D11" s="7" t="n">
        <v>124719.3</v>
      </c>
      <c r="F11" s="7" t="n">
        <v>170603</v>
      </c>
      <c r="H11" s="7" t="n">
        <v>167713</v>
      </c>
      <c r="J11" s="7" t="n">
        <v>0</v>
      </c>
      <c r="L11" s="7" t="n">
        <v>0</v>
      </c>
      <c r="N11" s="7" t="n">
        <v>349212.2</v>
      </c>
      <c r="P11" s="7" t="n">
        <v>0</v>
      </c>
      <c r="R11" s="7" t="n">
        <v>256934.9</v>
      </c>
      <c r="T11" s="7" t="n">
        <v>171340.5</v>
      </c>
      <c r="V11" s="7" t="n">
        <v>0</v>
      </c>
      <c r="X11" s="7" t="n">
        <v>157175.5</v>
      </c>
      <c r="Z11" s="7" t="n">
        <v>158509.6</v>
      </c>
      <c r="AB11" s="7" t="n">
        <v>1556208</v>
      </c>
    </row>
    <row r="12">
      <c r="A12" s="4" t="inlineStr">
        <is>
          <t>团餐</t>
        </is>
      </c>
      <c r="D12" s="7" t="n">
        <v>224086.1</v>
      </c>
      <c r="F12" s="7" t="n">
        <v>0</v>
      </c>
      <c r="H12" s="7" t="n">
        <v>0</v>
      </c>
      <c r="J12" s="7" t="n">
        <v>541645.7</v>
      </c>
      <c r="L12" s="7" t="n">
        <v>583674.1</v>
      </c>
      <c r="N12" s="7" t="n">
        <v>449050.6</v>
      </c>
      <c r="P12" s="7" t="n">
        <v>533231.9</v>
      </c>
      <c r="R12" s="7" t="n">
        <v>477668.5</v>
      </c>
      <c r="T12" s="7" t="n">
        <v>0</v>
      </c>
      <c r="V12" s="7" t="n">
        <v>545740.9</v>
      </c>
      <c r="X12" s="7" t="n">
        <v>0</v>
      </c>
      <c r="Z12" s="7" t="n">
        <v>0</v>
      </c>
      <c r="AB12" s="7" t="n">
        <v>3355097.8</v>
      </c>
    </row>
    <row r="13">
      <c r="A13" s="4" t="inlineStr">
        <is>
          <t>预制菜</t>
        </is>
      </c>
      <c r="D13" s="7" t="n">
        <v>0</v>
      </c>
      <c r="F13" s="7" t="n">
        <v>0</v>
      </c>
      <c r="H13" s="7" t="n">
        <v>462836.8</v>
      </c>
      <c r="J13" s="7" t="n">
        <v>386278.1</v>
      </c>
      <c r="L13" s="7" t="n">
        <v>367275.3</v>
      </c>
      <c r="N13" s="7" t="n">
        <v>619674.5</v>
      </c>
      <c r="P13" s="7" t="n">
        <v>556858.1</v>
      </c>
      <c r="R13" s="7" t="n">
        <v>603089.9</v>
      </c>
      <c r="T13" s="7" t="n">
        <v>0</v>
      </c>
      <c r="V13" s="7" t="n">
        <v>552494</v>
      </c>
      <c r="X13" s="7" t="n">
        <v>505591.2</v>
      </c>
      <c r="Z13" s="7" t="n">
        <v>310318.4</v>
      </c>
      <c r="AB13" s="7" t="n">
        <v>4364416.3</v>
      </c>
    </row>
    <row r="14">
      <c r="A14" s="4" t="inlineStr">
        <is>
          <t>返利</t>
        </is>
      </c>
      <c r="D14" s="7" t="n">
        <v>-14161.4</v>
      </c>
      <c r="F14" s="7" t="n">
        <v>-13426.3</v>
      </c>
      <c r="H14" s="7" t="n">
        <v>-12541</v>
      </c>
      <c r="J14" s="7" t="n">
        <v>-36296</v>
      </c>
      <c r="L14" s="7" t="n">
        <v>-19408</v>
      </c>
      <c r="N14" s="7" t="n">
        <v>-38498</v>
      </c>
      <c r="P14" s="7" t="n">
        <v>-42766.7</v>
      </c>
      <c r="R14" s="7" t="n">
        <v>-30487.7</v>
      </c>
      <c r="T14" s="7" t="n">
        <v>-22329</v>
      </c>
      <c r="V14" s="7" t="n">
        <v>-14552.8</v>
      </c>
      <c r="X14" s="7" t="n">
        <v>-19083.9</v>
      </c>
      <c r="Z14" s="7" t="n">
        <v>-11318.2</v>
      </c>
      <c r="AB14" s="7" t="n">
        <v>-274869</v>
      </c>
    </row>
    <row r="15">
      <c r="A15" s="4" t="inlineStr">
        <is>
          <t>其他</t>
        </is>
      </c>
      <c r="D15" s="7" t="n">
        <v>7577.8</v>
      </c>
      <c r="F15" s="7" t="n">
        <v>9620.200000000001</v>
      </c>
      <c r="H15" s="7" t="n">
        <v>16842.8</v>
      </c>
      <c r="J15" s="7" t="n">
        <v>23582.2</v>
      </c>
      <c r="L15" s="7" t="n">
        <v>27737.6</v>
      </c>
      <c r="N15" s="7" t="n">
        <v>18815.8</v>
      </c>
      <c r="P15" s="7" t="n">
        <v>25838.7</v>
      </c>
      <c r="R15" s="7" t="n">
        <v>38165.3</v>
      </c>
      <c r="T15" s="7" t="n">
        <v>6788.8</v>
      </c>
      <c r="V15" s="7" t="n">
        <v>6152.8</v>
      </c>
      <c r="X15" s="7" t="n">
        <v>18917</v>
      </c>
      <c r="Z15" s="7" t="n">
        <v>13015.5</v>
      </c>
      <c r="AB15" s="7" t="n">
        <v>213054.5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856847</v>
      </c>
      <c r="D16" s="7" t="n">
        <v>467708.6</v>
      </c>
      <c r="E16" s="7" t="n">
        <v>860016.2</v>
      </c>
      <c r="F16" s="7" t="n">
        <v>321356.1</v>
      </c>
      <c r="G16" s="7" t="n">
        <v>868849.9</v>
      </c>
      <c r="H16" s="7" t="n">
        <v>612722.3</v>
      </c>
      <c r="I16" s="7" t="n">
        <v>817458</v>
      </c>
      <c r="J16" s="7" t="n">
        <v>931377.9</v>
      </c>
      <c r="K16" s="7" t="n">
        <v>811213.3</v>
      </c>
      <c r="L16" s="7" t="n">
        <v>1045272.5</v>
      </c>
      <c r="M16" s="7" t="n">
        <v>983853.6</v>
      </c>
      <c r="N16" s="7" t="n">
        <v>1319095.9</v>
      </c>
      <c r="O16" s="7" t="n">
        <v>921835.3</v>
      </c>
      <c r="P16" s="7" t="n">
        <v>1672367.6</v>
      </c>
      <c r="Q16" s="7" t="n">
        <v>907520</v>
      </c>
      <c r="R16" s="7" t="n">
        <v>1383474.4</v>
      </c>
      <c r="S16" s="7" t="n">
        <v>851701.1</v>
      </c>
      <c r="T16" s="7" t="n">
        <v>717914.4</v>
      </c>
      <c r="U16" s="7" t="n">
        <v>967987.1</v>
      </c>
      <c r="V16" s="7" t="n">
        <v>962968.3</v>
      </c>
      <c r="W16" s="7" t="n">
        <v>790871.3</v>
      </c>
      <c r="X16" s="7" t="n">
        <v>742766.9</v>
      </c>
      <c r="Y16" s="7" t="n">
        <v>894755.8</v>
      </c>
      <c r="Z16" s="7" t="n">
        <v>581396</v>
      </c>
      <c r="AA16" s="8" t="n">
        <v>10532908.6</v>
      </c>
      <c r="AB16" s="8" t="n">
        <v>10758420.9</v>
      </c>
    </row>
    <row r="17">
      <c r="A17" s="4" t="inlineStr">
        <is>
          <t>中式汤底</t>
        </is>
      </c>
      <c r="D17" s="7" t="n">
        <v>42822.4</v>
      </c>
      <c r="F17" s="7" t="n">
        <v>55830.7</v>
      </c>
      <c r="H17" s="7" t="n">
        <v>62732.8</v>
      </c>
      <c r="J17" s="7" t="n">
        <v>96164.39999999999</v>
      </c>
      <c r="L17" s="7" t="n">
        <v>83071.39999999999</v>
      </c>
      <c r="N17" s="7" t="n">
        <v>0</v>
      </c>
      <c r="P17" s="7" t="n">
        <v>142912.6</v>
      </c>
      <c r="R17" s="7" t="n">
        <v>87826.10000000001</v>
      </c>
      <c r="T17" s="7" t="n">
        <v>96344.10000000001</v>
      </c>
      <c r="V17" s="7" t="n">
        <v>0</v>
      </c>
      <c r="X17" s="7" t="n">
        <v>67251.8</v>
      </c>
      <c r="Z17" s="7" t="n">
        <v>0</v>
      </c>
      <c r="AB17" s="7" t="n">
        <v>734956.3</v>
      </c>
    </row>
    <row r="18">
      <c r="A18" s="4" t="inlineStr">
        <is>
          <t>酱料</t>
        </is>
      </c>
      <c r="D18" s="7" t="n">
        <v>0</v>
      </c>
      <c r="F18" s="7" t="n">
        <v>0</v>
      </c>
      <c r="H18" s="7" t="n">
        <v>81099.10000000001</v>
      </c>
      <c r="J18" s="7" t="n">
        <v>0</v>
      </c>
      <c r="L18" s="7" t="n">
        <v>131442.7</v>
      </c>
      <c r="N18" s="7" t="n">
        <v>151160.3</v>
      </c>
      <c r="P18" s="7" t="n">
        <v>153146</v>
      </c>
      <c r="R18" s="7" t="n">
        <v>112850.8</v>
      </c>
      <c r="T18" s="7" t="n">
        <v>116931.4</v>
      </c>
      <c r="V18" s="7" t="n">
        <v>0</v>
      </c>
      <c r="X18" s="7" t="n">
        <v>0</v>
      </c>
      <c r="Z18" s="7" t="n">
        <v>86423.2</v>
      </c>
      <c r="AB18" s="7" t="n">
        <v>833053.5</v>
      </c>
    </row>
    <row r="19">
      <c r="A19" s="4" t="inlineStr">
        <is>
          <t>川味底料</t>
        </is>
      </c>
      <c r="D19" s="7" t="n">
        <v>85565.3</v>
      </c>
      <c r="F19" s="7" t="n">
        <v>144316.6</v>
      </c>
      <c r="H19" s="7" t="n">
        <v>0</v>
      </c>
      <c r="J19" s="7" t="n">
        <v>0</v>
      </c>
      <c r="L19" s="7" t="n">
        <v>0</v>
      </c>
      <c r="N19" s="7" t="n">
        <v>0</v>
      </c>
      <c r="P19" s="7" t="n">
        <v>305665.4</v>
      </c>
      <c r="R19" s="7" t="n">
        <v>211651.3</v>
      </c>
      <c r="T19" s="7" t="n">
        <v>239287.4</v>
      </c>
      <c r="V19" s="7" t="n">
        <v>0</v>
      </c>
      <c r="X19" s="7" t="n">
        <v>0</v>
      </c>
      <c r="Z19" s="7" t="n">
        <v>140587.8</v>
      </c>
      <c r="AB19" s="7" t="n">
        <v>1127073.8</v>
      </c>
    </row>
    <row r="20">
      <c r="A20" s="4" t="inlineStr">
        <is>
          <t>调味汁</t>
        </is>
      </c>
      <c r="D20" s="7" t="n">
        <v>95675.5</v>
      </c>
      <c r="F20" s="7" t="n">
        <v>0</v>
      </c>
      <c r="H20" s="7" t="n">
        <v>0</v>
      </c>
      <c r="J20" s="7" t="n">
        <v>167177.6</v>
      </c>
      <c r="L20" s="7" t="n">
        <v>149822.5</v>
      </c>
      <c r="N20" s="7" t="n">
        <v>158900.7</v>
      </c>
      <c r="P20" s="7" t="n">
        <v>234301.9</v>
      </c>
      <c r="R20" s="7" t="n">
        <v>0</v>
      </c>
      <c r="T20" s="7" t="n">
        <v>135607.9</v>
      </c>
      <c r="V20" s="7" t="n">
        <v>171565.5</v>
      </c>
      <c r="X20" s="7" t="n">
        <v>176507.4</v>
      </c>
      <c r="Z20" s="7" t="n">
        <v>0</v>
      </c>
      <c r="AB20" s="7" t="n">
        <v>1289559</v>
      </c>
    </row>
    <row r="21">
      <c r="A21" s="4" t="inlineStr">
        <is>
          <t>复合调味粉</t>
        </is>
      </c>
      <c r="D21" s="7" t="n">
        <v>72446</v>
      </c>
      <c r="F21" s="7" t="n">
        <v>99098.5</v>
      </c>
      <c r="H21" s="7" t="n">
        <v>97419.8</v>
      </c>
      <c r="J21" s="7" t="n">
        <v>0</v>
      </c>
      <c r="L21" s="7" t="n">
        <v>0</v>
      </c>
      <c r="N21" s="7" t="n">
        <v>202847.7</v>
      </c>
      <c r="P21" s="7" t="n">
        <v>0</v>
      </c>
      <c r="R21" s="7" t="n">
        <v>149246.4</v>
      </c>
      <c r="T21" s="7" t="n">
        <v>99526.89999999999</v>
      </c>
      <c r="V21" s="7" t="n">
        <v>0</v>
      </c>
      <c r="X21" s="7" t="n">
        <v>91298.89999999999</v>
      </c>
      <c r="Z21" s="7" t="n">
        <v>92073.8</v>
      </c>
      <c r="AB21" s="7" t="n">
        <v>903958</v>
      </c>
    </row>
    <row r="22">
      <c r="A22" s="4" t="inlineStr">
        <is>
          <t>团餐</t>
        </is>
      </c>
      <c r="D22" s="7" t="n">
        <v>144288.6</v>
      </c>
      <c r="F22" s="7" t="n">
        <v>0</v>
      </c>
      <c r="H22" s="7" t="n">
        <v>0</v>
      </c>
      <c r="J22" s="7" t="n">
        <v>348764.6</v>
      </c>
      <c r="L22" s="7" t="n">
        <v>375826.7</v>
      </c>
      <c r="N22" s="7" t="n">
        <v>289142.8</v>
      </c>
      <c r="P22" s="7" t="n">
        <v>343347</v>
      </c>
      <c r="R22" s="7" t="n">
        <v>307569.8</v>
      </c>
      <c r="T22" s="7" t="n">
        <v>0</v>
      </c>
      <c r="V22" s="7" t="n">
        <v>351401.5</v>
      </c>
      <c r="X22" s="7" t="n">
        <v>0</v>
      </c>
      <c r="Z22" s="7" t="n">
        <v>0</v>
      </c>
      <c r="AB22" s="7" t="n">
        <v>2160341</v>
      </c>
    </row>
    <row r="23">
      <c r="A23" s="4" t="inlineStr">
        <is>
          <t>预制菜</t>
        </is>
      </c>
      <c r="D23" s="7" t="n">
        <v>0</v>
      </c>
      <c r="F23" s="7" t="n">
        <v>0</v>
      </c>
      <c r="H23" s="7" t="n">
        <v>344276.9</v>
      </c>
      <c r="J23" s="7" t="n">
        <v>287329.4</v>
      </c>
      <c r="L23" s="7" t="n">
        <v>273194.3</v>
      </c>
      <c r="N23" s="7" t="n">
        <v>460939.1</v>
      </c>
      <c r="P23" s="7" t="n">
        <v>414213.7</v>
      </c>
      <c r="R23" s="7" t="n">
        <v>448602.8</v>
      </c>
      <c r="T23" s="7" t="n">
        <v>0</v>
      </c>
      <c r="V23" s="7" t="n">
        <v>410967.5</v>
      </c>
      <c r="X23" s="7" t="n">
        <v>376079.3</v>
      </c>
      <c r="Z23" s="7" t="n">
        <v>230827.5</v>
      </c>
      <c r="AB23" s="7" t="n">
        <v>3246430.5</v>
      </c>
    </row>
    <row r="24">
      <c r="A24" s="4" t="inlineStr">
        <is>
          <t>其他</t>
        </is>
      </c>
      <c r="D24" s="7" t="n">
        <v>6169.7</v>
      </c>
      <c r="F24" s="7" t="n">
        <v>4372.7</v>
      </c>
      <c r="H24" s="7" t="n">
        <v>7800.2</v>
      </c>
      <c r="J24" s="7" t="n">
        <v>10794.8</v>
      </c>
      <c r="L24" s="7" t="n">
        <v>18027.3</v>
      </c>
      <c r="N24" s="7" t="n">
        <v>2519.2</v>
      </c>
      <c r="P24" s="7" t="n">
        <v>2656</v>
      </c>
      <c r="R24" s="7" t="n">
        <v>2638.6</v>
      </c>
      <c r="T24" s="7" t="n">
        <v>10713.1</v>
      </c>
      <c r="V24" s="7" t="n">
        <v>17584.2</v>
      </c>
      <c r="X24" s="7" t="n">
        <v>1347.7</v>
      </c>
      <c r="Z24" s="7" t="n">
        <v>10847.4</v>
      </c>
      <c r="AB24" s="7" t="n">
        <v>95470.89999999999</v>
      </c>
    </row>
    <row r="25">
      <c r="A25" s="4" t="inlineStr">
        <is>
          <t>运费</t>
        </is>
      </c>
      <c r="D25" s="7" t="n">
        <v>26910.8</v>
      </c>
      <c r="F25" s="7" t="n">
        <v>22110.3</v>
      </c>
      <c r="H25" s="7" t="n">
        <v>27193.7</v>
      </c>
      <c r="J25" s="7" t="n">
        <v>31941.9</v>
      </c>
      <c r="L25" s="7" t="n">
        <v>31914.9</v>
      </c>
      <c r="N25" s="7" t="n">
        <v>56105.3</v>
      </c>
      <c r="P25" s="7" t="n">
        <v>78781</v>
      </c>
      <c r="R25" s="7" t="n">
        <v>65727.2</v>
      </c>
      <c r="T25" s="7" t="n">
        <v>30216.7</v>
      </c>
      <c r="V25" s="7" t="n">
        <v>29033.8</v>
      </c>
      <c r="X25" s="7" t="n">
        <v>31629.5</v>
      </c>
      <c r="Z25" s="7" t="n">
        <v>31483.7</v>
      </c>
      <c r="AB25" s="7" t="n">
        <v>463048.8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356262.7</v>
      </c>
      <c r="D26" s="7" t="n">
        <v>217169.5</v>
      </c>
      <c r="E26" s="7" t="n">
        <v>488537.7</v>
      </c>
      <c r="F26" s="7" t="n">
        <v>160838.4</v>
      </c>
      <c r="G26" s="7" t="n">
        <v>463308.9</v>
      </c>
      <c r="H26" s="7" t="n">
        <v>236712.8</v>
      </c>
      <c r="I26" s="7" t="n">
        <v>591929.6</v>
      </c>
      <c r="J26" s="7" t="n">
        <v>379268.5</v>
      </c>
      <c r="K26" s="7" t="n">
        <v>598394.6</v>
      </c>
      <c r="L26" s="7" t="n">
        <v>452808.4</v>
      </c>
      <c r="M26" s="7" t="n">
        <v>428431.9</v>
      </c>
      <c r="N26" s="7" t="n">
        <v>530165.5</v>
      </c>
      <c r="O26" s="7" t="n">
        <v>307126.5</v>
      </c>
      <c r="P26" s="7" t="n">
        <v>671858.1</v>
      </c>
      <c r="Q26" s="7" t="n">
        <v>297213.9</v>
      </c>
      <c r="R26" s="7" t="n">
        <v>596216.6</v>
      </c>
      <c r="S26" s="7" t="n">
        <v>506801.6</v>
      </c>
      <c r="T26" s="7" t="n">
        <v>334234.1</v>
      </c>
      <c r="U26" s="7" t="n">
        <v>406075.6</v>
      </c>
      <c r="V26" s="7" t="n">
        <v>378814.5</v>
      </c>
      <c r="W26" s="7" t="n">
        <v>626401.7</v>
      </c>
      <c r="X26" s="7" t="n">
        <v>283892</v>
      </c>
      <c r="Y26" s="7" t="n">
        <v>202599</v>
      </c>
      <c r="Z26" s="7" t="n">
        <v>236021.3</v>
      </c>
      <c r="AA26" s="8" t="n">
        <v>5273083.7</v>
      </c>
      <c r="AB26" s="8" t="n">
        <v>4477999.7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29.4</v>
      </c>
      <c r="D27" s="13" t="n">
        <v>31.7</v>
      </c>
      <c r="E27" s="13" t="n">
        <v>36.2</v>
      </c>
      <c r="F27" s="13" t="n">
        <v>33.4</v>
      </c>
      <c r="G27" s="13" t="n">
        <v>34.8</v>
      </c>
      <c r="H27" s="13" t="n">
        <v>27.9</v>
      </c>
      <c r="I27" s="13" t="n">
        <v>42</v>
      </c>
      <c r="J27" s="13" t="n">
        <v>28.9</v>
      </c>
      <c r="K27" s="13" t="n">
        <v>42.5</v>
      </c>
      <c r="L27" s="13" t="n">
        <v>30.2</v>
      </c>
      <c r="M27" s="13" t="n">
        <v>30.3</v>
      </c>
      <c r="N27" s="13" t="n">
        <v>28.7</v>
      </c>
      <c r="O27" s="13" t="n">
        <v>25</v>
      </c>
      <c r="P27" s="13" t="n">
        <v>28.7</v>
      </c>
      <c r="Q27" s="13" t="n">
        <v>24.7</v>
      </c>
      <c r="R27" s="13" t="n">
        <v>30.1</v>
      </c>
      <c r="S27" s="13" t="n">
        <v>37.3</v>
      </c>
      <c r="T27" s="13" t="n">
        <v>31.8</v>
      </c>
      <c r="U27" s="13" t="n">
        <v>29.6</v>
      </c>
      <c r="V27" s="13" t="n">
        <v>28.2</v>
      </c>
      <c r="W27" s="13" t="n">
        <v>44.2</v>
      </c>
      <c r="X27" s="13" t="n">
        <v>27.7</v>
      </c>
      <c r="Y27" s="13" t="n">
        <v>18.5</v>
      </c>
      <c r="Z27" s="13" t="n">
        <v>28.9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12720.1</v>
      </c>
      <c r="D28" s="7" t="n">
        <v>3555.2</v>
      </c>
      <c r="E28" s="7" t="n">
        <v>13119.3</v>
      </c>
      <c r="F28" s="7" t="n">
        <v>3995.1</v>
      </c>
      <c r="G28" s="7" t="n">
        <v>12305.7</v>
      </c>
      <c r="H28" s="7" t="n">
        <v>6752.4</v>
      </c>
      <c r="I28" s="7" t="n">
        <v>10161.3</v>
      </c>
      <c r="J28" s="7" t="n">
        <v>18905.2</v>
      </c>
      <c r="K28" s="7" t="n">
        <v>10488.7</v>
      </c>
      <c r="L28" s="7" t="n">
        <v>17707</v>
      </c>
      <c r="M28" s="7" t="n">
        <v>9873.799999999999</v>
      </c>
      <c r="N28" s="7" t="n">
        <v>10244.6</v>
      </c>
      <c r="O28" s="7" t="n">
        <v>10159.7</v>
      </c>
      <c r="P28" s="7" t="n">
        <v>28193.9</v>
      </c>
      <c r="Q28" s="7" t="n">
        <v>10342.7</v>
      </c>
      <c r="R28" s="7" t="n">
        <v>13228.1</v>
      </c>
      <c r="S28" s="7" t="n">
        <v>11396.7</v>
      </c>
      <c r="T28" s="7" t="n">
        <v>5511.1</v>
      </c>
      <c r="U28" s="7" t="n">
        <v>10964.7</v>
      </c>
      <c r="V28" s="7" t="n">
        <v>16330.7</v>
      </c>
      <c r="W28" s="7" t="n">
        <v>12637.5</v>
      </c>
      <c r="X28" s="7" t="n">
        <v>8941.700000000001</v>
      </c>
      <c r="Y28" s="7" t="n">
        <v>11843.2</v>
      </c>
      <c r="Z28" s="7" t="n">
        <v>5998.3</v>
      </c>
      <c r="AA28" s="8" t="n">
        <v>136013.4</v>
      </c>
      <c r="AB28" s="8" t="n">
        <v>139363.3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240588.2</v>
      </c>
      <c r="D29" s="7" t="n">
        <v>158061.9</v>
      </c>
      <c r="E29" s="7" t="n">
        <v>220838.4</v>
      </c>
      <c r="F29" s="7" t="n">
        <v>52524.6</v>
      </c>
      <c r="G29" s="7" t="n">
        <v>222846.5</v>
      </c>
      <c r="H29" s="7" t="n">
        <v>105063.5</v>
      </c>
      <c r="I29" s="7" t="n">
        <v>195826.6</v>
      </c>
      <c r="J29" s="7" t="n">
        <v>213179.4</v>
      </c>
      <c r="K29" s="7" t="n">
        <v>219511.3</v>
      </c>
      <c r="L29" s="7" t="n">
        <v>332376.8</v>
      </c>
      <c r="M29" s="7" t="n">
        <v>218493.2</v>
      </c>
      <c r="N29" s="7" t="n">
        <v>439839.3</v>
      </c>
      <c r="O29" s="7" t="n">
        <v>181413.9</v>
      </c>
      <c r="P29" s="7" t="n">
        <v>262180.5</v>
      </c>
      <c r="Q29" s="7" t="n">
        <v>197275.8</v>
      </c>
      <c r="R29" s="7" t="n">
        <v>230929.1</v>
      </c>
      <c r="S29" s="7" t="n">
        <v>239907.5</v>
      </c>
      <c r="T29" s="7" t="n">
        <v>139083.3</v>
      </c>
      <c r="U29" s="7" t="n">
        <v>210558.6</v>
      </c>
      <c r="V29" s="7" t="n">
        <v>278985</v>
      </c>
      <c r="W29" s="7" t="n">
        <v>227822.4</v>
      </c>
      <c r="X29" s="7" t="n">
        <v>130862</v>
      </c>
      <c r="Y29" s="7" t="n">
        <v>223972.9</v>
      </c>
      <c r="Z29" s="7" t="n">
        <v>189457.8</v>
      </c>
      <c r="AA29" s="8" t="n">
        <v>2599055.3</v>
      </c>
      <c r="AB29" s="8" t="n">
        <v>2532543.2</v>
      </c>
    </row>
    <row r="30">
      <c r="A30" s="4" t="inlineStr">
        <is>
          <t>职工薪酬</t>
        </is>
      </c>
      <c r="D30" s="7" t="n">
        <v>80104.7</v>
      </c>
      <c r="F30" s="7" t="n">
        <v>32336</v>
      </c>
      <c r="H30" s="7" t="n">
        <v>56624.8</v>
      </c>
      <c r="J30" s="7" t="n">
        <v>133418</v>
      </c>
      <c r="L30" s="7" t="n">
        <v>173927.4</v>
      </c>
      <c r="N30" s="7" t="n">
        <v>183486.5</v>
      </c>
      <c r="P30" s="7" t="n">
        <v>145265.6</v>
      </c>
      <c r="R30" s="7" t="n">
        <v>122963.3</v>
      </c>
      <c r="T30" s="7" t="n">
        <v>61097.4</v>
      </c>
      <c r="V30" s="7" t="n">
        <v>137424.5</v>
      </c>
      <c r="X30" s="7" t="n">
        <v>72652</v>
      </c>
      <c r="Z30" s="7" t="n">
        <v>114292.3</v>
      </c>
      <c r="AB30" s="7" t="n">
        <v>1313592.5</v>
      </c>
    </row>
    <row r="31">
      <c r="A31" s="4" t="inlineStr">
        <is>
          <t>工资</t>
        </is>
      </c>
      <c r="D31" s="7" t="n">
        <v>44364.9</v>
      </c>
      <c r="F31" s="7" t="n">
        <v>20081.8</v>
      </c>
      <c r="H31" s="7" t="n">
        <v>33827</v>
      </c>
      <c r="J31" s="7" t="n">
        <v>81982.5</v>
      </c>
      <c r="L31" s="7" t="n">
        <v>116037.7</v>
      </c>
      <c r="N31" s="7" t="n">
        <v>93332.5</v>
      </c>
      <c r="P31" s="7" t="n">
        <v>87622.10000000001</v>
      </c>
      <c r="R31" s="7" t="n">
        <v>72561.60000000001</v>
      </c>
      <c r="T31" s="7" t="n">
        <v>29282.7</v>
      </c>
      <c r="V31" s="7" t="n">
        <v>76073</v>
      </c>
      <c r="X31" s="7" t="n">
        <v>49568.4</v>
      </c>
      <c r="Z31" s="7" t="n">
        <v>69737.8</v>
      </c>
      <c r="AB31" s="7" t="n">
        <v>774472</v>
      </c>
    </row>
    <row r="32">
      <c r="A32" s="4" t="inlineStr">
        <is>
          <t>奖金及提成</t>
        </is>
      </c>
      <c r="D32" s="7" t="n">
        <v>15127.2</v>
      </c>
      <c r="F32" s="7" t="n">
        <v>5272.9</v>
      </c>
      <c r="H32" s="7" t="n">
        <v>11759.1</v>
      </c>
      <c r="J32" s="7" t="n">
        <v>24647.6</v>
      </c>
      <c r="L32" s="7" t="n">
        <v>24550.9</v>
      </c>
      <c r="N32" s="7" t="n">
        <v>45112.4</v>
      </c>
      <c r="P32" s="7" t="n">
        <v>28213.7</v>
      </c>
      <c r="R32" s="7" t="n">
        <v>28771.8</v>
      </c>
      <c r="T32" s="7" t="n">
        <v>17708.7</v>
      </c>
      <c r="V32" s="7" t="n">
        <v>36108.8</v>
      </c>
      <c r="X32" s="7" t="n">
        <v>11804.9</v>
      </c>
      <c r="Z32" s="7" t="n">
        <v>20257.3</v>
      </c>
      <c r="AB32" s="7" t="n">
        <v>269335.3</v>
      </c>
    </row>
    <row r="33">
      <c r="A33" s="4" t="inlineStr">
        <is>
          <t>社保</t>
        </is>
      </c>
      <c r="D33" s="7" t="n">
        <v>15618.3</v>
      </c>
      <c r="F33" s="7" t="n">
        <v>5361.3</v>
      </c>
      <c r="H33" s="7" t="n">
        <v>7694.9</v>
      </c>
      <c r="J33" s="7" t="n">
        <v>19714.5</v>
      </c>
      <c r="L33" s="7" t="n">
        <v>22500</v>
      </c>
      <c r="N33" s="7" t="n">
        <v>32522.8</v>
      </c>
      <c r="P33" s="7" t="n">
        <v>21818.6</v>
      </c>
      <c r="R33" s="7" t="n">
        <v>14556</v>
      </c>
      <c r="T33" s="7" t="n">
        <v>10201</v>
      </c>
      <c r="V33" s="7" t="n">
        <v>16569.4</v>
      </c>
      <c r="X33" s="7" t="n">
        <v>7700.9</v>
      </c>
      <c r="Z33" s="7" t="n">
        <v>19374</v>
      </c>
      <c r="AB33" s="7" t="n">
        <v>193631.7</v>
      </c>
    </row>
    <row r="34">
      <c r="A34" s="4" t="inlineStr">
        <is>
          <t>养老</t>
        </is>
      </c>
      <c r="D34" s="7" t="n">
        <v>617.6</v>
      </c>
      <c r="F34" s="7" t="n">
        <v>213.1</v>
      </c>
      <c r="H34" s="7" t="n">
        <v>368.2</v>
      </c>
      <c r="J34" s="7" t="n">
        <v>761.8</v>
      </c>
      <c r="L34" s="7" t="n">
        <v>1549.3</v>
      </c>
      <c r="N34" s="7" t="n">
        <v>1961.7</v>
      </c>
      <c r="P34" s="7" t="n">
        <v>719.8</v>
      </c>
      <c r="R34" s="7" t="n">
        <v>886.4</v>
      </c>
      <c r="T34" s="7" t="n">
        <v>587</v>
      </c>
      <c r="V34" s="7" t="n">
        <v>1027.6</v>
      </c>
      <c r="X34" s="7" t="n">
        <v>354.9</v>
      </c>
      <c r="Z34" s="7" t="n">
        <v>790.3</v>
      </c>
      <c r="AB34" s="7" t="n">
        <v>9837.700000000001</v>
      </c>
    </row>
    <row r="35">
      <c r="A35" s="4" t="inlineStr">
        <is>
          <t>医疗</t>
        </is>
      </c>
      <c r="D35" s="7" t="n">
        <v>247.3</v>
      </c>
      <c r="F35" s="7" t="n">
        <v>71.59999999999999</v>
      </c>
      <c r="H35" s="7" t="n">
        <v>184.5</v>
      </c>
      <c r="J35" s="7" t="n">
        <v>381.7</v>
      </c>
      <c r="L35" s="7" t="n">
        <v>670.9</v>
      </c>
      <c r="N35" s="7" t="n">
        <v>764.8</v>
      </c>
      <c r="P35" s="7" t="n">
        <v>432.9</v>
      </c>
      <c r="R35" s="7" t="n">
        <v>319.6</v>
      </c>
      <c r="T35" s="7" t="n">
        <v>231.1</v>
      </c>
      <c r="V35" s="7" t="n">
        <v>564.9</v>
      </c>
      <c r="X35" s="7" t="n">
        <v>191.8</v>
      </c>
      <c r="Z35" s="7" t="n">
        <v>250.7</v>
      </c>
      <c r="AB35" s="7" t="n">
        <v>4311.8</v>
      </c>
    </row>
    <row r="36">
      <c r="A36" s="4" t="inlineStr">
        <is>
          <t>工伤</t>
        </is>
      </c>
      <c r="D36" s="7" t="n">
        <v>2.9</v>
      </c>
      <c r="F36" s="7" t="n">
        <v>0.9</v>
      </c>
      <c r="H36" s="7" t="n">
        <v>2.3</v>
      </c>
      <c r="J36" s="7" t="n">
        <v>3.1</v>
      </c>
      <c r="L36" s="7" t="n">
        <v>5.4</v>
      </c>
      <c r="N36" s="7" t="n">
        <v>6.7</v>
      </c>
      <c r="P36" s="7" t="n">
        <v>5.2</v>
      </c>
      <c r="R36" s="7" t="n">
        <v>5</v>
      </c>
      <c r="T36" s="7" t="n">
        <v>1.9</v>
      </c>
      <c r="V36" s="7" t="n">
        <v>4.2</v>
      </c>
      <c r="X36" s="7" t="n">
        <v>2.2</v>
      </c>
      <c r="Z36" s="7" t="n">
        <v>2.9</v>
      </c>
      <c r="AB36" s="7" t="n">
        <v>42.7</v>
      </c>
    </row>
    <row r="37">
      <c r="A37" s="4" t="inlineStr">
        <is>
          <t>失业</t>
        </is>
      </c>
      <c r="D37" s="7" t="n">
        <v>754.8</v>
      </c>
      <c r="F37" s="7" t="n">
        <v>236.4</v>
      </c>
      <c r="H37" s="7" t="n">
        <v>633.1</v>
      </c>
      <c r="J37" s="7" t="n">
        <v>1018.1</v>
      </c>
      <c r="L37" s="7" t="n">
        <v>1443.2</v>
      </c>
      <c r="N37" s="7" t="n">
        <v>2105.2</v>
      </c>
      <c r="P37" s="7" t="n">
        <v>1959.8</v>
      </c>
      <c r="R37" s="7" t="n">
        <v>1526.4</v>
      </c>
      <c r="T37" s="7" t="n">
        <v>647.3</v>
      </c>
      <c r="V37" s="7" t="n">
        <v>1929.8</v>
      </c>
      <c r="X37" s="7" t="n">
        <v>682.3</v>
      </c>
      <c r="Z37" s="7" t="n">
        <v>1355.2</v>
      </c>
      <c r="AB37" s="7" t="n">
        <v>14291.6</v>
      </c>
    </row>
    <row r="38">
      <c r="A38" s="4" t="inlineStr">
        <is>
          <t>生育</t>
        </is>
      </c>
      <c r="D38" s="7" t="n">
        <v>82.59999999999999</v>
      </c>
      <c r="F38" s="7" t="n">
        <v>17.3</v>
      </c>
      <c r="H38" s="7" t="n">
        <v>34.8</v>
      </c>
      <c r="J38" s="7" t="n">
        <v>120.6</v>
      </c>
      <c r="L38" s="7" t="n">
        <v>144.9</v>
      </c>
      <c r="N38" s="7" t="n">
        <v>222.5</v>
      </c>
      <c r="P38" s="7" t="n">
        <v>109.6</v>
      </c>
      <c r="R38" s="7" t="n">
        <v>74.3</v>
      </c>
      <c r="T38" s="7" t="n">
        <v>73.7</v>
      </c>
      <c r="V38" s="7" t="n">
        <v>130.7</v>
      </c>
      <c r="X38" s="7" t="n">
        <v>74.7</v>
      </c>
      <c r="Z38" s="7" t="n">
        <v>87.2</v>
      </c>
      <c r="AB38" s="7" t="n">
        <v>1172.9</v>
      </c>
    </row>
    <row r="39">
      <c r="A39" s="4" t="inlineStr">
        <is>
          <t>公积金</t>
        </is>
      </c>
      <c r="D39" s="7" t="n">
        <v>199.2</v>
      </c>
      <c r="F39" s="7" t="n">
        <v>103.9</v>
      </c>
      <c r="H39" s="7" t="n">
        <v>126.1</v>
      </c>
      <c r="J39" s="7" t="n">
        <v>317.8</v>
      </c>
      <c r="L39" s="7" t="n">
        <v>440.6</v>
      </c>
      <c r="N39" s="7" t="n">
        <v>547.8</v>
      </c>
      <c r="P39" s="7" t="n">
        <v>524.9</v>
      </c>
      <c r="R39" s="7" t="n">
        <v>319.7</v>
      </c>
      <c r="T39" s="7" t="n">
        <v>245.3</v>
      </c>
      <c r="V39" s="7" t="n">
        <v>566.6</v>
      </c>
      <c r="X39" s="7" t="n">
        <v>261.5</v>
      </c>
      <c r="Z39" s="7" t="n">
        <v>294</v>
      </c>
      <c r="AB39" s="7" t="n">
        <v>3947.4</v>
      </c>
    </row>
    <row r="40">
      <c r="A40" s="4" t="inlineStr">
        <is>
          <t>工会经费</t>
        </is>
      </c>
      <c r="D40" s="7" t="n">
        <v>1014.4</v>
      </c>
      <c r="F40" s="7" t="n">
        <v>268.6</v>
      </c>
      <c r="H40" s="7" t="n">
        <v>669.9</v>
      </c>
      <c r="J40" s="7" t="n">
        <v>1023.4</v>
      </c>
      <c r="L40" s="7" t="n">
        <v>1996.2</v>
      </c>
      <c r="N40" s="7" t="n">
        <v>2646.2</v>
      </c>
      <c r="P40" s="7" t="n">
        <v>975.9</v>
      </c>
      <c r="R40" s="7" t="n">
        <v>1206.2</v>
      </c>
      <c r="T40" s="7" t="n">
        <v>726.5</v>
      </c>
      <c r="V40" s="7" t="n">
        <v>1316.5</v>
      </c>
      <c r="X40" s="7" t="n">
        <v>518.1</v>
      </c>
      <c r="Z40" s="7" t="n">
        <v>682</v>
      </c>
      <c r="AB40" s="7" t="n">
        <v>13043.9</v>
      </c>
    </row>
    <row r="41">
      <c r="A41" s="4" t="inlineStr">
        <is>
          <t>职工教育经费</t>
        </is>
      </c>
      <c r="D41" s="7" t="n">
        <v>834</v>
      </c>
      <c r="F41" s="7" t="n">
        <v>362</v>
      </c>
      <c r="H41" s="7" t="n">
        <v>807.4</v>
      </c>
      <c r="J41" s="7" t="n">
        <v>1570.3</v>
      </c>
      <c r="L41" s="7" t="n">
        <v>2557.2</v>
      </c>
      <c r="N41" s="7" t="n">
        <v>2157.9</v>
      </c>
      <c r="P41" s="7" t="n">
        <v>1511.1</v>
      </c>
      <c r="R41" s="7" t="n">
        <v>1461.4</v>
      </c>
      <c r="T41" s="7" t="n">
        <v>649.1</v>
      </c>
      <c r="V41" s="7" t="n">
        <v>1704.1</v>
      </c>
      <c r="X41" s="7" t="n">
        <v>800</v>
      </c>
      <c r="Z41" s="7" t="n">
        <v>846.5</v>
      </c>
      <c r="AB41" s="7" t="n">
        <v>15261</v>
      </c>
    </row>
    <row r="42">
      <c r="A42" s="4" t="inlineStr">
        <is>
          <t>福利费</t>
        </is>
      </c>
      <c r="D42" s="7" t="n">
        <v>2946.7</v>
      </c>
      <c r="F42" s="7" t="n">
        <v>885.5</v>
      </c>
      <c r="H42" s="7" t="n">
        <v>1740.4</v>
      </c>
      <c r="J42" s="7" t="n">
        <v>4161.9</v>
      </c>
      <c r="L42" s="7" t="n">
        <v>5844.8</v>
      </c>
      <c r="N42" s="7" t="n">
        <v>7166.9</v>
      </c>
      <c r="P42" s="7" t="n">
        <v>4599.3</v>
      </c>
      <c r="R42" s="7" t="n">
        <v>4086.6</v>
      </c>
      <c r="T42" s="7" t="n">
        <v>2284.1</v>
      </c>
      <c r="V42" s="7" t="n">
        <v>5086.1</v>
      </c>
      <c r="X42" s="7" t="n">
        <v>1998.2</v>
      </c>
      <c r="Z42" s="7" t="n">
        <v>3100.7</v>
      </c>
      <c r="AB42" s="7" t="n">
        <v>43901.2</v>
      </c>
    </row>
    <row r="43">
      <c r="A43" s="4" t="inlineStr">
        <is>
          <t>职工房租</t>
        </is>
      </c>
      <c r="D43" s="7" t="n">
        <v>935.8</v>
      </c>
      <c r="F43" s="7" t="n">
        <v>219.8</v>
      </c>
      <c r="H43" s="7" t="n">
        <v>499.4</v>
      </c>
      <c r="J43" s="7" t="n">
        <v>1385.4</v>
      </c>
      <c r="L43" s="7" t="n">
        <v>2030.4</v>
      </c>
      <c r="N43" s="7" t="n">
        <v>2324.3</v>
      </c>
      <c r="P43" s="7" t="n">
        <v>1703.5</v>
      </c>
      <c r="R43" s="7" t="n">
        <v>1365.2</v>
      </c>
      <c r="T43" s="7" t="n">
        <v>806.4</v>
      </c>
      <c r="V43" s="7" t="n">
        <v>1512.1</v>
      </c>
      <c r="X43" s="7" t="n">
        <v>655.3</v>
      </c>
      <c r="Z43" s="7" t="n">
        <v>1149.7</v>
      </c>
      <c r="AB43" s="7" t="n">
        <v>14587.3</v>
      </c>
    </row>
    <row r="44">
      <c r="A44" s="4" t="inlineStr">
        <is>
          <t>水电物业费</t>
        </is>
      </c>
      <c r="D44" s="7" t="n">
        <v>431.2</v>
      </c>
      <c r="F44" s="7" t="n">
        <v>159.9</v>
      </c>
      <c r="H44" s="7" t="n">
        <v>357.1</v>
      </c>
      <c r="J44" s="7" t="n">
        <v>526.7</v>
      </c>
      <c r="L44" s="7" t="n">
        <v>1154.8</v>
      </c>
      <c r="N44" s="7" t="n">
        <v>1288.3</v>
      </c>
      <c r="P44" s="7" t="n">
        <v>994.5</v>
      </c>
      <c r="R44" s="7" t="n">
        <v>848.9</v>
      </c>
      <c r="T44" s="7" t="n">
        <v>450.7</v>
      </c>
      <c r="V44" s="7" t="n">
        <v>1033.1</v>
      </c>
      <c r="X44" s="7" t="n">
        <v>326.6</v>
      </c>
      <c r="Z44" s="7" t="n">
        <v>646.1</v>
      </c>
      <c r="AB44" s="7" t="n">
        <v>8217.9</v>
      </c>
    </row>
    <row r="45">
      <c r="A45" s="4" t="inlineStr">
        <is>
          <t>员工餐</t>
        </is>
      </c>
      <c r="D45" s="7" t="n">
        <v>33.6</v>
      </c>
      <c r="F45" s="7" t="n">
        <v>19.8</v>
      </c>
      <c r="H45" s="7" t="n">
        <v>27.7</v>
      </c>
      <c r="J45" s="7" t="n">
        <v>52.3</v>
      </c>
      <c r="L45" s="7" t="n">
        <v>98.90000000000001</v>
      </c>
      <c r="N45" s="7" t="n">
        <v>151.9</v>
      </c>
      <c r="P45" s="7" t="n">
        <v>81.2</v>
      </c>
      <c r="R45" s="7" t="n">
        <v>55.8</v>
      </c>
      <c r="T45" s="7" t="n">
        <v>41.7</v>
      </c>
      <c r="V45" s="7" t="n">
        <v>75.3</v>
      </c>
      <c r="X45" s="7" t="n">
        <v>48.3</v>
      </c>
      <c r="Z45" s="7" t="n">
        <v>55.5</v>
      </c>
      <c r="AB45" s="7" t="n">
        <v>742</v>
      </c>
    </row>
    <row r="46">
      <c r="A46" s="4" t="inlineStr">
        <is>
          <t>节日礼品</t>
        </is>
      </c>
      <c r="D46" s="7" t="n">
        <v>747.6</v>
      </c>
      <c r="F46" s="7" t="n">
        <v>236.9</v>
      </c>
      <c r="H46" s="7" t="n">
        <v>347</v>
      </c>
      <c r="J46" s="7" t="n">
        <v>1038.6</v>
      </c>
      <c r="L46" s="7" t="n">
        <v>1124.4</v>
      </c>
      <c r="N46" s="7" t="n">
        <v>1228.6</v>
      </c>
      <c r="P46" s="7" t="n">
        <v>757.9</v>
      </c>
      <c r="R46" s="7" t="n">
        <v>888.5</v>
      </c>
      <c r="T46" s="7" t="n">
        <v>425</v>
      </c>
      <c r="V46" s="7" t="n">
        <v>1226.7</v>
      </c>
      <c r="X46" s="7" t="n">
        <v>398.2</v>
      </c>
      <c r="Z46" s="7" t="n">
        <v>529.4</v>
      </c>
      <c r="AB46" s="7" t="n">
        <v>8948.799999999999</v>
      </c>
    </row>
    <row r="47">
      <c r="A47" s="4" t="inlineStr">
        <is>
          <t>生日礼品</t>
        </is>
      </c>
      <c r="D47" s="7" t="n">
        <v>610.7</v>
      </c>
      <c r="F47" s="7" t="n">
        <v>194</v>
      </c>
      <c r="H47" s="7" t="n">
        <v>408.3</v>
      </c>
      <c r="J47" s="7" t="n">
        <v>927.1</v>
      </c>
      <c r="L47" s="7" t="n">
        <v>1005.8</v>
      </c>
      <c r="N47" s="7" t="n">
        <v>1744.8</v>
      </c>
      <c r="P47" s="7" t="n">
        <v>751.7</v>
      </c>
      <c r="R47" s="7" t="n">
        <v>710.5</v>
      </c>
      <c r="T47" s="7" t="n">
        <v>435.6</v>
      </c>
      <c r="V47" s="7" t="n">
        <v>1000.7</v>
      </c>
      <c r="X47" s="7" t="n">
        <v>410.2</v>
      </c>
      <c r="Z47" s="7" t="n">
        <v>566.2</v>
      </c>
      <c r="AB47" s="7" t="n">
        <v>8765.6</v>
      </c>
    </row>
    <row r="48">
      <c r="A48" s="4" t="inlineStr">
        <is>
          <t>体检</t>
        </is>
      </c>
      <c r="D48" s="7" t="n">
        <v>156.9</v>
      </c>
      <c r="F48" s="7" t="n">
        <v>46</v>
      </c>
      <c r="H48" s="7" t="n">
        <v>69.5</v>
      </c>
      <c r="J48" s="7" t="n">
        <v>175.4</v>
      </c>
      <c r="L48" s="7" t="n">
        <v>365.1</v>
      </c>
      <c r="N48" s="7" t="n">
        <v>347.9</v>
      </c>
      <c r="P48" s="7" t="n">
        <v>240.3</v>
      </c>
      <c r="R48" s="7" t="n">
        <v>163.1</v>
      </c>
      <c r="T48" s="7" t="n">
        <v>84.8</v>
      </c>
      <c r="V48" s="7" t="n">
        <v>186.9</v>
      </c>
      <c r="X48" s="7" t="n">
        <v>121.6</v>
      </c>
      <c r="Z48" s="7" t="n">
        <v>115.8</v>
      </c>
      <c r="AB48" s="7" t="n">
        <v>2073.3</v>
      </c>
    </row>
    <row r="49">
      <c r="A49" s="4" t="inlineStr">
        <is>
          <t>其他福利支出</t>
        </is>
      </c>
      <c r="D49" s="7" t="n">
        <v>30.9</v>
      </c>
      <c r="F49" s="7" t="n">
        <v>9.1</v>
      </c>
      <c r="H49" s="7" t="n">
        <v>31.4</v>
      </c>
      <c r="J49" s="7" t="n">
        <v>56.4</v>
      </c>
      <c r="L49" s="7" t="n">
        <v>65.40000000000001</v>
      </c>
      <c r="N49" s="7" t="n">
        <v>81.09999999999999</v>
      </c>
      <c r="P49" s="7" t="n">
        <v>70.2</v>
      </c>
      <c r="R49" s="7" t="n">
        <v>54.6</v>
      </c>
      <c r="T49" s="7" t="n">
        <v>39.9</v>
      </c>
      <c r="V49" s="7" t="n">
        <v>51.3</v>
      </c>
      <c r="X49" s="7" t="n">
        <v>38</v>
      </c>
      <c r="Z49" s="7" t="n">
        <v>38</v>
      </c>
      <c r="AB49" s="7" t="n">
        <v>566.3</v>
      </c>
    </row>
    <row r="50">
      <c r="A50" s="4" t="inlineStr">
        <is>
          <t>招聘费</t>
        </is>
      </c>
      <c r="D50" s="7" t="n">
        <v>539.3</v>
      </c>
      <c r="F50" s="7" t="n">
        <v>288.3</v>
      </c>
      <c r="H50" s="7" t="n">
        <v>385</v>
      </c>
      <c r="J50" s="7" t="n">
        <v>758.8</v>
      </c>
      <c r="L50" s="7" t="n">
        <v>1410.1</v>
      </c>
      <c r="N50" s="7" t="n">
        <v>1507.7</v>
      </c>
      <c r="P50" s="7" t="n">
        <v>1051.6</v>
      </c>
      <c r="R50" s="7" t="n">
        <v>889.4</v>
      </c>
      <c r="T50" s="7" t="n">
        <v>726.3</v>
      </c>
      <c r="V50" s="7" t="n">
        <v>1569.2</v>
      </c>
      <c r="X50" s="7" t="n">
        <v>558.5</v>
      </c>
      <c r="Z50" s="7" t="n">
        <v>1048.6</v>
      </c>
      <c r="AB50" s="7" t="n">
        <v>10732.8</v>
      </c>
    </row>
    <row r="51">
      <c r="A51" s="4" t="inlineStr">
        <is>
          <t>办公费</t>
        </is>
      </c>
      <c r="D51" s="7" t="n">
        <v>3976</v>
      </c>
      <c r="F51" s="7" t="n">
        <v>1886</v>
      </c>
      <c r="H51" s="7" t="n">
        <v>3070.4</v>
      </c>
      <c r="J51" s="7" t="n">
        <v>5842.3</v>
      </c>
      <c r="L51" s="7" t="n">
        <v>12382.9</v>
      </c>
      <c r="N51" s="7" t="n">
        <v>9996.299999999999</v>
      </c>
      <c r="P51" s="7" t="n">
        <v>8041.3</v>
      </c>
      <c r="R51" s="7" t="n">
        <v>5398.3</v>
      </c>
      <c r="T51" s="7" t="n">
        <v>3098.6</v>
      </c>
      <c r="V51" s="7" t="n">
        <v>5973.8</v>
      </c>
      <c r="X51" s="7" t="n">
        <v>3129.5</v>
      </c>
      <c r="Z51" s="7" t="n">
        <v>6018.7</v>
      </c>
      <c r="AB51" s="7" t="n">
        <v>68814.10000000001</v>
      </c>
    </row>
    <row r="52">
      <c r="A52" s="4" t="inlineStr">
        <is>
          <t>市内交通费</t>
        </is>
      </c>
      <c r="D52" s="7" t="n">
        <v>530</v>
      </c>
      <c r="F52" s="7" t="n">
        <v>159.1</v>
      </c>
      <c r="H52" s="7" t="n">
        <v>328</v>
      </c>
      <c r="J52" s="7" t="n">
        <v>570.5</v>
      </c>
      <c r="L52" s="7" t="n">
        <v>839.8</v>
      </c>
      <c r="N52" s="7" t="n">
        <v>1276.8</v>
      </c>
      <c r="P52" s="7" t="n">
        <v>869.3</v>
      </c>
      <c r="R52" s="7" t="n">
        <v>500.8</v>
      </c>
      <c r="T52" s="7" t="n">
        <v>435.8</v>
      </c>
      <c r="V52" s="7" t="n">
        <v>774.6</v>
      </c>
      <c r="X52" s="7" t="n">
        <v>275.2</v>
      </c>
      <c r="Z52" s="7" t="n">
        <v>604.8</v>
      </c>
      <c r="AB52" s="7" t="n">
        <v>7164.7</v>
      </c>
    </row>
    <row r="53">
      <c r="A53" s="4" t="inlineStr">
        <is>
          <t>差旅费</t>
        </is>
      </c>
      <c r="D53" s="7" t="n">
        <v>8138.9</v>
      </c>
      <c r="F53" s="7" t="n">
        <v>3798.4</v>
      </c>
      <c r="H53" s="7" t="n">
        <v>7218.6</v>
      </c>
      <c r="J53" s="7" t="n">
        <v>15255.6</v>
      </c>
      <c r="L53" s="7" t="n">
        <v>14760.1</v>
      </c>
      <c r="N53" s="7" t="n">
        <v>24602.7</v>
      </c>
      <c r="P53" s="7" t="n">
        <v>12542.5</v>
      </c>
      <c r="R53" s="7" t="n">
        <v>14416.8</v>
      </c>
      <c r="T53" s="7" t="n">
        <v>9854.4</v>
      </c>
      <c r="V53" s="7" t="n">
        <v>13756.4</v>
      </c>
      <c r="X53" s="7" t="n">
        <v>6054.5</v>
      </c>
      <c r="Z53" s="7" t="n">
        <v>11277.8</v>
      </c>
      <c r="AB53" s="7" t="n">
        <v>141676.7</v>
      </c>
    </row>
    <row r="54">
      <c r="A54" s="4" t="inlineStr">
        <is>
          <t>交通费</t>
        </is>
      </c>
      <c r="D54" s="7" t="n">
        <v>477.9</v>
      </c>
      <c r="F54" s="7" t="n">
        <v>178.5</v>
      </c>
      <c r="H54" s="7" t="n">
        <v>318</v>
      </c>
      <c r="J54" s="7" t="n">
        <v>843.9</v>
      </c>
      <c r="L54" s="7" t="n">
        <v>1315.9</v>
      </c>
      <c r="N54" s="7" t="n">
        <v>1798.5</v>
      </c>
      <c r="P54" s="7" t="n">
        <v>841.1</v>
      </c>
      <c r="R54" s="7" t="n">
        <v>874</v>
      </c>
      <c r="T54" s="7" t="n">
        <v>564.2</v>
      </c>
      <c r="V54" s="7" t="n">
        <v>852.4</v>
      </c>
      <c r="X54" s="7" t="n">
        <v>481.7</v>
      </c>
      <c r="Z54" s="7" t="n">
        <v>783.1</v>
      </c>
      <c r="AB54" s="7" t="n">
        <v>9329.200000000001</v>
      </c>
    </row>
    <row r="55">
      <c r="A55" s="4" t="inlineStr">
        <is>
          <t>住宿费</t>
        </is>
      </c>
      <c r="D55" s="7" t="n">
        <v>87.8</v>
      </c>
      <c r="F55" s="7" t="n">
        <v>27.1</v>
      </c>
      <c r="H55" s="7" t="n">
        <v>53.1</v>
      </c>
      <c r="J55" s="7" t="n">
        <v>103.7</v>
      </c>
      <c r="L55" s="7" t="n">
        <v>159.9</v>
      </c>
      <c r="N55" s="7" t="n">
        <v>280.9</v>
      </c>
      <c r="P55" s="7" t="n">
        <v>123.3</v>
      </c>
      <c r="R55" s="7" t="n">
        <v>139.3</v>
      </c>
      <c r="T55" s="7" t="n">
        <v>74</v>
      </c>
      <c r="V55" s="7" t="n">
        <v>147.6</v>
      </c>
      <c r="X55" s="7" t="n">
        <v>93</v>
      </c>
      <c r="Z55" s="7" t="n">
        <v>116.1</v>
      </c>
      <c r="AB55" s="7" t="n">
        <v>1405.8</v>
      </c>
    </row>
    <row r="56">
      <c r="A56" s="4" t="inlineStr">
        <is>
          <t>餐补</t>
        </is>
      </c>
      <c r="D56" s="7" t="n">
        <v>509.6</v>
      </c>
      <c r="F56" s="7" t="n">
        <v>173.9</v>
      </c>
      <c r="H56" s="7" t="n">
        <v>395.8</v>
      </c>
      <c r="J56" s="7" t="n">
        <v>596</v>
      </c>
      <c r="L56" s="7" t="n">
        <v>1434.3</v>
      </c>
      <c r="N56" s="7" t="n">
        <v>1615.2</v>
      </c>
      <c r="P56" s="7" t="n">
        <v>1010.6</v>
      </c>
      <c r="R56" s="7" t="n">
        <v>712.1</v>
      </c>
      <c r="T56" s="7" t="n">
        <v>441.9</v>
      </c>
      <c r="V56" s="7" t="n">
        <v>863.7</v>
      </c>
      <c r="X56" s="7" t="n">
        <v>637.8</v>
      </c>
      <c r="Z56" s="7" t="n">
        <v>578.8</v>
      </c>
      <c r="AB56" s="7" t="n">
        <v>8969.700000000001</v>
      </c>
    </row>
    <row r="57">
      <c r="A57" s="4" t="inlineStr">
        <is>
          <t>交通补助</t>
        </is>
      </c>
      <c r="D57" s="7" t="n">
        <v>241.4</v>
      </c>
      <c r="F57" s="7" t="n">
        <v>84.5</v>
      </c>
      <c r="H57" s="7" t="n">
        <v>192.7</v>
      </c>
      <c r="J57" s="7" t="n">
        <v>323.2</v>
      </c>
      <c r="L57" s="7" t="n">
        <v>771.1</v>
      </c>
      <c r="N57" s="7" t="n">
        <v>772.3</v>
      </c>
      <c r="P57" s="7" t="n">
        <v>555.2</v>
      </c>
      <c r="R57" s="7" t="n">
        <v>500</v>
      </c>
      <c r="T57" s="7" t="n">
        <v>231.8</v>
      </c>
      <c r="V57" s="7" t="n">
        <v>427.5</v>
      </c>
      <c r="X57" s="7" t="n">
        <v>280.8</v>
      </c>
      <c r="Z57" s="7" t="n">
        <v>444.3</v>
      </c>
      <c r="AB57" s="7" t="n">
        <v>4824.8</v>
      </c>
    </row>
    <row r="58">
      <c r="A58" s="4" t="inlineStr">
        <is>
          <t>通讯补助</t>
        </is>
      </c>
      <c r="D58" s="7" t="n">
        <v>839.4</v>
      </c>
      <c r="F58" s="7" t="n">
        <v>223.6</v>
      </c>
      <c r="H58" s="7" t="n">
        <v>436.5</v>
      </c>
      <c r="J58" s="7" t="n">
        <v>1148.9</v>
      </c>
      <c r="L58" s="7" t="n">
        <v>1761.4</v>
      </c>
      <c r="N58" s="7" t="n">
        <v>1964.6</v>
      </c>
      <c r="P58" s="7" t="n">
        <v>1251.3</v>
      </c>
      <c r="R58" s="7" t="n">
        <v>1212.2</v>
      </c>
      <c r="T58" s="7" t="n">
        <v>457.5</v>
      </c>
      <c r="V58" s="7" t="n">
        <v>982.4</v>
      </c>
      <c r="X58" s="7" t="n">
        <v>484.1</v>
      </c>
      <c r="Z58" s="7" t="n">
        <v>942.5</v>
      </c>
      <c r="AB58" s="7" t="n">
        <v>11704.4</v>
      </c>
    </row>
    <row r="59">
      <c r="A59" s="4" t="inlineStr">
        <is>
          <t>招待费</t>
        </is>
      </c>
      <c r="D59" s="7" t="n">
        <v>4746.8</v>
      </c>
      <c r="F59" s="7" t="n">
        <v>2228</v>
      </c>
      <c r="H59" s="7" t="n">
        <v>4663.2</v>
      </c>
      <c r="J59" s="7" t="n">
        <v>7318</v>
      </c>
      <c r="L59" s="7" t="n">
        <v>10910</v>
      </c>
      <c r="N59" s="7" t="n">
        <v>15892.3</v>
      </c>
      <c r="P59" s="7" t="n">
        <v>8847.6</v>
      </c>
      <c r="R59" s="7" t="n">
        <v>7208.6</v>
      </c>
      <c r="T59" s="7" t="n">
        <v>7117.8</v>
      </c>
      <c r="V59" s="7" t="n">
        <v>14435.7</v>
      </c>
      <c r="X59" s="7" t="n">
        <v>6639.1</v>
      </c>
      <c r="Z59" s="7" t="n">
        <v>9734.1</v>
      </c>
      <c r="AB59" s="7" t="n">
        <v>99741.2</v>
      </c>
    </row>
    <row r="60">
      <c r="A60" s="4" t="inlineStr">
        <is>
          <t>通讯费</t>
        </is>
      </c>
      <c r="D60" s="7" t="n">
        <v>177.9</v>
      </c>
      <c r="F60" s="7" t="n">
        <v>47.2</v>
      </c>
      <c r="H60" s="7" t="n">
        <v>131</v>
      </c>
      <c r="J60" s="7" t="n">
        <v>217.9</v>
      </c>
      <c r="L60" s="7" t="n">
        <v>348.4</v>
      </c>
      <c r="N60" s="7" t="n">
        <v>442.2</v>
      </c>
      <c r="P60" s="7" t="n">
        <v>381.6</v>
      </c>
      <c r="R60" s="7" t="n">
        <v>335</v>
      </c>
      <c r="T60" s="7" t="n">
        <v>143.8</v>
      </c>
      <c r="V60" s="7" t="n">
        <v>255.2</v>
      </c>
      <c r="X60" s="7" t="n">
        <v>192.3</v>
      </c>
      <c r="Z60" s="7" t="n">
        <v>280.4</v>
      </c>
      <c r="AB60" s="7" t="n">
        <v>2952.9</v>
      </c>
    </row>
    <row r="61">
      <c r="A61" s="4" t="inlineStr">
        <is>
          <t>网络费</t>
        </is>
      </c>
      <c r="D61" s="7" t="n">
        <v>517.3</v>
      </c>
      <c r="F61" s="7" t="n">
        <v>168.4</v>
      </c>
      <c r="H61" s="7" t="n">
        <v>412.3</v>
      </c>
      <c r="J61" s="7" t="n">
        <v>681.7</v>
      </c>
      <c r="L61" s="7" t="n">
        <v>1130.1</v>
      </c>
      <c r="N61" s="7" t="n">
        <v>1734.2</v>
      </c>
      <c r="P61" s="7" t="n">
        <v>1136.5</v>
      </c>
      <c r="R61" s="7" t="n">
        <v>831.7</v>
      </c>
      <c r="T61" s="7" t="n">
        <v>415.5</v>
      </c>
      <c r="V61" s="7" t="n">
        <v>869.5</v>
      </c>
      <c r="X61" s="7" t="n">
        <v>441.3</v>
      </c>
      <c r="Z61" s="7" t="n">
        <v>691.4</v>
      </c>
      <c r="AB61" s="7" t="n">
        <v>9029.9</v>
      </c>
    </row>
    <row r="62">
      <c r="A62" s="4" t="inlineStr">
        <is>
          <t>修理费</t>
        </is>
      </c>
      <c r="D62" s="7" t="n">
        <v>1093.1</v>
      </c>
      <c r="F62" s="7" t="n">
        <v>265.4</v>
      </c>
      <c r="H62" s="7" t="n">
        <v>717.2</v>
      </c>
      <c r="J62" s="7" t="n">
        <v>1552.4</v>
      </c>
      <c r="L62" s="7" t="n">
        <v>2109.3</v>
      </c>
      <c r="N62" s="7" t="n">
        <v>3273.3</v>
      </c>
      <c r="P62" s="7" t="n">
        <v>1409.8</v>
      </c>
      <c r="R62" s="7" t="n">
        <v>1143.7</v>
      </c>
      <c r="T62" s="7" t="n">
        <v>752.9</v>
      </c>
      <c r="V62" s="7" t="n">
        <v>1609.8</v>
      </c>
      <c r="X62" s="7" t="n">
        <v>932.5</v>
      </c>
      <c r="Z62" s="7" t="n">
        <v>1040.4</v>
      </c>
      <c r="AB62" s="7" t="n">
        <v>15899.8</v>
      </c>
    </row>
    <row r="63">
      <c r="A63" s="4" t="inlineStr">
        <is>
          <t>车辆费</t>
        </is>
      </c>
      <c r="D63" s="7" t="n">
        <v>1020</v>
      </c>
      <c r="F63" s="7" t="n">
        <v>321.3</v>
      </c>
      <c r="H63" s="7" t="n">
        <v>819.5</v>
      </c>
      <c r="J63" s="7" t="n">
        <v>960.9</v>
      </c>
      <c r="L63" s="7" t="n">
        <v>1674.7</v>
      </c>
      <c r="N63" s="7" t="n">
        <v>2331.8</v>
      </c>
      <c r="P63" s="7" t="n">
        <v>1196.6</v>
      </c>
      <c r="R63" s="7" t="n">
        <v>1277.5</v>
      </c>
      <c r="T63" s="7" t="n">
        <v>783</v>
      </c>
      <c r="V63" s="7" t="n">
        <v>1739.8</v>
      </c>
      <c r="X63" s="7" t="n">
        <v>994.8</v>
      </c>
      <c r="Z63" s="7" t="n">
        <v>1207.3</v>
      </c>
      <c r="AB63" s="7" t="n">
        <v>14327.2</v>
      </c>
    </row>
    <row r="64">
      <c r="A64" s="4" t="inlineStr">
        <is>
          <t>租赁费</t>
        </is>
      </c>
      <c r="D64" s="7" t="n">
        <v>9919.799999999999</v>
      </c>
      <c r="F64" s="7" t="n">
        <v>3314.6</v>
      </c>
      <c r="H64" s="7" t="n">
        <v>6567.7</v>
      </c>
      <c r="J64" s="7" t="n">
        <v>9420.5</v>
      </c>
      <c r="L64" s="7" t="n">
        <v>12506.1</v>
      </c>
      <c r="N64" s="7" t="n">
        <v>19903</v>
      </c>
      <c r="P64" s="7" t="n">
        <v>15157.3</v>
      </c>
      <c r="R64" s="7" t="n">
        <v>12211.1</v>
      </c>
      <c r="T64" s="7" t="n">
        <v>6216</v>
      </c>
      <c r="V64" s="7" t="n">
        <v>17631.4</v>
      </c>
      <c r="X64" s="7" t="n">
        <v>6840.4</v>
      </c>
      <c r="Z64" s="7" t="n">
        <v>8887.9</v>
      </c>
      <c r="AB64" s="7" t="n">
        <v>128575.8</v>
      </c>
    </row>
    <row r="65">
      <c r="A65" s="4" t="inlineStr">
        <is>
          <t>能源费</t>
        </is>
      </c>
      <c r="D65" s="7" t="n">
        <v>3347.2</v>
      </c>
      <c r="F65" s="7" t="n">
        <v>1280.9</v>
      </c>
      <c r="H65" s="7" t="n">
        <v>2394.6</v>
      </c>
      <c r="J65" s="7" t="n">
        <v>4720</v>
      </c>
      <c r="L65" s="7" t="n">
        <v>7644.9</v>
      </c>
      <c r="N65" s="7" t="n">
        <v>9538.6</v>
      </c>
      <c r="P65" s="7" t="n">
        <v>6841.5</v>
      </c>
      <c r="R65" s="7" t="n">
        <v>4630.8</v>
      </c>
      <c r="T65" s="7" t="n">
        <v>3092.4</v>
      </c>
      <c r="V65" s="7" t="n">
        <v>6124.3</v>
      </c>
      <c r="X65" s="7" t="n">
        <v>2707.2</v>
      </c>
      <c r="Z65" s="7" t="n">
        <v>4253</v>
      </c>
      <c r="AB65" s="7" t="n">
        <v>56575.4</v>
      </c>
    </row>
    <row r="66">
      <c r="A66" s="4" t="inlineStr">
        <is>
          <t>水费</t>
        </is>
      </c>
      <c r="D66" s="7" t="n">
        <v>842.9</v>
      </c>
      <c r="F66" s="7" t="n">
        <v>417.4</v>
      </c>
      <c r="H66" s="7" t="n">
        <v>817.9</v>
      </c>
      <c r="J66" s="7" t="n">
        <v>1422.3</v>
      </c>
      <c r="L66" s="7" t="n">
        <v>2135.7</v>
      </c>
      <c r="N66" s="7" t="n">
        <v>2284.1</v>
      </c>
      <c r="P66" s="7" t="n">
        <v>1986.6</v>
      </c>
      <c r="R66" s="7" t="n">
        <v>1786.9</v>
      </c>
      <c r="T66" s="7" t="n">
        <v>1012.7</v>
      </c>
      <c r="V66" s="7" t="n">
        <v>1503.2</v>
      </c>
      <c r="X66" s="7" t="n">
        <v>712.7</v>
      </c>
      <c r="Z66" s="7" t="n">
        <v>1026.4</v>
      </c>
      <c r="AB66" s="7" t="n">
        <v>15948.8</v>
      </c>
    </row>
    <row r="67">
      <c r="A67" s="4" t="inlineStr">
        <is>
          <t>电费</t>
        </is>
      </c>
      <c r="D67" s="7" t="n">
        <v>546.2</v>
      </c>
      <c r="F67" s="7" t="n">
        <v>257.3</v>
      </c>
      <c r="H67" s="7" t="n">
        <v>411.8</v>
      </c>
      <c r="J67" s="7" t="n">
        <v>1167.1</v>
      </c>
      <c r="L67" s="7" t="n">
        <v>1308.3</v>
      </c>
      <c r="N67" s="7" t="n">
        <v>2645.2</v>
      </c>
      <c r="P67" s="7" t="n">
        <v>1369</v>
      </c>
      <c r="R67" s="7" t="n">
        <v>773.3</v>
      </c>
      <c r="T67" s="7" t="n">
        <v>668.6</v>
      </c>
      <c r="V67" s="7" t="n">
        <v>1461.1</v>
      </c>
      <c r="X67" s="7" t="n">
        <v>476.6</v>
      </c>
      <c r="Z67" s="7" t="n">
        <v>1128.2</v>
      </c>
      <c r="AB67" s="7" t="n">
        <v>12212.7</v>
      </c>
    </row>
    <row r="68">
      <c r="A68" s="4" t="inlineStr">
        <is>
          <t>燃气费</t>
        </is>
      </c>
      <c r="D68" s="7" t="n">
        <v>1066.5</v>
      </c>
      <c r="F68" s="7" t="n">
        <v>222.3</v>
      </c>
      <c r="H68" s="7" t="n">
        <v>437.2</v>
      </c>
      <c r="J68" s="7" t="n">
        <v>1058.3</v>
      </c>
      <c r="L68" s="7" t="n">
        <v>1844.1</v>
      </c>
      <c r="N68" s="7" t="n">
        <v>1790.9</v>
      </c>
      <c r="P68" s="7" t="n">
        <v>1779.8</v>
      </c>
      <c r="R68" s="7" t="n">
        <v>1081</v>
      </c>
      <c r="T68" s="7" t="n">
        <v>595.1</v>
      </c>
      <c r="V68" s="7" t="n">
        <v>1379.9</v>
      </c>
      <c r="X68" s="7" t="n">
        <v>904</v>
      </c>
      <c r="Z68" s="7" t="n">
        <v>886</v>
      </c>
      <c r="AB68" s="7" t="n">
        <v>13045.1</v>
      </c>
    </row>
    <row r="69">
      <c r="A69" s="4" t="inlineStr">
        <is>
          <t>蒸汽费</t>
        </is>
      </c>
      <c r="D69" s="7" t="n">
        <v>891.6</v>
      </c>
      <c r="F69" s="7" t="n">
        <v>383.9</v>
      </c>
      <c r="H69" s="7" t="n">
        <v>727.7</v>
      </c>
      <c r="J69" s="7" t="n">
        <v>1072.3</v>
      </c>
      <c r="L69" s="7" t="n">
        <v>2356.8</v>
      </c>
      <c r="N69" s="7" t="n">
        <v>2818.4</v>
      </c>
      <c r="P69" s="7" t="n">
        <v>1706.1</v>
      </c>
      <c r="R69" s="7" t="n">
        <v>989.6</v>
      </c>
      <c r="T69" s="7" t="n">
        <v>816</v>
      </c>
      <c r="V69" s="7" t="n">
        <v>1780.1</v>
      </c>
      <c r="X69" s="7" t="n">
        <v>613.9</v>
      </c>
      <c r="Z69" s="7" t="n">
        <v>1212.4</v>
      </c>
      <c r="AB69" s="7" t="n">
        <v>15368.8</v>
      </c>
    </row>
    <row r="70">
      <c r="A70" s="4" t="inlineStr">
        <is>
          <t>物业费</t>
        </is>
      </c>
      <c r="D70" s="7" t="n">
        <v>604.8</v>
      </c>
      <c r="F70" s="7" t="n">
        <v>285.9</v>
      </c>
      <c r="H70" s="7" t="n">
        <v>662.1</v>
      </c>
      <c r="J70" s="7" t="n">
        <v>1397.3</v>
      </c>
      <c r="L70" s="7" t="n">
        <v>2120</v>
      </c>
      <c r="N70" s="7" t="n">
        <v>1961.4</v>
      </c>
      <c r="P70" s="7" t="n">
        <v>1356.1</v>
      </c>
      <c r="R70" s="7" t="n">
        <v>1200.6</v>
      </c>
      <c r="T70" s="7" t="n">
        <v>778.6</v>
      </c>
      <c r="V70" s="7" t="n">
        <v>1403.3</v>
      </c>
      <c r="X70" s="7" t="n">
        <v>626.1</v>
      </c>
      <c r="Z70" s="7" t="n">
        <v>824</v>
      </c>
      <c r="AB70" s="7" t="n">
        <v>13220.2</v>
      </c>
    </row>
    <row r="71">
      <c r="A71" s="4" t="inlineStr">
        <is>
          <t>劳动保护费</t>
        </is>
      </c>
      <c r="D71" s="7" t="n">
        <v>372</v>
      </c>
      <c r="F71" s="7" t="n">
        <v>201</v>
      </c>
      <c r="H71" s="7" t="n">
        <v>350.6</v>
      </c>
      <c r="J71" s="7" t="n">
        <v>476.3</v>
      </c>
      <c r="L71" s="7" t="n">
        <v>1181.2</v>
      </c>
      <c r="N71" s="7" t="n">
        <v>1512.1</v>
      </c>
      <c r="P71" s="7" t="n">
        <v>956.9</v>
      </c>
      <c r="R71" s="7" t="n">
        <v>842.1</v>
      </c>
      <c r="T71" s="7" t="n">
        <v>537.6</v>
      </c>
      <c r="V71" s="7" t="n">
        <v>631.7</v>
      </c>
      <c r="X71" s="7" t="n">
        <v>504.7</v>
      </c>
      <c r="Z71" s="7" t="n">
        <v>535.2</v>
      </c>
      <c r="AB71" s="7" t="n">
        <v>8101.4</v>
      </c>
    </row>
    <row r="72">
      <c r="A72" s="4" t="inlineStr">
        <is>
          <t>顾问费</t>
        </is>
      </c>
      <c r="D72" s="7" t="n">
        <v>736.6</v>
      </c>
      <c r="F72" s="7" t="n">
        <v>162.6</v>
      </c>
      <c r="H72" s="7" t="n">
        <v>319.8</v>
      </c>
      <c r="J72" s="7" t="n">
        <v>717.9</v>
      </c>
      <c r="L72" s="7" t="n">
        <v>1717.1</v>
      </c>
      <c r="N72" s="7" t="n">
        <v>1510.6</v>
      </c>
      <c r="P72" s="7" t="n">
        <v>866.9</v>
      </c>
      <c r="R72" s="7" t="n">
        <v>870.4</v>
      </c>
      <c r="T72" s="7" t="n">
        <v>528</v>
      </c>
      <c r="V72" s="7" t="n">
        <v>1303.3</v>
      </c>
      <c r="X72" s="7" t="n">
        <v>705.8</v>
      </c>
      <c r="Z72" s="7" t="n">
        <v>622.5</v>
      </c>
      <c r="AB72" s="7" t="n">
        <v>10061.5</v>
      </c>
    </row>
    <row r="73">
      <c r="A73" s="4" t="inlineStr">
        <is>
          <t>快递费</t>
        </is>
      </c>
      <c r="D73" s="7" t="n">
        <v>24.2</v>
      </c>
      <c r="F73" s="7" t="n">
        <v>11.7</v>
      </c>
      <c r="H73" s="7" t="n">
        <v>20.3</v>
      </c>
      <c r="J73" s="7" t="n">
        <v>28.6</v>
      </c>
      <c r="L73" s="7" t="n">
        <v>72.2</v>
      </c>
      <c r="N73" s="7" t="n">
        <v>88.40000000000001</v>
      </c>
      <c r="P73" s="7" t="n">
        <v>46.3</v>
      </c>
      <c r="R73" s="7" t="n">
        <v>43.2</v>
      </c>
      <c r="T73" s="7" t="n">
        <v>18.2</v>
      </c>
      <c r="V73" s="7" t="n">
        <v>62.8</v>
      </c>
      <c r="X73" s="7" t="n">
        <v>28.3</v>
      </c>
      <c r="Z73" s="7" t="n">
        <v>26.9</v>
      </c>
      <c r="AB73" s="7" t="n">
        <v>471.1</v>
      </c>
    </row>
    <row r="74">
      <c r="A74" s="4" t="inlineStr">
        <is>
          <t>诉讼费</t>
        </is>
      </c>
      <c r="D74" s="7" t="n">
        <v>220.4</v>
      </c>
      <c r="F74" s="7" t="n">
        <v>62.1</v>
      </c>
      <c r="H74" s="7" t="n">
        <v>108.2</v>
      </c>
      <c r="J74" s="7" t="n">
        <v>322.7</v>
      </c>
      <c r="L74" s="7" t="n">
        <v>347.9</v>
      </c>
      <c r="N74" s="7" t="n">
        <v>647.1</v>
      </c>
      <c r="P74" s="7" t="n">
        <v>361.2</v>
      </c>
      <c r="R74" s="7" t="n">
        <v>243.6</v>
      </c>
      <c r="T74" s="7" t="n">
        <v>205.2</v>
      </c>
      <c r="V74" s="7" t="n">
        <v>439.8</v>
      </c>
      <c r="X74" s="7" t="n">
        <v>199</v>
      </c>
      <c r="Z74" s="7" t="n">
        <v>223.1</v>
      </c>
      <c r="AB74" s="7" t="n">
        <v>3380.3</v>
      </c>
    </row>
    <row r="75">
      <c r="A75" s="4" t="inlineStr">
        <is>
          <t>会员费</t>
        </is>
      </c>
      <c r="D75" s="7" t="n">
        <v>953.9</v>
      </c>
      <c r="F75" s="7" t="n">
        <v>225.7</v>
      </c>
      <c r="H75" s="7" t="n">
        <v>612.3</v>
      </c>
      <c r="J75" s="7" t="n">
        <v>1101.3</v>
      </c>
      <c r="L75" s="7" t="n">
        <v>1297.7</v>
      </c>
      <c r="N75" s="7" t="n">
        <v>1743.9</v>
      </c>
      <c r="P75" s="7" t="n">
        <v>990.8</v>
      </c>
      <c r="R75" s="7" t="n">
        <v>1180.4</v>
      </c>
      <c r="T75" s="7" t="n">
        <v>762.5</v>
      </c>
      <c r="V75" s="7" t="n">
        <v>1270.4</v>
      </c>
      <c r="X75" s="7" t="n">
        <v>690.9</v>
      </c>
      <c r="Z75" s="7" t="n">
        <v>727.3</v>
      </c>
      <c r="AB75" s="7" t="n">
        <v>11557.1</v>
      </c>
    </row>
    <row r="76">
      <c r="A76" s="4" t="inlineStr">
        <is>
          <t>广告宣传费</t>
        </is>
      </c>
      <c r="D76" s="7" t="n">
        <v>4805.1</v>
      </c>
      <c r="F76" s="7" t="n">
        <v>1677.8</v>
      </c>
      <c r="H76" s="7" t="n">
        <v>2209</v>
      </c>
      <c r="J76" s="7" t="n">
        <v>5871.9</v>
      </c>
      <c r="L76" s="7" t="n">
        <v>9813.799999999999</v>
      </c>
      <c r="N76" s="7" t="n">
        <v>14727.1</v>
      </c>
      <c r="P76" s="7" t="n">
        <v>9726.700000000001</v>
      </c>
      <c r="R76" s="7" t="n">
        <v>8306.200000000001</v>
      </c>
      <c r="T76" s="7" t="n">
        <v>4878.1</v>
      </c>
      <c r="V76" s="7" t="n">
        <v>6991.1</v>
      </c>
      <c r="X76" s="7" t="n">
        <v>3281.9</v>
      </c>
      <c r="Z76" s="7" t="n">
        <v>5434.2</v>
      </c>
      <c r="AB76" s="7" t="n">
        <v>77722.89999999999</v>
      </c>
    </row>
    <row r="77">
      <c r="A77" s="4" t="inlineStr">
        <is>
          <t>会务费</t>
        </is>
      </c>
      <c r="D77" s="7" t="n">
        <v>674.7</v>
      </c>
      <c r="F77" s="7" t="n">
        <v>171.5</v>
      </c>
      <c r="H77" s="7" t="n">
        <v>263.9</v>
      </c>
      <c r="J77" s="7" t="n">
        <v>517.2</v>
      </c>
      <c r="L77" s="7" t="n">
        <v>1421.5</v>
      </c>
      <c r="N77" s="7" t="n">
        <v>1064.2</v>
      </c>
      <c r="P77" s="7" t="n">
        <v>708.6</v>
      </c>
      <c r="R77" s="7" t="n">
        <v>817.5</v>
      </c>
      <c r="T77" s="7" t="n">
        <v>542.6</v>
      </c>
      <c r="V77" s="7" t="n">
        <v>716.9</v>
      </c>
      <c r="X77" s="7" t="n">
        <v>436.8</v>
      </c>
      <c r="Z77" s="7" t="n">
        <v>501</v>
      </c>
      <c r="AB77" s="7" t="n">
        <v>7836.4</v>
      </c>
    </row>
    <row r="78">
      <c r="A78" s="4" t="inlineStr">
        <is>
          <t>装修费</t>
        </is>
      </c>
      <c r="D78" s="7" t="n">
        <v>821.6</v>
      </c>
      <c r="F78" s="7" t="n">
        <v>223.2</v>
      </c>
      <c r="H78" s="7" t="n">
        <v>585</v>
      </c>
      <c r="J78" s="7" t="n">
        <v>946.9</v>
      </c>
      <c r="L78" s="7" t="n">
        <v>1413.6</v>
      </c>
      <c r="N78" s="7" t="n">
        <v>2675.7</v>
      </c>
      <c r="P78" s="7" t="n">
        <v>1865.5</v>
      </c>
      <c r="R78" s="7" t="n">
        <v>1665.1</v>
      </c>
      <c r="T78" s="7" t="n">
        <v>648.7</v>
      </c>
      <c r="V78" s="7" t="n">
        <v>1995</v>
      </c>
      <c r="X78" s="7" t="n">
        <v>810.6</v>
      </c>
      <c r="Z78" s="7" t="n">
        <v>1144.5</v>
      </c>
      <c r="AB78" s="7" t="n">
        <v>14795.4</v>
      </c>
    </row>
    <row r="79">
      <c r="A79" s="4" t="inlineStr">
        <is>
          <t>推广费</t>
        </is>
      </c>
      <c r="D79" s="7" t="n">
        <v>142.9</v>
      </c>
      <c r="F79" s="7" t="n">
        <v>76.59999999999999</v>
      </c>
      <c r="H79" s="7" t="n">
        <v>138.6</v>
      </c>
      <c r="J79" s="7" t="n">
        <v>308.1</v>
      </c>
      <c r="L79" s="7" t="n">
        <v>383</v>
      </c>
      <c r="N79" s="7" t="n">
        <v>593.1</v>
      </c>
      <c r="P79" s="7" t="n">
        <v>269.5</v>
      </c>
      <c r="R79" s="7" t="n">
        <v>336.7</v>
      </c>
      <c r="T79" s="7" t="n">
        <v>194.8</v>
      </c>
      <c r="V79" s="7" t="n">
        <v>330.3</v>
      </c>
      <c r="X79" s="7" t="n">
        <v>140.4</v>
      </c>
      <c r="Z79" s="7" t="n">
        <v>261.8</v>
      </c>
      <c r="AB79" s="7" t="n">
        <v>3175.8</v>
      </c>
    </row>
    <row r="80">
      <c r="A80" s="4" t="inlineStr">
        <is>
          <t>展会费</t>
        </is>
      </c>
      <c r="D80" s="7" t="n">
        <v>112.2</v>
      </c>
      <c r="F80" s="7" t="n">
        <v>57.9</v>
      </c>
      <c r="H80" s="7" t="n">
        <v>74.90000000000001</v>
      </c>
      <c r="J80" s="7" t="n">
        <v>204.1</v>
      </c>
      <c r="L80" s="7" t="n">
        <v>226.1</v>
      </c>
      <c r="N80" s="7" t="n">
        <v>480.4</v>
      </c>
      <c r="P80" s="7" t="n">
        <v>282</v>
      </c>
      <c r="R80" s="7" t="n">
        <v>199.4</v>
      </c>
      <c r="T80" s="7" t="n">
        <v>129.2</v>
      </c>
      <c r="V80" s="7" t="n">
        <v>276.3</v>
      </c>
      <c r="X80" s="7" t="n">
        <v>98.40000000000001</v>
      </c>
      <c r="Z80" s="7" t="n">
        <v>211.3</v>
      </c>
      <c r="AB80" s="7" t="n">
        <v>2352.2</v>
      </c>
    </row>
    <row r="81">
      <c r="A81" s="4" t="inlineStr">
        <is>
          <t>设计费</t>
        </is>
      </c>
      <c r="D81" s="7" t="n">
        <v>464.3</v>
      </c>
      <c r="F81" s="7" t="n">
        <v>144.8</v>
      </c>
      <c r="H81" s="7" t="n">
        <v>247.9</v>
      </c>
      <c r="J81" s="7" t="n">
        <v>546.9</v>
      </c>
      <c r="L81" s="7" t="n">
        <v>829</v>
      </c>
      <c r="N81" s="7" t="n">
        <v>1109.2</v>
      </c>
      <c r="P81" s="7" t="n">
        <v>723.6</v>
      </c>
      <c r="R81" s="7" t="n">
        <v>423</v>
      </c>
      <c r="T81" s="7" t="n">
        <v>402.5</v>
      </c>
      <c r="V81" s="7" t="n">
        <v>597.1</v>
      </c>
      <c r="X81" s="7" t="n">
        <v>275.1</v>
      </c>
      <c r="Z81" s="7" t="n">
        <v>512.8</v>
      </c>
      <c r="AB81" s="7" t="n">
        <v>6276.2</v>
      </c>
    </row>
    <row r="82">
      <c r="A82" s="4" t="inlineStr">
        <is>
          <t>折旧费</t>
        </is>
      </c>
      <c r="D82" s="7" t="n">
        <v>6769.9</v>
      </c>
      <c r="F82" s="7" t="n">
        <v>2722.5</v>
      </c>
      <c r="H82" s="7" t="n">
        <v>3474</v>
      </c>
      <c r="J82" s="7" t="n">
        <v>9325.799999999999</v>
      </c>
      <c r="L82" s="7" t="n">
        <v>16487.6</v>
      </c>
      <c r="N82" s="7" t="n">
        <v>14872.7</v>
      </c>
      <c r="P82" s="7" t="n">
        <v>12985.8</v>
      </c>
      <c r="R82" s="7" t="n">
        <v>10846.4</v>
      </c>
      <c r="T82" s="7" t="n">
        <v>5492.5</v>
      </c>
      <c r="V82" s="7" t="n">
        <v>13159.6</v>
      </c>
      <c r="X82" s="7" t="n">
        <v>3873.5</v>
      </c>
      <c r="Z82" s="7" t="n">
        <v>8250.1</v>
      </c>
      <c r="AB82" s="7" t="n">
        <v>108260.4</v>
      </c>
    </row>
    <row r="83">
      <c r="A83" s="4" t="inlineStr">
        <is>
          <t>认证费</t>
        </is>
      </c>
      <c r="D83" s="7" t="n">
        <v>475.4</v>
      </c>
      <c r="F83" s="7" t="n">
        <v>203.3</v>
      </c>
      <c r="H83" s="7" t="n">
        <v>364.4</v>
      </c>
      <c r="J83" s="7" t="n">
        <v>566.8</v>
      </c>
      <c r="L83" s="7" t="n">
        <v>975.3</v>
      </c>
      <c r="N83" s="7" t="n">
        <v>1519.9</v>
      </c>
      <c r="P83" s="7" t="n">
        <v>812.6</v>
      </c>
      <c r="R83" s="7" t="n">
        <v>977.3</v>
      </c>
      <c r="T83" s="7" t="n">
        <v>615.6</v>
      </c>
      <c r="V83" s="7" t="n">
        <v>1131.3</v>
      </c>
      <c r="X83" s="7" t="n">
        <v>498.1</v>
      </c>
      <c r="Z83" s="7" t="n">
        <v>590.6</v>
      </c>
      <c r="AB83" s="7" t="n">
        <v>8730.6</v>
      </c>
    </row>
    <row r="84">
      <c r="A84" s="4" t="inlineStr">
        <is>
          <t>样品费</t>
        </is>
      </c>
      <c r="D84" s="7" t="n">
        <v>2238.6</v>
      </c>
      <c r="F84" s="7" t="n">
        <v>1151.3</v>
      </c>
      <c r="H84" s="7" t="n">
        <v>1747.9</v>
      </c>
      <c r="J84" s="7" t="n">
        <v>3970.3</v>
      </c>
      <c r="L84" s="7" t="n">
        <v>6253.8</v>
      </c>
      <c r="N84" s="7" t="n">
        <v>6460.4</v>
      </c>
      <c r="P84" s="7" t="n">
        <v>6138.8</v>
      </c>
      <c r="R84" s="7" t="n">
        <v>5073</v>
      </c>
      <c r="T84" s="7" t="n">
        <v>2329.8</v>
      </c>
      <c r="V84" s="7" t="n">
        <v>6678.4</v>
      </c>
      <c r="X84" s="7" t="n">
        <v>2575.7</v>
      </c>
      <c r="Z84" s="7" t="n">
        <v>3483.1</v>
      </c>
      <c r="AB84" s="7" t="n">
        <v>48101.1</v>
      </c>
    </row>
    <row r="85">
      <c r="A85" s="4" t="inlineStr">
        <is>
          <t>劳务费</t>
        </is>
      </c>
      <c r="D85" s="7" t="n">
        <v>74.59999999999999</v>
      </c>
      <c r="F85" s="7" t="n">
        <v>25.6</v>
      </c>
      <c r="H85" s="7" t="n">
        <v>31.7</v>
      </c>
      <c r="J85" s="7" t="n">
        <v>78.8</v>
      </c>
      <c r="L85" s="7" t="n">
        <v>143.6</v>
      </c>
      <c r="N85" s="7" t="n">
        <v>215.2</v>
      </c>
      <c r="P85" s="7" t="n">
        <v>137.3</v>
      </c>
      <c r="R85" s="7" t="n">
        <v>105</v>
      </c>
      <c r="T85" s="7" t="n">
        <v>53.1</v>
      </c>
      <c r="V85" s="7" t="n">
        <v>110.7</v>
      </c>
      <c r="X85" s="7" t="n">
        <v>61.5</v>
      </c>
      <c r="Z85" s="7" t="n">
        <v>58.4</v>
      </c>
      <c r="AB85" s="7" t="n">
        <v>1095.5</v>
      </c>
    </row>
    <row r="86">
      <c r="A86" s="4" t="inlineStr">
        <is>
          <t>销售佣金</t>
        </is>
      </c>
      <c r="D86" s="7" t="n">
        <v>734.2</v>
      </c>
      <c r="F86" s="7" t="n">
        <v>176.6</v>
      </c>
      <c r="H86" s="7" t="n">
        <v>373.3</v>
      </c>
      <c r="J86" s="7" t="n">
        <v>562.1</v>
      </c>
      <c r="L86" s="7" t="n">
        <v>1555</v>
      </c>
      <c r="N86" s="7" t="n">
        <v>1232.7</v>
      </c>
      <c r="P86" s="7" t="n">
        <v>1102.5</v>
      </c>
      <c r="R86" s="7" t="n">
        <v>905</v>
      </c>
      <c r="T86" s="7" t="n">
        <v>427</v>
      </c>
      <c r="V86" s="7" t="n">
        <v>924.6</v>
      </c>
      <c r="X86" s="7" t="n">
        <v>499.6</v>
      </c>
      <c r="Z86" s="7" t="n">
        <v>643.4</v>
      </c>
      <c r="AB86" s="7" t="n">
        <v>9136</v>
      </c>
    </row>
    <row r="87">
      <c r="A87" s="4" t="inlineStr">
        <is>
          <t>检测费</t>
        </is>
      </c>
      <c r="D87" s="7" t="n">
        <v>189</v>
      </c>
      <c r="F87" s="7" t="n">
        <v>44.6</v>
      </c>
      <c r="H87" s="7" t="n">
        <v>99.59999999999999</v>
      </c>
      <c r="J87" s="7" t="n">
        <v>220.2</v>
      </c>
      <c r="L87" s="7" t="n">
        <v>387.1</v>
      </c>
      <c r="N87" s="7" t="n">
        <v>423.9</v>
      </c>
      <c r="P87" s="7" t="n">
        <v>225.3</v>
      </c>
      <c r="R87" s="7" t="n">
        <v>300.6</v>
      </c>
      <c r="T87" s="7" t="n">
        <v>184</v>
      </c>
      <c r="V87" s="7" t="n">
        <v>256.2</v>
      </c>
      <c r="X87" s="7" t="n">
        <v>180.4</v>
      </c>
      <c r="Z87" s="7" t="n">
        <v>173.1</v>
      </c>
      <c r="AB87" s="7" t="n">
        <v>2684</v>
      </c>
    </row>
    <row r="88">
      <c r="A88" s="4" t="inlineStr">
        <is>
          <t>质量赔偿</t>
        </is>
      </c>
      <c r="D88" s="7" t="n">
        <v>403</v>
      </c>
      <c r="F88" s="7" t="n">
        <v>110.5</v>
      </c>
      <c r="H88" s="7" t="n">
        <v>243.9</v>
      </c>
      <c r="J88" s="7" t="n">
        <v>411.8</v>
      </c>
      <c r="L88" s="7" t="n">
        <v>849.8</v>
      </c>
      <c r="N88" s="7" t="n">
        <v>835.5</v>
      </c>
      <c r="P88" s="7" t="n">
        <v>538.8</v>
      </c>
      <c r="R88" s="7" t="n">
        <v>506.8</v>
      </c>
      <c r="T88" s="7" t="n">
        <v>264.6</v>
      </c>
      <c r="V88" s="7" t="n">
        <v>584.9</v>
      </c>
      <c r="X88" s="7" t="n">
        <v>267.5</v>
      </c>
      <c r="Z88" s="7" t="n">
        <v>316.8</v>
      </c>
      <c r="AB88" s="7" t="n">
        <v>5333.9</v>
      </c>
    </row>
    <row r="89">
      <c r="A89" s="4" t="inlineStr">
        <is>
          <t>保险费</t>
        </is>
      </c>
      <c r="D89" s="7" t="n">
        <v>170</v>
      </c>
      <c r="F89" s="7" t="n">
        <v>56.3</v>
      </c>
      <c r="H89" s="7" t="n">
        <v>85</v>
      </c>
      <c r="J89" s="7" t="n">
        <v>244.7</v>
      </c>
      <c r="L89" s="7" t="n">
        <v>417.9</v>
      </c>
      <c r="N89" s="7" t="n">
        <v>370.7</v>
      </c>
      <c r="P89" s="7" t="n">
        <v>309.5</v>
      </c>
      <c r="R89" s="7" t="n">
        <v>276</v>
      </c>
      <c r="T89" s="7" t="n">
        <v>107.9</v>
      </c>
      <c r="V89" s="7" t="n">
        <v>384.9</v>
      </c>
      <c r="X89" s="7" t="n">
        <v>158.2</v>
      </c>
      <c r="Z89" s="7" t="n">
        <v>262</v>
      </c>
      <c r="AB89" s="7" t="n">
        <v>2843.1</v>
      </c>
    </row>
    <row r="90">
      <c r="A90" s="4" t="inlineStr">
        <is>
          <t>清洁费</t>
        </is>
      </c>
      <c r="D90" s="7" t="n">
        <v>546</v>
      </c>
      <c r="F90" s="7" t="n">
        <v>189.1</v>
      </c>
      <c r="H90" s="7" t="n">
        <v>335.8</v>
      </c>
      <c r="J90" s="7" t="n">
        <v>900.3</v>
      </c>
      <c r="L90" s="7" t="n">
        <v>1470.4</v>
      </c>
      <c r="N90" s="7" t="n">
        <v>1950.2</v>
      </c>
      <c r="P90" s="7" t="n">
        <v>1021.4</v>
      </c>
      <c r="R90" s="7" t="n">
        <v>1004.2</v>
      </c>
      <c r="T90" s="7" t="n">
        <v>545.7</v>
      </c>
      <c r="V90" s="7" t="n">
        <v>866.1</v>
      </c>
      <c r="X90" s="7" t="n">
        <v>353</v>
      </c>
      <c r="Z90" s="7" t="n">
        <v>501.6</v>
      </c>
      <c r="AB90" s="7" t="n">
        <v>9683.799999999999</v>
      </c>
    </row>
    <row r="91">
      <c r="A91" s="4" t="inlineStr">
        <is>
          <t>低值易耗品</t>
        </is>
      </c>
      <c r="D91" s="7" t="n">
        <v>716.1</v>
      </c>
      <c r="F91" s="7" t="n">
        <v>215.6</v>
      </c>
      <c r="H91" s="7" t="n">
        <v>674.9</v>
      </c>
      <c r="J91" s="7" t="n">
        <v>1187.5</v>
      </c>
      <c r="L91" s="7" t="n">
        <v>1965.8</v>
      </c>
      <c r="N91" s="7" t="n">
        <v>2403.2</v>
      </c>
      <c r="P91" s="7" t="n">
        <v>1070.9</v>
      </c>
      <c r="R91" s="7" t="n">
        <v>903.4</v>
      </c>
      <c r="T91" s="7" t="n">
        <v>510.8</v>
      </c>
      <c r="V91" s="7" t="n">
        <v>1088.3</v>
      </c>
      <c r="X91" s="7" t="n">
        <v>490</v>
      </c>
      <c r="Z91" s="7" t="n">
        <v>1152.9</v>
      </c>
      <c r="AB91" s="7" t="n">
        <v>12379.4</v>
      </c>
    </row>
    <row r="92">
      <c r="A92" s="4" t="inlineStr">
        <is>
          <t>物料消耗</t>
        </is>
      </c>
      <c r="D92" s="7" t="n">
        <v>796.2</v>
      </c>
      <c r="F92" s="7" t="n">
        <v>247.3</v>
      </c>
      <c r="H92" s="7" t="n">
        <v>691.6</v>
      </c>
      <c r="J92" s="7" t="n">
        <v>1123.8</v>
      </c>
      <c r="L92" s="7" t="n">
        <v>1643.8</v>
      </c>
      <c r="N92" s="7" t="n">
        <v>2799.3</v>
      </c>
      <c r="P92" s="7" t="n">
        <v>1315.7</v>
      </c>
      <c r="R92" s="7" t="n">
        <v>1321.4</v>
      </c>
      <c r="T92" s="7" t="n">
        <v>495</v>
      </c>
      <c r="V92" s="7" t="n">
        <v>1349.8</v>
      </c>
      <c r="X92" s="7" t="n">
        <v>689.1</v>
      </c>
      <c r="Z92" s="7" t="n">
        <v>902.1</v>
      </c>
      <c r="AB92" s="7" t="n">
        <v>13375.1</v>
      </c>
    </row>
    <row r="93">
      <c r="A93" s="4" t="inlineStr">
        <is>
          <t>盘盈盘亏</t>
        </is>
      </c>
      <c r="D93" s="7" t="n">
        <v>352.3</v>
      </c>
      <c r="F93" s="7" t="n">
        <v>102.4</v>
      </c>
      <c r="H93" s="7" t="n">
        <v>200.3</v>
      </c>
      <c r="J93" s="7" t="n">
        <v>451</v>
      </c>
      <c r="L93" s="7" t="n">
        <v>711.5</v>
      </c>
      <c r="N93" s="7" t="n">
        <v>1118.3</v>
      </c>
      <c r="P93" s="7" t="n">
        <v>654.3</v>
      </c>
      <c r="R93" s="7" t="n">
        <v>352.7</v>
      </c>
      <c r="T93" s="7" t="n">
        <v>335.5</v>
      </c>
      <c r="V93" s="7" t="n">
        <v>526.8</v>
      </c>
      <c r="X93" s="7" t="n">
        <v>241</v>
      </c>
      <c r="Z93" s="7" t="n">
        <v>428.1</v>
      </c>
      <c r="AB93" s="7" t="n">
        <v>5474.2</v>
      </c>
    </row>
    <row r="94">
      <c r="A94" s="4" t="inlineStr">
        <is>
          <t>平台服务费</t>
        </is>
      </c>
      <c r="D94" s="7" t="n">
        <v>42.5</v>
      </c>
      <c r="F94" s="7" t="n">
        <v>8.4</v>
      </c>
      <c r="H94" s="7" t="n">
        <v>22</v>
      </c>
      <c r="J94" s="7" t="n">
        <v>43</v>
      </c>
      <c r="L94" s="7" t="n">
        <v>82.40000000000001</v>
      </c>
      <c r="N94" s="7" t="n">
        <v>95.7</v>
      </c>
      <c r="P94" s="7" t="n">
        <v>42</v>
      </c>
      <c r="R94" s="7" t="n">
        <v>58.5</v>
      </c>
      <c r="T94" s="7" t="n">
        <v>39.6</v>
      </c>
      <c r="V94" s="7" t="n">
        <v>64.2</v>
      </c>
      <c r="X94" s="7" t="n">
        <v>31</v>
      </c>
      <c r="Z94" s="7" t="n">
        <v>53.6</v>
      </c>
      <c r="AB94" s="7" t="n">
        <v>582.9</v>
      </c>
    </row>
    <row r="95">
      <c r="A95" s="4" t="inlineStr">
        <is>
          <t>无形资产摊销</t>
        </is>
      </c>
      <c r="D95" s="7" t="n">
        <v>350.4</v>
      </c>
      <c r="F95" s="7" t="n">
        <v>164.3</v>
      </c>
      <c r="H95" s="7" t="n">
        <v>331.5</v>
      </c>
      <c r="J95" s="7" t="n">
        <v>482.8</v>
      </c>
      <c r="L95" s="7" t="n">
        <v>1075.1</v>
      </c>
      <c r="N95" s="7" t="n">
        <v>1061.2</v>
      </c>
      <c r="P95" s="7" t="n">
        <v>624.9</v>
      </c>
      <c r="R95" s="7" t="n">
        <v>746.5</v>
      </c>
      <c r="T95" s="7" t="n">
        <v>425.1</v>
      </c>
      <c r="V95" s="7" t="n">
        <v>913.6</v>
      </c>
      <c r="X95" s="7" t="n">
        <v>305.9</v>
      </c>
      <c r="Z95" s="7" t="n">
        <v>498.9</v>
      </c>
      <c r="AB95" s="7" t="n">
        <v>6980.2</v>
      </c>
    </row>
    <row r="96">
      <c r="A96" s="4" t="inlineStr">
        <is>
          <t>研发材料</t>
        </is>
      </c>
      <c r="D96" s="7" t="n">
        <v>133.4</v>
      </c>
      <c r="F96" s="7" t="n">
        <v>52.7</v>
      </c>
      <c r="H96" s="7" t="n">
        <v>91.7</v>
      </c>
      <c r="J96" s="7" t="n">
        <v>198.6</v>
      </c>
      <c r="L96" s="7" t="n">
        <v>455</v>
      </c>
      <c r="N96" s="7" t="n">
        <v>564.6</v>
      </c>
      <c r="P96" s="7" t="n">
        <v>296.7</v>
      </c>
      <c r="R96" s="7" t="n">
        <v>305.6</v>
      </c>
      <c r="T96" s="7" t="n">
        <v>158</v>
      </c>
      <c r="V96" s="7" t="n">
        <v>306</v>
      </c>
      <c r="X96" s="7" t="n">
        <v>144.4</v>
      </c>
      <c r="Z96" s="7" t="n">
        <v>180.8</v>
      </c>
      <c r="AB96" s="7" t="n">
        <v>2887.5</v>
      </c>
    </row>
    <row r="97">
      <c r="A97" s="4" t="inlineStr">
        <is>
          <t>项目名称</t>
        </is>
      </c>
      <c r="D97" s="7" t="n">
        <v>511.2</v>
      </c>
      <c r="F97" s="7" t="n">
        <v>128.5</v>
      </c>
      <c r="H97" s="7" t="n">
        <v>260.4</v>
      </c>
      <c r="J97" s="7" t="n">
        <v>483.5</v>
      </c>
      <c r="L97" s="7" t="n">
        <v>770.3</v>
      </c>
      <c r="N97" s="7" t="n">
        <v>972.6</v>
      </c>
      <c r="P97" s="7" t="n">
        <v>839.3</v>
      </c>
      <c r="R97" s="7" t="n">
        <v>747.2</v>
      </c>
      <c r="T97" s="7" t="n">
        <v>411.7</v>
      </c>
      <c r="V97" s="7" t="n">
        <v>636.6</v>
      </c>
      <c r="X97" s="7" t="n">
        <v>288.5</v>
      </c>
      <c r="Z97" s="7" t="n">
        <v>363.6</v>
      </c>
      <c r="AB97" s="7" t="n">
        <v>6413.4</v>
      </c>
    </row>
    <row r="98">
      <c r="A98" s="4" t="inlineStr">
        <is>
          <t>研发费</t>
        </is>
      </c>
      <c r="D98" s="7" t="n">
        <v>991.8</v>
      </c>
      <c r="F98" s="7" t="n">
        <v>289.5</v>
      </c>
      <c r="H98" s="7" t="n">
        <v>776.4</v>
      </c>
      <c r="J98" s="7" t="n">
        <v>1320.5</v>
      </c>
      <c r="L98" s="7" t="n">
        <v>2251</v>
      </c>
      <c r="N98" s="7" t="n">
        <v>2186.6</v>
      </c>
      <c r="P98" s="7" t="n">
        <v>1731.9</v>
      </c>
      <c r="R98" s="7" t="n">
        <v>1649.3</v>
      </c>
      <c r="T98" s="7" t="n">
        <v>707.8</v>
      </c>
      <c r="V98" s="7" t="n">
        <v>1592.1</v>
      </c>
      <c r="X98" s="7" t="n">
        <v>643.2</v>
      </c>
      <c r="Z98" s="7" t="n">
        <v>1368.6</v>
      </c>
      <c r="AB98" s="7" t="n">
        <v>15508.7</v>
      </c>
    </row>
    <row r="99">
      <c r="A99" s="4" t="inlineStr">
        <is>
          <t>残保金</t>
        </is>
      </c>
      <c r="D99" s="7" t="n">
        <v>780.2</v>
      </c>
      <c r="F99" s="7" t="n">
        <v>306.8</v>
      </c>
      <c r="H99" s="7" t="n">
        <v>668.1</v>
      </c>
      <c r="J99" s="7" t="n">
        <v>1341.8</v>
      </c>
      <c r="L99" s="7" t="n">
        <v>1982</v>
      </c>
      <c r="N99" s="7" t="n">
        <v>1992.5</v>
      </c>
      <c r="P99" s="7" t="n">
        <v>1098.7</v>
      </c>
      <c r="R99" s="7" t="n">
        <v>1191.2</v>
      </c>
      <c r="T99" s="7" t="n">
        <v>761.6</v>
      </c>
      <c r="V99" s="7" t="n">
        <v>1706</v>
      </c>
      <c r="X99" s="7" t="n">
        <v>742.3</v>
      </c>
      <c r="Z99" s="7" t="n">
        <v>1374.1</v>
      </c>
      <c r="AB99" s="7" t="n">
        <v>13945.3</v>
      </c>
    </row>
    <row r="100">
      <c r="A100" s="4" t="inlineStr">
        <is>
          <t>环保费</t>
        </is>
      </c>
      <c r="D100" s="7" t="n">
        <v>1128.2</v>
      </c>
      <c r="F100" s="7" t="n">
        <v>347.2</v>
      </c>
      <c r="H100" s="7" t="n">
        <v>791.4</v>
      </c>
      <c r="J100" s="7" t="n">
        <v>1400.1</v>
      </c>
      <c r="L100" s="7" t="n">
        <v>2616.9</v>
      </c>
      <c r="N100" s="7" t="n">
        <v>2456.5</v>
      </c>
      <c r="P100" s="7" t="n">
        <v>1443.4</v>
      </c>
      <c r="R100" s="7" t="n">
        <v>1140.7</v>
      </c>
      <c r="T100" s="7" t="n">
        <v>635.3</v>
      </c>
      <c r="V100" s="7" t="n">
        <v>2235.7</v>
      </c>
      <c r="X100" s="7" t="n">
        <v>884.2</v>
      </c>
      <c r="Z100" s="7" t="n">
        <v>954.6</v>
      </c>
      <c r="AB100" s="7" t="n">
        <v>16034.2</v>
      </c>
    </row>
    <row r="101">
      <c r="A101" s="4" t="inlineStr">
        <is>
          <t>报废损失</t>
        </is>
      </c>
      <c r="D101" s="7" t="n">
        <v>551</v>
      </c>
      <c r="F101" s="7" t="n">
        <v>235.1</v>
      </c>
      <c r="H101" s="7" t="n">
        <v>345.8</v>
      </c>
      <c r="J101" s="7" t="n">
        <v>865.9</v>
      </c>
      <c r="L101" s="7" t="n">
        <v>1867.5</v>
      </c>
      <c r="N101" s="7" t="n">
        <v>2016</v>
      </c>
      <c r="P101" s="7" t="n">
        <v>969.3</v>
      </c>
      <c r="R101" s="7" t="n">
        <v>1128.6</v>
      </c>
      <c r="T101" s="7" t="n">
        <v>738</v>
      </c>
      <c r="V101" s="7" t="n">
        <v>1166.4</v>
      </c>
      <c r="X101" s="7" t="n">
        <v>583.4</v>
      </c>
      <c r="Z101" s="7" t="n">
        <v>902.9</v>
      </c>
      <c r="AB101" s="7" t="n">
        <v>11369.9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59698.2</v>
      </c>
      <c r="D102" s="7" t="n">
        <v>49966.8</v>
      </c>
      <c r="E102" s="7" t="n">
        <v>71656.10000000001</v>
      </c>
      <c r="F102" s="7" t="n">
        <v>17495.5</v>
      </c>
      <c r="G102" s="7" t="n">
        <v>63999.6</v>
      </c>
      <c r="H102" s="7" t="n">
        <v>35864.6</v>
      </c>
      <c r="I102" s="7" t="n">
        <v>59596.4</v>
      </c>
      <c r="J102" s="7" t="n">
        <v>42131.4</v>
      </c>
      <c r="K102" s="7" t="n">
        <v>59163.7</v>
      </c>
      <c r="L102" s="7" t="n">
        <v>65776.10000000001</v>
      </c>
      <c r="M102" s="7" t="n">
        <v>71586.7</v>
      </c>
      <c r="N102" s="7" t="n">
        <v>95499.3</v>
      </c>
      <c r="O102" s="7" t="n">
        <v>66120.8</v>
      </c>
      <c r="P102" s="7" t="n">
        <v>106004.3</v>
      </c>
      <c r="Q102" s="7" t="n">
        <v>74087.89999999999</v>
      </c>
      <c r="R102" s="7" t="n">
        <v>151337.5</v>
      </c>
      <c r="S102" s="7" t="n">
        <v>74205.2</v>
      </c>
      <c r="T102" s="7" t="n">
        <v>39370.4</v>
      </c>
      <c r="U102" s="7" t="n">
        <v>67471.3</v>
      </c>
      <c r="V102" s="7" t="n">
        <v>81240.8</v>
      </c>
      <c r="W102" s="7" t="n">
        <v>68798.60000000001</v>
      </c>
      <c r="X102" s="7" t="n">
        <v>59883.7</v>
      </c>
      <c r="Y102" s="7" t="n">
        <v>60679.2</v>
      </c>
      <c r="Z102" s="7" t="n">
        <v>58157.6</v>
      </c>
      <c r="AA102" s="8" t="n">
        <v>797063.7</v>
      </c>
      <c r="AB102" s="8" t="n">
        <v>802728</v>
      </c>
    </row>
    <row r="103">
      <c r="A103" s="4" t="inlineStr">
        <is>
          <t>职工薪酬</t>
        </is>
      </c>
      <c r="D103" s="7" t="n">
        <v>23017.5</v>
      </c>
      <c r="F103" s="7" t="n">
        <v>8515.700000000001</v>
      </c>
      <c r="H103" s="7" t="n">
        <v>16902.6</v>
      </c>
      <c r="J103" s="7" t="n">
        <v>22432.2</v>
      </c>
      <c r="L103" s="7" t="n">
        <v>27253.1</v>
      </c>
      <c r="N103" s="7" t="n">
        <v>45785.1</v>
      </c>
      <c r="P103" s="7" t="n">
        <v>54432.4</v>
      </c>
      <c r="R103" s="7" t="n">
        <v>70120.3</v>
      </c>
      <c r="T103" s="7" t="n">
        <v>23919.8</v>
      </c>
      <c r="V103" s="7" t="n">
        <v>38098.1</v>
      </c>
      <c r="X103" s="7" t="n">
        <v>26836.3</v>
      </c>
      <c r="Z103" s="7" t="n">
        <v>33703.7</v>
      </c>
      <c r="AB103" s="7" t="n">
        <v>391016.8</v>
      </c>
    </row>
    <row r="104">
      <c r="A104" s="4" t="inlineStr">
        <is>
          <t>工资</t>
        </is>
      </c>
      <c r="D104" s="7" t="n">
        <v>13176.3</v>
      </c>
      <c r="F104" s="7" t="n">
        <v>4490.9</v>
      </c>
      <c r="H104" s="7" t="n">
        <v>9644.200000000001</v>
      </c>
      <c r="J104" s="7" t="n">
        <v>11789.2</v>
      </c>
      <c r="L104" s="7" t="n">
        <v>14815.1</v>
      </c>
      <c r="N104" s="7" t="n">
        <v>23885.1</v>
      </c>
      <c r="P104" s="7" t="n">
        <v>32603.4</v>
      </c>
      <c r="R104" s="7" t="n">
        <v>41886.8</v>
      </c>
      <c r="T104" s="7" t="n">
        <v>14539.6</v>
      </c>
      <c r="V104" s="7" t="n">
        <v>21398.2</v>
      </c>
      <c r="X104" s="7" t="n">
        <v>14554.3</v>
      </c>
      <c r="Z104" s="7" t="n">
        <v>20889.4</v>
      </c>
      <c r="AB104" s="7" t="n">
        <v>223672.5</v>
      </c>
    </row>
    <row r="105">
      <c r="A105" s="4" t="inlineStr">
        <is>
          <t>奖金及提成</t>
        </is>
      </c>
      <c r="D105" s="7" t="n">
        <v>3970.1</v>
      </c>
      <c r="F105" s="7" t="n">
        <v>1928.8</v>
      </c>
      <c r="H105" s="7" t="n">
        <v>2802.6</v>
      </c>
      <c r="J105" s="7" t="n">
        <v>5118.1</v>
      </c>
      <c r="L105" s="7" t="n">
        <v>5373.5</v>
      </c>
      <c r="N105" s="7" t="n">
        <v>9306.5</v>
      </c>
      <c r="P105" s="7" t="n">
        <v>8584.9</v>
      </c>
      <c r="R105" s="7" t="n">
        <v>14285.5</v>
      </c>
      <c r="T105" s="7" t="n">
        <v>4305.6</v>
      </c>
      <c r="V105" s="7" t="n">
        <v>5778.1</v>
      </c>
      <c r="X105" s="7" t="n">
        <v>5025.4</v>
      </c>
      <c r="Z105" s="7" t="n">
        <v>5643.9</v>
      </c>
      <c r="AB105" s="7" t="n">
        <v>72123</v>
      </c>
    </row>
    <row r="106">
      <c r="A106" s="4" t="inlineStr">
        <is>
          <t>社保</t>
        </is>
      </c>
      <c r="D106" s="7" t="n">
        <v>4187.9</v>
      </c>
      <c r="F106" s="7" t="n">
        <v>1403.4</v>
      </c>
      <c r="H106" s="7" t="n">
        <v>3201.7</v>
      </c>
      <c r="J106" s="7" t="n">
        <v>3979.2</v>
      </c>
      <c r="L106" s="7" t="n">
        <v>4934.5</v>
      </c>
      <c r="N106" s="7" t="n">
        <v>9113.9</v>
      </c>
      <c r="P106" s="7" t="n">
        <v>10165.5</v>
      </c>
      <c r="R106" s="7" t="n">
        <v>8712.200000000001</v>
      </c>
      <c r="T106" s="7" t="n">
        <v>3700.4</v>
      </c>
      <c r="V106" s="7" t="n">
        <v>8404.5</v>
      </c>
      <c r="X106" s="7" t="n">
        <v>5225.1</v>
      </c>
      <c r="Z106" s="7" t="n">
        <v>5240.9</v>
      </c>
      <c r="AB106" s="7" t="n">
        <v>68269.2</v>
      </c>
    </row>
    <row r="107">
      <c r="A107" s="4" t="inlineStr">
        <is>
          <t>养老</t>
        </is>
      </c>
      <c r="D107" s="7" t="n">
        <v>306.1</v>
      </c>
      <c r="F107" s="7" t="n">
        <v>89.40000000000001</v>
      </c>
      <c r="H107" s="7" t="n">
        <v>243.1</v>
      </c>
      <c r="J107" s="7" t="n">
        <v>316.2</v>
      </c>
      <c r="L107" s="7" t="n">
        <v>306.4</v>
      </c>
      <c r="N107" s="7" t="n">
        <v>664.6</v>
      </c>
      <c r="P107" s="7" t="n">
        <v>470.1</v>
      </c>
      <c r="R107" s="7" t="n">
        <v>977.2</v>
      </c>
      <c r="T107" s="7" t="n">
        <v>229.9</v>
      </c>
      <c r="V107" s="7" t="n">
        <v>589.6</v>
      </c>
      <c r="X107" s="7" t="n">
        <v>260.2</v>
      </c>
      <c r="Z107" s="7" t="n">
        <v>293.6</v>
      </c>
      <c r="AB107" s="7" t="n">
        <v>4746.4</v>
      </c>
    </row>
    <row r="108">
      <c r="A108" s="4" t="inlineStr">
        <is>
          <t>医疗</t>
        </is>
      </c>
      <c r="D108" s="7" t="n">
        <v>286.9</v>
      </c>
      <c r="F108" s="7" t="n">
        <v>137.3</v>
      </c>
      <c r="H108" s="7" t="n">
        <v>171.8</v>
      </c>
      <c r="J108" s="7" t="n">
        <v>229.8</v>
      </c>
      <c r="L108" s="7" t="n">
        <v>504.1</v>
      </c>
      <c r="N108" s="7" t="n">
        <v>747.1</v>
      </c>
      <c r="P108" s="7" t="n">
        <v>876</v>
      </c>
      <c r="R108" s="7" t="n">
        <v>786.8</v>
      </c>
      <c r="T108" s="7" t="n">
        <v>305</v>
      </c>
      <c r="V108" s="7" t="n">
        <v>564.1</v>
      </c>
      <c r="X108" s="7" t="n">
        <v>338.7</v>
      </c>
      <c r="Z108" s="7" t="n">
        <v>354.1</v>
      </c>
      <c r="AB108" s="7" t="n">
        <v>5301.7</v>
      </c>
    </row>
    <row r="109">
      <c r="A109" s="4" t="inlineStr">
        <is>
          <t>工伤</t>
        </is>
      </c>
      <c r="D109" s="7" t="n">
        <v>68.3</v>
      </c>
      <c r="F109" s="7" t="n">
        <v>23.7</v>
      </c>
      <c r="H109" s="7" t="n">
        <v>49.1</v>
      </c>
      <c r="J109" s="7" t="n">
        <v>57.8</v>
      </c>
      <c r="L109" s="7" t="n">
        <v>64</v>
      </c>
      <c r="N109" s="7" t="n">
        <v>88.5</v>
      </c>
      <c r="P109" s="7" t="n">
        <v>163.3</v>
      </c>
      <c r="R109" s="7" t="n">
        <v>193.1</v>
      </c>
      <c r="T109" s="7" t="n">
        <v>39.3</v>
      </c>
      <c r="V109" s="7" t="n">
        <v>75.5</v>
      </c>
      <c r="X109" s="7" t="n">
        <v>55.5</v>
      </c>
      <c r="Z109" s="7" t="n">
        <v>65</v>
      </c>
      <c r="AB109" s="7" t="n">
        <v>943.1</v>
      </c>
    </row>
    <row r="110">
      <c r="A110" s="4" t="inlineStr">
        <is>
          <t>失业</t>
        </is>
      </c>
      <c r="D110" s="7" t="n">
        <v>269.4</v>
      </c>
      <c r="F110" s="7" t="n">
        <v>139.5</v>
      </c>
      <c r="H110" s="7" t="n">
        <v>195.4</v>
      </c>
      <c r="J110" s="7" t="n">
        <v>227.8</v>
      </c>
      <c r="L110" s="7" t="n">
        <v>364.4</v>
      </c>
      <c r="N110" s="7" t="n">
        <v>609.2</v>
      </c>
      <c r="P110" s="7" t="n">
        <v>510.4</v>
      </c>
      <c r="R110" s="7" t="n">
        <v>1097.5</v>
      </c>
      <c r="T110" s="7" t="n">
        <v>282.1</v>
      </c>
      <c r="V110" s="7" t="n">
        <v>505.3</v>
      </c>
      <c r="X110" s="7" t="n">
        <v>379.1</v>
      </c>
      <c r="Z110" s="7" t="n">
        <v>476.3</v>
      </c>
      <c r="AB110" s="7" t="n">
        <v>5056.4</v>
      </c>
    </row>
    <row r="111">
      <c r="A111" s="4" t="inlineStr">
        <is>
          <t>生育</t>
        </is>
      </c>
      <c r="D111" s="7" t="n">
        <v>4.3</v>
      </c>
      <c r="F111" s="7" t="n">
        <v>1</v>
      </c>
      <c r="H111" s="7" t="n">
        <v>2.5</v>
      </c>
      <c r="J111" s="7" t="n">
        <v>3.2</v>
      </c>
      <c r="L111" s="7" t="n">
        <v>5.3</v>
      </c>
      <c r="N111" s="7" t="n">
        <v>6</v>
      </c>
      <c r="P111" s="7" t="n">
        <v>9.199999999999999</v>
      </c>
      <c r="R111" s="7" t="n">
        <v>7.8</v>
      </c>
      <c r="T111" s="7" t="n">
        <v>2.4</v>
      </c>
      <c r="V111" s="7" t="n">
        <v>5.3</v>
      </c>
      <c r="X111" s="7" t="n">
        <v>3.1</v>
      </c>
      <c r="Z111" s="7" t="n">
        <v>5.2</v>
      </c>
      <c r="AB111" s="7" t="n">
        <v>55.3</v>
      </c>
    </row>
    <row r="112">
      <c r="A112" s="4" t="inlineStr">
        <is>
          <t>公积金</t>
        </is>
      </c>
      <c r="D112" s="7" t="n">
        <v>47.5</v>
      </c>
      <c r="F112" s="7" t="n">
        <v>20.8</v>
      </c>
      <c r="H112" s="7" t="n">
        <v>47.3</v>
      </c>
      <c r="J112" s="7" t="n">
        <v>56.9</v>
      </c>
      <c r="L112" s="7" t="n">
        <v>59.9</v>
      </c>
      <c r="N112" s="7" t="n">
        <v>77.7</v>
      </c>
      <c r="P112" s="7" t="n">
        <v>103.7</v>
      </c>
      <c r="R112" s="7" t="n">
        <v>214.8</v>
      </c>
      <c r="T112" s="7" t="n">
        <v>52.5</v>
      </c>
      <c r="V112" s="7" t="n">
        <v>67.09999999999999</v>
      </c>
      <c r="X112" s="7" t="n">
        <v>69.59999999999999</v>
      </c>
      <c r="Z112" s="7" t="n">
        <v>64.3</v>
      </c>
      <c r="AB112" s="7" t="n">
        <v>882.1</v>
      </c>
    </row>
    <row r="113">
      <c r="A113" s="4" t="inlineStr">
        <is>
          <t>工会经费</t>
        </is>
      </c>
      <c r="D113" s="7" t="n">
        <v>365.9</v>
      </c>
      <c r="F113" s="7" t="n">
        <v>128.8</v>
      </c>
      <c r="H113" s="7" t="n">
        <v>262.3</v>
      </c>
      <c r="J113" s="7" t="n">
        <v>327</v>
      </c>
      <c r="L113" s="7" t="n">
        <v>289.8</v>
      </c>
      <c r="N113" s="7" t="n">
        <v>576.5</v>
      </c>
      <c r="P113" s="7" t="n">
        <v>524.9</v>
      </c>
      <c r="R113" s="7" t="n">
        <v>749.6</v>
      </c>
      <c r="T113" s="7" t="n">
        <v>287.9</v>
      </c>
      <c r="V113" s="7" t="n">
        <v>441.5</v>
      </c>
      <c r="X113" s="7" t="n">
        <v>456.7</v>
      </c>
      <c r="Z113" s="7" t="n">
        <v>265.4</v>
      </c>
      <c r="AB113" s="7" t="n">
        <v>4676.3</v>
      </c>
    </row>
    <row r="114">
      <c r="A114" s="4" t="inlineStr">
        <is>
          <t>职工教育经费</t>
        </is>
      </c>
      <c r="D114" s="7" t="n">
        <v>302.4</v>
      </c>
      <c r="F114" s="7" t="n">
        <v>116.8</v>
      </c>
      <c r="H114" s="7" t="n">
        <v>163.8</v>
      </c>
      <c r="J114" s="7" t="n">
        <v>276.7</v>
      </c>
      <c r="L114" s="7" t="n">
        <v>343.3</v>
      </c>
      <c r="N114" s="7" t="n">
        <v>594.5</v>
      </c>
      <c r="P114" s="7" t="n">
        <v>430.7</v>
      </c>
      <c r="R114" s="7" t="n">
        <v>1010.5</v>
      </c>
      <c r="T114" s="7" t="n">
        <v>228.2</v>
      </c>
      <c r="V114" s="7" t="n">
        <v>483.5</v>
      </c>
      <c r="X114" s="7" t="n">
        <v>285.4</v>
      </c>
      <c r="Z114" s="7" t="n">
        <v>265.9</v>
      </c>
      <c r="AB114" s="7" t="n">
        <v>4501.7</v>
      </c>
    </row>
    <row r="115">
      <c r="A115" s="4" t="inlineStr">
        <is>
          <t>福利费</t>
        </is>
      </c>
      <c r="D115" s="7" t="n">
        <v>967.4</v>
      </c>
      <c r="F115" s="7" t="n">
        <v>426.2</v>
      </c>
      <c r="H115" s="7" t="n">
        <v>780.7</v>
      </c>
      <c r="J115" s="7" t="n">
        <v>885.1</v>
      </c>
      <c r="L115" s="7" t="n">
        <v>1437</v>
      </c>
      <c r="N115" s="7" t="n">
        <v>2230.9</v>
      </c>
      <c r="P115" s="7" t="n">
        <v>2019.3</v>
      </c>
      <c r="R115" s="7" t="n">
        <v>3260.9</v>
      </c>
      <c r="T115" s="7" t="n">
        <v>805.6</v>
      </c>
      <c r="V115" s="7" t="n">
        <v>1525.2</v>
      </c>
      <c r="X115" s="7" t="n">
        <v>1219.8</v>
      </c>
      <c r="Z115" s="7" t="n">
        <v>1333.9</v>
      </c>
      <c r="AB115" s="7" t="n">
        <v>16892</v>
      </c>
    </row>
    <row r="116">
      <c r="A116" s="4" t="inlineStr">
        <is>
          <t>职工房租</t>
        </is>
      </c>
      <c r="D116" s="7" t="n">
        <v>186.2</v>
      </c>
      <c r="F116" s="7" t="n">
        <v>88.3</v>
      </c>
      <c r="H116" s="7" t="n">
        <v>109.2</v>
      </c>
      <c r="J116" s="7" t="n">
        <v>137.8</v>
      </c>
      <c r="L116" s="7" t="n">
        <v>287.3</v>
      </c>
      <c r="N116" s="7" t="n">
        <v>465.4</v>
      </c>
      <c r="P116" s="7" t="n">
        <v>459.4</v>
      </c>
      <c r="R116" s="7" t="n">
        <v>694.6</v>
      </c>
      <c r="T116" s="7" t="n">
        <v>151.2</v>
      </c>
      <c r="V116" s="7" t="n">
        <v>387</v>
      </c>
      <c r="X116" s="7" t="n">
        <v>214.6</v>
      </c>
      <c r="Z116" s="7" t="n">
        <v>204.5</v>
      </c>
      <c r="AB116" s="7" t="n">
        <v>3385.5</v>
      </c>
    </row>
    <row r="117">
      <c r="A117" s="4" t="inlineStr">
        <is>
          <t>水电物业费</t>
        </is>
      </c>
      <c r="D117" s="7" t="n">
        <v>190</v>
      </c>
      <c r="F117" s="7" t="n">
        <v>73.8</v>
      </c>
      <c r="H117" s="7" t="n">
        <v>118.2</v>
      </c>
      <c r="J117" s="7" t="n">
        <v>150.8</v>
      </c>
      <c r="L117" s="7" t="n">
        <v>212.4</v>
      </c>
      <c r="N117" s="7" t="n">
        <v>368.9</v>
      </c>
      <c r="P117" s="7" t="n">
        <v>262.9</v>
      </c>
      <c r="R117" s="7" t="n">
        <v>408.5</v>
      </c>
      <c r="T117" s="7" t="n">
        <v>101.9</v>
      </c>
      <c r="V117" s="7" t="n">
        <v>203</v>
      </c>
      <c r="X117" s="7" t="n">
        <v>145</v>
      </c>
      <c r="Z117" s="7" t="n">
        <v>197</v>
      </c>
      <c r="AB117" s="7" t="n">
        <v>2432.4</v>
      </c>
    </row>
    <row r="118">
      <c r="A118" s="4" t="inlineStr">
        <is>
          <t>员工餐</t>
        </is>
      </c>
      <c r="D118" s="7" t="n">
        <v>229.5</v>
      </c>
      <c r="F118" s="7" t="n">
        <v>123.9</v>
      </c>
      <c r="H118" s="7" t="n">
        <v>293</v>
      </c>
      <c r="J118" s="7" t="n">
        <v>275.3</v>
      </c>
      <c r="L118" s="7" t="n">
        <v>493.5</v>
      </c>
      <c r="N118" s="7" t="n">
        <v>693</v>
      </c>
      <c r="P118" s="7" t="n">
        <v>490.2</v>
      </c>
      <c r="R118" s="7" t="n">
        <v>1198.1</v>
      </c>
      <c r="T118" s="7" t="n">
        <v>320.6</v>
      </c>
      <c r="V118" s="7" t="n">
        <v>383.1</v>
      </c>
      <c r="X118" s="7" t="n">
        <v>460.1</v>
      </c>
      <c r="Z118" s="7" t="n">
        <v>448.6</v>
      </c>
      <c r="AB118" s="7" t="n">
        <v>5408.9</v>
      </c>
    </row>
    <row r="119">
      <c r="A119" s="4" t="inlineStr">
        <is>
          <t>节日礼品</t>
        </is>
      </c>
      <c r="D119" s="7" t="n">
        <v>177.3</v>
      </c>
      <c r="F119" s="7" t="n">
        <v>65.59999999999999</v>
      </c>
      <c r="H119" s="7" t="n">
        <v>143.6</v>
      </c>
      <c r="J119" s="7" t="n">
        <v>141.8</v>
      </c>
      <c r="L119" s="7" t="n">
        <v>190.6</v>
      </c>
      <c r="N119" s="7" t="n">
        <v>319.5</v>
      </c>
      <c r="P119" s="7" t="n">
        <v>361.1</v>
      </c>
      <c r="R119" s="7" t="n">
        <v>409.4</v>
      </c>
      <c r="T119" s="7" t="n">
        <v>114.3</v>
      </c>
      <c r="V119" s="7" t="n">
        <v>273.4</v>
      </c>
      <c r="X119" s="7" t="n">
        <v>217.2</v>
      </c>
      <c r="Z119" s="7" t="n">
        <v>228.9</v>
      </c>
      <c r="AB119" s="7" t="n">
        <v>2642.7</v>
      </c>
    </row>
    <row r="120">
      <c r="A120" s="4" t="inlineStr">
        <is>
          <t>生日礼品</t>
        </is>
      </c>
      <c r="D120" s="7" t="n">
        <v>27.3</v>
      </c>
      <c r="F120" s="7" t="n">
        <v>10.1</v>
      </c>
      <c r="H120" s="7" t="n">
        <v>32</v>
      </c>
      <c r="J120" s="7" t="n">
        <v>38.3</v>
      </c>
      <c r="L120" s="7" t="n">
        <v>54.2</v>
      </c>
      <c r="N120" s="7" t="n">
        <v>58.2</v>
      </c>
      <c r="P120" s="7" t="n">
        <v>78.7</v>
      </c>
      <c r="R120" s="7" t="n">
        <v>87.8</v>
      </c>
      <c r="T120" s="7" t="n">
        <v>20.1</v>
      </c>
      <c r="V120" s="7" t="n">
        <v>70.8</v>
      </c>
      <c r="X120" s="7" t="n">
        <v>33.9</v>
      </c>
      <c r="Z120" s="7" t="n">
        <v>32</v>
      </c>
      <c r="AB120" s="7" t="n">
        <v>543.4</v>
      </c>
    </row>
    <row r="121">
      <c r="A121" s="4" t="inlineStr">
        <is>
          <t>体检</t>
        </is>
      </c>
      <c r="D121" s="7" t="n">
        <v>63.9</v>
      </c>
      <c r="F121" s="7" t="n">
        <v>22.5</v>
      </c>
      <c r="H121" s="7" t="n">
        <v>35.5</v>
      </c>
      <c r="J121" s="7" t="n">
        <v>59.7</v>
      </c>
      <c r="L121" s="7" t="n">
        <v>70.59999999999999</v>
      </c>
      <c r="N121" s="7" t="n">
        <v>140.6</v>
      </c>
      <c r="P121" s="7" t="n">
        <v>152.5</v>
      </c>
      <c r="R121" s="7" t="n">
        <v>200</v>
      </c>
      <c r="T121" s="7" t="n">
        <v>31.9</v>
      </c>
      <c r="V121" s="7" t="n">
        <v>96.09999999999999</v>
      </c>
      <c r="X121" s="7" t="n">
        <v>56.5</v>
      </c>
      <c r="Z121" s="7" t="n">
        <v>86.40000000000001</v>
      </c>
      <c r="AB121" s="7" t="n">
        <v>1016.2</v>
      </c>
    </row>
    <row r="122">
      <c r="A122" s="4" t="inlineStr">
        <is>
          <t>其他福利支出</t>
        </is>
      </c>
      <c r="D122" s="7" t="n">
        <v>93.2</v>
      </c>
      <c r="F122" s="7" t="n">
        <v>42</v>
      </c>
      <c r="H122" s="7" t="n">
        <v>49.2</v>
      </c>
      <c r="J122" s="7" t="n">
        <v>81.40000000000001</v>
      </c>
      <c r="L122" s="7" t="n">
        <v>128.4</v>
      </c>
      <c r="N122" s="7" t="n">
        <v>185.3</v>
      </c>
      <c r="P122" s="7" t="n">
        <v>214.5</v>
      </c>
      <c r="R122" s="7" t="n">
        <v>262.5</v>
      </c>
      <c r="T122" s="7" t="n">
        <v>65.59999999999999</v>
      </c>
      <c r="V122" s="7" t="n">
        <v>111.8</v>
      </c>
      <c r="X122" s="7" t="n">
        <v>92.5</v>
      </c>
      <c r="Z122" s="7" t="n">
        <v>136.5</v>
      </c>
      <c r="AB122" s="7" t="n">
        <v>1462.9</v>
      </c>
    </row>
    <row r="123">
      <c r="A123" s="4" t="inlineStr">
        <is>
          <t>招聘费</t>
        </is>
      </c>
      <c r="D123" s="7" t="n">
        <v>186.3</v>
      </c>
      <c r="F123" s="7" t="n">
        <v>70.7</v>
      </c>
      <c r="H123" s="7" t="n">
        <v>131.3</v>
      </c>
      <c r="J123" s="7" t="n">
        <v>181</v>
      </c>
      <c r="L123" s="7" t="n">
        <v>324.3</v>
      </c>
      <c r="N123" s="7" t="n">
        <v>312.8</v>
      </c>
      <c r="P123" s="7" t="n">
        <v>473.3</v>
      </c>
      <c r="R123" s="7" t="n">
        <v>608</v>
      </c>
      <c r="T123" s="7" t="n">
        <v>170.3</v>
      </c>
      <c r="V123" s="7" t="n">
        <v>406.2</v>
      </c>
      <c r="X123" s="7" t="n">
        <v>226.2</v>
      </c>
      <c r="Z123" s="7" t="n">
        <v>253</v>
      </c>
      <c r="AB123" s="7" t="n">
        <v>3343.4</v>
      </c>
    </row>
    <row r="124">
      <c r="A124" s="4" t="inlineStr">
        <is>
          <t>办公费</t>
        </is>
      </c>
      <c r="D124" s="7" t="n">
        <v>1237.5</v>
      </c>
      <c r="F124" s="7" t="n">
        <v>665.8</v>
      </c>
      <c r="H124" s="7" t="n">
        <v>1139</v>
      </c>
      <c r="J124" s="7" t="n">
        <v>1124.8</v>
      </c>
      <c r="L124" s="7" t="n">
        <v>1657.4</v>
      </c>
      <c r="N124" s="7" t="n">
        <v>2323.5</v>
      </c>
      <c r="P124" s="7" t="n">
        <v>3984</v>
      </c>
      <c r="R124" s="7" t="n">
        <v>4469.7</v>
      </c>
      <c r="T124" s="7" t="n">
        <v>1390</v>
      </c>
      <c r="V124" s="7" t="n">
        <v>1940.1</v>
      </c>
      <c r="X124" s="7" t="n">
        <v>1644.2</v>
      </c>
      <c r="Z124" s="7" t="n">
        <v>1382.1</v>
      </c>
      <c r="AB124" s="7" t="n">
        <v>22958.1</v>
      </c>
    </row>
    <row r="125">
      <c r="A125" s="4" t="inlineStr">
        <is>
          <t>市内交通费</t>
        </is>
      </c>
      <c r="D125" s="7" t="n">
        <v>168.8</v>
      </c>
      <c r="F125" s="7" t="n">
        <v>43.7</v>
      </c>
      <c r="H125" s="7" t="n">
        <v>73.8</v>
      </c>
      <c r="J125" s="7" t="n">
        <v>137</v>
      </c>
      <c r="L125" s="7" t="n">
        <v>140.8</v>
      </c>
      <c r="N125" s="7" t="n">
        <v>286.2</v>
      </c>
      <c r="P125" s="7" t="n">
        <v>303.5</v>
      </c>
      <c r="R125" s="7" t="n">
        <v>521.6</v>
      </c>
      <c r="T125" s="7" t="n">
        <v>85.40000000000001</v>
      </c>
      <c r="V125" s="7" t="n">
        <v>194.2</v>
      </c>
      <c r="X125" s="7" t="n">
        <v>122</v>
      </c>
      <c r="Z125" s="7" t="n">
        <v>200.1</v>
      </c>
      <c r="AB125" s="7" t="n">
        <v>2277.1</v>
      </c>
    </row>
    <row r="126">
      <c r="A126" s="4" t="inlineStr">
        <is>
          <t>差旅费</t>
        </is>
      </c>
      <c r="D126" s="7" t="n">
        <v>3816.6</v>
      </c>
      <c r="F126" s="7" t="n">
        <v>1218.9</v>
      </c>
      <c r="H126" s="7" t="n">
        <v>1788.3</v>
      </c>
      <c r="J126" s="7" t="n">
        <v>1999.5</v>
      </c>
      <c r="L126" s="7" t="n">
        <v>3515</v>
      </c>
      <c r="N126" s="7" t="n">
        <v>6615.1</v>
      </c>
      <c r="P126" s="7" t="n">
        <v>7127.8</v>
      </c>
      <c r="R126" s="7" t="n">
        <v>8547.5</v>
      </c>
      <c r="T126" s="7" t="n">
        <v>2271.4</v>
      </c>
      <c r="V126" s="7" t="n">
        <v>4767</v>
      </c>
      <c r="X126" s="7" t="n">
        <v>4067.7</v>
      </c>
      <c r="Z126" s="7" t="n">
        <v>2765.4</v>
      </c>
      <c r="AB126" s="7" t="n">
        <v>48500.2</v>
      </c>
    </row>
    <row r="127">
      <c r="A127" s="4" t="inlineStr">
        <is>
          <t>交通费</t>
        </is>
      </c>
      <c r="D127" s="7" t="n">
        <v>160.1</v>
      </c>
      <c r="F127" s="7" t="n">
        <v>53.1</v>
      </c>
      <c r="H127" s="7" t="n">
        <v>105.6</v>
      </c>
      <c r="J127" s="7" t="n">
        <v>143.6</v>
      </c>
      <c r="L127" s="7" t="n">
        <v>127.9</v>
      </c>
      <c r="N127" s="7" t="n">
        <v>237</v>
      </c>
      <c r="P127" s="7" t="n">
        <v>255.9</v>
      </c>
      <c r="R127" s="7" t="n">
        <v>346.9</v>
      </c>
      <c r="T127" s="7" t="n">
        <v>106.4</v>
      </c>
      <c r="V127" s="7" t="n">
        <v>236.8</v>
      </c>
      <c r="X127" s="7" t="n">
        <v>165.4</v>
      </c>
      <c r="Z127" s="7" t="n">
        <v>118.2</v>
      </c>
      <c r="AB127" s="7" t="n">
        <v>2056.9</v>
      </c>
    </row>
    <row r="128">
      <c r="A128" s="4" t="inlineStr">
        <is>
          <t>住宿费</t>
        </is>
      </c>
      <c r="D128" s="7" t="n">
        <v>51.3</v>
      </c>
      <c r="F128" s="7" t="n">
        <v>25.7</v>
      </c>
      <c r="H128" s="7" t="n">
        <v>55.7</v>
      </c>
      <c r="J128" s="7" t="n">
        <v>41</v>
      </c>
      <c r="L128" s="7" t="n">
        <v>76.3</v>
      </c>
      <c r="N128" s="7" t="n">
        <v>130.9</v>
      </c>
      <c r="P128" s="7" t="n">
        <v>172.3</v>
      </c>
      <c r="R128" s="7" t="n">
        <v>228.1</v>
      </c>
      <c r="T128" s="7" t="n">
        <v>42</v>
      </c>
      <c r="V128" s="7" t="n">
        <v>130</v>
      </c>
      <c r="X128" s="7" t="n">
        <v>60.3</v>
      </c>
      <c r="Z128" s="7" t="n">
        <v>94.5</v>
      </c>
      <c r="AB128" s="7" t="n">
        <v>1108.1</v>
      </c>
    </row>
    <row r="129">
      <c r="A129" s="4" t="inlineStr">
        <is>
          <t>餐补</t>
        </is>
      </c>
      <c r="D129" s="7" t="n">
        <v>37</v>
      </c>
      <c r="F129" s="7" t="n">
        <v>12.7</v>
      </c>
      <c r="H129" s="7" t="n">
        <v>20.5</v>
      </c>
      <c r="J129" s="7" t="n">
        <v>22.9</v>
      </c>
      <c r="L129" s="7" t="n">
        <v>44.7</v>
      </c>
      <c r="N129" s="7" t="n">
        <v>72.7</v>
      </c>
      <c r="P129" s="7" t="n">
        <v>73.90000000000001</v>
      </c>
      <c r="R129" s="7" t="n">
        <v>95.8</v>
      </c>
      <c r="T129" s="7" t="n">
        <v>29.8</v>
      </c>
      <c r="V129" s="7" t="n">
        <v>51.6</v>
      </c>
      <c r="X129" s="7" t="n">
        <v>37.8</v>
      </c>
      <c r="Z129" s="7" t="n">
        <v>46.6</v>
      </c>
      <c r="AB129" s="7" t="n">
        <v>546</v>
      </c>
    </row>
    <row r="130">
      <c r="A130" s="4" t="inlineStr">
        <is>
          <t>交通补助</t>
        </is>
      </c>
      <c r="D130" s="7" t="n">
        <v>68.8</v>
      </c>
      <c r="F130" s="7" t="n">
        <v>39.6</v>
      </c>
      <c r="H130" s="7" t="n">
        <v>53.7</v>
      </c>
      <c r="J130" s="7" t="n">
        <v>73.8</v>
      </c>
      <c r="L130" s="7" t="n">
        <v>132.9</v>
      </c>
      <c r="N130" s="7" t="n">
        <v>137.2</v>
      </c>
      <c r="P130" s="7" t="n">
        <v>183.4</v>
      </c>
      <c r="R130" s="7" t="n">
        <v>261.2</v>
      </c>
      <c r="T130" s="7" t="n">
        <v>60</v>
      </c>
      <c r="V130" s="7" t="n">
        <v>190.8</v>
      </c>
      <c r="X130" s="7" t="n">
        <v>82</v>
      </c>
      <c r="Z130" s="7" t="n">
        <v>133.7</v>
      </c>
      <c r="AB130" s="7" t="n">
        <v>1417.1</v>
      </c>
    </row>
    <row r="131">
      <c r="A131" s="4" t="inlineStr">
        <is>
          <t>通讯补助</t>
        </is>
      </c>
      <c r="D131" s="7" t="n">
        <v>73.2</v>
      </c>
      <c r="F131" s="7" t="n">
        <v>25.5</v>
      </c>
      <c r="H131" s="7" t="n">
        <v>41.7</v>
      </c>
      <c r="J131" s="7" t="n">
        <v>53.2</v>
      </c>
      <c r="L131" s="7" t="n">
        <v>75.7</v>
      </c>
      <c r="N131" s="7" t="n">
        <v>133.4</v>
      </c>
      <c r="P131" s="7" t="n">
        <v>125</v>
      </c>
      <c r="R131" s="7" t="n">
        <v>205.5</v>
      </c>
      <c r="T131" s="7" t="n">
        <v>58.5</v>
      </c>
      <c r="V131" s="7" t="n">
        <v>102.5</v>
      </c>
      <c r="X131" s="7" t="n">
        <v>60.6</v>
      </c>
      <c r="Z131" s="7" t="n">
        <v>82.8</v>
      </c>
      <c r="AB131" s="7" t="n">
        <v>1037.6</v>
      </c>
    </row>
    <row r="132">
      <c r="A132" s="4" t="inlineStr">
        <is>
          <t>招待费</t>
        </is>
      </c>
      <c r="D132" s="7" t="n">
        <v>2297.2</v>
      </c>
      <c r="F132" s="7" t="n">
        <v>815.3</v>
      </c>
      <c r="H132" s="7" t="n">
        <v>1106.4</v>
      </c>
      <c r="J132" s="7" t="n">
        <v>1619.9</v>
      </c>
      <c r="L132" s="7" t="n">
        <v>2045.8</v>
      </c>
      <c r="N132" s="7" t="n">
        <v>3352.9</v>
      </c>
      <c r="P132" s="7" t="n">
        <v>3426.8</v>
      </c>
      <c r="R132" s="7" t="n">
        <v>6454.9</v>
      </c>
      <c r="T132" s="7" t="n">
        <v>1777.8</v>
      </c>
      <c r="V132" s="7" t="n">
        <v>3125.1</v>
      </c>
      <c r="X132" s="7" t="n">
        <v>1884.9</v>
      </c>
      <c r="Z132" s="7" t="n">
        <v>1733.2</v>
      </c>
      <c r="AB132" s="7" t="n">
        <v>29640.2</v>
      </c>
    </row>
    <row r="133">
      <c r="A133" s="4" t="inlineStr">
        <is>
          <t>通讯费</t>
        </is>
      </c>
      <c r="D133" s="7" t="n">
        <v>53</v>
      </c>
      <c r="F133" s="7" t="n">
        <v>15.5</v>
      </c>
      <c r="H133" s="7" t="n">
        <v>37.5</v>
      </c>
      <c r="J133" s="7" t="n">
        <v>54</v>
      </c>
      <c r="L133" s="7" t="n">
        <v>80.5</v>
      </c>
      <c r="N133" s="7" t="n">
        <v>135</v>
      </c>
      <c r="P133" s="7" t="n">
        <v>97.7</v>
      </c>
      <c r="R133" s="7" t="n">
        <v>207</v>
      </c>
      <c r="T133" s="7" t="n">
        <v>59.7</v>
      </c>
      <c r="V133" s="7" t="n">
        <v>121.9</v>
      </c>
      <c r="X133" s="7" t="n">
        <v>74.8</v>
      </c>
      <c r="Z133" s="7" t="n">
        <v>85</v>
      </c>
      <c r="AB133" s="7" t="n">
        <v>1021.6</v>
      </c>
    </row>
    <row r="134">
      <c r="A134" s="4" t="inlineStr">
        <is>
          <t>网络费</t>
        </is>
      </c>
      <c r="D134" s="7" t="n">
        <v>213.9</v>
      </c>
      <c r="F134" s="7" t="n">
        <v>121</v>
      </c>
      <c r="H134" s="7" t="n">
        <v>197.1</v>
      </c>
      <c r="J134" s="7" t="n">
        <v>285.9</v>
      </c>
      <c r="L134" s="7" t="n">
        <v>352.4</v>
      </c>
      <c r="N134" s="7" t="n">
        <v>577.8</v>
      </c>
      <c r="P134" s="7" t="n">
        <v>774</v>
      </c>
      <c r="R134" s="7" t="n">
        <v>744.6</v>
      </c>
      <c r="T134" s="7" t="n">
        <v>249.1</v>
      </c>
      <c r="V134" s="7" t="n">
        <v>349.6</v>
      </c>
      <c r="X134" s="7" t="n">
        <v>270.8</v>
      </c>
      <c r="Z134" s="7" t="n">
        <v>369.5</v>
      </c>
      <c r="AB134" s="7" t="n">
        <v>4505.7</v>
      </c>
    </row>
    <row r="135">
      <c r="A135" s="4" t="inlineStr">
        <is>
          <t>修理费</t>
        </is>
      </c>
      <c r="D135" s="7" t="n">
        <v>37.4</v>
      </c>
      <c r="F135" s="7" t="n">
        <v>9.300000000000001</v>
      </c>
      <c r="H135" s="7" t="n">
        <v>32</v>
      </c>
      <c r="J135" s="7" t="n">
        <v>29.2</v>
      </c>
      <c r="L135" s="7" t="n">
        <v>34.1</v>
      </c>
      <c r="N135" s="7" t="n">
        <v>77.3</v>
      </c>
      <c r="P135" s="7" t="n">
        <v>61.7</v>
      </c>
      <c r="R135" s="7" t="n">
        <v>77.2</v>
      </c>
      <c r="T135" s="7" t="n">
        <v>20.1</v>
      </c>
      <c r="V135" s="7" t="n">
        <v>74.5</v>
      </c>
      <c r="X135" s="7" t="n">
        <v>50</v>
      </c>
      <c r="Z135" s="7" t="n">
        <v>43.3</v>
      </c>
      <c r="AB135" s="7" t="n">
        <v>546.1</v>
      </c>
    </row>
    <row r="136">
      <c r="A136" s="4" t="inlineStr">
        <is>
          <t>车辆费</t>
        </is>
      </c>
      <c r="D136" s="7" t="n">
        <v>59.4</v>
      </c>
      <c r="F136" s="7" t="n">
        <v>27.2</v>
      </c>
      <c r="H136" s="7" t="n">
        <v>31.9</v>
      </c>
      <c r="J136" s="7" t="n">
        <v>57.7</v>
      </c>
      <c r="L136" s="7" t="n">
        <v>74.7</v>
      </c>
      <c r="N136" s="7" t="n">
        <v>97.8</v>
      </c>
      <c r="P136" s="7" t="n">
        <v>113.8</v>
      </c>
      <c r="R136" s="7" t="n">
        <v>195.3</v>
      </c>
      <c r="T136" s="7" t="n">
        <v>42</v>
      </c>
      <c r="V136" s="7" t="n">
        <v>116</v>
      </c>
      <c r="X136" s="7" t="n">
        <v>95.8</v>
      </c>
      <c r="Z136" s="7" t="n">
        <v>76.09999999999999</v>
      </c>
      <c r="AB136" s="7" t="n">
        <v>987.7</v>
      </c>
    </row>
    <row r="137">
      <c r="A137" s="4" t="inlineStr">
        <is>
          <t>租赁费</t>
        </is>
      </c>
      <c r="D137" s="7" t="n">
        <v>1991.4</v>
      </c>
      <c r="F137" s="7" t="n">
        <v>831.7</v>
      </c>
      <c r="H137" s="7" t="n">
        <v>2127.1</v>
      </c>
      <c r="J137" s="7" t="n">
        <v>1690.6</v>
      </c>
      <c r="L137" s="7" t="n">
        <v>3838.1</v>
      </c>
      <c r="N137" s="7" t="n">
        <v>5540.8</v>
      </c>
      <c r="P137" s="7" t="n">
        <v>3908.7</v>
      </c>
      <c r="R137" s="7" t="n">
        <v>7344.9</v>
      </c>
      <c r="T137" s="7" t="n">
        <v>2008.7</v>
      </c>
      <c r="V137" s="7" t="n">
        <v>3896.8</v>
      </c>
      <c r="X137" s="7" t="n">
        <v>3573.8</v>
      </c>
      <c r="Z137" s="7" t="n">
        <v>3355</v>
      </c>
      <c r="AB137" s="7" t="n">
        <v>40107.6</v>
      </c>
    </row>
    <row r="138">
      <c r="A138" s="4" t="inlineStr">
        <is>
          <t>能源费</t>
        </is>
      </c>
      <c r="D138" s="7" t="n">
        <v>691.6</v>
      </c>
      <c r="F138" s="7" t="n">
        <v>315.3</v>
      </c>
      <c r="H138" s="7" t="n">
        <v>522.8</v>
      </c>
      <c r="J138" s="7" t="n">
        <v>691.1</v>
      </c>
      <c r="L138" s="7" t="n">
        <v>1059.7</v>
      </c>
      <c r="N138" s="7" t="n">
        <v>1565.5</v>
      </c>
      <c r="P138" s="7" t="n">
        <v>1630.1</v>
      </c>
      <c r="R138" s="7" t="n">
        <v>2419</v>
      </c>
      <c r="T138" s="7" t="n">
        <v>521.7</v>
      </c>
      <c r="V138" s="7" t="n">
        <v>1272.5</v>
      </c>
      <c r="X138" s="7" t="n">
        <v>949.2</v>
      </c>
      <c r="Z138" s="7" t="n">
        <v>1022.6</v>
      </c>
      <c r="AB138" s="7" t="n">
        <v>12661.1</v>
      </c>
    </row>
    <row r="139">
      <c r="A139" s="4" t="inlineStr">
        <is>
          <t>水费</t>
        </is>
      </c>
      <c r="D139" s="7" t="n">
        <v>153.3</v>
      </c>
      <c r="F139" s="7" t="n">
        <v>46.9</v>
      </c>
      <c r="H139" s="7" t="n">
        <v>103.6</v>
      </c>
      <c r="J139" s="7" t="n">
        <v>138.5</v>
      </c>
      <c r="L139" s="7" t="n">
        <v>224.6</v>
      </c>
      <c r="N139" s="7" t="n">
        <v>318.4</v>
      </c>
      <c r="P139" s="7" t="n">
        <v>325.8</v>
      </c>
      <c r="R139" s="7" t="n">
        <v>469.4</v>
      </c>
      <c r="T139" s="7" t="n">
        <v>84.8</v>
      </c>
      <c r="V139" s="7" t="n">
        <v>211.2</v>
      </c>
      <c r="X139" s="7" t="n">
        <v>135.8</v>
      </c>
      <c r="Z139" s="7" t="n">
        <v>160.3</v>
      </c>
      <c r="AB139" s="7" t="n">
        <v>2372.6</v>
      </c>
    </row>
    <row r="140">
      <c r="A140" s="4" t="inlineStr">
        <is>
          <t>电费</t>
        </is>
      </c>
      <c r="D140" s="7" t="n">
        <v>242</v>
      </c>
      <c r="F140" s="7" t="n">
        <v>142.2</v>
      </c>
      <c r="H140" s="7" t="n">
        <v>184.7</v>
      </c>
      <c r="J140" s="7" t="n">
        <v>292.8</v>
      </c>
      <c r="L140" s="7" t="n">
        <v>489</v>
      </c>
      <c r="N140" s="7" t="n">
        <v>496</v>
      </c>
      <c r="P140" s="7" t="n">
        <v>560.4</v>
      </c>
      <c r="R140" s="7" t="n">
        <v>1020.3</v>
      </c>
      <c r="T140" s="7" t="n">
        <v>189.2</v>
      </c>
      <c r="V140" s="7" t="n">
        <v>526.7</v>
      </c>
      <c r="X140" s="7" t="n">
        <v>380.8</v>
      </c>
      <c r="Z140" s="7" t="n">
        <v>472</v>
      </c>
      <c r="AB140" s="7" t="n">
        <v>4996.1</v>
      </c>
    </row>
    <row r="141">
      <c r="A141" s="4" t="inlineStr">
        <is>
          <t>燃气费</t>
        </is>
      </c>
      <c r="D141" s="7" t="n">
        <v>93</v>
      </c>
      <c r="F141" s="7" t="n">
        <v>45.8</v>
      </c>
      <c r="H141" s="7" t="n">
        <v>93.40000000000001</v>
      </c>
      <c r="J141" s="7" t="n">
        <v>71.2</v>
      </c>
      <c r="L141" s="7" t="n">
        <v>148.6</v>
      </c>
      <c r="N141" s="7" t="n">
        <v>246.1</v>
      </c>
      <c r="P141" s="7" t="n">
        <v>281.3</v>
      </c>
      <c r="R141" s="7" t="n">
        <v>438.4</v>
      </c>
      <c r="T141" s="7" t="n">
        <v>64.2</v>
      </c>
      <c r="V141" s="7" t="n">
        <v>236.6</v>
      </c>
      <c r="X141" s="7" t="n">
        <v>135.7</v>
      </c>
      <c r="Z141" s="7" t="n">
        <v>124.1</v>
      </c>
      <c r="AB141" s="7" t="n">
        <v>1978.4</v>
      </c>
    </row>
    <row r="142">
      <c r="A142" s="4" t="inlineStr">
        <is>
          <t>蒸汽费</t>
        </is>
      </c>
      <c r="D142" s="7" t="n">
        <v>203.3</v>
      </c>
      <c r="F142" s="7" t="n">
        <v>80.40000000000001</v>
      </c>
      <c r="H142" s="7" t="n">
        <v>141.1</v>
      </c>
      <c r="J142" s="7" t="n">
        <v>188.6</v>
      </c>
      <c r="L142" s="7" t="n">
        <v>197.5</v>
      </c>
      <c r="N142" s="7" t="n">
        <v>505</v>
      </c>
      <c r="P142" s="7" t="n">
        <v>462.6</v>
      </c>
      <c r="R142" s="7" t="n">
        <v>490.9</v>
      </c>
      <c r="T142" s="7" t="n">
        <v>183.5</v>
      </c>
      <c r="V142" s="7" t="n">
        <v>298</v>
      </c>
      <c r="X142" s="7" t="n">
        <v>296.9</v>
      </c>
      <c r="Z142" s="7" t="n">
        <v>266.2</v>
      </c>
      <c r="AB142" s="7" t="n">
        <v>3314</v>
      </c>
    </row>
    <row r="143">
      <c r="A143" s="4" t="inlineStr">
        <is>
          <t>物业费</t>
        </is>
      </c>
      <c r="D143" s="7" t="n">
        <v>148</v>
      </c>
      <c r="F143" s="7" t="n">
        <v>50.7</v>
      </c>
      <c r="H143" s="7" t="n">
        <v>107.3</v>
      </c>
      <c r="J143" s="7" t="n">
        <v>129.3</v>
      </c>
      <c r="L143" s="7" t="n">
        <v>154.4</v>
      </c>
      <c r="N143" s="7" t="n">
        <v>375</v>
      </c>
      <c r="P143" s="7" t="n">
        <v>308.9</v>
      </c>
      <c r="R143" s="7" t="n">
        <v>561.8</v>
      </c>
      <c r="T143" s="7" t="n">
        <v>131</v>
      </c>
      <c r="V143" s="7" t="n">
        <v>255</v>
      </c>
      <c r="X143" s="7" t="n">
        <v>161.3</v>
      </c>
      <c r="Z143" s="7" t="n">
        <v>195.3</v>
      </c>
      <c r="AB143" s="7" t="n">
        <v>2578</v>
      </c>
    </row>
    <row r="144">
      <c r="A144" s="4" t="inlineStr">
        <is>
          <t>劳动保护费</t>
        </is>
      </c>
      <c r="D144" s="7" t="n">
        <v>64.5</v>
      </c>
      <c r="F144" s="7" t="n">
        <v>26.5</v>
      </c>
      <c r="H144" s="7" t="n">
        <v>50</v>
      </c>
      <c r="J144" s="7" t="n">
        <v>38.9</v>
      </c>
      <c r="L144" s="7" t="n">
        <v>71.8</v>
      </c>
      <c r="N144" s="7" t="n">
        <v>102.8</v>
      </c>
      <c r="P144" s="7" t="n">
        <v>157.6</v>
      </c>
      <c r="R144" s="7" t="n">
        <v>166.1</v>
      </c>
      <c r="T144" s="7" t="n">
        <v>42.8</v>
      </c>
      <c r="V144" s="7" t="n">
        <v>76.2</v>
      </c>
      <c r="X144" s="7" t="n">
        <v>85.5</v>
      </c>
      <c r="Z144" s="7" t="n">
        <v>71</v>
      </c>
      <c r="AB144" s="7" t="n">
        <v>953.7</v>
      </c>
    </row>
    <row r="145">
      <c r="A145" s="4" t="inlineStr">
        <is>
          <t>顾问费</t>
        </is>
      </c>
      <c r="D145" s="7" t="n">
        <v>27.6</v>
      </c>
      <c r="F145" s="7" t="n">
        <v>8.9</v>
      </c>
      <c r="H145" s="7" t="n">
        <v>23.7</v>
      </c>
      <c r="J145" s="7" t="n">
        <v>27.5</v>
      </c>
      <c r="L145" s="7" t="n">
        <v>50.2</v>
      </c>
      <c r="N145" s="7" t="n">
        <v>47</v>
      </c>
      <c r="P145" s="7" t="n">
        <v>58.6</v>
      </c>
      <c r="R145" s="7" t="n">
        <v>99.2</v>
      </c>
      <c r="T145" s="7" t="n">
        <v>26.8</v>
      </c>
      <c r="V145" s="7" t="n">
        <v>54</v>
      </c>
      <c r="X145" s="7" t="n">
        <v>26.1</v>
      </c>
      <c r="Z145" s="7" t="n">
        <v>34.7</v>
      </c>
      <c r="AB145" s="7" t="n">
        <v>484.3</v>
      </c>
    </row>
    <row r="146">
      <c r="A146" s="4" t="inlineStr">
        <is>
          <t>快递费</t>
        </is>
      </c>
      <c r="D146" s="7" t="n">
        <v>76.3</v>
      </c>
      <c r="F146" s="7" t="n">
        <v>41.6</v>
      </c>
      <c r="H146" s="7" t="n">
        <v>50</v>
      </c>
      <c r="J146" s="7" t="n">
        <v>70.8</v>
      </c>
      <c r="L146" s="7" t="n">
        <v>126.6</v>
      </c>
      <c r="N146" s="7" t="n">
        <v>216.2</v>
      </c>
      <c r="P146" s="7" t="n">
        <v>196.1</v>
      </c>
      <c r="R146" s="7" t="n">
        <v>311.6</v>
      </c>
      <c r="T146" s="7" t="n">
        <v>99.8</v>
      </c>
      <c r="V146" s="7" t="n">
        <v>117.1</v>
      </c>
      <c r="X146" s="7" t="n">
        <v>112.6</v>
      </c>
      <c r="Z146" s="7" t="n">
        <v>121.7</v>
      </c>
      <c r="AB146" s="7" t="n">
        <v>1540.4</v>
      </c>
    </row>
    <row r="147">
      <c r="A147" s="4" t="inlineStr">
        <is>
          <t>诉讼费</t>
        </is>
      </c>
      <c r="D147" s="7" t="n">
        <v>164.7</v>
      </c>
      <c r="F147" s="7" t="n">
        <v>57.4</v>
      </c>
      <c r="H147" s="7" t="n">
        <v>120.4</v>
      </c>
      <c r="J147" s="7" t="n">
        <v>118.3</v>
      </c>
      <c r="L147" s="7" t="n">
        <v>231.5</v>
      </c>
      <c r="N147" s="7" t="n">
        <v>258.8</v>
      </c>
      <c r="P147" s="7" t="n">
        <v>306.8</v>
      </c>
      <c r="R147" s="7" t="n">
        <v>514.7</v>
      </c>
      <c r="T147" s="7" t="n">
        <v>130.4</v>
      </c>
      <c r="V147" s="7" t="n">
        <v>243.5</v>
      </c>
      <c r="X147" s="7" t="n">
        <v>141.7</v>
      </c>
      <c r="Z147" s="7" t="n">
        <v>185.7</v>
      </c>
      <c r="AB147" s="7" t="n">
        <v>2473.9</v>
      </c>
    </row>
    <row r="148">
      <c r="A148" s="4" t="inlineStr">
        <is>
          <t>会员费</t>
        </is>
      </c>
      <c r="D148" s="7" t="n">
        <v>310.7</v>
      </c>
      <c r="F148" s="7" t="n">
        <v>111.3</v>
      </c>
      <c r="H148" s="7" t="n">
        <v>144.9</v>
      </c>
      <c r="J148" s="7" t="n">
        <v>216.7</v>
      </c>
      <c r="L148" s="7" t="n">
        <v>302.4</v>
      </c>
      <c r="N148" s="7" t="n">
        <v>490.1</v>
      </c>
      <c r="P148" s="7" t="n">
        <v>706.5</v>
      </c>
      <c r="R148" s="7" t="n">
        <v>721.7</v>
      </c>
      <c r="T148" s="7" t="n">
        <v>194.6</v>
      </c>
      <c r="V148" s="7" t="n">
        <v>448.6</v>
      </c>
      <c r="X148" s="7" t="n">
        <v>373.5</v>
      </c>
      <c r="Z148" s="7" t="n">
        <v>233.9</v>
      </c>
      <c r="AB148" s="7" t="n">
        <v>4254.9</v>
      </c>
    </row>
    <row r="149">
      <c r="A149" s="4" t="inlineStr">
        <is>
          <t>广告宣传费</t>
        </is>
      </c>
      <c r="D149" s="7" t="n">
        <v>1391.8</v>
      </c>
      <c r="F149" s="7" t="n">
        <v>611.9</v>
      </c>
      <c r="H149" s="7" t="n">
        <v>1097.7</v>
      </c>
      <c r="J149" s="7" t="n">
        <v>1085.9</v>
      </c>
      <c r="L149" s="7" t="n">
        <v>1755.5</v>
      </c>
      <c r="N149" s="7" t="n">
        <v>3367.5</v>
      </c>
      <c r="P149" s="7" t="n">
        <v>2544.1</v>
      </c>
      <c r="R149" s="7" t="n">
        <v>4921.5</v>
      </c>
      <c r="T149" s="7" t="n">
        <v>1398.1</v>
      </c>
      <c r="V149" s="7" t="n">
        <v>2986.8</v>
      </c>
      <c r="X149" s="7" t="n">
        <v>1609.7</v>
      </c>
      <c r="Z149" s="7" t="n">
        <v>1400.2</v>
      </c>
      <c r="AB149" s="7" t="n">
        <v>24170.7</v>
      </c>
    </row>
    <row r="150">
      <c r="A150" s="4" t="inlineStr">
        <is>
          <t>会务费</t>
        </is>
      </c>
      <c r="D150" s="7" t="n">
        <v>353.8</v>
      </c>
      <c r="F150" s="7" t="n">
        <v>76.5</v>
      </c>
      <c r="H150" s="7" t="n">
        <v>154</v>
      </c>
      <c r="J150" s="7" t="n">
        <v>225.2</v>
      </c>
      <c r="L150" s="7" t="n">
        <v>338.1</v>
      </c>
      <c r="N150" s="7" t="n">
        <v>457.4</v>
      </c>
      <c r="P150" s="7" t="n">
        <v>616.4</v>
      </c>
      <c r="R150" s="7" t="n">
        <v>611</v>
      </c>
      <c r="T150" s="7" t="n">
        <v>259.7</v>
      </c>
      <c r="V150" s="7" t="n">
        <v>359.5</v>
      </c>
      <c r="X150" s="7" t="n">
        <v>335</v>
      </c>
      <c r="Z150" s="7" t="n">
        <v>271.4</v>
      </c>
      <c r="AB150" s="7" t="n">
        <v>4058</v>
      </c>
    </row>
    <row r="151">
      <c r="A151" s="4" t="inlineStr">
        <is>
          <t>装修费</t>
        </is>
      </c>
      <c r="D151" s="7" t="n">
        <v>198</v>
      </c>
      <c r="F151" s="7" t="n">
        <v>41.8</v>
      </c>
      <c r="H151" s="7" t="n">
        <v>150</v>
      </c>
      <c r="J151" s="7" t="n">
        <v>150</v>
      </c>
      <c r="L151" s="7" t="n">
        <v>182.6</v>
      </c>
      <c r="N151" s="7" t="n">
        <v>358.1</v>
      </c>
      <c r="P151" s="7" t="n">
        <v>262</v>
      </c>
      <c r="R151" s="7" t="n">
        <v>510.7</v>
      </c>
      <c r="T151" s="7" t="n">
        <v>147.7</v>
      </c>
      <c r="V151" s="7" t="n">
        <v>283.9</v>
      </c>
      <c r="X151" s="7" t="n">
        <v>172</v>
      </c>
      <c r="Z151" s="7" t="n">
        <v>209.6</v>
      </c>
      <c r="AB151" s="7" t="n">
        <v>2666.4</v>
      </c>
    </row>
    <row r="152">
      <c r="A152" s="4" t="inlineStr">
        <is>
          <t>推广费</t>
        </is>
      </c>
      <c r="D152" s="7" t="n">
        <v>186.3</v>
      </c>
      <c r="F152" s="7" t="n">
        <v>62.3</v>
      </c>
      <c r="H152" s="7" t="n">
        <v>85.09999999999999</v>
      </c>
      <c r="J152" s="7" t="n">
        <v>118.9</v>
      </c>
      <c r="L152" s="7" t="n">
        <v>263.7</v>
      </c>
      <c r="N152" s="7" t="n">
        <v>249.8</v>
      </c>
      <c r="P152" s="7" t="n">
        <v>260</v>
      </c>
      <c r="R152" s="7" t="n">
        <v>599.9</v>
      </c>
      <c r="T152" s="7" t="n">
        <v>143.5</v>
      </c>
      <c r="V152" s="7" t="n">
        <v>315.2</v>
      </c>
      <c r="X152" s="7" t="n">
        <v>135.5</v>
      </c>
      <c r="Z152" s="7" t="n">
        <v>149.5</v>
      </c>
      <c r="AB152" s="7" t="n">
        <v>2569.7</v>
      </c>
    </row>
    <row r="153">
      <c r="A153" s="4" t="inlineStr">
        <is>
          <t>展会费</t>
        </is>
      </c>
      <c r="D153" s="7" t="n">
        <v>252.1</v>
      </c>
      <c r="F153" s="7" t="n">
        <v>90.09999999999999</v>
      </c>
      <c r="H153" s="7" t="n">
        <v>150.6</v>
      </c>
      <c r="J153" s="7" t="n">
        <v>198.2</v>
      </c>
      <c r="L153" s="7" t="n">
        <v>358.1</v>
      </c>
      <c r="N153" s="7" t="n">
        <v>450.2</v>
      </c>
      <c r="P153" s="7" t="n">
        <v>513.6</v>
      </c>
      <c r="R153" s="7" t="n">
        <v>479.1</v>
      </c>
      <c r="T153" s="7" t="n">
        <v>224.8</v>
      </c>
      <c r="V153" s="7" t="n">
        <v>331.1</v>
      </c>
      <c r="X153" s="7" t="n">
        <v>233.7</v>
      </c>
      <c r="Z153" s="7" t="n">
        <v>268.2</v>
      </c>
      <c r="AB153" s="7" t="n">
        <v>3549.8</v>
      </c>
    </row>
    <row r="154">
      <c r="A154" s="4" t="inlineStr">
        <is>
          <t>设计费</t>
        </is>
      </c>
      <c r="D154" s="7" t="n">
        <v>204.9</v>
      </c>
      <c r="F154" s="7" t="n">
        <v>84.8</v>
      </c>
      <c r="H154" s="7" t="n">
        <v>184.9</v>
      </c>
      <c r="J154" s="7" t="n">
        <v>255.8</v>
      </c>
      <c r="L154" s="7" t="n">
        <v>428.3</v>
      </c>
      <c r="N154" s="7" t="n">
        <v>460.9</v>
      </c>
      <c r="P154" s="7" t="n">
        <v>555.6</v>
      </c>
      <c r="R154" s="7" t="n">
        <v>762.6</v>
      </c>
      <c r="T154" s="7" t="n">
        <v>195.7</v>
      </c>
      <c r="V154" s="7" t="n">
        <v>462.9</v>
      </c>
      <c r="X154" s="7" t="n">
        <v>214.4</v>
      </c>
      <c r="Z154" s="7" t="n">
        <v>225.6</v>
      </c>
      <c r="AB154" s="7" t="n">
        <v>4036.4</v>
      </c>
    </row>
    <row r="155">
      <c r="A155" s="4" t="inlineStr">
        <is>
          <t>折旧费</t>
        </is>
      </c>
      <c r="D155" s="7" t="n">
        <v>1965.2</v>
      </c>
      <c r="F155" s="7" t="n">
        <v>663.9</v>
      </c>
      <c r="H155" s="7" t="n">
        <v>1557.4</v>
      </c>
      <c r="J155" s="7" t="n">
        <v>1215</v>
      </c>
      <c r="L155" s="7" t="n">
        <v>2020.1</v>
      </c>
      <c r="N155" s="7" t="n">
        <v>4393.2</v>
      </c>
      <c r="P155" s="7" t="n">
        <v>4056.3</v>
      </c>
      <c r="R155" s="7" t="n">
        <v>7464.8</v>
      </c>
      <c r="T155" s="7" t="n">
        <v>1218.5</v>
      </c>
      <c r="V155" s="7" t="n">
        <v>2725</v>
      </c>
      <c r="X155" s="7" t="n">
        <v>2997.4</v>
      </c>
      <c r="Z155" s="7" t="n">
        <v>2051.4</v>
      </c>
      <c r="AB155" s="7" t="n">
        <v>32328.2</v>
      </c>
    </row>
    <row r="156">
      <c r="A156" s="4" t="inlineStr">
        <is>
          <t>认证费</t>
        </is>
      </c>
      <c r="D156" s="7" t="n">
        <v>247.3</v>
      </c>
      <c r="F156" s="7" t="n">
        <v>117.5</v>
      </c>
      <c r="H156" s="7" t="n">
        <v>165.4</v>
      </c>
      <c r="J156" s="7" t="n">
        <v>265.1</v>
      </c>
      <c r="L156" s="7" t="n">
        <v>459.4</v>
      </c>
      <c r="N156" s="7" t="n">
        <v>772.3</v>
      </c>
      <c r="P156" s="7" t="n">
        <v>697.2</v>
      </c>
      <c r="R156" s="7" t="n">
        <v>1209.1</v>
      </c>
      <c r="T156" s="7" t="n">
        <v>297.9</v>
      </c>
      <c r="V156" s="7" t="n">
        <v>477.2</v>
      </c>
      <c r="X156" s="7" t="n">
        <v>335</v>
      </c>
      <c r="Z156" s="7" t="n">
        <v>267.2</v>
      </c>
      <c r="AB156" s="7" t="n">
        <v>5310.6</v>
      </c>
    </row>
    <row r="157">
      <c r="A157" s="4" t="inlineStr">
        <is>
          <t>样品费</t>
        </is>
      </c>
      <c r="D157" s="7" t="n">
        <v>784.5</v>
      </c>
      <c r="F157" s="7" t="n">
        <v>408.3</v>
      </c>
      <c r="H157" s="7" t="n">
        <v>552.4</v>
      </c>
      <c r="J157" s="7" t="n">
        <v>1050</v>
      </c>
      <c r="L157" s="7" t="n">
        <v>1403.4</v>
      </c>
      <c r="N157" s="7" t="n">
        <v>1836.9</v>
      </c>
      <c r="P157" s="7" t="n">
        <v>2091.7</v>
      </c>
      <c r="R157" s="7" t="n">
        <v>2691.6</v>
      </c>
      <c r="T157" s="7" t="n">
        <v>752.2</v>
      </c>
      <c r="V157" s="7" t="n">
        <v>1311.2</v>
      </c>
      <c r="X157" s="7" t="n">
        <v>1513.1</v>
      </c>
      <c r="Z157" s="7" t="n">
        <v>940.4</v>
      </c>
      <c r="AB157" s="7" t="n">
        <v>15335.7</v>
      </c>
    </row>
    <row r="158">
      <c r="A158" s="4" t="inlineStr">
        <is>
          <t>劳务费</t>
        </is>
      </c>
      <c r="D158" s="7" t="n">
        <v>179.4</v>
      </c>
      <c r="F158" s="7" t="n">
        <v>57.9</v>
      </c>
      <c r="H158" s="7" t="n">
        <v>154.8</v>
      </c>
      <c r="J158" s="7" t="n">
        <v>184.4</v>
      </c>
      <c r="L158" s="7" t="n">
        <v>253.1</v>
      </c>
      <c r="N158" s="7" t="n">
        <v>273.7</v>
      </c>
      <c r="P158" s="7" t="n">
        <v>423</v>
      </c>
      <c r="R158" s="7" t="n">
        <v>597.2</v>
      </c>
      <c r="T158" s="7" t="n">
        <v>146.7</v>
      </c>
      <c r="V158" s="7" t="n">
        <v>332.4</v>
      </c>
      <c r="X158" s="7" t="n">
        <v>265.6</v>
      </c>
      <c r="Z158" s="7" t="n">
        <v>208</v>
      </c>
      <c r="AB158" s="7" t="n">
        <v>3076.2</v>
      </c>
    </row>
    <row r="159">
      <c r="A159" s="4" t="inlineStr">
        <is>
          <t>销售佣金</t>
        </is>
      </c>
      <c r="D159" s="7" t="n">
        <v>207.5</v>
      </c>
      <c r="F159" s="7" t="n">
        <v>61.4</v>
      </c>
      <c r="H159" s="7" t="n">
        <v>106.5</v>
      </c>
      <c r="J159" s="7" t="n">
        <v>197.1</v>
      </c>
      <c r="L159" s="7" t="n">
        <v>216.2</v>
      </c>
      <c r="N159" s="7" t="n">
        <v>312.4</v>
      </c>
      <c r="P159" s="7" t="n">
        <v>292.1</v>
      </c>
      <c r="R159" s="7" t="n">
        <v>710.3</v>
      </c>
      <c r="T159" s="7" t="n">
        <v>197.6</v>
      </c>
      <c r="V159" s="7" t="n">
        <v>277.6</v>
      </c>
      <c r="X159" s="7" t="n">
        <v>266.7</v>
      </c>
      <c r="Z159" s="7" t="n">
        <v>189.3</v>
      </c>
      <c r="AB159" s="7" t="n">
        <v>3034.7</v>
      </c>
    </row>
    <row r="160">
      <c r="A160" s="4" t="inlineStr">
        <is>
          <t>检测费</t>
        </is>
      </c>
      <c r="D160" s="7" t="n">
        <v>65.2</v>
      </c>
      <c r="F160" s="7" t="n">
        <v>23.6</v>
      </c>
      <c r="H160" s="7" t="n">
        <v>28.7</v>
      </c>
      <c r="J160" s="7" t="n">
        <v>52.6</v>
      </c>
      <c r="L160" s="7" t="n">
        <v>67.2</v>
      </c>
      <c r="N160" s="7" t="n">
        <v>114</v>
      </c>
      <c r="P160" s="7" t="n">
        <v>146.5</v>
      </c>
      <c r="R160" s="7" t="n">
        <v>207.6</v>
      </c>
      <c r="T160" s="7" t="n">
        <v>31.8</v>
      </c>
      <c r="V160" s="7" t="n">
        <v>100.1</v>
      </c>
      <c r="X160" s="7" t="n">
        <v>64.2</v>
      </c>
      <c r="Z160" s="7" t="n">
        <v>79.5</v>
      </c>
      <c r="AB160" s="7" t="n">
        <v>981</v>
      </c>
    </row>
    <row r="161">
      <c r="A161" s="4" t="inlineStr">
        <is>
          <t>质量赔偿</t>
        </is>
      </c>
      <c r="D161" s="7" t="n">
        <v>226.5</v>
      </c>
      <c r="F161" s="7" t="n">
        <v>71.8</v>
      </c>
      <c r="H161" s="7" t="n">
        <v>119.6</v>
      </c>
      <c r="J161" s="7" t="n">
        <v>205.7</v>
      </c>
      <c r="L161" s="7" t="n">
        <v>282.1</v>
      </c>
      <c r="N161" s="7" t="n">
        <v>411.8</v>
      </c>
      <c r="P161" s="7" t="n">
        <v>377.2</v>
      </c>
      <c r="R161" s="7" t="n">
        <v>576.7</v>
      </c>
      <c r="T161" s="7" t="n">
        <v>147.5</v>
      </c>
      <c r="V161" s="7" t="n">
        <v>376.8</v>
      </c>
      <c r="X161" s="7" t="n">
        <v>259.5</v>
      </c>
      <c r="Z161" s="7" t="n">
        <v>195.9</v>
      </c>
      <c r="AB161" s="7" t="n">
        <v>3251.1</v>
      </c>
    </row>
    <row r="162">
      <c r="A162" s="4" t="inlineStr">
        <is>
          <t>保险费</t>
        </is>
      </c>
      <c r="D162" s="7" t="n">
        <v>169.1</v>
      </c>
      <c r="F162" s="7" t="n">
        <v>74.3</v>
      </c>
      <c r="H162" s="7" t="n">
        <v>124.8</v>
      </c>
      <c r="J162" s="7" t="n">
        <v>182.1</v>
      </c>
      <c r="L162" s="7" t="n">
        <v>223.7</v>
      </c>
      <c r="N162" s="7" t="n">
        <v>345.4</v>
      </c>
      <c r="P162" s="7" t="n">
        <v>522.7</v>
      </c>
      <c r="R162" s="7" t="n">
        <v>520</v>
      </c>
      <c r="T162" s="7" t="n">
        <v>139</v>
      </c>
      <c r="V162" s="7" t="n">
        <v>233.6</v>
      </c>
      <c r="X162" s="7" t="n">
        <v>169.8</v>
      </c>
      <c r="Z162" s="7" t="n">
        <v>201</v>
      </c>
      <c r="AB162" s="7" t="n">
        <v>2905.5</v>
      </c>
    </row>
    <row r="163">
      <c r="A163" s="4" t="inlineStr">
        <is>
          <t>清洁费</t>
        </is>
      </c>
      <c r="D163" s="7" t="n">
        <v>20.7</v>
      </c>
      <c r="F163" s="7" t="n">
        <v>4.4</v>
      </c>
      <c r="H163" s="7" t="n">
        <v>10.9</v>
      </c>
      <c r="J163" s="7" t="n">
        <v>10.9</v>
      </c>
      <c r="L163" s="7" t="n">
        <v>21.8</v>
      </c>
      <c r="N163" s="7" t="n">
        <v>28.9</v>
      </c>
      <c r="P163" s="7" t="n">
        <v>35.7</v>
      </c>
      <c r="R163" s="7" t="n">
        <v>60.1</v>
      </c>
      <c r="T163" s="7" t="n">
        <v>14.6</v>
      </c>
      <c r="V163" s="7" t="n">
        <v>25.4</v>
      </c>
      <c r="X163" s="7" t="n">
        <v>16.1</v>
      </c>
      <c r="Z163" s="7" t="n">
        <v>19.2</v>
      </c>
      <c r="AB163" s="7" t="n">
        <v>268.7</v>
      </c>
    </row>
    <row r="164">
      <c r="A164" s="4" t="inlineStr">
        <is>
          <t>低值易耗品</t>
        </is>
      </c>
      <c r="D164" s="7" t="n">
        <v>198.6</v>
      </c>
      <c r="F164" s="7" t="n">
        <v>69.09999999999999</v>
      </c>
      <c r="H164" s="7" t="n">
        <v>95.40000000000001</v>
      </c>
      <c r="J164" s="7" t="n">
        <v>171.5</v>
      </c>
      <c r="L164" s="7" t="n">
        <v>222.8</v>
      </c>
      <c r="N164" s="7" t="n">
        <v>302.7</v>
      </c>
      <c r="P164" s="7" t="n">
        <v>323.6</v>
      </c>
      <c r="R164" s="7" t="n">
        <v>621.2</v>
      </c>
      <c r="T164" s="7" t="n">
        <v>142.4</v>
      </c>
      <c r="V164" s="7" t="n">
        <v>231</v>
      </c>
      <c r="X164" s="7" t="n">
        <v>181.5</v>
      </c>
      <c r="Z164" s="7" t="n">
        <v>250.3</v>
      </c>
      <c r="AB164" s="7" t="n">
        <v>2810.1</v>
      </c>
    </row>
    <row r="165">
      <c r="A165" s="4" t="inlineStr">
        <is>
          <t>物料消耗</t>
        </is>
      </c>
      <c r="D165" s="7" t="n">
        <v>59.9</v>
      </c>
      <c r="F165" s="7" t="n">
        <v>23.1</v>
      </c>
      <c r="H165" s="7" t="n">
        <v>48.8</v>
      </c>
      <c r="J165" s="7" t="n">
        <v>46.8</v>
      </c>
      <c r="L165" s="7" t="n">
        <v>67.90000000000001</v>
      </c>
      <c r="N165" s="7" t="n">
        <v>105.7</v>
      </c>
      <c r="P165" s="7" t="n">
        <v>105.9</v>
      </c>
      <c r="R165" s="7" t="n">
        <v>236.4</v>
      </c>
      <c r="T165" s="7" t="n">
        <v>58.4</v>
      </c>
      <c r="V165" s="7" t="n">
        <v>91.3</v>
      </c>
      <c r="X165" s="7" t="n">
        <v>86.7</v>
      </c>
      <c r="Z165" s="7" t="n">
        <v>96.90000000000001</v>
      </c>
      <c r="AB165" s="7" t="n">
        <v>1027.8</v>
      </c>
    </row>
    <row r="166">
      <c r="A166" s="4" t="inlineStr">
        <is>
          <t>盘盈盘亏</t>
        </is>
      </c>
      <c r="D166" s="7" t="n">
        <v>307.2</v>
      </c>
      <c r="F166" s="7" t="n">
        <v>81.3</v>
      </c>
      <c r="H166" s="7" t="n">
        <v>227</v>
      </c>
      <c r="J166" s="7" t="n">
        <v>276.5</v>
      </c>
      <c r="L166" s="7" t="n">
        <v>340.4</v>
      </c>
      <c r="N166" s="7" t="n">
        <v>766.3</v>
      </c>
      <c r="P166" s="7" t="n">
        <v>505</v>
      </c>
      <c r="R166" s="7" t="n">
        <v>1144.8</v>
      </c>
      <c r="T166" s="7" t="n">
        <v>250.1</v>
      </c>
      <c r="V166" s="7" t="n">
        <v>514.5</v>
      </c>
      <c r="X166" s="7" t="n">
        <v>271.7</v>
      </c>
      <c r="Z166" s="7" t="n">
        <v>447.3</v>
      </c>
      <c r="AB166" s="7" t="n">
        <v>5132.1</v>
      </c>
    </row>
    <row r="167">
      <c r="A167" s="4" t="inlineStr">
        <is>
          <t>平台服务费</t>
        </is>
      </c>
      <c r="D167" s="7" t="n">
        <v>126.7</v>
      </c>
      <c r="F167" s="7" t="n">
        <v>36.8</v>
      </c>
      <c r="H167" s="7" t="n">
        <v>82.7</v>
      </c>
      <c r="J167" s="7" t="n">
        <v>116.2</v>
      </c>
      <c r="L167" s="7" t="n">
        <v>165.7</v>
      </c>
      <c r="N167" s="7" t="n">
        <v>244</v>
      </c>
      <c r="P167" s="7" t="n">
        <v>331.4</v>
      </c>
      <c r="R167" s="7" t="n">
        <v>541.9</v>
      </c>
      <c r="T167" s="7" t="n">
        <v>127.7</v>
      </c>
      <c r="V167" s="7" t="n">
        <v>229.2</v>
      </c>
      <c r="X167" s="7" t="n">
        <v>202.1</v>
      </c>
      <c r="Z167" s="7" t="n">
        <v>167</v>
      </c>
      <c r="AB167" s="7" t="n">
        <v>2371.4</v>
      </c>
    </row>
    <row r="168">
      <c r="A168" s="4" t="inlineStr">
        <is>
          <t>无形资产摊销</t>
        </is>
      </c>
      <c r="D168" s="7" t="n">
        <v>34.6</v>
      </c>
      <c r="F168" s="7" t="n">
        <v>8.9</v>
      </c>
      <c r="H168" s="7" t="n">
        <v>22.8</v>
      </c>
      <c r="J168" s="7" t="n">
        <v>27.7</v>
      </c>
      <c r="L168" s="7" t="n">
        <v>38.3</v>
      </c>
      <c r="N168" s="7" t="n">
        <v>77.7</v>
      </c>
      <c r="P168" s="7" t="n">
        <v>70.40000000000001</v>
      </c>
      <c r="R168" s="7" t="n">
        <v>115</v>
      </c>
      <c r="T168" s="7" t="n">
        <v>25.3</v>
      </c>
      <c r="V168" s="7" t="n">
        <v>50.2</v>
      </c>
      <c r="X168" s="7" t="n">
        <v>31.8</v>
      </c>
      <c r="Z168" s="7" t="n">
        <v>45.9</v>
      </c>
      <c r="AB168" s="7" t="n">
        <v>548.6</v>
      </c>
    </row>
    <row r="169">
      <c r="A169" s="4" t="inlineStr">
        <is>
          <t>研发材料</t>
        </is>
      </c>
      <c r="D169" s="7" t="n">
        <v>142.6</v>
      </c>
      <c r="F169" s="7" t="n">
        <v>59.9</v>
      </c>
      <c r="H169" s="7" t="n">
        <v>114.4</v>
      </c>
      <c r="J169" s="7" t="n">
        <v>152.5</v>
      </c>
      <c r="L169" s="7" t="n">
        <v>267.3</v>
      </c>
      <c r="N169" s="7" t="n">
        <v>385.5</v>
      </c>
      <c r="P169" s="7" t="n">
        <v>504.8</v>
      </c>
      <c r="R169" s="7" t="n">
        <v>629.6</v>
      </c>
      <c r="T169" s="7" t="n">
        <v>145.6</v>
      </c>
      <c r="V169" s="7" t="n">
        <v>402.5</v>
      </c>
      <c r="X169" s="7" t="n">
        <v>209.2</v>
      </c>
      <c r="Z169" s="7" t="n">
        <v>239.3</v>
      </c>
      <c r="AB169" s="7" t="n">
        <v>3253.2</v>
      </c>
    </row>
    <row r="170">
      <c r="A170" s="4" t="inlineStr">
        <is>
          <t>项目名称</t>
        </is>
      </c>
      <c r="D170" s="7" t="n">
        <v>221.3</v>
      </c>
      <c r="F170" s="7" t="n">
        <v>73.5</v>
      </c>
      <c r="H170" s="7" t="n">
        <v>103.8</v>
      </c>
      <c r="J170" s="7" t="n">
        <v>162</v>
      </c>
      <c r="L170" s="7" t="n">
        <v>256.1</v>
      </c>
      <c r="N170" s="7" t="n">
        <v>355.8</v>
      </c>
      <c r="P170" s="7" t="n">
        <v>418.3</v>
      </c>
      <c r="R170" s="7" t="n">
        <v>581.4</v>
      </c>
      <c r="T170" s="7" t="n">
        <v>124.8</v>
      </c>
      <c r="V170" s="7" t="n">
        <v>385.6</v>
      </c>
      <c r="X170" s="7" t="n">
        <v>254.1</v>
      </c>
      <c r="Z170" s="7" t="n">
        <v>175.1</v>
      </c>
      <c r="AB170" s="7" t="n">
        <v>3111.8</v>
      </c>
    </row>
    <row r="171">
      <c r="A171" s="4" t="inlineStr">
        <is>
          <t>研发费</t>
        </is>
      </c>
      <c r="D171" s="7" t="n">
        <v>236.3</v>
      </c>
      <c r="F171" s="7" t="n">
        <v>76.40000000000001</v>
      </c>
      <c r="H171" s="7" t="n">
        <v>167.8</v>
      </c>
      <c r="J171" s="7" t="n">
        <v>241.8</v>
      </c>
      <c r="L171" s="7" t="n">
        <v>243.7</v>
      </c>
      <c r="N171" s="7" t="n">
        <v>386.7</v>
      </c>
      <c r="P171" s="7" t="n">
        <v>424</v>
      </c>
      <c r="R171" s="7" t="n">
        <v>882.5</v>
      </c>
      <c r="T171" s="7" t="n">
        <v>212</v>
      </c>
      <c r="V171" s="7" t="n">
        <v>329.6</v>
      </c>
      <c r="X171" s="7" t="n">
        <v>318.2</v>
      </c>
      <c r="Z171" s="7" t="n">
        <v>333.2</v>
      </c>
      <c r="AB171" s="7" t="n">
        <v>3852.2</v>
      </c>
    </row>
    <row r="172">
      <c r="A172" s="4" t="inlineStr">
        <is>
          <t>残保金</t>
        </is>
      </c>
      <c r="D172" s="7" t="n">
        <v>249.1</v>
      </c>
      <c r="F172" s="7" t="n">
        <v>80.7</v>
      </c>
      <c r="H172" s="7" t="n">
        <v>151.7</v>
      </c>
      <c r="J172" s="7" t="n">
        <v>191.9</v>
      </c>
      <c r="L172" s="7" t="n">
        <v>354.3</v>
      </c>
      <c r="N172" s="7" t="n">
        <v>501.1</v>
      </c>
      <c r="P172" s="7" t="n">
        <v>574.6</v>
      </c>
      <c r="R172" s="7" t="n">
        <v>596.5</v>
      </c>
      <c r="T172" s="7" t="n">
        <v>194.8</v>
      </c>
      <c r="V172" s="7" t="n">
        <v>324.5</v>
      </c>
      <c r="X172" s="7" t="n">
        <v>266.2</v>
      </c>
      <c r="Z172" s="7" t="n">
        <v>323.8</v>
      </c>
      <c r="AB172" s="7" t="n">
        <v>3809.2</v>
      </c>
    </row>
    <row r="173">
      <c r="A173" s="4" t="inlineStr">
        <is>
          <t>环保费</t>
        </is>
      </c>
      <c r="D173" s="7" t="n">
        <v>293</v>
      </c>
      <c r="F173" s="7" t="n">
        <v>62.2</v>
      </c>
      <c r="H173" s="7" t="n">
        <v>137.2</v>
      </c>
      <c r="J173" s="7" t="n">
        <v>197.7</v>
      </c>
      <c r="L173" s="7" t="n">
        <v>336.1</v>
      </c>
      <c r="N173" s="7" t="n">
        <v>529</v>
      </c>
      <c r="P173" s="7" t="n">
        <v>549.5</v>
      </c>
      <c r="R173" s="7" t="n">
        <v>911.7</v>
      </c>
      <c r="T173" s="7" t="n">
        <v>231.3</v>
      </c>
      <c r="V173" s="7" t="n">
        <v>475.5</v>
      </c>
      <c r="X173" s="7" t="n">
        <v>347.3</v>
      </c>
      <c r="Z173" s="7" t="n">
        <v>248.9</v>
      </c>
      <c r="AB173" s="7" t="n">
        <v>4319.4</v>
      </c>
    </row>
    <row r="174">
      <c r="A174" s="4" t="inlineStr">
        <is>
          <t>报废损失</t>
        </is>
      </c>
      <c r="D174" s="7" t="n">
        <v>191.9</v>
      </c>
      <c r="F174" s="7" t="n">
        <v>77.2</v>
      </c>
      <c r="H174" s="7" t="n">
        <v>123.4</v>
      </c>
      <c r="J174" s="7" t="n">
        <v>111.9</v>
      </c>
      <c r="L174" s="7" t="n">
        <v>165.2</v>
      </c>
      <c r="N174" s="7" t="n">
        <v>303.5</v>
      </c>
      <c r="P174" s="7" t="n">
        <v>393.8</v>
      </c>
      <c r="R174" s="7" t="n">
        <v>471.7</v>
      </c>
      <c r="T174" s="7" t="n">
        <v>178.5</v>
      </c>
      <c r="V174" s="7" t="n">
        <v>361.4</v>
      </c>
      <c r="X174" s="7" t="n">
        <v>251.8</v>
      </c>
      <c r="Z174" s="7" t="n">
        <v>242</v>
      </c>
      <c r="AB174" s="7" t="n">
        <v>2872.3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33436.3</v>
      </c>
      <c r="D175" s="7" t="n">
        <v>23179.1</v>
      </c>
      <c r="E175" s="7" t="n">
        <v>34340.3</v>
      </c>
      <c r="F175" s="7" t="n">
        <v>7803.5</v>
      </c>
      <c r="G175" s="7" t="n">
        <v>27487.3</v>
      </c>
      <c r="H175" s="7" t="n">
        <v>21142.6</v>
      </c>
      <c r="I175" s="7" t="n">
        <v>27187.3</v>
      </c>
      <c r="J175" s="7" t="n">
        <v>47465.7</v>
      </c>
      <c r="K175" s="7" t="n">
        <v>28715.3</v>
      </c>
      <c r="L175" s="7" t="n">
        <v>38488.9</v>
      </c>
      <c r="M175" s="7" t="n">
        <v>35619.4</v>
      </c>
      <c r="N175" s="7" t="n">
        <v>40196.6</v>
      </c>
      <c r="O175" s="7" t="n">
        <v>31008.8</v>
      </c>
      <c r="P175" s="7" t="n">
        <v>60249.2</v>
      </c>
      <c r="Q175" s="7" t="n">
        <v>31447.9</v>
      </c>
      <c r="R175" s="7" t="n">
        <v>24726.4</v>
      </c>
      <c r="S175" s="7" t="n">
        <v>28989</v>
      </c>
      <c r="T175" s="7" t="n">
        <v>33441</v>
      </c>
      <c r="U175" s="7" t="n">
        <v>34970</v>
      </c>
      <c r="V175" s="7" t="n">
        <v>39107.4</v>
      </c>
      <c r="W175" s="7" t="n">
        <v>31799.2</v>
      </c>
      <c r="X175" s="7" t="n">
        <v>16732.1</v>
      </c>
      <c r="Y175" s="7" t="n">
        <v>34700.2</v>
      </c>
      <c r="Z175" s="7" t="n">
        <v>20503.5</v>
      </c>
      <c r="AA175" s="8" t="n">
        <v>379701</v>
      </c>
      <c r="AB175" s="8" t="n">
        <v>373036</v>
      </c>
    </row>
    <row r="176">
      <c r="A176" s="4" t="inlineStr">
        <is>
          <t>职工薪酬</t>
        </is>
      </c>
      <c r="D176" s="7" t="n">
        <v>13757.5</v>
      </c>
      <c r="F176" s="7" t="n">
        <v>4834.4</v>
      </c>
      <c r="H176" s="7" t="n">
        <v>11802.5</v>
      </c>
      <c r="J176" s="7" t="n">
        <v>20521.6</v>
      </c>
      <c r="L176" s="7" t="n">
        <v>22389</v>
      </c>
      <c r="N176" s="7" t="n">
        <v>15973.6</v>
      </c>
      <c r="P176" s="7" t="n">
        <v>34091.5</v>
      </c>
      <c r="R176" s="7" t="n">
        <v>11565.5</v>
      </c>
      <c r="T176" s="7" t="n">
        <v>15934.8</v>
      </c>
      <c r="V176" s="7" t="n">
        <v>21236</v>
      </c>
      <c r="X176" s="7" t="n">
        <v>8915.700000000001</v>
      </c>
      <c r="Z176" s="7" t="n">
        <v>11274</v>
      </c>
      <c r="AB176" s="7" t="n">
        <v>192296.1</v>
      </c>
    </row>
    <row r="177">
      <c r="A177" s="4" t="inlineStr">
        <is>
          <t>工资</t>
        </is>
      </c>
      <c r="D177" s="7" t="n">
        <v>8461.799999999999</v>
      </c>
      <c r="F177" s="7" t="n">
        <v>2937.5</v>
      </c>
      <c r="H177" s="7" t="n">
        <v>6667</v>
      </c>
      <c r="J177" s="7" t="n">
        <v>11856.1</v>
      </c>
      <c r="L177" s="7" t="n">
        <v>13551.1</v>
      </c>
      <c r="N177" s="7" t="n">
        <v>9088.299999999999</v>
      </c>
      <c r="P177" s="7" t="n">
        <v>21643.4</v>
      </c>
      <c r="R177" s="7" t="n">
        <v>6586</v>
      </c>
      <c r="T177" s="7" t="n">
        <v>10059.9</v>
      </c>
      <c r="V177" s="7" t="n">
        <v>13498.1</v>
      </c>
      <c r="X177" s="7" t="n">
        <v>5786.3</v>
      </c>
      <c r="Z177" s="7" t="n">
        <v>6020.7</v>
      </c>
      <c r="AB177" s="7" t="n">
        <v>116156.2</v>
      </c>
    </row>
    <row r="178">
      <c r="A178" s="4" t="inlineStr">
        <is>
          <t>奖金及提成</t>
        </is>
      </c>
      <c r="D178" s="7" t="n">
        <v>2664.2</v>
      </c>
      <c r="F178" s="7" t="n">
        <v>906.2</v>
      </c>
      <c r="H178" s="7" t="n">
        <v>2328.6</v>
      </c>
      <c r="J178" s="7" t="n">
        <v>3878.4</v>
      </c>
      <c r="L178" s="7" t="n">
        <v>4249.2</v>
      </c>
      <c r="N178" s="7" t="n">
        <v>2861.9</v>
      </c>
      <c r="P178" s="7" t="n">
        <v>6908.5</v>
      </c>
      <c r="R178" s="7" t="n">
        <v>1911.6</v>
      </c>
      <c r="T178" s="7" t="n">
        <v>2824.7</v>
      </c>
      <c r="V178" s="7" t="n">
        <v>4109</v>
      </c>
      <c r="X178" s="7" t="n">
        <v>1181.7</v>
      </c>
      <c r="Z178" s="7" t="n">
        <v>2614.4</v>
      </c>
      <c r="AB178" s="7" t="n">
        <v>36438.4</v>
      </c>
    </row>
    <row r="179">
      <c r="A179" s="4" t="inlineStr">
        <is>
          <t>社保</t>
        </is>
      </c>
      <c r="D179" s="7" t="n">
        <v>1890.6</v>
      </c>
      <c r="F179" s="7" t="n">
        <v>756.4</v>
      </c>
      <c r="H179" s="7" t="n">
        <v>2183.4</v>
      </c>
      <c r="J179" s="7" t="n">
        <v>3358.4</v>
      </c>
      <c r="L179" s="7" t="n">
        <v>3349.4</v>
      </c>
      <c r="N179" s="7" t="n">
        <v>2859.1</v>
      </c>
      <c r="P179" s="7" t="n">
        <v>3724.6</v>
      </c>
      <c r="R179" s="7" t="n">
        <v>2243.4</v>
      </c>
      <c r="T179" s="7" t="n">
        <v>1940.5</v>
      </c>
      <c r="V179" s="7" t="n">
        <v>2300.9</v>
      </c>
      <c r="X179" s="7" t="n">
        <v>1363.6</v>
      </c>
      <c r="Z179" s="7" t="n">
        <v>1961.5</v>
      </c>
      <c r="AB179" s="7" t="n">
        <v>27931.8</v>
      </c>
    </row>
    <row r="180">
      <c r="A180" s="4" t="inlineStr">
        <is>
          <t>养老</t>
        </is>
      </c>
      <c r="D180" s="7" t="n">
        <v>147.1</v>
      </c>
      <c r="F180" s="7" t="n">
        <v>46.1</v>
      </c>
      <c r="H180" s="7" t="n">
        <v>80.2</v>
      </c>
      <c r="J180" s="7" t="n">
        <v>222.6</v>
      </c>
      <c r="L180" s="7" t="n">
        <v>247.1</v>
      </c>
      <c r="N180" s="7" t="n">
        <v>184.9</v>
      </c>
      <c r="P180" s="7" t="n">
        <v>355.7</v>
      </c>
      <c r="R180" s="7" t="n">
        <v>106.6</v>
      </c>
      <c r="T180" s="7" t="n">
        <v>129.7</v>
      </c>
      <c r="V180" s="7" t="n">
        <v>185.3</v>
      </c>
      <c r="X180" s="7" t="n">
        <v>97.90000000000001</v>
      </c>
      <c r="Z180" s="7" t="n">
        <v>125.7</v>
      </c>
      <c r="AB180" s="7" t="n">
        <v>1928.9</v>
      </c>
    </row>
    <row r="181">
      <c r="A181" s="4" t="inlineStr">
        <is>
          <t>医疗</t>
        </is>
      </c>
      <c r="D181" s="7" t="n">
        <v>69.90000000000001</v>
      </c>
      <c r="F181" s="7" t="n">
        <v>23.9</v>
      </c>
      <c r="H181" s="7" t="n">
        <v>85.90000000000001</v>
      </c>
      <c r="J181" s="7" t="n">
        <v>115.4</v>
      </c>
      <c r="L181" s="7" t="n">
        <v>139.5</v>
      </c>
      <c r="N181" s="7" t="n">
        <v>131.5</v>
      </c>
      <c r="P181" s="7" t="n">
        <v>207.7</v>
      </c>
      <c r="R181" s="7" t="n">
        <v>83.8</v>
      </c>
      <c r="T181" s="7" t="n">
        <v>89.8</v>
      </c>
      <c r="V181" s="7" t="n">
        <v>107.5</v>
      </c>
      <c r="X181" s="7" t="n">
        <v>58.3</v>
      </c>
      <c r="Z181" s="7" t="n">
        <v>74.90000000000001</v>
      </c>
      <c r="AB181" s="7" t="n">
        <v>1188.1</v>
      </c>
    </row>
    <row r="182">
      <c r="A182" s="4" t="inlineStr">
        <is>
          <t>工伤</t>
        </is>
      </c>
      <c r="D182" s="7" t="n">
        <v>97.8</v>
      </c>
      <c r="F182" s="7" t="n">
        <v>41.2</v>
      </c>
      <c r="H182" s="7" t="n">
        <v>111.7</v>
      </c>
      <c r="J182" s="7" t="n">
        <v>235</v>
      </c>
      <c r="L182" s="7" t="n">
        <v>151.5</v>
      </c>
      <c r="N182" s="7" t="n">
        <v>152</v>
      </c>
      <c r="P182" s="7" t="n">
        <v>315.2</v>
      </c>
      <c r="R182" s="7" t="n">
        <v>98.59999999999999</v>
      </c>
      <c r="T182" s="7" t="n">
        <v>116.5</v>
      </c>
      <c r="V182" s="7" t="n">
        <v>175.2</v>
      </c>
      <c r="X182" s="7" t="n">
        <v>83.59999999999999</v>
      </c>
      <c r="Z182" s="7" t="n">
        <v>100.4</v>
      </c>
      <c r="AB182" s="7" t="n">
        <v>1678.7</v>
      </c>
    </row>
    <row r="183">
      <c r="A183" s="4" t="inlineStr">
        <is>
          <t>失业</t>
        </is>
      </c>
      <c r="D183" s="7" t="n">
        <v>36.1</v>
      </c>
      <c r="F183" s="7" t="n">
        <v>9.9</v>
      </c>
      <c r="H183" s="7" t="n">
        <v>30.1</v>
      </c>
      <c r="J183" s="7" t="n">
        <v>91.40000000000001</v>
      </c>
      <c r="L183" s="7" t="n">
        <v>46</v>
      </c>
      <c r="N183" s="7" t="n">
        <v>55.2</v>
      </c>
      <c r="P183" s="7" t="n">
        <v>88.5</v>
      </c>
      <c r="R183" s="7" t="n">
        <v>43</v>
      </c>
      <c r="T183" s="7" t="n">
        <v>38.1</v>
      </c>
      <c r="V183" s="7" t="n">
        <v>47.9</v>
      </c>
      <c r="X183" s="7" t="n">
        <v>26.4</v>
      </c>
      <c r="Z183" s="7" t="n">
        <v>27.2</v>
      </c>
      <c r="AB183" s="7" t="n">
        <v>539.8</v>
      </c>
    </row>
    <row r="184">
      <c r="A184" s="4" t="inlineStr">
        <is>
          <t>生育</t>
        </is>
      </c>
      <c r="D184" s="7" t="n">
        <v>72</v>
      </c>
      <c r="F184" s="7" t="n">
        <v>30.2</v>
      </c>
      <c r="H184" s="7" t="n">
        <v>69.2</v>
      </c>
      <c r="J184" s="7" t="n">
        <v>144.2</v>
      </c>
      <c r="L184" s="7" t="n">
        <v>142.3</v>
      </c>
      <c r="N184" s="7" t="n">
        <v>118.8</v>
      </c>
      <c r="P184" s="7" t="n">
        <v>135</v>
      </c>
      <c r="R184" s="7" t="n">
        <v>98.40000000000001</v>
      </c>
      <c r="T184" s="7" t="n">
        <v>93.5</v>
      </c>
      <c r="V184" s="7" t="n">
        <v>126.3</v>
      </c>
      <c r="X184" s="7" t="n">
        <v>49.4</v>
      </c>
      <c r="Z184" s="7" t="n">
        <v>55.8</v>
      </c>
      <c r="AB184" s="7" t="n">
        <v>1135.1</v>
      </c>
    </row>
    <row r="185">
      <c r="A185" s="4" t="inlineStr">
        <is>
          <t>公积金</t>
        </is>
      </c>
      <c r="D185" s="7" t="n">
        <v>11.7</v>
      </c>
      <c r="F185" s="7" t="n">
        <v>3.3</v>
      </c>
      <c r="H185" s="7" t="n">
        <v>6.9</v>
      </c>
      <c r="J185" s="7" t="n">
        <v>16.3</v>
      </c>
      <c r="L185" s="7" t="n">
        <v>22.5</v>
      </c>
      <c r="N185" s="7" t="n">
        <v>17.7</v>
      </c>
      <c r="P185" s="7" t="n">
        <v>34.4</v>
      </c>
      <c r="R185" s="7" t="n">
        <v>12</v>
      </c>
      <c r="T185" s="7" t="n">
        <v>12.4</v>
      </c>
      <c r="V185" s="7" t="n">
        <v>18</v>
      </c>
      <c r="X185" s="7" t="n">
        <v>9</v>
      </c>
      <c r="Z185" s="7" t="n">
        <v>11.6</v>
      </c>
      <c r="AB185" s="7" t="n">
        <v>175.8</v>
      </c>
    </row>
    <row r="186">
      <c r="A186" s="4" t="inlineStr">
        <is>
          <t>工会经费</t>
        </is>
      </c>
      <c r="D186" s="7" t="n">
        <v>53.5</v>
      </c>
      <c r="F186" s="7" t="n">
        <v>26.9</v>
      </c>
      <c r="H186" s="7" t="n">
        <v>72.59999999999999</v>
      </c>
      <c r="J186" s="7" t="n">
        <v>92.09999999999999</v>
      </c>
      <c r="L186" s="7" t="n">
        <v>113.9</v>
      </c>
      <c r="N186" s="7" t="n">
        <v>111</v>
      </c>
      <c r="P186" s="7" t="n">
        <v>126.4</v>
      </c>
      <c r="R186" s="7" t="n">
        <v>85.5</v>
      </c>
      <c r="T186" s="7" t="n">
        <v>63.3</v>
      </c>
      <c r="V186" s="7" t="n">
        <v>82.5</v>
      </c>
      <c r="X186" s="7" t="n">
        <v>42.8</v>
      </c>
      <c r="Z186" s="7" t="n">
        <v>52.5</v>
      </c>
      <c r="AB186" s="7" t="n">
        <v>923</v>
      </c>
    </row>
    <row r="187">
      <c r="A187" s="4" t="inlineStr">
        <is>
          <t>职工教育经费</t>
        </is>
      </c>
      <c r="D187" s="7" t="n">
        <v>142.7</v>
      </c>
      <c r="F187" s="7" t="n">
        <v>36.4</v>
      </c>
      <c r="H187" s="7" t="n">
        <v>139.8</v>
      </c>
      <c r="J187" s="7" t="n">
        <v>321.4</v>
      </c>
      <c r="L187" s="7" t="n">
        <v>229</v>
      </c>
      <c r="N187" s="7" t="n">
        <v>250.4</v>
      </c>
      <c r="P187" s="7" t="n">
        <v>386.3</v>
      </c>
      <c r="R187" s="7" t="n">
        <v>159.7</v>
      </c>
      <c r="T187" s="7" t="n">
        <v>240.9</v>
      </c>
      <c r="V187" s="7" t="n">
        <v>300.7</v>
      </c>
      <c r="X187" s="7" t="n">
        <v>107.1</v>
      </c>
      <c r="Z187" s="7" t="n">
        <v>131.2</v>
      </c>
      <c r="AB187" s="7" t="n">
        <v>2445.6</v>
      </c>
    </row>
    <row r="188">
      <c r="A188" s="4" t="inlineStr">
        <is>
          <t>福利费</t>
        </is>
      </c>
      <c r="D188" s="7" t="n">
        <v>533</v>
      </c>
      <c r="F188" s="7" t="n">
        <v>167.7</v>
      </c>
      <c r="H188" s="7" t="n">
        <v>404.2</v>
      </c>
      <c r="J188" s="7" t="n">
        <v>998.9</v>
      </c>
      <c r="L188" s="7" t="n">
        <v>873.9</v>
      </c>
      <c r="N188" s="7" t="n">
        <v>785.2</v>
      </c>
      <c r="P188" s="7" t="n">
        <v>1267.9</v>
      </c>
      <c r="R188" s="7" t="n">
        <v>567.3</v>
      </c>
      <c r="T188" s="7" t="n">
        <v>793.1</v>
      </c>
      <c r="V188" s="7" t="n">
        <v>926.8</v>
      </c>
      <c r="X188" s="7" t="n">
        <v>425.2</v>
      </c>
      <c r="Z188" s="7" t="n">
        <v>482.1</v>
      </c>
      <c r="AB188" s="7" t="n">
        <v>8225.299999999999</v>
      </c>
    </row>
    <row r="189">
      <c r="A189" s="4" t="inlineStr">
        <is>
          <t>职工房租</t>
        </is>
      </c>
      <c r="D189" s="7" t="n">
        <v>45.2</v>
      </c>
      <c r="F189" s="7" t="n">
        <v>13.8</v>
      </c>
      <c r="H189" s="7" t="n">
        <v>33.2</v>
      </c>
      <c r="J189" s="7" t="n">
        <v>77.2</v>
      </c>
      <c r="L189" s="7" t="n">
        <v>89.59999999999999</v>
      </c>
      <c r="N189" s="7" t="n">
        <v>56.3</v>
      </c>
      <c r="P189" s="7" t="n">
        <v>123.6</v>
      </c>
      <c r="R189" s="7" t="n">
        <v>54.1</v>
      </c>
      <c r="T189" s="7" t="n">
        <v>70.8</v>
      </c>
      <c r="V189" s="7" t="n">
        <v>73</v>
      </c>
      <c r="X189" s="7" t="n">
        <v>37.7</v>
      </c>
      <c r="Z189" s="7" t="n">
        <v>29.2</v>
      </c>
      <c r="AB189" s="7" t="n">
        <v>703.7</v>
      </c>
    </row>
    <row r="190">
      <c r="A190" s="4" t="inlineStr">
        <is>
          <t>水电物业费</t>
        </is>
      </c>
      <c r="D190" s="7" t="n">
        <v>72.5</v>
      </c>
      <c r="F190" s="7" t="n">
        <v>31</v>
      </c>
      <c r="H190" s="7" t="n">
        <v>48.5</v>
      </c>
      <c r="J190" s="7" t="n">
        <v>195.7</v>
      </c>
      <c r="L190" s="7" t="n">
        <v>146.7</v>
      </c>
      <c r="N190" s="7" t="n">
        <v>165.1</v>
      </c>
      <c r="P190" s="7" t="n">
        <v>250.4</v>
      </c>
      <c r="R190" s="7" t="n">
        <v>93.40000000000001</v>
      </c>
      <c r="T190" s="7" t="n">
        <v>124.3</v>
      </c>
      <c r="V190" s="7" t="n">
        <v>151.5</v>
      </c>
      <c r="X190" s="7" t="n">
        <v>64.2</v>
      </c>
      <c r="Z190" s="7" t="n">
        <v>76.90000000000001</v>
      </c>
      <c r="AB190" s="7" t="n">
        <v>1420.2</v>
      </c>
    </row>
    <row r="191">
      <c r="A191" s="4" t="inlineStr">
        <is>
          <t>员工餐</t>
        </is>
      </c>
      <c r="D191" s="7" t="n">
        <v>83.90000000000001</v>
      </c>
      <c r="F191" s="7" t="n">
        <v>34.6</v>
      </c>
      <c r="H191" s="7" t="n">
        <v>87.59999999999999</v>
      </c>
      <c r="J191" s="7" t="n">
        <v>238.9</v>
      </c>
      <c r="L191" s="7" t="n">
        <v>195.9</v>
      </c>
      <c r="N191" s="7" t="n">
        <v>149.1</v>
      </c>
      <c r="P191" s="7" t="n">
        <v>301.3</v>
      </c>
      <c r="R191" s="7" t="n">
        <v>127.7</v>
      </c>
      <c r="T191" s="7" t="n">
        <v>162.2</v>
      </c>
      <c r="V191" s="7" t="n">
        <v>225.5</v>
      </c>
      <c r="X191" s="7" t="n">
        <v>107.3</v>
      </c>
      <c r="Z191" s="7" t="n">
        <v>85.8</v>
      </c>
      <c r="AB191" s="7" t="n">
        <v>1799.8</v>
      </c>
    </row>
    <row r="192">
      <c r="A192" s="4" t="inlineStr">
        <is>
          <t>节日礼品</t>
        </is>
      </c>
      <c r="D192" s="7" t="n">
        <v>33.5</v>
      </c>
      <c r="F192" s="7" t="n">
        <v>13.9</v>
      </c>
      <c r="H192" s="7" t="n">
        <v>31.5</v>
      </c>
      <c r="J192" s="7" t="n">
        <v>87.2</v>
      </c>
      <c r="L192" s="7" t="n">
        <v>44.7</v>
      </c>
      <c r="N192" s="7" t="n">
        <v>69.7</v>
      </c>
      <c r="P192" s="7" t="n">
        <v>98.3</v>
      </c>
      <c r="R192" s="7" t="n">
        <v>40.7</v>
      </c>
      <c r="T192" s="7" t="n">
        <v>39.4</v>
      </c>
      <c r="V192" s="7" t="n">
        <v>76.3</v>
      </c>
      <c r="X192" s="7" t="n">
        <v>20.9</v>
      </c>
      <c r="Z192" s="7" t="n">
        <v>37.6</v>
      </c>
      <c r="AB192" s="7" t="n">
        <v>593.7</v>
      </c>
    </row>
    <row r="193">
      <c r="A193" s="4" t="inlineStr">
        <is>
          <t>生日礼品</t>
        </is>
      </c>
      <c r="D193" s="7" t="n">
        <v>170.1</v>
      </c>
      <c r="F193" s="7" t="n">
        <v>36.3</v>
      </c>
      <c r="H193" s="7" t="n">
        <v>94</v>
      </c>
      <c r="J193" s="7" t="n">
        <v>212</v>
      </c>
      <c r="L193" s="7" t="n">
        <v>189.3</v>
      </c>
      <c r="N193" s="7" t="n">
        <v>184.2</v>
      </c>
      <c r="P193" s="7" t="n">
        <v>249.7</v>
      </c>
      <c r="R193" s="7" t="n">
        <v>121.4</v>
      </c>
      <c r="T193" s="7" t="n">
        <v>209.3</v>
      </c>
      <c r="V193" s="7" t="n">
        <v>179.7</v>
      </c>
      <c r="X193" s="7" t="n">
        <v>117.1</v>
      </c>
      <c r="Z193" s="7" t="n">
        <v>145.2</v>
      </c>
      <c r="AB193" s="7" t="n">
        <v>1908.3</v>
      </c>
    </row>
    <row r="194">
      <c r="A194" s="4" t="inlineStr">
        <is>
          <t>体检</t>
        </is>
      </c>
      <c r="D194" s="7" t="n">
        <v>105.4</v>
      </c>
      <c r="F194" s="7" t="n">
        <v>28.6</v>
      </c>
      <c r="H194" s="7" t="n">
        <v>82.8</v>
      </c>
      <c r="J194" s="7" t="n">
        <v>134</v>
      </c>
      <c r="L194" s="7" t="n">
        <v>178.1</v>
      </c>
      <c r="N194" s="7" t="n">
        <v>119.2</v>
      </c>
      <c r="P194" s="7" t="n">
        <v>177.2</v>
      </c>
      <c r="R194" s="7" t="n">
        <v>110.4</v>
      </c>
      <c r="T194" s="7" t="n">
        <v>149.3</v>
      </c>
      <c r="V194" s="7" t="n">
        <v>188.6</v>
      </c>
      <c r="X194" s="7" t="n">
        <v>57.9</v>
      </c>
      <c r="Z194" s="7" t="n">
        <v>85.40000000000001</v>
      </c>
      <c r="AB194" s="7" t="n">
        <v>1416.9</v>
      </c>
    </row>
    <row r="195">
      <c r="A195" s="4" t="inlineStr">
        <is>
          <t>其他福利支出</t>
        </is>
      </c>
      <c r="D195" s="7" t="n">
        <v>22.4</v>
      </c>
      <c r="F195" s="7" t="n">
        <v>9.5</v>
      </c>
      <c r="H195" s="7" t="n">
        <v>26.6</v>
      </c>
      <c r="J195" s="7" t="n">
        <v>53.9</v>
      </c>
      <c r="L195" s="7" t="n">
        <v>29.6</v>
      </c>
      <c r="N195" s="7" t="n">
        <v>41.6</v>
      </c>
      <c r="P195" s="7" t="n">
        <v>67.40000000000001</v>
      </c>
      <c r="R195" s="7" t="n">
        <v>19.6</v>
      </c>
      <c r="T195" s="7" t="n">
        <v>37.8</v>
      </c>
      <c r="V195" s="7" t="n">
        <v>32.2</v>
      </c>
      <c r="X195" s="7" t="n">
        <v>20.1</v>
      </c>
      <c r="Z195" s="7" t="n">
        <v>22</v>
      </c>
      <c r="AB195" s="7" t="n">
        <v>382.7</v>
      </c>
    </row>
    <row r="196">
      <c r="A196" s="4" t="inlineStr">
        <is>
          <t>招聘费</t>
        </is>
      </c>
      <c r="D196" s="7" t="n">
        <v>74.5</v>
      </c>
      <c r="F196" s="7" t="n">
        <v>27.2</v>
      </c>
      <c r="H196" s="7" t="n">
        <v>63.6</v>
      </c>
      <c r="J196" s="7" t="n">
        <v>166.2</v>
      </c>
      <c r="L196" s="7" t="n">
        <v>151.6</v>
      </c>
      <c r="N196" s="7" t="n">
        <v>149.6</v>
      </c>
      <c r="P196" s="7" t="n">
        <v>192.2</v>
      </c>
      <c r="R196" s="7" t="n">
        <v>62.1</v>
      </c>
      <c r="T196" s="7" t="n">
        <v>82.3</v>
      </c>
      <c r="V196" s="7" t="n">
        <v>89.2</v>
      </c>
      <c r="X196" s="7" t="n">
        <v>51</v>
      </c>
      <c r="Z196" s="7" t="n">
        <v>55</v>
      </c>
      <c r="AB196" s="7" t="n">
        <v>1164.5</v>
      </c>
    </row>
    <row r="197">
      <c r="A197" s="4" t="inlineStr">
        <is>
          <t>办公费</t>
        </is>
      </c>
      <c r="D197" s="7" t="n">
        <v>546.9</v>
      </c>
      <c r="F197" s="7" t="n">
        <v>204.6</v>
      </c>
      <c r="H197" s="7" t="n">
        <v>544.9</v>
      </c>
      <c r="J197" s="7" t="n">
        <v>1757.2</v>
      </c>
      <c r="L197" s="7" t="n">
        <v>1255.6</v>
      </c>
      <c r="N197" s="7" t="n">
        <v>999</v>
      </c>
      <c r="P197" s="7" t="n">
        <v>1719.9</v>
      </c>
      <c r="R197" s="7" t="n">
        <v>567.3</v>
      </c>
      <c r="T197" s="7" t="n">
        <v>1200.9</v>
      </c>
      <c r="V197" s="7" t="n">
        <v>857.6</v>
      </c>
      <c r="X197" s="7" t="n">
        <v>409.3</v>
      </c>
      <c r="Z197" s="7" t="n">
        <v>571.8</v>
      </c>
      <c r="AB197" s="7" t="n">
        <v>10635</v>
      </c>
    </row>
    <row r="198">
      <c r="A198" s="4" t="inlineStr">
        <is>
          <t>市内交通费</t>
        </is>
      </c>
      <c r="D198" s="7" t="n">
        <v>73</v>
      </c>
      <c r="F198" s="7" t="n">
        <v>18.3</v>
      </c>
      <c r="H198" s="7" t="n">
        <v>58.9</v>
      </c>
      <c r="J198" s="7" t="n">
        <v>106.1</v>
      </c>
      <c r="L198" s="7" t="n">
        <v>102.4</v>
      </c>
      <c r="N198" s="7" t="n">
        <v>127</v>
      </c>
      <c r="P198" s="7" t="n">
        <v>136.7</v>
      </c>
      <c r="R198" s="7" t="n">
        <v>88.2</v>
      </c>
      <c r="T198" s="7" t="n">
        <v>74.90000000000001</v>
      </c>
      <c r="V198" s="7" t="n">
        <v>79.8</v>
      </c>
      <c r="X198" s="7" t="n">
        <v>50</v>
      </c>
      <c r="Z198" s="7" t="n">
        <v>67.8</v>
      </c>
      <c r="AB198" s="7" t="n">
        <v>983.1</v>
      </c>
    </row>
    <row r="199">
      <c r="A199" s="4" t="inlineStr">
        <is>
          <t>差旅费</t>
        </is>
      </c>
      <c r="D199" s="7" t="n">
        <v>1170.8</v>
      </c>
      <c r="F199" s="7" t="n">
        <v>578.7</v>
      </c>
      <c r="H199" s="7" t="n">
        <v>1203.2</v>
      </c>
      <c r="J199" s="7" t="n">
        <v>2225.2</v>
      </c>
      <c r="L199" s="7" t="n">
        <v>2408</v>
      </c>
      <c r="N199" s="7" t="n">
        <v>1972.7</v>
      </c>
      <c r="P199" s="7" t="n">
        <v>4609.3</v>
      </c>
      <c r="R199" s="7" t="n">
        <v>1557.8</v>
      </c>
      <c r="T199" s="7" t="n">
        <v>1416.5</v>
      </c>
      <c r="V199" s="7" t="n">
        <v>2297</v>
      </c>
      <c r="X199" s="7" t="n">
        <v>1067.1</v>
      </c>
      <c r="Z199" s="7" t="n">
        <v>883.3</v>
      </c>
      <c r="AB199" s="7" t="n">
        <v>21389.6</v>
      </c>
    </row>
    <row r="200">
      <c r="A200" s="4" t="inlineStr">
        <is>
          <t>交通费</t>
        </is>
      </c>
      <c r="D200" s="7" t="n">
        <v>12.3</v>
      </c>
      <c r="F200" s="7" t="n">
        <v>4.4</v>
      </c>
      <c r="H200" s="7" t="n">
        <v>15.7</v>
      </c>
      <c r="J200" s="7" t="n">
        <v>38.1</v>
      </c>
      <c r="L200" s="7" t="n">
        <v>17.3</v>
      </c>
      <c r="N200" s="7" t="n">
        <v>24.7</v>
      </c>
      <c r="P200" s="7" t="n">
        <v>40.5</v>
      </c>
      <c r="R200" s="7" t="n">
        <v>11.7</v>
      </c>
      <c r="T200" s="7" t="n">
        <v>24.2</v>
      </c>
      <c r="V200" s="7" t="n">
        <v>17.7</v>
      </c>
      <c r="X200" s="7" t="n">
        <v>10.2</v>
      </c>
      <c r="Z200" s="7" t="n">
        <v>10.3</v>
      </c>
      <c r="AB200" s="7" t="n">
        <v>227.1</v>
      </c>
    </row>
    <row r="201">
      <c r="A201" s="4" t="inlineStr">
        <is>
          <t>住宿费</t>
        </is>
      </c>
      <c r="D201" s="7" t="n">
        <v>17</v>
      </c>
      <c r="F201" s="7" t="n">
        <v>5.2</v>
      </c>
      <c r="H201" s="7" t="n">
        <v>11</v>
      </c>
      <c r="J201" s="7" t="n">
        <v>34.2</v>
      </c>
      <c r="L201" s="7" t="n">
        <v>33.9</v>
      </c>
      <c r="N201" s="7" t="n">
        <v>31.4</v>
      </c>
      <c r="P201" s="7" t="n">
        <v>43</v>
      </c>
      <c r="R201" s="7" t="n">
        <v>14.4</v>
      </c>
      <c r="T201" s="7" t="n">
        <v>17.1</v>
      </c>
      <c r="V201" s="7" t="n">
        <v>33.4</v>
      </c>
      <c r="X201" s="7" t="n">
        <v>10.7</v>
      </c>
      <c r="Z201" s="7" t="n">
        <v>18.4</v>
      </c>
      <c r="AB201" s="7" t="n">
        <v>269.7</v>
      </c>
    </row>
    <row r="202">
      <c r="A202" s="4" t="inlineStr">
        <is>
          <t>餐补</t>
        </is>
      </c>
      <c r="D202" s="7" t="n">
        <v>134.7</v>
      </c>
      <c r="F202" s="7" t="n">
        <v>46.5</v>
      </c>
      <c r="H202" s="7" t="n">
        <v>139.3</v>
      </c>
      <c r="J202" s="7" t="n">
        <v>184.5</v>
      </c>
      <c r="L202" s="7" t="n">
        <v>156.2</v>
      </c>
      <c r="N202" s="7" t="n">
        <v>241.5</v>
      </c>
      <c r="P202" s="7" t="n">
        <v>390.7</v>
      </c>
      <c r="R202" s="7" t="n">
        <v>123.5</v>
      </c>
      <c r="T202" s="7" t="n">
        <v>119.4</v>
      </c>
      <c r="V202" s="7" t="n">
        <v>169.4</v>
      </c>
      <c r="X202" s="7" t="n">
        <v>71.90000000000001</v>
      </c>
      <c r="Z202" s="7" t="n">
        <v>76.2</v>
      </c>
      <c r="AB202" s="7" t="n">
        <v>1853.8</v>
      </c>
    </row>
    <row r="203">
      <c r="A203" s="4" t="inlineStr">
        <is>
          <t>交通补助</t>
        </is>
      </c>
      <c r="D203" s="7" t="n">
        <v>177.7</v>
      </c>
      <c r="F203" s="7" t="n">
        <v>57.9</v>
      </c>
      <c r="H203" s="7" t="n">
        <v>118.8</v>
      </c>
      <c r="J203" s="7" t="n">
        <v>356.9</v>
      </c>
      <c r="L203" s="7" t="n">
        <v>306.5</v>
      </c>
      <c r="N203" s="7" t="n">
        <v>208.9</v>
      </c>
      <c r="P203" s="7" t="n">
        <v>304</v>
      </c>
      <c r="R203" s="7" t="n">
        <v>172.7</v>
      </c>
      <c r="T203" s="7" t="n">
        <v>152.2</v>
      </c>
      <c r="V203" s="7" t="n">
        <v>227.2</v>
      </c>
      <c r="X203" s="7" t="n">
        <v>89</v>
      </c>
      <c r="Z203" s="7" t="n">
        <v>138.5</v>
      </c>
      <c r="AB203" s="7" t="n">
        <v>2310.3</v>
      </c>
    </row>
    <row r="204">
      <c r="A204" s="4" t="inlineStr">
        <is>
          <t>通讯补助</t>
        </is>
      </c>
      <c r="D204" s="7" t="n">
        <v>90.09999999999999</v>
      </c>
      <c r="F204" s="7" t="n">
        <v>44</v>
      </c>
      <c r="H204" s="7" t="n">
        <v>132.1</v>
      </c>
      <c r="J204" s="7" t="n">
        <v>267.6</v>
      </c>
      <c r="L204" s="7" t="n">
        <v>200.2</v>
      </c>
      <c r="N204" s="7" t="n">
        <v>175.8</v>
      </c>
      <c r="P204" s="7" t="n">
        <v>356.3</v>
      </c>
      <c r="R204" s="7" t="n">
        <v>144.4</v>
      </c>
      <c r="T204" s="7" t="n">
        <v>163.1</v>
      </c>
      <c r="V204" s="7" t="n">
        <v>156.5</v>
      </c>
      <c r="X204" s="7" t="n">
        <v>88.7</v>
      </c>
      <c r="Z204" s="7" t="n">
        <v>83.8</v>
      </c>
      <c r="AB204" s="7" t="n">
        <v>1902.6</v>
      </c>
    </row>
    <row r="205">
      <c r="A205" s="4" t="inlineStr">
        <is>
          <t>招待费</t>
        </is>
      </c>
      <c r="D205" s="7" t="n">
        <v>750.6</v>
      </c>
      <c r="F205" s="7" t="n">
        <v>338.7</v>
      </c>
      <c r="H205" s="7" t="n">
        <v>771.2</v>
      </c>
      <c r="J205" s="7" t="n">
        <v>1436.5</v>
      </c>
      <c r="L205" s="7" t="n">
        <v>1930.2</v>
      </c>
      <c r="N205" s="7" t="n">
        <v>1579.2</v>
      </c>
      <c r="P205" s="7" t="n">
        <v>1801.1</v>
      </c>
      <c r="R205" s="7" t="n">
        <v>968.7</v>
      </c>
      <c r="T205" s="7" t="n">
        <v>1593.1</v>
      </c>
      <c r="V205" s="7" t="n">
        <v>1771</v>
      </c>
      <c r="X205" s="7" t="n">
        <v>478.2</v>
      </c>
      <c r="Z205" s="7" t="n">
        <v>1051.8</v>
      </c>
      <c r="AB205" s="7" t="n">
        <v>14470.3</v>
      </c>
    </row>
    <row r="206">
      <c r="A206" s="4" t="inlineStr">
        <is>
          <t>通讯费</t>
        </is>
      </c>
      <c r="D206" s="7" t="n">
        <v>25.8</v>
      </c>
      <c r="F206" s="7" t="n">
        <v>8.199999999999999</v>
      </c>
      <c r="H206" s="7" t="n">
        <v>17</v>
      </c>
      <c r="J206" s="7" t="n">
        <v>42.7</v>
      </c>
      <c r="L206" s="7" t="n">
        <v>25.9</v>
      </c>
      <c r="N206" s="7" t="n">
        <v>25.5</v>
      </c>
      <c r="P206" s="7" t="n">
        <v>40.4</v>
      </c>
      <c r="R206" s="7" t="n">
        <v>22.7</v>
      </c>
      <c r="T206" s="7" t="n">
        <v>22.5</v>
      </c>
      <c r="V206" s="7" t="n">
        <v>43.7</v>
      </c>
      <c r="X206" s="7" t="n">
        <v>15</v>
      </c>
      <c r="Z206" s="7" t="n">
        <v>22.6</v>
      </c>
      <c r="AB206" s="7" t="n">
        <v>312</v>
      </c>
    </row>
    <row r="207">
      <c r="A207" s="4" t="inlineStr">
        <is>
          <t>网络费</t>
        </is>
      </c>
      <c r="D207" s="7" t="n">
        <v>16.4</v>
      </c>
      <c r="F207" s="7" t="n">
        <v>4.8</v>
      </c>
      <c r="H207" s="7" t="n">
        <v>11.9</v>
      </c>
      <c r="J207" s="7" t="n">
        <v>32.7</v>
      </c>
      <c r="L207" s="7" t="n">
        <v>20</v>
      </c>
      <c r="N207" s="7" t="n">
        <v>25.5</v>
      </c>
      <c r="P207" s="7" t="n">
        <v>36.7</v>
      </c>
      <c r="R207" s="7" t="n">
        <v>14</v>
      </c>
      <c r="T207" s="7" t="n">
        <v>19.7</v>
      </c>
      <c r="V207" s="7" t="n">
        <v>22.3</v>
      </c>
      <c r="X207" s="7" t="n">
        <v>12.2</v>
      </c>
      <c r="Z207" s="7" t="n">
        <v>15.7</v>
      </c>
      <c r="AB207" s="7" t="n">
        <v>231.9</v>
      </c>
    </row>
    <row r="208">
      <c r="A208" s="4" t="inlineStr">
        <is>
          <t>修理费</t>
        </is>
      </c>
      <c r="D208" s="7" t="n">
        <v>79.59999999999999</v>
      </c>
      <c r="F208" s="7" t="n">
        <v>33.8</v>
      </c>
      <c r="H208" s="7" t="n">
        <v>121.5</v>
      </c>
      <c r="J208" s="7" t="n">
        <v>261.3</v>
      </c>
      <c r="L208" s="7" t="n">
        <v>170.2</v>
      </c>
      <c r="N208" s="7" t="n">
        <v>153.2</v>
      </c>
      <c r="P208" s="7" t="n">
        <v>259.5</v>
      </c>
      <c r="R208" s="7" t="n">
        <v>78.09999999999999</v>
      </c>
      <c r="T208" s="7" t="n">
        <v>170</v>
      </c>
      <c r="V208" s="7" t="n">
        <v>166.6</v>
      </c>
      <c r="X208" s="7" t="n">
        <v>81</v>
      </c>
      <c r="Z208" s="7" t="n">
        <v>116.6</v>
      </c>
      <c r="AB208" s="7" t="n">
        <v>1691.4</v>
      </c>
    </row>
    <row r="209">
      <c r="A209" s="4" t="inlineStr">
        <is>
          <t>车辆费</t>
        </is>
      </c>
      <c r="D209" s="7" t="n">
        <v>113.7</v>
      </c>
      <c r="F209" s="7" t="n">
        <v>36</v>
      </c>
      <c r="H209" s="7" t="n">
        <v>118.5</v>
      </c>
      <c r="J209" s="7" t="n">
        <v>367.2</v>
      </c>
      <c r="L209" s="7" t="n">
        <v>191.9</v>
      </c>
      <c r="N209" s="7" t="n">
        <v>247.7</v>
      </c>
      <c r="P209" s="7" t="n">
        <v>280.2</v>
      </c>
      <c r="R209" s="7" t="n">
        <v>149.2</v>
      </c>
      <c r="T209" s="7" t="n">
        <v>244.6</v>
      </c>
      <c r="V209" s="7" t="n">
        <v>290.2</v>
      </c>
      <c r="X209" s="7" t="n">
        <v>135</v>
      </c>
      <c r="Z209" s="7" t="n">
        <v>152.5</v>
      </c>
      <c r="AB209" s="7" t="n">
        <v>2326.7</v>
      </c>
    </row>
    <row r="210">
      <c r="A210" s="4" t="inlineStr">
        <is>
          <t>租赁费</t>
        </is>
      </c>
      <c r="D210" s="7" t="n">
        <v>1466.6</v>
      </c>
      <c r="F210" s="7" t="n">
        <v>320.3</v>
      </c>
      <c r="H210" s="7" t="n">
        <v>1125.6</v>
      </c>
      <c r="J210" s="7" t="n">
        <v>2701.3</v>
      </c>
      <c r="L210" s="7" t="n">
        <v>1494.7</v>
      </c>
      <c r="N210" s="7" t="n">
        <v>1644.9</v>
      </c>
      <c r="P210" s="7" t="n">
        <v>2698</v>
      </c>
      <c r="R210" s="7" t="n">
        <v>1036.4</v>
      </c>
      <c r="T210" s="7" t="n">
        <v>1712.5</v>
      </c>
      <c r="V210" s="7" t="n">
        <v>1966.9</v>
      </c>
      <c r="X210" s="7" t="n">
        <v>721.4</v>
      </c>
      <c r="Z210" s="7" t="n">
        <v>1298.6</v>
      </c>
      <c r="AB210" s="7" t="n">
        <v>18187.2</v>
      </c>
    </row>
    <row r="211">
      <c r="A211" s="4" t="inlineStr">
        <is>
          <t>能源费</t>
        </is>
      </c>
      <c r="D211" s="7" t="n">
        <v>498.8</v>
      </c>
      <c r="F211" s="7" t="n">
        <v>136</v>
      </c>
      <c r="H211" s="7" t="n">
        <v>370.7</v>
      </c>
      <c r="J211" s="7" t="n">
        <v>898.2</v>
      </c>
      <c r="L211" s="7" t="n">
        <v>765.4</v>
      </c>
      <c r="N211" s="7" t="n">
        <v>669.1</v>
      </c>
      <c r="P211" s="7" t="n">
        <v>1238.1</v>
      </c>
      <c r="R211" s="7" t="n">
        <v>554</v>
      </c>
      <c r="T211" s="7" t="n">
        <v>639.1</v>
      </c>
      <c r="V211" s="7" t="n">
        <v>753.1</v>
      </c>
      <c r="X211" s="7" t="n">
        <v>327</v>
      </c>
      <c r="Z211" s="7" t="n">
        <v>372.3</v>
      </c>
      <c r="AB211" s="7" t="n">
        <v>7221.8</v>
      </c>
    </row>
    <row r="212">
      <c r="A212" s="4" t="inlineStr">
        <is>
          <t>水费</t>
        </is>
      </c>
      <c r="D212" s="7" t="n">
        <v>94.40000000000001</v>
      </c>
      <c r="F212" s="7" t="n">
        <v>19.9</v>
      </c>
      <c r="H212" s="7" t="n">
        <v>48.3</v>
      </c>
      <c r="J212" s="7" t="n">
        <v>190</v>
      </c>
      <c r="L212" s="7" t="n">
        <v>87</v>
      </c>
      <c r="N212" s="7" t="n">
        <v>106.9</v>
      </c>
      <c r="P212" s="7" t="n">
        <v>161.4</v>
      </c>
      <c r="R212" s="7" t="n">
        <v>58.7</v>
      </c>
      <c r="T212" s="7" t="n">
        <v>76.59999999999999</v>
      </c>
      <c r="V212" s="7" t="n">
        <v>127.5</v>
      </c>
      <c r="X212" s="7" t="n">
        <v>45.8</v>
      </c>
      <c r="Z212" s="7" t="n">
        <v>57.8</v>
      </c>
      <c r="AB212" s="7" t="n">
        <v>1074.3</v>
      </c>
    </row>
    <row r="213">
      <c r="A213" s="4" t="inlineStr">
        <is>
          <t>电费</t>
        </is>
      </c>
      <c r="D213" s="7" t="n">
        <v>102.3</v>
      </c>
      <c r="F213" s="7" t="n">
        <v>30.8</v>
      </c>
      <c r="H213" s="7" t="n">
        <v>75.90000000000001</v>
      </c>
      <c r="J213" s="7" t="n">
        <v>156.3</v>
      </c>
      <c r="L213" s="7" t="n">
        <v>182</v>
      </c>
      <c r="N213" s="7" t="n">
        <v>196.4</v>
      </c>
      <c r="P213" s="7" t="n">
        <v>329.3</v>
      </c>
      <c r="R213" s="7" t="n">
        <v>150.5</v>
      </c>
      <c r="T213" s="7" t="n">
        <v>121</v>
      </c>
      <c r="V213" s="7" t="n">
        <v>141.3</v>
      </c>
      <c r="X213" s="7" t="n">
        <v>92.40000000000001</v>
      </c>
      <c r="Z213" s="7" t="n">
        <v>68.59999999999999</v>
      </c>
      <c r="AB213" s="7" t="n">
        <v>1646.8</v>
      </c>
    </row>
    <row r="214">
      <c r="A214" s="4" t="inlineStr">
        <is>
          <t>燃气费</t>
        </is>
      </c>
      <c r="D214" s="7" t="n">
        <v>175.7</v>
      </c>
      <c r="F214" s="7" t="n">
        <v>45.5</v>
      </c>
      <c r="H214" s="7" t="n">
        <v>152.5</v>
      </c>
      <c r="J214" s="7" t="n">
        <v>320</v>
      </c>
      <c r="L214" s="7" t="n">
        <v>287.3</v>
      </c>
      <c r="N214" s="7" t="n">
        <v>197.2</v>
      </c>
      <c r="P214" s="7" t="n">
        <v>376</v>
      </c>
      <c r="R214" s="7" t="n">
        <v>195.1</v>
      </c>
      <c r="T214" s="7" t="n">
        <v>239.8</v>
      </c>
      <c r="V214" s="7" t="n">
        <v>256.9</v>
      </c>
      <c r="X214" s="7" t="n">
        <v>106.8</v>
      </c>
      <c r="Z214" s="7" t="n">
        <v>149.4</v>
      </c>
      <c r="AB214" s="7" t="n">
        <v>2502.2</v>
      </c>
    </row>
    <row r="215">
      <c r="A215" s="4" t="inlineStr">
        <is>
          <t>蒸汽费</t>
        </is>
      </c>
      <c r="D215" s="7" t="n">
        <v>126.4</v>
      </c>
      <c r="F215" s="7" t="n">
        <v>39.8</v>
      </c>
      <c r="H215" s="7" t="n">
        <v>94</v>
      </c>
      <c r="J215" s="7" t="n">
        <v>231.9</v>
      </c>
      <c r="L215" s="7" t="n">
        <v>209.1</v>
      </c>
      <c r="N215" s="7" t="n">
        <v>168.6</v>
      </c>
      <c r="P215" s="7" t="n">
        <v>371.4</v>
      </c>
      <c r="R215" s="7" t="n">
        <v>149.7</v>
      </c>
      <c r="T215" s="7" t="n">
        <v>201.7</v>
      </c>
      <c r="V215" s="7" t="n">
        <v>227.4</v>
      </c>
      <c r="X215" s="7" t="n">
        <v>82</v>
      </c>
      <c r="Z215" s="7" t="n">
        <v>96.5</v>
      </c>
      <c r="AB215" s="7" t="n">
        <v>1998.5</v>
      </c>
    </row>
    <row r="216">
      <c r="A216" s="4" t="inlineStr">
        <is>
          <t>物业费</t>
        </is>
      </c>
      <c r="D216" s="7" t="n">
        <v>33.2</v>
      </c>
      <c r="F216" s="7" t="n">
        <v>9.6</v>
      </c>
      <c r="H216" s="7" t="n">
        <v>44.8</v>
      </c>
      <c r="J216" s="7" t="n">
        <v>95.5</v>
      </c>
      <c r="L216" s="7" t="n">
        <v>83.59999999999999</v>
      </c>
      <c r="N216" s="7" t="n">
        <v>68.59999999999999</v>
      </c>
      <c r="P216" s="7" t="n">
        <v>113.2</v>
      </c>
      <c r="R216" s="7" t="n">
        <v>35.5</v>
      </c>
      <c r="T216" s="7" t="n">
        <v>43.6</v>
      </c>
      <c r="V216" s="7" t="n">
        <v>50.2</v>
      </c>
      <c r="X216" s="7" t="n">
        <v>34</v>
      </c>
      <c r="Z216" s="7" t="n">
        <v>44.1</v>
      </c>
      <c r="AB216" s="7" t="n">
        <v>655.9</v>
      </c>
    </row>
    <row r="217">
      <c r="A217" s="4" t="inlineStr">
        <is>
          <t>劳动保护费</t>
        </is>
      </c>
      <c r="D217" s="7" t="n">
        <v>9.5</v>
      </c>
      <c r="F217" s="7" t="n">
        <v>5.2</v>
      </c>
      <c r="H217" s="7" t="n">
        <v>10.2</v>
      </c>
      <c r="J217" s="7" t="n">
        <v>28.2</v>
      </c>
      <c r="L217" s="7" t="n">
        <v>21.5</v>
      </c>
      <c r="N217" s="7" t="n">
        <v>20</v>
      </c>
      <c r="P217" s="7" t="n">
        <v>27.9</v>
      </c>
      <c r="R217" s="7" t="n">
        <v>13.4</v>
      </c>
      <c r="T217" s="7" t="n">
        <v>20.9</v>
      </c>
      <c r="V217" s="7" t="n">
        <v>27</v>
      </c>
      <c r="X217" s="7" t="n">
        <v>8</v>
      </c>
      <c r="Z217" s="7" t="n">
        <v>14.2</v>
      </c>
      <c r="AB217" s="7" t="n">
        <v>206</v>
      </c>
    </row>
    <row r="218">
      <c r="A218" s="4" t="inlineStr">
        <is>
          <t>顾问费</t>
        </is>
      </c>
      <c r="D218" s="7" t="n">
        <v>24.6</v>
      </c>
      <c r="F218" s="7" t="n">
        <v>11.7</v>
      </c>
      <c r="H218" s="7" t="n">
        <v>18.5</v>
      </c>
      <c r="J218" s="7" t="n">
        <v>54</v>
      </c>
      <c r="L218" s="7" t="n">
        <v>42.7</v>
      </c>
      <c r="N218" s="7" t="n">
        <v>42</v>
      </c>
      <c r="P218" s="7" t="n">
        <v>70.8</v>
      </c>
      <c r="R218" s="7" t="n">
        <v>22</v>
      </c>
      <c r="T218" s="7" t="n">
        <v>37</v>
      </c>
      <c r="V218" s="7" t="n">
        <v>61.4</v>
      </c>
      <c r="X218" s="7" t="n">
        <v>22.1</v>
      </c>
      <c r="Z218" s="7" t="n">
        <v>21.6</v>
      </c>
      <c r="AB218" s="7" t="n">
        <v>428.4</v>
      </c>
    </row>
    <row r="219">
      <c r="A219" s="4" t="inlineStr">
        <is>
          <t>快递费</t>
        </is>
      </c>
      <c r="D219" s="7" t="n">
        <v>99.3</v>
      </c>
      <c r="F219" s="7" t="n">
        <v>36.3</v>
      </c>
      <c r="H219" s="7" t="n">
        <v>77.40000000000001</v>
      </c>
      <c r="J219" s="7" t="n">
        <v>142.9</v>
      </c>
      <c r="L219" s="7" t="n">
        <v>107.6</v>
      </c>
      <c r="N219" s="7" t="n">
        <v>112.8</v>
      </c>
      <c r="P219" s="7" t="n">
        <v>180</v>
      </c>
      <c r="R219" s="7" t="n">
        <v>116</v>
      </c>
      <c r="T219" s="7" t="n">
        <v>144.5</v>
      </c>
      <c r="V219" s="7" t="n">
        <v>177</v>
      </c>
      <c r="X219" s="7" t="n">
        <v>71.8</v>
      </c>
      <c r="Z219" s="7" t="n">
        <v>80.09999999999999</v>
      </c>
      <c r="AB219" s="7" t="n">
        <v>1345.7</v>
      </c>
    </row>
    <row r="220">
      <c r="A220" s="4" t="inlineStr">
        <is>
          <t>诉讼费</t>
        </is>
      </c>
      <c r="D220" s="7" t="n">
        <v>14</v>
      </c>
      <c r="F220" s="7" t="n">
        <v>5.9</v>
      </c>
      <c r="H220" s="7" t="n">
        <v>13.9</v>
      </c>
      <c r="J220" s="7" t="n">
        <v>28.7</v>
      </c>
      <c r="L220" s="7" t="n">
        <v>24.5</v>
      </c>
      <c r="N220" s="7" t="n">
        <v>28</v>
      </c>
      <c r="P220" s="7" t="n">
        <v>46.4</v>
      </c>
      <c r="R220" s="7" t="n">
        <v>11.7</v>
      </c>
      <c r="T220" s="7" t="n">
        <v>24.8</v>
      </c>
      <c r="V220" s="7" t="n">
        <v>18.4</v>
      </c>
      <c r="X220" s="7" t="n">
        <v>10.2</v>
      </c>
      <c r="Z220" s="7" t="n">
        <v>12.3</v>
      </c>
      <c r="AB220" s="7" t="n">
        <v>238.8</v>
      </c>
    </row>
    <row r="221">
      <c r="A221" s="4" t="inlineStr">
        <is>
          <t>会员费</t>
        </is>
      </c>
      <c r="D221" s="7" t="n">
        <v>9.1</v>
      </c>
      <c r="F221" s="7" t="n">
        <v>3.2</v>
      </c>
      <c r="H221" s="7" t="n">
        <v>7.6</v>
      </c>
      <c r="J221" s="7" t="n">
        <v>18.2</v>
      </c>
      <c r="L221" s="7" t="n">
        <v>22.1</v>
      </c>
      <c r="N221" s="7" t="n">
        <v>20</v>
      </c>
      <c r="P221" s="7" t="n">
        <v>22.6</v>
      </c>
      <c r="R221" s="7" t="n">
        <v>10.1</v>
      </c>
      <c r="T221" s="7" t="n">
        <v>19.5</v>
      </c>
      <c r="V221" s="7" t="n">
        <v>15</v>
      </c>
      <c r="X221" s="7" t="n">
        <v>10</v>
      </c>
      <c r="Z221" s="7" t="n">
        <v>6.7</v>
      </c>
      <c r="AB221" s="7" t="n">
        <v>164.1</v>
      </c>
    </row>
    <row r="222">
      <c r="A222" s="4" t="inlineStr">
        <is>
          <t>广告宣传费</t>
        </is>
      </c>
      <c r="D222" s="7" t="n">
        <v>609.7</v>
      </c>
      <c r="F222" s="7" t="n">
        <v>186.3</v>
      </c>
      <c r="H222" s="7" t="n">
        <v>480</v>
      </c>
      <c r="J222" s="7" t="n">
        <v>1656</v>
      </c>
      <c r="L222" s="7" t="n">
        <v>1466.7</v>
      </c>
      <c r="N222" s="7" t="n">
        <v>1243.3</v>
      </c>
      <c r="P222" s="7" t="n">
        <v>1625.3</v>
      </c>
      <c r="R222" s="7" t="n">
        <v>763.6</v>
      </c>
      <c r="T222" s="7" t="n">
        <v>1115.6</v>
      </c>
      <c r="V222" s="7" t="n">
        <v>1481.7</v>
      </c>
      <c r="X222" s="7" t="n">
        <v>540.6</v>
      </c>
      <c r="Z222" s="7" t="n">
        <v>720.8</v>
      </c>
      <c r="AB222" s="7" t="n">
        <v>11889.6</v>
      </c>
    </row>
    <row r="223">
      <c r="A223" s="4" t="inlineStr">
        <is>
          <t>会务费</t>
        </is>
      </c>
      <c r="D223" s="7" t="n">
        <v>134.4</v>
      </c>
      <c r="F223" s="7" t="n">
        <v>35.4</v>
      </c>
      <c r="H223" s="7" t="n">
        <v>148.5</v>
      </c>
      <c r="J223" s="7" t="n">
        <v>374.7</v>
      </c>
      <c r="L223" s="7" t="n">
        <v>189.1</v>
      </c>
      <c r="N223" s="7" t="n">
        <v>184.7</v>
      </c>
      <c r="P223" s="7" t="n">
        <v>376.9</v>
      </c>
      <c r="R223" s="7" t="n">
        <v>127</v>
      </c>
      <c r="T223" s="7" t="n">
        <v>156.7</v>
      </c>
      <c r="V223" s="7" t="n">
        <v>238.9</v>
      </c>
      <c r="X223" s="7" t="n">
        <v>76.40000000000001</v>
      </c>
      <c r="Z223" s="7" t="n">
        <v>98.40000000000001</v>
      </c>
      <c r="AB223" s="7" t="n">
        <v>2141.1</v>
      </c>
    </row>
    <row r="224">
      <c r="A224" s="4" t="inlineStr">
        <is>
          <t>装修费</t>
        </is>
      </c>
      <c r="D224" s="7" t="n">
        <v>86.5</v>
      </c>
      <c r="F224" s="7" t="n">
        <v>28</v>
      </c>
      <c r="H224" s="7" t="n">
        <v>55.9</v>
      </c>
      <c r="J224" s="7" t="n">
        <v>198.2</v>
      </c>
      <c r="L224" s="7" t="n">
        <v>162.6</v>
      </c>
      <c r="N224" s="7" t="n">
        <v>119.2</v>
      </c>
      <c r="P224" s="7" t="n">
        <v>286.2</v>
      </c>
      <c r="R224" s="7" t="n">
        <v>70.7</v>
      </c>
      <c r="T224" s="7" t="n">
        <v>140.5</v>
      </c>
      <c r="V224" s="7" t="n">
        <v>180.7</v>
      </c>
      <c r="X224" s="7" t="n">
        <v>58.9</v>
      </c>
      <c r="Z224" s="7" t="n">
        <v>68.7</v>
      </c>
      <c r="AB224" s="7" t="n">
        <v>1456.1</v>
      </c>
    </row>
    <row r="225">
      <c r="A225" s="4" t="inlineStr">
        <is>
          <t>推广费</t>
        </is>
      </c>
      <c r="D225" s="7" t="n">
        <v>20.8</v>
      </c>
      <c r="F225" s="7" t="n">
        <v>5.5</v>
      </c>
      <c r="H225" s="7" t="n">
        <v>17.7</v>
      </c>
      <c r="J225" s="7" t="n">
        <v>36</v>
      </c>
      <c r="L225" s="7" t="n">
        <v>31.5</v>
      </c>
      <c r="N225" s="7" t="n">
        <v>31.6</v>
      </c>
      <c r="P225" s="7" t="n">
        <v>56.9</v>
      </c>
      <c r="R225" s="7" t="n">
        <v>16.9</v>
      </c>
      <c r="T225" s="7" t="n">
        <v>32.6</v>
      </c>
      <c r="V225" s="7" t="n">
        <v>39.6</v>
      </c>
      <c r="X225" s="7" t="n">
        <v>17.1</v>
      </c>
      <c r="Z225" s="7" t="n">
        <v>19.4</v>
      </c>
      <c r="AB225" s="7" t="n">
        <v>325.6</v>
      </c>
    </row>
    <row r="226">
      <c r="A226" s="4" t="inlineStr">
        <is>
          <t>展会费</t>
        </is>
      </c>
      <c r="D226" s="7" t="n">
        <v>53.8</v>
      </c>
      <c r="F226" s="7" t="n">
        <v>20.5</v>
      </c>
      <c r="H226" s="7" t="n">
        <v>38.2</v>
      </c>
      <c r="J226" s="7" t="n">
        <v>78.3</v>
      </c>
      <c r="L226" s="7" t="n">
        <v>62</v>
      </c>
      <c r="N226" s="7" t="n">
        <v>79.3</v>
      </c>
      <c r="P226" s="7" t="n">
        <v>159.4</v>
      </c>
      <c r="R226" s="7" t="n">
        <v>61.3</v>
      </c>
      <c r="T226" s="7" t="n">
        <v>60.2</v>
      </c>
      <c r="V226" s="7" t="n">
        <v>95.59999999999999</v>
      </c>
      <c r="X226" s="7" t="n">
        <v>24.5</v>
      </c>
      <c r="Z226" s="7" t="n">
        <v>45</v>
      </c>
      <c r="AB226" s="7" t="n">
        <v>778.1</v>
      </c>
    </row>
    <row r="227">
      <c r="A227" s="4" t="inlineStr">
        <is>
          <t>设计费</t>
        </is>
      </c>
      <c r="D227" s="7" t="n">
        <v>35.6</v>
      </c>
      <c r="F227" s="7" t="n">
        <v>17</v>
      </c>
      <c r="H227" s="7" t="n">
        <v>52.9</v>
      </c>
      <c r="J227" s="7" t="n">
        <v>111.4</v>
      </c>
      <c r="L227" s="7" t="n">
        <v>69.09999999999999</v>
      </c>
      <c r="N227" s="7" t="n">
        <v>100</v>
      </c>
      <c r="P227" s="7" t="n">
        <v>130.9</v>
      </c>
      <c r="R227" s="7" t="n">
        <v>42.6</v>
      </c>
      <c r="T227" s="7" t="n">
        <v>61.4</v>
      </c>
      <c r="V227" s="7" t="n">
        <v>88.40000000000001</v>
      </c>
      <c r="X227" s="7" t="n">
        <v>34.8</v>
      </c>
      <c r="Z227" s="7" t="n">
        <v>44.5</v>
      </c>
      <c r="AB227" s="7" t="n">
        <v>788.6</v>
      </c>
    </row>
    <row r="228">
      <c r="A228" s="4" t="inlineStr">
        <is>
          <t>折旧费</t>
        </is>
      </c>
      <c r="D228" s="7" t="n">
        <v>877</v>
      </c>
      <c r="F228" s="7" t="n">
        <v>250.2</v>
      </c>
      <c r="H228" s="7" t="n">
        <v>1069.1</v>
      </c>
      <c r="J228" s="7" t="n">
        <v>2191.2</v>
      </c>
      <c r="L228" s="7" t="n">
        <v>1770</v>
      </c>
      <c r="N228" s="7" t="n">
        <v>1247.3</v>
      </c>
      <c r="P228" s="7" t="n">
        <v>2350.5</v>
      </c>
      <c r="R228" s="7" t="n">
        <v>1257.7</v>
      </c>
      <c r="T228" s="7" t="n">
        <v>1252.8</v>
      </c>
      <c r="V228" s="7" t="n">
        <v>2021.3</v>
      </c>
      <c r="X228" s="7" t="n">
        <v>673.1</v>
      </c>
      <c r="Z228" s="7" t="n">
        <v>991</v>
      </c>
      <c r="AB228" s="7" t="n">
        <v>15951.2</v>
      </c>
    </row>
    <row r="229">
      <c r="A229" s="4" t="inlineStr">
        <is>
          <t>认证费</t>
        </is>
      </c>
      <c r="D229" s="7" t="n">
        <v>99.7</v>
      </c>
      <c r="F229" s="7" t="n">
        <v>32.8</v>
      </c>
      <c r="H229" s="7" t="n">
        <v>109.2</v>
      </c>
      <c r="J229" s="7" t="n">
        <v>205.9</v>
      </c>
      <c r="L229" s="7" t="n">
        <v>140.6</v>
      </c>
      <c r="N229" s="7" t="n">
        <v>144.3</v>
      </c>
      <c r="P229" s="7" t="n">
        <v>358.6</v>
      </c>
      <c r="R229" s="7" t="n">
        <v>145.3</v>
      </c>
      <c r="T229" s="7" t="n">
        <v>165.5</v>
      </c>
      <c r="V229" s="7" t="n">
        <v>174.1</v>
      </c>
      <c r="X229" s="7" t="n">
        <v>100.3</v>
      </c>
      <c r="Z229" s="7" t="n">
        <v>114.6</v>
      </c>
      <c r="AB229" s="7" t="n">
        <v>1790.9</v>
      </c>
    </row>
    <row r="230">
      <c r="A230" s="4" t="inlineStr">
        <is>
          <t>样品费</t>
        </is>
      </c>
      <c r="D230" s="7" t="n">
        <v>447.4</v>
      </c>
      <c r="F230" s="7" t="n">
        <v>189.4</v>
      </c>
      <c r="H230" s="7" t="n">
        <v>364.4</v>
      </c>
      <c r="J230" s="7" t="n">
        <v>1019.7</v>
      </c>
      <c r="L230" s="7" t="n">
        <v>757.4</v>
      </c>
      <c r="N230" s="7" t="n">
        <v>963</v>
      </c>
      <c r="P230" s="7" t="n">
        <v>1322.4</v>
      </c>
      <c r="R230" s="7" t="n">
        <v>517.7</v>
      </c>
      <c r="T230" s="7" t="n">
        <v>724.6</v>
      </c>
      <c r="V230" s="7" t="n">
        <v>717.2</v>
      </c>
      <c r="X230" s="7" t="n">
        <v>241.6</v>
      </c>
      <c r="Z230" s="7" t="n">
        <v>526.9</v>
      </c>
      <c r="AB230" s="7" t="n">
        <v>7791.7</v>
      </c>
    </row>
    <row r="231">
      <c r="A231" s="4" t="inlineStr">
        <is>
          <t>劳务费</t>
        </is>
      </c>
      <c r="D231" s="7" t="n">
        <v>16.6</v>
      </c>
      <c r="F231" s="7" t="n">
        <v>5.6</v>
      </c>
      <c r="H231" s="7" t="n">
        <v>14.9</v>
      </c>
      <c r="J231" s="7" t="n">
        <v>29.8</v>
      </c>
      <c r="L231" s="7" t="n">
        <v>21.6</v>
      </c>
      <c r="N231" s="7" t="n">
        <v>24.1</v>
      </c>
      <c r="P231" s="7" t="n">
        <v>52.4</v>
      </c>
      <c r="R231" s="7" t="n">
        <v>21</v>
      </c>
      <c r="T231" s="7" t="n">
        <v>21.1</v>
      </c>
      <c r="V231" s="7" t="n">
        <v>24.7</v>
      </c>
      <c r="X231" s="7" t="n">
        <v>11.4</v>
      </c>
      <c r="Z231" s="7" t="n">
        <v>16.7</v>
      </c>
      <c r="AB231" s="7" t="n">
        <v>259.9</v>
      </c>
    </row>
    <row r="232">
      <c r="A232" s="4" t="inlineStr">
        <is>
          <t>销售佣金</t>
        </is>
      </c>
      <c r="D232" s="7" t="n">
        <v>45.5</v>
      </c>
      <c r="F232" s="7" t="n">
        <v>14.8</v>
      </c>
      <c r="H232" s="7" t="n">
        <v>39.5</v>
      </c>
      <c r="J232" s="7" t="n">
        <v>138.3</v>
      </c>
      <c r="L232" s="7" t="n">
        <v>91.7</v>
      </c>
      <c r="N232" s="7" t="n">
        <v>84.90000000000001</v>
      </c>
      <c r="P232" s="7" t="n">
        <v>170.9</v>
      </c>
      <c r="R232" s="7" t="n">
        <v>56.1</v>
      </c>
      <c r="T232" s="7" t="n">
        <v>75.90000000000001</v>
      </c>
      <c r="V232" s="7" t="n">
        <v>101.4</v>
      </c>
      <c r="X232" s="7" t="n">
        <v>33.3</v>
      </c>
      <c r="Z232" s="7" t="n">
        <v>65.2</v>
      </c>
      <c r="AB232" s="7" t="n">
        <v>917.5</v>
      </c>
    </row>
    <row r="233">
      <c r="A233" s="4" t="inlineStr">
        <is>
          <t>检测费</t>
        </is>
      </c>
      <c r="D233" s="7" t="n">
        <v>86.8</v>
      </c>
      <c r="F233" s="7" t="n">
        <v>29.4</v>
      </c>
      <c r="H233" s="7" t="n">
        <v>109</v>
      </c>
      <c r="J233" s="7" t="n">
        <v>238.2</v>
      </c>
      <c r="L233" s="7" t="n">
        <v>126.7</v>
      </c>
      <c r="N233" s="7" t="n">
        <v>195.9</v>
      </c>
      <c r="P233" s="7" t="n">
        <v>259.6</v>
      </c>
      <c r="R233" s="7" t="n">
        <v>87.5</v>
      </c>
      <c r="T233" s="7" t="n">
        <v>149.1</v>
      </c>
      <c r="V233" s="7" t="n">
        <v>172.4</v>
      </c>
      <c r="X233" s="7" t="n">
        <v>70.8</v>
      </c>
      <c r="Z233" s="7" t="n">
        <v>62.2</v>
      </c>
      <c r="AB233" s="7" t="n">
        <v>1587.6</v>
      </c>
    </row>
    <row r="234">
      <c r="A234" s="4" t="inlineStr">
        <is>
          <t>质量赔偿</t>
        </is>
      </c>
      <c r="D234" s="7" t="n">
        <v>85.40000000000001</v>
      </c>
      <c r="F234" s="7" t="n">
        <v>28.6</v>
      </c>
      <c r="H234" s="7" t="n">
        <v>102.6</v>
      </c>
      <c r="J234" s="7" t="n">
        <v>244.2</v>
      </c>
      <c r="L234" s="7" t="n">
        <v>168.8</v>
      </c>
      <c r="N234" s="7" t="n">
        <v>214.8</v>
      </c>
      <c r="P234" s="7" t="n">
        <v>312.7</v>
      </c>
      <c r="R234" s="7" t="n">
        <v>123</v>
      </c>
      <c r="T234" s="7" t="n">
        <v>149.1</v>
      </c>
      <c r="V234" s="7" t="n">
        <v>148.6</v>
      </c>
      <c r="X234" s="7" t="n">
        <v>86.59999999999999</v>
      </c>
      <c r="Z234" s="7" t="n">
        <v>91.90000000000001</v>
      </c>
      <c r="AB234" s="7" t="n">
        <v>1756.3</v>
      </c>
    </row>
    <row r="235">
      <c r="A235" s="4" t="inlineStr">
        <is>
          <t>保险费</t>
        </is>
      </c>
      <c r="D235" s="7" t="n">
        <v>142.4</v>
      </c>
      <c r="F235" s="7" t="n">
        <v>62</v>
      </c>
      <c r="H235" s="7" t="n">
        <v>97.90000000000001</v>
      </c>
      <c r="J235" s="7" t="n">
        <v>373.4</v>
      </c>
      <c r="L235" s="7" t="n">
        <v>298.2</v>
      </c>
      <c r="N235" s="7" t="n">
        <v>339.2</v>
      </c>
      <c r="P235" s="7" t="n">
        <v>317.4</v>
      </c>
      <c r="R235" s="7" t="n">
        <v>128.3</v>
      </c>
      <c r="T235" s="7" t="n">
        <v>267.2</v>
      </c>
      <c r="V235" s="7" t="n">
        <v>225.8</v>
      </c>
      <c r="X235" s="7" t="n">
        <v>119.2</v>
      </c>
      <c r="Z235" s="7" t="n">
        <v>115.8</v>
      </c>
      <c r="AB235" s="7" t="n">
        <v>2486.8</v>
      </c>
    </row>
    <row r="236">
      <c r="A236" s="4" t="inlineStr">
        <is>
          <t>清洁费</t>
        </is>
      </c>
      <c r="D236" s="7" t="n">
        <v>99</v>
      </c>
      <c r="F236" s="7" t="n">
        <v>50</v>
      </c>
      <c r="H236" s="7" t="n">
        <v>85.8</v>
      </c>
      <c r="J236" s="7" t="n">
        <v>234.9</v>
      </c>
      <c r="L236" s="7" t="n">
        <v>179.5</v>
      </c>
      <c r="N236" s="7" t="n">
        <v>242.4</v>
      </c>
      <c r="P236" s="7" t="n">
        <v>322.2</v>
      </c>
      <c r="R236" s="7" t="n">
        <v>91.40000000000001</v>
      </c>
      <c r="T236" s="7" t="n">
        <v>223</v>
      </c>
      <c r="V236" s="7" t="n">
        <v>205.3</v>
      </c>
      <c r="X236" s="7" t="n">
        <v>66.90000000000001</v>
      </c>
      <c r="Z236" s="7" t="n">
        <v>122.7</v>
      </c>
      <c r="AB236" s="7" t="n">
        <v>1923.1</v>
      </c>
    </row>
    <row r="237">
      <c r="A237" s="4" t="inlineStr">
        <is>
          <t>低值易耗品</t>
        </is>
      </c>
      <c r="D237" s="7" t="n">
        <v>123.4</v>
      </c>
      <c r="F237" s="7" t="n">
        <v>57.7</v>
      </c>
      <c r="H237" s="7" t="n">
        <v>99.40000000000001</v>
      </c>
      <c r="J237" s="7" t="n">
        <v>200.2</v>
      </c>
      <c r="L237" s="7" t="n">
        <v>246.4</v>
      </c>
      <c r="N237" s="7" t="n">
        <v>175.4</v>
      </c>
      <c r="P237" s="7" t="n">
        <v>333.6</v>
      </c>
      <c r="R237" s="7" t="n">
        <v>169.3</v>
      </c>
      <c r="T237" s="7" t="n">
        <v>205.4</v>
      </c>
      <c r="V237" s="7" t="n">
        <v>279</v>
      </c>
      <c r="X237" s="7" t="n">
        <v>69.8</v>
      </c>
      <c r="Z237" s="7" t="n">
        <v>88.40000000000001</v>
      </c>
      <c r="AB237" s="7" t="n">
        <v>2048</v>
      </c>
    </row>
    <row r="238">
      <c r="A238" s="4" t="inlineStr">
        <is>
          <t>物料消耗</t>
        </is>
      </c>
      <c r="D238" s="7" t="n">
        <v>53</v>
      </c>
      <c r="F238" s="7" t="n">
        <v>11.7</v>
      </c>
      <c r="H238" s="7" t="n">
        <v>47.9</v>
      </c>
      <c r="J238" s="7" t="n">
        <v>84.59999999999999</v>
      </c>
      <c r="L238" s="7" t="n">
        <v>53.6</v>
      </c>
      <c r="N238" s="7" t="n">
        <v>55.6</v>
      </c>
      <c r="P238" s="7" t="n">
        <v>121.5</v>
      </c>
      <c r="R238" s="7" t="n">
        <v>51.4</v>
      </c>
      <c r="T238" s="7" t="n">
        <v>63.8</v>
      </c>
      <c r="V238" s="7" t="n">
        <v>69.40000000000001</v>
      </c>
      <c r="X238" s="7" t="n">
        <v>33.1</v>
      </c>
      <c r="Z238" s="7" t="n">
        <v>35.2</v>
      </c>
      <c r="AB238" s="7" t="n">
        <v>680.8</v>
      </c>
    </row>
    <row r="239">
      <c r="A239" s="4" t="inlineStr">
        <is>
          <t>盘盈盘亏</t>
        </is>
      </c>
      <c r="D239" s="7" t="n">
        <v>90.5</v>
      </c>
      <c r="F239" s="7" t="n">
        <v>43.1</v>
      </c>
      <c r="H239" s="7" t="n">
        <v>101</v>
      </c>
      <c r="J239" s="7" t="n">
        <v>305.3</v>
      </c>
      <c r="L239" s="7" t="n">
        <v>227.8</v>
      </c>
      <c r="N239" s="7" t="n">
        <v>260.1</v>
      </c>
      <c r="P239" s="7" t="n">
        <v>342.4</v>
      </c>
      <c r="R239" s="7" t="n">
        <v>135.5</v>
      </c>
      <c r="T239" s="7" t="n">
        <v>197</v>
      </c>
      <c r="V239" s="7" t="n">
        <v>146.3</v>
      </c>
      <c r="X239" s="7" t="n">
        <v>86</v>
      </c>
      <c r="Z239" s="7" t="n">
        <v>79.7</v>
      </c>
      <c r="AB239" s="7" t="n">
        <v>2014.7</v>
      </c>
    </row>
    <row r="240">
      <c r="A240" s="4" t="inlineStr">
        <is>
          <t>平台服务费</t>
        </is>
      </c>
      <c r="D240" s="7" t="n">
        <v>118.9</v>
      </c>
      <c r="F240" s="7" t="n">
        <v>35.9</v>
      </c>
      <c r="H240" s="7" t="n">
        <v>107.2</v>
      </c>
      <c r="J240" s="7" t="n">
        <v>181</v>
      </c>
      <c r="L240" s="7" t="n">
        <v>150.3</v>
      </c>
      <c r="N240" s="7" t="n">
        <v>120.5</v>
      </c>
      <c r="P240" s="7" t="n">
        <v>197.7</v>
      </c>
      <c r="R240" s="7" t="n">
        <v>86.5</v>
      </c>
      <c r="T240" s="7" t="n">
        <v>136.8</v>
      </c>
      <c r="V240" s="7" t="n">
        <v>138.6</v>
      </c>
      <c r="X240" s="7" t="n">
        <v>72.40000000000001</v>
      </c>
      <c r="Z240" s="7" t="n">
        <v>97.90000000000001</v>
      </c>
      <c r="AB240" s="7" t="n">
        <v>1443.7</v>
      </c>
    </row>
    <row r="241">
      <c r="A241" s="4" t="inlineStr">
        <is>
          <t>无形资产摊销</t>
        </is>
      </c>
      <c r="D241" s="7" t="n">
        <v>4.3</v>
      </c>
      <c r="F241" s="7" t="n">
        <v>1.2</v>
      </c>
      <c r="H241" s="7" t="n">
        <v>3.5</v>
      </c>
      <c r="J241" s="7" t="n">
        <v>8.5</v>
      </c>
      <c r="L241" s="7" t="n">
        <v>5.8</v>
      </c>
      <c r="N241" s="7" t="n">
        <v>4.2</v>
      </c>
      <c r="P241" s="7" t="n">
        <v>7</v>
      </c>
      <c r="R241" s="7" t="n">
        <v>3.6</v>
      </c>
      <c r="T241" s="7" t="n">
        <v>5.7</v>
      </c>
      <c r="V241" s="7" t="n">
        <v>6.6</v>
      </c>
      <c r="X241" s="7" t="n">
        <v>2.4</v>
      </c>
      <c r="Z241" s="7" t="n">
        <v>3.9</v>
      </c>
      <c r="AB241" s="7" t="n">
        <v>56.7</v>
      </c>
    </row>
    <row r="242">
      <c r="A242" s="4" t="inlineStr">
        <is>
          <t>研发材料</t>
        </is>
      </c>
      <c r="D242" s="7" t="n">
        <v>11.5</v>
      </c>
      <c r="F242" s="7" t="n">
        <v>6</v>
      </c>
      <c r="H242" s="7" t="n">
        <v>11.2</v>
      </c>
      <c r="J242" s="7" t="n">
        <v>35.2</v>
      </c>
      <c r="L242" s="7" t="n">
        <v>34.3</v>
      </c>
      <c r="N242" s="7" t="n">
        <v>22.1</v>
      </c>
      <c r="P242" s="7" t="n">
        <v>51.7</v>
      </c>
      <c r="R242" s="7" t="n">
        <v>19</v>
      </c>
      <c r="T242" s="7" t="n">
        <v>28.5</v>
      </c>
      <c r="V242" s="7" t="n">
        <v>28.6</v>
      </c>
      <c r="X242" s="7" t="n">
        <v>15</v>
      </c>
      <c r="Z242" s="7" t="n">
        <v>12.1</v>
      </c>
      <c r="AB242" s="7" t="n">
        <v>275.2</v>
      </c>
    </row>
    <row r="243">
      <c r="A243" s="4" t="inlineStr">
        <is>
          <t>项目名称</t>
        </is>
      </c>
      <c r="D243" s="7" t="n">
        <v>57.6</v>
      </c>
      <c r="F243" s="7" t="n">
        <v>20.5</v>
      </c>
      <c r="H243" s="7" t="n">
        <v>61.4</v>
      </c>
      <c r="J243" s="7" t="n">
        <v>127.6</v>
      </c>
      <c r="L243" s="7" t="n">
        <v>119.9</v>
      </c>
      <c r="N243" s="7" t="n">
        <v>123</v>
      </c>
      <c r="P243" s="7" t="n">
        <v>236</v>
      </c>
      <c r="R243" s="7" t="n">
        <v>98.59999999999999</v>
      </c>
      <c r="T243" s="7" t="n">
        <v>75.7</v>
      </c>
      <c r="V243" s="7" t="n">
        <v>148.3</v>
      </c>
      <c r="X243" s="7" t="n">
        <v>55.3</v>
      </c>
      <c r="Z243" s="7" t="n">
        <v>72.8</v>
      </c>
      <c r="AB243" s="7" t="n">
        <v>1196.7</v>
      </c>
    </row>
    <row r="244">
      <c r="A244" s="4" t="inlineStr">
        <is>
          <t>研发费</t>
        </is>
      </c>
      <c r="D244" s="7" t="n">
        <v>100.1</v>
      </c>
      <c r="F244" s="7" t="n">
        <v>33.4</v>
      </c>
      <c r="H244" s="7" t="n">
        <v>121.2</v>
      </c>
      <c r="J244" s="7" t="n">
        <v>223</v>
      </c>
      <c r="L244" s="7" t="n">
        <v>128.2</v>
      </c>
      <c r="N244" s="7" t="n">
        <v>206</v>
      </c>
      <c r="P244" s="7" t="n">
        <v>311.7</v>
      </c>
      <c r="R244" s="7" t="n">
        <v>101.7</v>
      </c>
      <c r="T244" s="7" t="n">
        <v>185.2</v>
      </c>
      <c r="V244" s="7" t="n">
        <v>143.5</v>
      </c>
      <c r="X244" s="7" t="n">
        <v>96.3</v>
      </c>
      <c r="Z244" s="7" t="n">
        <v>123.1</v>
      </c>
      <c r="AB244" s="7" t="n">
        <v>1773.4</v>
      </c>
    </row>
    <row r="245">
      <c r="A245" s="4" t="inlineStr">
        <is>
          <t>残保金</t>
        </is>
      </c>
      <c r="D245" s="7" t="n">
        <v>29.5</v>
      </c>
      <c r="F245" s="7" t="n">
        <v>7.8</v>
      </c>
      <c r="H245" s="7" t="n">
        <v>16.3</v>
      </c>
      <c r="J245" s="7" t="n">
        <v>65.5</v>
      </c>
      <c r="L245" s="7" t="n">
        <v>43.5</v>
      </c>
      <c r="N245" s="7" t="n">
        <v>49.5</v>
      </c>
      <c r="P245" s="7" t="n">
        <v>66.09999999999999</v>
      </c>
      <c r="R245" s="7" t="n">
        <v>31.8</v>
      </c>
      <c r="T245" s="7" t="n">
        <v>30.5</v>
      </c>
      <c r="V245" s="7" t="n">
        <v>45.8</v>
      </c>
      <c r="X245" s="7" t="n">
        <v>12.7</v>
      </c>
      <c r="Z245" s="7" t="n">
        <v>25.8</v>
      </c>
      <c r="AB245" s="7" t="n">
        <v>424.8</v>
      </c>
    </row>
    <row r="246">
      <c r="A246" s="4" t="inlineStr">
        <is>
          <t>环保费</t>
        </is>
      </c>
      <c r="D246" s="7" t="n">
        <v>94.8</v>
      </c>
      <c r="F246" s="7" t="n">
        <v>33.6</v>
      </c>
      <c r="H246" s="7" t="n">
        <v>105.4</v>
      </c>
      <c r="J246" s="7" t="n">
        <v>180</v>
      </c>
      <c r="L246" s="7" t="n">
        <v>208.3</v>
      </c>
      <c r="N246" s="7" t="n">
        <v>224.5</v>
      </c>
      <c r="P246" s="7" t="n">
        <v>247.7</v>
      </c>
      <c r="R246" s="7" t="n">
        <v>127.1</v>
      </c>
      <c r="T246" s="7" t="n">
        <v>183.5</v>
      </c>
      <c r="V246" s="7" t="n">
        <v>137.4</v>
      </c>
      <c r="X246" s="7" t="n">
        <v>66.90000000000001</v>
      </c>
      <c r="Z246" s="7" t="n">
        <v>104.7</v>
      </c>
      <c r="AB246" s="7" t="n">
        <v>1713.9</v>
      </c>
    </row>
    <row r="247">
      <c r="A247" s="4" t="inlineStr">
        <is>
          <t>报废损失</t>
        </is>
      </c>
      <c r="D247" s="7" t="n">
        <v>157.7</v>
      </c>
      <c r="F247" s="7" t="n">
        <v>51.2</v>
      </c>
      <c r="H247" s="7" t="n">
        <v>108.5</v>
      </c>
      <c r="J247" s="7" t="n">
        <v>183.4</v>
      </c>
      <c r="L247" s="7" t="n">
        <v>266</v>
      </c>
      <c r="N247" s="7" t="n">
        <v>183.6</v>
      </c>
      <c r="P247" s="7" t="n">
        <v>304.3</v>
      </c>
      <c r="R247" s="7" t="n">
        <v>175.1</v>
      </c>
      <c r="T247" s="7" t="n">
        <v>234.1</v>
      </c>
      <c r="V247" s="7" t="n">
        <v>234.3</v>
      </c>
      <c r="X247" s="7" t="n">
        <v>106.8</v>
      </c>
      <c r="Z247" s="7" t="n">
        <v>139.3</v>
      </c>
      <c r="AB247" s="7" t="n">
        <v>2144.3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9234.799999999999</v>
      </c>
      <c r="D248" s="7" t="n">
        <v>-1086.5</v>
      </c>
      <c r="E248" s="7" t="n">
        <v>8805.200000000001</v>
      </c>
      <c r="F248" s="7" t="n">
        <v>16213.4</v>
      </c>
      <c r="G248" s="7" t="n">
        <v>8465.200000000001</v>
      </c>
      <c r="H248" s="7" t="n">
        <v>12570.4</v>
      </c>
      <c r="I248" s="7" t="n">
        <v>8979.9</v>
      </c>
      <c r="J248" s="7" t="n">
        <v>12371</v>
      </c>
      <c r="K248" s="7" t="n">
        <v>8991.200000000001</v>
      </c>
      <c r="L248" s="7" t="n">
        <v>10500.1</v>
      </c>
      <c r="M248" s="7" t="n">
        <v>7764.4</v>
      </c>
      <c r="N248" s="7" t="n">
        <v>16642.6</v>
      </c>
      <c r="O248" s="7" t="n">
        <v>7548.1</v>
      </c>
      <c r="P248" s="7" t="n">
        <v>9447.200000000001</v>
      </c>
      <c r="Q248" s="7" t="n">
        <v>7347.7</v>
      </c>
      <c r="R248" s="7" t="n">
        <v>2214</v>
      </c>
      <c r="S248" s="7" t="n">
        <v>7892.4</v>
      </c>
      <c r="T248" s="7" t="n">
        <v>16382</v>
      </c>
      <c r="U248" s="7" t="n">
        <v>7160.1</v>
      </c>
      <c r="V248" s="7" t="n">
        <v>7584.7</v>
      </c>
      <c r="W248" s="7" t="n">
        <v>8158.5</v>
      </c>
      <c r="X248" s="7" t="n">
        <v>509.8</v>
      </c>
      <c r="Y248" s="7" t="n">
        <v>7883.6</v>
      </c>
      <c r="Z248" s="7" t="n">
        <v>-4744.5</v>
      </c>
      <c r="AA248" s="8" t="n">
        <v>98231.10000000001</v>
      </c>
      <c r="AB248" s="8" t="n">
        <v>98604.2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3075.4</v>
      </c>
      <c r="E250" s="7" t="n">
        <v>0</v>
      </c>
      <c r="F250" s="7" t="n">
        <v>500.5</v>
      </c>
      <c r="G250" s="7" t="n">
        <v>0</v>
      </c>
      <c r="H250" s="7" t="n">
        <v>-1118.7</v>
      </c>
      <c r="I250" s="7" t="n">
        <v>0</v>
      </c>
      <c r="J250" s="7" t="n">
        <v>-2092</v>
      </c>
      <c r="K250" s="7" t="n">
        <v>0</v>
      </c>
      <c r="L250" s="7" t="n">
        <v>2129.2</v>
      </c>
      <c r="M250" s="7" t="n">
        <v>0</v>
      </c>
      <c r="N250" s="7" t="n">
        <v>-2549.3</v>
      </c>
      <c r="O250" s="7" t="n">
        <v>0</v>
      </c>
      <c r="P250" s="7" t="n">
        <v>1677.5</v>
      </c>
      <c r="Q250" s="7" t="n">
        <v>0</v>
      </c>
      <c r="R250" s="7" t="n">
        <v>4357.2</v>
      </c>
      <c r="S250" s="7" t="n">
        <v>0</v>
      </c>
      <c r="T250" s="7" t="n">
        <v>3625</v>
      </c>
      <c r="U250" s="7" t="n">
        <v>0</v>
      </c>
      <c r="V250" s="7" t="n">
        <v>-2673.3</v>
      </c>
      <c r="W250" s="7" t="n">
        <v>0</v>
      </c>
      <c r="X250" s="7" t="n">
        <v>499.5</v>
      </c>
      <c r="Y250" s="7" t="n">
        <v>0</v>
      </c>
      <c r="Z250" s="7" t="n">
        <v>-4065.3</v>
      </c>
      <c r="AA250" s="7" t="n">
        <v>0</v>
      </c>
      <c r="AB250" s="7" t="n">
        <v>3365.7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17345.7</v>
      </c>
      <c r="D255" s="7" t="n">
        <v>9775.5</v>
      </c>
      <c r="E255" s="7" t="n">
        <v>16942.7</v>
      </c>
      <c r="F255" s="7" t="n">
        <v>24605.6</v>
      </c>
      <c r="G255" s="7" t="n">
        <v>17438.7</v>
      </c>
      <c r="H255" s="7" t="n">
        <v>26413.9</v>
      </c>
      <c r="I255" s="7" t="n">
        <v>19680.2</v>
      </c>
      <c r="J255" s="7" t="n">
        <v>8284.1</v>
      </c>
      <c r="K255" s="7" t="n">
        <v>20615</v>
      </c>
      <c r="L255" s="7" t="n">
        <v>14960.1</v>
      </c>
      <c r="M255" s="7" t="n">
        <v>16196.7</v>
      </c>
      <c r="N255" s="7" t="n">
        <v>7787.3</v>
      </c>
      <c r="O255" s="7" t="n">
        <v>18588.6</v>
      </c>
      <c r="P255" s="7" t="n">
        <v>29808.8</v>
      </c>
      <c r="Q255" s="7" t="n">
        <v>16005.2</v>
      </c>
      <c r="R255" s="7" t="n">
        <v>14717.5</v>
      </c>
      <c r="S255" s="7" t="n">
        <v>18055.2</v>
      </c>
      <c r="T255" s="7" t="n">
        <v>24607.9</v>
      </c>
      <c r="U255" s="7" t="n">
        <v>18295.2</v>
      </c>
      <c r="V255" s="7" t="n">
        <v>17556.2</v>
      </c>
      <c r="W255" s="7" t="n">
        <v>20025.2</v>
      </c>
      <c r="X255" s="7" t="n">
        <v>12734.6</v>
      </c>
      <c r="Y255" s="7" t="n">
        <v>16322.2</v>
      </c>
      <c r="Z255" s="7" t="n">
        <v>28774.7</v>
      </c>
      <c r="AA255" s="7" t="n">
        <v>215510.6</v>
      </c>
      <c r="AB255" s="7" t="n">
        <v>220026.2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128841.5</v>
      </c>
      <c r="D256" s="7" t="n">
        <v>82021.10000000001</v>
      </c>
      <c r="E256" s="7" t="n">
        <v>119635.3</v>
      </c>
      <c r="F256" s="7" t="n">
        <v>69083.8</v>
      </c>
      <c r="G256" s="7" t="n">
        <v>145000</v>
      </c>
      <c r="H256" s="7" t="n">
        <v>82689.7</v>
      </c>
      <c r="I256" s="7" t="n">
        <v>130915.5</v>
      </c>
      <c r="J256" s="7" t="n">
        <v>87056.8</v>
      </c>
      <c r="K256" s="7" t="n">
        <v>143052.4</v>
      </c>
      <c r="L256" s="7" t="n">
        <v>139774.8</v>
      </c>
      <c r="M256" s="7" t="n">
        <v>153171.3</v>
      </c>
      <c r="N256" s="7" t="n">
        <v>130648.3</v>
      </c>
      <c r="O256" s="7" t="n">
        <v>144396.5</v>
      </c>
      <c r="P256" s="7" t="n">
        <v>306518.2</v>
      </c>
      <c r="Q256" s="7" t="n">
        <v>130423.6</v>
      </c>
      <c r="R256" s="7" t="n">
        <v>233626</v>
      </c>
      <c r="S256" s="7" t="n">
        <v>132014.7</v>
      </c>
      <c r="T256" s="7" t="n">
        <v>143295.6</v>
      </c>
      <c r="U256" s="7" t="n">
        <v>119148.2</v>
      </c>
      <c r="V256" s="7" t="n">
        <v>168053.3</v>
      </c>
      <c r="W256" s="7" t="n">
        <v>127830.2</v>
      </c>
      <c r="X256" s="7" t="n">
        <v>96113.89999999999</v>
      </c>
      <c r="Y256" s="7" t="n">
        <v>131172.3</v>
      </c>
      <c r="Z256" s="7" t="n">
        <v>63283.2</v>
      </c>
      <c r="AA256" s="8" t="n">
        <v>1605601.5</v>
      </c>
      <c r="AB256" s="8" t="n">
        <v>1602164.7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136.6</v>
      </c>
      <c r="E257" s="7" t="n">
        <v>0</v>
      </c>
      <c r="F257" s="7" t="n">
        <v>1017.9</v>
      </c>
      <c r="G257" s="7" t="n">
        <v>0</v>
      </c>
      <c r="H257" s="7" t="n">
        <v>4134.6</v>
      </c>
      <c r="I257" s="7" t="n">
        <v>0</v>
      </c>
      <c r="J257" s="7" t="n">
        <v>2319.2</v>
      </c>
      <c r="K257" s="7" t="n">
        <v>0</v>
      </c>
      <c r="L257" s="7" t="n">
        <v>1808.3</v>
      </c>
      <c r="M257" s="7" t="n">
        <v>0</v>
      </c>
      <c r="N257" s="7" t="n">
        <v>4027.5</v>
      </c>
      <c r="O257" s="7" t="n">
        <v>0</v>
      </c>
      <c r="P257" s="7" t="n">
        <v>3773.5</v>
      </c>
      <c r="Q257" s="7" t="n">
        <v>0</v>
      </c>
      <c r="R257" s="7" t="n">
        <v>2403.4</v>
      </c>
      <c r="S257" s="7" t="n">
        <v>0</v>
      </c>
      <c r="T257" s="7" t="n">
        <v>4974.5</v>
      </c>
      <c r="U257" s="7" t="n">
        <v>0</v>
      </c>
      <c r="V257" s="7" t="n">
        <v>3763.2</v>
      </c>
      <c r="W257" s="7" t="n">
        <v>0</v>
      </c>
      <c r="X257" s="7" t="n">
        <v>2405.8</v>
      </c>
      <c r="Y257" s="7" t="n">
        <v>0</v>
      </c>
      <c r="Z257" s="7" t="n">
        <v>3613.3</v>
      </c>
      <c r="AA257" s="7" t="n">
        <v>0</v>
      </c>
      <c r="AB257" s="7" t="n">
        <v>34377.8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649.5</v>
      </c>
      <c r="E258" s="7" t="n">
        <v>0</v>
      </c>
      <c r="F258" s="7" t="n">
        <v>1460</v>
      </c>
      <c r="G258" s="7" t="n">
        <v>0</v>
      </c>
      <c r="H258" s="7" t="n">
        <v>920.7</v>
      </c>
      <c r="I258" s="7" t="n">
        <v>0</v>
      </c>
      <c r="J258" s="7" t="n">
        <v>684.8</v>
      </c>
      <c r="K258" s="7" t="n">
        <v>0</v>
      </c>
      <c r="L258" s="7" t="n">
        <v>47.8</v>
      </c>
      <c r="M258" s="7" t="n">
        <v>0</v>
      </c>
      <c r="N258" s="7" t="n">
        <v>557.1</v>
      </c>
      <c r="O258" s="7" t="n">
        <v>0</v>
      </c>
      <c r="P258" s="7" t="n">
        <v>1326.9</v>
      </c>
      <c r="Q258" s="7" t="n">
        <v>0</v>
      </c>
      <c r="R258" s="7" t="n">
        <v>2464</v>
      </c>
      <c r="S258" s="7" t="n">
        <v>0</v>
      </c>
      <c r="T258" s="7" t="n">
        <v>2521.6</v>
      </c>
      <c r="U258" s="7" t="n">
        <v>0</v>
      </c>
      <c r="V258" s="7" t="n">
        <v>1509.8</v>
      </c>
      <c r="W258" s="7" t="n">
        <v>0</v>
      </c>
      <c r="X258" s="7" t="n">
        <v>973</v>
      </c>
      <c r="Y258" s="7" t="n">
        <v>0</v>
      </c>
      <c r="Z258" s="7" t="n">
        <v>1377.1</v>
      </c>
      <c r="AA258" s="7" t="n">
        <v>0</v>
      </c>
      <c r="AB258" s="7" t="n">
        <v>14492.3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116337.7</v>
      </c>
      <c r="D259" s="7" t="n">
        <v>76789.3</v>
      </c>
      <c r="E259" s="7" t="n">
        <v>131326.3</v>
      </c>
      <c r="F259" s="7" t="n">
        <v>62863.6</v>
      </c>
      <c r="G259" s="7" t="n">
        <v>124620.6</v>
      </c>
      <c r="H259" s="7" t="n">
        <v>83725.3</v>
      </c>
      <c r="I259" s="7" t="n">
        <v>114906.9</v>
      </c>
      <c r="J259" s="7" t="n">
        <v>84137.5</v>
      </c>
      <c r="K259" s="7" t="n">
        <v>140866.1</v>
      </c>
      <c r="L259" s="7" t="n">
        <v>147338.8</v>
      </c>
      <c r="M259" s="7" t="n">
        <v>129735.3</v>
      </c>
      <c r="N259" s="7" t="n">
        <v>127889.7</v>
      </c>
      <c r="O259" s="7" t="n">
        <v>122850.8</v>
      </c>
      <c r="P259" s="7" t="n">
        <v>308239.4</v>
      </c>
      <c r="Q259" s="7" t="n">
        <v>133816.1</v>
      </c>
      <c r="R259" s="7" t="n">
        <v>256113.2</v>
      </c>
      <c r="S259" s="7" t="n">
        <v>117222.8</v>
      </c>
      <c r="T259" s="7" t="n">
        <v>154573</v>
      </c>
      <c r="U259" s="7" t="n">
        <v>148225.9</v>
      </c>
      <c r="V259" s="7" t="n">
        <v>157497.4</v>
      </c>
      <c r="W259" s="7" t="n">
        <v>122836.8</v>
      </c>
      <c r="X259" s="7" t="n">
        <v>96425.2</v>
      </c>
      <c r="Y259" s="7" t="n">
        <v>128159.8</v>
      </c>
      <c r="Z259" s="7" t="n">
        <v>60755.1</v>
      </c>
      <c r="AA259" s="8" t="n">
        <v>1530905.1</v>
      </c>
      <c r="AB259" s="8" t="n">
        <v>1616347.5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35963.3</v>
      </c>
      <c r="D260" s="7" t="n">
        <v>19197.3</v>
      </c>
      <c r="E260" s="7" t="n">
        <v>38390.6</v>
      </c>
      <c r="F260" s="7" t="n">
        <v>15715.9</v>
      </c>
      <c r="G260" s="7" t="n">
        <v>32672.6</v>
      </c>
      <c r="H260" s="7" t="n">
        <v>20931.3</v>
      </c>
      <c r="I260" s="7" t="n">
        <v>32841.2</v>
      </c>
      <c r="J260" s="7" t="n">
        <v>21034.4</v>
      </c>
      <c r="K260" s="7" t="n">
        <v>30020.6</v>
      </c>
      <c r="L260" s="7" t="n">
        <v>36834.7</v>
      </c>
      <c r="M260" s="7" t="n">
        <v>34721.9</v>
      </c>
      <c r="N260" s="7" t="n">
        <v>31972.4</v>
      </c>
      <c r="O260" s="7" t="n">
        <v>30824</v>
      </c>
      <c r="P260" s="7" t="n">
        <v>77059.89999999999</v>
      </c>
      <c r="Q260" s="7" t="n">
        <v>33967</v>
      </c>
      <c r="R260" s="7" t="n">
        <v>64028.3</v>
      </c>
      <c r="S260" s="7" t="n">
        <v>35916.9</v>
      </c>
      <c r="T260" s="7" t="n">
        <v>38643.2</v>
      </c>
      <c r="U260" s="7" t="n">
        <v>37067.2</v>
      </c>
      <c r="V260" s="7" t="n">
        <v>39374.3</v>
      </c>
      <c r="W260" s="7" t="n">
        <v>34758.7</v>
      </c>
      <c r="X260" s="7" t="n">
        <v>24106.3</v>
      </c>
      <c r="Y260" s="7" t="n">
        <v>32728.7</v>
      </c>
      <c r="Z260" s="7" t="n">
        <v>15188.8</v>
      </c>
      <c r="AA260" s="7" t="n">
        <v>409872.7</v>
      </c>
      <c r="AB260" s="7" t="n">
        <v>404086.8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72140.89999999999</v>
      </c>
      <c r="D261" s="7" t="n">
        <v>57592</v>
      </c>
      <c r="E261" s="7" t="n">
        <v>116767.3</v>
      </c>
      <c r="F261" s="7" t="n">
        <v>47147.7</v>
      </c>
      <c r="G261" s="7" t="n">
        <v>86857.3</v>
      </c>
      <c r="H261" s="7" t="n">
        <v>62794</v>
      </c>
      <c r="I261" s="7" t="n">
        <v>91704.10000000001</v>
      </c>
      <c r="J261" s="7" t="n">
        <v>63103.1</v>
      </c>
      <c r="K261" s="7" t="n">
        <v>78064.8</v>
      </c>
      <c r="L261" s="7" t="n">
        <v>110504.1</v>
      </c>
      <c r="M261" s="7" t="n">
        <v>101003.9</v>
      </c>
      <c r="N261" s="7" t="n">
        <v>95917.3</v>
      </c>
      <c r="O261" s="7" t="n">
        <v>103071.9</v>
      </c>
      <c r="P261" s="7" t="n">
        <v>231179.5</v>
      </c>
      <c r="Q261" s="7" t="n">
        <v>116551.8</v>
      </c>
      <c r="R261" s="7" t="n">
        <v>192084.9</v>
      </c>
      <c r="S261" s="7" t="n">
        <v>79517.2</v>
      </c>
      <c r="T261" s="7" t="n">
        <v>115929.8</v>
      </c>
      <c r="U261" s="7" t="n">
        <v>74102.7</v>
      </c>
      <c r="V261" s="7" t="n">
        <v>118123.1</v>
      </c>
      <c r="W261" s="7" t="n">
        <v>121211</v>
      </c>
      <c r="X261" s="7" t="n">
        <v>72318.89999999999</v>
      </c>
      <c r="Y261" s="7" t="n">
        <v>106271.4</v>
      </c>
      <c r="Z261" s="7" t="n">
        <v>45566.3</v>
      </c>
      <c r="AA261" s="8" t="n">
        <v>1147264.3</v>
      </c>
      <c r="AB261" s="8" t="n">
        <v>1212260.7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11607.5</v>
      </c>
      <c r="E262" s="7" t="n">
        <v>0</v>
      </c>
      <c r="F262" s="7" t="n">
        <v>427.3</v>
      </c>
      <c r="G262" s="7" t="n">
        <v>0</v>
      </c>
      <c r="H262" s="7" t="n">
        <v>4959.1</v>
      </c>
      <c r="I262" s="7" t="n">
        <v>0</v>
      </c>
      <c r="J262" s="7" t="n">
        <v>17388.5</v>
      </c>
      <c r="K262" s="7" t="n">
        <v>0</v>
      </c>
      <c r="L262" s="7" t="n">
        <v>17348.6</v>
      </c>
      <c r="M262" s="7" t="n">
        <v>0</v>
      </c>
      <c r="N262" s="7" t="n">
        <v>11319.7</v>
      </c>
      <c r="O262" s="7" t="n">
        <v>0</v>
      </c>
      <c r="P262" s="7" t="n">
        <v>47120.6</v>
      </c>
      <c r="Q262" s="7" t="n">
        <v>0</v>
      </c>
      <c r="R262" s="7" t="n">
        <v>10163.1</v>
      </c>
      <c r="S262" s="7" t="n">
        <v>0</v>
      </c>
      <c r="T262" s="7" t="n">
        <v>24133.9</v>
      </c>
      <c r="U262" s="7" t="n">
        <v>0</v>
      </c>
      <c r="V262" s="7" t="n">
        <v>27646.9</v>
      </c>
      <c r="W262" s="7" t="n">
        <v>0</v>
      </c>
      <c r="X262" s="7" t="n">
        <v>16866.7</v>
      </c>
      <c r="Y262" s="7" t="n">
        <v>0</v>
      </c>
      <c r="Z262" s="7" t="n">
        <v>3550.2</v>
      </c>
      <c r="AA262" s="7" t="n">
        <v>0</v>
      </c>
      <c r="AB262" s="7" t="n">
        <v>192532.1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72140.89999999999</v>
      </c>
      <c r="D263" s="7" t="n">
        <v>45984.5</v>
      </c>
      <c r="E263" s="7" t="n">
        <v>116767.3</v>
      </c>
      <c r="F263" s="7" t="n">
        <v>46720.4</v>
      </c>
      <c r="G263" s="7" t="n">
        <v>86857.3</v>
      </c>
      <c r="H263" s="7" t="n">
        <v>57834.9</v>
      </c>
      <c r="I263" s="7" t="n">
        <v>91704.10000000001</v>
      </c>
      <c r="J263" s="7" t="n">
        <v>45714.6</v>
      </c>
      <c r="K263" s="7" t="n">
        <v>78064.8</v>
      </c>
      <c r="L263" s="7" t="n">
        <v>93155.5</v>
      </c>
      <c r="M263" s="7" t="n">
        <v>101003.9</v>
      </c>
      <c r="N263" s="7" t="n">
        <v>84597.60000000001</v>
      </c>
      <c r="O263" s="7" t="n">
        <v>103071.9</v>
      </c>
      <c r="P263" s="7" t="n">
        <v>184058.9</v>
      </c>
      <c r="Q263" s="7" t="n">
        <v>116551.8</v>
      </c>
      <c r="R263" s="7" t="n">
        <v>181921.8</v>
      </c>
      <c r="S263" s="7" t="n">
        <v>79517.2</v>
      </c>
      <c r="T263" s="7" t="n">
        <v>91795.89999999999</v>
      </c>
      <c r="U263" s="7" t="n">
        <v>74102.7</v>
      </c>
      <c r="V263" s="7" t="n">
        <v>90476.2</v>
      </c>
      <c r="W263" s="7" t="n">
        <v>121211</v>
      </c>
      <c r="X263" s="7" t="n">
        <v>55452.2</v>
      </c>
      <c r="Y263" s="7" t="n">
        <v>106271.4</v>
      </c>
      <c r="Z263" s="7" t="n">
        <v>42016.1</v>
      </c>
      <c r="AA263" s="8" t="n">
        <v>1147264.3</v>
      </c>
      <c r="AB263" s="8" t="n">
        <v>1019728.6</v>
      </c>
    </row>
    <row r="264">
      <c r="A264" s="4" t="inlineStr">
        <is>
          <t>净利率</t>
        </is>
      </c>
      <c r="D264" s="13" t="n">
        <v>8.4</v>
      </c>
      <c r="F264" s="13" t="n">
        <v>9.800000000000001</v>
      </c>
      <c r="H264" s="13" t="n">
        <v>7.4</v>
      </c>
      <c r="J264" s="13" t="n">
        <v>4.8</v>
      </c>
      <c r="L264" s="13" t="n">
        <v>7.4</v>
      </c>
      <c r="N264" s="13" t="n">
        <v>5.2</v>
      </c>
      <c r="P264" s="13" t="n">
        <v>9.9</v>
      </c>
      <c r="R264" s="13" t="n">
        <v>9.699999999999999</v>
      </c>
      <c r="T264" s="13" t="n">
        <v>11</v>
      </c>
      <c r="V264" s="13" t="n">
        <v>8.800000000000001</v>
      </c>
      <c r="X264" s="13" t="n">
        <v>7</v>
      </c>
      <c r="Z264" s="13" t="n">
        <v>5.6</v>
      </c>
    </row>
    <row r="265">
      <c r="A265" s="4" t="inlineStr">
        <is>
          <t>销售达成率</t>
        </is>
      </c>
      <c r="D265" s="13" t="n">
        <v>56.5</v>
      </c>
      <c r="F265" s="13" t="n">
        <v>35.8</v>
      </c>
      <c r="H265" s="13" t="n">
        <v>63.8</v>
      </c>
      <c r="J265" s="13" t="n">
        <v>93</v>
      </c>
      <c r="L265" s="13" t="n">
        <v>106.3</v>
      </c>
      <c r="N265" s="13" t="n">
        <v>130.9</v>
      </c>
      <c r="P265" s="13" t="n">
        <v>190.7</v>
      </c>
      <c r="R265" s="13" t="n">
        <v>164.3</v>
      </c>
      <c r="T265" s="13" t="n">
        <v>77.40000000000001</v>
      </c>
      <c r="V265" s="13" t="n">
        <v>97.7</v>
      </c>
      <c r="X265" s="13" t="n">
        <v>72.40000000000001</v>
      </c>
      <c r="Z265" s="13" t="n">
        <v>74.5</v>
      </c>
    </row>
    <row r="266">
      <c r="A266" s="4" t="inlineStr">
        <is>
          <t>净利达成率</t>
        </is>
      </c>
      <c r="D266" s="13" t="n">
        <v>79.8</v>
      </c>
      <c r="F266" s="13" t="n">
        <v>40.4</v>
      </c>
      <c r="H266" s="13" t="n">
        <v>72.3</v>
      </c>
      <c r="J266" s="13" t="n">
        <v>68.8</v>
      </c>
      <c r="L266" s="13" t="n">
        <v>141.6</v>
      </c>
      <c r="N266" s="13" t="n">
        <v>95</v>
      </c>
      <c r="P266" s="13" t="n">
        <v>224.3</v>
      </c>
      <c r="R266" s="13" t="n">
        <v>164.8</v>
      </c>
      <c r="T266" s="13" t="n">
        <v>145.8</v>
      </c>
      <c r="V266" s="13" t="n">
        <v>159.4</v>
      </c>
      <c r="X266" s="13" t="n">
        <v>59.7</v>
      </c>
      <c r="Z266" s="13" t="n">
        <v>42.9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安徽省区利润表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460557.3</v>
      </c>
      <c r="D6" s="7" t="n">
        <v>0</v>
      </c>
      <c r="E6" s="7" t="n">
        <v>518678.8</v>
      </c>
      <c r="F6" s="7" t="n">
        <v>283156</v>
      </c>
      <c r="G6" s="7" t="n">
        <v>402803.7</v>
      </c>
      <c r="H6" s="7" t="n">
        <v>176489</v>
      </c>
      <c r="I6" s="7" t="n">
        <v>403815.2</v>
      </c>
      <c r="J6" s="7" t="n">
        <v>899866.6</v>
      </c>
      <c r="K6" s="7" t="n">
        <v>476912.8</v>
      </c>
      <c r="L6" s="7" t="n">
        <v>446764.4</v>
      </c>
      <c r="M6" s="7" t="n">
        <v>401721.6</v>
      </c>
      <c r="N6" s="7" t="n">
        <v>512036.5</v>
      </c>
      <c r="O6" s="7" t="n">
        <v>430729.4</v>
      </c>
      <c r="P6" s="7" t="n">
        <v>435188.2</v>
      </c>
      <c r="Q6" s="7" t="n">
        <v>480346.5</v>
      </c>
      <c r="R6" s="7" t="n">
        <v>728915.6</v>
      </c>
      <c r="S6" s="7" t="n">
        <v>468606.6</v>
      </c>
      <c r="T6" s="7" t="n">
        <v>374582.2</v>
      </c>
      <c r="U6" s="7" t="n">
        <v>437681.5</v>
      </c>
      <c r="V6" s="7" t="n">
        <v>650381.6</v>
      </c>
      <c r="W6" s="7" t="n">
        <v>530447.2</v>
      </c>
      <c r="X6" s="7" t="n">
        <v>659112.6</v>
      </c>
      <c r="Y6" s="7" t="n">
        <v>466140.1</v>
      </c>
      <c r="Z6" s="7" t="n">
        <v>303561.5</v>
      </c>
      <c r="AA6" s="8" t="n">
        <v>5478440.7</v>
      </c>
      <c r="AB6" s="8" t="n">
        <v>5470054.2</v>
      </c>
    </row>
    <row r="7">
      <c r="A7" s="4" t="inlineStr">
        <is>
          <t>中式汤底</t>
        </is>
      </c>
      <c r="D7" s="7" t="n">
        <v>0</v>
      </c>
      <c r="F7" s="7" t="n">
        <v>0</v>
      </c>
      <c r="H7" s="7" t="n">
        <v>104231.5</v>
      </c>
      <c r="J7" s="7" t="n">
        <v>203633.9</v>
      </c>
      <c r="L7" s="7" t="n">
        <v>0</v>
      </c>
      <c r="N7" s="7" t="n">
        <v>178700.4</v>
      </c>
      <c r="P7" s="7" t="n">
        <v>0</v>
      </c>
      <c r="R7" s="7" t="n">
        <v>153467.4</v>
      </c>
      <c r="T7" s="7" t="n">
        <v>0</v>
      </c>
      <c r="V7" s="7" t="n">
        <v>0</v>
      </c>
      <c r="X7" s="7" t="n">
        <v>154086.7</v>
      </c>
      <c r="Z7" s="7" t="n">
        <v>0</v>
      </c>
      <c r="AB7" s="7" t="n">
        <v>794119.9</v>
      </c>
    </row>
    <row r="8">
      <c r="A8" s="4" t="inlineStr">
        <is>
          <t>酱料</t>
        </is>
      </c>
      <c r="D8" s="7" t="n">
        <v>0</v>
      </c>
      <c r="F8" s="7" t="n">
        <v>126636.2</v>
      </c>
      <c r="H8" s="7" t="n">
        <v>0</v>
      </c>
      <c r="J8" s="7" t="n">
        <v>0</v>
      </c>
      <c r="L8" s="7" t="n">
        <v>0</v>
      </c>
      <c r="N8" s="7" t="n">
        <v>246276.5</v>
      </c>
      <c r="P8" s="7" t="n">
        <v>206186.5</v>
      </c>
      <c r="R8" s="7" t="n">
        <v>205312.6</v>
      </c>
      <c r="T8" s="7" t="n">
        <v>197093.2</v>
      </c>
      <c r="V8" s="7" t="n">
        <v>251222.9</v>
      </c>
      <c r="X8" s="7" t="n">
        <v>194531.7</v>
      </c>
      <c r="Z8" s="7" t="n">
        <v>0</v>
      </c>
      <c r="AB8" s="7" t="n">
        <v>1427259.6</v>
      </c>
    </row>
    <row r="9">
      <c r="A9" s="4" t="inlineStr">
        <is>
          <t>川味底料</t>
        </is>
      </c>
      <c r="D9" s="7" t="n">
        <v>0</v>
      </c>
      <c r="F9" s="7" t="n">
        <v>69656.7</v>
      </c>
      <c r="H9" s="7" t="n">
        <v>0</v>
      </c>
      <c r="J9" s="7" t="n">
        <v>116139.9</v>
      </c>
      <c r="L9" s="7" t="n">
        <v>127113.3</v>
      </c>
      <c r="N9" s="7" t="n">
        <v>0</v>
      </c>
      <c r="P9" s="7" t="n">
        <v>0</v>
      </c>
      <c r="R9" s="7" t="n">
        <v>147753.4</v>
      </c>
      <c r="T9" s="7" t="n">
        <v>0</v>
      </c>
      <c r="V9" s="7" t="n">
        <v>0</v>
      </c>
      <c r="X9" s="7" t="n">
        <v>130692.6</v>
      </c>
      <c r="Z9" s="7" t="n">
        <v>90104.5</v>
      </c>
      <c r="AB9" s="7" t="n">
        <v>681460.4</v>
      </c>
    </row>
    <row r="10">
      <c r="A10" s="4" t="inlineStr">
        <is>
          <t>调味汁</t>
        </is>
      </c>
      <c r="D10" s="7" t="n">
        <v>0</v>
      </c>
      <c r="F10" s="7" t="n">
        <v>0</v>
      </c>
      <c r="H10" s="7" t="n">
        <v>0</v>
      </c>
      <c r="J10" s="7" t="n">
        <v>190279.5</v>
      </c>
      <c r="L10" s="7" t="n">
        <v>199263.8</v>
      </c>
      <c r="N10" s="7" t="n">
        <v>0</v>
      </c>
      <c r="P10" s="7" t="n">
        <v>0</v>
      </c>
      <c r="R10" s="7" t="n">
        <v>233362.4</v>
      </c>
      <c r="T10" s="7" t="n">
        <v>0</v>
      </c>
      <c r="V10" s="7" t="n">
        <v>152664.7</v>
      </c>
      <c r="X10" s="7" t="n">
        <v>0</v>
      </c>
      <c r="Z10" s="7" t="n">
        <v>0</v>
      </c>
      <c r="AB10" s="7" t="n">
        <v>775570.4</v>
      </c>
    </row>
    <row r="11">
      <c r="A11" s="4" t="inlineStr">
        <is>
          <t>复合调味粉</t>
        </is>
      </c>
      <c r="D11" s="7" t="n">
        <v>0</v>
      </c>
      <c r="F11" s="7" t="n">
        <v>89819</v>
      </c>
      <c r="H11" s="7" t="n">
        <v>0</v>
      </c>
      <c r="J11" s="7" t="n">
        <v>186516.5</v>
      </c>
      <c r="L11" s="7" t="n">
        <v>0</v>
      </c>
      <c r="N11" s="7" t="n">
        <v>0</v>
      </c>
      <c r="P11" s="7" t="n">
        <v>0</v>
      </c>
      <c r="R11" s="7" t="n">
        <v>0</v>
      </c>
      <c r="T11" s="7" t="n">
        <v>0</v>
      </c>
      <c r="V11" s="7" t="n">
        <v>0</v>
      </c>
      <c r="X11" s="7" t="n">
        <v>193455.4</v>
      </c>
      <c r="Z11" s="7" t="n">
        <v>89972.7</v>
      </c>
      <c r="AB11" s="7" t="n">
        <v>559763.6</v>
      </c>
    </row>
    <row r="12">
      <c r="A12" s="4" t="inlineStr">
        <is>
          <t>团餐</t>
        </is>
      </c>
      <c r="D12" s="7" t="n">
        <v>0</v>
      </c>
      <c r="F12" s="7" t="n">
        <v>0</v>
      </c>
      <c r="H12" s="7" t="n">
        <v>75247.5</v>
      </c>
      <c r="J12" s="7" t="n">
        <v>105181.9</v>
      </c>
      <c r="L12" s="7" t="n">
        <v>129043.3</v>
      </c>
      <c r="N12" s="7" t="n">
        <v>92483</v>
      </c>
      <c r="P12" s="7" t="n">
        <v>0</v>
      </c>
      <c r="R12" s="7" t="n">
        <v>0</v>
      </c>
      <c r="T12" s="7" t="n">
        <v>0</v>
      </c>
      <c r="V12" s="7" t="n">
        <v>107631.3</v>
      </c>
      <c r="X12" s="7" t="n">
        <v>0</v>
      </c>
      <c r="Z12" s="7" t="n">
        <v>0</v>
      </c>
      <c r="AB12" s="7" t="n">
        <v>509587</v>
      </c>
    </row>
    <row r="13">
      <c r="A13" s="4" t="inlineStr">
        <is>
          <t>预制菜</t>
        </is>
      </c>
      <c r="D13" s="7" t="n">
        <v>0</v>
      </c>
      <c r="F13" s="7" t="n">
        <v>0</v>
      </c>
      <c r="H13" s="7" t="n">
        <v>0</v>
      </c>
      <c r="J13" s="7" t="n">
        <v>110484.9</v>
      </c>
      <c r="L13" s="7" t="n">
        <v>0</v>
      </c>
      <c r="N13" s="7" t="n">
        <v>0</v>
      </c>
      <c r="P13" s="7" t="n">
        <v>231989.7</v>
      </c>
      <c r="R13" s="7" t="n">
        <v>0</v>
      </c>
      <c r="T13" s="7" t="n">
        <v>181848</v>
      </c>
      <c r="V13" s="7" t="n">
        <v>143151.6</v>
      </c>
      <c r="X13" s="7" t="n">
        <v>0</v>
      </c>
      <c r="Z13" s="7" t="n">
        <v>127634.6</v>
      </c>
      <c r="AB13" s="7" t="n">
        <v>795108.8</v>
      </c>
    </row>
    <row r="14">
      <c r="A14" s="4" t="inlineStr">
        <is>
          <t>返利</t>
        </is>
      </c>
      <c r="D14" s="7" t="n">
        <v>-0</v>
      </c>
      <c r="F14" s="7" t="n">
        <v>-3006.5</v>
      </c>
      <c r="H14" s="7" t="n">
        <v>-3678.7</v>
      </c>
      <c r="J14" s="7" t="n">
        <v>-24342.9</v>
      </c>
      <c r="L14" s="7" t="n">
        <v>-11585.9</v>
      </c>
      <c r="N14" s="7" t="n">
        <v>-10082.9</v>
      </c>
      <c r="P14" s="7" t="n">
        <v>-9444.5</v>
      </c>
      <c r="R14" s="7" t="n">
        <v>-18382</v>
      </c>
      <c r="T14" s="7" t="n">
        <v>-11042.3</v>
      </c>
      <c r="V14" s="7" t="n">
        <v>-10833.1</v>
      </c>
      <c r="X14" s="7" t="n">
        <v>-18215.2</v>
      </c>
      <c r="Z14" s="7" t="n">
        <v>-5717.7</v>
      </c>
      <c r="AB14" s="7" t="n">
        <v>-126331.7</v>
      </c>
    </row>
    <row r="15">
      <c r="A15" s="4" t="inlineStr">
        <is>
          <t>其他</t>
        </is>
      </c>
      <c r="D15" s="7" t="n">
        <v>0</v>
      </c>
      <c r="F15" s="7" t="n">
        <v>50.6</v>
      </c>
      <c r="H15" s="7" t="n">
        <v>688.7</v>
      </c>
      <c r="J15" s="7" t="n">
        <v>11972.9</v>
      </c>
      <c r="L15" s="7" t="n">
        <v>2929.9</v>
      </c>
      <c r="N15" s="7" t="n">
        <v>4659.5</v>
      </c>
      <c r="P15" s="7" t="n">
        <v>6456.5</v>
      </c>
      <c r="R15" s="7" t="n">
        <v>7401.8</v>
      </c>
      <c r="T15" s="7" t="n">
        <v>6683.3</v>
      </c>
      <c r="V15" s="7" t="n">
        <v>6544.2</v>
      </c>
      <c r="X15" s="7" t="n">
        <v>4561.4</v>
      </c>
      <c r="Z15" s="7" t="n">
        <v>1567.4</v>
      </c>
      <c r="AB15" s="7" t="n">
        <v>53516.2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287207.9</v>
      </c>
      <c r="D16" s="7" t="n">
        <v>0</v>
      </c>
      <c r="E16" s="7" t="n">
        <v>273355.2</v>
      </c>
      <c r="F16" s="7" t="n">
        <v>197380</v>
      </c>
      <c r="G16" s="7" t="n">
        <v>284356.4</v>
      </c>
      <c r="H16" s="7" t="n">
        <v>123010.7</v>
      </c>
      <c r="I16" s="7" t="n">
        <v>356889.3</v>
      </c>
      <c r="J16" s="7" t="n">
        <v>608151.8</v>
      </c>
      <c r="K16" s="7" t="n">
        <v>281631.4</v>
      </c>
      <c r="L16" s="7" t="n">
        <v>308243</v>
      </c>
      <c r="M16" s="7" t="n">
        <v>277479.8</v>
      </c>
      <c r="N16" s="7" t="n">
        <v>351759</v>
      </c>
      <c r="O16" s="7" t="n">
        <v>339681.2</v>
      </c>
      <c r="P16" s="7" t="n">
        <v>302416.8</v>
      </c>
      <c r="Q16" s="7" t="n">
        <v>346705.5</v>
      </c>
      <c r="R16" s="7" t="n">
        <v>491896.6</v>
      </c>
      <c r="S16" s="7" t="n">
        <v>346159</v>
      </c>
      <c r="T16" s="7" t="n">
        <v>261393</v>
      </c>
      <c r="U16" s="7" t="n">
        <v>329256.4</v>
      </c>
      <c r="V16" s="7" t="n">
        <v>434226</v>
      </c>
      <c r="W16" s="7" t="n">
        <v>314029.1</v>
      </c>
      <c r="X16" s="7" t="n">
        <v>477996.9</v>
      </c>
      <c r="Y16" s="7" t="n">
        <v>325051.5</v>
      </c>
      <c r="Z16" s="7" t="n">
        <v>223105.7</v>
      </c>
      <c r="AA16" s="8" t="n">
        <v>3761802.7</v>
      </c>
      <c r="AB16" s="8" t="n">
        <v>3779579.5</v>
      </c>
    </row>
    <row r="17">
      <c r="A17" s="4" t="inlineStr">
        <is>
          <t>中式汤底</t>
        </is>
      </c>
      <c r="D17" s="7" t="n">
        <v>0</v>
      </c>
      <c r="F17" s="7" t="n">
        <v>0</v>
      </c>
      <c r="H17" s="7" t="n">
        <v>68197.7</v>
      </c>
      <c r="J17" s="7" t="n">
        <v>133235.7</v>
      </c>
      <c r="L17" s="7" t="n">
        <v>0</v>
      </c>
      <c r="N17" s="7" t="n">
        <v>116921.9</v>
      </c>
      <c r="P17" s="7" t="n">
        <v>0</v>
      </c>
      <c r="R17" s="7" t="n">
        <v>100412.2</v>
      </c>
      <c r="T17" s="7" t="n">
        <v>0</v>
      </c>
      <c r="V17" s="7" t="n">
        <v>0</v>
      </c>
      <c r="X17" s="7" t="n">
        <v>100817.4</v>
      </c>
      <c r="Z17" s="7" t="n">
        <v>0</v>
      </c>
      <c r="AB17" s="7" t="n">
        <v>519584.9</v>
      </c>
    </row>
    <row r="18">
      <c r="A18" s="4" t="inlineStr">
        <is>
          <t>酱料</t>
        </is>
      </c>
      <c r="D18" s="7" t="n">
        <v>0</v>
      </c>
      <c r="F18" s="7" t="n">
        <v>81250.89999999999</v>
      </c>
      <c r="H18" s="7" t="n">
        <v>0</v>
      </c>
      <c r="J18" s="7" t="n">
        <v>0</v>
      </c>
      <c r="L18" s="7" t="n">
        <v>0</v>
      </c>
      <c r="N18" s="7" t="n">
        <v>158013.1</v>
      </c>
      <c r="P18" s="7" t="n">
        <v>132291</v>
      </c>
      <c r="R18" s="7" t="n">
        <v>131730.3</v>
      </c>
      <c r="T18" s="7" t="n">
        <v>126456.7</v>
      </c>
      <c r="V18" s="7" t="n">
        <v>161186.7</v>
      </c>
      <c r="X18" s="7" t="n">
        <v>124813.2</v>
      </c>
      <c r="Z18" s="7" t="n">
        <v>0</v>
      </c>
      <c r="AB18" s="7" t="n">
        <v>915741.9</v>
      </c>
    </row>
    <row r="19">
      <c r="A19" s="4" t="inlineStr">
        <is>
          <t>川味底料</t>
        </is>
      </c>
      <c r="D19" s="7" t="n">
        <v>0</v>
      </c>
      <c r="F19" s="7" t="n">
        <v>51741.4</v>
      </c>
      <c r="H19" s="7" t="n">
        <v>0</v>
      </c>
      <c r="J19" s="7" t="n">
        <v>86269.3</v>
      </c>
      <c r="L19" s="7" t="n">
        <v>94420.39999999999</v>
      </c>
      <c r="N19" s="7" t="n">
        <v>0</v>
      </c>
      <c r="P19" s="7" t="n">
        <v>0</v>
      </c>
      <c r="R19" s="7" t="n">
        <v>109752</v>
      </c>
      <c r="T19" s="7" t="n">
        <v>0</v>
      </c>
      <c r="V19" s="7" t="n">
        <v>0</v>
      </c>
      <c r="X19" s="7" t="n">
        <v>97079.10000000001</v>
      </c>
      <c r="Z19" s="7" t="n">
        <v>66930.10000000001</v>
      </c>
      <c r="AB19" s="7" t="n">
        <v>506192.3</v>
      </c>
    </row>
    <row r="20">
      <c r="A20" s="4" t="inlineStr">
        <is>
          <t>调味汁</t>
        </is>
      </c>
      <c r="D20" s="7" t="n">
        <v>0</v>
      </c>
      <c r="F20" s="7" t="n">
        <v>0</v>
      </c>
      <c r="H20" s="7" t="n">
        <v>0</v>
      </c>
      <c r="J20" s="7" t="n">
        <v>106968.5</v>
      </c>
      <c r="L20" s="7" t="n">
        <v>112019.2</v>
      </c>
      <c r="N20" s="7" t="n">
        <v>0</v>
      </c>
      <c r="P20" s="7" t="n">
        <v>0</v>
      </c>
      <c r="R20" s="7" t="n">
        <v>131188.2</v>
      </c>
      <c r="T20" s="7" t="n">
        <v>0</v>
      </c>
      <c r="V20" s="7" t="n">
        <v>85822.8</v>
      </c>
      <c r="X20" s="7" t="n">
        <v>0</v>
      </c>
      <c r="Z20" s="7" t="n">
        <v>0</v>
      </c>
      <c r="AB20" s="7" t="n">
        <v>435998.7</v>
      </c>
    </row>
    <row r="21">
      <c r="A21" s="4" t="inlineStr">
        <is>
          <t>复合调味粉</t>
        </is>
      </c>
      <c r="D21" s="7" t="n">
        <v>0</v>
      </c>
      <c r="F21" s="7" t="n">
        <v>58004.8</v>
      </c>
      <c r="H21" s="7" t="n">
        <v>0</v>
      </c>
      <c r="J21" s="7" t="n">
        <v>120451.7</v>
      </c>
      <c r="L21" s="7" t="n">
        <v>0</v>
      </c>
      <c r="N21" s="7" t="n">
        <v>0</v>
      </c>
      <c r="P21" s="7" t="n">
        <v>0</v>
      </c>
      <c r="R21" s="7" t="n">
        <v>0</v>
      </c>
      <c r="T21" s="7" t="n">
        <v>0</v>
      </c>
      <c r="V21" s="7" t="n">
        <v>0</v>
      </c>
      <c r="X21" s="7" t="n">
        <v>124932.8</v>
      </c>
      <c r="Z21" s="7" t="n">
        <v>58104</v>
      </c>
      <c r="AB21" s="7" t="n">
        <v>361493.3</v>
      </c>
    </row>
    <row r="22">
      <c r="A22" s="4" t="inlineStr">
        <is>
          <t>团餐</t>
        </is>
      </c>
      <c r="D22" s="7" t="n">
        <v>0</v>
      </c>
      <c r="F22" s="7" t="n">
        <v>0</v>
      </c>
      <c r="H22" s="7" t="n">
        <v>47430.3</v>
      </c>
      <c r="J22" s="7" t="n">
        <v>66298.60000000001</v>
      </c>
      <c r="L22" s="7" t="n">
        <v>81339</v>
      </c>
      <c r="N22" s="7" t="n">
        <v>58294.2</v>
      </c>
      <c r="P22" s="7" t="n">
        <v>0</v>
      </c>
      <c r="R22" s="7" t="n">
        <v>0</v>
      </c>
      <c r="T22" s="7" t="n">
        <v>0</v>
      </c>
      <c r="V22" s="7" t="n">
        <v>67842.5</v>
      </c>
      <c r="X22" s="7" t="n">
        <v>0</v>
      </c>
      <c r="Z22" s="7" t="n">
        <v>0</v>
      </c>
      <c r="AB22" s="7" t="n">
        <v>321204.6</v>
      </c>
    </row>
    <row r="23">
      <c r="A23" s="4" t="inlineStr">
        <is>
          <t>预制菜</t>
        </is>
      </c>
      <c r="D23" s="7" t="n">
        <v>0</v>
      </c>
      <c r="F23" s="7" t="n">
        <v>0</v>
      </c>
      <c r="H23" s="7" t="n">
        <v>0</v>
      </c>
      <c r="J23" s="7" t="n">
        <v>75927.39999999999</v>
      </c>
      <c r="L23" s="7" t="n">
        <v>0</v>
      </c>
      <c r="N23" s="7" t="n">
        <v>0</v>
      </c>
      <c r="P23" s="7" t="n">
        <v>159427.8</v>
      </c>
      <c r="R23" s="7" t="n">
        <v>0</v>
      </c>
      <c r="T23" s="7" t="n">
        <v>124969.5</v>
      </c>
      <c r="V23" s="7" t="n">
        <v>98376.60000000001</v>
      </c>
      <c r="X23" s="7" t="n">
        <v>0</v>
      </c>
      <c r="Z23" s="7" t="n">
        <v>87713</v>
      </c>
      <c r="AB23" s="7" t="n">
        <v>546414.3</v>
      </c>
    </row>
    <row r="24">
      <c r="A24" s="4" t="inlineStr">
        <is>
          <t>其他</t>
        </is>
      </c>
      <c r="D24" s="7" t="n">
        <v>0</v>
      </c>
      <c r="F24" s="7" t="n">
        <v>407.2</v>
      </c>
      <c r="H24" s="7" t="n">
        <v>380.1</v>
      </c>
      <c r="J24" s="7" t="n">
        <v>9184.1</v>
      </c>
      <c r="L24" s="7" t="n">
        <v>907.2</v>
      </c>
      <c r="N24" s="7" t="n">
        <v>5885.1</v>
      </c>
      <c r="P24" s="7" t="n">
        <v>2170.1</v>
      </c>
      <c r="R24" s="7" t="n">
        <v>2733.9</v>
      </c>
      <c r="T24" s="7" t="n">
        <v>4209.6</v>
      </c>
      <c r="V24" s="7" t="n">
        <v>3340.1</v>
      </c>
      <c r="X24" s="7" t="n">
        <v>4955</v>
      </c>
      <c r="Z24" s="7" t="n">
        <v>137.8</v>
      </c>
      <c r="AB24" s="7" t="n">
        <v>34310.2</v>
      </c>
    </row>
    <row r="25">
      <c r="A25" s="4" t="inlineStr">
        <is>
          <t>运费</t>
        </is>
      </c>
      <c r="D25" s="7" t="n">
        <v>0</v>
      </c>
      <c r="F25" s="7" t="n">
        <v>6382.9</v>
      </c>
      <c r="H25" s="7" t="n">
        <v>7382.7</v>
      </c>
      <c r="J25" s="7" t="n">
        <v>19000.6</v>
      </c>
      <c r="L25" s="7" t="n">
        <v>20464.4</v>
      </c>
      <c r="N25" s="7" t="n">
        <v>18529.8</v>
      </c>
      <c r="P25" s="7" t="n">
        <v>10698</v>
      </c>
      <c r="R25" s="7" t="n">
        <v>18813.9</v>
      </c>
      <c r="T25" s="7" t="n">
        <v>9966.799999999999</v>
      </c>
      <c r="V25" s="7" t="n">
        <v>20997.4</v>
      </c>
      <c r="X25" s="7" t="n">
        <v>30354.4</v>
      </c>
      <c r="Z25" s="7" t="n">
        <v>10358.6</v>
      </c>
      <c r="AB25" s="7" t="n">
        <v>172949.5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173349.4</v>
      </c>
      <c r="D26" s="7" t="n">
        <v>0</v>
      </c>
      <c r="E26" s="7" t="n">
        <v>245323.6</v>
      </c>
      <c r="F26" s="7" t="n">
        <v>85776</v>
      </c>
      <c r="G26" s="7" t="n">
        <v>118447.3</v>
      </c>
      <c r="H26" s="7" t="n">
        <v>53478.3</v>
      </c>
      <c r="I26" s="7" t="n">
        <v>46925.9</v>
      </c>
      <c r="J26" s="7" t="n">
        <v>291714.8</v>
      </c>
      <c r="K26" s="7" t="n">
        <v>195281.4</v>
      </c>
      <c r="L26" s="7" t="n">
        <v>138521.4</v>
      </c>
      <c r="M26" s="7" t="n">
        <v>124241.8</v>
      </c>
      <c r="N26" s="7" t="n">
        <v>160277.5</v>
      </c>
      <c r="O26" s="7" t="n">
        <v>91048.2</v>
      </c>
      <c r="P26" s="7" t="n">
        <v>132771.4</v>
      </c>
      <c r="Q26" s="7" t="n">
        <v>133641</v>
      </c>
      <c r="R26" s="7" t="n">
        <v>237019</v>
      </c>
      <c r="S26" s="7" t="n">
        <v>122447.6</v>
      </c>
      <c r="T26" s="7" t="n">
        <v>113189.2</v>
      </c>
      <c r="U26" s="7" t="n">
        <v>108425.1</v>
      </c>
      <c r="V26" s="7" t="n">
        <v>216155.6</v>
      </c>
      <c r="W26" s="7" t="n">
        <v>216418.1</v>
      </c>
      <c r="X26" s="7" t="n">
        <v>181115.7</v>
      </c>
      <c r="Y26" s="7" t="n">
        <v>141088.6</v>
      </c>
      <c r="Z26" s="7" t="n">
        <v>80455.8</v>
      </c>
      <c r="AA26" s="8" t="n">
        <v>1716638</v>
      </c>
      <c r="AB26" s="8" t="n">
        <v>1690474.7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37.6</v>
      </c>
      <c r="D27" s="13" t="n">
        <v>0</v>
      </c>
      <c r="E27" s="13" t="n">
        <v>47.3</v>
      </c>
      <c r="F27" s="13" t="n">
        <v>30.3</v>
      </c>
      <c r="G27" s="13" t="n">
        <v>29.4</v>
      </c>
      <c r="H27" s="13" t="n">
        <v>30.3</v>
      </c>
      <c r="I27" s="13" t="n">
        <v>11.6</v>
      </c>
      <c r="J27" s="13" t="n">
        <v>32.4</v>
      </c>
      <c r="K27" s="13" t="n">
        <v>40.9</v>
      </c>
      <c r="L27" s="13" t="n">
        <v>31</v>
      </c>
      <c r="M27" s="13" t="n">
        <v>30.9</v>
      </c>
      <c r="N27" s="13" t="n">
        <v>31.3</v>
      </c>
      <c r="O27" s="13" t="n">
        <v>21.1</v>
      </c>
      <c r="P27" s="13" t="n">
        <v>30.5</v>
      </c>
      <c r="Q27" s="13" t="n">
        <v>27.8</v>
      </c>
      <c r="R27" s="13" t="n">
        <v>32.5</v>
      </c>
      <c r="S27" s="13" t="n">
        <v>26.1</v>
      </c>
      <c r="T27" s="13" t="n">
        <v>30.2</v>
      </c>
      <c r="U27" s="13" t="n">
        <v>24.8</v>
      </c>
      <c r="V27" s="13" t="n">
        <v>33.2</v>
      </c>
      <c r="W27" s="13" t="n">
        <v>40.8</v>
      </c>
      <c r="X27" s="13" t="n">
        <v>27.5</v>
      </c>
      <c r="Y27" s="13" t="n">
        <v>30.3</v>
      </c>
      <c r="Z27" s="13" t="n">
        <v>26.5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4341.1</v>
      </c>
      <c r="D28" s="7" t="n">
        <v>0</v>
      </c>
      <c r="E28" s="7" t="n">
        <v>3758.6</v>
      </c>
      <c r="F28" s="7" t="n">
        <v>1709</v>
      </c>
      <c r="G28" s="7" t="n">
        <v>4892.6</v>
      </c>
      <c r="H28" s="7" t="n">
        <v>1632.2</v>
      </c>
      <c r="I28" s="7" t="n">
        <v>3977.4</v>
      </c>
      <c r="J28" s="7" t="n">
        <v>9705.799999999999</v>
      </c>
      <c r="K28" s="7" t="n">
        <v>4506.7</v>
      </c>
      <c r="L28" s="7" t="n">
        <v>3160.1</v>
      </c>
      <c r="M28" s="7" t="n">
        <v>3980.6</v>
      </c>
      <c r="N28" s="7" t="n">
        <v>6945.7</v>
      </c>
      <c r="O28" s="7" t="n">
        <v>4699.5</v>
      </c>
      <c r="P28" s="7" t="n">
        <v>2955.7</v>
      </c>
      <c r="Q28" s="7" t="n">
        <v>3713.6</v>
      </c>
      <c r="R28" s="7" t="n">
        <v>3860.2</v>
      </c>
      <c r="S28" s="7" t="n">
        <v>4337</v>
      </c>
      <c r="T28" s="7" t="n">
        <v>2547.8</v>
      </c>
      <c r="U28" s="7" t="n">
        <v>4750.2</v>
      </c>
      <c r="V28" s="7" t="n">
        <v>5939.3</v>
      </c>
      <c r="W28" s="7" t="n">
        <v>4214.1</v>
      </c>
      <c r="X28" s="7" t="n">
        <v>9630.200000000001</v>
      </c>
      <c r="Y28" s="7" t="n">
        <v>4769.7</v>
      </c>
      <c r="Z28" s="7" t="n">
        <v>3244</v>
      </c>
      <c r="AA28" s="8" t="n">
        <v>51941.1</v>
      </c>
      <c r="AB28" s="8" t="n">
        <v>51330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77758.8</v>
      </c>
      <c r="D29" s="7" t="n">
        <v>0</v>
      </c>
      <c r="E29" s="7" t="n">
        <v>94515.39999999999</v>
      </c>
      <c r="F29" s="7" t="n">
        <v>67458.7</v>
      </c>
      <c r="G29" s="7" t="n">
        <v>77727.60000000001</v>
      </c>
      <c r="H29" s="7" t="n">
        <v>38992.3</v>
      </c>
      <c r="I29" s="7" t="n">
        <v>96620.10000000001</v>
      </c>
      <c r="J29" s="7" t="n">
        <v>100837</v>
      </c>
      <c r="K29" s="7" t="n">
        <v>82705.2</v>
      </c>
      <c r="L29" s="7" t="n">
        <v>106588</v>
      </c>
      <c r="M29" s="7" t="n">
        <v>78766.89999999999</v>
      </c>
      <c r="N29" s="7" t="n">
        <v>85431.89999999999</v>
      </c>
      <c r="O29" s="7" t="n">
        <v>75913.60000000001</v>
      </c>
      <c r="P29" s="7" t="n">
        <v>94340</v>
      </c>
      <c r="Q29" s="7" t="n">
        <v>93825.2</v>
      </c>
      <c r="R29" s="7" t="n">
        <v>170002</v>
      </c>
      <c r="S29" s="7" t="n">
        <v>77118.8</v>
      </c>
      <c r="T29" s="7" t="n">
        <v>75960.60000000001</v>
      </c>
      <c r="U29" s="7" t="n">
        <v>80177.7</v>
      </c>
      <c r="V29" s="7" t="n">
        <v>156874.9</v>
      </c>
      <c r="W29" s="7" t="n">
        <v>84427.89999999999</v>
      </c>
      <c r="X29" s="7" t="n">
        <v>94701.8</v>
      </c>
      <c r="Y29" s="7" t="n">
        <v>98219.2</v>
      </c>
      <c r="Z29" s="7" t="n">
        <v>39384.9</v>
      </c>
      <c r="AA29" s="8" t="n">
        <v>1017776.4</v>
      </c>
      <c r="AB29" s="8" t="n">
        <v>1030572.1</v>
      </c>
    </row>
    <row r="30">
      <c r="A30" s="4" t="inlineStr">
        <is>
          <t>职工薪酬</t>
        </is>
      </c>
      <c r="D30" s="7" t="n">
        <v>0</v>
      </c>
      <c r="F30" s="7" t="n">
        <v>36896.9</v>
      </c>
      <c r="H30" s="7" t="n">
        <v>16917.8</v>
      </c>
      <c r="J30" s="7" t="n">
        <v>59222.9</v>
      </c>
      <c r="L30" s="7" t="n">
        <v>48858.8</v>
      </c>
      <c r="N30" s="7" t="n">
        <v>45783.6</v>
      </c>
      <c r="P30" s="7" t="n">
        <v>56263.2</v>
      </c>
      <c r="R30" s="7" t="n">
        <v>87609</v>
      </c>
      <c r="T30" s="7" t="n">
        <v>37813.1</v>
      </c>
      <c r="V30" s="7" t="n">
        <v>70111.3</v>
      </c>
      <c r="X30" s="7" t="n">
        <v>54756.6</v>
      </c>
      <c r="Z30" s="7" t="n">
        <v>16875.1</v>
      </c>
      <c r="AB30" s="7" t="n">
        <v>531108.3</v>
      </c>
    </row>
    <row r="31">
      <c r="A31" s="4" t="inlineStr">
        <is>
          <t>工资</t>
        </is>
      </c>
      <c r="D31" s="7" t="n">
        <v>0</v>
      </c>
      <c r="F31" s="7" t="n">
        <v>22652.5</v>
      </c>
      <c r="H31" s="7" t="n">
        <v>9725.299999999999</v>
      </c>
      <c r="J31" s="7" t="n">
        <v>32151.7</v>
      </c>
      <c r="L31" s="7" t="n">
        <v>24824.3</v>
      </c>
      <c r="N31" s="7" t="n">
        <v>28716.1</v>
      </c>
      <c r="P31" s="7" t="n">
        <v>36645</v>
      </c>
      <c r="R31" s="7" t="n">
        <v>50794.2</v>
      </c>
      <c r="T31" s="7" t="n">
        <v>23347.6</v>
      </c>
      <c r="V31" s="7" t="n">
        <v>35400.6</v>
      </c>
      <c r="X31" s="7" t="n">
        <v>35140.6</v>
      </c>
      <c r="Z31" s="7" t="n">
        <v>9106.5</v>
      </c>
      <c r="AB31" s="7" t="n">
        <v>308504.4</v>
      </c>
    </row>
    <row r="32">
      <c r="A32" s="4" t="inlineStr">
        <is>
          <t>奖金及提成</t>
        </is>
      </c>
      <c r="D32" s="7" t="n">
        <v>0</v>
      </c>
      <c r="F32" s="7" t="n">
        <v>6130.9</v>
      </c>
      <c r="H32" s="7" t="n">
        <v>2841.2</v>
      </c>
      <c r="J32" s="7" t="n">
        <v>12957.2</v>
      </c>
      <c r="L32" s="7" t="n">
        <v>11063.1</v>
      </c>
      <c r="N32" s="7" t="n">
        <v>8180.5</v>
      </c>
      <c r="P32" s="7" t="n">
        <v>7313.8</v>
      </c>
      <c r="R32" s="7" t="n">
        <v>16290.8</v>
      </c>
      <c r="T32" s="7" t="n">
        <v>7230.5</v>
      </c>
      <c r="V32" s="7" t="n">
        <v>14700.4</v>
      </c>
      <c r="X32" s="7" t="n">
        <v>8510.6</v>
      </c>
      <c r="Z32" s="7" t="n">
        <v>3162.6</v>
      </c>
      <c r="AB32" s="7" t="n">
        <v>98381.60000000001</v>
      </c>
    </row>
    <row r="33">
      <c r="A33" s="4" t="inlineStr">
        <is>
          <t>社保</t>
        </is>
      </c>
      <c r="D33" s="7" t="n">
        <v>0</v>
      </c>
      <c r="F33" s="7" t="n">
        <v>5568.2</v>
      </c>
      <c r="H33" s="7" t="n">
        <v>2752</v>
      </c>
      <c r="J33" s="7" t="n">
        <v>10376.8</v>
      </c>
      <c r="L33" s="7" t="n">
        <v>8977.799999999999</v>
      </c>
      <c r="N33" s="7" t="n">
        <v>5870</v>
      </c>
      <c r="P33" s="7" t="n">
        <v>8674.4</v>
      </c>
      <c r="R33" s="7" t="n">
        <v>14305.1</v>
      </c>
      <c r="T33" s="7" t="n">
        <v>4339.1</v>
      </c>
      <c r="V33" s="7" t="n">
        <v>14227.6</v>
      </c>
      <c r="X33" s="7" t="n">
        <v>7601.9</v>
      </c>
      <c r="Z33" s="7" t="n">
        <v>3238</v>
      </c>
      <c r="AB33" s="7" t="n">
        <v>85930.89999999999</v>
      </c>
    </row>
    <row r="34">
      <c r="A34" s="4" t="inlineStr">
        <is>
          <t>养老</t>
        </is>
      </c>
      <c r="D34" s="7" t="n">
        <v>0</v>
      </c>
      <c r="F34" s="7" t="n">
        <v>153.2</v>
      </c>
      <c r="H34" s="7" t="n">
        <v>99.90000000000001</v>
      </c>
      <c r="J34" s="7" t="n">
        <v>229.6</v>
      </c>
      <c r="L34" s="7" t="n">
        <v>254.4</v>
      </c>
      <c r="N34" s="7" t="n">
        <v>120.4</v>
      </c>
      <c r="P34" s="7" t="n">
        <v>135.5</v>
      </c>
      <c r="R34" s="7" t="n">
        <v>237.2</v>
      </c>
      <c r="T34" s="7" t="n">
        <v>169.5</v>
      </c>
      <c r="V34" s="7" t="n">
        <v>236.2</v>
      </c>
      <c r="X34" s="7" t="n">
        <v>238.8</v>
      </c>
      <c r="Z34" s="7" t="n">
        <v>93.90000000000001</v>
      </c>
      <c r="AB34" s="7" t="n">
        <v>1968.6</v>
      </c>
    </row>
    <row r="35">
      <c r="A35" s="4" t="inlineStr">
        <is>
          <t>医疗</t>
        </is>
      </c>
      <c r="D35" s="7" t="n">
        <v>0</v>
      </c>
      <c r="F35" s="7" t="n">
        <v>306.1</v>
      </c>
      <c r="H35" s="7" t="n">
        <v>189</v>
      </c>
      <c r="J35" s="7" t="n">
        <v>458.7</v>
      </c>
      <c r="L35" s="7" t="n">
        <v>526.8</v>
      </c>
      <c r="N35" s="7" t="n">
        <v>409.8</v>
      </c>
      <c r="P35" s="7" t="n">
        <v>310.3</v>
      </c>
      <c r="R35" s="7" t="n">
        <v>477.3</v>
      </c>
      <c r="T35" s="7" t="n">
        <v>253.5</v>
      </c>
      <c r="V35" s="7" t="n">
        <v>638.7</v>
      </c>
      <c r="X35" s="7" t="n">
        <v>266.3</v>
      </c>
      <c r="Z35" s="7" t="n">
        <v>128.3</v>
      </c>
      <c r="AB35" s="7" t="n">
        <v>3964.8</v>
      </c>
    </row>
    <row r="36">
      <c r="A36" s="4" t="inlineStr">
        <is>
          <t>工伤</t>
        </is>
      </c>
      <c r="D36" s="7" t="n">
        <v>0</v>
      </c>
      <c r="F36" s="7" t="n">
        <v>324.2</v>
      </c>
      <c r="H36" s="7" t="n">
        <v>189.3</v>
      </c>
      <c r="J36" s="7" t="n">
        <v>418.3</v>
      </c>
      <c r="L36" s="7" t="n">
        <v>503</v>
      </c>
      <c r="N36" s="7" t="n">
        <v>460.4</v>
      </c>
      <c r="P36" s="7" t="n">
        <v>402.8</v>
      </c>
      <c r="R36" s="7" t="n">
        <v>1188</v>
      </c>
      <c r="T36" s="7" t="n">
        <v>556.7</v>
      </c>
      <c r="V36" s="7" t="n">
        <v>1093.9</v>
      </c>
      <c r="X36" s="7" t="n">
        <v>505.9</v>
      </c>
      <c r="Z36" s="7" t="n">
        <v>298</v>
      </c>
      <c r="AB36" s="7" t="n">
        <v>5940.5</v>
      </c>
    </row>
    <row r="37">
      <c r="A37" s="4" t="inlineStr">
        <is>
          <t>失业</t>
        </is>
      </c>
      <c r="D37" s="7" t="n">
        <v>0</v>
      </c>
      <c r="F37" s="7" t="n">
        <v>42</v>
      </c>
      <c r="H37" s="7" t="n">
        <v>26.2</v>
      </c>
      <c r="J37" s="7" t="n">
        <v>67.3</v>
      </c>
      <c r="L37" s="7" t="n">
        <v>89.7</v>
      </c>
      <c r="N37" s="7" t="n">
        <v>78.8</v>
      </c>
      <c r="P37" s="7" t="n">
        <v>58.7</v>
      </c>
      <c r="R37" s="7" t="n">
        <v>119.3</v>
      </c>
      <c r="T37" s="7" t="n">
        <v>56.7</v>
      </c>
      <c r="V37" s="7" t="n">
        <v>120.6</v>
      </c>
      <c r="X37" s="7" t="n">
        <v>73</v>
      </c>
      <c r="Z37" s="7" t="n">
        <v>32.8</v>
      </c>
      <c r="AB37" s="7" t="n">
        <v>765.1</v>
      </c>
    </row>
    <row r="38">
      <c r="A38" s="4" t="inlineStr">
        <is>
          <t>生育</t>
        </is>
      </c>
      <c r="D38" s="7" t="n">
        <v>0</v>
      </c>
      <c r="F38" s="7" t="n">
        <v>107.3</v>
      </c>
      <c r="H38" s="7" t="n">
        <v>43.4</v>
      </c>
      <c r="J38" s="7" t="n">
        <v>109.7</v>
      </c>
      <c r="L38" s="7" t="n">
        <v>176</v>
      </c>
      <c r="N38" s="7" t="n">
        <v>109.2</v>
      </c>
      <c r="P38" s="7" t="n">
        <v>102.7</v>
      </c>
      <c r="R38" s="7" t="n">
        <v>221.8</v>
      </c>
      <c r="T38" s="7" t="n">
        <v>73</v>
      </c>
      <c r="V38" s="7" t="n">
        <v>218.9</v>
      </c>
      <c r="X38" s="7" t="n">
        <v>117.4</v>
      </c>
      <c r="Z38" s="7" t="n">
        <v>61.7</v>
      </c>
      <c r="AB38" s="7" t="n">
        <v>1341.1</v>
      </c>
    </row>
    <row r="39">
      <c r="A39" s="4" t="inlineStr">
        <is>
          <t>公积金</t>
        </is>
      </c>
      <c r="D39" s="7" t="n">
        <v>0</v>
      </c>
      <c r="F39" s="7" t="n">
        <v>184.2</v>
      </c>
      <c r="H39" s="7" t="n">
        <v>165</v>
      </c>
      <c r="J39" s="7" t="n">
        <v>417.6</v>
      </c>
      <c r="L39" s="7" t="n">
        <v>433.3</v>
      </c>
      <c r="N39" s="7" t="n">
        <v>227.5</v>
      </c>
      <c r="P39" s="7" t="n">
        <v>408.9</v>
      </c>
      <c r="R39" s="7" t="n">
        <v>440.8</v>
      </c>
      <c r="T39" s="7" t="n">
        <v>313.2</v>
      </c>
      <c r="V39" s="7" t="n">
        <v>637.3</v>
      </c>
      <c r="X39" s="7" t="n">
        <v>312.8</v>
      </c>
      <c r="Z39" s="7" t="n">
        <v>173</v>
      </c>
      <c r="AB39" s="7" t="n">
        <v>3713.6</v>
      </c>
    </row>
    <row r="40">
      <c r="A40" s="4" t="inlineStr">
        <is>
          <t>工会经费</t>
        </is>
      </c>
      <c r="D40" s="7" t="n">
        <v>0</v>
      </c>
      <c r="F40" s="7" t="n">
        <v>343.9</v>
      </c>
      <c r="H40" s="7" t="n">
        <v>120.6</v>
      </c>
      <c r="J40" s="7" t="n">
        <v>342.1</v>
      </c>
      <c r="L40" s="7" t="n">
        <v>426.6</v>
      </c>
      <c r="N40" s="7" t="n">
        <v>280.6</v>
      </c>
      <c r="P40" s="7" t="n">
        <v>374.1</v>
      </c>
      <c r="R40" s="7" t="n">
        <v>603.8</v>
      </c>
      <c r="T40" s="7" t="n">
        <v>281.2</v>
      </c>
      <c r="V40" s="7" t="n">
        <v>500.9</v>
      </c>
      <c r="X40" s="7" t="n">
        <v>472.5</v>
      </c>
      <c r="Z40" s="7" t="n">
        <v>147</v>
      </c>
      <c r="AB40" s="7" t="n">
        <v>3893.3</v>
      </c>
    </row>
    <row r="41">
      <c r="A41" s="4" t="inlineStr">
        <is>
          <t>职工教育经费</t>
        </is>
      </c>
      <c r="D41" s="7" t="n">
        <v>0</v>
      </c>
      <c r="F41" s="7" t="n">
        <v>285.6</v>
      </c>
      <c r="H41" s="7" t="n">
        <v>158.3</v>
      </c>
      <c r="J41" s="7" t="n">
        <v>488.5</v>
      </c>
      <c r="L41" s="7" t="n">
        <v>376.6</v>
      </c>
      <c r="N41" s="7" t="n">
        <v>430.7</v>
      </c>
      <c r="P41" s="7" t="n">
        <v>279.4</v>
      </c>
      <c r="R41" s="7" t="n">
        <v>517.3</v>
      </c>
      <c r="T41" s="7" t="n">
        <v>277.9</v>
      </c>
      <c r="V41" s="7" t="n">
        <v>456.6</v>
      </c>
      <c r="X41" s="7" t="n">
        <v>309.6</v>
      </c>
      <c r="Z41" s="7" t="n">
        <v>152</v>
      </c>
      <c r="AB41" s="7" t="n">
        <v>3732.5</v>
      </c>
    </row>
    <row r="42">
      <c r="A42" s="4" t="inlineStr">
        <is>
          <t>福利费</t>
        </is>
      </c>
      <c r="D42" s="7" t="n">
        <v>0</v>
      </c>
      <c r="F42" s="7" t="n">
        <v>1731.6</v>
      </c>
      <c r="H42" s="7" t="n">
        <v>1155.4</v>
      </c>
      <c r="J42" s="7" t="n">
        <v>2489</v>
      </c>
      <c r="L42" s="7" t="n">
        <v>2757.1</v>
      </c>
      <c r="N42" s="7" t="n">
        <v>2078.2</v>
      </c>
      <c r="P42" s="7" t="n">
        <v>2567.6</v>
      </c>
      <c r="R42" s="7" t="n">
        <v>4657</v>
      </c>
      <c r="T42" s="7" t="n">
        <v>2023.6</v>
      </c>
      <c r="V42" s="7" t="n">
        <v>4187.9</v>
      </c>
      <c r="X42" s="7" t="n">
        <v>2408.6</v>
      </c>
      <c r="Z42" s="7" t="n">
        <v>896</v>
      </c>
      <c r="AB42" s="7" t="n">
        <v>26952</v>
      </c>
    </row>
    <row r="43">
      <c r="A43" s="4" t="inlineStr">
        <is>
          <t>职工房租</t>
        </is>
      </c>
      <c r="D43" s="7" t="n">
        <v>0</v>
      </c>
      <c r="F43" s="7" t="n">
        <v>296.4</v>
      </c>
      <c r="H43" s="7" t="n">
        <v>173.8</v>
      </c>
      <c r="J43" s="7" t="n">
        <v>537.8</v>
      </c>
      <c r="L43" s="7" t="n">
        <v>350.9</v>
      </c>
      <c r="N43" s="7" t="n">
        <v>409.6</v>
      </c>
      <c r="P43" s="7" t="n">
        <v>344.9</v>
      </c>
      <c r="R43" s="7" t="n">
        <v>895.1</v>
      </c>
      <c r="T43" s="7" t="n">
        <v>356.2</v>
      </c>
      <c r="V43" s="7" t="n">
        <v>621.2</v>
      </c>
      <c r="X43" s="7" t="n">
        <v>533.3</v>
      </c>
      <c r="Z43" s="7" t="n">
        <v>156.2</v>
      </c>
      <c r="AB43" s="7" t="n">
        <v>4675.4</v>
      </c>
    </row>
    <row r="44">
      <c r="A44" s="4" t="inlineStr">
        <is>
          <t>水电物业费</t>
        </is>
      </c>
      <c r="D44" s="7" t="n">
        <v>0</v>
      </c>
      <c r="F44" s="7" t="n">
        <v>62.3</v>
      </c>
      <c r="H44" s="7" t="n">
        <v>54.5</v>
      </c>
      <c r="J44" s="7" t="n">
        <v>153.6</v>
      </c>
      <c r="L44" s="7" t="n">
        <v>121.9</v>
      </c>
      <c r="N44" s="7" t="n">
        <v>95.3</v>
      </c>
      <c r="P44" s="7" t="n">
        <v>101.9</v>
      </c>
      <c r="R44" s="7" t="n">
        <v>241.1</v>
      </c>
      <c r="T44" s="7" t="n">
        <v>74.59999999999999</v>
      </c>
      <c r="V44" s="7" t="n">
        <v>206.2</v>
      </c>
      <c r="X44" s="7" t="n">
        <v>90.5</v>
      </c>
      <c r="Z44" s="7" t="n">
        <v>41.6</v>
      </c>
      <c r="AB44" s="7" t="n">
        <v>1243.5</v>
      </c>
    </row>
    <row r="45">
      <c r="A45" s="4" t="inlineStr">
        <is>
          <t>员工餐</t>
        </is>
      </c>
      <c r="D45" s="7" t="n">
        <v>0</v>
      </c>
      <c r="F45" s="7" t="n">
        <v>359.1</v>
      </c>
      <c r="H45" s="7" t="n">
        <v>269</v>
      </c>
      <c r="J45" s="7" t="n">
        <v>543.3</v>
      </c>
      <c r="L45" s="7" t="n">
        <v>460.9</v>
      </c>
      <c r="N45" s="7" t="n">
        <v>461.7</v>
      </c>
      <c r="P45" s="7" t="n">
        <v>668.4</v>
      </c>
      <c r="R45" s="7" t="n">
        <v>867.2</v>
      </c>
      <c r="T45" s="7" t="n">
        <v>479.7</v>
      </c>
      <c r="V45" s="7" t="n">
        <v>1052.4</v>
      </c>
      <c r="X45" s="7" t="n">
        <v>413.8</v>
      </c>
      <c r="Z45" s="7" t="n">
        <v>164.3</v>
      </c>
      <c r="AB45" s="7" t="n">
        <v>5739.8</v>
      </c>
    </row>
    <row r="46">
      <c r="A46" s="4" t="inlineStr">
        <is>
          <t>节日礼品</t>
        </is>
      </c>
      <c r="D46" s="7" t="n">
        <v>0</v>
      </c>
      <c r="F46" s="7" t="n">
        <v>205.6</v>
      </c>
      <c r="H46" s="7" t="n">
        <v>164.3</v>
      </c>
      <c r="J46" s="7" t="n">
        <v>321.9</v>
      </c>
      <c r="L46" s="7" t="n">
        <v>479.8</v>
      </c>
      <c r="N46" s="7" t="n">
        <v>358.8</v>
      </c>
      <c r="P46" s="7" t="n">
        <v>355.7</v>
      </c>
      <c r="R46" s="7" t="n">
        <v>693.9</v>
      </c>
      <c r="T46" s="7" t="n">
        <v>348</v>
      </c>
      <c r="V46" s="7" t="n">
        <v>494.4</v>
      </c>
      <c r="X46" s="7" t="n">
        <v>347.3</v>
      </c>
      <c r="Z46" s="7" t="n">
        <v>140.2</v>
      </c>
      <c r="AB46" s="7" t="n">
        <v>3909.9</v>
      </c>
    </row>
    <row r="47">
      <c r="A47" s="4" t="inlineStr">
        <is>
          <t>生日礼品</t>
        </is>
      </c>
      <c r="D47" s="7" t="n">
        <v>0</v>
      </c>
      <c r="F47" s="7" t="n">
        <v>228.6</v>
      </c>
      <c r="H47" s="7" t="n">
        <v>90.3</v>
      </c>
      <c r="J47" s="7" t="n">
        <v>235.5</v>
      </c>
      <c r="L47" s="7" t="n">
        <v>253.5</v>
      </c>
      <c r="N47" s="7" t="n">
        <v>193.9</v>
      </c>
      <c r="P47" s="7" t="n">
        <v>281.2</v>
      </c>
      <c r="R47" s="7" t="n">
        <v>497.7</v>
      </c>
      <c r="T47" s="7" t="n">
        <v>196.1</v>
      </c>
      <c r="V47" s="7" t="n">
        <v>406</v>
      </c>
      <c r="X47" s="7" t="n">
        <v>286.8</v>
      </c>
      <c r="Z47" s="7" t="n">
        <v>81.8</v>
      </c>
      <c r="AB47" s="7" t="n">
        <v>2751.4</v>
      </c>
    </row>
    <row r="48">
      <c r="A48" s="4" t="inlineStr">
        <is>
          <t>体检</t>
        </is>
      </c>
      <c r="D48" s="7" t="n">
        <v>0</v>
      </c>
      <c r="F48" s="7" t="n">
        <v>165.5</v>
      </c>
      <c r="H48" s="7" t="n">
        <v>111</v>
      </c>
      <c r="J48" s="7" t="n">
        <v>194.6</v>
      </c>
      <c r="L48" s="7" t="n">
        <v>292.6</v>
      </c>
      <c r="N48" s="7" t="n">
        <v>171.6</v>
      </c>
      <c r="P48" s="7" t="n">
        <v>210.9</v>
      </c>
      <c r="R48" s="7" t="n">
        <v>444.1</v>
      </c>
      <c r="T48" s="7" t="n">
        <v>193.4</v>
      </c>
      <c r="V48" s="7" t="n">
        <v>356.4</v>
      </c>
      <c r="X48" s="7" t="n">
        <v>253.1</v>
      </c>
      <c r="Z48" s="7" t="n">
        <v>90.09999999999999</v>
      </c>
      <c r="AB48" s="7" t="n">
        <v>2483.3</v>
      </c>
    </row>
    <row r="49">
      <c r="A49" s="4" t="inlineStr">
        <is>
          <t>其他福利支出</t>
        </is>
      </c>
      <c r="D49" s="7" t="n">
        <v>0</v>
      </c>
      <c r="F49" s="7" t="n">
        <v>414.1</v>
      </c>
      <c r="H49" s="7" t="n">
        <v>292.5</v>
      </c>
      <c r="J49" s="7" t="n">
        <v>502.3</v>
      </c>
      <c r="L49" s="7" t="n">
        <v>797.5</v>
      </c>
      <c r="N49" s="7" t="n">
        <v>387.3</v>
      </c>
      <c r="P49" s="7" t="n">
        <v>604.6</v>
      </c>
      <c r="R49" s="7" t="n">
        <v>1017.9</v>
      </c>
      <c r="T49" s="7" t="n">
        <v>375.6</v>
      </c>
      <c r="V49" s="7" t="n">
        <v>1051.3</v>
      </c>
      <c r="X49" s="7" t="n">
        <v>483.8</v>
      </c>
      <c r="Z49" s="7" t="n">
        <v>221.8</v>
      </c>
      <c r="AB49" s="7" t="n">
        <v>6148.7</v>
      </c>
    </row>
    <row r="50">
      <c r="A50" s="4" t="inlineStr">
        <is>
          <t>招聘费</t>
        </is>
      </c>
      <c r="D50" s="7" t="n">
        <v>0</v>
      </c>
      <c r="F50" s="7" t="n">
        <v>117.4</v>
      </c>
      <c r="H50" s="7" t="n">
        <v>63.3</v>
      </c>
      <c r="J50" s="7" t="n">
        <v>107.2</v>
      </c>
      <c r="L50" s="7" t="n">
        <v>159.2</v>
      </c>
      <c r="N50" s="7" t="n">
        <v>97.3</v>
      </c>
      <c r="P50" s="7" t="n">
        <v>106.6</v>
      </c>
      <c r="R50" s="7" t="n">
        <v>195.7</v>
      </c>
      <c r="T50" s="7" t="n">
        <v>98.3</v>
      </c>
      <c r="V50" s="7" t="n">
        <v>257</v>
      </c>
      <c r="X50" s="7" t="n">
        <v>137.3</v>
      </c>
      <c r="Z50" s="7" t="n">
        <v>51</v>
      </c>
      <c r="AB50" s="7" t="n">
        <v>1390.3</v>
      </c>
    </row>
    <row r="51">
      <c r="A51" s="4" t="inlineStr">
        <is>
          <t>办公费</t>
        </is>
      </c>
      <c r="D51" s="7" t="n">
        <v>0</v>
      </c>
      <c r="F51" s="7" t="n">
        <v>2550.5</v>
      </c>
      <c r="H51" s="7" t="n">
        <v>1103.6</v>
      </c>
      <c r="J51" s="7" t="n">
        <v>3491.5</v>
      </c>
      <c r="L51" s="7" t="n">
        <v>4135.6</v>
      </c>
      <c r="N51" s="7" t="n">
        <v>2481.8</v>
      </c>
      <c r="P51" s="7" t="n">
        <v>2919.3</v>
      </c>
      <c r="R51" s="7" t="n">
        <v>4147.5</v>
      </c>
      <c r="T51" s="7" t="n">
        <v>2635</v>
      </c>
      <c r="V51" s="7" t="n">
        <v>5781.6</v>
      </c>
      <c r="X51" s="7" t="n">
        <v>3090.1</v>
      </c>
      <c r="Z51" s="7" t="n">
        <v>891.3</v>
      </c>
      <c r="AB51" s="7" t="n">
        <v>33227.8</v>
      </c>
    </row>
    <row r="52">
      <c r="A52" s="4" t="inlineStr">
        <is>
          <t>市内交通费</t>
        </is>
      </c>
      <c r="D52" s="7" t="n">
        <v>0</v>
      </c>
      <c r="F52" s="7" t="n">
        <v>354.5</v>
      </c>
      <c r="H52" s="7" t="n">
        <v>209</v>
      </c>
      <c r="J52" s="7" t="n">
        <v>545.6</v>
      </c>
      <c r="L52" s="7" t="n">
        <v>690.1</v>
      </c>
      <c r="N52" s="7" t="n">
        <v>559.7</v>
      </c>
      <c r="P52" s="7" t="n">
        <v>686.2</v>
      </c>
      <c r="R52" s="7" t="n">
        <v>1121</v>
      </c>
      <c r="T52" s="7" t="n">
        <v>514.9</v>
      </c>
      <c r="V52" s="7" t="n">
        <v>911.3</v>
      </c>
      <c r="X52" s="7" t="n">
        <v>704.1</v>
      </c>
      <c r="Z52" s="7" t="n">
        <v>236</v>
      </c>
      <c r="AB52" s="7" t="n">
        <v>6532.4</v>
      </c>
    </row>
    <row r="53">
      <c r="A53" s="4" t="inlineStr">
        <is>
          <t>差旅费</t>
        </is>
      </c>
      <c r="D53" s="7" t="n">
        <v>0</v>
      </c>
      <c r="F53" s="7" t="n">
        <v>3801</v>
      </c>
      <c r="H53" s="7" t="n">
        <v>2005.8</v>
      </c>
      <c r="J53" s="7" t="n">
        <v>7252</v>
      </c>
      <c r="L53" s="7" t="n">
        <v>5791.7</v>
      </c>
      <c r="N53" s="7" t="n">
        <v>6169</v>
      </c>
      <c r="P53" s="7" t="n">
        <v>7232.4</v>
      </c>
      <c r="R53" s="7" t="n">
        <v>9351.299999999999</v>
      </c>
      <c r="T53" s="7" t="n">
        <v>3721.4</v>
      </c>
      <c r="V53" s="7" t="n">
        <v>6965.7</v>
      </c>
      <c r="X53" s="7" t="n">
        <v>6827.5</v>
      </c>
      <c r="Z53" s="7" t="n">
        <v>2571.5</v>
      </c>
      <c r="AB53" s="7" t="n">
        <v>61689.3</v>
      </c>
    </row>
    <row r="54">
      <c r="A54" s="4" t="inlineStr">
        <is>
          <t>交通费</t>
        </is>
      </c>
      <c r="D54" s="7" t="n">
        <v>0</v>
      </c>
      <c r="F54" s="7" t="n">
        <v>6.2</v>
      </c>
      <c r="H54" s="7" t="n">
        <v>5.5</v>
      </c>
      <c r="J54" s="7" t="n">
        <v>9.300000000000001</v>
      </c>
      <c r="L54" s="7" t="n">
        <v>10.9</v>
      </c>
      <c r="N54" s="7" t="n">
        <v>9.699999999999999</v>
      </c>
      <c r="P54" s="7" t="n">
        <v>9.5</v>
      </c>
      <c r="R54" s="7" t="n">
        <v>22.4</v>
      </c>
      <c r="T54" s="7" t="n">
        <v>7.3</v>
      </c>
      <c r="V54" s="7" t="n">
        <v>17</v>
      </c>
      <c r="X54" s="7" t="n">
        <v>11.4</v>
      </c>
      <c r="Z54" s="7" t="n">
        <v>3.6</v>
      </c>
      <c r="AB54" s="7" t="n">
        <v>112.8</v>
      </c>
    </row>
    <row r="55">
      <c r="A55" s="4" t="inlineStr">
        <is>
          <t>住宿费</t>
        </is>
      </c>
      <c r="D55" s="7" t="n">
        <v>0</v>
      </c>
      <c r="F55" s="7" t="n">
        <v>184.2</v>
      </c>
      <c r="H55" s="7" t="n">
        <v>110.2</v>
      </c>
      <c r="J55" s="7" t="n">
        <v>500.6</v>
      </c>
      <c r="L55" s="7" t="n">
        <v>520.9</v>
      </c>
      <c r="N55" s="7" t="n">
        <v>260.7</v>
      </c>
      <c r="P55" s="7" t="n">
        <v>363</v>
      </c>
      <c r="R55" s="7" t="n">
        <v>476.6</v>
      </c>
      <c r="T55" s="7" t="n">
        <v>277.1</v>
      </c>
      <c r="V55" s="7" t="n">
        <v>572.4</v>
      </c>
      <c r="X55" s="7" t="n">
        <v>460.9</v>
      </c>
      <c r="Z55" s="7" t="n">
        <v>175.6</v>
      </c>
      <c r="AB55" s="7" t="n">
        <v>3902.2</v>
      </c>
    </row>
    <row r="56">
      <c r="A56" s="4" t="inlineStr">
        <is>
          <t>餐补</t>
        </is>
      </c>
      <c r="D56" s="7" t="n">
        <v>0</v>
      </c>
      <c r="F56" s="7" t="n">
        <v>472.5</v>
      </c>
      <c r="H56" s="7" t="n">
        <v>259.7</v>
      </c>
      <c r="J56" s="7" t="n">
        <v>513.5</v>
      </c>
      <c r="L56" s="7" t="n">
        <v>482.7</v>
      </c>
      <c r="N56" s="7" t="n">
        <v>472.7</v>
      </c>
      <c r="P56" s="7" t="n">
        <v>649.6</v>
      </c>
      <c r="R56" s="7" t="n">
        <v>654.2</v>
      </c>
      <c r="T56" s="7" t="n">
        <v>431.9</v>
      </c>
      <c r="V56" s="7" t="n">
        <v>715.4</v>
      </c>
      <c r="X56" s="7" t="n">
        <v>414.9</v>
      </c>
      <c r="Z56" s="7" t="n">
        <v>185.2</v>
      </c>
      <c r="AB56" s="7" t="n">
        <v>5252.3</v>
      </c>
    </row>
    <row r="57">
      <c r="A57" s="4" t="inlineStr">
        <is>
          <t>交通补助</t>
        </is>
      </c>
      <c r="D57" s="7" t="n">
        <v>0</v>
      </c>
      <c r="F57" s="7" t="n">
        <v>43.7</v>
      </c>
      <c r="H57" s="7" t="n">
        <v>28</v>
      </c>
      <c r="J57" s="7" t="n">
        <v>65.8</v>
      </c>
      <c r="L57" s="7" t="n">
        <v>51.9</v>
      </c>
      <c r="N57" s="7" t="n">
        <v>61.6</v>
      </c>
      <c r="P57" s="7" t="n">
        <v>45.7</v>
      </c>
      <c r="R57" s="7" t="n">
        <v>95.09999999999999</v>
      </c>
      <c r="T57" s="7" t="n">
        <v>31.8</v>
      </c>
      <c r="V57" s="7" t="n">
        <v>117</v>
      </c>
      <c r="X57" s="7" t="n">
        <v>59.9</v>
      </c>
      <c r="Z57" s="7" t="n">
        <v>20.2</v>
      </c>
      <c r="AB57" s="7" t="n">
        <v>620.7</v>
      </c>
    </row>
    <row r="58">
      <c r="A58" s="4" t="inlineStr">
        <is>
          <t>通讯补助</t>
        </is>
      </c>
      <c r="D58" s="7" t="n">
        <v>0</v>
      </c>
      <c r="F58" s="7" t="n">
        <v>32.2</v>
      </c>
      <c r="H58" s="7" t="n">
        <v>19.5</v>
      </c>
      <c r="J58" s="7" t="n">
        <v>46.8</v>
      </c>
      <c r="L58" s="7" t="n">
        <v>59.2</v>
      </c>
      <c r="N58" s="7" t="n">
        <v>64.7</v>
      </c>
      <c r="P58" s="7" t="n">
        <v>50.3</v>
      </c>
      <c r="R58" s="7" t="n">
        <v>129.7</v>
      </c>
      <c r="T58" s="7" t="n">
        <v>38</v>
      </c>
      <c r="V58" s="7" t="n">
        <v>77.40000000000001</v>
      </c>
      <c r="X58" s="7" t="n">
        <v>56.8</v>
      </c>
      <c r="Z58" s="7" t="n">
        <v>29.8</v>
      </c>
      <c r="AB58" s="7" t="n">
        <v>604.4</v>
      </c>
    </row>
    <row r="59">
      <c r="A59" s="4" t="inlineStr">
        <is>
          <t>招待费</t>
        </is>
      </c>
      <c r="D59" s="7" t="n">
        <v>0</v>
      </c>
      <c r="F59" s="7" t="n">
        <v>2660.5</v>
      </c>
      <c r="H59" s="7" t="n">
        <v>1485</v>
      </c>
      <c r="J59" s="7" t="n">
        <v>5046.5</v>
      </c>
      <c r="L59" s="7" t="n">
        <v>3065.4</v>
      </c>
      <c r="N59" s="7" t="n">
        <v>4152.6</v>
      </c>
      <c r="P59" s="7" t="n">
        <v>3113.4</v>
      </c>
      <c r="R59" s="7" t="n">
        <v>5784.2</v>
      </c>
      <c r="T59" s="7" t="n">
        <v>2659.8</v>
      </c>
      <c r="V59" s="7" t="n">
        <v>6740.6</v>
      </c>
      <c r="X59" s="7" t="n">
        <v>2753.9</v>
      </c>
      <c r="Z59" s="7" t="n">
        <v>1365</v>
      </c>
      <c r="AB59" s="7" t="n">
        <v>38826.9</v>
      </c>
    </row>
    <row r="60">
      <c r="A60" s="4" t="inlineStr">
        <is>
          <t>通讯费</t>
        </is>
      </c>
      <c r="D60" s="7" t="n">
        <v>0</v>
      </c>
      <c r="F60" s="7" t="n">
        <v>170</v>
      </c>
      <c r="H60" s="7" t="n">
        <v>99.09999999999999</v>
      </c>
      <c r="J60" s="7" t="n">
        <v>285.4</v>
      </c>
      <c r="L60" s="7" t="n">
        <v>289</v>
      </c>
      <c r="N60" s="7" t="n">
        <v>311.8</v>
      </c>
      <c r="P60" s="7" t="n">
        <v>318.6</v>
      </c>
      <c r="R60" s="7" t="n">
        <v>476.2</v>
      </c>
      <c r="T60" s="7" t="n">
        <v>228.3</v>
      </c>
      <c r="V60" s="7" t="n">
        <v>358.5</v>
      </c>
      <c r="X60" s="7" t="n">
        <v>234.2</v>
      </c>
      <c r="Z60" s="7" t="n">
        <v>89.59999999999999</v>
      </c>
      <c r="AB60" s="7" t="n">
        <v>2860.7</v>
      </c>
    </row>
    <row r="61">
      <c r="A61" s="4" t="inlineStr">
        <is>
          <t>网络费</t>
        </is>
      </c>
      <c r="D61" s="7" t="n">
        <v>0</v>
      </c>
      <c r="F61" s="7" t="n">
        <v>324.5</v>
      </c>
      <c r="H61" s="7" t="n">
        <v>199.5</v>
      </c>
      <c r="J61" s="7" t="n">
        <v>678.4</v>
      </c>
      <c r="L61" s="7" t="n">
        <v>460.4</v>
      </c>
      <c r="N61" s="7" t="n">
        <v>493.1</v>
      </c>
      <c r="P61" s="7" t="n">
        <v>453.7</v>
      </c>
      <c r="R61" s="7" t="n">
        <v>892.2</v>
      </c>
      <c r="T61" s="7" t="n">
        <v>513.5</v>
      </c>
      <c r="V61" s="7" t="n">
        <v>1068.8</v>
      </c>
      <c r="X61" s="7" t="n">
        <v>548.2</v>
      </c>
      <c r="Z61" s="7" t="n">
        <v>212.6</v>
      </c>
      <c r="AB61" s="7" t="n">
        <v>5844.9</v>
      </c>
    </row>
    <row r="62">
      <c r="A62" s="4" t="inlineStr">
        <is>
          <t>修理费</t>
        </is>
      </c>
      <c r="D62" s="7" t="n">
        <v>0</v>
      </c>
      <c r="F62" s="7" t="n">
        <v>146.8</v>
      </c>
      <c r="H62" s="7" t="n">
        <v>52.2</v>
      </c>
      <c r="J62" s="7" t="n">
        <v>206.9</v>
      </c>
      <c r="L62" s="7" t="n">
        <v>207.8</v>
      </c>
      <c r="N62" s="7" t="n">
        <v>132</v>
      </c>
      <c r="P62" s="7" t="n">
        <v>132</v>
      </c>
      <c r="R62" s="7" t="n">
        <v>343.3</v>
      </c>
      <c r="T62" s="7" t="n">
        <v>99.5</v>
      </c>
      <c r="V62" s="7" t="n">
        <v>272.2</v>
      </c>
      <c r="X62" s="7" t="n">
        <v>115</v>
      </c>
      <c r="Z62" s="7" t="n">
        <v>73.40000000000001</v>
      </c>
      <c r="AB62" s="7" t="n">
        <v>1781.1</v>
      </c>
    </row>
    <row r="63">
      <c r="A63" s="4" t="inlineStr">
        <is>
          <t>车辆费</t>
        </is>
      </c>
      <c r="D63" s="7" t="n">
        <v>0</v>
      </c>
      <c r="F63" s="7" t="n">
        <v>87.2</v>
      </c>
      <c r="H63" s="7" t="n">
        <v>38</v>
      </c>
      <c r="J63" s="7" t="n">
        <v>124.9</v>
      </c>
      <c r="L63" s="7" t="n">
        <v>155.6</v>
      </c>
      <c r="N63" s="7" t="n">
        <v>68</v>
      </c>
      <c r="P63" s="7" t="n">
        <v>96.7</v>
      </c>
      <c r="R63" s="7" t="n">
        <v>192.9</v>
      </c>
      <c r="T63" s="7" t="n">
        <v>77.7</v>
      </c>
      <c r="V63" s="7" t="n">
        <v>219.1</v>
      </c>
      <c r="X63" s="7" t="n">
        <v>106.2</v>
      </c>
      <c r="Z63" s="7" t="n">
        <v>56.6</v>
      </c>
      <c r="AB63" s="7" t="n">
        <v>1222.9</v>
      </c>
    </row>
    <row r="64">
      <c r="A64" s="4" t="inlineStr">
        <is>
          <t>租赁费</t>
        </is>
      </c>
      <c r="D64" s="7" t="n">
        <v>0</v>
      </c>
      <c r="F64" s="7" t="n">
        <v>3152</v>
      </c>
      <c r="H64" s="7" t="n">
        <v>1690.5</v>
      </c>
      <c r="J64" s="7" t="n">
        <v>4501.2</v>
      </c>
      <c r="L64" s="7" t="n">
        <v>5617.1</v>
      </c>
      <c r="N64" s="7" t="n">
        <v>3031.1</v>
      </c>
      <c r="P64" s="7" t="n">
        <v>5560.6</v>
      </c>
      <c r="R64" s="7" t="n">
        <v>8916</v>
      </c>
      <c r="T64" s="7" t="n">
        <v>3160.8</v>
      </c>
      <c r="V64" s="7" t="n">
        <v>8002</v>
      </c>
      <c r="X64" s="7" t="n">
        <v>4058.5</v>
      </c>
      <c r="Z64" s="7" t="n">
        <v>1883.4</v>
      </c>
      <c r="AB64" s="7" t="n">
        <v>49573.2</v>
      </c>
    </row>
    <row r="65">
      <c r="A65" s="4" t="inlineStr">
        <is>
          <t>能源费</t>
        </is>
      </c>
      <c r="D65" s="7" t="n">
        <v>0</v>
      </c>
      <c r="F65" s="7" t="n">
        <v>1443.7</v>
      </c>
      <c r="H65" s="7" t="n">
        <v>863.5</v>
      </c>
      <c r="J65" s="7" t="n">
        <v>2111.4</v>
      </c>
      <c r="L65" s="7" t="n">
        <v>2220.8</v>
      </c>
      <c r="N65" s="7" t="n">
        <v>1818.8</v>
      </c>
      <c r="P65" s="7" t="n">
        <v>1972.1</v>
      </c>
      <c r="R65" s="7" t="n">
        <v>3355</v>
      </c>
      <c r="T65" s="7" t="n">
        <v>1451.6</v>
      </c>
      <c r="V65" s="7" t="n">
        <v>2914.5</v>
      </c>
      <c r="X65" s="7" t="n">
        <v>2269.4</v>
      </c>
      <c r="Z65" s="7" t="n">
        <v>782.5</v>
      </c>
      <c r="AB65" s="7" t="n">
        <v>21203.3</v>
      </c>
    </row>
    <row r="66">
      <c r="A66" s="4" t="inlineStr">
        <is>
          <t>水费</t>
        </is>
      </c>
      <c r="D66" s="7" t="n">
        <v>0</v>
      </c>
      <c r="F66" s="7" t="n">
        <v>261.7</v>
      </c>
      <c r="H66" s="7" t="n">
        <v>168.3</v>
      </c>
      <c r="J66" s="7" t="n">
        <v>440</v>
      </c>
      <c r="L66" s="7" t="n">
        <v>323.6</v>
      </c>
      <c r="N66" s="7" t="n">
        <v>288.1</v>
      </c>
      <c r="P66" s="7" t="n">
        <v>328.9</v>
      </c>
      <c r="R66" s="7" t="n">
        <v>669.5</v>
      </c>
      <c r="T66" s="7" t="n">
        <v>251.9</v>
      </c>
      <c r="V66" s="7" t="n">
        <v>468.7</v>
      </c>
      <c r="X66" s="7" t="n">
        <v>347.5</v>
      </c>
      <c r="Z66" s="7" t="n">
        <v>166</v>
      </c>
      <c r="AB66" s="7" t="n">
        <v>3714.2</v>
      </c>
    </row>
    <row r="67">
      <c r="A67" s="4" t="inlineStr">
        <is>
          <t>电费</t>
        </is>
      </c>
      <c r="D67" s="7" t="n">
        <v>0</v>
      </c>
      <c r="F67" s="7" t="n">
        <v>467.5</v>
      </c>
      <c r="H67" s="7" t="n">
        <v>303.2</v>
      </c>
      <c r="J67" s="7" t="n">
        <v>479.9</v>
      </c>
      <c r="L67" s="7" t="n">
        <v>622.8</v>
      </c>
      <c r="N67" s="7" t="n">
        <v>546.1</v>
      </c>
      <c r="P67" s="7" t="n">
        <v>635.8</v>
      </c>
      <c r="R67" s="7" t="n">
        <v>774.4</v>
      </c>
      <c r="T67" s="7" t="n">
        <v>353.6</v>
      </c>
      <c r="V67" s="7" t="n">
        <v>964.3</v>
      </c>
      <c r="X67" s="7" t="n">
        <v>751.6</v>
      </c>
      <c r="Z67" s="7" t="n">
        <v>199.4</v>
      </c>
      <c r="AB67" s="7" t="n">
        <v>6098.6</v>
      </c>
    </row>
    <row r="68">
      <c r="A68" s="4" t="inlineStr">
        <is>
          <t>燃气费</t>
        </is>
      </c>
      <c r="D68" s="7" t="n">
        <v>0</v>
      </c>
      <c r="F68" s="7" t="n">
        <v>376.8</v>
      </c>
      <c r="H68" s="7" t="n">
        <v>194.2</v>
      </c>
      <c r="J68" s="7" t="n">
        <v>623.6</v>
      </c>
      <c r="L68" s="7" t="n">
        <v>642.3</v>
      </c>
      <c r="N68" s="7" t="n">
        <v>568</v>
      </c>
      <c r="P68" s="7" t="n">
        <v>485.6</v>
      </c>
      <c r="R68" s="7" t="n">
        <v>821.5</v>
      </c>
      <c r="T68" s="7" t="n">
        <v>353.5</v>
      </c>
      <c r="V68" s="7" t="n">
        <v>821.5</v>
      </c>
      <c r="X68" s="7" t="n">
        <v>643.7</v>
      </c>
      <c r="Z68" s="7" t="n">
        <v>156.8</v>
      </c>
      <c r="AB68" s="7" t="n">
        <v>5687.5</v>
      </c>
    </row>
    <row r="69">
      <c r="A69" s="4" t="inlineStr">
        <is>
          <t>蒸汽费</t>
        </is>
      </c>
      <c r="D69" s="7" t="n">
        <v>0</v>
      </c>
      <c r="F69" s="7" t="n">
        <v>337.7</v>
      </c>
      <c r="H69" s="7" t="n">
        <v>197.8</v>
      </c>
      <c r="J69" s="7" t="n">
        <v>567.9</v>
      </c>
      <c r="L69" s="7" t="n">
        <v>632.1</v>
      </c>
      <c r="N69" s="7" t="n">
        <v>416.6</v>
      </c>
      <c r="P69" s="7" t="n">
        <v>521.8</v>
      </c>
      <c r="R69" s="7" t="n">
        <v>1089.6</v>
      </c>
      <c r="T69" s="7" t="n">
        <v>492.6</v>
      </c>
      <c r="V69" s="7" t="n">
        <v>660</v>
      </c>
      <c r="X69" s="7" t="n">
        <v>526.6</v>
      </c>
      <c r="Z69" s="7" t="n">
        <v>260.3</v>
      </c>
      <c r="AB69" s="7" t="n">
        <v>5703</v>
      </c>
    </row>
    <row r="70">
      <c r="A70" s="4" t="inlineStr">
        <is>
          <t>物业费</t>
        </is>
      </c>
      <c r="D70" s="7" t="n">
        <v>0</v>
      </c>
      <c r="F70" s="7" t="n">
        <v>494.7</v>
      </c>
      <c r="H70" s="7" t="n">
        <v>183.8</v>
      </c>
      <c r="J70" s="7" t="n">
        <v>475.5</v>
      </c>
      <c r="L70" s="7" t="n">
        <v>587</v>
      </c>
      <c r="N70" s="7" t="n">
        <v>604</v>
      </c>
      <c r="P70" s="7" t="n">
        <v>684.6</v>
      </c>
      <c r="R70" s="7" t="n">
        <v>1074.1</v>
      </c>
      <c r="T70" s="7" t="n">
        <v>515.4</v>
      </c>
      <c r="V70" s="7" t="n">
        <v>975.8</v>
      </c>
      <c r="X70" s="7" t="n">
        <v>640.9</v>
      </c>
      <c r="Z70" s="7" t="n">
        <v>222.7</v>
      </c>
      <c r="AB70" s="7" t="n">
        <v>6458.5</v>
      </c>
    </row>
    <row r="71">
      <c r="A71" s="4" t="inlineStr">
        <is>
          <t>劳动保护费</t>
        </is>
      </c>
      <c r="D71" s="7" t="n">
        <v>0</v>
      </c>
      <c r="F71" s="7" t="n">
        <v>237.8</v>
      </c>
      <c r="H71" s="7" t="n">
        <v>191.2</v>
      </c>
      <c r="J71" s="7" t="n">
        <v>473.1</v>
      </c>
      <c r="L71" s="7" t="n">
        <v>535.9</v>
      </c>
      <c r="N71" s="7" t="n">
        <v>263.9</v>
      </c>
      <c r="P71" s="7" t="n">
        <v>393.2</v>
      </c>
      <c r="R71" s="7" t="n">
        <v>593.7</v>
      </c>
      <c r="T71" s="7" t="n">
        <v>305.8</v>
      </c>
      <c r="V71" s="7" t="n">
        <v>587.6</v>
      </c>
      <c r="X71" s="7" t="n">
        <v>477.3</v>
      </c>
      <c r="Z71" s="7" t="n">
        <v>186.8</v>
      </c>
      <c r="AB71" s="7" t="n">
        <v>4246.3</v>
      </c>
    </row>
    <row r="72">
      <c r="A72" s="4" t="inlineStr">
        <is>
          <t>顾问费</t>
        </is>
      </c>
      <c r="D72" s="7" t="n">
        <v>0</v>
      </c>
      <c r="F72" s="7" t="n">
        <v>307.5</v>
      </c>
      <c r="H72" s="7" t="n">
        <v>175.4</v>
      </c>
      <c r="J72" s="7" t="n">
        <v>431.1</v>
      </c>
      <c r="L72" s="7" t="n">
        <v>555.1</v>
      </c>
      <c r="N72" s="7" t="n">
        <v>345.4</v>
      </c>
      <c r="P72" s="7" t="n">
        <v>556.3</v>
      </c>
      <c r="R72" s="7" t="n">
        <v>690.9</v>
      </c>
      <c r="T72" s="7" t="n">
        <v>246.4</v>
      </c>
      <c r="V72" s="7" t="n">
        <v>786.6</v>
      </c>
      <c r="X72" s="7" t="n">
        <v>379.7</v>
      </c>
      <c r="Z72" s="7" t="n">
        <v>140.2</v>
      </c>
      <c r="AB72" s="7" t="n">
        <v>4614.6</v>
      </c>
    </row>
    <row r="73">
      <c r="A73" s="4" t="inlineStr">
        <is>
          <t>快递费</t>
        </is>
      </c>
      <c r="D73" s="7" t="n">
        <v>0</v>
      </c>
      <c r="F73" s="7" t="n">
        <v>269.4</v>
      </c>
      <c r="H73" s="7" t="n">
        <v>230.6</v>
      </c>
      <c r="J73" s="7" t="n">
        <v>567.8</v>
      </c>
      <c r="L73" s="7" t="n">
        <v>671.1</v>
      </c>
      <c r="N73" s="7" t="n">
        <v>537.8</v>
      </c>
      <c r="P73" s="7" t="n">
        <v>526.3</v>
      </c>
      <c r="R73" s="7" t="n">
        <v>868.9</v>
      </c>
      <c r="T73" s="7" t="n">
        <v>467.9</v>
      </c>
      <c r="V73" s="7" t="n">
        <v>611.7</v>
      </c>
      <c r="X73" s="7" t="n">
        <v>480.7</v>
      </c>
      <c r="Z73" s="7" t="n">
        <v>173.7</v>
      </c>
      <c r="AB73" s="7" t="n">
        <v>5405.9</v>
      </c>
    </row>
    <row r="74">
      <c r="A74" s="4" t="inlineStr">
        <is>
          <t>诉讼费</t>
        </is>
      </c>
      <c r="D74" s="7" t="n">
        <v>0</v>
      </c>
      <c r="F74" s="7" t="n">
        <v>31.3</v>
      </c>
      <c r="H74" s="7" t="n">
        <v>16.4</v>
      </c>
      <c r="J74" s="7" t="n">
        <v>51.7</v>
      </c>
      <c r="L74" s="7" t="n">
        <v>52.9</v>
      </c>
      <c r="N74" s="7" t="n">
        <v>24.3</v>
      </c>
      <c r="P74" s="7" t="n">
        <v>30.9</v>
      </c>
      <c r="R74" s="7" t="n">
        <v>80.90000000000001</v>
      </c>
      <c r="T74" s="7" t="n">
        <v>32</v>
      </c>
      <c r="V74" s="7" t="n">
        <v>73</v>
      </c>
      <c r="X74" s="7" t="n">
        <v>38.2</v>
      </c>
      <c r="Z74" s="7" t="n">
        <v>16.9</v>
      </c>
      <c r="AB74" s="7" t="n">
        <v>448.5</v>
      </c>
    </row>
    <row r="75">
      <c r="A75" s="4" t="inlineStr">
        <is>
          <t>会员费</t>
        </is>
      </c>
      <c r="D75" s="7" t="n">
        <v>0</v>
      </c>
      <c r="F75" s="7" t="n">
        <v>304.2</v>
      </c>
      <c r="H75" s="7" t="n">
        <v>136.9</v>
      </c>
      <c r="J75" s="7" t="n">
        <v>343.5</v>
      </c>
      <c r="L75" s="7" t="n">
        <v>372.7</v>
      </c>
      <c r="N75" s="7" t="n">
        <v>422.8</v>
      </c>
      <c r="P75" s="7" t="n">
        <v>532.6</v>
      </c>
      <c r="R75" s="7" t="n">
        <v>871.4</v>
      </c>
      <c r="T75" s="7" t="n">
        <v>390</v>
      </c>
      <c r="V75" s="7" t="n">
        <v>581.5</v>
      </c>
      <c r="X75" s="7" t="n">
        <v>315.2</v>
      </c>
      <c r="Z75" s="7" t="n">
        <v>198.6</v>
      </c>
      <c r="AB75" s="7" t="n">
        <v>4469.4</v>
      </c>
    </row>
    <row r="76">
      <c r="A76" s="4" t="inlineStr">
        <is>
          <t>广告宣传费</t>
        </is>
      </c>
      <c r="D76" s="7" t="n">
        <v>0</v>
      </c>
      <c r="F76" s="7" t="n">
        <v>2064.9</v>
      </c>
      <c r="H76" s="7" t="n">
        <v>1396</v>
      </c>
      <c r="J76" s="7" t="n">
        <v>2676.5</v>
      </c>
      <c r="L76" s="7" t="n">
        <v>2741.8</v>
      </c>
      <c r="N76" s="7" t="n">
        <v>2417.2</v>
      </c>
      <c r="P76" s="7" t="n">
        <v>2476.9</v>
      </c>
      <c r="R76" s="7" t="n">
        <v>3662.5</v>
      </c>
      <c r="T76" s="7" t="n">
        <v>2576.8</v>
      </c>
      <c r="V76" s="7" t="n">
        <v>4964.2</v>
      </c>
      <c r="X76" s="7" t="n">
        <v>3159.8</v>
      </c>
      <c r="Z76" s="7" t="n">
        <v>1298.4</v>
      </c>
      <c r="AB76" s="7" t="n">
        <v>29435</v>
      </c>
    </row>
    <row r="77">
      <c r="A77" s="4" t="inlineStr">
        <is>
          <t>会务费</t>
        </is>
      </c>
      <c r="D77" s="7" t="n">
        <v>0</v>
      </c>
      <c r="F77" s="7" t="n">
        <v>500.1</v>
      </c>
      <c r="H77" s="7" t="n">
        <v>316.9</v>
      </c>
      <c r="J77" s="7" t="n">
        <v>566.8</v>
      </c>
      <c r="L77" s="7" t="n">
        <v>879.4</v>
      </c>
      <c r="N77" s="7" t="n">
        <v>578</v>
      </c>
      <c r="P77" s="7" t="n">
        <v>428.1</v>
      </c>
      <c r="R77" s="7" t="n">
        <v>942.5</v>
      </c>
      <c r="T77" s="7" t="n">
        <v>564.3</v>
      </c>
      <c r="V77" s="7" t="n">
        <v>1066.7</v>
      </c>
      <c r="X77" s="7" t="n">
        <v>574.4</v>
      </c>
      <c r="Z77" s="7" t="n">
        <v>179.8</v>
      </c>
      <c r="AB77" s="7" t="n">
        <v>6597</v>
      </c>
    </row>
    <row r="78">
      <c r="A78" s="4" t="inlineStr">
        <is>
          <t>装修费</t>
        </is>
      </c>
      <c r="D78" s="7" t="n">
        <v>0</v>
      </c>
      <c r="F78" s="7" t="n">
        <v>180.1</v>
      </c>
      <c r="H78" s="7" t="n">
        <v>115.9</v>
      </c>
      <c r="J78" s="7" t="n">
        <v>242.3</v>
      </c>
      <c r="L78" s="7" t="n">
        <v>186.4</v>
      </c>
      <c r="N78" s="7" t="n">
        <v>182.2</v>
      </c>
      <c r="P78" s="7" t="n">
        <v>250.5</v>
      </c>
      <c r="R78" s="7" t="n">
        <v>338.1</v>
      </c>
      <c r="T78" s="7" t="n">
        <v>246.2</v>
      </c>
      <c r="V78" s="7" t="n">
        <v>328.4</v>
      </c>
      <c r="X78" s="7" t="n">
        <v>294.7</v>
      </c>
      <c r="Z78" s="7" t="n">
        <v>112.5</v>
      </c>
      <c r="AB78" s="7" t="n">
        <v>2477.3</v>
      </c>
    </row>
    <row r="79">
      <c r="A79" s="4" t="inlineStr">
        <is>
          <t>推广费</t>
        </is>
      </c>
      <c r="D79" s="7" t="n">
        <v>0</v>
      </c>
      <c r="F79" s="7" t="n">
        <v>145.9</v>
      </c>
      <c r="H79" s="7" t="n">
        <v>79.5</v>
      </c>
      <c r="J79" s="7" t="n">
        <v>215</v>
      </c>
      <c r="L79" s="7" t="n">
        <v>216.8</v>
      </c>
      <c r="N79" s="7" t="n">
        <v>185.8</v>
      </c>
      <c r="P79" s="7" t="n">
        <v>128.1</v>
      </c>
      <c r="R79" s="7" t="n">
        <v>351.6</v>
      </c>
      <c r="T79" s="7" t="n">
        <v>106.2</v>
      </c>
      <c r="V79" s="7" t="n">
        <v>281</v>
      </c>
      <c r="X79" s="7" t="n">
        <v>209.9</v>
      </c>
      <c r="Z79" s="7" t="n">
        <v>50.5</v>
      </c>
      <c r="AB79" s="7" t="n">
        <v>1970.3</v>
      </c>
    </row>
    <row r="80">
      <c r="A80" s="4" t="inlineStr">
        <is>
          <t>展会费</t>
        </is>
      </c>
      <c r="D80" s="7" t="n">
        <v>0</v>
      </c>
      <c r="F80" s="7" t="n">
        <v>241.9</v>
      </c>
      <c r="H80" s="7" t="n">
        <v>135.1</v>
      </c>
      <c r="J80" s="7" t="n">
        <v>322.1</v>
      </c>
      <c r="L80" s="7" t="n">
        <v>545</v>
      </c>
      <c r="N80" s="7" t="n">
        <v>361.1</v>
      </c>
      <c r="P80" s="7" t="n">
        <v>477.8</v>
      </c>
      <c r="R80" s="7" t="n">
        <v>816.5</v>
      </c>
      <c r="T80" s="7" t="n">
        <v>395.6</v>
      </c>
      <c r="V80" s="7" t="n">
        <v>496.8</v>
      </c>
      <c r="X80" s="7" t="n">
        <v>429.3</v>
      </c>
      <c r="Z80" s="7" t="n">
        <v>139.4</v>
      </c>
      <c r="AB80" s="7" t="n">
        <v>4360.6</v>
      </c>
    </row>
    <row r="81">
      <c r="A81" s="4" t="inlineStr">
        <is>
          <t>设计费</t>
        </is>
      </c>
      <c r="D81" s="7" t="n">
        <v>0</v>
      </c>
      <c r="F81" s="7" t="n">
        <v>374.1</v>
      </c>
      <c r="H81" s="7" t="n">
        <v>245</v>
      </c>
      <c r="J81" s="7" t="n">
        <v>557.9</v>
      </c>
      <c r="L81" s="7" t="n">
        <v>408.1</v>
      </c>
      <c r="N81" s="7" t="n">
        <v>303.3</v>
      </c>
      <c r="P81" s="7" t="n">
        <v>603.8</v>
      </c>
      <c r="R81" s="7" t="n">
        <v>1003</v>
      </c>
      <c r="T81" s="7" t="n">
        <v>295.7</v>
      </c>
      <c r="V81" s="7" t="n">
        <v>582.1</v>
      </c>
      <c r="X81" s="7" t="n">
        <v>508.2</v>
      </c>
      <c r="Z81" s="7" t="n">
        <v>158.3</v>
      </c>
      <c r="AB81" s="7" t="n">
        <v>5039.5</v>
      </c>
    </row>
    <row r="82">
      <c r="A82" s="4" t="inlineStr">
        <is>
          <t>折旧费</t>
        </is>
      </c>
      <c r="D82" s="7" t="n">
        <v>0</v>
      </c>
      <c r="F82" s="7" t="n">
        <v>1957.7</v>
      </c>
      <c r="H82" s="7" t="n">
        <v>1915.1</v>
      </c>
      <c r="J82" s="7" t="n">
        <v>3316.1</v>
      </c>
      <c r="L82" s="7" t="n">
        <v>4297.2</v>
      </c>
      <c r="N82" s="7" t="n">
        <v>3498.1</v>
      </c>
      <c r="P82" s="7" t="n">
        <v>3813.4</v>
      </c>
      <c r="R82" s="7" t="n">
        <v>8425</v>
      </c>
      <c r="T82" s="7" t="n">
        <v>3878.7</v>
      </c>
      <c r="V82" s="7" t="n">
        <v>4639.4</v>
      </c>
      <c r="X82" s="7" t="n">
        <v>3013.8</v>
      </c>
      <c r="Z82" s="7" t="n">
        <v>1244.8</v>
      </c>
      <c r="AB82" s="7" t="n">
        <v>39999.3</v>
      </c>
    </row>
    <row r="83">
      <c r="A83" s="4" t="inlineStr">
        <is>
          <t>认证费</t>
        </is>
      </c>
      <c r="D83" s="7" t="n">
        <v>0</v>
      </c>
      <c r="F83" s="7" t="n">
        <v>75.5</v>
      </c>
      <c r="H83" s="7" t="n">
        <v>46.2</v>
      </c>
      <c r="J83" s="7" t="n">
        <v>127.3</v>
      </c>
      <c r="L83" s="7" t="n">
        <v>138.9</v>
      </c>
      <c r="N83" s="7" t="n">
        <v>111.8</v>
      </c>
      <c r="P83" s="7" t="n">
        <v>91.8</v>
      </c>
      <c r="R83" s="7" t="n">
        <v>234.1</v>
      </c>
      <c r="T83" s="7" t="n">
        <v>90.40000000000001</v>
      </c>
      <c r="V83" s="7" t="n">
        <v>121.2</v>
      </c>
      <c r="X83" s="7" t="n">
        <v>81.09999999999999</v>
      </c>
      <c r="Z83" s="7" t="n">
        <v>43</v>
      </c>
      <c r="AB83" s="7" t="n">
        <v>1161.3</v>
      </c>
    </row>
    <row r="84">
      <c r="A84" s="4" t="inlineStr">
        <is>
          <t>样品费</t>
        </is>
      </c>
      <c r="D84" s="7" t="n">
        <v>0</v>
      </c>
      <c r="F84" s="7" t="n">
        <v>1218.7</v>
      </c>
      <c r="H84" s="7" t="n">
        <v>810.2</v>
      </c>
      <c r="J84" s="7" t="n">
        <v>2188.1</v>
      </c>
      <c r="L84" s="7" t="n">
        <v>2089.5</v>
      </c>
      <c r="N84" s="7" t="n">
        <v>1478.6</v>
      </c>
      <c r="P84" s="7" t="n">
        <v>1406</v>
      </c>
      <c r="R84" s="7" t="n">
        <v>3481.3</v>
      </c>
      <c r="T84" s="7" t="n">
        <v>1449</v>
      </c>
      <c r="V84" s="7" t="n">
        <v>3311.3</v>
      </c>
      <c r="X84" s="7" t="n">
        <v>1453.5</v>
      </c>
      <c r="Z84" s="7" t="n">
        <v>834.9</v>
      </c>
      <c r="AB84" s="7" t="n">
        <v>19721.1</v>
      </c>
    </row>
    <row r="85">
      <c r="A85" s="4" t="inlineStr">
        <is>
          <t>劳务费</t>
        </is>
      </c>
      <c r="D85" s="7" t="n">
        <v>0</v>
      </c>
      <c r="F85" s="7" t="n">
        <v>317.6</v>
      </c>
      <c r="H85" s="7" t="n">
        <v>224.9</v>
      </c>
      <c r="J85" s="7" t="n">
        <v>553</v>
      </c>
      <c r="L85" s="7" t="n">
        <v>443.4</v>
      </c>
      <c r="N85" s="7" t="n">
        <v>360.7</v>
      </c>
      <c r="P85" s="7" t="n">
        <v>431.6</v>
      </c>
      <c r="R85" s="7" t="n">
        <v>707.9</v>
      </c>
      <c r="T85" s="7" t="n">
        <v>478.9</v>
      </c>
      <c r="V85" s="7" t="n">
        <v>895.9</v>
      </c>
      <c r="X85" s="7" t="n">
        <v>600.6</v>
      </c>
      <c r="Z85" s="7" t="n">
        <v>273.2</v>
      </c>
      <c r="AB85" s="7" t="n">
        <v>5287.7</v>
      </c>
    </row>
    <row r="86">
      <c r="A86" s="4" t="inlineStr">
        <is>
          <t>销售佣金</t>
        </is>
      </c>
      <c r="D86" s="7" t="n">
        <v>0</v>
      </c>
      <c r="F86" s="7" t="n">
        <v>485.3</v>
      </c>
      <c r="H86" s="7" t="n">
        <v>312.5</v>
      </c>
      <c r="J86" s="7" t="n">
        <v>570.9</v>
      </c>
      <c r="L86" s="7" t="n">
        <v>577.5</v>
      </c>
      <c r="N86" s="7" t="n">
        <v>658.3</v>
      </c>
      <c r="P86" s="7" t="n">
        <v>571.3</v>
      </c>
      <c r="R86" s="7" t="n">
        <v>1208.8</v>
      </c>
      <c r="T86" s="7" t="n">
        <v>537.4</v>
      </c>
      <c r="V86" s="7" t="n">
        <v>920.9</v>
      </c>
      <c r="X86" s="7" t="n">
        <v>625.6</v>
      </c>
      <c r="Z86" s="7" t="n">
        <v>306.3</v>
      </c>
      <c r="AB86" s="7" t="n">
        <v>6774.8</v>
      </c>
    </row>
    <row r="87">
      <c r="A87" s="4" t="inlineStr">
        <is>
          <t>检测费</t>
        </is>
      </c>
      <c r="D87" s="7" t="n">
        <v>0</v>
      </c>
      <c r="F87" s="7" t="n">
        <v>173</v>
      </c>
      <c r="H87" s="7" t="n">
        <v>141.4</v>
      </c>
      <c r="J87" s="7" t="n">
        <v>281</v>
      </c>
      <c r="L87" s="7" t="n">
        <v>371.6</v>
      </c>
      <c r="N87" s="7" t="n">
        <v>297.1</v>
      </c>
      <c r="P87" s="7" t="n">
        <v>263.5</v>
      </c>
      <c r="R87" s="7" t="n">
        <v>591.3</v>
      </c>
      <c r="T87" s="7" t="n">
        <v>223.1</v>
      </c>
      <c r="V87" s="7" t="n">
        <v>470.9</v>
      </c>
      <c r="X87" s="7" t="n">
        <v>214</v>
      </c>
      <c r="Z87" s="7" t="n">
        <v>94.40000000000001</v>
      </c>
      <c r="AB87" s="7" t="n">
        <v>3121.3</v>
      </c>
    </row>
    <row r="88">
      <c r="A88" s="4" t="inlineStr">
        <is>
          <t>质量赔偿</t>
        </is>
      </c>
      <c r="D88" s="7" t="n">
        <v>0</v>
      </c>
      <c r="F88" s="7" t="n">
        <v>399.4</v>
      </c>
      <c r="H88" s="7" t="n">
        <v>201.1</v>
      </c>
      <c r="J88" s="7" t="n">
        <v>495.7</v>
      </c>
      <c r="L88" s="7" t="n">
        <v>806.3</v>
      </c>
      <c r="N88" s="7" t="n">
        <v>540.5</v>
      </c>
      <c r="P88" s="7" t="n">
        <v>540.2</v>
      </c>
      <c r="R88" s="7" t="n">
        <v>1228.3</v>
      </c>
      <c r="T88" s="7" t="n">
        <v>517.8</v>
      </c>
      <c r="V88" s="7" t="n">
        <v>809.7</v>
      </c>
      <c r="X88" s="7" t="n">
        <v>532.5</v>
      </c>
      <c r="Z88" s="7" t="n">
        <v>276.6</v>
      </c>
      <c r="AB88" s="7" t="n">
        <v>6348.1</v>
      </c>
    </row>
    <row r="89">
      <c r="A89" s="4" t="inlineStr">
        <is>
          <t>保险费</t>
        </is>
      </c>
      <c r="D89" s="7" t="n">
        <v>0</v>
      </c>
      <c r="F89" s="7" t="n">
        <v>0.3</v>
      </c>
      <c r="H89" s="7" t="n">
        <v>0.2</v>
      </c>
      <c r="J89" s="7" t="n">
        <v>0.4</v>
      </c>
      <c r="L89" s="7" t="n">
        <v>0.6</v>
      </c>
      <c r="N89" s="7" t="n">
        <v>0.5</v>
      </c>
      <c r="P89" s="7" t="n">
        <v>0.3</v>
      </c>
      <c r="R89" s="7" t="n">
        <v>0.8</v>
      </c>
      <c r="T89" s="7" t="n">
        <v>0.4</v>
      </c>
      <c r="V89" s="7" t="n">
        <v>0.8</v>
      </c>
      <c r="X89" s="7" t="n">
        <v>0.5</v>
      </c>
      <c r="Z89" s="7" t="n">
        <v>0.1</v>
      </c>
      <c r="AB89" s="7" t="n">
        <v>4.9</v>
      </c>
    </row>
    <row r="90">
      <c r="A90" s="4" t="inlineStr">
        <is>
          <t>清洁费</t>
        </is>
      </c>
      <c r="D90" s="7" t="n">
        <v>0</v>
      </c>
      <c r="F90" s="7" t="n">
        <v>216.9</v>
      </c>
      <c r="H90" s="7" t="n">
        <v>172.3</v>
      </c>
      <c r="J90" s="7" t="n">
        <v>390.3</v>
      </c>
      <c r="L90" s="7" t="n">
        <v>477.6</v>
      </c>
      <c r="N90" s="7" t="n">
        <v>365.4</v>
      </c>
      <c r="P90" s="7" t="n">
        <v>394.3</v>
      </c>
      <c r="R90" s="7" t="n">
        <v>512.7</v>
      </c>
      <c r="T90" s="7" t="n">
        <v>325.4</v>
      </c>
      <c r="V90" s="7" t="n">
        <v>551.4</v>
      </c>
      <c r="X90" s="7" t="n">
        <v>260.8</v>
      </c>
      <c r="Z90" s="7" t="n">
        <v>125.4</v>
      </c>
      <c r="AB90" s="7" t="n">
        <v>3792.5</v>
      </c>
    </row>
    <row r="91">
      <c r="A91" s="4" t="inlineStr">
        <is>
          <t>低值易耗品</t>
        </is>
      </c>
      <c r="D91" s="7" t="n">
        <v>0</v>
      </c>
      <c r="F91" s="7" t="n">
        <v>316.8</v>
      </c>
      <c r="H91" s="7" t="n">
        <v>185.2</v>
      </c>
      <c r="J91" s="7" t="n">
        <v>410.4</v>
      </c>
      <c r="L91" s="7" t="n">
        <v>564.9</v>
      </c>
      <c r="N91" s="7" t="n">
        <v>380.2</v>
      </c>
      <c r="P91" s="7" t="n">
        <v>576.2</v>
      </c>
      <c r="R91" s="7" t="n">
        <v>1020</v>
      </c>
      <c r="T91" s="7" t="n">
        <v>299.4</v>
      </c>
      <c r="V91" s="7" t="n">
        <v>533.2</v>
      </c>
      <c r="X91" s="7" t="n">
        <v>419.3</v>
      </c>
      <c r="Z91" s="7" t="n">
        <v>181.1</v>
      </c>
      <c r="AB91" s="7" t="n">
        <v>4886.7</v>
      </c>
    </row>
    <row r="92">
      <c r="A92" s="4" t="inlineStr">
        <is>
          <t>物料消耗</t>
        </is>
      </c>
      <c r="D92" s="7" t="n">
        <v>0</v>
      </c>
      <c r="F92" s="7" t="n">
        <v>324</v>
      </c>
      <c r="H92" s="7" t="n">
        <v>208.4</v>
      </c>
      <c r="J92" s="7" t="n">
        <v>398.7</v>
      </c>
      <c r="L92" s="7" t="n">
        <v>568.5</v>
      </c>
      <c r="N92" s="7" t="n">
        <v>451.9</v>
      </c>
      <c r="P92" s="7" t="n">
        <v>475.3</v>
      </c>
      <c r="R92" s="7" t="n">
        <v>1077.8</v>
      </c>
      <c r="T92" s="7" t="n">
        <v>476.1</v>
      </c>
      <c r="V92" s="7" t="n">
        <v>991.6</v>
      </c>
      <c r="X92" s="7" t="n">
        <v>376.1</v>
      </c>
      <c r="Z92" s="7" t="n">
        <v>146.3</v>
      </c>
      <c r="AB92" s="7" t="n">
        <v>5494.7</v>
      </c>
    </row>
    <row r="93">
      <c r="A93" s="4" t="inlineStr">
        <is>
          <t>盘盈盘亏</t>
        </is>
      </c>
      <c r="D93" s="7" t="n">
        <v>0</v>
      </c>
      <c r="F93" s="7" t="n">
        <v>105.8</v>
      </c>
      <c r="H93" s="7" t="n">
        <v>52.4</v>
      </c>
      <c r="J93" s="7" t="n">
        <v>160.6</v>
      </c>
      <c r="L93" s="7" t="n">
        <v>192.2</v>
      </c>
      <c r="N93" s="7" t="n">
        <v>101.6</v>
      </c>
      <c r="P93" s="7" t="n">
        <v>150.8</v>
      </c>
      <c r="R93" s="7" t="n">
        <v>212.7</v>
      </c>
      <c r="T93" s="7" t="n">
        <v>124.2</v>
      </c>
      <c r="V93" s="7" t="n">
        <v>332.3</v>
      </c>
      <c r="X93" s="7" t="n">
        <v>167.3</v>
      </c>
      <c r="Z93" s="7" t="n">
        <v>53.4</v>
      </c>
      <c r="AB93" s="7" t="n">
        <v>1653.3</v>
      </c>
    </row>
    <row r="94">
      <c r="A94" s="4" t="inlineStr">
        <is>
          <t>平台服务费</t>
        </is>
      </c>
      <c r="D94" s="7" t="n">
        <v>0</v>
      </c>
      <c r="F94" s="7" t="n">
        <v>509.8</v>
      </c>
      <c r="H94" s="7" t="n">
        <v>284.2</v>
      </c>
      <c r="J94" s="7" t="n">
        <v>748.8</v>
      </c>
      <c r="L94" s="7" t="n">
        <v>682.7</v>
      </c>
      <c r="N94" s="7" t="n">
        <v>396.3</v>
      </c>
      <c r="P94" s="7" t="n">
        <v>689.6</v>
      </c>
      <c r="R94" s="7" t="n">
        <v>1056.6</v>
      </c>
      <c r="T94" s="7" t="n">
        <v>565</v>
      </c>
      <c r="V94" s="7" t="n">
        <v>944.7</v>
      </c>
      <c r="X94" s="7" t="n">
        <v>459.6</v>
      </c>
      <c r="Z94" s="7" t="n">
        <v>265.3</v>
      </c>
      <c r="AB94" s="7" t="n">
        <v>6602.6</v>
      </c>
    </row>
    <row r="95">
      <c r="A95" s="4" t="inlineStr">
        <is>
          <t>无形资产摊销</t>
        </is>
      </c>
      <c r="D95" s="7" t="n">
        <v>0</v>
      </c>
      <c r="F95" s="7" t="n">
        <v>305.5</v>
      </c>
      <c r="H95" s="7" t="n">
        <v>189.5</v>
      </c>
      <c r="J95" s="7" t="n">
        <v>547.1</v>
      </c>
      <c r="L95" s="7" t="n">
        <v>498.5</v>
      </c>
      <c r="N95" s="7" t="n">
        <v>334.4</v>
      </c>
      <c r="P95" s="7" t="n">
        <v>568.1</v>
      </c>
      <c r="R95" s="7" t="n">
        <v>786.6</v>
      </c>
      <c r="T95" s="7" t="n">
        <v>322.3</v>
      </c>
      <c r="V95" s="7" t="n">
        <v>641.2</v>
      </c>
      <c r="X95" s="7" t="n">
        <v>463.2</v>
      </c>
      <c r="Z95" s="7" t="n">
        <v>138.4</v>
      </c>
      <c r="AB95" s="7" t="n">
        <v>4794.8</v>
      </c>
    </row>
    <row r="96">
      <c r="A96" s="4" t="inlineStr">
        <is>
          <t>研发材料</t>
        </is>
      </c>
      <c r="D96" s="7" t="n">
        <v>0</v>
      </c>
      <c r="F96" s="7" t="n">
        <v>518.5</v>
      </c>
      <c r="H96" s="7" t="n">
        <v>287.8</v>
      </c>
      <c r="J96" s="7" t="n">
        <v>474.5</v>
      </c>
      <c r="L96" s="7" t="n">
        <v>543.1</v>
      </c>
      <c r="N96" s="7" t="n">
        <v>539.7</v>
      </c>
      <c r="P96" s="7" t="n">
        <v>477</v>
      </c>
      <c r="R96" s="7" t="n">
        <v>1223.9</v>
      </c>
      <c r="T96" s="7" t="n">
        <v>354.3</v>
      </c>
      <c r="V96" s="7" t="n">
        <v>1261.9</v>
      </c>
      <c r="X96" s="7" t="n">
        <v>554</v>
      </c>
      <c r="Z96" s="7" t="n">
        <v>175.6</v>
      </c>
      <c r="AB96" s="7" t="n">
        <v>6410.3</v>
      </c>
    </row>
    <row r="97">
      <c r="A97" s="4" t="inlineStr">
        <is>
          <t>项目名称</t>
        </is>
      </c>
      <c r="D97" s="7" t="n">
        <v>0</v>
      </c>
      <c r="F97" s="7" t="n">
        <v>289.5</v>
      </c>
      <c r="H97" s="7" t="n">
        <v>295.2</v>
      </c>
      <c r="J97" s="7" t="n">
        <v>663.6</v>
      </c>
      <c r="L97" s="7" t="n">
        <v>788.5</v>
      </c>
      <c r="N97" s="7" t="n">
        <v>395.9</v>
      </c>
      <c r="P97" s="7" t="n">
        <v>593.7</v>
      </c>
      <c r="R97" s="7" t="n">
        <v>1147.9</v>
      </c>
      <c r="T97" s="7" t="n">
        <v>330.7</v>
      </c>
      <c r="V97" s="7" t="n">
        <v>1084.4</v>
      </c>
      <c r="X97" s="7" t="n">
        <v>637.5</v>
      </c>
      <c r="Z97" s="7" t="n">
        <v>254</v>
      </c>
      <c r="AB97" s="7" t="n">
        <v>6480.9</v>
      </c>
    </row>
    <row r="98">
      <c r="A98" s="4" t="inlineStr">
        <is>
          <t>研发费</t>
        </is>
      </c>
      <c r="D98" s="7" t="n">
        <v>0</v>
      </c>
      <c r="F98" s="7" t="n">
        <v>429.6</v>
      </c>
      <c r="H98" s="7" t="n">
        <v>226.5</v>
      </c>
      <c r="J98" s="7" t="n">
        <v>468.4</v>
      </c>
      <c r="L98" s="7" t="n">
        <v>459.6</v>
      </c>
      <c r="N98" s="7" t="n">
        <v>393</v>
      </c>
      <c r="P98" s="7" t="n">
        <v>626.3</v>
      </c>
      <c r="R98" s="7" t="n">
        <v>948.3</v>
      </c>
      <c r="T98" s="7" t="n">
        <v>336.2</v>
      </c>
      <c r="V98" s="7" t="n">
        <v>948.7</v>
      </c>
      <c r="X98" s="7" t="n">
        <v>543.5</v>
      </c>
      <c r="Z98" s="7" t="n">
        <v>171.7</v>
      </c>
      <c r="AB98" s="7" t="n">
        <v>5551.8</v>
      </c>
    </row>
    <row r="99">
      <c r="A99" s="4" t="inlineStr">
        <is>
          <t>残保金</t>
        </is>
      </c>
      <c r="D99" s="7" t="n">
        <v>0</v>
      </c>
      <c r="F99" s="7" t="n">
        <v>284.3</v>
      </c>
      <c r="H99" s="7" t="n">
        <v>181.4</v>
      </c>
      <c r="J99" s="7" t="n">
        <v>363.8</v>
      </c>
      <c r="L99" s="7" t="n">
        <v>329</v>
      </c>
      <c r="N99" s="7" t="n">
        <v>388.2</v>
      </c>
      <c r="P99" s="7" t="n">
        <v>462.4</v>
      </c>
      <c r="R99" s="7" t="n">
        <v>515.1</v>
      </c>
      <c r="T99" s="7" t="n">
        <v>366.8</v>
      </c>
      <c r="V99" s="7" t="n">
        <v>546.2</v>
      </c>
      <c r="X99" s="7" t="n">
        <v>470.8</v>
      </c>
      <c r="Z99" s="7" t="n">
        <v>166.4</v>
      </c>
      <c r="AB99" s="7" t="n">
        <v>4074.4</v>
      </c>
    </row>
    <row r="100">
      <c r="A100" s="4" t="inlineStr">
        <is>
          <t>环保费</t>
        </is>
      </c>
      <c r="D100" s="7" t="n">
        <v>0</v>
      </c>
      <c r="F100" s="7" t="n">
        <v>22.2</v>
      </c>
      <c r="H100" s="7" t="n">
        <v>11.9</v>
      </c>
      <c r="J100" s="7" t="n">
        <v>38.3</v>
      </c>
      <c r="L100" s="7" t="n">
        <v>38.5</v>
      </c>
      <c r="N100" s="7" t="n">
        <v>29.8</v>
      </c>
      <c r="P100" s="7" t="n">
        <v>36.6</v>
      </c>
      <c r="R100" s="7" t="n">
        <v>73.2</v>
      </c>
      <c r="T100" s="7" t="n">
        <v>29.7</v>
      </c>
      <c r="V100" s="7" t="n">
        <v>49</v>
      </c>
      <c r="X100" s="7" t="n">
        <v>42.9</v>
      </c>
      <c r="Z100" s="7" t="n">
        <v>13.5</v>
      </c>
      <c r="AB100" s="7" t="n">
        <v>385.6</v>
      </c>
    </row>
    <row r="101">
      <c r="A101" s="4" t="inlineStr">
        <is>
          <t>报废损失</t>
        </is>
      </c>
      <c r="D101" s="7" t="n">
        <v>0</v>
      </c>
      <c r="F101" s="7" t="n">
        <v>520.7</v>
      </c>
      <c r="H101" s="7" t="n">
        <v>272.9</v>
      </c>
      <c r="J101" s="7" t="n">
        <v>758.2</v>
      </c>
      <c r="L101" s="7" t="n">
        <v>823.7</v>
      </c>
      <c r="N101" s="7" t="n">
        <v>369.4</v>
      </c>
      <c r="P101" s="7" t="n">
        <v>732</v>
      </c>
      <c r="R101" s="7" t="n">
        <v>940.8</v>
      </c>
      <c r="T101" s="7" t="n">
        <v>465.2</v>
      </c>
      <c r="V101" s="7" t="n">
        <v>1156</v>
      </c>
      <c r="X101" s="7" t="n">
        <v>427</v>
      </c>
      <c r="Z101" s="7" t="n">
        <v>258.9</v>
      </c>
      <c r="AB101" s="7" t="n">
        <v>6724.8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29839.2</v>
      </c>
      <c r="D102" s="7" t="n">
        <v>0</v>
      </c>
      <c r="E102" s="7" t="n">
        <v>30487.6</v>
      </c>
      <c r="F102" s="7" t="n">
        <v>21735.7</v>
      </c>
      <c r="G102" s="7" t="n">
        <v>23510.4</v>
      </c>
      <c r="H102" s="7" t="n">
        <v>9253.1</v>
      </c>
      <c r="I102" s="7" t="n">
        <v>25506.9</v>
      </c>
      <c r="J102" s="7" t="n">
        <v>45375.4</v>
      </c>
      <c r="K102" s="7" t="n">
        <v>31231</v>
      </c>
      <c r="L102" s="7" t="n">
        <v>15648</v>
      </c>
      <c r="M102" s="7" t="n">
        <v>27517.2</v>
      </c>
      <c r="N102" s="7" t="n">
        <v>28832.6</v>
      </c>
      <c r="O102" s="7" t="n">
        <v>24452.3</v>
      </c>
      <c r="P102" s="7" t="n">
        <v>25499.2</v>
      </c>
      <c r="Q102" s="7" t="n">
        <v>24807.1</v>
      </c>
      <c r="R102" s="7" t="n">
        <v>57517.7</v>
      </c>
      <c r="S102" s="7" t="n">
        <v>25321.7</v>
      </c>
      <c r="T102" s="7" t="n">
        <v>14101.8</v>
      </c>
      <c r="U102" s="7" t="n">
        <v>24055.2</v>
      </c>
      <c r="V102" s="7" t="n">
        <v>44371.7</v>
      </c>
      <c r="W102" s="7" t="n">
        <v>25062.1</v>
      </c>
      <c r="X102" s="7" t="n">
        <v>49939.4</v>
      </c>
      <c r="Y102" s="7" t="n">
        <v>28922.2</v>
      </c>
      <c r="Z102" s="7" t="n">
        <v>18850.5</v>
      </c>
      <c r="AA102" s="8" t="n">
        <v>320712.9</v>
      </c>
      <c r="AB102" s="8" t="n">
        <v>331125.1</v>
      </c>
    </row>
    <row r="103">
      <c r="A103" s="4" t="inlineStr">
        <is>
          <t>职工薪酬</t>
        </is>
      </c>
      <c r="D103" s="7" t="n">
        <v>0</v>
      </c>
      <c r="F103" s="7" t="n">
        <v>11973</v>
      </c>
      <c r="H103" s="7" t="n">
        <v>3857.5</v>
      </c>
      <c r="J103" s="7" t="n">
        <v>23912.1</v>
      </c>
      <c r="L103" s="7" t="n">
        <v>8381.9</v>
      </c>
      <c r="N103" s="7" t="n">
        <v>16850.4</v>
      </c>
      <c r="P103" s="7" t="n">
        <v>13663.3</v>
      </c>
      <c r="R103" s="7" t="n">
        <v>23129.7</v>
      </c>
      <c r="T103" s="7" t="n">
        <v>6041.4</v>
      </c>
      <c r="V103" s="7" t="n">
        <v>22678.9</v>
      </c>
      <c r="X103" s="7" t="n">
        <v>22891.6</v>
      </c>
      <c r="Z103" s="7" t="n">
        <v>8773.700000000001</v>
      </c>
      <c r="AB103" s="7" t="n">
        <v>162153.5</v>
      </c>
    </row>
    <row r="104">
      <c r="A104" s="4" t="inlineStr">
        <is>
          <t>工资</t>
        </is>
      </c>
      <c r="D104" s="7" t="n">
        <v>0</v>
      </c>
      <c r="F104" s="7" t="n">
        <v>8343.9</v>
      </c>
      <c r="H104" s="7" t="n">
        <v>2187.3</v>
      </c>
      <c r="J104" s="7" t="n">
        <v>12252.9</v>
      </c>
      <c r="L104" s="7" t="n">
        <v>5038.1</v>
      </c>
      <c r="N104" s="7" t="n">
        <v>10392.7</v>
      </c>
      <c r="P104" s="7" t="n">
        <v>8097.8</v>
      </c>
      <c r="R104" s="7" t="n">
        <v>12813.6</v>
      </c>
      <c r="T104" s="7" t="n">
        <v>3464.7</v>
      </c>
      <c r="V104" s="7" t="n">
        <v>13185.9</v>
      </c>
      <c r="X104" s="7" t="n">
        <v>12374.7</v>
      </c>
      <c r="Z104" s="7" t="n">
        <v>4095.4</v>
      </c>
      <c r="AB104" s="7" t="n">
        <v>92247</v>
      </c>
    </row>
    <row r="105">
      <c r="A105" s="4" t="inlineStr">
        <is>
          <t>奖金及提成</t>
        </is>
      </c>
      <c r="D105" s="7" t="n">
        <v>0</v>
      </c>
      <c r="F105" s="7" t="n">
        <v>1761.3</v>
      </c>
      <c r="H105" s="7" t="n">
        <v>810.9</v>
      </c>
      <c r="J105" s="7" t="n">
        <v>5888.7</v>
      </c>
      <c r="L105" s="7" t="n">
        <v>1353.6</v>
      </c>
      <c r="N105" s="7" t="n">
        <v>2794.3</v>
      </c>
      <c r="P105" s="7" t="n">
        <v>2626.3</v>
      </c>
      <c r="R105" s="7" t="n">
        <v>4026.5</v>
      </c>
      <c r="T105" s="7" t="n">
        <v>1216.4</v>
      </c>
      <c r="V105" s="7" t="n">
        <v>4254.1</v>
      </c>
      <c r="X105" s="7" t="n">
        <v>4825.9</v>
      </c>
      <c r="Z105" s="7" t="n">
        <v>2403.9</v>
      </c>
      <c r="AB105" s="7" t="n">
        <v>31961.9</v>
      </c>
    </row>
    <row r="106">
      <c r="A106" s="4" t="inlineStr">
        <is>
          <t>社保</t>
        </is>
      </c>
      <c r="D106" s="7" t="n">
        <v>0</v>
      </c>
      <c r="F106" s="7" t="n">
        <v>1351.4</v>
      </c>
      <c r="H106" s="7" t="n">
        <v>618.3</v>
      </c>
      <c r="J106" s="7" t="n">
        <v>4689.5</v>
      </c>
      <c r="L106" s="7" t="n">
        <v>1569.6</v>
      </c>
      <c r="N106" s="7" t="n">
        <v>2839.2</v>
      </c>
      <c r="P106" s="7" t="n">
        <v>2274.7</v>
      </c>
      <c r="R106" s="7" t="n">
        <v>4519.8</v>
      </c>
      <c r="T106" s="7" t="n">
        <v>1007.2</v>
      </c>
      <c r="V106" s="7" t="n">
        <v>4140.5</v>
      </c>
      <c r="X106" s="7" t="n">
        <v>4254.8</v>
      </c>
      <c r="Z106" s="7" t="n">
        <v>1767.2</v>
      </c>
      <c r="AB106" s="7" t="n">
        <v>29032.2</v>
      </c>
    </row>
    <row r="107">
      <c r="A107" s="4" t="inlineStr">
        <is>
          <t>养老</t>
        </is>
      </c>
      <c r="D107" s="7" t="n">
        <v>0</v>
      </c>
      <c r="F107" s="7" t="n">
        <v>99.90000000000001</v>
      </c>
      <c r="H107" s="7" t="n">
        <v>46.3</v>
      </c>
      <c r="J107" s="7" t="n">
        <v>240.8</v>
      </c>
      <c r="L107" s="7" t="n">
        <v>48.7</v>
      </c>
      <c r="N107" s="7" t="n">
        <v>133</v>
      </c>
      <c r="P107" s="7" t="n">
        <v>134.5</v>
      </c>
      <c r="R107" s="7" t="n">
        <v>190</v>
      </c>
      <c r="T107" s="7" t="n">
        <v>59.6</v>
      </c>
      <c r="V107" s="7" t="n">
        <v>166.5</v>
      </c>
      <c r="X107" s="7" t="n">
        <v>177.6</v>
      </c>
      <c r="Z107" s="7" t="n">
        <v>72.40000000000001</v>
      </c>
      <c r="AB107" s="7" t="n">
        <v>1369.3</v>
      </c>
    </row>
    <row r="108">
      <c r="A108" s="4" t="inlineStr">
        <is>
          <t>医疗</t>
        </is>
      </c>
      <c r="D108" s="7" t="n">
        <v>0</v>
      </c>
      <c r="F108" s="7" t="n">
        <v>164.6</v>
      </c>
      <c r="H108" s="7" t="n">
        <v>61</v>
      </c>
      <c r="J108" s="7" t="n">
        <v>263.8</v>
      </c>
      <c r="L108" s="7" t="n">
        <v>69.90000000000001</v>
      </c>
      <c r="N108" s="7" t="n">
        <v>166.8</v>
      </c>
      <c r="P108" s="7" t="n">
        <v>186</v>
      </c>
      <c r="R108" s="7" t="n">
        <v>416.8</v>
      </c>
      <c r="T108" s="7" t="n">
        <v>106.4</v>
      </c>
      <c r="V108" s="7" t="n">
        <v>252.3</v>
      </c>
      <c r="X108" s="7" t="n">
        <v>382.2</v>
      </c>
      <c r="Z108" s="7" t="n">
        <v>102.8</v>
      </c>
      <c r="AB108" s="7" t="n">
        <v>2172.6</v>
      </c>
    </row>
    <row r="109">
      <c r="A109" s="4" t="inlineStr">
        <is>
          <t>工伤</t>
        </is>
      </c>
      <c r="D109" s="7" t="n">
        <v>0</v>
      </c>
      <c r="F109" s="7" t="n">
        <v>112.8</v>
      </c>
      <c r="H109" s="7" t="n">
        <v>37</v>
      </c>
      <c r="J109" s="7" t="n">
        <v>235.1</v>
      </c>
      <c r="L109" s="7" t="n">
        <v>92.40000000000001</v>
      </c>
      <c r="N109" s="7" t="n">
        <v>98.90000000000001</v>
      </c>
      <c r="P109" s="7" t="n">
        <v>119.5</v>
      </c>
      <c r="R109" s="7" t="n">
        <v>266.5</v>
      </c>
      <c r="T109" s="7" t="n">
        <v>48.5</v>
      </c>
      <c r="V109" s="7" t="n">
        <v>147.7</v>
      </c>
      <c r="X109" s="7" t="n">
        <v>199.4</v>
      </c>
      <c r="Z109" s="7" t="n">
        <v>106.3</v>
      </c>
      <c r="AB109" s="7" t="n">
        <v>1464.1</v>
      </c>
    </row>
    <row r="110">
      <c r="A110" s="4" t="inlineStr">
        <is>
          <t>失业</t>
        </is>
      </c>
      <c r="D110" s="7" t="n">
        <v>0</v>
      </c>
      <c r="F110" s="7" t="n">
        <v>2.2</v>
      </c>
      <c r="H110" s="7" t="n">
        <v>0.6</v>
      </c>
      <c r="J110" s="7" t="n">
        <v>3.2</v>
      </c>
      <c r="L110" s="7" t="n">
        <v>0.9</v>
      </c>
      <c r="N110" s="7" t="n">
        <v>2.8</v>
      </c>
      <c r="P110" s="7" t="n">
        <v>2.2</v>
      </c>
      <c r="R110" s="7" t="n">
        <v>5.6</v>
      </c>
      <c r="T110" s="7" t="n">
        <v>1.2</v>
      </c>
      <c r="V110" s="7" t="n">
        <v>3</v>
      </c>
      <c r="X110" s="7" t="n">
        <v>4.9</v>
      </c>
      <c r="Z110" s="7" t="n">
        <v>1.1</v>
      </c>
      <c r="AB110" s="7" t="n">
        <v>27.7</v>
      </c>
    </row>
    <row r="111">
      <c r="A111" s="4" t="inlineStr">
        <is>
          <t>生育</t>
        </is>
      </c>
      <c r="D111" s="7" t="n">
        <v>0</v>
      </c>
      <c r="F111" s="7" t="n">
        <v>34.6</v>
      </c>
      <c r="H111" s="7" t="n">
        <v>14.7</v>
      </c>
      <c r="J111" s="7" t="n">
        <v>71.09999999999999</v>
      </c>
      <c r="L111" s="7" t="n">
        <v>15.5</v>
      </c>
      <c r="N111" s="7" t="n">
        <v>39.8</v>
      </c>
      <c r="P111" s="7" t="n">
        <v>43.7</v>
      </c>
      <c r="R111" s="7" t="n">
        <v>80.90000000000001</v>
      </c>
      <c r="T111" s="7" t="n">
        <v>18.2</v>
      </c>
      <c r="V111" s="7" t="n">
        <v>77.2</v>
      </c>
      <c r="X111" s="7" t="n">
        <v>73.7</v>
      </c>
      <c r="Z111" s="7" t="n">
        <v>28.8</v>
      </c>
      <c r="AB111" s="7" t="n">
        <v>498.2</v>
      </c>
    </row>
    <row r="112">
      <c r="A112" s="4" t="inlineStr">
        <is>
          <t>公积金</t>
        </is>
      </c>
      <c r="D112" s="7" t="n">
        <v>0</v>
      </c>
      <c r="F112" s="7" t="n">
        <v>3.1</v>
      </c>
      <c r="H112" s="7" t="n">
        <v>1</v>
      </c>
      <c r="J112" s="7" t="n">
        <v>5.6</v>
      </c>
      <c r="L112" s="7" t="n">
        <v>2.3</v>
      </c>
      <c r="N112" s="7" t="n">
        <v>3.6</v>
      </c>
      <c r="P112" s="7" t="n">
        <v>4.5</v>
      </c>
      <c r="R112" s="7" t="n">
        <v>7.4</v>
      </c>
      <c r="T112" s="7" t="n">
        <v>2.2</v>
      </c>
      <c r="V112" s="7" t="n">
        <v>6.9</v>
      </c>
      <c r="X112" s="7" t="n">
        <v>5.7</v>
      </c>
      <c r="Z112" s="7" t="n">
        <v>2.1</v>
      </c>
      <c r="AB112" s="7" t="n">
        <v>44.4</v>
      </c>
    </row>
    <row r="113">
      <c r="A113" s="4" t="inlineStr">
        <is>
          <t>工会经费</t>
        </is>
      </c>
      <c r="D113" s="7" t="n">
        <v>0</v>
      </c>
      <c r="F113" s="7" t="n">
        <v>26.3</v>
      </c>
      <c r="H113" s="7" t="n">
        <v>10.5</v>
      </c>
      <c r="J113" s="7" t="n">
        <v>57.3</v>
      </c>
      <c r="L113" s="7" t="n">
        <v>31.4</v>
      </c>
      <c r="N113" s="7" t="n">
        <v>39.4</v>
      </c>
      <c r="P113" s="7" t="n">
        <v>47.9</v>
      </c>
      <c r="R113" s="7" t="n">
        <v>89.5</v>
      </c>
      <c r="T113" s="7" t="n">
        <v>22</v>
      </c>
      <c r="V113" s="7" t="n">
        <v>50.4</v>
      </c>
      <c r="X113" s="7" t="n">
        <v>90</v>
      </c>
      <c r="Z113" s="7" t="n">
        <v>28.1</v>
      </c>
      <c r="AB113" s="7" t="n">
        <v>492.8</v>
      </c>
    </row>
    <row r="114">
      <c r="A114" s="4" t="inlineStr">
        <is>
          <t>职工教育经费</t>
        </is>
      </c>
      <c r="D114" s="7" t="n">
        <v>0</v>
      </c>
      <c r="F114" s="7" t="n">
        <v>6.5</v>
      </c>
      <c r="H114" s="7" t="n">
        <v>2.6</v>
      </c>
      <c r="J114" s="7" t="n">
        <v>16.2</v>
      </c>
      <c r="L114" s="7" t="n">
        <v>4.6</v>
      </c>
      <c r="N114" s="7" t="n">
        <v>5.8</v>
      </c>
      <c r="P114" s="7" t="n">
        <v>7.9</v>
      </c>
      <c r="R114" s="7" t="n">
        <v>12.4</v>
      </c>
      <c r="T114" s="7" t="n">
        <v>4.4</v>
      </c>
      <c r="V114" s="7" t="n">
        <v>9.4</v>
      </c>
      <c r="X114" s="7" t="n">
        <v>16.8</v>
      </c>
      <c r="Z114" s="7" t="n">
        <v>6.3</v>
      </c>
      <c r="AB114" s="7" t="n">
        <v>92.90000000000001</v>
      </c>
    </row>
    <row r="115">
      <c r="A115" s="4" t="inlineStr">
        <is>
          <t>福利费</t>
        </is>
      </c>
      <c r="D115" s="7" t="n">
        <v>0</v>
      </c>
      <c r="F115" s="7" t="n">
        <v>480.5</v>
      </c>
      <c r="H115" s="7" t="n">
        <v>226.9</v>
      </c>
      <c r="J115" s="7" t="n">
        <v>1001.9</v>
      </c>
      <c r="L115" s="7" t="n">
        <v>382.3</v>
      </c>
      <c r="N115" s="7" t="n">
        <v>775.4</v>
      </c>
      <c r="P115" s="7" t="n">
        <v>604.2</v>
      </c>
      <c r="R115" s="7" t="n">
        <v>1660.5</v>
      </c>
      <c r="T115" s="7" t="n">
        <v>324.5</v>
      </c>
      <c r="V115" s="7" t="n">
        <v>1031.7</v>
      </c>
      <c r="X115" s="7" t="n">
        <v>1323.7</v>
      </c>
      <c r="Z115" s="7" t="n">
        <v>470.7</v>
      </c>
      <c r="AB115" s="7" t="n">
        <v>8282.299999999999</v>
      </c>
    </row>
    <row r="116">
      <c r="A116" s="4" t="inlineStr">
        <is>
          <t>职工房租</t>
        </is>
      </c>
      <c r="D116" s="7" t="n">
        <v>0</v>
      </c>
      <c r="F116" s="7" t="n">
        <v>6.3</v>
      </c>
      <c r="H116" s="7" t="n">
        <v>2.3</v>
      </c>
      <c r="J116" s="7" t="n">
        <v>10.8</v>
      </c>
      <c r="L116" s="7" t="n">
        <v>5.1</v>
      </c>
      <c r="N116" s="7" t="n">
        <v>8.4</v>
      </c>
      <c r="P116" s="7" t="n">
        <v>6.9</v>
      </c>
      <c r="R116" s="7" t="n">
        <v>17.3</v>
      </c>
      <c r="T116" s="7" t="n">
        <v>4.8</v>
      </c>
      <c r="V116" s="7" t="n">
        <v>17.7</v>
      </c>
      <c r="X116" s="7" t="n">
        <v>12.1</v>
      </c>
      <c r="Z116" s="7" t="n">
        <v>5.2</v>
      </c>
      <c r="AB116" s="7" t="n">
        <v>96.90000000000001</v>
      </c>
    </row>
    <row r="117">
      <c r="A117" s="4" t="inlineStr">
        <is>
          <t>水电物业费</t>
        </is>
      </c>
      <c r="D117" s="7" t="n">
        <v>0</v>
      </c>
      <c r="F117" s="7" t="n">
        <v>60.3</v>
      </c>
      <c r="H117" s="7" t="n">
        <v>35.9</v>
      </c>
      <c r="J117" s="7" t="n">
        <v>154.3</v>
      </c>
      <c r="L117" s="7" t="n">
        <v>69.40000000000001</v>
      </c>
      <c r="N117" s="7" t="n">
        <v>99.7</v>
      </c>
      <c r="P117" s="7" t="n">
        <v>114.1</v>
      </c>
      <c r="R117" s="7" t="n">
        <v>288.9</v>
      </c>
      <c r="T117" s="7" t="n">
        <v>40.8</v>
      </c>
      <c r="V117" s="7" t="n">
        <v>178.1</v>
      </c>
      <c r="X117" s="7" t="n">
        <v>242.9</v>
      </c>
      <c r="Z117" s="7" t="n">
        <v>86.40000000000001</v>
      </c>
      <c r="AB117" s="7" t="n">
        <v>1370.8</v>
      </c>
    </row>
    <row r="118">
      <c r="A118" s="4" t="inlineStr">
        <is>
          <t>员工餐</t>
        </is>
      </c>
      <c r="D118" s="7" t="n">
        <v>0</v>
      </c>
      <c r="F118" s="7" t="n">
        <v>97.90000000000001</v>
      </c>
      <c r="H118" s="7" t="n">
        <v>64.09999999999999</v>
      </c>
      <c r="J118" s="7" t="n">
        <v>238.7</v>
      </c>
      <c r="L118" s="7" t="n">
        <v>108.2</v>
      </c>
      <c r="N118" s="7" t="n">
        <v>207.3</v>
      </c>
      <c r="P118" s="7" t="n">
        <v>160.2</v>
      </c>
      <c r="R118" s="7" t="n">
        <v>394.1</v>
      </c>
      <c r="T118" s="7" t="n">
        <v>88.8</v>
      </c>
      <c r="V118" s="7" t="n">
        <v>254.6</v>
      </c>
      <c r="X118" s="7" t="n">
        <v>353.6</v>
      </c>
      <c r="Z118" s="7" t="n">
        <v>134.2</v>
      </c>
      <c r="AB118" s="7" t="n">
        <v>2101.7</v>
      </c>
    </row>
    <row r="119">
      <c r="A119" s="4" t="inlineStr">
        <is>
          <t>节日礼品</t>
        </is>
      </c>
      <c r="D119" s="7" t="n">
        <v>0</v>
      </c>
      <c r="F119" s="7" t="n">
        <v>134.3</v>
      </c>
      <c r="H119" s="7" t="n">
        <v>51.4</v>
      </c>
      <c r="J119" s="7" t="n">
        <v>333.1</v>
      </c>
      <c r="L119" s="7" t="n">
        <v>107.1</v>
      </c>
      <c r="N119" s="7" t="n">
        <v>236.5</v>
      </c>
      <c r="P119" s="7" t="n">
        <v>153.2</v>
      </c>
      <c r="R119" s="7" t="n">
        <v>483.9</v>
      </c>
      <c r="T119" s="7" t="n">
        <v>72.2</v>
      </c>
      <c r="V119" s="7" t="n">
        <v>270.2</v>
      </c>
      <c r="X119" s="7" t="n">
        <v>373.8</v>
      </c>
      <c r="Z119" s="7" t="n">
        <v>108.6</v>
      </c>
      <c r="AB119" s="7" t="n">
        <v>2324.3</v>
      </c>
    </row>
    <row r="120">
      <c r="A120" s="4" t="inlineStr">
        <is>
          <t>生日礼品</t>
        </is>
      </c>
      <c r="D120" s="7" t="n">
        <v>0</v>
      </c>
      <c r="F120" s="7" t="n">
        <v>19.1</v>
      </c>
      <c r="H120" s="7" t="n">
        <v>7.6</v>
      </c>
      <c r="J120" s="7" t="n">
        <v>32</v>
      </c>
      <c r="L120" s="7" t="n">
        <v>12.4</v>
      </c>
      <c r="N120" s="7" t="n">
        <v>23.1</v>
      </c>
      <c r="P120" s="7" t="n">
        <v>19.5</v>
      </c>
      <c r="R120" s="7" t="n">
        <v>58.1</v>
      </c>
      <c r="T120" s="7" t="n">
        <v>11.2</v>
      </c>
      <c r="V120" s="7" t="n">
        <v>27.4</v>
      </c>
      <c r="X120" s="7" t="n">
        <v>39.8</v>
      </c>
      <c r="Z120" s="7" t="n">
        <v>15.4</v>
      </c>
      <c r="AB120" s="7" t="n">
        <v>265.6</v>
      </c>
    </row>
    <row r="121">
      <c r="A121" s="4" t="inlineStr">
        <is>
          <t>体检</t>
        </is>
      </c>
      <c r="D121" s="7" t="n">
        <v>0</v>
      </c>
      <c r="F121" s="7" t="n">
        <v>1.4</v>
      </c>
      <c r="H121" s="7" t="n">
        <v>0.6</v>
      </c>
      <c r="J121" s="7" t="n">
        <v>1.9</v>
      </c>
      <c r="L121" s="7" t="n">
        <v>0.9</v>
      </c>
      <c r="N121" s="7" t="n">
        <v>1.4</v>
      </c>
      <c r="P121" s="7" t="n">
        <v>1</v>
      </c>
      <c r="R121" s="7" t="n">
        <v>3.2</v>
      </c>
      <c r="T121" s="7" t="n">
        <v>0.6</v>
      </c>
      <c r="V121" s="7" t="n">
        <v>3</v>
      </c>
      <c r="X121" s="7" t="n">
        <v>2.9</v>
      </c>
      <c r="Z121" s="7" t="n">
        <v>1.1</v>
      </c>
      <c r="AB121" s="7" t="n">
        <v>18</v>
      </c>
    </row>
    <row r="122">
      <c r="A122" s="4" t="inlineStr">
        <is>
          <t>其他福利支出</t>
        </is>
      </c>
      <c r="D122" s="7" t="n">
        <v>0</v>
      </c>
      <c r="F122" s="7" t="n">
        <v>161.2</v>
      </c>
      <c r="H122" s="7" t="n">
        <v>65</v>
      </c>
      <c r="J122" s="7" t="n">
        <v>231.1</v>
      </c>
      <c r="L122" s="7" t="n">
        <v>79.2</v>
      </c>
      <c r="N122" s="7" t="n">
        <v>199</v>
      </c>
      <c r="P122" s="7" t="n">
        <v>149.3</v>
      </c>
      <c r="R122" s="7" t="n">
        <v>415</v>
      </c>
      <c r="T122" s="7" t="n">
        <v>106.1</v>
      </c>
      <c r="V122" s="7" t="n">
        <v>280.7</v>
      </c>
      <c r="X122" s="7" t="n">
        <v>298.6</v>
      </c>
      <c r="Z122" s="7" t="n">
        <v>119.8</v>
      </c>
      <c r="AB122" s="7" t="n">
        <v>2105</v>
      </c>
    </row>
    <row r="123">
      <c r="A123" s="4" t="inlineStr">
        <is>
          <t>招聘费</t>
        </is>
      </c>
      <c r="D123" s="7" t="n">
        <v>0</v>
      </c>
      <c r="F123" s="7" t="n">
        <v>65.3</v>
      </c>
      <c r="H123" s="7" t="n">
        <v>39.5</v>
      </c>
      <c r="J123" s="7" t="n">
        <v>144.3</v>
      </c>
      <c r="L123" s="7" t="n">
        <v>57.3</v>
      </c>
      <c r="N123" s="7" t="n">
        <v>82.40000000000001</v>
      </c>
      <c r="P123" s="7" t="n">
        <v>112.9</v>
      </c>
      <c r="R123" s="7" t="n">
        <v>215.9</v>
      </c>
      <c r="T123" s="7" t="n">
        <v>43.1</v>
      </c>
      <c r="V123" s="7" t="n">
        <v>222.5</v>
      </c>
      <c r="X123" s="7" t="n">
        <v>177.9</v>
      </c>
      <c r="Z123" s="7" t="n">
        <v>87.8</v>
      </c>
      <c r="AB123" s="7" t="n">
        <v>1248.9</v>
      </c>
    </row>
    <row r="124">
      <c r="A124" s="4" t="inlineStr">
        <is>
          <t>办公费</t>
        </is>
      </c>
      <c r="D124" s="7" t="n">
        <v>0</v>
      </c>
      <c r="F124" s="7" t="n">
        <v>572</v>
      </c>
      <c r="H124" s="7" t="n">
        <v>247.9</v>
      </c>
      <c r="J124" s="7" t="n">
        <v>1615.5</v>
      </c>
      <c r="L124" s="7" t="n">
        <v>605.1</v>
      </c>
      <c r="N124" s="7" t="n">
        <v>912</v>
      </c>
      <c r="P124" s="7" t="n">
        <v>598.4</v>
      </c>
      <c r="R124" s="7" t="n">
        <v>1538.2</v>
      </c>
      <c r="T124" s="7" t="n">
        <v>485.8</v>
      </c>
      <c r="V124" s="7" t="n">
        <v>1700.7</v>
      </c>
      <c r="X124" s="7" t="n">
        <v>1301.8</v>
      </c>
      <c r="Z124" s="7" t="n">
        <v>492.7</v>
      </c>
      <c r="AB124" s="7" t="n">
        <v>10070.1</v>
      </c>
    </row>
    <row r="125">
      <c r="A125" s="4" t="inlineStr">
        <is>
          <t>市内交通费</t>
        </is>
      </c>
      <c r="D125" s="7" t="n">
        <v>0</v>
      </c>
      <c r="F125" s="7" t="n">
        <v>36.4</v>
      </c>
      <c r="H125" s="7" t="n">
        <v>14.2</v>
      </c>
      <c r="J125" s="7" t="n">
        <v>101.6</v>
      </c>
      <c r="L125" s="7" t="n">
        <v>38.2</v>
      </c>
      <c r="N125" s="7" t="n">
        <v>65.8</v>
      </c>
      <c r="P125" s="7" t="n">
        <v>50</v>
      </c>
      <c r="R125" s="7" t="n">
        <v>113.1</v>
      </c>
      <c r="T125" s="7" t="n">
        <v>25.2</v>
      </c>
      <c r="V125" s="7" t="n">
        <v>118.1</v>
      </c>
      <c r="X125" s="7" t="n">
        <v>130.2</v>
      </c>
      <c r="Z125" s="7" t="n">
        <v>47.1</v>
      </c>
      <c r="AB125" s="7" t="n">
        <v>739.9</v>
      </c>
    </row>
    <row r="126">
      <c r="A126" s="4" t="inlineStr">
        <is>
          <t>差旅费</t>
        </is>
      </c>
      <c r="D126" s="7" t="n">
        <v>0</v>
      </c>
      <c r="F126" s="7" t="n">
        <v>1230.7</v>
      </c>
      <c r="H126" s="7" t="n">
        <v>677.4</v>
      </c>
      <c r="J126" s="7" t="n">
        <v>2881.2</v>
      </c>
      <c r="L126" s="7" t="n">
        <v>1043.6</v>
      </c>
      <c r="N126" s="7" t="n">
        <v>1366.1</v>
      </c>
      <c r="P126" s="7" t="n">
        <v>1523.8</v>
      </c>
      <c r="R126" s="7" t="n">
        <v>3440.8</v>
      </c>
      <c r="T126" s="7" t="n">
        <v>752.1</v>
      </c>
      <c r="V126" s="7" t="n">
        <v>2514.4</v>
      </c>
      <c r="X126" s="7" t="n">
        <v>2119.2</v>
      </c>
      <c r="Z126" s="7" t="n">
        <v>1449.6</v>
      </c>
      <c r="AB126" s="7" t="n">
        <v>18998.9</v>
      </c>
    </row>
    <row r="127">
      <c r="A127" s="4" t="inlineStr">
        <is>
          <t>交通费</t>
        </is>
      </c>
      <c r="D127" s="7" t="n">
        <v>0</v>
      </c>
      <c r="F127" s="7" t="n">
        <v>70.09999999999999</v>
      </c>
      <c r="H127" s="7" t="n">
        <v>21.9</v>
      </c>
      <c r="J127" s="7" t="n">
        <v>115.9</v>
      </c>
      <c r="L127" s="7" t="n">
        <v>40.6</v>
      </c>
      <c r="N127" s="7" t="n">
        <v>67.8</v>
      </c>
      <c r="P127" s="7" t="n">
        <v>83.2</v>
      </c>
      <c r="R127" s="7" t="n">
        <v>122.1</v>
      </c>
      <c r="T127" s="7" t="n">
        <v>36</v>
      </c>
      <c r="V127" s="7" t="n">
        <v>148.9</v>
      </c>
      <c r="X127" s="7" t="n">
        <v>94.90000000000001</v>
      </c>
      <c r="Z127" s="7" t="n">
        <v>41.3</v>
      </c>
      <c r="AB127" s="7" t="n">
        <v>842.7</v>
      </c>
    </row>
    <row r="128">
      <c r="A128" s="4" t="inlineStr">
        <is>
          <t>住宿费</t>
        </is>
      </c>
      <c r="D128" s="7" t="n">
        <v>0</v>
      </c>
      <c r="F128" s="7" t="n">
        <v>114.3</v>
      </c>
      <c r="H128" s="7" t="n">
        <v>34.8</v>
      </c>
      <c r="J128" s="7" t="n">
        <v>220</v>
      </c>
      <c r="L128" s="7" t="n">
        <v>67.2</v>
      </c>
      <c r="N128" s="7" t="n">
        <v>106.2</v>
      </c>
      <c r="P128" s="7" t="n">
        <v>129</v>
      </c>
      <c r="R128" s="7" t="n">
        <v>334.1</v>
      </c>
      <c r="T128" s="7" t="n">
        <v>79.90000000000001</v>
      </c>
      <c r="V128" s="7" t="n">
        <v>175.5</v>
      </c>
      <c r="X128" s="7" t="n">
        <v>261.4</v>
      </c>
      <c r="Z128" s="7" t="n">
        <v>74.8</v>
      </c>
      <c r="AB128" s="7" t="n">
        <v>1597.2</v>
      </c>
    </row>
    <row r="129">
      <c r="A129" s="4" t="inlineStr">
        <is>
          <t>餐补</t>
        </is>
      </c>
      <c r="D129" s="7" t="n">
        <v>0</v>
      </c>
      <c r="F129" s="7" t="n">
        <v>58.2</v>
      </c>
      <c r="H129" s="7" t="n">
        <v>18.9</v>
      </c>
      <c r="J129" s="7" t="n">
        <v>97.90000000000001</v>
      </c>
      <c r="L129" s="7" t="n">
        <v>37.1</v>
      </c>
      <c r="N129" s="7" t="n">
        <v>59.6</v>
      </c>
      <c r="P129" s="7" t="n">
        <v>60</v>
      </c>
      <c r="R129" s="7" t="n">
        <v>143</v>
      </c>
      <c r="T129" s="7" t="n">
        <v>37.8</v>
      </c>
      <c r="V129" s="7" t="n">
        <v>105.8</v>
      </c>
      <c r="X129" s="7" t="n">
        <v>156</v>
      </c>
      <c r="Z129" s="7" t="n">
        <v>67</v>
      </c>
      <c r="AB129" s="7" t="n">
        <v>841.3</v>
      </c>
    </row>
    <row r="130">
      <c r="A130" s="4" t="inlineStr">
        <is>
          <t>交通补助</t>
        </is>
      </c>
      <c r="D130" s="7" t="n">
        <v>0</v>
      </c>
      <c r="F130" s="7" t="n">
        <v>79.09999999999999</v>
      </c>
      <c r="H130" s="7" t="n">
        <v>52.7</v>
      </c>
      <c r="J130" s="7" t="n">
        <v>243.2</v>
      </c>
      <c r="L130" s="7" t="n">
        <v>97.09999999999999</v>
      </c>
      <c r="N130" s="7" t="n">
        <v>135.7</v>
      </c>
      <c r="P130" s="7" t="n">
        <v>89.7</v>
      </c>
      <c r="R130" s="7" t="n">
        <v>312.9</v>
      </c>
      <c r="T130" s="7" t="n">
        <v>52.4</v>
      </c>
      <c r="V130" s="7" t="n">
        <v>268.4</v>
      </c>
      <c r="X130" s="7" t="n">
        <v>179.3</v>
      </c>
      <c r="Z130" s="7" t="n">
        <v>98.2</v>
      </c>
      <c r="AB130" s="7" t="n">
        <v>1608.7</v>
      </c>
    </row>
    <row r="131">
      <c r="A131" s="4" t="inlineStr">
        <is>
          <t>通讯补助</t>
        </is>
      </c>
      <c r="D131" s="7" t="n">
        <v>0</v>
      </c>
      <c r="F131" s="7" t="n">
        <v>70.2</v>
      </c>
      <c r="H131" s="7" t="n">
        <v>40.7</v>
      </c>
      <c r="J131" s="7" t="n">
        <v>197</v>
      </c>
      <c r="L131" s="7" t="n">
        <v>65.09999999999999</v>
      </c>
      <c r="N131" s="7" t="n">
        <v>93.5</v>
      </c>
      <c r="P131" s="7" t="n">
        <v>72.7</v>
      </c>
      <c r="R131" s="7" t="n">
        <v>177.7</v>
      </c>
      <c r="T131" s="7" t="n">
        <v>59.7</v>
      </c>
      <c r="V131" s="7" t="n">
        <v>157.6</v>
      </c>
      <c r="X131" s="7" t="n">
        <v>140.4</v>
      </c>
      <c r="Z131" s="7" t="n">
        <v>57.9</v>
      </c>
      <c r="AB131" s="7" t="n">
        <v>1132.5</v>
      </c>
    </row>
    <row r="132">
      <c r="A132" s="4" t="inlineStr">
        <is>
          <t>招待费</t>
        </is>
      </c>
      <c r="D132" s="7" t="n">
        <v>0</v>
      </c>
      <c r="F132" s="7" t="n">
        <v>746.2</v>
      </c>
      <c r="H132" s="7" t="n">
        <v>408</v>
      </c>
      <c r="J132" s="7" t="n">
        <v>1771.5</v>
      </c>
      <c r="L132" s="7" t="n">
        <v>643.5</v>
      </c>
      <c r="N132" s="7" t="n">
        <v>812.1</v>
      </c>
      <c r="P132" s="7" t="n">
        <v>1134.2</v>
      </c>
      <c r="R132" s="7" t="n">
        <v>1678.4</v>
      </c>
      <c r="T132" s="7" t="n">
        <v>457.7</v>
      </c>
      <c r="V132" s="7" t="n">
        <v>1501.1</v>
      </c>
      <c r="X132" s="7" t="n">
        <v>2292.5</v>
      </c>
      <c r="Z132" s="7" t="n">
        <v>744.2</v>
      </c>
      <c r="AB132" s="7" t="n">
        <v>12189.4</v>
      </c>
    </row>
    <row r="133">
      <c r="A133" s="4" t="inlineStr">
        <is>
          <t>通讯费</t>
        </is>
      </c>
      <c r="D133" s="7" t="n">
        <v>0</v>
      </c>
      <c r="F133" s="7" t="n">
        <v>69.3</v>
      </c>
      <c r="H133" s="7" t="n">
        <v>24.4</v>
      </c>
      <c r="J133" s="7" t="n">
        <v>99.2</v>
      </c>
      <c r="L133" s="7" t="n">
        <v>52.8</v>
      </c>
      <c r="N133" s="7" t="n">
        <v>93</v>
      </c>
      <c r="P133" s="7" t="n">
        <v>63.3</v>
      </c>
      <c r="R133" s="7" t="n">
        <v>189.9</v>
      </c>
      <c r="T133" s="7" t="n">
        <v>42.1</v>
      </c>
      <c r="V133" s="7" t="n">
        <v>116.6</v>
      </c>
      <c r="X133" s="7" t="n">
        <v>126.3</v>
      </c>
      <c r="Z133" s="7" t="n">
        <v>69.8</v>
      </c>
      <c r="AB133" s="7" t="n">
        <v>946.7</v>
      </c>
    </row>
    <row r="134">
      <c r="A134" s="4" t="inlineStr">
        <is>
          <t>网络费</t>
        </is>
      </c>
      <c r="D134" s="7" t="n">
        <v>0</v>
      </c>
      <c r="F134" s="7" t="n">
        <v>97.09999999999999</v>
      </c>
      <c r="H134" s="7" t="n">
        <v>49.1</v>
      </c>
      <c r="J134" s="7" t="n">
        <v>160.2</v>
      </c>
      <c r="L134" s="7" t="n">
        <v>73.59999999999999</v>
      </c>
      <c r="N134" s="7" t="n">
        <v>158.7</v>
      </c>
      <c r="P134" s="7" t="n">
        <v>100.8</v>
      </c>
      <c r="R134" s="7" t="n">
        <v>188.5</v>
      </c>
      <c r="T134" s="7" t="n">
        <v>77.90000000000001</v>
      </c>
      <c r="V134" s="7" t="n">
        <v>251.6</v>
      </c>
      <c r="X134" s="7" t="n">
        <v>201.9</v>
      </c>
      <c r="Z134" s="7" t="n">
        <v>98.8</v>
      </c>
      <c r="AB134" s="7" t="n">
        <v>1458.2</v>
      </c>
    </row>
    <row r="135">
      <c r="A135" s="4" t="inlineStr">
        <is>
          <t>修理费</t>
        </is>
      </c>
      <c r="D135" s="7" t="n">
        <v>0</v>
      </c>
      <c r="F135" s="7" t="n">
        <v>143.8</v>
      </c>
      <c r="H135" s="7" t="n">
        <v>48.3</v>
      </c>
      <c r="J135" s="7" t="n">
        <v>259.7</v>
      </c>
      <c r="L135" s="7" t="n">
        <v>88.40000000000001</v>
      </c>
      <c r="N135" s="7" t="n">
        <v>125.2</v>
      </c>
      <c r="P135" s="7" t="n">
        <v>109</v>
      </c>
      <c r="R135" s="7" t="n">
        <v>302.7</v>
      </c>
      <c r="T135" s="7" t="n">
        <v>63.5</v>
      </c>
      <c r="V135" s="7" t="n">
        <v>298.9</v>
      </c>
      <c r="X135" s="7" t="n">
        <v>212.5</v>
      </c>
      <c r="Z135" s="7" t="n">
        <v>114.2</v>
      </c>
      <c r="AB135" s="7" t="n">
        <v>1766.2</v>
      </c>
    </row>
    <row r="136">
      <c r="A136" s="4" t="inlineStr">
        <is>
          <t>车辆费</t>
        </is>
      </c>
      <c r="D136" s="7" t="n">
        <v>0</v>
      </c>
      <c r="F136" s="7" t="n">
        <v>90</v>
      </c>
      <c r="H136" s="7" t="n">
        <v>44.4</v>
      </c>
      <c r="J136" s="7" t="n">
        <v>208.9</v>
      </c>
      <c r="L136" s="7" t="n">
        <v>93</v>
      </c>
      <c r="N136" s="7" t="n">
        <v>139.5</v>
      </c>
      <c r="P136" s="7" t="n">
        <v>187.8</v>
      </c>
      <c r="R136" s="7" t="n">
        <v>241.8</v>
      </c>
      <c r="T136" s="7" t="n">
        <v>85.8</v>
      </c>
      <c r="V136" s="7" t="n">
        <v>211.2</v>
      </c>
      <c r="X136" s="7" t="n">
        <v>334.9</v>
      </c>
      <c r="Z136" s="7" t="n">
        <v>108.3</v>
      </c>
      <c r="AB136" s="7" t="n">
        <v>1745.6</v>
      </c>
    </row>
    <row r="137">
      <c r="A137" s="4" t="inlineStr">
        <is>
          <t>租赁费</t>
        </is>
      </c>
      <c r="D137" s="7" t="n">
        <v>0</v>
      </c>
      <c r="F137" s="7" t="n">
        <v>899.3</v>
      </c>
      <c r="H137" s="7" t="n">
        <v>406.3</v>
      </c>
      <c r="J137" s="7" t="n">
        <v>2486.4</v>
      </c>
      <c r="L137" s="7" t="n">
        <v>831.5</v>
      </c>
      <c r="N137" s="7" t="n">
        <v>1463.5</v>
      </c>
      <c r="P137" s="7" t="n">
        <v>1572.9</v>
      </c>
      <c r="R137" s="7" t="n">
        <v>2028.8</v>
      </c>
      <c r="T137" s="7" t="n">
        <v>778.1</v>
      </c>
      <c r="V137" s="7" t="n">
        <v>1994.2</v>
      </c>
      <c r="X137" s="7" t="n">
        <v>2228.9</v>
      </c>
      <c r="Z137" s="7" t="n">
        <v>707.3</v>
      </c>
      <c r="AB137" s="7" t="n">
        <v>15397.2</v>
      </c>
    </row>
    <row r="138">
      <c r="A138" s="4" t="inlineStr">
        <is>
          <t>能源费</t>
        </is>
      </c>
      <c r="D138" s="7" t="n">
        <v>0</v>
      </c>
      <c r="F138" s="7" t="n">
        <v>42.1</v>
      </c>
      <c r="H138" s="7" t="n">
        <v>22.3</v>
      </c>
      <c r="J138" s="7" t="n">
        <v>105.7</v>
      </c>
      <c r="L138" s="7" t="n">
        <v>27.2</v>
      </c>
      <c r="N138" s="7" t="n">
        <v>60</v>
      </c>
      <c r="P138" s="7" t="n">
        <v>64.90000000000001</v>
      </c>
      <c r="R138" s="7" t="n">
        <v>129.4</v>
      </c>
      <c r="T138" s="7" t="n">
        <v>25.4</v>
      </c>
      <c r="V138" s="7" t="n">
        <v>107.4</v>
      </c>
      <c r="X138" s="7" t="n">
        <v>93.59999999999999</v>
      </c>
      <c r="Z138" s="7" t="n">
        <v>42.1</v>
      </c>
      <c r="AB138" s="7" t="n">
        <v>720.1</v>
      </c>
    </row>
    <row r="139">
      <c r="A139" s="4" t="inlineStr">
        <is>
          <t>水费</t>
        </is>
      </c>
      <c r="D139" s="7" t="n">
        <v>0</v>
      </c>
      <c r="F139" s="7" t="n">
        <v>0.6</v>
      </c>
      <c r="H139" s="7" t="n">
        <v>0.3</v>
      </c>
      <c r="J139" s="7" t="n">
        <v>0.9</v>
      </c>
      <c r="L139" s="7" t="n">
        <v>0.3</v>
      </c>
      <c r="N139" s="7" t="n">
        <v>0.8</v>
      </c>
      <c r="P139" s="7" t="n">
        <v>0.6</v>
      </c>
      <c r="R139" s="7" t="n">
        <v>1.5</v>
      </c>
      <c r="T139" s="7" t="n">
        <v>0.4</v>
      </c>
      <c r="V139" s="7" t="n">
        <v>1.4</v>
      </c>
      <c r="X139" s="7" t="n">
        <v>1.2</v>
      </c>
      <c r="Z139" s="7" t="n">
        <v>0.5</v>
      </c>
      <c r="AB139" s="7" t="n">
        <v>8.5</v>
      </c>
    </row>
    <row r="140">
      <c r="A140" s="4" t="inlineStr">
        <is>
          <t>电费</t>
        </is>
      </c>
      <c r="D140" s="7" t="n">
        <v>0</v>
      </c>
      <c r="F140" s="7" t="n">
        <v>29.5</v>
      </c>
      <c r="H140" s="7" t="n">
        <v>15</v>
      </c>
      <c r="J140" s="7" t="n">
        <v>72.8</v>
      </c>
      <c r="L140" s="7" t="n">
        <v>16.1</v>
      </c>
      <c r="N140" s="7" t="n">
        <v>38.8</v>
      </c>
      <c r="P140" s="7" t="n">
        <v>45.9</v>
      </c>
      <c r="R140" s="7" t="n">
        <v>93.7</v>
      </c>
      <c r="T140" s="7" t="n">
        <v>14.5</v>
      </c>
      <c r="V140" s="7" t="n">
        <v>75.09999999999999</v>
      </c>
      <c r="X140" s="7" t="n">
        <v>50.2</v>
      </c>
      <c r="Z140" s="7" t="n">
        <v>27.9</v>
      </c>
      <c r="AB140" s="7" t="n">
        <v>479.5</v>
      </c>
    </row>
    <row r="141">
      <c r="A141" s="4" t="inlineStr">
        <is>
          <t>燃气费</t>
        </is>
      </c>
      <c r="D141" s="7" t="n">
        <v>0</v>
      </c>
      <c r="F141" s="7" t="n">
        <v>5.4</v>
      </c>
      <c r="H141" s="7" t="n">
        <v>3.4</v>
      </c>
      <c r="J141" s="7" t="n">
        <v>12.5</v>
      </c>
      <c r="L141" s="7" t="n">
        <v>5.4</v>
      </c>
      <c r="N141" s="7" t="n">
        <v>8.699999999999999</v>
      </c>
      <c r="P141" s="7" t="n">
        <v>9.4</v>
      </c>
      <c r="R141" s="7" t="n">
        <v>14.8</v>
      </c>
      <c r="T141" s="7" t="n">
        <v>5.8</v>
      </c>
      <c r="V141" s="7" t="n">
        <v>16.5</v>
      </c>
      <c r="X141" s="7" t="n">
        <v>20.1</v>
      </c>
      <c r="Z141" s="7" t="n">
        <v>5.7</v>
      </c>
      <c r="AB141" s="7" t="n">
        <v>107.7</v>
      </c>
    </row>
    <row r="142">
      <c r="A142" s="4" t="inlineStr">
        <is>
          <t>蒸汽费</t>
        </is>
      </c>
      <c r="D142" s="7" t="n">
        <v>0</v>
      </c>
      <c r="F142" s="7" t="n">
        <v>6.6</v>
      </c>
      <c r="H142" s="7" t="n">
        <v>3.6</v>
      </c>
      <c r="J142" s="7" t="n">
        <v>19.5</v>
      </c>
      <c r="L142" s="7" t="n">
        <v>5.4</v>
      </c>
      <c r="N142" s="7" t="n">
        <v>11.7</v>
      </c>
      <c r="P142" s="7" t="n">
        <v>9</v>
      </c>
      <c r="R142" s="7" t="n">
        <v>19.4</v>
      </c>
      <c r="T142" s="7" t="n">
        <v>4.7</v>
      </c>
      <c r="V142" s="7" t="n">
        <v>14.4</v>
      </c>
      <c r="X142" s="7" t="n">
        <v>22.1</v>
      </c>
      <c r="Z142" s="7" t="n">
        <v>8</v>
      </c>
      <c r="AB142" s="7" t="n">
        <v>124.4</v>
      </c>
    </row>
    <row r="143">
      <c r="A143" s="4" t="inlineStr">
        <is>
          <t>物业费</t>
        </is>
      </c>
      <c r="D143" s="7" t="n">
        <v>0</v>
      </c>
      <c r="F143" s="7" t="n">
        <v>73.8</v>
      </c>
      <c r="H143" s="7" t="n">
        <v>22.1</v>
      </c>
      <c r="J143" s="7" t="n">
        <v>120.6</v>
      </c>
      <c r="L143" s="7" t="n">
        <v>52.2</v>
      </c>
      <c r="N143" s="7" t="n">
        <v>89.2</v>
      </c>
      <c r="P143" s="7" t="n">
        <v>65.7</v>
      </c>
      <c r="R143" s="7" t="n">
        <v>195.8</v>
      </c>
      <c r="T143" s="7" t="n">
        <v>47.1</v>
      </c>
      <c r="V143" s="7" t="n">
        <v>117.8</v>
      </c>
      <c r="X143" s="7" t="n">
        <v>179.1</v>
      </c>
      <c r="Z143" s="7" t="n">
        <v>45.5</v>
      </c>
      <c r="AB143" s="7" t="n">
        <v>1008.9</v>
      </c>
    </row>
    <row r="144">
      <c r="A144" s="4" t="inlineStr">
        <is>
          <t>劳动保护费</t>
        </is>
      </c>
      <c r="D144" s="7" t="n">
        <v>0</v>
      </c>
      <c r="F144" s="7" t="n">
        <v>61.3</v>
      </c>
      <c r="H144" s="7" t="n">
        <v>21.5</v>
      </c>
      <c r="J144" s="7" t="n">
        <v>129.5</v>
      </c>
      <c r="L144" s="7" t="n">
        <v>45.9</v>
      </c>
      <c r="N144" s="7" t="n">
        <v>64.2</v>
      </c>
      <c r="P144" s="7" t="n">
        <v>69.8</v>
      </c>
      <c r="R144" s="7" t="n">
        <v>128.9</v>
      </c>
      <c r="T144" s="7" t="n">
        <v>40.1</v>
      </c>
      <c r="V144" s="7" t="n">
        <v>139.2</v>
      </c>
      <c r="X144" s="7" t="n">
        <v>149.3</v>
      </c>
      <c r="Z144" s="7" t="n">
        <v>58.5</v>
      </c>
      <c r="AB144" s="7" t="n">
        <v>908.2</v>
      </c>
    </row>
    <row r="145">
      <c r="A145" s="4" t="inlineStr">
        <is>
          <t>顾问费</t>
        </is>
      </c>
      <c r="D145" s="7" t="n">
        <v>0</v>
      </c>
      <c r="F145" s="7" t="n">
        <v>144.1</v>
      </c>
      <c r="H145" s="7" t="n">
        <v>53.9</v>
      </c>
      <c r="J145" s="7" t="n">
        <v>186.3</v>
      </c>
      <c r="L145" s="7" t="n">
        <v>91.2</v>
      </c>
      <c r="N145" s="7" t="n">
        <v>178.2</v>
      </c>
      <c r="P145" s="7" t="n">
        <v>134.1</v>
      </c>
      <c r="R145" s="7" t="n">
        <v>333.3</v>
      </c>
      <c r="T145" s="7" t="n">
        <v>83.09999999999999</v>
      </c>
      <c r="V145" s="7" t="n">
        <v>216.9</v>
      </c>
      <c r="X145" s="7" t="n">
        <v>243.9</v>
      </c>
      <c r="Z145" s="7" t="n">
        <v>126.5</v>
      </c>
      <c r="AB145" s="7" t="n">
        <v>1791.5</v>
      </c>
    </row>
    <row r="146">
      <c r="A146" s="4" t="inlineStr">
        <is>
          <t>快递费</t>
        </is>
      </c>
      <c r="D146" s="7" t="n">
        <v>0</v>
      </c>
      <c r="F146" s="7" t="n">
        <v>70.2</v>
      </c>
      <c r="H146" s="7" t="n">
        <v>43.3</v>
      </c>
      <c r="J146" s="7" t="n">
        <v>207</v>
      </c>
      <c r="L146" s="7" t="n">
        <v>58.9</v>
      </c>
      <c r="N146" s="7" t="n">
        <v>93.7</v>
      </c>
      <c r="P146" s="7" t="n">
        <v>77.8</v>
      </c>
      <c r="R146" s="7" t="n">
        <v>187.7</v>
      </c>
      <c r="T146" s="7" t="n">
        <v>58.2</v>
      </c>
      <c r="V146" s="7" t="n">
        <v>214.8</v>
      </c>
      <c r="X146" s="7" t="n">
        <v>148.8</v>
      </c>
      <c r="Z146" s="7" t="n">
        <v>56.1</v>
      </c>
      <c r="AB146" s="7" t="n">
        <v>1216.5</v>
      </c>
    </row>
    <row r="147">
      <c r="A147" s="4" t="inlineStr">
        <is>
          <t>诉讼费</t>
        </is>
      </c>
      <c r="D147" s="7" t="n">
        <v>0</v>
      </c>
      <c r="F147" s="7" t="n">
        <v>129.1</v>
      </c>
      <c r="H147" s="7" t="n">
        <v>44.5</v>
      </c>
      <c r="J147" s="7" t="n">
        <v>233.2</v>
      </c>
      <c r="L147" s="7" t="n">
        <v>80.8</v>
      </c>
      <c r="N147" s="7" t="n">
        <v>169.3</v>
      </c>
      <c r="P147" s="7" t="n">
        <v>107.9</v>
      </c>
      <c r="R147" s="7" t="n">
        <v>236.6</v>
      </c>
      <c r="T147" s="7" t="n">
        <v>83.7</v>
      </c>
      <c r="V147" s="7" t="n">
        <v>175</v>
      </c>
      <c r="X147" s="7" t="n">
        <v>167</v>
      </c>
      <c r="Z147" s="7" t="n">
        <v>99.5</v>
      </c>
      <c r="AB147" s="7" t="n">
        <v>1526.6</v>
      </c>
    </row>
    <row r="148">
      <c r="A148" s="4" t="inlineStr">
        <is>
          <t>会员费</t>
        </is>
      </c>
      <c r="D148" s="7" t="n">
        <v>0</v>
      </c>
      <c r="F148" s="7" t="n">
        <v>29.8</v>
      </c>
      <c r="H148" s="7" t="n">
        <v>14.3</v>
      </c>
      <c r="J148" s="7" t="n">
        <v>66.5</v>
      </c>
      <c r="L148" s="7" t="n">
        <v>14.6</v>
      </c>
      <c r="N148" s="7" t="n">
        <v>28.1</v>
      </c>
      <c r="P148" s="7" t="n">
        <v>32.2</v>
      </c>
      <c r="R148" s="7" t="n">
        <v>70.09999999999999</v>
      </c>
      <c r="T148" s="7" t="n">
        <v>21.1</v>
      </c>
      <c r="V148" s="7" t="n">
        <v>67.09999999999999</v>
      </c>
      <c r="X148" s="7" t="n">
        <v>52.6</v>
      </c>
      <c r="Z148" s="7" t="n">
        <v>27</v>
      </c>
      <c r="AB148" s="7" t="n">
        <v>423.4</v>
      </c>
    </row>
    <row r="149">
      <c r="A149" s="4" t="inlineStr">
        <is>
          <t>广告宣传费</t>
        </is>
      </c>
      <c r="D149" s="7" t="n">
        <v>0</v>
      </c>
      <c r="F149" s="7" t="n">
        <v>519.7</v>
      </c>
      <c r="H149" s="7" t="n">
        <v>260.6</v>
      </c>
      <c r="J149" s="7" t="n">
        <v>1329.5</v>
      </c>
      <c r="L149" s="7" t="n">
        <v>470.6</v>
      </c>
      <c r="N149" s="7" t="n">
        <v>860.7</v>
      </c>
      <c r="P149" s="7" t="n">
        <v>924.4</v>
      </c>
      <c r="R149" s="7" t="n">
        <v>2009.6</v>
      </c>
      <c r="T149" s="7" t="n">
        <v>429.7</v>
      </c>
      <c r="V149" s="7" t="n">
        <v>1657.8</v>
      </c>
      <c r="X149" s="7" t="n">
        <v>1164.5</v>
      </c>
      <c r="Z149" s="7" t="n">
        <v>548.6</v>
      </c>
      <c r="AB149" s="7" t="n">
        <v>10175.7</v>
      </c>
    </row>
    <row r="150">
      <c r="A150" s="4" t="inlineStr">
        <is>
          <t>会务费</t>
        </is>
      </c>
      <c r="D150" s="7" t="n">
        <v>0</v>
      </c>
      <c r="F150" s="7" t="n">
        <v>67.3</v>
      </c>
      <c r="H150" s="7" t="n">
        <v>42.7</v>
      </c>
      <c r="J150" s="7" t="n">
        <v>245.5</v>
      </c>
      <c r="L150" s="7" t="n">
        <v>57.7</v>
      </c>
      <c r="N150" s="7" t="n">
        <v>113.4</v>
      </c>
      <c r="P150" s="7" t="n">
        <v>78.40000000000001</v>
      </c>
      <c r="R150" s="7" t="n">
        <v>271.2</v>
      </c>
      <c r="T150" s="7" t="n">
        <v>76.8</v>
      </c>
      <c r="V150" s="7" t="n">
        <v>153.4</v>
      </c>
      <c r="X150" s="7" t="n">
        <v>238.8</v>
      </c>
      <c r="Z150" s="7" t="n">
        <v>83.09999999999999</v>
      </c>
      <c r="AB150" s="7" t="n">
        <v>1428.3</v>
      </c>
    </row>
    <row r="151">
      <c r="A151" s="4" t="inlineStr">
        <is>
          <t>装修费</t>
        </is>
      </c>
      <c r="D151" s="7" t="n">
        <v>0</v>
      </c>
      <c r="F151" s="7" t="n">
        <v>60.6</v>
      </c>
      <c r="H151" s="7" t="n">
        <v>23.5</v>
      </c>
      <c r="J151" s="7" t="n">
        <v>112.5</v>
      </c>
      <c r="L151" s="7" t="n">
        <v>46.4</v>
      </c>
      <c r="N151" s="7" t="n">
        <v>60.4</v>
      </c>
      <c r="P151" s="7" t="n">
        <v>44.2</v>
      </c>
      <c r="R151" s="7" t="n">
        <v>154.6</v>
      </c>
      <c r="T151" s="7" t="n">
        <v>34.5</v>
      </c>
      <c r="V151" s="7" t="n">
        <v>119.7</v>
      </c>
      <c r="X151" s="7" t="n">
        <v>130.2</v>
      </c>
      <c r="Z151" s="7" t="n">
        <v>47.6</v>
      </c>
      <c r="AB151" s="7" t="n">
        <v>834.2</v>
      </c>
    </row>
    <row r="152">
      <c r="A152" s="4" t="inlineStr">
        <is>
          <t>推广费</t>
        </is>
      </c>
      <c r="D152" s="7" t="n">
        <v>0</v>
      </c>
      <c r="F152" s="7" t="n">
        <v>125.7</v>
      </c>
      <c r="H152" s="7" t="n">
        <v>40.8</v>
      </c>
      <c r="J152" s="7" t="n">
        <v>166.5</v>
      </c>
      <c r="L152" s="7" t="n">
        <v>87.7</v>
      </c>
      <c r="N152" s="7" t="n">
        <v>188.5</v>
      </c>
      <c r="P152" s="7" t="n">
        <v>105.6</v>
      </c>
      <c r="R152" s="7" t="n">
        <v>281.6</v>
      </c>
      <c r="T152" s="7" t="n">
        <v>56.9</v>
      </c>
      <c r="V152" s="7" t="n">
        <v>279</v>
      </c>
      <c r="X152" s="7" t="n">
        <v>191.9</v>
      </c>
      <c r="Z152" s="7" t="n">
        <v>120.9</v>
      </c>
      <c r="AB152" s="7" t="n">
        <v>1645.1</v>
      </c>
    </row>
    <row r="153">
      <c r="A153" s="4" t="inlineStr">
        <is>
          <t>展会费</t>
        </is>
      </c>
      <c r="D153" s="7" t="n">
        <v>0</v>
      </c>
      <c r="F153" s="7" t="n">
        <v>46.3</v>
      </c>
      <c r="H153" s="7" t="n">
        <v>19.2</v>
      </c>
      <c r="J153" s="7" t="n">
        <v>110.9</v>
      </c>
      <c r="L153" s="7" t="n">
        <v>53.1</v>
      </c>
      <c r="N153" s="7" t="n">
        <v>89.90000000000001</v>
      </c>
      <c r="P153" s="7" t="n">
        <v>77.5</v>
      </c>
      <c r="R153" s="7" t="n">
        <v>148.5</v>
      </c>
      <c r="T153" s="7" t="n">
        <v>33.4</v>
      </c>
      <c r="V153" s="7" t="n">
        <v>121.3</v>
      </c>
      <c r="X153" s="7" t="n">
        <v>171.6</v>
      </c>
      <c r="Z153" s="7" t="n">
        <v>65.40000000000001</v>
      </c>
      <c r="AB153" s="7" t="n">
        <v>937.1</v>
      </c>
    </row>
    <row r="154">
      <c r="A154" s="4" t="inlineStr">
        <is>
          <t>设计费</t>
        </is>
      </c>
      <c r="D154" s="7" t="n">
        <v>0</v>
      </c>
      <c r="F154" s="7" t="n">
        <v>42.1</v>
      </c>
      <c r="H154" s="7" t="n">
        <v>19.5</v>
      </c>
      <c r="J154" s="7" t="n">
        <v>72.90000000000001</v>
      </c>
      <c r="L154" s="7" t="n">
        <v>42.3</v>
      </c>
      <c r="N154" s="7" t="n">
        <v>52</v>
      </c>
      <c r="P154" s="7" t="n">
        <v>51.7</v>
      </c>
      <c r="R154" s="7" t="n">
        <v>85.59999999999999</v>
      </c>
      <c r="T154" s="7" t="n">
        <v>21.8</v>
      </c>
      <c r="V154" s="7" t="n">
        <v>95.2</v>
      </c>
      <c r="X154" s="7" t="n">
        <v>95.3</v>
      </c>
      <c r="Z154" s="7" t="n">
        <v>46.7</v>
      </c>
      <c r="AB154" s="7" t="n">
        <v>625.1</v>
      </c>
    </row>
    <row r="155">
      <c r="A155" s="4" t="inlineStr">
        <is>
          <t>折旧费</t>
        </is>
      </c>
      <c r="D155" s="7" t="n">
        <v>0</v>
      </c>
      <c r="F155" s="7" t="n">
        <v>885.6</v>
      </c>
      <c r="H155" s="7" t="n">
        <v>288.6</v>
      </c>
      <c r="J155" s="7" t="n">
        <v>2014.6</v>
      </c>
      <c r="L155" s="7" t="n">
        <v>572.4</v>
      </c>
      <c r="N155" s="7" t="n">
        <v>1094.3</v>
      </c>
      <c r="P155" s="7" t="n">
        <v>929.9</v>
      </c>
      <c r="R155" s="7" t="n">
        <v>2059.3</v>
      </c>
      <c r="T155" s="7" t="n">
        <v>446.9</v>
      </c>
      <c r="V155" s="7" t="n">
        <v>2192.1</v>
      </c>
      <c r="X155" s="7" t="n">
        <v>2430.9</v>
      </c>
      <c r="Z155" s="7" t="n">
        <v>645.4</v>
      </c>
      <c r="AB155" s="7" t="n">
        <v>13560</v>
      </c>
    </row>
    <row r="156">
      <c r="A156" s="4" t="inlineStr">
        <is>
          <t>认证费</t>
        </is>
      </c>
      <c r="D156" s="7" t="n">
        <v>0</v>
      </c>
      <c r="F156" s="7" t="n">
        <v>107.9</v>
      </c>
      <c r="H156" s="7" t="n">
        <v>41</v>
      </c>
      <c r="J156" s="7" t="n">
        <v>180.1</v>
      </c>
      <c r="L156" s="7" t="n">
        <v>95.5</v>
      </c>
      <c r="N156" s="7" t="n">
        <v>119.5</v>
      </c>
      <c r="P156" s="7" t="n">
        <v>131</v>
      </c>
      <c r="R156" s="7" t="n">
        <v>362.2</v>
      </c>
      <c r="T156" s="7" t="n">
        <v>92.5</v>
      </c>
      <c r="V156" s="7" t="n">
        <v>159.1</v>
      </c>
      <c r="X156" s="7" t="n">
        <v>293.8</v>
      </c>
      <c r="Z156" s="7" t="n">
        <v>114.4</v>
      </c>
      <c r="AB156" s="7" t="n">
        <v>1697</v>
      </c>
    </row>
    <row r="157">
      <c r="A157" s="4" t="inlineStr">
        <is>
          <t>样品费</t>
        </is>
      </c>
      <c r="D157" s="7" t="n">
        <v>0</v>
      </c>
      <c r="F157" s="7" t="n">
        <v>530.5</v>
      </c>
      <c r="H157" s="7" t="n">
        <v>210.6</v>
      </c>
      <c r="J157" s="7" t="n">
        <v>881.7</v>
      </c>
      <c r="L157" s="7" t="n">
        <v>399</v>
      </c>
      <c r="N157" s="7" t="n">
        <v>544.9</v>
      </c>
      <c r="P157" s="7" t="n">
        <v>370.9</v>
      </c>
      <c r="R157" s="7" t="n">
        <v>1234.7</v>
      </c>
      <c r="T157" s="7" t="n">
        <v>334.5</v>
      </c>
      <c r="V157" s="7" t="n">
        <v>763.8</v>
      </c>
      <c r="X157" s="7" t="n">
        <v>1248.3</v>
      </c>
      <c r="Z157" s="7" t="n">
        <v>379.9</v>
      </c>
      <c r="AB157" s="7" t="n">
        <v>6898.8</v>
      </c>
    </row>
    <row r="158">
      <c r="A158" s="4" t="inlineStr">
        <is>
          <t>劳务费</t>
        </is>
      </c>
      <c r="D158" s="7" t="n">
        <v>0</v>
      </c>
      <c r="F158" s="7" t="n">
        <v>69.09999999999999</v>
      </c>
      <c r="H158" s="7" t="n">
        <v>22.4</v>
      </c>
      <c r="J158" s="7" t="n">
        <v>89.2</v>
      </c>
      <c r="L158" s="7" t="n">
        <v>45</v>
      </c>
      <c r="N158" s="7" t="n">
        <v>79.40000000000001</v>
      </c>
      <c r="P158" s="7" t="n">
        <v>49.4</v>
      </c>
      <c r="R158" s="7" t="n">
        <v>165.2</v>
      </c>
      <c r="T158" s="7" t="n">
        <v>46.5</v>
      </c>
      <c r="V158" s="7" t="n">
        <v>137.4</v>
      </c>
      <c r="X158" s="7" t="n">
        <v>111.4</v>
      </c>
      <c r="Z158" s="7" t="n">
        <v>56</v>
      </c>
      <c r="AB158" s="7" t="n">
        <v>871</v>
      </c>
    </row>
    <row r="159">
      <c r="A159" s="4" t="inlineStr">
        <is>
          <t>销售佣金</t>
        </is>
      </c>
      <c r="D159" s="7" t="n">
        <v>0</v>
      </c>
      <c r="F159" s="7" t="n">
        <v>1.9</v>
      </c>
      <c r="H159" s="7" t="n">
        <v>0.9</v>
      </c>
      <c r="J159" s="7" t="n">
        <v>3.6</v>
      </c>
      <c r="L159" s="7" t="n">
        <v>1.2</v>
      </c>
      <c r="N159" s="7" t="n">
        <v>2.8</v>
      </c>
      <c r="P159" s="7" t="n">
        <v>2.4</v>
      </c>
      <c r="R159" s="7" t="n">
        <v>4.8</v>
      </c>
      <c r="T159" s="7" t="n">
        <v>1.1</v>
      </c>
      <c r="V159" s="7" t="n">
        <v>4.2</v>
      </c>
      <c r="X159" s="7" t="n">
        <v>3.6</v>
      </c>
      <c r="Z159" s="7" t="n">
        <v>1.2</v>
      </c>
      <c r="AB159" s="7" t="n">
        <v>27.7</v>
      </c>
    </row>
    <row r="160">
      <c r="A160" s="4" t="inlineStr">
        <is>
          <t>检测费</t>
        </is>
      </c>
      <c r="D160" s="7" t="n">
        <v>0</v>
      </c>
      <c r="F160" s="7" t="n">
        <v>35.8</v>
      </c>
      <c r="H160" s="7" t="n">
        <v>14.1</v>
      </c>
      <c r="J160" s="7" t="n">
        <v>56.6</v>
      </c>
      <c r="L160" s="7" t="n">
        <v>24.6</v>
      </c>
      <c r="N160" s="7" t="n">
        <v>36.9</v>
      </c>
      <c r="P160" s="7" t="n">
        <v>37</v>
      </c>
      <c r="R160" s="7" t="n">
        <v>116.8</v>
      </c>
      <c r="T160" s="7" t="n">
        <v>23</v>
      </c>
      <c r="V160" s="7" t="n">
        <v>87.2</v>
      </c>
      <c r="X160" s="7" t="n">
        <v>77.40000000000001</v>
      </c>
      <c r="Z160" s="7" t="n">
        <v>33.4</v>
      </c>
      <c r="AB160" s="7" t="n">
        <v>542.8</v>
      </c>
    </row>
    <row r="161">
      <c r="A161" s="4" t="inlineStr">
        <is>
          <t>质量赔偿</t>
        </is>
      </c>
      <c r="D161" s="7" t="n">
        <v>0</v>
      </c>
      <c r="F161" s="7" t="n">
        <v>140.1</v>
      </c>
      <c r="H161" s="7" t="n">
        <v>64.7</v>
      </c>
      <c r="J161" s="7" t="n">
        <v>244</v>
      </c>
      <c r="L161" s="7" t="n">
        <v>85.90000000000001</v>
      </c>
      <c r="N161" s="7" t="n">
        <v>132.3</v>
      </c>
      <c r="P161" s="7" t="n">
        <v>148.4</v>
      </c>
      <c r="R161" s="7" t="n">
        <v>444.1</v>
      </c>
      <c r="T161" s="7" t="n">
        <v>105.2</v>
      </c>
      <c r="V161" s="7" t="n">
        <v>208.1</v>
      </c>
      <c r="X161" s="7" t="n">
        <v>352.6</v>
      </c>
      <c r="Z161" s="7" t="n">
        <v>116.6</v>
      </c>
      <c r="AB161" s="7" t="n">
        <v>2042</v>
      </c>
    </row>
    <row r="162">
      <c r="A162" s="4" t="inlineStr">
        <is>
          <t>保险费</t>
        </is>
      </c>
      <c r="D162" s="7" t="n">
        <v>0</v>
      </c>
      <c r="F162" s="7" t="n">
        <v>20.7</v>
      </c>
      <c r="H162" s="7" t="n">
        <v>11.2</v>
      </c>
      <c r="J162" s="7" t="n">
        <v>59.5</v>
      </c>
      <c r="L162" s="7" t="n">
        <v>12.6</v>
      </c>
      <c r="N162" s="7" t="n">
        <v>26.8</v>
      </c>
      <c r="P162" s="7" t="n">
        <v>21.3</v>
      </c>
      <c r="R162" s="7" t="n">
        <v>79.3</v>
      </c>
      <c r="T162" s="7" t="n">
        <v>16.5</v>
      </c>
      <c r="V162" s="7" t="n">
        <v>56.8</v>
      </c>
      <c r="X162" s="7" t="n">
        <v>49.6</v>
      </c>
      <c r="Z162" s="7" t="n">
        <v>18.1</v>
      </c>
      <c r="AB162" s="7" t="n">
        <v>372.4</v>
      </c>
    </row>
    <row r="163">
      <c r="A163" s="4" t="inlineStr">
        <is>
          <t>清洁费</t>
        </is>
      </c>
      <c r="D163" s="7" t="n">
        <v>0</v>
      </c>
      <c r="F163" s="7" t="n">
        <v>97.7</v>
      </c>
      <c r="H163" s="7" t="n">
        <v>45.3</v>
      </c>
      <c r="J163" s="7" t="n">
        <v>181.4</v>
      </c>
      <c r="L163" s="7" t="n">
        <v>65.40000000000001</v>
      </c>
      <c r="N163" s="7" t="n">
        <v>182.4</v>
      </c>
      <c r="P163" s="7" t="n">
        <v>154.6</v>
      </c>
      <c r="R163" s="7" t="n">
        <v>311.9</v>
      </c>
      <c r="T163" s="7" t="n">
        <v>79.3</v>
      </c>
      <c r="V163" s="7" t="n">
        <v>239</v>
      </c>
      <c r="X163" s="7" t="n">
        <v>293.7</v>
      </c>
      <c r="Z163" s="7" t="n">
        <v>132.5</v>
      </c>
      <c r="AB163" s="7" t="n">
        <v>1783.2</v>
      </c>
    </row>
    <row r="164">
      <c r="A164" s="4" t="inlineStr">
        <is>
          <t>低值易耗品</t>
        </is>
      </c>
      <c r="D164" s="7" t="n">
        <v>0</v>
      </c>
      <c r="F164" s="7" t="n">
        <v>16.3</v>
      </c>
      <c r="H164" s="7" t="n">
        <v>6.6</v>
      </c>
      <c r="J164" s="7" t="n">
        <v>29.1</v>
      </c>
      <c r="L164" s="7" t="n">
        <v>14.5</v>
      </c>
      <c r="N164" s="7" t="n">
        <v>21.8</v>
      </c>
      <c r="P164" s="7" t="n">
        <v>15.1</v>
      </c>
      <c r="R164" s="7" t="n">
        <v>30.1</v>
      </c>
      <c r="T164" s="7" t="n">
        <v>10.7</v>
      </c>
      <c r="V164" s="7" t="n">
        <v>37.5</v>
      </c>
      <c r="X164" s="7" t="n">
        <v>44.8</v>
      </c>
      <c r="Z164" s="7" t="n">
        <v>12.5</v>
      </c>
      <c r="AB164" s="7" t="n">
        <v>239</v>
      </c>
    </row>
    <row r="165">
      <c r="A165" s="4" t="inlineStr">
        <is>
          <t>物料消耗</t>
        </is>
      </c>
      <c r="D165" s="7" t="n">
        <v>0</v>
      </c>
      <c r="F165" s="7" t="n">
        <v>102.2</v>
      </c>
      <c r="H165" s="7" t="n">
        <v>46.1</v>
      </c>
      <c r="J165" s="7" t="n">
        <v>165.2</v>
      </c>
      <c r="L165" s="7" t="n">
        <v>68.59999999999999</v>
      </c>
      <c r="N165" s="7" t="n">
        <v>96.5</v>
      </c>
      <c r="P165" s="7" t="n">
        <v>116.7</v>
      </c>
      <c r="R165" s="7" t="n">
        <v>201.2</v>
      </c>
      <c r="T165" s="7" t="n">
        <v>76.09999999999999</v>
      </c>
      <c r="V165" s="7" t="n">
        <v>178.7</v>
      </c>
      <c r="X165" s="7" t="n">
        <v>239.9</v>
      </c>
      <c r="Z165" s="7" t="n">
        <v>72.7</v>
      </c>
      <c r="AB165" s="7" t="n">
        <v>1363.9</v>
      </c>
    </row>
    <row r="166">
      <c r="A166" s="4" t="inlineStr">
        <is>
          <t>盘盈盘亏</t>
        </is>
      </c>
      <c r="D166" s="7" t="n">
        <v>0</v>
      </c>
      <c r="F166" s="7" t="n">
        <v>90.2</v>
      </c>
      <c r="H166" s="7" t="n">
        <v>26.6</v>
      </c>
      <c r="J166" s="7" t="n">
        <v>155.4</v>
      </c>
      <c r="L166" s="7" t="n">
        <v>55.6</v>
      </c>
      <c r="N166" s="7" t="n">
        <v>130.4</v>
      </c>
      <c r="P166" s="7" t="n">
        <v>75.8</v>
      </c>
      <c r="R166" s="7" t="n">
        <v>250.3</v>
      </c>
      <c r="T166" s="7" t="n">
        <v>49</v>
      </c>
      <c r="V166" s="7" t="n">
        <v>178.8</v>
      </c>
      <c r="X166" s="7" t="n">
        <v>167.2</v>
      </c>
      <c r="Z166" s="7" t="n">
        <v>54.9</v>
      </c>
      <c r="AB166" s="7" t="n">
        <v>1234.2</v>
      </c>
    </row>
    <row r="167">
      <c r="A167" s="4" t="inlineStr">
        <is>
          <t>平台服务费</t>
        </is>
      </c>
      <c r="D167" s="7" t="n">
        <v>0</v>
      </c>
      <c r="F167" s="7" t="n">
        <v>91.3</v>
      </c>
      <c r="H167" s="7" t="n">
        <v>39.7</v>
      </c>
      <c r="J167" s="7" t="n">
        <v>162.1</v>
      </c>
      <c r="L167" s="7" t="n">
        <v>78.09999999999999</v>
      </c>
      <c r="N167" s="7" t="n">
        <v>113.6</v>
      </c>
      <c r="P167" s="7" t="n">
        <v>122</v>
      </c>
      <c r="R167" s="7" t="n">
        <v>258</v>
      </c>
      <c r="T167" s="7" t="n">
        <v>53.6</v>
      </c>
      <c r="V167" s="7" t="n">
        <v>171.8</v>
      </c>
      <c r="X167" s="7" t="n">
        <v>169.5</v>
      </c>
      <c r="Z167" s="7" t="n">
        <v>57.5</v>
      </c>
      <c r="AB167" s="7" t="n">
        <v>1317.2</v>
      </c>
    </row>
    <row r="168">
      <c r="A168" s="4" t="inlineStr">
        <is>
          <t>无形资产摊销</t>
        </is>
      </c>
      <c r="D168" s="7" t="n">
        <v>0</v>
      </c>
      <c r="F168" s="7" t="n">
        <v>49.1</v>
      </c>
      <c r="H168" s="7" t="n">
        <v>20.5</v>
      </c>
      <c r="J168" s="7" t="n">
        <v>121.9</v>
      </c>
      <c r="L168" s="7" t="n">
        <v>41.3</v>
      </c>
      <c r="N168" s="7" t="n">
        <v>51.5</v>
      </c>
      <c r="P168" s="7" t="n">
        <v>60.7</v>
      </c>
      <c r="R168" s="7" t="n">
        <v>113.9</v>
      </c>
      <c r="T168" s="7" t="n">
        <v>27.5</v>
      </c>
      <c r="V168" s="7" t="n">
        <v>126</v>
      </c>
      <c r="X168" s="7" t="n">
        <v>103.9</v>
      </c>
      <c r="Z168" s="7" t="n">
        <v>46.4</v>
      </c>
      <c r="AB168" s="7" t="n">
        <v>762.7</v>
      </c>
    </row>
    <row r="169">
      <c r="A169" s="4" t="inlineStr">
        <is>
          <t>研发材料</t>
        </is>
      </c>
      <c r="D169" s="7" t="n">
        <v>0</v>
      </c>
      <c r="F169" s="7" t="n">
        <v>67.2</v>
      </c>
      <c r="H169" s="7" t="n">
        <v>35.2</v>
      </c>
      <c r="J169" s="7" t="n">
        <v>164.8</v>
      </c>
      <c r="L169" s="7" t="n">
        <v>38.7</v>
      </c>
      <c r="N169" s="7" t="n">
        <v>94.3</v>
      </c>
      <c r="P169" s="7" t="n">
        <v>78.59999999999999</v>
      </c>
      <c r="R169" s="7" t="n">
        <v>122.5</v>
      </c>
      <c r="T169" s="7" t="n">
        <v>49.4</v>
      </c>
      <c r="V169" s="7" t="n">
        <v>151.7</v>
      </c>
      <c r="X169" s="7" t="n">
        <v>141.1</v>
      </c>
      <c r="Z169" s="7" t="n">
        <v>66.5</v>
      </c>
      <c r="AB169" s="7" t="n">
        <v>1010</v>
      </c>
    </row>
    <row r="170">
      <c r="A170" s="4" t="inlineStr">
        <is>
          <t>项目名称</t>
        </is>
      </c>
      <c r="D170" s="7" t="n">
        <v>0</v>
      </c>
      <c r="F170" s="7" t="n">
        <v>133.9</v>
      </c>
      <c r="H170" s="7" t="n">
        <v>51.3</v>
      </c>
      <c r="J170" s="7" t="n">
        <v>286.4</v>
      </c>
      <c r="L170" s="7" t="n">
        <v>92.40000000000001</v>
      </c>
      <c r="N170" s="7" t="n">
        <v>195.7</v>
      </c>
      <c r="P170" s="7" t="n">
        <v>188.4</v>
      </c>
      <c r="R170" s="7" t="n">
        <v>345.2</v>
      </c>
      <c r="T170" s="7" t="n">
        <v>90.59999999999999</v>
      </c>
      <c r="V170" s="7" t="n">
        <v>188.5</v>
      </c>
      <c r="X170" s="7" t="n">
        <v>335.8</v>
      </c>
      <c r="Z170" s="7" t="n">
        <v>102.8</v>
      </c>
      <c r="AB170" s="7" t="n">
        <v>2011</v>
      </c>
    </row>
    <row r="171">
      <c r="A171" s="4" t="inlineStr">
        <is>
          <t>研发费</t>
        </is>
      </c>
      <c r="D171" s="7" t="n">
        <v>0</v>
      </c>
      <c r="F171" s="7" t="n">
        <v>45.4</v>
      </c>
      <c r="H171" s="7" t="n">
        <v>24.6</v>
      </c>
      <c r="J171" s="7" t="n">
        <v>114.6</v>
      </c>
      <c r="L171" s="7" t="n">
        <v>33.1</v>
      </c>
      <c r="N171" s="7" t="n">
        <v>63.8</v>
      </c>
      <c r="P171" s="7" t="n">
        <v>38</v>
      </c>
      <c r="R171" s="7" t="n">
        <v>115</v>
      </c>
      <c r="T171" s="7" t="n">
        <v>24</v>
      </c>
      <c r="V171" s="7" t="n">
        <v>92.09999999999999</v>
      </c>
      <c r="X171" s="7" t="n">
        <v>93.7</v>
      </c>
      <c r="Z171" s="7" t="n">
        <v>28.7</v>
      </c>
      <c r="AB171" s="7" t="n">
        <v>673</v>
      </c>
    </row>
    <row r="172">
      <c r="A172" s="4" t="inlineStr">
        <is>
          <t>残保金</t>
        </is>
      </c>
      <c r="D172" s="7" t="n">
        <v>0</v>
      </c>
      <c r="F172" s="7" t="n">
        <v>73.8</v>
      </c>
      <c r="H172" s="7" t="n">
        <v>27.6</v>
      </c>
      <c r="J172" s="7" t="n">
        <v>190</v>
      </c>
      <c r="L172" s="7" t="n">
        <v>58.7</v>
      </c>
      <c r="N172" s="7" t="n">
        <v>100.5</v>
      </c>
      <c r="P172" s="7" t="n">
        <v>66.09999999999999</v>
      </c>
      <c r="R172" s="7" t="n">
        <v>222.9</v>
      </c>
      <c r="T172" s="7" t="n">
        <v>37.7</v>
      </c>
      <c r="V172" s="7" t="n">
        <v>123.4</v>
      </c>
      <c r="X172" s="7" t="n">
        <v>162.9</v>
      </c>
      <c r="Z172" s="7" t="n">
        <v>57.8</v>
      </c>
      <c r="AB172" s="7" t="n">
        <v>1121.4</v>
      </c>
    </row>
    <row r="173">
      <c r="A173" s="4" t="inlineStr">
        <is>
          <t>环保费</t>
        </is>
      </c>
      <c r="D173" s="7" t="n">
        <v>0</v>
      </c>
      <c r="F173" s="7" t="n">
        <v>95.5</v>
      </c>
      <c r="H173" s="7" t="n">
        <v>35.4</v>
      </c>
      <c r="J173" s="7" t="n">
        <v>146.7</v>
      </c>
      <c r="L173" s="7" t="n">
        <v>42.6</v>
      </c>
      <c r="N173" s="7" t="n">
        <v>104.9</v>
      </c>
      <c r="P173" s="7" t="n">
        <v>97.40000000000001</v>
      </c>
      <c r="R173" s="7" t="n">
        <v>160.1</v>
      </c>
      <c r="T173" s="7" t="n">
        <v>61.3</v>
      </c>
      <c r="V173" s="7" t="n">
        <v>179</v>
      </c>
      <c r="X173" s="7" t="n">
        <v>182.6</v>
      </c>
      <c r="Z173" s="7" t="n">
        <v>70.09999999999999</v>
      </c>
      <c r="AB173" s="7" t="n">
        <v>1175.6</v>
      </c>
    </row>
    <row r="174">
      <c r="A174" s="4" t="inlineStr">
        <is>
          <t>报废损失</t>
        </is>
      </c>
      <c r="D174" s="7" t="n">
        <v>0</v>
      </c>
      <c r="F174" s="7" t="n">
        <v>58.4</v>
      </c>
      <c r="H174" s="7" t="n">
        <v>20.8</v>
      </c>
      <c r="J174" s="7" t="n">
        <v>78.7</v>
      </c>
      <c r="L174" s="7" t="n">
        <v>35.6</v>
      </c>
      <c r="N174" s="7" t="n">
        <v>74</v>
      </c>
      <c r="P174" s="7" t="n">
        <v>56.6</v>
      </c>
      <c r="R174" s="7" t="n">
        <v>117.3</v>
      </c>
      <c r="T174" s="7" t="n">
        <v>33.7</v>
      </c>
      <c r="V174" s="7" t="n">
        <v>112.4</v>
      </c>
      <c r="X174" s="7" t="n">
        <v>110</v>
      </c>
      <c r="Z174" s="7" t="n">
        <v>32.2</v>
      </c>
      <c r="AB174" s="7" t="n">
        <v>729.7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10057.3</v>
      </c>
      <c r="D175" s="7" t="n">
        <v>0</v>
      </c>
      <c r="E175" s="7" t="n">
        <v>11434.6</v>
      </c>
      <c r="F175" s="7" t="n">
        <v>8343.4</v>
      </c>
      <c r="G175" s="7" t="n">
        <v>10870.3</v>
      </c>
      <c r="H175" s="7" t="n">
        <v>4351.1</v>
      </c>
      <c r="I175" s="7" t="n">
        <v>11609.6</v>
      </c>
      <c r="J175" s="7" t="n">
        <v>33711</v>
      </c>
      <c r="K175" s="7" t="n">
        <v>10341.6</v>
      </c>
      <c r="L175" s="7" t="n">
        <v>9668.299999999999</v>
      </c>
      <c r="M175" s="7" t="n">
        <v>10489.8</v>
      </c>
      <c r="N175" s="7" t="n">
        <v>16801.3</v>
      </c>
      <c r="O175" s="7" t="n">
        <v>11946.2</v>
      </c>
      <c r="P175" s="7" t="n">
        <v>16960</v>
      </c>
      <c r="Q175" s="7" t="n">
        <v>11798.8</v>
      </c>
      <c r="R175" s="7" t="n">
        <v>8090.6</v>
      </c>
      <c r="S175" s="7" t="n">
        <v>12429.2</v>
      </c>
      <c r="T175" s="7" t="n">
        <v>5076.6</v>
      </c>
      <c r="U175" s="7" t="n">
        <v>11794.1</v>
      </c>
      <c r="V175" s="7" t="n">
        <v>15375.3</v>
      </c>
      <c r="W175" s="7" t="n">
        <v>11612.2</v>
      </c>
      <c r="X175" s="7" t="n">
        <v>9200.299999999999</v>
      </c>
      <c r="Y175" s="7" t="n">
        <v>11094.7</v>
      </c>
      <c r="Z175" s="7" t="n">
        <v>7416.4</v>
      </c>
      <c r="AA175" s="8" t="n">
        <v>135478.4</v>
      </c>
      <c r="AB175" s="8" t="n">
        <v>134994.3</v>
      </c>
    </row>
    <row r="176">
      <c r="A176" s="4" t="inlineStr">
        <is>
          <t>职工薪酬</t>
        </is>
      </c>
      <c r="D176" s="7" t="n">
        <v>0</v>
      </c>
      <c r="F176" s="7" t="n">
        <v>4594.6</v>
      </c>
      <c r="H176" s="7" t="n">
        <v>2283.9</v>
      </c>
      <c r="J176" s="7" t="n">
        <v>17798.1</v>
      </c>
      <c r="L176" s="7" t="n">
        <v>5676.8</v>
      </c>
      <c r="N176" s="7" t="n">
        <v>9396.9</v>
      </c>
      <c r="P176" s="7" t="n">
        <v>9114.299999999999</v>
      </c>
      <c r="R176" s="7" t="n">
        <v>4736.1</v>
      </c>
      <c r="T176" s="7" t="n">
        <v>2170.7</v>
      </c>
      <c r="V176" s="7" t="n">
        <v>7655.3</v>
      </c>
      <c r="X176" s="7" t="n">
        <v>4825.5</v>
      </c>
      <c r="Z176" s="7" t="n">
        <v>3765.6</v>
      </c>
      <c r="AB176" s="7" t="n">
        <v>72017.8</v>
      </c>
    </row>
    <row r="177">
      <c r="A177" s="4" t="inlineStr">
        <is>
          <t>工资</t>
        </is>
      </c>
      <c r="D177" s="7" t="n">
        <v>0</v>
      </c>
      <c r="F177" s="7" t="n">
        <v>2954.1</v>
      </c>
      <c r="H177" s="7" t="n">
        <v>1260.1</v>
      </c>
      <c r="J177" s="7" t="n">
        <v>11568</v>
      </c>
      <c r="L177" s="7" t="n">
        <v>3363.3</v>
      </c>
      <c r="N177" s="7" t="n">
        <v>6068.2</v>
      </c>
      <c r="P177" s="7" t="n">
        <v>5571</v>
      </c>
      <c r="R177" s="7" t="n">
        <v>2980.4</v>
      </c>
      <c r="T177" s="7" t="n">
        <v>1157.6</v>
      </c>
      <c r="V177" s="7" t="n">
        <v>4140.1</v>
      </c>
      <c r="X177" s="7" t="n">
        <v>2978.9</v>
      </c>
      <c r="Z177" s="7" t="n">
        <v>2467</v>
      </c>
      <c r="AB177" s="7" t="n">
        <v>44508.7</v>
      </c>
    </row>
    <row r="178">
      <c r="A178" s="4" t="inlineStr">
        <is>
          <t>奖金及提成</t>
        </is>
      </c>
      <c r="D178" s="7" t="n">
        <v>0</v>
      </c>
      <c r="F178" s="7" t="n">
        <v>804.3</v>
      </c>
      <c r="H178" s="7" t="n">
        <v>540.9</v>
      </c>
      <c r="J178" s="7" t="n">
        <v>3082.8</v>
      </c>
      <c r="L178" s="7" t="n">
        <v>1050.2</v>
      </c>
      <c r="N178" s="7" t="n">
        <v>1705.1</v>
      </c>
      <c r="P178" s="7" t="n">
        <v>1815.9</v>
      </c>
      <c r="R178" s="7" t="n">
        <v>894.3</v>
      </c>
      <c r="T178" s="7" t="n">
        <v>580.5</v>
      </c>
      <c r="V178" s="7" t="n">
        <v>1552.8</v>
      </c>
      <c r="X178" s="7" t="n">
        <v>1036.5</v>
      </c>
      <c r="Z178" s="7" t="n">
        <v>643.8</v>
      </c>
      <c r="AB178" s="7" t="n">
        <v>13707.1</v>
      </c>
    </row>
    <row r="179">
      <c r="A179" s="4" t="inlineStr">
        <is>
          <t>社保</t>
        </is>
      </c>
      <c r="D179" s="7" t="n">
        <v>0</v>
      </c>
      <c r="F179" s="7" t="n">
        <v>614.5</v>
      </c>
      <c r="H179" s="7" t="n">
        <v>350</v>
      </c>
      <c r="J179" s="7" t="n">
        <v>2226.4</v>
      </c>
      <c r="L179" s="7" t="n">
        <v>992.4</v>
      </c>
      <c r="N179" s="7" t="n">
        <v>1192</v>
      </c>
      <c r="P179" s="7" t="n">
        <v>1201</v>
      </c>
      <c r="R179" s="7" t="n">
        <v>640.8</v>
      </c>
      <c r="T179" s="7" t="n">
        <v>296.8</v>
      </c>
      <c r="V179" s="7" t="n">
        <v>1539.8</v>
      </c>
      <c r="X179" s="7" t="n">
        <v>560.4</v>
      </c>
      <c r="Z179" s="7" t="n">
        <v>469.6</v>
      </c>
      <c r="AB179" s="7" t="n">
        <v>10083.7</v>
      </c>
    </row>
    <row r="180">
      <c r="A180" s="4" t="inlineStr">
        <is>
          <t>养老</t>
        </is>
      </c>
      <c r="D180" s="7" t="n">
        <v>0</v>
      </c>
      <c r="F180" s="7" t="n">
        <v>11.1</v>
      </c>
      <c r="H180" s="7" t="n">
        <v>4.7</v>
      </c>
      <c r="J180" s="7" t="n">
        <v>47.1</v>
      </c>
      <c r="L180" s="7" t="n">
        <v>18.6</v>
      </c>
      <c r="N180" s="7" t="n">
        <v>19.2</v>
      </c>
      <c r="P180" s="7" t="n">
        <v>27.2</v>
      </c>
      <c r="R180" s="7" t="n">
        <v>11.3</v>
      </c>
      <c r="T180" s="7" t="n">
        <v>9.5</v>
      </c>
      <c r="V180" s="7" t="n">
        <v>23.3</v>
      </c>
      <c r="X180" s="7" t="n">
        <v>10.2</v>
      </c>
      <c r="Z180" s="7" t="n">
        <v>8</v>
      </c>
      <c r="AB180" s="7" t="n">
        <v>190.2</v>
      </c>
    </row>
    <row r="181">
      <c r="A181" s="4" t="inlineStr">
        <is>
          <t>医疗</t>
        </is>
      </c>
      <c r="D181" s="7" t="n">
        <v>0</v>
      </c>
      <c r="F181" s="7" t="n">
        <v>33.9</v>
      </c>
      <c r="H181" s="7" t="n">
        <v>17.6</v>
      </c>
      <c r="J181" s="7" t="n">
        <v>103.4</v>
      </c>
      <c r="L181" s="7" t="n">
        <v>49.8</v>
      </c>
      <c r="N181" s="7" t="n">
        <v>59.1</v>
      </c>
      <c r="P181" s="7" t="n">
        <v>91.2</v>
      </c>
      <c r="R181" s="7" t="n">
        <v>40.1</v>
      </c>
      <c r="T181" s="7" t="n">
        <v>22.9</v>
      </c>
      <c r="V181" s="7" t="n">
        <v>58.9</v>
      </c>
      <c r="X181" s="7" t="n">
        <v>38.8</v>
      </c>
      <c r="Z181" s="7" t="n">
        <v>26.7</v>
      </c>
      <c r="AB181" s="7" t="n">
        <v>542.4</v>
      </c>
    </row>
    <row r="182">
      <c r="A182" s="4" t="inlineStr">
        <is>
          <t>工伤</t>
        </is>
      </c>
      <c r="D182" s="7" t="n">
        <v>0</v>
      </c>
      <c r="F182" s="7" t="n">
        <v>46.8</v>
      </c>
      <c r="H182" s="7" t="n">
        <v>34.8</v>
      </c>
      <c r="J182" s="7" t="n">
        <v>279.2</v>
      </c>
      <c r="L182" s="7" t="n">
        <v>73.8</v>
      </c>
      <c r="N182" s="7" t="n">
        <v>102.6</v>
      </c>
      <c r="P182" s="7" t="n">
        <v>131.8</v>
      </c>
      <c r="R182" s="7" t="n">
        <v>65.90000000000001</v>
      </c>
      <c r="T182" s="7" t="n">
        <v>38.6</v>
      </c>
      <c r="V182" s="7" t="n">
        <v>72.8</v>
      </c>
      <c r="X182" s="7" t="n">
        <v>48.9</v>
      </c>
      <c r="Z182" s="7" t="n">
        <v>37.1</v>
      </c>
      <c r="AB182" s="7" t="n">
        <v>932.3</v>
      </c>
    </row>
    <row r="183">
      <c r="A183" s="4" t="inlineStr">
        <is>
          <t>失业</t>
        </is>
      </c>
      <c r="D183" s="7" t="n">
        <v>0</v>
      </c>
      <c r="F183" s="7" t="n">
        <v>17.5</v>
      </c>
      <c r="H183" s="7" t="n">
        <v>10</v>
      </c>
      <c r="J183" s="7" t="n">
        <v>86.2</v>
      </c>
      <c r="L183" s="7" t="n">
        <v>18.5</v>
      </c>
      <c r="N183" s="7" t="n">
        <v>44.6</v>
      </c>
      <c r="P183" s="7" t="n">
        <v>32.7</v>
      </c>
      <c r="R183" s="7" t="n">
        <v>19</v>
      </c>
      <c r="T183" s="7" t="n">
        <v>8.5</v>
      </c>
      <c r="V183" s="7" t="n">
        <v>40.1</v>
      </c>
      <c r="X183" s="7" t="n">
        <v>21.2</v>
      </c>
      <c r="Z183" s="7" t="n">
        <v>17</v>
      </c>
      <c r="AB183" s="7" t="n">
        <v>315.3</v>
      </c>
    </row>
    <row r="184">
      <c r="A184" s="4" t="inlineStr">
        <is>
          <t>生育</t>
        </is>
      </c>
      <c r="D184" s="7" t="n">
        <v>0</v>
      </c>
      <c r="F184" s="7" t="n">
        <v>16.3</v>
      </c>
      <c r="H184" s="7" t="n">
        <v>7.8</v>
      </c>
      <c r="J184" s="7" t="n">
        <v>42.6</v>
      </c>
      <c r="L184" s="7" t="n">
        <v>10.7</v>
      </c>
      <c r="N184" s="7" t="n">
        <v>26.7</v>
      </c>
      <c r="P184" s="7" t="n">
        <v>19.6</v>
      </c>
      <c r="R184" s="7" t="n">
        <v>12.8</v>
      </c>
      <c r="T184" s="7" t="n">
        <v>9.699999999999999</v>
      </c>
      <c r="V184" s="7" t="n">
        <v>25.8</v>
      </c>
      <c r="X184" s="7" t="n">
        <v>15.3</v>
      </c>
      <c r="Z184" s="7" t="n">
        <v>14.7</v>
      </c>
      <c r="AB184" s="7" t="n">
        <v>202</v>
      </c>
    </row>
    <row r="185">
      <c r="A185" s="4" t="inlineStr">
        <is>
          <t>公积金</t>
        </is>
      </c>
      <c r="D185" s="7" t="n">
        <v>0</v>
      </c>
      <c r="F185" s="7" t="n">
        <v>9.4</v>
      </c>
      <c r="H185" s="7" t="n">
        <v>7.8</v>
      </c>
      <c r="J185" s="7" t="n">
        <v>57.2</v>
      </c>
      <c r="L185" s="7" t="n">
        <v>10.7</v>
      </c>
      <c r="N185" s="7" t="n">
        <v>22.7</v>
      </c>
      <c r="P185" s="7" t="n">
        <v>28.8</v>
      </c>
      <c r="R185" s="7" t="n">
        <v>12.3</v>
      </c>
      <c r="T185" s="7" t="n">
        <v>7.9</v>
      </c>
      <c r="V185" s="7" t="n">
        <v>26.9</v>
      </c>
      <c r="X185" s="7" t="n">
        <v>9.800000000000001</v>
      </c>
      <c r="Z185" s="7" t="n">
        <v>10.8</v>
      </c>
      <c r="AB185" s="7" t="n">
        <v>204.3</v>
      </c>
    </row>
    <row r="186">
      <c r="A186" s="4" t="inlineStr">
        <is>
          <t>工会经费</t>
        </is>
      </c>
      <c r="D186" s="7" t="n">
        <v>0</v>
      </c>
      <c r="F186" s="7" t="n">
        <v>10.6</v>
      </c>
      <c r="H186" s="7" t="n">
        <v>5.8</v>
      </c>
      <c r="J186" s="7" t="n">
        <v>39.1</v>
      </c>
      <c r="L186" s="7" t="n">
        <v>10.6</v>
      </c>
      <c r="N186" s="7" t="n">
        <v>17.7</v>
      </c>
      <c r="P186" s="7" t="n">
        <v>26.4</v>
      </c>
      <c r="R186" s="7" t="n">
        <v>11.5</v>
      </c>
      <c r="T186" s="7" t="n">
        <v>7.1</v>
      </c>
      <c r="V186" s="7" t="n">
        <v>22.8</v>
      </c>
      <c r="X186" s="7" t="n">
        <v>15.7</v>
      </c>
      <c r="Z186" s="7" t="n">
        <v>10</v>
      </c>
      <c r="AB186" s="7" t="n">
        <v>177.3</v>
      </c>
    </row>
    <row r="187">
      <c r="A187" s="4" t="inlineStr">
        <is>
          <t>职工教育经费</t>
        </is>
      </c>
      <c r="D187" s="7" t="n">
        <v>0</v>
      </c>
      <c r="F187" s="7" t="n">
        <v>43.2</v>
      </c>
      <c r="H187" s="7" t="n">
        <v>20.2</v>
      </c>
      <c r="J187" s="7" t="n">
        <v>158</v>
      </c>
      <c r="L187" s="7" t="n">
        <v>42.4</v>
      </c>
      <c r="N187" s="7" t="n">
        <v>103.6</v>
      </c>
      <c r="P187" s="7" t="n">
        <v>102</v>
      </c>
      <c r="R187" s="7" t="n">
        <v>29.3</v>
      </c>
      <c r="T187" s="7" t="n">
        <v>27.1</v>
      </c>
      <c r="V187" s="7" t="n">
        <v>70.40000000000001</v>
      </c>
      <c r="X187" s="7" t="n">
        <v>46.1</v>
      </c>
      <c r="Z187" s="7" t="n">
        <v>39.2</v>
      </c>
      <c r="AB187" s="7" t="n">
        <v>681.5</v>
      </c>
    </row>
    <row r="188">
      <c r="A188" s="4" t="inlineStr">
        <is>
          <t>福利费</t>
        </is>
      </c>
      <c r="D188" s="7" t="n">
        <v>0</v>
      </c>
      <c r="F188" s="7" t="n">
        <v>158.5</v>
      </c>
      <c r="H188" s="7" t="n">
        <v>99.09999999999999</v>
      </c>
      <c r="J188" s="7" t="n">
        <v>666.6</v>
      </c>
      <c r="L188" s="7" t="n">
        <v>207.2</v>
      </c>
      <c r="N188" s="7" t="n">
        <v>287.6</v>
      </c>
      <c r="P188" s="7" t="n">
        <v>369.2</v>
      </c>
      <c r="R188" s="7" t="n">
        <v>167.5</v>
      </c>
      <c r="T188" s="7" t="n">
        <v>93.7</v>
      </c>
      <c r="V188" s="7" t="n">
        <v>302.5</v>
      </c>
      <c r="X188" s="7" t="n">
        <v>178.1</v>
      </c>
      <c r="Z188" s="7" t="n">
        <v>125.2</v>
      </c>
      <c r="AB188" s="7" t="n">
        <v>2655.2</v>
      </c>
    </row>
    <row r="189">
      <c r="A189" s="4" t="inlineStr">
        <is>
          <t>职工房租</t>
        </is>
      </c>
      <c r="D189" s="7" t="n">
        <v>0</v>
      </c>
      <c r="F189" s="7" t="n">
        <v>19.1</v>
      </c>
      <c r="H189" s="7" t="n">
        <v>18</v>
      </c>
      <c r="J189" s="7" t="n">
        <v>113.5</v>
      </c>
      <c r="L189" s="7" t="n">
        <v>34.9</v>
      </c>
      <c r="N189" s="7" t="n">
        <v>41.6</v>
      </c>
      <c r="P189" s="7" t="n">
        <v>51.1</v>
      </c>
      <c r="R189" s="7" t="n">
        <v>28.4</v>
      </c>
      <c r="T189" s="7" t="n">
        <v>21</v>
      </c>
      <c r="V189" s="7" t="n">
        <v>63</v>
      </c>
      <c r="X189" s="7" t="n">
        <v>34.1</v>
      </c>
      <c r="Z189" s="7" t="n">
        <v>17</v>
      </c>
      <c r="AB189" s="7" t="n">
        <v>441.7</v>
      </c>
    </row>
    <row r="190">
      <c r="A190" s="4" t="inlineStr">
        <is>
          <t>水电物业费</t>
        </is>
      </c>
      <c r="D190" s="7" t="n">
        <v>0</v>
      </c>
      <c r="F190" s="7" t="n">
        <v>9</v>
      </c>
      <c r="H190" s="7" t="n">
        <v>5.5</v>
      </c>
      <c r="J190" s="7" t="n">
        <v>38.5</v>
      </c>
      <c r="L190" s="7" t="n">
        <v>10</v>
      </c>
      <c r="N190" s="7" t="n">
        <v>18.2</v>
      </c>
      <c r="P190" s="7" t="n">
        <v>15.7</v>
      </c>
      <c r="R190" s="7" t="n">
        <v>9.6</v>
      </c>
      <c r="T190" s="7" t="n">
        <v>3.9</v>
      </c>
      <c r="V190" s="7" t="n">
        <v>18.9</v>
      </c>
      <c r="X190" s="7" t="n">
        <v>8.699999999999999</v>
      </c>
      <c r="Z190" s="7" t="n">
        <v>7.2</v>
      </c>
      <c r="AB190" s="7" t="n">
        <v>145.2</v>
      </c>
    </row>
    <row r="191">
      <c r="A191" s="4" t="inlineStr">
        <is>
          <t>员工餐</t>
        </is>
      </c>
      <c r="D191" s="7" t="n">
        <v>0</v>
      </c>
      <c r="F191" s="7" t="n">
        <v>8.699999999999999</v>
      </c>
      <c r="H191" s="7" t="n">
        <v>3.3</v>
      </c>
      <c r="J191" s="7" t="n">
        <v>34.6</v>
      </c>
      <c r="L191" s="7" t="n">
        <v>5.5</v>
      </c>
      <c r="N191" s="7" t="n">
        <v>17.6</v>
      </c>
      <c r="P191" s="7" t="n">
        <v>15.7</v>
      </c>
      <c r="R191" s="7" t="n">
        <v>8.199999999999999</v>
      </c>
      <c r="T191" s="7" t="n">
        <v>3.6</v>
      </c>
      <c r="V191" s="7" t="n">
        <v>14.7</v>
      </c>
      <c r="X191" s="7" t="n">
        <v>9.300000000000001</v>
      </c>
      <c r="Z191" s="7" t="n">
        <v>4.7</v>
      </c>
      <c r="AB191" s="7" t="n">
        <v>125.9</v>
      </c>
    </row>
    <row r="192">
      <c r="A192" s="4" t="inlineStr">
        <is>
          <t>节日礼品</t>
        </is>
      </c>
      <c r="D192" s="7" t="n">
        <v>0</v>
      </c>
      <c r="F192" s="7" t="n">
        <v>51.5</v>
      </c>
      <c r="H192" s="7" t="n">
        <v>31.2</v>
      </c>
      <c r="J192" s="7" t="n">
        <v>161.6</v>
      </c>
      <c r="L192" s="7" t="n">
        <v>56.7</v>
      </c>
      <c r="N192" s="7" t="n">
        <v>67.7</v>
      </c>
      <c r="P192" s="7" t="n">
        <v>117.1</v>
      </c>
      <c r="R192" s="7" t="n">
        <v>37.2</v>
      </c>
      <c r="T192" s="7" t="n">
        <v>27.2</v>
      </c>
      <c r="V192" s="7" t="n">
        <v>81.7</v>
      </c>
      <c r="X192" s="7" t="n">
        <v>42.6</v>
      </c>
      <c r="Z192" s="7" t="n">
        <v>39.3</v>
      </c>
      <c r="AB192" s="7" t="n">
        <v>713.8</v>
      </c>
    </row>
    <row r="193">
      <c r="A193" s="4" t="inlineStr">
        <is>
          <t>生日礼品</t>
        </is>
      </c>
      <c r="D193" s="7" t="n">
        <v>0</v>
      </c>
      <c r="F193" s="7" t="n">
        <v>14.8</v>
      </c>
      <c r="H193" s="7" t="n">
        <v>12.4</v>
      </c>
      <c r="J193" s="7" t="n">
        <v>84.59999999999999</v>
      </c>
      <c r="L193" s="7" t="n">
        <v>20.4</v>
      </c>
      <c r="N193" s="7" t="n">
        <v>42.7</v>
      </c>
      <c r="P193" s="7" t="n">
        <v>34.5</v>
      </c>
      <c r="R193" s="7" t="n">
        <v>17.9</v>
      </c>
      <c r="T193" s="7" t="n">
        <v>10.3</v>
      </c>
      <c r="V193" s="7" t="n">
        <v>25.9</v>
      </c>
      <c r="X193" s="7" t="n">
        <v>17.3</v>
      </c>
      <c r="Z193" s="7" t="n">
        <v>14.8</v>
      </c>
      <c r="AB193" s="7" t="n">
        <v>295.6</v>
      </c>
    </row>
    <row r="194">
      <c r="A194" s="4" t="inlineStr">
        <is>
          <t>体检</t>
        </is>
      </c>
      <c r="D194" s="7" t="n">
        <v>0</v>
      </c>
      <c r="F194" s="7" t="n">
        <v>41.4</v>
      </c>
      <c r="H194" s="7" t="n">
        <v>23</v>
      </c>
      <c r="J194" s="7" t="n">
        <v>173.9</v>
      </c>
      <c r="L194" s="7" t="n">
        <v>66.90000000000001</v>
      </c>
      <c r="N194" s="7" t="n">
        <v>74.09999999999999</v>
      </c>
      <c r="P194" s="7" t="n">
        <v>113.2</v>
      </c>
      <c r="R194" s="7" t="n">
        <v>54.1</v>
      </c>
      <c r="T194" s="7" t="n">
        <v>21.9</v>
      </c>
      <c r="V194" s="7" t="n">
        <v>80.5</v>
      </c>
      <c r="X194" s="7" t="n">
        <v>51.5</v>
      </c>
      <c r="Z194" s="7" t="n">
        <v>32.4</v>
      </c>
      <c r="AB194" s="7" t="n">
        <v>732.9</v>
      </c>
    </row>
    <row r="195">
      <c r="A195" s="4" t="inlineStr">
        <is>
          <t>其他福利支出</t>
        </is>
      </c>
      <c r="D195" s="7" t="n">
        <v>0</v>
      </c>
      <c r="F195" s="7" t="n">
        <v>14</v>
      </c>
      <c r="H195" s="7" t="n">
        <v>5.7</v>
      </c>
      <c r="J195" s="7" t="n">
        <v>59.9</v>
      </c>
      <c r="L195" s="7" t="n">
        <v>12.8</v>
      </c>
      <c r="N195" s="7" t="n">
        <v>25.7</v>
      </c>
      <c r="P195" s="7" t="n">
        <v>21.9</v>
      </c>
      <c r="R195" s="7" t="n">
        <v>12.1</v>
      </c>
      <c r="T195" s="7" t="n">
        <v>5.8</v>
      </c>
      <c r="V195" s="7" t="n">
        <v>17.8</v>
      </c>
      <c r="X195" s="7" t="n">
        <v>14.6</v>
      </c>
      <c r="Z195" s="7" t="n">
        <v>9.800000000000001</v>
      </c>
      <c r="AB195" s="7" t="n">
        <v>200.1</v>
      </c>
    </row>
    <row r="196">
      <c r="A196" s="4" t="inlineStr">
        <is>
          <t>招聘费</t>
        </is>
      </c>
      <c r="D196" s="7" t="n">
        <v>0</v>
      </c>
      <c r="F196" s="7" t="n">
        <v>42.4</v>
      </c>
      <c r="H196" s="7" t="n">
        <v>18.3</v>
      </c>
      <c r="J196" s="7" t="n">
        <v>161.6</v>
      </c>
      <c r="L196" s="7" t="n">
        <v>67.8</v>
      </c>
      <c r="N196" s="7" t="n">
        <v>114.1</v>
      </c>
      <c r="P196" s="7" t="n">
        <v>116.4</v>
      </c>
      <c r="R196" s="7" t="n">
        <v>41.8</v>
      </c>
      <c r="T196" s="7" t="n">
        <v>37.6</v>
      </c>
      <c r="V196" s="7" t="n">
        <v>101.7</v>
      </c>
      <c r="X196" s="7" t="n">
        <v>47.9</v>
      </c>
      <c r="Z196" s="7" t="n">
        <v>31.6</v>
      </c>
      <c r="AB196" s="7" t="n">
        <v>781.2</v>
      </c>
    </row>
    <row r="197">
      <c r="A197" s="4" t="inlineStr">
        <is>
          <t>办公费</t>
        </is>
      </c>
      <c r="D197" s="7" t="n">
        <v>0</v>
      </c>
      <c r="F197" s="7" t="n">
        <v>206.5</v>
      </c>
      <c r="H197" s="7" t="n">
        <v>164.7</v>
      </c>
      <c r="J197" s="7" t="n">
        <v>1295.6</v>
      </c>
      <c r="L197" s="7" t="n">
        <v>338.7</v>
      </c>
      <c r="N197" s="7" t="n">
        <v>632.7</v>
      </c>
      <c r="P197" s="7" t="n">
        <v>434.3</v>
      </c>
      <c r="R197" s="7" t="n">
        <v>249.9</v>
      </c>
      <c r="T197" s="7" t="n">
        <v>150.6</v>
      </c>
      <c r="V197" s="7" t="n">
        <v>372.9</v>
      </c>
      <c r="X197" s="7" t="n">
        <v>344</v>
      </c>
      <c r="Z197" s="7" t="n">
        <v>186.3</v>
      </c>
      <c r="AB197" s="7" t="n">
        <v>4376.2</v>
      </c>
    </row>
    <row r="198">
      <c r="A198" s="4" t="inlineStr">
        <is>
          <t>市内交通费</t>
        </is>
      </c>
      <c r="D198" s="7" t="n">
        <v>0</v>
      </c>
      <c r="F198" s="7" t="n">
        <v>0</v>
      </c>
      <c r="H198" s="7" t="n">
        <v>0</v>
      </c>
      <c r="J198" s="7" t="n">
        <v>0.1</v>
      </c>
      <c r="L198" s="7" t="n">
        <v>0</v>
      </c>
      <c r="N198" s="7" t="n">
        <v>0.1</v>
      </c>
      <c r="P198" s="7" t="n">
        <v>0.1</v>
      </c>
      <c r="R198" s="7" t="n">
        <v>0</v>
      </c>
      <c r="T198" s="7" t="n">
        <v>0</v>
      </c>
      <c r="V198" s="7" t="n">
        <v>0.1</v>
      </c>
      <c r="X198" s="7" t="n">
        <v>0.1</v>
      </c>
      <c r="Z198" s="7" t="n">
        <v>0</v>
      </c>
      <c r="AB198" s="7" t="n">
        <v>0.5</v>
      </c>
    </row>
    <row r="199">
      <c r="A199" s="4" t="inlineStr">
        <is>
          <t>差旅费</t>
        </is>
      </c>
      <c r="D199" s="7" t="n">
        <v>0</v>
      </c>
      <c r="F199" s="7" t="n">
        <v>428.7</v>
      </c>
      <c r="H199" s="7" t="n">
        <v>305.2</v>
      </c>
      <c r="J199" s="7" t="n">
        <v>1971.7</v>
      </c>
      <c r="L199" s="7" t="n">
        <v>586</v>
      </c>
      <c r="N199" s="7" t="n">
        <v>1062.3</v>
      </c>
      <c r="P199" s="7" t="n">
        <v>905.8</v>
      </c>
      <c r="R199" s="7" t="n">
        <v>358.3</v>
      </c>
      <c r="T199" s="7" t="n">
        <v>373.1</v>
      </c>
      <c r="V199" s="7" t="n">
        <v>650.2</v>
      </c>
      <c r="X199" s="7" t="n">
        <v>391</v>
      </c>
      <c r="Z199" s="7" t="n">
        <v>397.5</v>
      </c>
      <c r="AB199" s="7" t="n">
        <v>7429.8</v>
      </c>
    </row>
    <row r="200">
      <c r="A200" s="4" t="inlineStr">
        <is>
          <t>交通费</t>
        </is>
      </c>
      <c r="D200" s="7" t="n">
        <v>0</v>
      </c>
      <c r="F200" s="7" t="n">
        <v>12.8</v>
      </c>
      <c r="H200" s="7" t="n">
        <v>5.3</v>
      </c>
      <c r="J200" s="7" t="n">
        <v>44</v>
      </c>
      <c r="L200" s="7" t="n">
        <v>17.3</v>
      </c>
      <c r="N200" s="7" t="n">
        <v>31.8</v>
      </c>
      <c r="P200" s="7" t="n">
        <v>27.2</v>
      </c>
      <c r="R200" s="7" t="n">
        <v>9.5</v>
      </c>
      <c r="T200" s="7" t="n">
        <v>9.199999999999999</v>
      </c>
      <c r="V200" s="7" t="n">
        <v>25.1</v>
      </c>
      <c r="X200" s="7" t="n">
        <v>18.8</v>
      </c>
      <c r="Z200" s="7" t="n">
        <v>8.9</v>
      </c>
      <c r="AB200" s="7" t="n">
        <v>209.9</v>
      </c>
    </row>
    <row r="201">
      <c r="A201" s="4" t="inlineStr">
        <is>
          <t>住宿费</t>
        </is>
      </c>
      <c r="D201" s="7" t="n">
        <v>0</v>
      </c>
      <c r="F201" s="7" t="n">
        <v>8.5</v>
      </c>
      <c r="H201" s="7" t="n">
        <v>4.3</v>
      </c>
      <c r="J201" s="7" t="n">
        <v>38.2</v>
      </c>
      <c r="L201" s="7" t="n">
        <v>12.9</v>
      </c>
      <c r="N201" s="7" t="n">
        <v>21.5</v>
      </c>
      <c r="P201" s="7" t="n">
        <v>24.7</v>
      </c>
      <c r="R201" s="7" t="n">
        <v>13.9</v>
      </c>
      <c r="T201" s="7" t="n">
        <v>4.9</v>
      </c>
      <c r="V201" s="7" t="n">
        <v>24.5</v>
      </c>
      <c r="X201" s="7" t="n">
        <v>9.300000000000001</v>
      </c>
      <c r="Z201" s="7" t="n">
        <v>9.800000000000001</v>
      </c>
      <c r="AB201" s="7" t="n">
        <v>172.5</v>
      </c>
    </row>
    <row r="202">
      <c r="A202" s="4" t="inlineStr">
        <is>
          <t>餐补</t>
        </is>
      </c>
      <c r="D202" s="7" t="n">
        <v>0</v>
      </c>
      <c r="F202" s="7" t="n">
        <v>2.7</v>
      </c>
      <c r="H202" s="7" t="n">
        <v>1.2</v>
      </c>
      <c r="J202" s="7" t="n">
        <v>8.800000000000001</v>
      </c>
      <c r="L202" s="7" t="n">
        <v>2.6</v>
      </c>
      <c r="N202" s="7" t="n">
        <v>4.9</v>
      </c>
      <c r="P202" s="7" t="n">
        <v>3.7</v>
      </c>
      <c r="R202" s="7" t="n">
        <v>2.6</v>
      </c>
      <c r="T202" s="7" t="n">
        <v>1.6</v>
      </c>
      <c r="V202" s="7" t="n">
        <v>3.2</v>
      </c>
      <c r="X202" s="7" t="n">
        <v>3.3</v>
      </c>
      <c r="Z202" s="7" t="n">
        <v>2.6</v>
      </c>
      <c r="AB202" s="7" t="n">
        <v>37.2</v>
      </c>
    </row>
    <row r="203">
      <c r="A203" s="4" t="inlineStr">
        <is>
          <t>交通补助</t>
        </is>
      </c>
      <c r="D203" s="7" t="n">
        <v>0</v>
      </c>
      <c r="F203" s="7" t="n">
        <v>42.6</v>
      </c>
      <c r="H203" s="7" t="n">
        <v>13.9</v>
      </c>
      <c r="J203" s="7" t="n">
        <v>183.6</v>
      </c>
      <c r="L203" s="7" t="n">
        <v>33.6</v>
      </c>
      <c r="N203" s="7" t="n">
        <v>82.90000000000001</v>
      </c>
      <c r="P203" s="7" t="n">
        <v>51.6</v>
      </c>
      <c r="R203" s="7" t="n">
        <v>25.1</v>
      </c>
      <c r="T203" s="7" t="n">
        <v>17.7</v>
      </c>
      <c r="V203" s="7" t="n">
        <v>48.5</v>
      </c>
      <c r="X203" s="7" t="n">
        <v>50.5</v>
      </c>
      <c r="Z203" s="7" t="n">
        <v>30.6</v>
      </c>
      <c r="AB203" s="7" t="n">
        <v>580.6</v>
      </c>
    </row>
    <row r="204">
      <c r="A204" s="4" t="inlineStr">
        <is>
          <t>通讯补助</t>
        </is>
      </c>
      <c r="D204" s="7" t="n">
        <v>0</v>
      </c>
      <c r="F204" s="7" t="n">
        <v>23.2</v>
      </c>
      <c r="H204" s="7" t="n">
        <v>11.9</v>
      </c>
      <c r="J204" s="7" t="n">
        <v>52.7</v>
      </c>
      <c r="L204" s="7" t="n">
        <v>19</v>
      </c>
      <c r="N204" s="7" t="n">
        <v>44.3</v>
      </c>
      <c r="P204" s="7" t="n">
        <v>29.9</v>
      </c>
      <c r="R204" s="7" t="n">
        <v>20.4</v>
      </c>
      <c r="T204" s="7" t="n">
        <v>8.5</v>
      </c>
      <c r="V204" s="7" t="n">
        <v>39.6</v>
      </c>
      <c r="X204" s="7" t="n">
        <v>14.5</v>
      </c>
      <c r="Z204" s="7" t="n">
        <v>15.4</v>
      </c>
      <c r="AB204" s="7" t="n">
        <v>279.4</v>
      </c>
    </row>
    <row r="205">
      <c r="A205" s="4" t="inlineStr">
        <is>
          <t>招待费</t>
        </is>
      </c>
      <c r="D205" s="7" t="n">
        <v>0</v>
      </c>
      <c r="F205" s="7" t="n">
        <v>296.7</v>
      </c>
      <c r="H205" s="7" t="n">
        <v>148.6</v>
      </c>
      <c r="J205" s="7" t="n">
        <v>1541.4</v>
      </c>
      <c r="L205" s="7" t="n">
        <v>402.1</v>
      </c>
      <c r="N205" s="7" t="n">
        <v>478.1</v>
      </c>
      <c r="P205" s="7" t="n">
        <v>875</v>
      </c>
      <c r="R205" s="7" t="n">
        <v>304.6</v>
      </c>
      <c r="T205" s="7" t="n">
        <v>250.9</v>
      </c>
      <c r="V205" s="7" t="n">
        <v>506.5</v>
      </c>
      <c r="X205" s="7" t="n">
        <v>421</v>
      </c>
      <c r="Z205" s="7" t="n">
        <v>232.7</v>
      </c>
      <c r="AB205" s="7" t="n">
        <v>5457.6</v>
      </c>
    </row>
    <row r="206">
      <c r="A206" s="4" t="inlineStr">
        <is>
          <t>通讯费</t>
        </is>
      </c>
      <c r="D206" s="7" t="n">
        <v>0</v>
      </c>
      <c r="F206" s="7" t="n">
        <v>5.4</v>
      </c>
      <c r="H206" s="7" t="n">
        <v>5</v>
      </c>
      <c r="J206" s="7" t="n">
        <v>25.2</v>
      </c>
      <c r="L206" s="7" t="n">
        <v>11.1</v>
      </c>
      <c r="N206" s="7" t="n">
        <v>11.6</v>
      </c>
      <c r="P206" s="7" t="n">
        <v>16.6</v>
      </c>
      <c r="R206" s="7" t="n">
        <v>5.2</v>
      </c>
      <c r="T206" s="7" t="n">
        <v>4.2</v>
      </c>
      <c r="V206" s="7" t="n">
        <v>15</v>
      </c>
      <c r="X206" s="7" t="n">
        <v>6.2</v>
      </c>
      <c r="Z206" s="7" t="n">
        <v>7.2</v>
      </c>
      <c r="AB206" s="7" t="n">
        <v>112.7</v>
      </c>
    </row>
    <row r="207">
      <c r="A207" s="4" t="inlineStr">
        <is>
          <t>网络费</t>
        </is>
      </c>
      <c r="D207" s="7" t="n">
        <v>0</v>
      </c>
      <c r="F207" s="7" t="n">
        <v>25</v>
      </c>
      <c r="H207" s="7" t="n">
        <v>20.2</v>
      </c>
      <c r="J207" s="7" t="n">
        <v>115.9</v>
      </c>
      <c r="L207" s="7" t="n">
        <v>34.4</v>
      </c>
      <c r="N207" s="7" t="n">
        <v>56.4</v>
      </c>
      <c r="P207" s="7" t="n">
        <v>51.9</v>
      </c>
      <c r="R207" s="7" t="n">
        <v>27.3</v>
      </c>
      <c r="T207" s="7" t="n">
        <v>16.4</v>
      </c>
      <c r="V207" s="7" t="n">
        <v>50.1</v>
      </c>
      <c r="X207" s="7" t="n">
        <v>34.3</v>
      </c>
      <c r="Z207" s="7" t="n">
        <v>38.3</v>
      </c>
      <c r="AB207" s="7" t="n">
        <v>470.2</v>
      </c>
    </row>
    <row r="208">
      <c r="A208" s="4" t="inlineStr">
        <is>
          <t>修理费</t>
        </is>
      </c>
      <c r="D208" s="7" t="n">
        <v>0</v>
      </c>
      <c r="F208" s="7" t="n">
        <v>49.7</v>
      </c>
      <c r="H208" s="7" t="n">
        <v>19.4</v>
      </c>
      <c r="J208" s="7" t="n">
        <v>211.2</v>
      </c>
      <c r="L208" s="7" t="n">
        <v>47.8</v>
      </c>
      <c r="N208" s="7" t="n">
        <v>76.40000000000001</v>
      </c>
      <c r="P208" s="7" t="n">
        <v>68.7</v>
      </c>
      <c r="R208" s="7" t="n">
        <v>37.3</v>
      </c>
      <c r="T208" s="7" t="n">
        <v>26.5</v>
      </c>
      <c r="V208" s="7" t="n">
        <v>70.59999999999999</v>
      </c>
      <c r="X208" s="7" t="n">
        <v>56.8</v>
      </c>
      <c r="Z208" s="7" t="n">
        <v>41.3</v>
      </c>
      <c r="AB208" s="7" t="n">
        <v>705.7</v>
      </c>
    </row>
    <row r="209">
      <c r="A209" s="4" t="inlineStr">
        <is>
          <t>车辆费</t>
        </is>
      </c>
      <c r="D209" s="7" t="n">
        <v>0</v>
      </c>
      <c r="F209" s="7" t="n">
        <v>20.1</v>
      </c>
      <c r="H209" s="7" t="n">
        <v>12.3</v>
      </c>
      <c r="J209" s="7" t="n">
        <v>90.59999999999999</v>
      </c>
      <c r="L209" s="7" t="n">
        <v>23.4</v>
      </c>
      <c r="N209" s="7" t="n">
        <v>54.1</v>
      </c>
      <c r="P209" s="7" t="n">
        <v>54.2</v>
      </c>
      <c r="R209" s="7" t="n">
        <v>23.9</v>
      </c>
      <c r="T209" s="7" t="n">
        <v>13</v>
      </c>
      <c r="V209" s="7" t="n">
        <v>41.5</v>
      </c>
      <c r="X209" s="7" t="n">
        <v>25.1</v>
      </c>
      <c r="Z209" s="7" t="n">
        <v>22.9</v>
      </c>
      <c r="AB209" s="7" t="n">
        <v>381.1</v>
      </c>
    </row>
    <row r="210">
      <c r="A210" s="4" t="inlineStr">
        <is>
          <t>租赁费</t>
        </is>
      </c>
      <c r="D210" s="7" t="n">
        <v>0</v>
      </c>
      <c r="F210" s="7" t="n">
        <v>509</v>
      </c>
      <c r="H210" s="7" t="n">
        <v>183.9</v>
      </c>
      <c r="J210" s="7" t="n">
        <v>1849.3</v>
      </c>
      <c r="L210" s="7" t="n">
        <v>498</v>
      </c>
      <c r="N210" s="7" t="n">
        <v>903.1</v>
      </c>
      <c r="P210" s="7" t="n">
        <v>683.8</v>
      </c>
      <c r="R210" s="7" t="n">
        <v>397.7</v>
      </c>
      <c r="T210" s="7" t="n">
        <v>213</v>
      </c>
      <c r="V210" s="7" t="n">
        <v>724.8</v>
      </c>
      <c r="X210" s="7" t="n">
        <v>535.8</v>
      </c>
      <c r="Z210" s="7" t="n">
        <v>334</v>
      </c>
      <c r="AB210" s="7" t="n">
        <v>6832.4</v>
      </c>
    </row>
    <row r="211">
      <c r="A211" s="4" t="inlineStr">
        <is>
          <t>能源费</t>
        </is>
      </c>
      <c r="D211" s="7" t="n">
        <v>0</v>
      </c>
      <c r="F211" s="7" t="n">
        <v>158.5</v>
      </c>
      <c r="H211" s="7" t="n">
        <v>85.3</v>
      </c>
      <c r="J211" s="7" t="n">
        <v>719.2</v>
      </c>
      <c r="L211" s="7" t="n">
        <v>191.2</v>
      </c>
      <c r="N211" s="7" t="n">
        <v>312.9</v>
      </c>
      <c r="P211" s="7" t="n">
        <v>381</v>
      </c>
      <c r="R211" s="7" t="n">
        <v>156.2</v>
      </c>
      <c r="T211" s="7" t="n">
        <v>93.40000000000001</v>
      </c>
      <c r="V211" s="7" t="n">
        <v>304.9</v>
      </c>
      <c r="X211" s="7" t="n">
        <v>187.9</v>
      </c>
      <c r="Z211" s="7" t="n">
        <v>153.9</v>
      </c>
      <c r="AB211" s="7" t="n">
        <v>2744.4</v>
      </c>
    </row>
    <row r="212">
      <c r="A212" s="4" t="inlineStr">
        <is>
          <t>水费</t>
        </is>
      </c>
      <c r="D212" s="7" t="n">
        <v>0</v>
      </c>
      <c r="F212" s="7" t="n">
        <v>26.6</v>
      </c>
      <c r="H212" s="7" t="n">
        <v>12.8</v>
      </c>
      <c r="J212" s="7" t="n">
        <v>97.09999999999999</v>
      </c>
      <c r="L212" s="7" t="n">
        <v>37.9</v>
      </c>
      <c r="N212" s="7" t="n">
        <v>51.9</v>
      </c>
      <c r="P212" s="7" t="n">
        <v>48.3</v>
      </c>
      <c r="R212" s="7" t="n">
        <v>32.8</v>
      </c>
      <c r="T212" s="7" t="n">
        <v>19</v>
      </c>
      <c r="V212" s="7" t="n">
        <v>41</v>
      </c>
      <c r="X212" s="7" t="n">
        <v>37.8</v>
      </c>
      <c r="Z212" s="7" t="n">
        <v>29</v>
      </c>
      <c r="AB212" s="7" t="n">
        <v>434.2</v>
      </c>
    </row>
    <row r="213">
      <c r="A213" s="4" t="inlineStr">
        <is>
          <t>电费</t>
        </is>
      </c>
      <c r="D213" s="7" t="n">
        <v>0</v>
      </c>
      <c r="F213" s="7" t="n">
        <v>48.6</v>
      </c>
      <c r="H213" s="7" t="n">
        <v>30.6</v>
      </c>
      <c r="J213" s="7" t="n">
        <v>230.8</v>
      </c>
      <c r="L213" s="7" t="n">
        <v>54.3</v>
      </c>
      <c r="N213" s="7" t="n">
        <v>108.4</v>
      </c>
      <c r="P213" s="7" t="n">
        <v>118.1</v>
      </c>
      <c r="R213" s="7" t="n">
        <v>56.4</v>
      </c>
      <c r="T213" s="7" t="n">
        <v>29.8</v>
      </c>
      <c r="V213" s="7" t="n">
        <v>110.7</v>
      </c>
      <c r="X213" s="7" t="n">
        <v>70.3</v>
      </c>
      <c r="Z213" s="7" t="n">
        <v>48.3</v>
      </c>
      <c r="AB213" s="7" t="n">
        <v>906.3</v>
      </c>
    </row>
    <row r="214">
      <c r="A214" s="4" t="inlineStr">
        <is>
          <t>燃气费</t>
        </is>
      </c>
      <c r="D214" s="7" t="n">
        <v>0</v>
      </c>
      <c r="F214" s="7" t="n">
        <v>38.5</v>
      </c>
      <c r="H214" s="7" t="n">
        <v>20.8</v>
      </c>
      <c r="J214" s="7" t="n">
        <v>244.7</v>
      </c>
      <c r="L214" s="7" t="n">
        <v>64.90000000000001</v>
      </c>
      <c r="N214" s="7" t="n">
        <v>91.3</v>
      </c>
      <c r="P214" s="7" t="n">
        <v>123.9</v>
      </c>
      <c r="R214" s="7" t="n">
        <v>37.2</v>
      </c>
      <c r="T214" s="7" t="n">
        <v>22.5</v>
      </c>
      <c r="V214" s="7" t="n">
        <v>88.2</v>
      </c>
      <c r="X214" s="7" t="n">
        <v>42.5</v>
      </c>
      <c r="Z214" s="7" t="n">
        <v>42.1</v>
      </c>
      <c r="AB214" s="7" t="n">
        <v>816.6</v>
      </c>
    </row>
    <row r="215">
      <c r="A215" s="4" t="inlineStr">
        <is>
          <t>蒸汽费</t>
        </is>
      </c>
      <c r="D215" s="7" t="n">
        <v>0</v>
      </c>
      <c r="F215" s="7" t="n">
        <v>44.8</v>
      </c>
      <c r="H215" s="7" t="n">
        <v>21.1</v>
      </c>
      <c r="J215" s="7" t="n">
        <v>146.6</v>
      </c>
      <c r="L215" s="7" t="n">
        <v>34.1</v>
      </c>
      <c r="N215" s="7" t="n">
        <v>61.3</v>
      </c>
      <c r="P215" s="7" t="n">
        <v>90.7</v>
      </c>
      <c r="R215" s="7" t="n">
        <v>29.8</v>
      </c>
      <c r="T215" s="7" t="n">
        <v>22.1</v>
      </c>
      <c r="V215" s="7" t="n">
        <v>65</v>
      </c>
      <c r="X215" s="7" t="n">
        <v>37.3</v>
      </c>
      <c r="Z215" s="7" t="n">
        <v>34.5</v>
      </c>
      <c r="AB215" s="7" t="n">
        <v>587.3</v>
      </c>
    </row>
    <row r="216">
      <c r="A216" s="4" t="inlineStr">
        <is>
          <t>物业费</t>
        </is>
      </c>
      <c r="D216" s="7" t="n">
        <v>0</v>
      </c>
      <c r="F216" s="7" t="n">
        <v>1.3</v>
      </c>
      <c r="H216" s="7" t="n">
        <v>0.8</v>
      </c>
      <c r="J216" s="7" t="n">
        <v>5.1</v>
      </c>
      <c r="L216" s="7" t="n">
        <v>1.6</v>
      </c>
      <c r="N216" s="7" t="n">
        <v>3.1</v>
      </c>
      <c r="P216" s="7" t="n">
        <v>3.1</v>
      </c>
      <c r="R216" s="7" t="n">
        <v>1.6</v>
      </c>
      <c r="T216" s="7" t="n">
        <v>1</v>
      </c>
      <c r="V216" s="7" t="n">
        <v>3.1</v>
      </c>
      <c r="X216" s="7" t="n">
        <v>1.2</v>
      </c>
      <c r="Z216" s="7" t="n">
        <v>1</v>
      </c>
      <c r="AB216" s="7" t="n">
        <v>22.9</v>
      </c>
    </row>
    <row r="217">
      <c r="A217" s="4" t="inlineStr">
        <is>
          <t>劳动保护费</t>
        </is>
      </c>
      <c r="D217" s="7" t="n">
        <v>0</v>
      </c>
      <c r="F217" s="7" t="n">
        <v>47.1</v>
      </c>
      <c r="H217" s="7" t="n">
        <v>18.7</v>
      </c>
      <c r="J217" s="7" t="n">
        <v>235.5</v>
      </c>
      <c r="L217" s="7" t="n">
        <v>55.1</v>
      </c>
      <c r="N217" s="7" t="n">
        <v>77.5</v>
      </c>
      <c r="P217" s="7" t="n">
        <v>93.5</v>
      </c>
      <c r="R217" s="7" t="n">
        <v>32.8</v>
      </c>
      <c r="T217" s="7" t="n">
        <v>20.4</v>
      </c>
      <c r="V217" s="7" t="n">
        <v>102.7</v>
      </c>
      <c r="X217" s="7" t="n">
        <v>51.1</v>
      </c>
      <c r="Z217" s="7" t="n">
        <v>38.8</v>
      </c>
      <c r="AB217" s="7" t="n">
        <v>773.2</v>
      </c>
    </row>
    <row r="218">
      <c r="A218" s="4" t="inlineStr">
        <is>
          <t>顾问费</t>
        </is>
      </c>
      <c r="D218" s="7" t="n">
        <v>0</v>
      </c>
      <c r="F218" s="7" t="n">
        <v>30.9</v>
      </c>
      <c r="H218" s="7" t="n">
        <v>9.5</v>
      </c>
      <c r="J218" s="7" t="n">
        <v>78.90000000000001</v>
      </c>
      <c r="L218" s="7" t="n">
        <v>30.5</v>
      </c>
      <c r="N218" s="7" t="n">
        <v>49.6</v>
      </c>
      <c r="P218" s="7" t="n">
        <v>51.9</v>
      </c>
      <c r="R218" s="7" t="n">
        <v>25.8</v>
      </c>
      <c r="T218" s="7" t="n">
        <v>17.7</v>
      </c>
      <c r="V218" s="7" t="n">
        <v>49.1</v>
      </c>
      <c r="X218" s="7" t="n">
        <v>22.3</v>
      </c>
      <c r="Z218" s="7" t="n">
        <v>26.1</v>
      </c>
      <c r="AB218" s="7" t="n">
        <v>392.3</v>
      </c>
    </row>
    <row r="219">
      <c r="A219" s="4" t="inlineStr">
        <is>
          <t>快递费</t>
        </is>
      </c>
      <c r="D219" s="7" t="n">
        <v>0</v>
      </c>
      <c r="F219" s="7" t="n">
        <v>40.4</v>
      </c>
      <c r="H219" s="7" t="n">
        <v>21.1</v>
      </c>
      <c r="J219" s="7" t="n">
        <v>119.1</v>
      </c>
      <c r="L219" s="7" t="n">
        <v>29.8</v>
      </c>
      <c r="N219" s="7" t="n">
        <v>73.40000000000001</v>
      </c>
      <c r="P219" s="7" t="n">
        <v>74.7</v>
      </c>
      <c r="R219" s="7" t="n">
        <v>29.4</v>
      </c>
      <c r="T219" s="7" t="n">
        <v>15.5</v>
      </c>
      <c r="V219" s="7" t="n">
        <v>62.8</v>
      </c>
      <c r="X219" s="7" t="n">
        <v>41.6</v>
      </c>
      <c r="Z219" s="7" t="n">
        <v>32.1</v>
      </c>
      <c r="AB219" s="7" t="n">
        <v>539.9</v>
      </c>
    </row>
    <row r="220">
      <c r="A220" s="4" t="inlineStr">
        <is>
          <t>诉讼费</t>
        </is>
      </c>
      <c r="D220" s="7" t="n">
        <v>0</v>
      </c>
      <c r="F220" s="7" t="n">
        <v>50.6</v>
      </c>
      <c r="H220" s="7" t="n">
        <v>31.7</v>
      </c>
      <c r="J220" s="7" t="n">
        <v>198.7</v>
      </c>
      <c r="L220" s="7" t="n">
        <v>59.3</v>
      </c>
      <c r="N220" s="7" t="n">
        <v>136.6</v>
      </c>
      <c r="P220" s="7" t="n">
        <v>89.8</v>
      </c>
      <c r="R220" s="7" t="n">
        <v>40.3</v>
      </c>
      <c r="T220" s="7" t="n">
        <v>25.9</v>
      </c>
      <c r="V220" s="7" t="n">
        <v>125.8</v>
      </c>
      <c r="X220" s="7" t="n">
        <v>72.8</v>
      </c>
      <c r="Z220" s="7" t="n">
        <v>50.8</v>
      </c>
      <c r="AB220" s="7" t="n">
        <v>882.3</v>
      </c>
    </row>
    <row r="221">
      <c r="A221" s="4" t="inlineStr">
        <is>
          <t>会员费</t>
        </is>
      </c>
      <c r="D221" s="7" t="n">
        <v>0</v>
      </c>
      <c r="F221" s="7" t="n">
        <v>46.1</v>
      </c>
      <c r="H221" s="7" t="n">
        <v>26.8</v>
      </c>
      <c r="J221" s="7" t="n">
        <v>199.5</v>
      </c>
      <c r="L221" s="7" t="n">
        <v>62.7</v>
      </c>
      <c r="N221" s="7" t="n">
        <v>128.4</v>
      </c>
      <c r="P221" s="7" t="n">
        <v>76.59999999999999</v>
      </c>
      <c r="R221" s="7" t="n">
        <v>51.8</v>
      </c>
      <c r="T221" s="7" t="n">
        <v>33.6</v>
      </c>
      <c r="V221" s="7" t="n">
        <v>84.3</v>
      </c>
      <c r="X221" s="7" t="n">
        <v>47.5</v>
      </c>
      <c r="Z221" s="7" t="n">
        <v>42.7</v>
      </c>
      <c r="AB221" s="7" t="n">
        <v>800</v>
      </c>
    </row>
    <row r="222">
      <c r="A222" s="4" t="inlineStr">
        <is>
          <t>广告宣传费</t>
        </is>
      </c>
      <c r="D222" s="7" t="n">
        <v>0</v>
      </c>
      <c r="F222" s="7" t="n">
        <v>243</v>
      </c>
      <c r="H222" s="7" t="n">
        <v>144</v>
      </c>
      <c r="J222" s="7" t="n">
        <v>957.7</v>
      </c>
      <c r="L222" s="7" t="n">
        <v>357.7</v>
      </c>
      <c r="N222" s="7" t="n">
        <v>420.6</v>
      </c>
      <c r="P222" s="7" t="n">
        <v>456.5</v>
      </c>
      <c r="R222" s="7" t="n">
        <v>257.3</v>
      </c>
      <c r="T222" s="7" t="n">
        <v>109.6</v>
      </c>
      <c r="V222" s="7" t="n">
        <v>587.4</v>
      </c>
      <c r="X222" s="7" t="n">
        <v>211</v>
      </c>
      <c r="Z222" s="7" t="n">
        <v>202.5</v>
      </c>
      <c r="AB222" s="7" t="n">
        <v>3947.3</v>
      </c>
    </row>
    <row r="223">
      <c r="A223" s="4" t="inlineStr">
        <is>
          <t>会务费</t>
        </is>
      </c>
      <c r="D223" s="7" t="n">
        <v>0</v>
      </c>
      <c r="F223" s="7" t="n">
        <v>39.8</v>
      </c>
      <c r="H223" s="7" t="n">
        <v>25</v>
      </c>
      <c r="J223" s="7" t="n">
        <v>177.9</v>
      </c>
      <c r="L223" s="7" t="n">
        <v>42.3</v>
      </c>
      <c r="N223" s="7" t="n">
        <v>89.59999999999999</v>
      </c>
      <c r="P223" s="7" t="n">
        <v>99.5</v>
      </c>
      <c r="R223" s="7" t="n">
        <v>30.7</v>
      </c>
      <c r="T223" s="7" t="n">
        <v>21.5</v>
      </c>
      <c r="V223" s="7" t="n">
        <v>67.3</v>
      </c>
      <c r="X223" s="7" t="n">
        <v>40.3</v>
      </c>
      <c r="Z223" s="7" t="n">
        <v>37.1</v>
      </c>
      <c r="AB223" s="7" t="n">
        <v>671</v>
      </c>
    </row>
    <row r="224">
      <c r="A224" s="4" t="inlineStr">
        <is>
          <t>装修费</t>
        </is>
      </c>
      <c r="D224" s="7" t="n">
        <v>0</v>
      </c>
      <c r="F224" s="7" t="n">
        <v>39.9</v>
      </c>
      <c r="H224" s="7" t="n">
        <v>15.6</v>
      </c>
      <c r="J224" s="7" t="n">
        <v>163.6</v>
      </c>
      <c r="L224" s="7" t="n">
        <v>43.1</v>
      </c>
      <c r="N224" s="7" t="n">
        <v>55.8</v>
      </c>
      <c r="P224" s="7" t="n">
        <v>53.9</v>
      </c>
      <c r="R224" s="7" t="n">
        <v>36.7</v>
      </c>
      <c r="T224" s="7" t="n">
        <v>26.1</v>
      </c>
      <c r="V224" s="7" t="n">
        <v>57.7</v>
      </c>
      <c r="X224" s="7" t="n">
        <v>45.7</v>
      </c>
      <c r="Z224" s="7" t="n">
        <v>41.2</v>
      </c>
      <c r="AB224" s="7" t="n">
        <v>579.3</v>
      </c>
    </row>
    <row r="225">
      <c r="A225" s="4" t="inlineStr">
        <is>
          <t>推广费</t>
        </is>
      </c>
      <c r="D225" s="7" t="n">
        <v>0</v>
      </c>
      <c r="F225" s="7" t="n">
        <v>39.3</v>
      </c>
      <c r="H225" s="7" t="n">
        <v>18.4</v>
      </c>
      <c r="J225" s="7" t="n">
        <v>162.6</v>
      </c>
      <c r="L225" s="7" t="n">
        <v>56.3</v>
      </c>
      <c r="N225" s="7" t="n">
        <v>72.59999999999999</v>
      </c>
      <c r="P225" s="7" t="n">
        <v>67.90000000000001</v>
      </c>
      <c r="R225" s="7" t="n">
        <v>39.9</v>
      </c>
      <c r="T225" s="7" t="n">
        <v>31.5</v>
      </c>
      <c r="V225" s="7" t="n">
        <v>91.90000000000001</v>
      </c>
      <c r="X225" s="7" t="n">
        <v>57.1</v>
      </c>
      <c r="Z225" s="7" t="n">
        <v>48.9</v>
      </c>
      <c r="AB225" s="7" t="n">
        <v>686.4</v>
      </c>
    </row>
    <row r="226">
      <c r="A226" s="4" t="inlineStr">
        <is>
          <t>展会费</t>
        </is>
      </c>
      <c r="D226" s="7" t="n">
        <v>0</v>
      </c>
      <c r="F226" s="7" t="n">
        <v>3.2</v>
      </c>
      <c r="H226" s="7" t="n">
        <v>1.1</v>
      </c>
      <c r="J226" s="7" t="n">
        <v>13.1</v>
      </c>
      <c r="L226" s="7" t="n">
        <v>2.4</v>
      </c>
      <c r="N226" s="7" t="n">
        <v>5.4</v>
      </c>
      <c r="P226" s="7" t="n">
        <v>6.5</v>
      </c>
      <c r="R226" s="7" t="n">
        <v>3.1</v>
      </c>
      <c r="T226" s="7" t="n">
        <v>2</v>
      </c>
      <c r="V226" s="7" t="n">
        <v>4.5</v>
      </c>
      <c r="X226" s="7" t="n">
        <v>2.9</v>
      </c>
      <c r="Z226" s="7" t="n">
        <v>1.7</v>
      </c>
      <c r="AB226" s="7" t="n">
        <v>45.9</v>
      </c>
    </row>
    <row r="227">
      <c r="A227" s="4" t="inlineStr">
        <is>
          <t>设计费</t>
        </is>
      </c>
      <c r="D227" s="7" t="n">
        <v>0</v>
      </c>
      <c r="F227" s="7" t="n">
        <v>56</v>
      </c>
      <c r="H227" s="7" t="n">
        <v>23.3</v>
      </c>
      <c r="J227" s="7" t="n">
        <v>167.8</v>
      </c>
      <c r="L227" s="7" t="n">
        <v>77.90000000000001</v>
      </c>
      <c r="N227" s="7" t="n">
        <v>123.5</v>
      </c>
      <c r="P227" s="7" t="n">
        <v>91.7</v>
      </c>
      <c r="R227" s="7" t="n">
        <v>63.3</v>
      </c>
      <c r="T227" s="7" t="n">
        <v>40.5</v>
      </c>
      <c r="V227" s="7" t="n">
        <v>85.7</v>
      </c>
      <c r="X227" s="7" t="n">
        <v>49.9</v>
      </c>
      <c r="Z227" s="7" t="n">
        <v>37.2</v>
      </c>
      <c r="AB227" s="7" t="n">
        <v>816.8</v>
      </c>
    </row>
    <row r="228">
      <c r="A228" s="4" t="inlineStr">
        <is>
          <t>折旧费</t>
        </is>
      </c>
      <c r="D228" s="7" t="n">
        <v>0</v>
      </c>
      <c r="F228" s="7" t="n">
        <v>297.5</v>
      </c>
      <c r="H228" s="7" t="n">
        <v>129.6</v>
      </c>
      <c r="J228" s="7" t="n">
        <v>993.6</v>
      </c>
      <c r="L228" s="7" t="n">
        <v>381.6</v>
      </c>
      <c r="N228" s="7" t="n">
        <v>867.4</v>
      </c>
      <c r="P228" s="7" t="n">
        <v>514</v>
      </c>
      <c r="R228" s="7" t="n">
        <v>389.1</v>
      </c>
      <c r="T228" s="7" t="n">
        <v>255.2</v>
      </c>
      <c r="V228" s="7" t="n">
        <v>467.3</v>
      </c>
      <c r="X228" s="7" t="n">
        <v>460.9</v>
      </c>
      <c r="Z228" s="7" t="n">
        <v>275.7</v>
      </c>
      <c r="AB228" s="7" t="n">
        <v>5031.9</v>
      </c>
    </row>
    <row r="229">
      <c r="A229" s="4" t="inlineStr">
        <is>
          <t>认证费</t>
        </is>
      </c>
      <c r="D229" s="7" t="n">
        <v>0</v>
      </c>
      <c r="F229" s="7" t="n">
        <v>3.3</v>
      </c>
      <c r="H229" s="7" t="n">
        <v>2.6</v>
      </c>
      <c r="J229" s="7" t="n">
        <v>13.3</v>
      </c>
      <c r="L229" s="7" t="n">
        <v>5</v>
      </c>
      <c r="N229" s="7" t="n">
        <v>7.2</v>
      </c>
      <c r="P229" s="7" t="n">
        <v>6.9</v>
      </c>
      <c r="R229" s="7" t="n">
        <v>4.8</v>
      </c>
      <c r="T229" s="7" t="n">
        <v>2.8</v>
      </c>
      <c r="V229" s="7" t="n">
        <v>7.1</v>
      </c>
      <c r="X229" s="7" t="n">
        <v>5.8</v>
      </c>
      <c r="Z229" s="7" t="n">
        <v>2.8</v>
      </c>
      <c r="AB229" s="7" t="n">
        <v>61.6</v>
      </c>
    </row>
    <row r="230">
      <c r="A230" s="4" t="inlineStr">
        <is>
          <t>样品费</t>
        </is>
      </c>
      <c r="D230" s="7" t="n">
        <v>0</v>
      </c>
      <c r="F230" s="7" t="n">
        <v>207.5</v>
      </c>
      <c r="H230" s="7" t="n">
        <v>95.8</v>
      </c>
      <c r="J230" s="7" t="n">
        <v>473.7</v>
      </c>
      <c r="L230" s="7" t="n">
        <v>248</v>
      </c>
      <c r="N230" s="7" t="n">
        <v>340.2</v>
      </c>
      <c r="P230" s="7" t="n">
        <v>400.9</v>
      </c>
      <c r="R230" s="7" t="n">
        <v>121.8</v>
      </c>
      <c r="T230" s="7" t="n">
        <v>76.7</v>
      </c>
      <c r="V230" s="7" t="n">
        <v>239.7</v>
      </c>
      <c r="X230" s="7" t="n">
        <v>187.7</v>
      </c>
      <c r="Z230" s="7" t="n">
        <v>179.6</v>
      </c>
      <c r="AB230" s="7" t="n">
        <v>2571.6</v>
      </c>
    </row>
    <row r="231">
      <c r="A231" s="4" t="inlineStr">
        <is>
          <t>劳务费</t>
        </is>
      </c>
      <c r="D231" s="7" t="n">
        <v>0</v>
      </c>
      <c r="F231" s="7" t="n">
        <v>16.2</v>
      </c>
      <c r="H231" s="7" t="n">
        <v>9.5</v>
      </c>
      <c r="J231" s="7" t="n">
        <v>76.90000000000001</v>
      </c>
      <c r="L231" s="7" t="n">
        <v>20.2</v>
      </c>
      <c r="N231" s="7" t="n">
        <v>42.2</v>
      </c>
      <c r="P231" s="7" t="n">
        <v>32.8</v>
      </c>
      <c r="R231" s="7" t="n">
        <v>16</v>
      </c>
      <c r="T231" s="7" t="n">
        <v>9.9</v>
      </c>
      <c r="V231" s="7" t="n">
        <v>26.4</v>
      </c>
      <c r="X231" s="7" t="n">
        <v>17.3</v>
      </c>
      <c r="Z231" s="7" t="n">
        <v>15.5</v>
      </c>
      <c r="AB231" s="7" t="n">
        <v>282.9</v>
      </c>
    </row>
    <row r="232">
      <c r="A232" s="4" t="inlineStr">
        <is>
          <t>销售佣金</t>
        </is>
      </c>
      <c r="D232" s="7" t="n">
        <v>0</v>
      </c>
      <c r="F232" s="7" t="n">
        <v>9.800000000000001</v>
      </c>
      <c r="H232" s="7" t="n">
        <v>8.5</v>
      </c>
      <c r="J232" s="7" t="n">
        <v>52.8</v>
      </c>
      <c r="L232" s="7" t="n">
        <v>16.2</v>
      </c>
      <c r="N232" s="7" t="n">
        <v>20.2</v>
      </c>
      <c r="P232" s="7" t="n">
        <v>34.3</v>
      </c>
      <c r="R232" s="7" t="n">
        <v>9.800000000000001</v>
      </c>
      <c r="T232" s="7" t="n">
        <v>8.300000000000001</v>
      </c>
      <c r="V232" s="7" t="n">
        <v>21</v>
      </c>
      <c r="X232" s="7" t="n">
        <v>12.2</v>
      </c>
      <c r="Z232" s="7" t="n">
        <v>9.199999999999999</v>
      </c>
      <c r="AB232" s="7" t="n">
        <v>202.3</v>
      </c>
    </row>
    <row r="233">
      <c r="A233" s="4" t="inlineStr">
        <is>
          <t>检测费</t>
        </is>
      </c>
      <c r="D233" s="7" t="n">
        <v>0</v>
      </c>
      <c r="F233" s="7" t="n">
        <v>14.2</v>
      </c>
      <c r="H233" s="7" t="n">
        <v>8.4</v>
      </c>
      <c r="J233" s="7" t="n">
        <v>96.40000000000001</v>
      </c>
      <c r="L233" s="7" t="n">
        <v>18.3</v>
      </c>
      <c r="N233" s="7" t="n">
        <v>28</v>
      </c>
      <c r="P233" s="7" t="n">
        <v>41</v>
      </c>
      <c r="R233" s="7" t="n">
        <v>17.7</v>
      </c>
      <c r="T233" s="7" t="n">
        <v>12.7</v>
      </c>
      <c r="V233" s="7" t="n">
        <v>32.8</v>
      </c>
      <c r="X233" s="7" t="n">
        <v>19.8</v>
      </c>
      <c r="Z233" s="7" t="n">
        <v>14.4</v>
      </c>
      <c r="AB233" s="7" t="n">
        <v>303.7</v>
      </c>
    </row>
    <row r="234">
      <c r="A234" s="4" t="inlineStr">
        <is>
          <t>质量赔偿</t>
        </is>
      </c>
      <c r="D234" s="7" t="n">
        <v>0</v>
      </c>
      <c r="F234" s="7" t="n">
        <v>16.8</v>
      </c>
      <c r="H234" s="7" t="n">
        <v>11.3</v>
      </c>
      <c r="J234" s="7" t="n">
        <v>76</v>
      </c>
      <c r="L234" s="7" t="n">
        <v>19.4</v>
      </c>
      <c r="N234" s="7" t="n">
        <v>28.3</v>
      </c>
      <c r="P234" s="7" t="n">
        <v>30</v>
      </c>
      <c r="R234" s="7" t="n">
        <v>16.8</v>
      </c>
      <c r="T234" s="7" t="n">
        <v>11.4</v>
      </c>
      <c r="V234" s="7" t="n">
        <v>41.2</v>
      </c>
      <c r="X234" s="7" t="n">
        <v>26.2</v>
      </c>
      <c r="Z234" s="7" t="n">
        <v>16.4</v>
      </c>
      <c r="AB234" s="7" t="n">
        <v>293.8</v>
      </c>
    </row>
    <row r="235">
      <c r="A235" s="4" t="inlineStr">
        <is>
          <t>保险费</t>
        </is>
      </c>
      <c r="D235" s="7" t="n">
        <v>0</v>
      </c>
      <c r="F235" s="7" t="n">
        <v>25.7</v>
      </c>
      <c r="H235" s="7" t="n">
        <v>15.7</v>
      </c>
      <c r="J235" s="7" t="n">
        <v>149.5</v>
      </c>
      <c r="L235" s="7" t="n">
        <v>32.9</v>
      </c>
      <c r="N235" s="7" t="n">
        <v>63.6</v>
      </c>
      <c r="P235" s="7" t="n">
        <v>60.6</v>
      </c>
      <c r="R235" s="7" t="n">
        <v>37.1</v>
      </c>
      <c r="T235" s="7" t="n">
        <v>19.1</v>
      </c>
      <c r="V235" s="7" t="n">
        <v>70.5</v>
      </c>
      <c r="X235" s="7" t="n">
        <v>23.5</v>
      </c>
      <c r="Z235" s="7" t="n">
        <v>20.2</v>
      </c>
      <c r="AB235" s="7" t="n">
        <v>518.4</v>
      </c>
    </row>
    <row r="236">
      <c r="A236" s="4" t="inlineStr">
        <is>
          <t>清洁费</t>
        </is>
      </c>
      <c r="D236" s="7" t="n">
        <v>0</v>
      </c>
      <c r="F236" s="7" t="n">
        <v>49</v>
      </c>
      <c r="H236" s="7" t="n">
        <v>27.4</v>
      </c>
      <c r="J236" s="7" t="n">
        <v>276.6</v>
      </c>
      <c r="L236" s="7" t="n">
        <v>78.5</v>
      </c>
      <c r="N236" s="7" t="n">
        <v>90</v>
      </c>
      <c r="P236" s="7" t="n">
        <v>101.2</v>
      </c>
      <c r="R236" s="7" t="n">
        <v>52.7</v>
      </c>
      <c r="T236" s="7" t="n">
        <v>40.6</v>
      </c>
      <c r="V236" s="7" t="n">
        <v>120.9</v>
      </c>
      <c r="X236" s="7" t="n">
        <v>48.4</v>
      </c>
      <c r="Z236" s="7" t="n">
        <v>52.2</v>
      </c>
      <c r="AB236" s="7" t="n">
        <v>937.5</v>
      </c>
    </row>
    <row r="237">
      <c r="A237" s="4" t="inlineStr">
        <is>
          <t>低值易耗品</t>
        </is>
      </c>
      <c r="D237" s="7" t="n">
        <v>0</v>
      </c>
      <c r="F237" s="7" t="n">
        <v>4.5</v>
      </c>
      <c r="H237" s="7" t="n">
        <v>2.9</v>
      </c>
      <c r="J237" s="7" t="n">
        <v>17.5</v>
      </c>
      <c r="L237" s="7" t="n">
        <v>5</v>
      </c>
      <c r="N237" s="7" t="n">
        <v>8.1</v>
      </c>
      <c r="P237" s="7" t="n">
        <v>11.8</v>
      </c>
      <c r="R237" s="7" t="n">
        <v>4.5</v>
      </c>
      <c r="T237" s="7" t="n">
        <v>3.2</v>
      </c>
      <c r="V237" s="7" t="n">
        <v>6.5</v>
      </c>
      <c r="X237" s="7" t="n">
        <v>6.3</v>
      </c>
      <c r="Z237" s="7" t="n">
        <v>4.6</v>
      </c>
      <c r="AB237" s="7" t="n">
        <v>74.90000000000001</v>
      </c>
    </row>
    <row r="238">
      <c r="A238" s="4" t="inlineStr">
        <is>
          <t>物料消耗</t>
        </is>
      </c>
      <c r="D238" s="7" t="n">
        <v>0</v>
      </c>
      <c r="F238" s="7" t="n">
        <v>10.6</v>
      </c>
      <c r="H238" s="7" t="n">
        <v>9.300000000000001</v>
      </c>
      <c r="J238" s="7" t="n">
        <v>61</v>
      </c>
      <c r="L238" s="7" t="n">
        <v>22.2</v>
      </c>
      <c r="N238" s="7" t="n">
        <v>28.8</v>
      </c>
      <c r="P238" s="7" t="n">
        <v>24.7</v>
      </c>
      <c r="R238" s="7" t="n">
        <v>10.5</v>
      </c>
      <c r="T238" s="7" t="n">
        <v>10.2</v>
      </c>
      <c r="V238" s="7" t="n">
        <v>26.8</v>
      </c>
      <c r="X238" s="7" t="n">
        <v>19.6</v>
      </c>
      <c r="Z238" s="7" t="n">
        <v>16.4</v>
      </c>
      <c r="AB238" s="7" t="n">
        <v>240.1</v>
      </c>
    </row>
    <row r="239">
      <c r="A239" s="4" t="inlineStr">
        <is>
          <t>盘盈盘亏</t>
        </is>
      </c>
      <c r="D239" s="7" t="n">
        <v>0</v>
      </c>
      <c r="F239" s="7" t="n">
        <v>0.2</v>
      </c>
      <c r="H239" s="7" t="n">
        <v>0.1</v>
      </c>
      <c r="J239" s="7" t="n">
        <v>0.8</v>
      </c>
      <c r="L239" s="7" t="n">
        <v>0.2</v>
      </c>
      <c r="N239" s="7" t="n">
        <v>0.5</v>
      </c>
      <c r="P239" s="7" t="n">
        <v>0.5</v>
      </c>
      <c r="R239" s="7" t="n">
        <v>0.1</v>
      </c>
      <c r="T239" s="7" t="n">
        <v>0.1</v>
      </c>
      <c r="V239" s="7" t="n">
        <v>0.3</v>
      </c>
      <c r="X239" s="7" t="n">
        <v>0.2</v>
      </c>
      <c r="Z239" s="7" t="n">
        <v>0.1</v>
      </c>
      <c r="AB239" s="7" t="n">
        <v>3.1</v>
      </c>
    </row>
    <row r="240">
      <c r="A240" s="4" t="inlineStr">
        <is>
          <t>平台服务费</t>
        </is>
      </c>
      <c r="D240" s="7" t="n">
        <v>0</v>
      </c>
      <c r="F240" s="7" t="n">
        <v>25</v>
      </c>
      <c r="H240" s="7" t="n">
        <v>16.8</v>
      </c>
      <c r="J240" s="7" t="n">
        <v>88.3</v>
      </c>
      <c r="L240" s="7" t="n">
        <v>26.6</v>
      </c>
      <c r="N240" s="7" t="n">
        <v>57</v>
      </c>
      <c r="P240" s="7" t="n">
        <v>45.1</v>
      </c>
      <c r="R240" s="7" t="n">
        <v>27.5</v>
      </c>
      <c r="T240" s="7" t="n">
        <v>14.5</v>
      </c>
      <c r="V240" s="7" t="n">
        <v>51.7</v>
      </c>
      <c r="X240" s="7" t="n">
        <v>29.7</v>
      </c>
      <c r="Z240" s="7" t="n">
        <v>29.7</v>
      </c>
      <c r="AB240" s="7" t="n">
        <v>411.9</v>
      </c>
    </row>
    <row r="241">
      <c r="A241" s="4" t="inlineStr">
        <is>
          <t>无形资产摊销</t>
        </is>
      </c>
      <c r="D241" s="7" t="n">
        <v>0</v>
      </c>
      <c r="F241" s="7" t="n">
        <v>30.6</v>
      </c>
      <c r="H241" s="7" t="n">
        <v>15.9</v>
      </c>
      <c r="J241" s="7" t="n">
        <v>83.59999999999999</v>
      </c>
      <c r="L241" s="7" t="n">
        <v>28.8</v>
      </c>
      <c r="N241" s="7" t="n">
        <v>41.9</v>
      </c>
      <c r="P241" s="7" t="n">
        <v>67.3</v>
      </c>
      <c r="R241" s="7" t="n">
        <v>24</v>
      </c>
      <c r="T241" s="7" t="n">
        <v>18.6</v>
      </c>
      <c r="V241" s="7" t="n">
        <v>40.8</v>
      </c>
      <c r="X241" s="7" t="n">
        <v>29.3</v>
      </c>
      <c r="Z241" s="7" t="n">
        <v>29.9</v>
      </c>
      <c r="AB241" s="7" t="n">
        <v>410.7</v>
      </c>
    </row>
    <row r="242">
      <c r="A242" s="4" t="inlineStr">
        <is>
          <t>研发材料</t>
        </is>
      </c>
      <c r="D242" s="7" t="n">
        <v>0</v>
      </c>
      <c r="F242" s="7" t="n">
        <v>35</v>
      </c>
      <c r="H242" s="7" t="n">
        <v>14.4</v>
      </c>
      <c r="J242" s="7" t="n">
        <v>188.7</v>
      </c>
      <c r="L242" s="7" t="n">
        <v>52</v>
      </c>
      <c r="N242" s="7" t="n">
        <v>63.4</v>
      </c>
      <c r="P242" s="7" t="n">
        <v>100.3</v>
      </c>
      <c r="R242" s="7" t="n">
        <v>47.3</v>
      </c>
      <c r="T242" s="7" t="n">
        <v>29.5</v>
      </c>
      <c r="V242" s="7" t="n">
        <v>56.7</v>
      </c>
      <c r="X242" s="7" t="n">
        <v>46.2</v>
      </c>
      <c r="Z242" s="7" t="n">
        <v>36.2</v>
      </c>
      <c r="AB242" s="7" t="n">
        <v>669.7</v>
      </c>
    </row>
    <row r="243">
      <c r="A243" s="4" t="inlineStr">
        <is>
          <t>项目名称</t>
        </is>
      </c>
      <c r="D243" s="7" t="n">
        <v>0</v>
      </c>
      <c r="F243" s="7" t="n">
        <v>63.5</v>
      </c>
      <c r="H243" s="7" t="n">
        <v>23</v>
      </c>
      <c r="J243" s="7" t="n">
        <v>221.2</v>
      </c>
      <c r="L243" s="7" t="n">
        <v>73.90000000000001</v>
      </c>
      <c r="N243" s="7" t="n">
        <v>93.2</v>
      </c>
      <c r="P243" s="7" t="n">
        <v>102.1</v>
      </c>
      <c r="R243" s="7" t="n">
        <v>63.1</v>
      </c>
      <c r="T243" s="7" t="n">
        <v>32.6</v>
      </c>
      <c r="V243" s="7" t="n">
        <v>91.09999999999999</v>
      </c>
      <c r="X243" s="7" t="n">
        <v>47</v>
      </c>
      <c r="Z243" s="7" t="n">
        <v>34.9</v>
      </c>
      <c r="AB243" s="7" t="n">
        <v>845.6</v>
      </c>
    </row>
    <row r="244">
      <c r="A244" s="4" t="inlineStr">
        <is>
          <t>研发费</t>
        </is>
      </c>
      <c r="D244" s="7" t="n">
        <v>0</v>
      </c>
      <c r="F244" s="7" t="n">
        <v>21.1</v>
      </c>
      <c r="H244" s="7" t="n">
        <v>13.6</v>
      </c>
      <c r="J244" s="7" t="n">
        <v>128.2</v>
      </c>
      <c r="L244" s="7" t="n">
        <v>42.7</v>
      </c>
      <c r="N244" s="7" t="n">
        <v>67.09999999999999</v>
      </c>
      <c r="P244" s="7" t="n">
        <v>54</v>
      </c>
      <c r="R244" s="7" t="n">
        <v>25.3</v>
      </c>
      <c r="T244" s="7" t="n">
        <v>19.2</v>
      </c>
      <c r="V244" s="7" t="n">
        <v>66.59999999999999</v>
      </c>
      <c r="X244" s="7" t="n">
        <v>25.3</v>
      </c>
      <c r="Z244" s="7" t="n">
        <v>30.4</v>
      </c>
      <c r="AB244" s="7" t="n">
        <v>493.5</v>
      </c>
    </row>
    <row r="245">
      <c r="A245" s="4" t="inlineStr">
        <is>
          <t>残保金</t>
        </is>
      </c>
      <c r="D245" s="7" t="n">
        <v>0</v>
      </c>
      <c r="F245" s="7" t="n">
        <v>45.5</v>
      </c>
      <c r="H245" s="7" t="n">
        <v>18.9</v>
      </c>
      <c r="J245" s="7" t="n">
        <v>173.8</v>
      </c>
      <c r="L245" s="7" t="n">
        <v>56.9</v>
      </c>
      <c r="N245" s="7" t="n">
        <v>73.2</v>
      </c>
      <c r="P245" s="7" t="n">
        <v>104.1</v>
      </c>
      <c r="R245" s="7" t="n">
        <v>31.4</v>
      </c>
      <c r="T245" s="7" t="n">
        <v>18.3</v>
      </c>
      <c r="V245" s="7" t="n">
        <v>57.6</v>
      </c>
      <c r="X245" s="7" t="n">
        <v>46.2</v>
      </c>
      <c r="Z245" s="7" t="n">
        <v>38.2</v>
      </c>
      <c r="AB245" s="7" t="n">
        <v>664.1</v>
      </c>
    </row>
    <row r="246">
      <c r="A246" s="4" t="inlineStr">
        <is>
          <t>环保费</t>
        </is>
      </c>
      <c r="D246" s="7" t="n">
        <v>0</v>
      </c>
      <c r="F246" s="7" t="n">
        <v>27.8</v>
      </c>
      <c r="H246" s="7" t="n">
        <v>15.8</v>
      </c>
      <c r="J246" s="7" t="n">
        <v>173.9</v>
      </c>
      <c r="L246" s="7" t="n">
        <v>40.1</v>
      </c>
      <c r="N246" s="7" t="n">
        <v>75.7</v>
      </c>
      <c r="P246" s="7" t="n">
        <v>48.5</v>
      </c>
      <c r="R246" s="7" t="n">
        <v>42</v>
      </c>
      <c r="T246" s="7" t="n">
        <v>19.9</v>
      </c>
      <c r="V246" s="7" t="n">
        <v>64.7</v>
      </c>
      <c r="X246" s="7" t="n">
        <v>28.3</v>
      </c>
      <c r="Z246" s="7" t="n">
        <v>23.4</v>
      </c>
      <c r="AB246" s="7" t="n">
        <v>560.1</v>
      </c>
    </row>
    <row r="247">
      <c r="A247" s="4" t="inlineStr">
        <is>
          <t>报废损失</t>
        </is>
      </c>
      <c r="D247" s="7" t="n">
        <v>0</v>
      </c>
      <c r="F247" s="7" t="n">
        <v>13.8</v>
      </c>
      <c r="H247" s="7" t="n">
        <v>7.2</v>
      </c>
      <c r="J247" s="7" t="n">
        <v>41.7</v>
      </c>
      <c r="L247" s="7" t="n">
        <v>17.6</v>
      </c>
      <c r="N247" s="7" t="n">
        <v>20.6</v>
      </c>
      <c r="P247" s="7" t="n">
        <v>27.9</v>
      </c>
      <c r="R247" s="7" t="n">
        <v>12.5</v>
      </c>
      <c r="T247" s="7" t="n">
        <v>5.2</v>
      </c>
      <c r="V247" s="7" t="n">
        <v>26.6</v>
      </c>
      <c r="X247" s="7" t="n">
        <v>13.8</v>
      </c>
      <c r="Z247" s="7" t="n">
        <v>13.8</v>
      </c>
      <c r="AB247" s="7" t="n">
        <v>200.7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10777.4</v>
      </c>
      <c r="D248" s="7" t="n">
        <v>17874.2</v>
      </c>
      <c r="E248" s="7" t="n">
        <v>10938.4</v>
      </c>
      <c r="F248" s="7" t="n">
        <v>14606.2</v>
      </c>
      <c r="G248" s="7" t="n">
        <v>9913.200000000001</v>
      </c>
      <c r="H248" s="7" t="n">
        <v>9808.9</v>
      </c>
      <c r="I248" s="7" t="n">
        <v>9273.299999999999</v>
      </c>
      <c r="J248" s="7" t="n">
        <v>2651.5</v>
      </c>
      <c r="K248" s="7" t="n">
        <v>10684.6</v>
      </c>
      <c r="L248" s="7" t="n">
        <v>14203.9</v>
      </c>
      <c r="M248" s="7" t="n">
        <v>10484.3</v>
      </c>
      <c r="N248" s="7" t="n">
        <v>8618.299999999999</v>
      </c>
      <c r="O248" s="7" t="n">
        <v>8843.4</v>
      </c>
      <c r="P248" s="7" t="n">
        <v>1956.4</v>
      </c>
      <c r="Q248" s="7" t="n">
        <v>9004.6</v>
      </c>
      <c r="R248" s="7" t="n">
        <v>9397.799999999999</v>
      </c>
      <c r="S248" s="7" t="n">
        <v>8948.1</v>
      </c>
      <c r="T248" s="7" t="n">
        <v>13414.3</v>
      </c>
      <c r="U248" s="7" t="n">
        <v>9827.1</v>
      </c>
      <c r="V248" s="7" t="n">
        <v>15852.9</v>
      </c>
      <c r="W248" s="7" t="n">
        <v>10225</v>
      </c>
      <c r="X248" s="7" t="n">
        <v>10068.6</v>
      </c>
      <c r="Y248" s="7" t="n">
        <v>9522.700000000001</v>
      </c>
      <c r="Z248" s="7" t="n">
        <v>5748.1</v>
      </c>
      <c r="AA248" s="8" t="n">
        <v>118442.1</v>
      </c>
      <c r="AB248" s="8" t="n">
        <v>124201.1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2561.5</v>
      </c>
      <c r="E250" s="7" t="n">
        <v>0</v>
      </c>
      <c r="F250" s="7" t="n">
        <v>-1287.5</v>
      </c>
      <c r="G250" s="7" t="n">
        <v>0</v>
      </c>
      <c r="H250" s="7" t="n">
        <v>3936.8</v>
      </c>
      <c r="I250" s="7" t="n">
        <v>0</v>
      </c>
      <c r="J250" s="7" t="n">
        <v>-4170.1</v>
      </c>
      <c r="K250" s="7" t="n">
        <v>0</v>
      </c>
      <c r="L250" s="7" t="n">
        <v>-1816.5</v>
      </c>
      <c r="M250" s="7" t="n">
        <v>0</v>
      </c>
      <c r="N250" s="7" t="n">
        <v>-558.4</v>
      </c>
      <c r="O250" s="7" t="n">
        <v>0</v>
      </c>
      <c r="P250" s="7" t="n">
        <v>-4067.7</v>
      </c>
      <c r="Q250" s="7" t="n">
        <v>0</v>
      </c>
      <c r="R250" s="7" t="n">
        <v>-2773.3</v>
      </c>
      <c r="S250" s="7" t="n">
        <v>0</v>
      </c>
      <c r="T250" s="7" t="n">
        <v>1638.8</v>
      </c>
      <c r="U250" s="7" t="n">
        <v>0</v>
      </c>
      <c r="V250" s="7" t="n">
        <v>-4308.9</v>
      </c>
      <c r="W250" s="7" t="n">
        <v>0</v>
      </c>
      <c r="X250" s="7" t="n">
        <v>877.5</v>
      </c>
      <c r="Y250" s="7" t="n">
        <v>0</v>
      </c>
      <c r="Z250" s="7" t="n">
        <v>518.4</v>
      </c>
      <c r="AA250" s="7" t="n">
        <v>0</v>
      </c>
      <c r="AB250" s="7" t="n">
        <v>-9449.4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12525.7</v>
      </c>
      <c r="D255" s="7" t="n">
        <v>4200.4</v>
      </c>
      <c r="E255" s="7" t="n">
        <v>14068.7</v>
      </c>
      <c r="F255" s="7" t="n">
        <v>6598.6</v>
      </c>
      <c r="G255" s="7" t="n">
        <v>11864.9</v>
      </c>
      <c r="H255" s="7" t="n">
        <v>614.9</v>
      </c>
      <c r="I255" s="7" t="n">
        <v>13944.8</v>
      </c>
      <c r="J255" s="7" t="n">
        <v>8410.6</v>
      </c>
      <c r="K255" s="7" t="n">
        <v>10684.7</v>
      </c>
      <c r="L255" s="7" t="n">
        <v>14367.3</v>
      </c>
      <c r="M255" s="7" t="n">
        <v>11710.3</v>
      </c>
      <c r="N255" s="7" t="n">
        <v>11954</v>
      </c>
      <c r="O255" s="7" t="n">
        <v>11342.7</v>
      </c>
      <c r="P255" s="7" t="n">
        <v>18413.4</v>
      </c>
      <c r="Q255" s="7" t="n">
        <v>13446.8</v>
      </c>
      <c r="R255" s="7" t="n">
        <v>19204.4</v>
      </c>
      <c r="S255" s="7" t="n">
        <v>14037</v>
      </c>
      <c r="T255" s="7" t="n">
        <v>25466.4</v>
      </c>
      <c r="U255" s="7" t="n">
        <v>11304.8</v>
      </c>
      <c r="V255" s="7" t="n">
        <v>8872.799999999999</v>
      </c>
      <c r="W255" s="7" t="n">
        <v>11783.6</v>
      </c>
      <c r="X255" s="7" t="n">
        <v>9038.799999999999</v>
      </c>
      <c r="Y255" s="7" t="n">
        <v>10668.3</v>
      </c>
      <c r="Z255" s="7" t="n">
        <v>23216.2</v>
      </c>
      <c r="AA255" s="7" t="n">
        <v>147382.3</v>
      </c>
      <c r="AB255" s="7" t="n">
        <v>150357.8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52394.1</v>
      </c>
      <c r="D256" s="7" t="n">
        <v>0</v>
      </c>
      <c r="E256" s="7" t="n">
        <v>51999.8</v>
      </c>
      <c r="F256" s="7" t="n">
        <v>19214.2</v>
      </c>
      <c r="G256" s="7" t="n">
        <v>44479.5</v>
      </c>
      <c r="H256" s="7" t="n">
        <v>22077.5</v>
      </c>
      <c r="I256" s="7" t="n">
        <v>50699.4</v>
      </c>
      <c r="J256" s="7" t="n">
        <v>85281.10000000001</v>
      </c>
      <c r="K256" s="7" t="n">
        <v>46953.1</v>
      </c>
      <c r="L256" s="7" t="n">
        <v>57631</v>
      </c>
      <c r="M256" s="7" t="n">
        <v>44405.6</v>
      </c>
      <c r="N256" s="7" t="n">
        <v>48500.4</v>
      </c>
      <c r="O256" s="7" t="n">
        <v>41410.3</v>
      </c>
      <c r="P256" s="7" t="n">
        <v>64087.3</v>
      </c>
      <c r="Q256" s="7" t="n">
        <v>41443.3</v>
      </c>
      <c r="R256" s="7" t="n">
        <v>75726.60000000001</v>
      </c>
      <c r="S256" s="7" t="n">
        <v>45419.7</v>
      </c>
      <c r="T256" s="7" t="n">
        <v>26305.6</v>
      </c>
      <c r="U256" s="7" t="n">
        <v>42474.9</v>
      </c>
      <c r="V256" s="7" t="n">
        <v>77896.7</v>
      </c>
      <c r="W256" s="7" t="n">
        <v>49715</v>
      </c>
      <c r="X256" s="7" t="n">
        <v>53356.2</v>
      </c>
      <c r="Y256" s="7" t="n">
        <v>42232.4</v>
      </c>
      <c r="Z256" s="7" t="n">
        <v>22892.6</v>
      </c>
      <c r="AA256" s="8" t="n">
        <v>553627.1</v>
      </c>
      <c r="AB256" s="8" t="n">
        <v>552969.2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722</v>
      </c>
      <c r="E257" s="7" t="n">
        <v>0</v>
      </c>
      <c r="F257" s="7" t="n">
        <v>3974.1</v>
      </c>
      <c r="G257" s="7" t="n">
        <v>0</v>
      </c>
      <c r="H257" s="7" t="n">
        <v>3378.3</v>
      </c>
      <c r="I257" s="7" t="n">
        <v>0</v>
      </c>
      <c r="J257" s="7" t="n">
        <v>1455.6</v>
      </c>
      <c r="K257" s="7" t="n">
        <v>0</v>
      </c>
      <c r="L257" s="7" t="n">
        <v>906.4</v>
      </c>
      <c r="M257" s="7" t="n">
        <v>0</v>
      </c>
      <c r="N257" s="7" t="n">
        <v>1111.2</v>
      </c>
      <c r="O257" s="7" t="n">
        <v>0</v>
      </c>
      <c r="P257" s="7" t="n">
        <v>412.8</v>
      </c>
      <c r="Q257" s="7" t="n">
        <v>0</v>
      </c>
      <c r="R257" s="7" t="n">
        <v>3200.2</v>
      </c>
      <c r="S257" s="7" t="n">
        <v>0</v>
      </c>
      <c r="T257" s="7" t="n">
        <v>4608.1</v>
      </c>
      <c r="U257" s="7" t="n">
        <v>0</v>
      </c>
      <c r="V257" s="7" t="n">
        <v>696.5</v>
      </c>
      <c r="W257" s="7" t="n">
        <v>0</v>
      </c>
      <c r="X257" s="7" t="n">
        <v>1934.4</v>
      </c>
      <c r="Y257" s="7" t="n">
        <v>0</v>
      </c>
      <c r="Z257" s="7" t="n">
        <v>230.5</v>
      </c>
      <c r="AA257" s="7" t="n">
        <v>0</v>
      </c>
      <c r="AB257" s="7" t="n">
        <v>22630.1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60.8</v>
      </c>
      <c r="E258" s="7" t="n">
        <v>0</v>
      </c>
      <c r="F258" s="7" t="n">
        <v>2484.4</v>
      </c>
      <c r="G258" s="7" t="n">
        <v>0</v>
      </c>
      <c r="H258" s="7" t="n">
        <v>1815.3</v>
      </c>
      <c r="I258" s="7" t="n">
        <v>0</v>
      </c>
      <c r="J258" s="7" t="n">
        <v>1176.9</v>
      </c>
      <c r="K258" s="7" t="n">
        <v>0</v>
      </c>
      <c r="L258" s="7" t="n">
        <v>2714.5</v>
      </c>
      <c r="M258" s="7" t="n">
        <v>0</v>
      </c>
      <c r="N258" s="7" t="n">
        <v>2070.5</v>
      </c>
      <c r="O258" s="7" t="n">
        <v>0</v>
      </c>
      <c r="P258" s="7" t="n">
        <v>1800.3</v>
      </c>
      <c r="Q258" s="7" t="n">
        <v>0</v>
      </c>
      <c r="R258" s="7" t="n">
        <v>1327.9</v>
      </c>
      <c r="S258" s="7" t="n">
        <v>0</v>
      </c>
      <c r="T258" s="7" t="n">
        <v>297.6</v>
      </c>
      <c r="U258" s="7" t="n">
        <v>0</v>
      </c>
      <c r="V258" s="7" t="n">
        <v>886.5</v>
      </c>
      <c r="W258" s="7" t="n">
        <v>0</v>
      </c>
      <c r="X258" s="7" t="n">
        <v>470.9</v>
      </c>
      <c r="Y258" s="7" t="n">
        <v>0</v>
      </c>
      <c r="Z258" s="7" t="n">
        <v>416.5</v>
      </c>
      <c r="AA258" s="7" t="n">
        <v>0</v>
      </c>
      <c r="AB258" s="7" t="n">
        <v>15522.1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52734.5</v>
      </c>
      <c r="D259" s="7" t="n">
        <v>0</v>
      </c>
      <c r="E259" s="7" t="n">
        <v>39142.7</v>
      </c>
      <c r="F259" s="7" t="n">
        <v>18453.5</v>
      </c>
      <c r="G259" s="7" t="n">
        <v>42126.2</v>
      </c>
      <c r="H259" s="7" t="n">
        <v>21668.1</v>
      </c>
      <c r="I259" s="7" t="n">
        <v>40814.8</v>
      </c>
      <c r="J259" s="7" t="n">
        <v>85990.2</v>
      </c>
      <c r="K259" s="7" t="n">
        <v>43969.5</v>
      </c>
      <c r="L259" s="7" t="n">
        <v>60732.7</v>
      </c>
      <c r="M259" s="7" t="n">
        <v>39529.7</v>
      </c>
      <c r="N259" s="7" t="n">
        <v>52430.6</v>
      </c>
      <c r="O259" s="7" t="n">
        <v>42045.6</v>
      </c>
      <c r="P259" s="7" t="n">
        <v>62282.4</v>
      </c>
      <c r="Q259" s="7" t="n">
        <v>50645</v>
      </c>
      <c r="R259" s="7" t="n">
        <v>71800</v>
      </c>
      <c r="S259" s="7" t="n">
        <v>47160.9</v>
      </c>
      <c r="T259" s="7" t="n">
        <v>24601.5</v>
      </c>
      <c r="U259" s="7" t="n">
        <v>45971.4</v>
      </c>
      <c r="V259" s="7" t="n">
        <v>76434.10000000001</v>
      </c>
      <c r="W259" s="7" t="n">
        <v>43240.2</v>
      </c>
      <c r="X259" s="7" t="n">
        <v>54467.3</v>
      </c>
      <c r="Y259" s="7" t="n">
        <v>49834.5</v>
      </c>
      <c r="Z259" s="7" t="n">
        <v>22777.4</v>
      </c>
      <c r="AA259" s="8" t="n">
        <v>537215</v>
      </c>
      <c r="AB259" s="8" t="n">
        <v>551637.8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12600.3</v>
      </c>
      <c r="D260" s="7" t="n">
        <v>0</v>
      </c>
      <c r="E260" s="7" t="n">
        <v>9794.799999999999</v>
      </c>
      <c r="F260" s="7" t="n">
        <v>4613.4</v>
      </c>
      <c r="G260" s="7" t="n">
        <v>10290</v>
      </c>
      <c r="H260" s="7" t="n">
        <v>5417</v>
      </c>
      <c r="I260" s="7" t="n">
        <v>11209.7</v>
      </c>
      <c r="J260" s="7" t="n">
        <v>21497.5</v>
      </c>
      <c r="K260" s="7" t="n">
        <v>12083.5</v>
      </c>
      <c r="L260" s="7" t="n">
        <v>15183.2</v>
      </c>
      <c r="M260" s="7" t="n">
        <v>9936.700000000001</v>
      </c>
      <c r="N260" s="7" t="n">
        <v>13107.6</v>
      </c>
      <c r="O260" s="7" t="n">
        <v>11756</v>
      </c>
      <c r="P260" s="7" t="n">
        <v>15570.6</v>
      </c>
      <c r="Q260" s="7" t="n">
        <v>11985.4</v>
      </c>
      <c r="R260" s="7" t="n">
        <v>17950</v>
      </c>
      <c r="S260" s="7" t="n">
        <v>10498.3</v>
      </c>
      <c r="T260" s="7" t="n">
        <v>6150.4</v>
      </c>
      <c r="U260" s="7" t="n">
        <v>11902.7</v>
      </c>
      <c r="V260" s="7" t="n">
        <v>19108.5</v>
      </c>
      <c r="W260" s="7" t="n">
        <v>11455.9</v>
      </c>
      <c r="X260" s="7" t="n">
        <v>13616.8</v>
      </c>
      <c r="Y260" s="7" t="n">
        <v>11448.4</v>
      </c>
      <c r="Z260" s="7" t="n">
        <v>5694.4</v>
      </c>
      <c r="AA260" s="7" t="n">
        <v>134961.7</v>
      </c>
      <c r="AB260" s="7" t="n">
        <v>137909.4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33783.6</v>
      </c>
      <c r="D261" s="7" t="n">
        <v>0</v>
      </c>
      <c r="E261" s="7" t="n">
        <v>33001.5</v>
      </c>
      <c r="F261" s="7" t="n">
        <v>13840.1</v>
      </c>
      <c r="G261" s="7" t="n">
        <v>26310</v>
      </c>
      <c r="H261" s="7" t="n">
        <v>16251.1</v>
      </c>
      <c r="I261" s="7" t="n">
        <v>33226.1</v>
      </c>
      <c r="J261" s="7" t="n">
        <v>64492.7</v>
      </c>
      <c r="K261" s="7" t="n">
        <v>38196.1</v>
      </c>
      <c r="L261" s="7" t="n">
        <v>45549.5</v>
      </c>
      <c r="M261" s="7" t="n">
        <v>32132.2</v>
      </c>
      <c r="N261" s="7" t="n">
        <v>39323</v>
      </c>
      <c r="O261" s="7" t="n">
        <v>27510.1</v>
      </c>
      <c r="P261" s="7" t="n">
        <v>46711.8</v>
      </c>
      <c r="Q261" s="7" t="n">
        <v>43573.3</v>
      </c>
      <c r="R261" s="7" t="n">
        <v>53850</v>
      </c>
      <c r="S261" s="7" t="n">
        <v>25727.1</v>
      </c>
      <c r="T261" s="7" t="n">
        <v>18451.1</v>
      </c>
      <c r="U261" s="7" t="n">
        <v>41671.3</v>
      </c>
      <c r="V261" s="7" t="n">
        <v>57325.6</v>
      </c>
      <c r="W261" s="7" t="n">
        <v>26271.3</v>
      </c>
      <c r="X261" s="7" t="n">
        <v>40850.5</v>
      </c>
      <c r="Y261" s="7" t="n">
        <v>26340.8</v>
      </c>
      <c r="Z261" s="7" t="n">
        <v>17083</v>
      </c>
      <c r="AA261" s="8" t="n">
        <v>387743.4</v>
      </c>
      <c r="AB261" s="8" t="n">
        <v>413728.4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0</v>
      </c>
      <c r="E262" s="7" t="n">
        <v>0</v>
      </c>
      <c r="F262" s="7" t="n">
        <v>8.6</v>
      </c>
      <c r="G262" s="7" t="n">
        <v>0</v>
      </c>
      <c r="H262" s="7" t="n">
        <v>3150.1</v>
      </c>
      <c r="I262" s="7" t="n">
        <v>0</v>
      </c>
      <c r="J262" s="7" t="n">
        <v>3556.3</v>
      </c>
      <c r="K262" s="7" t="n">
        <v>0</v>
      </c>
      <c r="L262" s="7" t="n">
        <v>7949.8</v>
      </c>
      <c r="M262" s="7" t="n">
        <v>0</v>
      </c>
      <c r="N262" s="7" t="n">
        <v>4029.7</v>
      </c>
      <c r="O262" s="7" t="n">
        <v>0</v>
      </c>
      <c r="P262" s="7" t="n">
        <v>1393.6</v>
      </c>
      <c r="Q262" s="7" t="n">
        <v>0</v>
      </c>
      <c r="R262" s="7" t="n">
        <v>2362.3</v>
      </c>
      <c r="S262" s="7" t="n">
        <v>0</v>
      </c>
      <c r="T262" s="7" t="n">
        <v>4659</v>
      </c>
      <c r="U262" s="7" t="n">
        <v>0</v>
      </c>
      <c r="V262" s="7" t="n">
        <v>6476.2</v>
      </c>
      <c r="W262" s="7" t="n">
        <v>0</v>
      </c>
      <c r="X262" s="7" t="n">
        <v>8798.5</v>
      </c>
      <c r="Y262" s="7" t="n">
        <v>0</v>
      </c>
      <c r="Z262" s="7" t="n">
        <v>1438.9</v>
      </c>
      <c r="AA262" s="7" t="n">
        <v>0</v>
      </c>
      <c r="AB262" s="7" t="n">
        <v>43823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33783.6</v>
      </c>
      <c r="D263" s="7" t="n">
        <v>0</v>
      </c>
      <c r="E263" s="7" t="n">
        <v>33001.5</v>
      </c>
      <c r="F263" s="7" t="n">
        <v>13831.5</v>
      </c>
      <c r="G263" s="7" t="n">
        <v>26310</v>
      </c>
      <c r="H263" s="7" t="n">
        <v>13101</v>
      </c>
      <c r="I263" s="7" t="n">
        <v>33226.1</v>
      </c>
      <c r="J263" s="7" t="n">
        <v>60936.4</v>
      </c>
      <c r="K263" s="7" t="n">
        <v>38196.1</v>
      </c>
      <c r="L263" s="7" t="n">
        <v>37599.7</v>
      </c>
      <c r="M263" s="7" t="n">
        <v>32132.2</v>
      </c>
      <c r="N263" s="7" t="n">
        <v>35293.3</v>
      </c>
      <c r="O263" s="7" t="n">
        <v>27510.1</v>
      </c>
      <c r="P263" s="7" t="n">
        <v>45318.2</v>
      </c>
      <c r="Q263" s="7" t="n">
        <v>43573.3</v>
      </c>
      <c r="R263" s="7" t="n">
        <v>51487.7</v>
      </c>
      <c r="S263" s="7" t="n">
        <v>25727.1</v>
      </c>
      <c r="T263" s="7" t="n">
        <v>13792.1</v>
      </c>
      <c r="U263" s="7" t="n">
        <v>41671.3</v>
      </c>
      <c r="V263" s="7" t="n">
        <v>50849.4</v>
      </c>
      <c r="W263" s="7" t="n">
        <v>26271.3</v>
      </c>
      <c r="X263" s="7" t="n">
        <v>32052</v>
      </c>
      <c r="Y263" s="7" t="n">
        <v>26340.8</v>
      </c>
      <c r="Z263" s="7" t="n">
        <v>15644.1</v>
      </c>
      <c r="AA263" s="8" t="n">
        <v>387743.4</v>
      </c>
      <c r="AB263" s="8" t="n">
        <v>369905.4</v>
      </c>
    </row>
    <row r="264">
      <c r="A264" s="4" t="inlineStr">
        <is>
          <t>净利率</t>
        </is>
      </c>
      <c r="D264" s="13" t="n">
        <v>0</v>
      </c>
      <c r="F264" s="13" t="n">
        <v>4.9</v>
      </c>
      <c r="H264" s="13" t="n">
        <v>9.199999999999999</v>
      </c>
      <c r="J264" s="13" t="n">
        <v>7.2</v>
      </c>
      <c r="L264" s="13" t="n">
        <v>10.2</v>
      </c>
      <c r="N264" s="13" t="n">
        <v>7.7</v>
      </c>
      <c r="P264" s="13" t="n">
        <v>10.7</v>
      </c>
      <c r="R264" s="13" t="n">
        <v>7.4</v>
      </c>
      <c r="T264" s="13" t="n">
        <v>4.9</v>
      </c>
      <c r="V264" s="13" t="n">
        <v>8.800000000000001</v>
      </c>
      <c r="X264" s="13" t="n">
        <v>6.2</v>
      </c>
      <c r="Z264" s="13" t="n">
        <v>5.6</v>
      </c>
    </row>
    <row r="265">
      <c r="A265" s="4" t="inlineStr">
        <is>
          <t>销售达成率</t>
        </is>
      </c>
      <c r="D265" s="13" t="n">
        <v>0</v>
      </c>
      <c r="F265" s="13" t="n">
        <v>54.6</v>
      </c>
      <c r="H265" s="13" t="n">
        <v>43.8</v>
      </c>
      <c r="J265" s="13" t="n">
        <v>222.8</v>
      </c>
      <c r="L265" s="13" t="n">
        <v>93.7</v>
      </c>
      <c r="N265" s="13" t="n">
        <v>127.5</v>
      </c>
      <c r="P265" s="13" t="n">
        <v>101</v>
      </c>
      <c r="R265" s="13" t="n">
        <v>151.7</v>
      </c>
      <c r="T265" s="13" t="n">
        <v>79.90000000000001</v>
      </c>
      <c r="V265" s="13" t="n">
        <v>148.6</v>
      </c>
      <c r="X265" s="13" t="n">
        <v>124.3</v>
      </c>
      <c r="Z265" s="13" t="n">
        <v>65.09999999999999</v>
      </c>
    </row>
    <row r="266">
      <c r="A266" s="4" t="inlineStr">
        <is>
          <t>净利达成率</t>
        </is>
      </c>
      <c r="D266" s="13" t="n">
        <v>0</v>
      </c>
      <c r="F266" s="13" t="n">
        <v>41.9</v>
      </c>
      <c r="H266" s="13" t="n">
        <v>61.8</v>
      </c>
      <c r="J266" s="13" t="n">
        <v>194.1</v>
      </c>
      <c r="L266" s="13" t="n">
        <v>119.3</v>
      </c>
      <c r="N266" s="13" t="n">
        <v>122.4</v>
      </c>
      <c r="P266" s="13" t="n">
        <v>169.8</v>
      </c>
      <c r="R266" s="13" t="n">
        <v>123.6</v>
      </c>
      <c r="T266" s="13" t="n">
        <v>71.7</v>
      </c>
      <c r="V266" s="13" t="n">
        <v>137.6</v>
      </c>
      <c r="X266" s="13" t="n">
        <v>155.5</v>
      </c>
      <c r="Z266" s="13" t="n">
        <v>64.90000000000001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江西省区利润表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1039225.9</v>
      </c>
      <c r="D6" s="7" t="n">
        <v>790721.4</v>
      </c>
      <c r="E6" s="7" t="n">
        <v>998512</v>
      </c>
      <c r="F6" s="7" t="n">
        <v>273564.7</v>
      </c>
      <c r="G6" s="7" t="n">
        <v>831724.1</v>
      </c>
      <c r="H6" s="7" t="n">
        <v>1437719.7</v>
      </c>
      <c r="I6" s="7" t="n">
        <v>839927.1</v>
      </c>
      <c r="J6" s="7" t="n">
        <v>1223051.2</v>
      </c>
      <c r="K6" s="7" t="n">
        <v>1007426.4</v>
      </c>
      <c r="L6" s="7" t="n">
        <v>1117311.8</v>
      </c>
      <c r="M6" s="7" t="n">
        <v>894330.5</v>
      </c>
      <c r="N6" s="7" t="n">
        <v>1433065.4</v>
      </c>
      <c r="O6" s="7" t="n">
        <v>1020437.5</v>
      </c>
      <c r="P6" s="7" t="n">
        <v>1077711.2</v>
      </c>
      <c r="Q6" s="7" t="n">
        <v>1001168.1</v>
      </c>
      <c r="R6" s="7" t="n">
        <v>1126511.3</v>
      </c>
      <c r="S6" s="7" t="n">
        <v>1072823.6</v>
      </c>
      <c r="T6" s="7" t="n">
        <v>709909.7</v>
      </c>
      <c r="U6" s="7" t="n">
        <v>1063338.6</v>
      </c>
      <c r="V6" s="7" t="n">
        <v>821751.6</v>
      </c>
      <c r="W6" s="7" t="n">
        <v>908449.2</v>
      </c>
      <c r="X6" s="7" t="n">
        <v>370861.8</v>
      </c>
      <c r="Y6" s="7" t="n">
        <v>979989.6</v>
      </c>
      <c r="Z6" s="7" t="n">
        <v>958738</v>
      </c>
      <c r="AA6" s="8" t="n">
        <v>11657352.6</v>
      </c>
      <c r="AB6" s="8" t="n">
        <v>11340917.8</v>
      </c>
    </row>
    <row r="7">
      <c r="A7" s="4" t="inlineStr">
        <is>
          <t>中式汤底</t>
        </is>
      </c>
      <c r="D7" s="7" t="n">
        <v>222835.7</v>
      </c>
      <c r="F7" s="7" t="n">
        <v>0</v>
      </c>
      <c r="H7" s="7" t="n">
        <v>0</v>
      </c>
      <c r="J7" s="7" t="n">
        <v>394880.8</v>
      </c>
      <c r="L7" s="7" t="n">
        <v>482441.3</v>
      </c>
      <c r="N7" s="7" t="n">
        <v>552244.3</v>
      </c>
      <c r="P7" s="7" t="n">
        <v>425445.1</v>
      </c>
      <c r="R7" s="7" t="n">
        <v>327057</v>
      </c>
      <c r="T7" s="7" t="n">
        <v>0</v>
      </c>
      <c r="V7" s="7" t="n">
        <v>0</v>
      </c>
      <c r="X7" s="7" t="n">
        <v>374261.3</v>
      </c>
      <c r="Z7" s="7" t="n">
        <v>297823.8</v>
      </c>
      <c r="AB7" s="7" t="n">
        <v>3076989.3</v>
      </c>
    </row>
    <row r="8">
      <c r="A8" s="4" t="inlineStr">
        <is>
          <t>酱料</t>
        </is>
      </c>
      <c r="D8" s="7" t="n">
        <v>299437</v>
      </c>
      <c r="F8" s="7" t="n">
        <v>0</v>
      </c>
      <c r="H8" s="7" t="n">
        <v>474193.3</v>
      </c>
      <c r="J8" s="7" t="n">
        <v>0</v>
      </c>
      <c r="L8" s="7" t="n">
        <v>0</v>
      </c>
      <c r="N8" s="7" t="n">
        <v>0</v>
      </c>
      <c r="P8" s="7" t="n">
        <v>665590.8</v>
      </c>
      <c r="R8" s="7" t="n">
        <v>0</v>
      </c>
      <c r="T8" s="7" t="n">
        <v>0</v>
      </c>
      <c r="V8" s="7" t="n">
        <v>0</v>
      </c>
      <c r="X8" s="7" t="n">
        <v>0</v>
      </c>
      <c r="Z8" s="7" t="n">
        <v>270436.9</v>
      </c>
      <c r="AB8" s="7" t="n">
        <v>1709658</v>
      </c>
    </row>
    <row r="9">
      <c r="A9" s="4" t="inlineStr">
        <is>
          <t>川味底料</t>
        </is>
      </c>
      <c r="D9" s="7" t="n">
        <v>0</v>
      </c>
      <c r="F9" s="7" t="n">
        <v>0</v>
      </c>
      <c r="H9" s="7" t="n">
        <v>333817.9</v>
      </c>
      <c r="J9" s="7" t="n">
        <v>299047.8</v>
      </c>
      <c r="L9" s="7" t="n">
        <v>0</v>
      </c>
      <c r="N9" s="7" t="n">
        <v>359122.8</v>
      </c>
      <c r="P9" s="7" t="n">
        <v>0</v>
      </c>
      <c r="R9" s="7" t="n">
        <v>331500.4</v>
      </c>
      <c r="T9" s="7" t="n">
        <v>343637.8</v>
      </c>
      <c r="V9" s="7" t="n">
        <v>0</v>
      </c>
      <c r="X9" s="7" t="n">
        <v>0</v>
      </c>
      <c r="Z9" s="7" t="n">
        <v>0</v>
      </c>
      <c r="AB9" s="7" t="n">
        <v>1667126.7</v>
      </c>
    </row>
    <row r="10">
      <c r="A10" s="4" t="inlineStr">
        <is>
          <t>调味汁</t>
        </is>
      </c>
      <c r="D10" s="7" t="n">
        <v>0</v>
      </c>
      <c r="F10" s="7" t="n">
        <v>55036.7</v>
      </c>
      <c r="H10" s="7" t="n">
        <v>0</v>
      </c>
      <c r="J10" s="7" t="n">
        <v>125215.9</v>
      </c>
      <c r="L10" s="7" t="n">
        <v>147287.7</v>
      </c>
      <c r="N10" s="7" t="n">
        <v>99518</v>
      </c>
      <c r="P10" s="7" t="n">
        <v>0</v>
      </c>
      <c r="R10" s="7" t="n">
        <v>153754.2</v>
      </c>
      <c r="T10" s="7" t="n">
        <v>116652.4</v>
      </c>
      <c r="V10" s="7" t="n">
        <v>0</v>
      </c>
      <c r="X10" s="7" t="n">
        <v>0</v>
      </c>
      <c r="Z10" s="7" t="n">
        <v>69894.3</v>
      </c>
      <c r="AB10" s="7" t="n">
        <v>767359.2</v>
      </c>
    </row>
    <row r="11">
      <c r="A11" s="4" t="inlineStr">
        <is>
          <t>复合调味粉</t>
        </is>
      </c>
      <c r="D11" s="7" t="n">
        <v>207328.1</v>
      </c>
      <c r="F11" s="7" t="n">
        <v>151856.1</v>
      </c>
      <c r="H11" s="7" t="n">
        <v>219390.3</v>
      </c>
      <c r="J11" s="7" t="n">
        <v>0</v>
      </c>
      <c r="L11" s="7" t="n">
        <v>0</v>
      </c>
      <c r="N11" s="7" t="n">
        <v>0</v>
      </c>
      <c r="P11" s="7" t="n">
        <v>0</v>
      </c>
      <c r="R11" s="7" t="n">
        <v>318851.1</v>
      </c>
      <c r="T11" s="7" t="n">
        <v>262103.1</v>
      </c>
      <c r="V11" s="7" t="n">
        <v>411943.2</v>
      </c>
      <c r="X11" s="7" t="n">
        <v>0</v>
      </c>
      <c r="Z11" s="7" t="n">
        <v>165064.5</v>
      </c>
      <c r="AB11" s="7" t="n">
        <v>1736536.4</v>
      </c>
    </row>
    <row r="12">
      <c r="A12" s="4" t="inlineStr">
        <is>
          <t>团餐</t>
        </is>
      </c>
      <c r="D12" s="7" t="n">
        <v>0</v>
      </c>
      <c r="F12" s="7" t="n">
        <v>0</v>
      </c>
      <c r="H12" s="7" t="n">
        <v>353041.9</v>
      </c>
      <c r="J12" s="7" t="n">
        <v>329880.9</v>
      </c>
      <c r="L12" s="7" t="n">
        <v>388830.6</v>
      </c>
      <c r="N12" s="7" t="n">
        <v>438887.7</v>
      </c>
      <c r="P12" s="7" t="n">
        <v>0</v>
      </c>
      <c r="R12" s="7" t="n">
        <v>0</v>
      </c>
      <c r="T12" s="7" t="n">
        <v>0</v>
      </c>
      <c r="V12" s="7" t="n">
        <v>299627.3</v>
      </c>
      <c r="X12" s="7" t="n">
        <v>0</v>
      </c>
      <c r="Z12" s="7" t="n">
        <v>174885.2</v>
      </c>
      <c r="AB12" s="7" t="n">
        <v>1985153.6</v>
      </c>
    </row>
    <row r="13">
      <c r="A13" s="4" t="inlineStr">
        <is>
          <t>预制菜</t>
        </is>
      </c>
      <c r="D13" s="7" t="n">
        <v>65338.1</v>
      </c>
      <c r="F13" s="7" t="n">
        <v>66872.8</v>
      </c>
      <c r="H13" s="7" t="n">
        <v>78629.8</v>
      </c>
      <c r="J13" s="7" t="n">
        <v>105013</v>
      </c>
      <c r="L13" s="7" t="n">
        <v>95337.7</v>
      </c>
      <c r="N13" s="7" t="n">
        <v>0</v>
      </c>
      <c r="P13" s="7" t="n">
        <v>0</v>
      </c>
      <c r="R13" s="7" t="n">
        <v>0</v>
      </c>
      <c r="T13" s="7" t="n">
        <v>0</v>
      </c>
      <c r="V13" s="7" t="n">
        <v>121028.8</v>
      </c>
      <c r="X13" s="7" t="n">
        <v>0</v>
      </c>
      <c r="Z13" s="7" t="n">
        <v>0</v>
      </c>
      <c r="AB13" s="7" t="n">
        <v>532220.2</v>
      </c>
    </row>
    <row r="14">
      <c r="A14" s="4" t="inlineStr">
        <is>
          <t>返利</t>
        </is>
      </c>
      <c r="D14" s="7" t="n">
        <v>-15775.2</v>
      </c>
      <c r="F14" s="7" t="n">
        <v>-5552.6</v>
      </c>
      <c r="H14" s="7" t="n">
        <v>-25343.1</v>
      </c>
      <c r="J14" s="7" t="n">
        <v>-36864.4</v>
      </c>
      <c r="L14" s="7" t="n">
        <v>-18025.2</v>
      </c>
      <c r="N14" s="7" t="n">
        <v>-35580.2</v>
      </c>
      <c r="P14" s="7" t="n">
        <v>-23552.6</v>
      </c>
      <c r="R14" s="7" t="n">
        <v>-25375.4</v>
      </c>
      <c r="T14" s="7" t="n">
        <v>-20205.6</v>
      </c>
      <c r="V14" s="7" t="n">
        <v>-12104.4</v>
      </c>
      <c r="X14" s="7" t="n">
        <v>-5880.8</v>
      </c>
      <c r="Z14" s="7" t="n">
        <v>-25032.4</v>
      </c>
      <c r="AB14" s="7" t="n">
        <v>-249291.9</v>
      </c>
    </row>
    <row r="15">
      <c r="A15" s="4" t="inlineStr">
        <is>
          <t>其他</t>
        </is>
      </c>
      <c r="D15" s="7" t="n">
        <v>11557.7</v>
      </c>
      <c r="F15" s="7" t="n">
        <v>5351.7</v>
      </c>
      <c r="H15" s="7" t="n">
        <v>3989.6</v>
      </c>
      <c r="J15" s="7" t="n">
        <v>5877.2</v>
      </c>
      <c r="L15" s="7" t="n">
        <v>21439.7</v>
      </c>
      <c r="N15" s="7" t="n">
        <v>18872.8</v>
      </c>
      <c r="P15" s="7" t="n">
        <v>10227.9</v>
      </c>
      <c r="R15" s="7" t="n">
        <v>20724</v>
      </c>
      <c r="T15" s="7" t="n">
        <v>7722</v>
      </c>
      <c r="V15" s="7" t="n">
        <v>1256.7</v>
      </c>
      <c r="X15" s="7" t="n">
        <v>2481.3</v>
      </c>
      <c r="Z15" s="7" t="n">
        <v>5665.7</v>
      </c>
      <c r="AB15" s="7" t="n">
        <v>115166.3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724543.9</v>
      </c>
      <c r="D16" s="7" t="n">
        <v>528184.8</v>
      </c>
      <c r="E16" s="7" t="n">
        <v>620615.8</v>
      </c>
      <c r="F16" s="7" t="n">
        <v>186453</v>
      </c>
      <c r="G16" s="7" t="n">
        <v>619247.9</v>
      </c>
      <c r="H16" s="7" t="n">
        <v>942282</v>
      </c>
      <c r="I16" s="7" t="n">
        <v>620635.4</v>
      </c>
      <c r="J16" s="7" t="n">
        <v>849786.3</v>
      </c>
      <c r="K16" s="7" t="n">
        <v>550300.7</v>
      </c>
      <c r="L16" s="7" t="n">
        <v>735359.8</v>
      </c>
      <c r="M16" s="7" t="n">
        <v>572828.8</v>
      </c>
      <c r="N16" s="7" t="n">
        <v>959080.4</v>
      </c>
      <c r="O16" s="7" t="n">
        <v>628803.1</v>
      </c>
      <c r="P16" s="7" t="n">
        <v>712277.9</v>
      </c>
      <c r="Q16" s="7" t="n">
        <v>709756.8</v>
      </c>
      <c r="R16" s="7" t="n">
        <v>745087.8</v>
      </c>
      <c r="S16" s="7" t="n">
        <v>618747.5</v>
      </c>
      <c r="T16" s="7" t="n">
        <v>478730</v>
      </c>
      <c r="U16" s="7" t="n">
        <v>562976.3</v>
      </c>
      <c r="V16" s="7" t="n">
        <v>565799.4</v>
      </c>
      <c r="W16" s="7" t="n">
        <v>688333.3</v>
      </c>
      <c r="X16" s="7" t="n">
        <v>262787.4</v>
      </c>
      <c r="Y16" s="7" t="n">
        <v>569655.7</v>
      </c>
      <c r="Z16" s="7" t="n">
        <v>646189.7</v>
      </c>
      <c r="AA16" s="8" t="n">
        <v>7486445.2</v>
      </c>
      <c r="AB16" s="8" t="n">
        <v>7612018.5</v>
      </c>
    </row>
    <row r="17">
      <c r="A17" s="4" t="inlineStr">
        <is>
          <t>中式汤底</t>
        </is>
      </c>
      <c r="D17" s="7" t="n">
        <v>145857</v>
      </c>
      <c r="F17" s="7" t="n">
        <v>0</v>
      </c>
      <c r="H17" s="7" t="n">
        <v>0</v>
      </c>
      <c r="J17" s="7" t="n">
        <v>258469.1</v>
      </c>
      <c r="L17" s="7" t="n">
        <v>315781.8</v>
      </c>
      <c r="N17" s="7" t="n">
        <v>361471.3</v>
      </c>
      <c r="P17" s="7" t="n">
        <v>278474.9</v>
      </c>
      <c r="R17" s="7" t="n">
        <v>214075</v>
      </c>
      <c r="T17" s="7" t="n">
        <v>0</v>
      </c>
      <c r="V17" s="7" t="n">
        <v>0</v>
      </c>
      <c r="X17" s="7" t="n">
        <v>244972.6</v>
      </c>
      <c r="Z17" s="7" t="n">
        <v>194940.5</v>
      </c>
      <c r="AB17" s="7" t="n">
        <v>2014042.2</v>
      </c>
    </row>
    <row r="18">
      <c r="A18" s="4" t="inlineStr">
        <is>
          <t>酱料</t>
        </is>
      </c>
      <c r="D18" s="7" t="n">
        <v>174197.2</v>
      </c>
      <c r="F18" s="7" t="n">
        <v>0</v>
      </c>
      <c r="H18" s="7" t="n">
        <v>275861.6</v>
      </c>
      <c r="J18" s="7" t="n">
        <v>0</v>
      </c>
      <c r="L18" s="7" t="n">
        <v>0</v>
      </c>
      <c r="N18" s="7" t="n">
        <v>0</v>
      </c>
      <c r="P18" s="7" t="n">
        <v>387206.9</v>
      </c>
      <c r="R18" s="7" t="n">
        <v>0</v>
      </c>
      <c r="T18" s="7" t="n">
        <v>0</v>
      </c>
      <c r="V18" s="7" t="n">
        <v>0</v>
      </c>
      <c r="X18" s="7" t="n">
        <v>0</v>
      </c>
      <c r="Z18" s="7" t="n">
        <v>157326.5</v>
      </c>
      <c r="AB18" s="7" t="n">
        <v>994592.2</v>
      </c>
    </row>
    <row r="19">
      <c r="A19" s="4" t="inlineStr">
        <is>
          <t>川味底料</t>
        </is>
      </c>
      <c r="D19" s="7" t="n">
        <v>0</v>
      </c>
      <c r="F19" s="7" t="n">
        <v>0</v>
      </c>
      <c r="H19" s="7" t="n">
        <v>208492.8</v>
      </c>
      <c r="J19" s="7" t="n">
        <v>186776.4</v>
      </c>
      <c r="L19" s="7" t="n">
        <v>0</v>
      </c>
      <c r="N19" s="7" t="n">
        <v>224297.5</v>
      </c>
      <c r="P19" s="7" t="n">
        <v>0</v>
      </c>
      <c r="R19" s="7" t="n">
        <v>207045.3</v>
      </c>
      <c r="T19" s="7" t="n">
        <v>214626</v>
      </c>
      <c r="V19" s="7" t="n">
        <v>0</v>
      </c>
      <c r="X19" s="7" t="n">
        <v>0</v>
      </c>
      <c r="Z19" s="7" t="n">
        <v>0</v>
      </c>
      <c r="AB19" s="7" t="n">
        <v>1041238</v>
      </c>
    </row>
    <row r="20">
      <c r="A20" s="4" t="inlineStr">
        <is>
          <t>调味汁</t>
        </is>
      </c>
      <c r="D20" s="7" t="n">
        <v>0</v>
      </c>
      <c r="F20" s="7" t="n">
        <v>33384.1</v>
      </c>
      <c r="H20" s="7" t="n">
        <v>0</v>
      </c>
      <c r="J20" s="7" t="n">
        <v>75953.3</v>
      </c>
      <c r="L20" s="7" t="n">
        <v>89341.60000000001</v>
      </c>
      <c r="N20" s="7" t="n">
        <v>60365.5</v>
      </c>
      <c r="P20" s="7" t="n">
        <v>0</v>
      </c>
      <c r="R20" s="7" t="n">
        <v>93264</v>
      </c>
      <c r="T20" s="7" t="n">
        <v>70758.89999999999</v>
      </c>
      <c r="V20" s="7" t="n">
        <v>0</v>
      </c>
      <c r="X20" s="7" t="n">
        <v>0</v>
      </c>
      <c r="Z20" s="7" t="n">
        <v>42396.4</v>
      </c>
      <c r="AB20" s="7" t="n">
        <v>465463.8</v>
      </c>
    </row>
    <row r="21">
      <c r="A21" s="4" t="inlineStr">
        <is>
          <t>复合调味粉</t>
        </is>
      </c>
      <c r="D21" s="7" t="n">
        <v>130980.3</v>
      </c>
      <c r="F21" s="7" t="n">
        <v>95935.7</v>
      </c>
      <c r="H21" s="7" t="n">
        <v>138600.7</v>
      </c>
      <c r="J21" s="7" t="n">
        <v>0</v>
      </c>
      <c r="L21" s="7" t="n">
        <v>0</v>
      </c>
      <c r="N21" s="7" t="n">
        <v>0</v>
      </c>
      <c r="P21" s="7" t="n">
        <v>0</v>
      </c>
      <c r="R21" s="7" t="n">
        <v>201435.4</v>
      </c>
      <c r="T21" s="7" t="n">
        <v>165584.7</v>
      </c>
      <c r="V21" s="7" t="n">
        <v>260246.7</v>
      </c>
      <c r="X21" s="7" t="n">
        <v>0</v>
      </c>
      <c r="Z21" s="7" t="n">
        <v>104280.1</v>
      </c>
      <c r="AB21" s="7" t="n">
        <v>1097063.6</v>
      </c>
    </row>
    <row r="22">
      <c r="A22" s="4" t="inlineStr">
        <is>
          <t>团餐</t>
        </is>
      </c>
      <c r="D22" s="7" t="n">
        <v>0</v>
      </c>
      <c r="F22" s="7" t="n">
        <v>0</v>
      </c>
      <c r="H22" s="7" t="n">
        <v>218064.6</v>
      </c>
      <c r="J22" s="7" t="n">
        <v>203758.7</v>
      </c>
      <c r="L22" s="7" t="n">
        <v>240170.3</v>
      </c>
      <c r="N22" s="7" t="n">
        <v>271089.3</v>
      </c>
      <c r="P22" s="7" t="n">
        <v>0</v>
      </c>
      <c r="R22" s="7" t="n">
        <v>0</v>
      </c>
      <c r="T22" s="7" t="n">
        <v>0</v>
      </c>
      <c r="V22" s="7" t="n">
        <v>185071.8</v>
      </c>
      <c r="X22" s="7" t="n">
        <v>0</v>
      </c>
      <c r="Z22" s="7" t="n">
        <v>108021.9</v>
      </c>
      <c r="AB22" s="7" t="n">
        <v>1226176.6</v>
      </c>
    </row>
    <row r="23">
      <c r="A23" s="4" t="inlineStr">
        <is>
          <t>预制菜</t>
        </is>
      </c>
      <c r="D23" s="7" t="n">
        <v>43748.9</v>
      </c>
      <c r="F23" s="7" t="n">
        <v>44776.5</v>
      </c>
      <c r="H23" s="7" t="n">
        <v>52648.7</v>
      </c>
      <c r="J23" s="7" t="n">
        <v>70314.3</v>
      </c>
      <c r="L23" s="7" t="n">
        <v>63835.9</v>
      </c>
      <c r="N23" s="7" t="n">
        <v>0</v>
      </c>
      <c r="P23" s="7" t="n">
        <v>0</v>
      </c>
      <c r="R23" s="7" t="n">
        <v>0</v>
      </c>
      <c r="T23" s="7" t="n">
        <v>0</v>
      </c>
      <c r="V23" s="7" t="n">
        <v>81038.10000000001</v>
      </c>
      <c r="X23" s="7" t="n">
        <v>0</v>
      </c>
      <c r="Z23" s="7" t="n">
        <v>0</v>
      </c>
      <c r="AB23" s="7" t="n">
        <v>356362.4</v>
      </c>
    </row>
    <row r="24">
      <c r="A24" s="4" t="inlineStr">
        <is>
          <t>其他</t>
        </is>
      </c>
      <c r="D24" s="7" t="n">
        <v>856.4</v>
      </c>
      <c r="F24" s="7" t="n">
        <v>2438.4</v>
      </c>
      <c r="H24" s="7" t="n">
        <v>5740.1</v>
      </c>
      <c r="J24" s="7" t="n">
        <v>8707.299999999999</v>
      </c>
      <c r="L24" s="7" t="n">
        <v>5769.2</v>
      </c>
      <c r="N24" s="7" t="n">
        <v>1360.8</v>
      </c>
      <c r="P24" s="7" t="n">
        <v>9603.9</v>
      </c>
      <c r="R24" s="7" t="n">
        <v>857.2</v>
      </c>
      <c r="T24" s="7" t="n">
        <v>1191</v>
      </c>
      <c r="V24" s="7" t="n">
        <v>729</v>
      </c>
      <c r="X24" s="7" t="n">
        <v>557.9</v>
      </c>
      <c r="Z24" s="7" t="n">
        <v>5808.2</v>
      </c>
      <c r="AB24" s="7" t="n">
        <v>43619.4</v>
      </c>
    </row>
    <row r="25">
      <c r="A25" s="4" t="inlineStr">
        <is>
          <t>运费</t>
        </is>
      </c>
      <c r="D25" s="7" t="n">
        <v>33401.4</v>
      </c>
      <c r="F25" s="7" t="n">
        <v>12356.7</v>
      </c>
      <c r="H25" s="7" t="n">
        <v>48613.6</v>
      </c>
      <c r="J25" s="7" t="n">
        <v>54514.5</v>
      </c>
      <c r="L25" s="7" t="n">
        <v>26230.2</v>
      </c>
      <c r="N25" s="7" t="n">
        <v>41856.8</v>
      </c>
      <c r="P25" s="7" t="n">
        <v>46596.1</v>
      </c>
      <c r="R25" s="7" t="n">
        <v>29268.1</v>
      </c>
      <c r="T25" s="7" t="n">
        <v>27760.4</v>
      </c>
      <c r="V25" s="7" t="n">
        <v>39442.8</v>
      </c>
      <c r="X25" s="7" t="n">
        <v>17814.8</v>
      </c>
      <c r="Z25" s="7" t="n">
        <v>39224.3</v>
      </c>
      <c r="AB25" s="7" t="n">
        <v>417079.7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314682</v>
      </c>
      <c r="D26" s="7" t="n">
        <v>262536.6</v>
      </c>
      <c r="E26" s="7" t="n">
        <v>377896.2</v>
      </c>
      <c r="F26" s="7" t="n">
        <v>87111.7</v>
      </c>
      <c r="G26" s="7" t="n">
        <v>212476.2</v>
      </c>
      <c r="H26" s="7" t="n">
        <v>495437.7</v>
      </c>
      <c r="I26" s="7" t="n">
        <v>219291.7</v>
      </c>
      <c r="J26" s="7" t="n">
        <v>373264.9</v>
      </c>
      <c r="K26" s="7" t="n">
        <v>457125.7</v>
      </c>
      <c r="L26" s="7" t="n">
        <v>381952</v>
      </c>
      <c r="M26" s="7" t="n">
        <v>321501.7</v>
      </c>
      <c r="N26" s="7" t="n">
        <v>473985</v>
      </c>
      <c r="O26" s="7" t="n">
        <v>391634.4</v>
      </c>
      <c r="P26" s="7" t="n">
        <v>365433.3</v>
      </c>
      <c r="Q26" s="7" t="n">
        <v>291411.3</v>
      </c>
      <c r="R26" s="7" t="n">
        <v>381423.5</v>
      </c>
      <c r="S26" s="7" t="n">
        <v>454076.1</v>
      </c>
      <c r="T26" s="7" t="n">
        <v>231179.7</v>
      </c>
      <c r="U26" s="7" t="n">
        <v>500362.3</v>
      </c>
      <c r="V26" s="7" t="n">
        <v>255952.2</v>
      </c>
      <c r="W26" s="7" t="n">
        <v>220115.9</v>
      </c>
      <c r="X26" s="7" t="n">
        <v>108074.4</v>
      </c>
      <c r="Y26" s="7" t="n">
        <v>410333.9</v>
      </c>
      <c r="Z26" s="7" t="n">
        <v>312548.3</v>
      </c>
      <c r="AA26" s="8" t="n">
        <v>4170907.4</v>
      </c>
      <c r="AB26" s="8" t="n">
        <v>3728899.3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30.3</v>
      </c>
      <c r="D27" s="13" t="n">
        <v>33.2</v>
      </c>
      <c r="E27" s="13" t="n">
        <v>37.8</v>
      </c>
      <c r="F27" s="13" t="n">
        <v>31.8</v>
      </c>
      <c r="G27" s="13" t="n">
        <v>25.5</v>
      </c>
      <c r="H27" s="13" t="n">
        <v>34.5</v>
      </c>
      <c r="I27" s="13" t="n">
        <v>26.1</v>
      </c>
      <c r="J27" s="13" t="n">
        <v>30.5</v>
      </c>
      <c r="K27" s="13" t="n">
        <v>45.4</v>
      </c>
      <c r="L27" s="13" t="n">
        <v>34.2</v>
      </c>
      <c r="M27" s="13" t="n">
        <v>35.9</v>
      </c>
      <c r="N27" s="13" t="n">
        <v>33.1</v>
      </c>
      <c r="O27" s="13" t="n">
        <v>38.4</v>
      </c>
      <c r="P27" s="13" t="n">
        <v>33.9</v>
      </c>
      <c r="Q27" s="13" t="n">
        <v>29.1</v>
      </c>
      <c r="R27" s="13" t="n">
        <v>33.9</v>
      </c>
      <c r="S27" s="13" t="n">
        <v>42.3</v>
      </c>
      <c r="T27" s="13" t="n">
        <v>32.6</v>
      </c>
      <c r="U27" s="13" t="n">
        <v>47.1</v>
      </c>
      <c r="V27" s="13" t="n">
        <v>31.1</v>
      </c>
      <c r="W27" s="13" t="n">
        <v>24.2</v>
      </c>
      <c r="X27" s="13" t="n">
        <v>29.1</v>
      </c>
      <c r="Y27" s="13" t="n">
        <v>41.9</v>
      </c>
      <c r="Z27" s="13" t="n">
        <v>32.6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7352</v>
      </c>
      <c r="D28" s="7" t="n">
        <v>8279.6</v>
      </c>
      <c r="E28" s="7" t="n">
        <v>7520.2</v>
      </c>
      <c r="F28" s="7" t="n">
        <v>3904.8</v>
      </c>
      <c r="G28" s="7" t="n">
        <v>9242.9</v>
      </c>
      <c r="H28" s="7" t="n">
        <v>7534.2</v>
      </c>
      <c r="I28" s="7" t="n">
        <v>8478.799999999999</v>
      </c>
      <c r="J28" s="7" t="n">
        <v>13810.7</v>
      </c>
      <c r="K28" s="7" t="n">
        <v>7890.8</v>
      </c>
      <c r="L28" s="7" t="n">
        <v>10925.3</v>
      </c>
      <c r="M28" s="7" t="n">
        <v>8468.200000000001</v>
      </c>
      <c r="N28" s="7" t="n">
        <v>13292.8</v>
      </c>
      <c r="O28" s="7" t="n">
        <v>8218.799999999999</v>
      </c>
      <c r="P28" s="7" t="n">
        <v>9002.1</v>
      </c>
      <c r="Q28" s="7" t="n">
        <v>9478</v>
      </c>
      <c r="R28" s="7" t="n">
        <v>7158.8</v>
      </c>
      <c r="S28" s="7" t="n">
        <v>7382.9</v>
      </c>
      <c r="T28" s="7" t="n">
        <v>4958.2</v>
      </c>
      <c r="U28" s="7" t="n">
        <v>7894.8</v>
      </c>
      <c r="V28" s="7" t="n">
        <v>8104.9</v>
      </c>
      <c r="W28" s="7" t="n">
        <v>7556.1</v>
      </c>
      <c r="X28" s="7" t="n">
        <v>3853.8</v>
      </c>
      <c r="Y28" s="7" t="n">
        <v>7959.3</v>
      </c>
      <c r="Z28" s="7" t="n">
        <v>10409.7</v>
      </c>
      <c r="AA28" s="8" t="n">
        <v>97442.8</v>
      </c>
      <c r="AB28" s="8" t="n">
        <v>101234.9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155483.7</v>
      </c>
      <c r="D29" s="7" t="n">
        <v>81630.89999999999</v>
      </c>
      <c r="E29" s="7" t="n">
        <v>158167.1</v>
      </c>
      <c r="F29" s="7" t="n">
        <v>28543.1</v>
      </c>
      <c r="G29" s="7" t="n">
        <v>162510</v>
      </c>
      <c r="H29" s="7" t="n">
        <v>304751.5</v>
      </c>
      <c r="I29" s="7" t="n">
        <v>178573.5</v>
      </c>
      <c r="J29" s="7" t="n">
        <v>205513.4</v>
      </c>
      <c r="K29" s="7" t="n">
        <v>170570.5</v>
      </c>
      <c r="L29" s="7" t="n">
        <v>168153</v>
      </c>
      <c r="M29" s="7" t="n">
        <v>164326.3</v>
      </c>
      <c r="N29" s="7" t="n">
        <v>338561.1</v>
      </c>
      <c r="O29" s="7" t="n">
        <v>176216.1</v>
      </c>
      <c r="P29" s="7" t="n">
        <v>199882.7</v>
      </c>
      <c r="Q29" s="7" t="n">
        <v>151373.8</v>
      </c>
      <c r="R29" s="7" t="n">
        <v>203539.3</v>
      </c>
      <c r="S29" s="7" t="n">
        <v>169371</v>
      </c>
      <c r="T29" s="7" t="n">
        <v>167666.2</v>
      </c>
      <c r="U29" s="7" t="n">
        <v>194208.1</v>
      </c>
      <c r="V29" s="7" t="n">
        <v>100480</v>
      </c>
      <c r="W29" s="7" t="n">
        <v>181381</v>
      </c>
      <c r="X29" s="7" t="n">
        <v>50620.2</v>
      </c>
      <c r="Y29" s="7" t="n">
        <v>150170.6</v>
      </c>
      <c r="Z29" s="7" t="n">
        <v>196151.8</v>
      </c>
      <c r="AA29" s="8" t="n">
        <v>2012351.7</v>
      </c>
      <c r="AB29" s="8" t="n">
        <v>2045493.2</v>
      </c>
    </row>
    <row r="30">
      <c r="A30" s="4" t="inlineStr">
        <is>
          <t>职工薪酬</t>
        </is>
      </c>
      <c r="D30" s="7" t="n">
        <v>49227.3</v>
      </c>
      <c r="F30" s="7" t="n">
        <v>16888.5</v>
      </c>
      <c r="H30" s="7" t="n">
        <v>170601.4</v>
      </c>
      <c r="J30" s="7" t="n">
        <v>90565.10000000001</v>
      </c>
      <c r="L30" s="7" t="n">
        <v>88577.3</v>
      </c>
      <c r="N30" s="7" t="n">
        <v>165653</v>
      </c>
      <c r="P30" s="7" t="n">
        <v>103863.5</v>
      </c>
      <c r="R30" s="7" t="n">
        <v>123593.7</v>
      </c>
      <c r="T30" s="7" t="n">
        <v>101474</v>
      </c>
      <c r="V30" s="7" t="n">
        <v>59395.7</v>
      </c>
      <c r="X30" s="7" t="n">
        <v>24671</v>
      </c>
      <c r="Z30" s="7" t="n">
        <v>112221.5</v>
      </c>
      <c r="AB30" s="7" t="n">
        <v>1106732</v>
      </c>
    </row>
    <row r="31">
      <c r="A31" s="4" t="inlineStr">
        <is>
          <t>工资</t>
        </is>
      </c>
      <c r="D31" s="7" t="n">
        <v>29937.6</v>
      </c>
      <c r="F31" s="7" t="n">
        <v>10178.9</v>
      </c>
      <c r="H31" s="7" t="n">
        <v>108092</v>
      </c>
      <c r="J31" s="7" t="n">
        <v>49212.3</v>
      </c>
      <c r="L31" s="7" t="n">
        <v>48265.7</v>
      </c>
      <c r="N31" s="7" t="n">
        <v>88943.60000000001</v>
      </c>
      <c r="P31" s="7" t="n">
        <v>57485.2</v>
      </c>
      <c r="R31" s="7" t="n">
        <v>74463.60000000001</v>
      </c>
      <c r="T31" s="7" t="n">
        <v>61672.4</v>
      </c>
      <c r="V31" s="7" t="n">
        <v>36863.2</v>
      </c>
      <c r="X31" s="7" t="n">
        <v>13990.6</v>
      </c>
      <c r="Z31" s="7" t="n">
        <v>69631.3</v>
      </c>
      <c r="AB31" s="7" t="n">
        <v>648736.4</v>
      </c>
    </row>
    <row r="32">
      <c r="A32" s="4" t="inlineStr">
        <is>
          <t>奖金及提成</t>
        </is>
      </c>
      <c r="D32" s="7" t="n">
        <v>8103.6</v>
      </c>
      <c r="F32" s="7" t="n">
        <v>3699.3</v>
      </c>
      <c r="H32" s="7" t="n">
        <v>27109.3</v>
      </c>
      <c r="J32" s="7" t="n">
        <v>18645.3</v>
      </c>
      <c r="L32" s="7" t="n">
        <v>21478.9</v>
      </c>
      <c r="N32" s="7" t="n">
        <v>42176.3</v>
      </c>
      <c r="P32" s="7" t="n">
        <v>19856.5</v>
      </c>
      <c r="R32" s="7" t="n">
        <v>24438</v>
      </c>
      <c r="T32" s="7" t="n">
        <v>18503.4</v>
      </c>
      <c r="V32" s="7" t="n">
        <v>8926.700000000001</v>
      </c>
      <c r="X32" s="7" t="n">
        <v>5825.5</v>
      </c>
      <c r="Z32" s="7" t="n">
        <v>20952.1</v>
      </c>
      <c r="AB32" s="7" t="n">
        <v>219714.9</v>
      </c>
    </row>
    <row r="33">
      <c r="A33" s="4" t="inlineStr">
        <is>
          <t>社保</t>
        </is>
      </c>
      <c r="D33" s="7" t="n">
        <v>8401.200000000001</v>
      </c>
      <c r="F33" s="7" t="n">
        <v>1954.9</v>
      </c>
      <c r="H33" s="7" t="n">
        <v>23521.3</v>
      </c>
      <c r="J33" s="7" t="n">
        <v>14404.1</v>
      </c>
      <c r="L33" s="7" t="n">
        <v>12853.8</v>
      </c>
      <c r="N33" s="7" t="n">
        <v>21635.7</v>
      </c>
      <c r="P33" s="7" t="n">
        <v>19004.6</v>
      </c>
      <c r="R33" s="7" t="n">
        <v>17042.8</v>
      </c>
      <c r="T33" s="7" t="n">
        <v>15088.5</v>
      </c>
      <c r="V33" s="7" t="n">
        <v>9632.200000000001</v>
      </c>
      <c r="X33" s="7" t="n">
        <v>2887.4</v>
      </c>
      <c r="Z33" s="7" t="n">
        <v>14814.6</v>
      </c>
      <c r="AB33" s="7" t="n">
        <v>161241.1</v>
      </c>
    </row>
    <row r="34">
      <c r="A34" s="4" t="inlineStr">
        <is>
          <t>养老</t>
        </is>
      </c>
      <c r="D34" s="7" t="n">
        <v>52</v>
      </c>
      <c r="F34" s="7" t="n">
        <v>24.5</v>
      </c>
      <c r="H34" s="7" t="n">
        <v>214.6</v>
      </c>
      <c r="J34" s="7" t="n">
        <v>193.6</v>
      </c>
      <c r="L34" s="7" t="n">
        <v>136.5</v>
      </c>
      <c r="N34" s="7" t="n">
        <v>312.8</v>
      </c>
      <c r="P34" s="7" t="n">
        <v>162.9</v>
      </c>
      <c r="R34" s="7" t="n">
        <v>141.2</v>
      </c>
      <c r="T34" s="7" t="n">
        <v>180.8</v>
      </c>
      <c r="V34" s="7" t="n">
        <v>66.7</v>
      </c>
      <c r="X34" s="7" t="n">
        <v>43.7</v>
      </c>
      <c r="Z34" s="7" t="n">
        <v>137.8</v>
      </c>
      <c r="AB34" s="7" t="n">
        <v>1667.1</v>
      </c>
    </row>
    <row r="35">
      <c r="A35" s="4" t="inlineStr">
        <is>
          <t>医疗</t>
        </is>
      </c>
      <c r="D35" s="7" t="n">
        <v>227.6</v>
      </c>
      <c r="F35" s="7" t="n">
        <v>83.3</v>
      </c>
      <c r="H35" s="7" t="n">
        <v>946.1</v>
      </c>
      <c r="J35" s="7" t="n">
        <v>505.7</v>
      </c>
      <c r="L35" s="7" t="n">
        <v>439.8</v>
      </c>
      <c r="N35" s="7" t="n">
        <v>708.1</v>
      </c>
      <c r="P35" s="7" t="n">
        <v>565.5</v>
      </c>
      <c r="R35" s="7" t="n">
        <v>696.5</v>
      </c>
      <c r="T35" s="7" t="n">
        <v>420.2</v>
      </c>
      <c r="V35" s="7" t="n">
        <v>361.5</v>
      </c>
      <c r="X35" s="7" t="n">
        <v>181.1</v>
      </c>
      <c r="Z35" s="7" t="n">
        <v>427.9</v>
      </c>
      <c r="AB35" s="7" t="n">
        <v>5563.3</v>
      </c>
    </row>
    <row r="36">
      <c r="A36" s="4" t="inlineStr">
        <is>
          <t>工伤</t>
        </is>
      </c>
      <c r="D36" s="7" t="n">
        <v>271.3</v>
      </c>
      <c r="F36" s="7" t="n">
        <v>131.5</v>
      </c>
      <c r="H36" s="7" t="n">
        <v>1258.3</v>
      </c>
      <c r="J36" s="7" t="n">
        <v>962.2</v>
      </c>
      <c r="L36" s="7" t="n">
        <v>515.1</v>
      </c>
      <c r="N36" s="7" t="n">
        <v>1498.1</v>
      </c>
      <c r="P36" s="7" t="n">
        <v>660.5</v>
      </c>
      <c r="R36" s="7" t="n">
        <v>765.1</v>
      </c>
      <c r="T36" s="7" t="n">
        <v>651.8</v>
      </c>
      <c r="V36" s="7" t="n">
        <v>460.4</v>
      </c>
      <c r="X36" s="7" t="n">
        <v>240.9</v>
      </c>
      <c r="Z36" s="7" t="n">
        <v>828.8</v>
      </c>
      <c r="AB36" s="7" t="n">
        <v>8244</v>
      </c>
    </row>
    <row r="37">
      <c r="A37" s="4" t="inlineStr">
        <is>
          <t>失业</t>
        </is>
      </c>
      <c r="D37" s="7" t="n">
        <v>275</v>
      </c>
      <c r="F37" s="7" t="n">
        <v>170.3</v>
      </c>
      <c r="H37" s="7" t="n">
        <v>1872.2</v>
      </c>
      <c r="J37" s="7" t="n">
        <v>1115.3</v>
      </c>
      <c r="L37" s="7" t="n">
        <v>787.3</v>
      </c>
      <c r="N37" s="7" t="n">
        <v>1987.2</v>
      </c>
      <c r="P37" s="7" t="n">
        <v>884.1</v>
      </c>
      <c r="R37" s="7" t="n">
        <v>1187</v>
      </c>
      <c r="T37" s="7" t="n">
        <v>702</v>
      </c>
      <c r="V37" s="7" t="n">
        <v>525.8</v>
      </c>
      <c r="X37" s="7" t="n">
        <v>236.3</v>
      </c>
      <c r="Z37" s="7" t="n">
        <v>771.9</v>
      </c>
      <c r="AB37" s="7" t="n">
        <v>10514.4</v>
      </c>
    </row>
    <row r="38">
      <c r="A38" s="4" t="inlineStr">
        <is>
          <t>生育</t>
        </is>
      </c>
      <c r="D38" s="7" t="n">
        <v>354</v>
      </c>
      <c r="F38" s="7" t="n">
        <v>92</v>
      </c>
      <c r="H38" s="7" t="n">
        <v>1261.6</v>
      </c>
      <c r="J38" s="7" t="n">
        <v>970.5</v>
      </c>
      <c r="L38" s="7" t="n">
        <v>908.5</v>
      </c>
      <c r="N38" s="7" t="n">
        <v>1862.2</v>
      </c>
      <c r="P38" s="7" t="n">
        <v>669.7</v>
      </c>
      <c r="R38" s="7" t="n">
        <v>733.5</v>
      </c>
      <c r="T38" s="7" t="n">
        <v>690.6</v>
      </c>
      <c r="V38" s="7" t="n">
        <v>487.5</v>
      </c>
      <c r="X38" s="7" t="n">
        <v>171.2</v>
      </c>
      <c r="Z38" s="7" t="n">
        <v>613.1</v>
      </c>
      <c r="AB38" s="7" t="n">
        <v>8814.4</v>
      </c>
    </row>
    <row r="39">
      <c r="A39" s="4" t="inlineStr">
        <is>
          <t>公积金</t>
        </is>
      </c>
      <c r="D39" s="7" t="n">
        <v>340.7</v>
      </c>
      <c r="F39" s="7" t="n">
        <v>94.5</v>
      </c>
      <c r="H39" s="7" t="n">
        <v>1282</v>
      </c>
      <c r="J39" s="7" t="n">
        <v>716.3</v>
      </c>
      <c r="L39" s="7" t="n">
        <v>588.2</v>
      </c>
      <c r="N39" s="7" t="n">
        <v>1433.4</v>
      </c>
      <c r="P39" s="7" t="n">
        <v>525.8</v>
      </c>
      <c r="R39" s="7" t="n">
        <v>619.7</v>
      </c>
      <c r="T39" s="7" t="n">
        <v>672.5</v>
      </c>
      <c r="V39" s="7" t="n">
        <v>412.2</v>
      </c>
      <c r="X39" s="7" t="n">
        <v>227.7</v>
      </c>
      <c r="Z39" s="7" t="n">
        <v>854.1</v>
      </c>
      <c r="AB39" s="7" t="n">
        <v>7767.1</v>
      </c>
    </row>
    <row r="40">
      <c r="A40" s="4" t="inlineStr">
        <is>
          <t>工会经费</t>
        </is>
      </c>
      <c r="D40" s="7" t="n">
        <v>413.4</v>
      </c>
      <c r="F40" s="7" t="n">
        <v>106.3</v>
      </c>
      <c r="H40" s="7" t="n">
        <v>1195.6</v>
      </c>
      <c r="J40" s="7" t="n">
        <v>852.6</v>
      </c>
      <c r="L40" s="7" t="n">
        <v>1048</v>
      </c>
      <c r="N40" s="7" t="n">
        <v>1418.8</v>
      </c>
      <c r="P40" s="7" t="n">
        <v>1263.5</v>
      </c>
      <c r="R40" s="7" t="n">
        <v>1299.1</v>
      </c>
      <c r="T40" s="7" t="n">
        <v>1097</v>
      </c>
      <c r="V40" s="7" t="n">
        <v>602.7</v>
      </c>
      <c r="X40" s="7" t="n">
        <v>271.1</v>
      </c>
      <c r="Z40" s="7" t="n">
        <v>1041.4</v>
      </c>
      <c r="AB40" s="7" t="n">
        <v>10609.5</v>
      </c>
    </row>
    <row r="41">
      <c r="A41" s="4" t="inlineStr">
        <is>
          <t>职工教育经费</t>
        </is>
      </c>
      <c r="D41" s="7" t="n">
        <v>134</v>
      </c>
      <c r="F41" s="7" t="n">
        <v>42.8</v>
      </c>
      <c r="H41" s="7" t="n">
        <v>686</v>
      </c>
      <c r="J41" s="7" t="n">
        <v>371.1</v>
      </c>
      <c r="L41" s="7" t="n">
        <v>243.5</v>
      </c>
      <c r="N41" s="7" t="n">
        <v>686.3</v>
      </c>
      <c r="P41" s="7" t="n">
        <v>335.5</v>
      </c>
      <c r="R41" s="7" t="n">
        <v>347.8</v>
      </c>
      <c r="T41" s="7" t="n">
        <v>308.6</v>
      </c>
      <c r="V41" s="7" t="n">
        <v>126.2</v>
      </c>
      <c r="X41" s="7" t="n">
        <v>104.6</v>
      </c>
      <c r="Z41" s="7" t="n">
        <v>276.1</v>
      </c>
      <c r="AB41" s="7" t="n">
        <v>3662.5</v>
      </c>
    </row>
    <row r="42">
      <c r="A42" s="4" t="inlineStr">
        <is>
          <t>福利费</t>
        </is>
      </c>
      <c r="D42" s="7" t="n">
        <v>1896.8</v>
      </c>
      <c r="F42" s="7" t="n">
        <v>811.8</v>
      </c>
      <c r="H42" s="7" t="n">
        <v>8715.200000000001</v>
      </c>
      <c r="J42" s="7" t="n">
        <v>6363.4</v>
      </c>
      <c r="L42" s="7" t="n">
        <v>4099.2</v>
      </c>
      <c r="N42" s="7" t="n">
        <v>9358.9</v>
      </c>
      <c r="P42" s="7" t="n">
        <v>5392.4</v>
      </c>
      <c r="R42" s="7" t="n">
        <v>5382.7</v>
      </c>
      <c r="T42" s="7" t="n">
        <v>4131.6</v>
      </c>
      <c r="V42" s="7" t="n">
        <v>2832.5</v>
      </c>
      <c r="X42" s="7" t="n">
        <v>1364.1</v>
      </c>
      <c r="Z42" s="7" t="n">
        <v>4651.9</v>
      </c>
      <c r="AB42" s="7" t="n">
        <v>55000.5</v>
      </c>
    </row>
    <row r="43">
      <c r="A43" s="4" t="inlineStr">
        <is>
          <t>职工房租</t>
        </is>
      </c>
      <c r="D43" s="7" t="n">
        <v>497.3</v>
      </c>
      <c r="F43" s="7" t="n">
        <v>117.2</v>
      </c>
      <c r="H43" s="7" t="n">
        <v>2262.2</v>
      </c>
      <c r="J43" s="7" t="n">
        <v>1477.2</v>
      </c>
      <c r="L43" s="7" t="n">
        <v>839.1</v>
      </c>
      <c r="N43" s="7" t="n">
        <v>2197.7</v>
      </c>
      <c r="P43" s="7" t="n">
        <v>840.2</v>
      </c>
      <c r="R43" s="7" t="n">
        <v>1427.9</v>
      </c>
      <c r="T43" s="7" t="n">
        <v>758.9</v>
      </c>
      <c r="V43" s="7" t="n">
        <v>619.8</v>
      </c>
      <c r="X43" s="7" t="n">
        <v>337</v>
      </c>
      <c r="Z43" s="7" t="n">
        <v>852.7</v>
      </c>
      <c r="AB43" s="7" t="n">
        <v>12227.2</v>
      </c>
    </row>
    <row r="44">
      <c r="A44" s="4" t="inlineStr">
        <is>
          <t>水电物业费</t>
        </is>
      </c>
      <c r="D44" s="7" t="n">
        <v>250.3</v>
      </c>
      <c r="F44" s="7" t="n">
        <v>77</v>
      </c>
      <c r="H44" s="7" t="n">
        <v>1230.4</v>
      </c>
      <c r="J44" s="7" t="n">
        <v>937.8</v>
      </c>
      <c r="L44" s="7" t="n">
        <v>435.6</v>
      </c>
      <c r="N44" s="7" t="n">
        <v>957.7</v>
      </c>
      <c r="P44" s="7" t="n">
        <v>664.5</v>
      </c>
      <c r="R44" s="7" t="n">
        <v>703.7</v>
      </c>
      <c r="T44" s="7" t="n">
        <v>610.8</v>
      </c>
      <c r="V44" s="7" t="n">
        <v>435.6</v>
      </c>
      <c r="X44" s="7" t="n">
        <v>190.6</v>
      </c>
      <c r="Z44" s="7" t="n">
        <v>808.4</v>
      </c>
      <c r="AB44" s="7" t="n">
        <v>7302.4</v>
      </c>
    </row>
    <row r="45">
      <c r="A45" s="4" t="inlineStr">
        <is>
          <t>员工餐</t>
        </is>
      </c>
      <c r="D45" s="7" t="n">
        <v>279.1</v>
      </c>
      <c r="F45" s="7" t="n">
        <v>162.7</v>
      </c>
      <c r="H45" s="7" t="n">
        <v>1175.2</v>
      </c>
      <c r="J45" s="7" t="n">
        <v>968.5</v>
      </c>
      <c r="L45" s="7" t="n">
        <v>785.7</v>
      </c>
      <c r="N45" s="7" t="n">
        <v>1704</v>
      </c>
      <c r="P45" s="7" t="n">
        <v>1055.8</v>
      </c>
      <c r="R45" s="7" t="n">
        <v>682.2</v>
      </c>
      <c r="T45" s="7" t="n">
        <v>664.6</v>
      </c>
      <c r="V45" s="7" t="n">
        <v>345.9</v>
      </c>
      <c r="X45" s="7" t="n">
        <v>204.4</v>
      </c>
      <c r="Z45" s="7" t="n">
        <v>786.6</v>
      </c>
      <c r="AB45" s="7" t="n">
        <v>8814.700000000001</v>
      </c>
    </row>
    <row r="46">
      <c r="A46" s="4" t="inlineStr">
        <is>
          <t>节日礼品</t>
        </is>
      </c>
      <c r="D46" s="7" t="n">
        <v>32.3</v>
      </c>
      <c r="F46" s="7" t="n">
        <v>14.8</v>
      </c>
      <c r="H46" s="7" t="n">
        <v>115.4</v>
      </c>
      <c r="J46" s="7" t="n">
        <v>95.7</v>
      </c>
      <c r="L46" s="7" t="n">
        <v>84.5</v>
      </c>
      <c r="N46" s="7" t="n">
        <v>115.5</v>
      </c>
      <c r="P46" s="7" t="n">
        <v>90.5</v>
      </c>
      <c r="R46" s="7" t="n">
        <v>64.90000000000001</v>
      </c>
      <c r="T46" s="7" t="n">
        <v>70.90000000000001</v>
      </c>
      <c r="V46" s="7" t="n">
        <v>34.9</v>
      </c>
      <c r="X46" s="7" t="n">
        <v>18.8</v>
      </c>
      <c r="Z46" s="7" t="n">
        <v>73.3</v>
      </c>
      <c r="AB46" s="7" t="n">
        <v>811.5</v>
      </c>
    </row>
    <row r="47">
      <c r="A47" s="4" t="inlineStr">
        <is>
          <t>生日礼品</t>
        </is>
      </c>
      <c r="D47" s="7" t="n">
        <v>221.5</v>
      </c>
      <c r="F47" s="7" t="n">
        <v>101.7</v>
      </c>
      <c r="H47" s="7" t="n">
        <v>714.7</v>
      </c>
      <c r="J47" s="7" t="n">
        <v>854.1</v>
      </c>
      <c r="L47" s="7" t="n">
        <v>563.1</v>
      </c>
      <c r="N47" s="7" t="n">
        <v>999.9</v>
      </c>
      <c r="P47" s="7" t="n">
        <v>576</v>
      </c>
      <c r="R47" s="7" t="n">
        <v>517</v>
      </c>
      <c r="T47" s="7" t="n">
        <v>669.7</v>
      </c>
      <c r="V47" s="7" t="n">
        <v>323.4</v>
      </c>
      <c r="X47" s="7" t="n">
        <v>143.9</v>
      </c>
      <c r="Z47" s="7" t="n">
        <v>490.9</v>
      </c>
      <c r="AB47" s="7" t="n">
        <v>6175.9</v>
      </c>
    </row>
    <row r="48">
      <c r="A48" s="4" t="inlineStr">
        <is>
          <t>体检</t>
        </is>
      </c>
      <c r="D48" s="7" t="n">
        <v>358.5</v>
      </c>
      <c r="F48" s="7" t="n">
        <v>214</v>
      </c>
      <c r="H48" s="7" t="n">
        <v>2175.5</v>
      </c>
      <c r="J48" s="7" t="n">
        <v>1367.2</v>
      </c>
      <c r="L48" s="7" t="n">
        <v>963.9</v>
      </c>
      <c r="N48" s="7" t="n">
        <v>2189.6</v>
      </c>
      <c r="P48" s="7" t="n">
        <v>1356.6</v>
      </c>
      <c r="R48" s="7" t="n">
        <v>1345.7</v>
      </c>
      <c r="T48" s="7" t="n">
        <v>838.4</v>
      </c>
      <c r="V48" s="7" t="n">
        <v>684.8</v>
      </c>
      <c r="X48" s="7" t="n">
        <v>295.9</v>
      </c>
      <c r="Z48" s="7" t="n">
        <v>911.1</v>
      </c>
      <c r="AB48" s="7" t="n">
        <v>12701.2</v>
      </c>
    </row>
    <row r="49">
      <c r="A49" s="4" t="inlineStr">
        <is>
          <t>其他福利支出</t>
        </is>
      </c>
      <c r="D49" s="7" t="n">
        <v>257.8</v>
      </c>
      <c r="F49" s="7" t="n">
        <v>124.4</v>
      </c>
      <c r="H49" s="7" t="n">
        <v>1041.8</v>
      </c>
      <c r="J49" s="7" t="n">
        <v>662.9</v>
      </c>
      <c r="L49" s="7" t="n">
        <v>427.3</v>
      </c>
      <c r="N49" s="7" t="n">
        <v>1194.5</v>
      </c>
      <c r="P49" s="7" t="n">
        <v>808.8</v>
      </c>
      <c r="R49" s="7" t="n">
        <v>641.3</v>
      </c>
      <c r="T49" s="7" t="n">
        <v>518.3</v>
      </c>
      <c r="V49" s="7" t="n">
        <v>388.1</v>
      </c>
      <c r="X49" s="7" t="n">
        <v>173.5</v>
      </c>
      <c r="Z49" s="7" t="n">
        <v>728.9</v>
      </c>
      <c r="AB49" s="7" t="n">
        <v>6967.6</v>
      </c>
    </row>
    <row r="50">
      <c r="A50" s="4" t="inlineStr">
        <is>
          <t>招聘费</t>
        </is>
      </c>
      <c r="D50" s="7" t="n">
        <v>63.3</v>
      </c>
      <c r="F50" s="7" t="n">
        <v>36.6</v>
      </c>
      <c r="H50" s="7" t="n">
        <v>361.5</v>
      </c>
      <c r="J50" s="7" t="n">
        <v>262.5</v>
      </c>
      <c r="L50" s="7" t="n">
        <v>158.6</v>
      </c>
      <c r="N50" s="7" t="n">
        <v>456.8</v>
      </c>
      <c r="P50" s="7" t="n">
        <v>172.7</v>
      </c>
      <c r="R50" s="7" t="n">
        <v>173.6</v>
      </c>
      <c r="T50" s="7" t="n">
        <v>160.6</v>
      </c>
      <c r="V50" s="7" t="n">
        <v>107.8</v>
      </c>
      <c r="X50" s="7" t="n">
        <v>55.9</v>
      </c>
      <c r="Z50" s="7" t="n">
        <v>196</v>
      </c>
      <c r="AB50" s="7" t="n">
        <v>2205.9</v>
      </c>
    </row>
    <row r="51">
      <c r="A51" s="4" t="inlineStr">
        <is>
          <t>办公费</t>
        </is>
      </c>
      <c r="D51" s="7" t="n">
        <v>2360.4</v>
      </c>
      <c r="F51" s="7" t="n">
        <v>676.4</v>
      </c>
      <c r="H51" s="7" t="n">
        <v>8427.299999999999</v>
      </c>
      <c r="J51" s="7" t="n">
        <v>5665.1</v>
      </c>
      <c r="L51" s="7" t="n">
        <v>4255.9</v>
      </c>
      <c r="N51" s="7" t="n">
        <v>8617.9</v>
      </c>
      <c r="P51" s="7" t="n">
        <v>6558.2</v>
      </c>
      <c r="R51" s="7" t="n">
        <v>7097.1</v>
      </c>
      <c r="T51" s="7" t="n">
        <v>5057.7</v>
      </c>
      <c r="V51" s="7" t="n">
        <v>2620.6</v>
      </c>
      <c r="X51" s="7" t="n">
        <v>1416.5</v>
      </c>
      <c r="Z51" s="7" t="n">
        <v>6447.6</v>
      </c>
      <c r="AB51" s="7" t="n">
        <v>59200.7</v>
      </c>
    </row>
    <row r="52">
      <c r="A52" s="4" t="inlineStr">
        <is>
          <t>市内交通费</t>
        </is>
      </c>
      <c r="D52" s="7" t="n">
        <v>62.7</v>
      </c>
      <c r="F52" s="7" t="n">
        <v>19.8</v>
      </c>
      <c r="H52" s="7" t="n">
        <v>169.7</v>
      </c>
      <c r="J52" s="7" t="n">
        <v>92.2</v>
      </c>
      <c r="L52" s="7" t="n">
        <v>115.2</v>
      </c>
      <c r="N52" s="7" t="n">
        <v>214.2</v>
      </c>
      <c r="P52" s="7" t="n">
        <v>106.3</v>
      </c>
      <c r="R52" s="7" t="n">
        <v>120.2</v>
      </c>
      <c r="T52" s="7" t="n">
        <v>106.6</v>
      </c>
      <c r="V52" s="7" t="n">
        <v>66</v>
      </c>
      <c r="X52" s="7" t="n">
        <v>25.8</v>
      </c>
      <c r="Z52" s="7" t="n">
        <v>144.1</v>
      </c>
      <c r="AB52" s="7" t="n">
        <v>1242.8</v>
      </c>
    </row>
    <row r="53">
      <c r="A53" s="4" t="inlineStr">
        <is>
          <t>差旅费</t>
        </is>
      </c>
      <c r="D53" s="7" t="n">
        <v>5710</v>
      </c>
      <c r="F53" s="7" t="n">
        <v>1205.4</v>
      </c>
      <c r="H53" s="7" t="n">
        <v>21452.4</v>
      </c>
      <c r="J53" s="7" t="n">
        <v>11154.2</v>
      </c>
      <c r="L53" s="7" t="n">
        <v>8016.4</v>
      </c>
      <c r="N53" s="7" t="n">
        <v>24283.8</v>
      </c>
      <c r="P53" s="7" t="n">
        <v>9681.5</v>
      </c>
      <c r="R53" s="7" t="n">
        <v>14073.2</v>
      </c>
      <c r="T53" s="7" t="n">
        <v>9637.4</v>
      </c>
      <c r="V53" s="7" t="n">
        <v>6246.5</v>
      </c>
      <c r="X53" s="7" t="n">
        <v>3305.7</v>
      </c>
      <c r="Z53" s="7" t="n">
        <v>10039.4</v>
      </c>
      <c r="AB53" s="7" t="n">
        <v>124805.9</v>
      </c>
    </row>
    <row r="54">
      <c r="A54" s="4" t="inlineStr">
        <is>
          <t>交通费</t>
        </is>
      </c>
      <c r="D54" s="7" t="n">
        <v>34.4</v>
      </c>
      <c r="F54" s="7" t="n">
        <v>14.9</v>
      </c>
      <c r="H54" s="7" t="n">
        <v>102.5</v>
      </c>
      <c r="J54" s="7" t="n">
        <v>83.7</v>
      </c>
      <c r="L54" s="7" t="n">
        <v>94</v>
      </c>
      <c r="N54" s="7" t="n">
        <v>142.6</v>
      </c>
      <c r="P54" s="7" t="n">
        <v>80.3</v>
      </c>
      <c r="R54" s="7" t="n">
        <v>71</v>
      </c>
      <c r="T54" s="7" t="n">
        <v>64.5</v>
      </c>
      <c r="V54" s="7" t="n">
        <v>54.2</v>
      </c>
      <c r="X54" s="7" t="n">
        <v>22.7</v>
      </c>
      <c r="Z54" s="7" t="n">
        <v>72.90000000000001</v>
      </c>
      <c r="AB54" s="7" t="n">
        <v>837.7</v>
      </c>
    </row>
    <row r="55">
      <c r="A55" s="4" t="inlineStr">
        <is>
          <t>住宿费</t>
        </is>
      </c>
      <c r="D55" s="7" t="n">
        <v>500.3</v>
      </c>
      <c r="F55" s="7" t="n">
        <v>177.9</v>
      </c>
      <c r="H55" s="7" t="n">
        <v>1798.2</v>
      </c>
      <c r="J55" s="7" t="n">
        <v>1519.1</v>
      </c>
      <c r="L55" s="7" t="n">
        <v>1216.5</v>
      </c>
      <c r="N55" s="7" t="n">
        <v>2201.3</v>
      </c>
      <c r="P55" s="7" t="n">
        <v>1390.8</v>
      </c>
      <c r="R55" s="7" t="n">
        <v>1019.1</v>
      </c>
      <c r="T55" s="7" t="n">
        <v>1226.7</v>
      </c>
      <c r="V55" s="7" t="n">
        <v>727.7</v>
      </c>
      <c r="X55" s="7" t="n">
        <v>385.9</v>
      </c>
      <c r="Z55" s="7" t="n">
        <v>1384.5</v>
      </c>
      <c r="AB55" s="7" t="n">
        <v>13548</v>
      </c>
    </row>
    <row r="56">
      <c r="A56" s="4" t="inlineStr">
        <is>
          <t>餐补</t>
        </is>
      </c>
      <c r="D56" s="7" t="n">
        <v>314.4</v>
      </c>
      <c r="F56" s="7" t="n">
        <v>111.5</v>
      </c>
      <c r="H56" s="7" t="n">
        <v>721.5</v>
      </c>
      <c r="J56" s="7" t="n">
        <v>775.9</v>
      </c>
      <c r="L56" s="7" t="n">
        <v>517.7</v>
      </c>
      <c r="N56" s="7" t="n">
        <v>816.7</v>
      </c>
      <c r="P56" s="7" t="n">
        <v>477.8</v>
      </c>
      <c r="R56" s="7" t="n">
        <v>713.5</v>
      </c>
      <c r="T56" s="7" t="n">
        <v>563</v>
      </c>
      <c r="V56" s="7" t="n">
        <v>387.3</v>
      </c>
      <c r="X56" s="7" t="n">
        <v>127.5</v>
      </c>
      <c r="Z56" s="7" t="n">
        <v>704.9</v>
      </c>
      <c r="AB56" s="7" t="n">
        <v>6231.7</v>
      </c>
    </row>
    <row r="57">
      <c r="A57" s="4" t="inlineStr">
        <is>
          <t>交通补助</t>
        </is>
      </c>
      <c r="D57" s="7" t="n">
        <v>31.8</v>
      </c>
      <c r="F57" s="7" t="n">
        <v>8.6</v>
      </c>
      <c r="H57" s="7" t="n">
        <v>91.40000000000001</v>
      </c>
      <c r="J57" s="7" t="n">
        <v>99.09999999999999</v>
      </c>
      <c r="L57" s="7" t="n">
        <v>76.59999999999999</v>
      </c>
      <c r="N57" s="7" t="n">
        <v>118.4</v>
      </c>
      <c r="P57" s="7" t="n">
        <v>65.8</v>
      </c>
      <c r="R57" s="7" t="n">
        <v>90.7</v>
      </c>
      <c r="T57" s="7" t="n">
        <v>67.09999999999999</v>
      </c>
      <c r="V57" s="7" t="n">
        <v>49.9</v>
      </c>
      <c r="X57" s="7" t="n">
        <v>26.1</v>
      </c>
      <c r="Z57" s="7" t="n">
        <v>71.90000000000001</v>
      </c>
      <c r="AB57" s="7" t="n">
        <v>797.4</v>
      </c>
    </row>
    <row r="58">
      <c r="A58" s="4" t="inlineStr">
        <is>
          <t>通讯补助</t>
        </is>
      </c>
      <c r="D58" s="7" t="n">
        <v>426.3</v>
      </c>
      <c r="F58" s="7" t="n">
        <v>137.5</v>
      </c>
      <c r="H58" s="7" t="n">
        <v>1274.4</v>
      </c>
      <c r="J58" s="7" t="n">
        <v>871.4</v>
      </c>
      <c r="L58" s="7" t="n">
        <v>838.4</v>
      </c>
      <c r="N58" s="7" t="n">
        <v>1755.5</v>
      </c>
      <c r="P58" s="7" t="n">
        <v>1010.2</v>
      </c>
      <c r="R58" s="7" t="n">
        <v>1091.8</v>
      </c>
      <c r="T58" s="7" t="n">
        <v>913</v>
      </c>
      <c r="V58" s="7" t="n">
        <v>480.3</v>
      </c>
      <c r="X58" s="7" t="n">
        <v>229.5</v>
      </c>
      <c r="Z58" s="7" t="n">
        <v>834.3</v>
      </c>
      <c r="AB58" s="7" t="n">
        <v>9862.6</v>
      </c>
    </row>
    <row r="59">
      <c r="A59" s="4" t="inlineStr">
        <is>
          <t>招待费</t>
        </is>
      </c>
      <c r="D59" s="7" t="n">
        <v>3022.7</v>
      </c>
      <c r="F59" s="7" t="n">
        <v>1285.4</v>
      </c>
      <c r="H59" s="7" t="n">
        <v>11711</v>
      </c>
      <c r="J59" s="7" t="n">
        <v>9561.5</v>
      </c>
      <c r="L59" s="7" t="n">
        <v>6333.2</v>
      </c>
      <c r="N59" s="7" t="n">
        <v>13178.9</v>
      </c>
      <c r="P59" s="7" t="n">
        <v>7016.7</v>
      </c>
      <c r="R59" s="7" t="n">
        <v>8665.5</v>
      </c>
      <c r="T59" s="7" t="n">
        <v>7605.7</v>
      </c>
      <c r="V59" s="7" t="n">
        <v>3724.1</v>
      </c>
      <c r="X59" s="7" t="n">
        <v>2455.7</v>
      </c>
      <c r="Z59" s="7" t="n">
        <v>6409.2</v>
      </c>
      <c r="AB59" s="7" t="n">
        <v>80969.60000000001</v>
      </c>
    </row>
    <row r="60">
      <c r="A60" s="4" t="inlineStr">
        <is>
          <t>通讯费</t>
        </is>
      </c>
      <c r="D60" s="7" t="n">
        <v>295.9</v>
      </c>
      <c r="F60" s="7" t="n">
        <v>155.9</v>
      </c>
      <c r="H60" s="7" t="n">
        <v>1432.1</v>
      </c>
      <c r="J60" s="7" t="n">
        <v>836.6</v>
      </c>
      <c r="L60" s="7" t="n">
        <v>1026</v>
      </c>
      <c r="N60" s="7" t="n">
        <v>1502.7</v>
      </c>
      <c r="P60" s="7" t="n">
        <v>799.5</v>
      </c>
      <c r="R60" s="7" t="n">
        <v>1148.5</v>
      </c>
      <c r="T60" s="7" t="n">
        <v>950.1</v>
      </c>
      <c r="V60" s="7" t="n">
        <v>471.5</v>
      </c>
      <c r="X60" s="7" t="n">
        <v>302.1</v>
      </c>
      <c r="Z60" s="7" t="n">
        <v>1076.6</v>
      </c>
      <c r="AB60" s="7" t="n">
        <v>9997.5</v>
      </c>
    </row>
    <row r="61">
      <c r="A61" s="4" t="inlineStr">
        <is>
          <t>网络费</t>
        </is>
      </c>
      <c r="D61" s="7" t="n">
        <v>414.7</v>
      </c>
      <c r="F61" s="7" t="n">
        <v>215.5</v>
      </c>
      <c r="H61" s="7" t="n">
        <v>2004</v>
      </c>
      <c r="J61" s="7" t="n">
        <v>1491.3</v>
      </c>
      <c r="L61" s="7" t="n">
        <v>893.2</v>
      </c>
      <c r="N61" s="7" t="n">
        <v>2282.8</v>
      </c>
      <c r="P61" s="7" t="n">
        <v>888.2</v>
      </c>
      <c r="R61" s="7" t="n">
        <v>910.6</v>
      </c>
      <c r="T61" s="7" t="n">
        <v>1174.4</v>
      </c>
      <c r="V61" s="7" t="n">
        <v>622.4</v>
      </c>
      <c r="X61" s="7" t="n">
        <v>268.8</v>
      </c>
      <c r="Z61" s="7" t="n">
        <v>898.8</v>
      </c>
      <c r="AB61" s="7" t="n">
        <v>12064.7</v>
      </c>
    </row>
    <row r="62">
      <c r="A62" s="4" t="inlineStr">
        <is>
          <t>修理费</t>
        </is>
      </c>
      <c r="D62" s="7" t="n">
        <v>60.8</v>
      </c>
      <c r="F62" s="7" t="n">
        <v>23.1</v>
      </c>
      <c r="H62" s="7" t="n">
        <v>175.1</v>
      </c>
      <c r="J62" s="7" t="n">
        <v>191.3</v>
      </c>
      <c r="L62" s="7" t="n">
        <v>112.8</v>
      </c>
      <c r="N62" s="7" t="n">
        <v>290.4</v>
      </c>
      <c r="P62" s="7" t="n">
        <v>113.2</v>
      </c>
      <c r="R62" s="7" t="n">
        <v>112.8</v>
      </c>
      <c r="T62" s="7" t="n">
        <v>141.1</v>
      </c>
      <c r="V62" s="7" t="n">
        <v>93.59999999999999</v>
      </c>
      <c r="X62" s="7" t="n">
        <v>36</v>
      </c>
      <c r="Z62" s="7" t="n">
        <v>105.4</v>
      </c>
      <c r="AB62" s="7" t="n">
        <v>1455.6</v>
      </c>
    </row>
    <row r="63">
      <c r="A63" s="4" t="inlineStr">
        <is>
          <t>车辆费</t>
        </is>
      </c>
      <c r="D63" s="7" t="n">
        <v>16.5</v>
      </c>
      <c r="F63" s="7" t="n">
        <v>6.3</v>
      </c>
      <c r="H63" s="7" t="n">
        <v>73.90000000000001</v>
      </c>
      <c r="J63" s="7" t="n">
        <v>48.5</v>
      </c>
      <c r="L63" s="7" t="n">
        <v>43.5</v>
      </c>
      <c r="N63" s="7" t="n">
        <v>90.40000000000001</v>
      </c>
      <c r="P63" s="7" t="n">
        <v>45.4</v>
      </c>
      <c r="R63" s="7" t="n">
        <v>53.2</v>
      </c>
      <c r="T63" s="7" t="n">
        <v>45</v>
      </c>
      <c r="V63" s="7" t="n">
        <v>17.7</v>
      </c>
      <c r="X63" s="7" t="n">
        <v>9.699999999999999</v>
      </c>
      <c r="Z63" s="7" t="n">
        <v>42.2</v>
      </c>
      <c r="AB63" s="7" t="n">
        <v>492.3</v>
      </c>
    </row>
    <row r="64">
      <c r="A64" s="4" t="inlineStr">
        <is>
          <t>租赁费</t>
        </is>
      </c>
      <c r="D64" s="7" t="n">
        <v>4605</v>
      </c>
      <c r="F64" s="7" t="n">
        <v>1305.7</v>
      </c>
      <c r="H64" s="7" t="n">
        <v>18843.7</v>
      </c>
      <c r="J64" s="7" t="n">
        <v>10893</v>
      </c>
      <c r="L64" s="7" t="n">
        <v>6429.1</v>
      </c>
      <c r="N64" s="7" t="n">
        <v>17643.7</v>
      </c>
      <c r="P64" s="7" t="n">
        <v>9826.200000000001</v>
      </c>
      <c r="R64" s="7" t="n">
        <v>7681.3</v>
      </c>
      <c r="T64" s="7" t="n">
        <v>7136.6</v>
      </c>
      <c r="V64" s="7" t="n">
        <v>4247.7</v>
      </c>
      <c r="X64" s="7" t="n">
        <v>3132.8</v>
      </c>
      <c r="Z64" s="7" t="n">
        <v>9839.1</v>
      </c>
      <c r="AB64" s="7" t="n">
        <v>101583.9</v>
      </c>
    </row>
    <row r="65">
      <c r="A65" s="4" t="inlineStr">
        <is>
          <t>能源费</t>
        </is>
      </c>
      <c r="D65" s="7" t="n">
        <v>917.3</v>
      </c>
      <c r="F65" s="7" t="n">
        <v>354.8</v>
      </c>
      <c r="H65" s="7" t="n">
        <v>2748</v>
      </c>
      <c r="J65" s="7" t="n">
        <v>2122</v>
      </c>
      <c r="L65" s="7" t="n">
        <v>1739.9</v>
      </c>
      <c r="N65" s="7" t="n">
        <v>3699</v>
      </c>
      <c r="P65" s="7" t="n">
        <v>2391.9</v>
      </c>
      <c r="R65" s="7" t="n">
        <v>2410.6</v>
      </c>
      <c r="T65" s="7" t="n">
        <v>1833.2</v>
      </c>
      <c r="V65" s="7" t="n">
        <v>1130</v>
      </c>
      <c r="X65" s="7" t="n">
        <v>512.6</v>
      </c>
      <c r="Z65" s="7" t="n">
        <v>2254.2</v>
      </c>
      <c r="AB65" s="7" t="n">
        <v>22113.5</v>
      </c>
    </row>
    <row r="66">
      <c r="A66" s="4" t="inlineStr">
        <is>
          <t>水费</t>
        </is>
      </c>
      <c r="D66" s="7" t="n">
        <v>178.5</v>
      </c>
      <c r="F66" s="7" t="n">
        <v>80.09999999999999</v>
      </c>
      <c r="H66" s="7" t="n">
        <v>749.6</v>
      </c>
      <c r="J66" s="7" t="n">
        <v>583.7</v>
      </c>
      <c r="L66" s="7" t="n">
        <v>400.6</v>
      </c>
      <c r="N66" s="7" t="n">
        <v>1159</v>
      </c>
      <c r="P66" s="7" t="n">
        <v>688.5</v>
      </c>
      <c r="R66" s="7" t="n">
        <v>730.5</v>
      </c>
      <c r="T66" s="7" t="n">
        <v>464.8</v>
      </c>
      <c r="V66" s="7" t="n">
        <v>216.7</v>
      </c>
      <c r="X66" s="7" t="n">
        <v>98.59999999999999</v>
      </c>
      <c r="Z66" s="7" t="n">
        <v>646</v>
      </c>
      <c r="AB66" s="7" t="n">
        <v>5996.6</v>
      </c>
    </row>
    <row r="67">
      <c r="A67" s="4" t="inlineStr">
        <is>
          <t>电费</t>
        </is>
      </c>
      <c r="D67" s="7" t="n">
        <v>420.9</v>
      </c>
      <c r="F67" s="7" t="n">
        <v>141.2</v>
      </c>
      <c r="H67" s="7" t="n">
        <v>981.3</v>
      </c>
      <c r="J67" s="7" t="n">
        <v>868.1</v>
      </c>
      <c r="L67" s="7" t="n">
        <v>554.6</v>
      </c>
      <c r="N67" s="7" t="n">
        <v>1350.3</v>
      </c>
      <c r="P67" s="7" t="n">
        <v>1036.8</v>
      </c>
      <c r="R67" s="7" t="n">
        <v>1079.9</v>
      </c>
      <c r="T67" s="7" t="n">
        <v>675.7</v>
      </c>
      <c r="V67" s="7" t="n">
        <v>478.4</v>
      </c>
      <c r="X67" s="7" t="n">
        <v>236.9</v>
      </c>
      <c r="Z67" s="7" t="n">
        <v>800.3</v>
      </c>
      <c r="AB67" s="7" t="n">
        <v>8624.4</v>
      </c>
    </row>
    <row r="68">
      <c r="A68" s="4" t="inlineStr">
        <is>
          <t>燃气费</t>
        </is>
      </c>
      <c r="D68" s="7" t="n">
        <v>87.7</v>
      </c>
      <c r="F68" s="7" t="n">
        <v>47.9</v>
      </c>
      <c r="H68" s="7" t="n">
        <v>391.8</v>
      </c>
      <c r="J68" s="7" t="n">
        <v>306.5</v>
      </c>
      <c r="L68" s="7" t="n">
        <v>261.5</v>
      </c>
      <c r="N68" s="7" t="n">
        <v>568.1</v>
      </c>
      <c r="P68" s="7" t="n">
        <v>305.4</v>
      </c>
      <c r="R68" s="7" t="n">
        <v>227.9</v>
      </c>
      <c r="T68" s="7" t="n">
        <v>192.7</v>
      </c>
      <c r="V68" s="7" t="n">
        <v>170.2</v>
      </c>
      <c r="X68" s="7" t="n">
        <v>83.5</v>
      </c>
      <c r="Z68" s="7" t="n">
        <v>334</v>
      </c>
      <c r="AB68" s="7" t="n">
        <v>2977.2</v>
      </c>
    </row>
    <row r="69">
      <c r="A69" s="4" t="inlineStr">
        <is>
          <t>蒸汽费</t>
        </is>
      </c>
      <c r="D69" s="7" t="n">
        <v>230.2</v>
      </c>
      <c r="F69" s="7" t="n">
        <v>85.59999999999999</v>
      </c>
      <c r="H69" s="7" t="n">
        <v>625.3</v>
      </c>
      <c r="J69" s="7" t="n">
        <v>363.7</v>
      </c>
      <c r="L69" s="7" t="n">
        <v>523.2</v>
      </c>
      <c r="N69" s="7" t="n">
        <v>621.6</v>
      </c>
      <c r="P69" s="7" t="n">
        <v>361.2</v>
      </c>
      <c r="R69" s="7" t="n">
        <v>372.3</v>
      </c>
      <c r="T69" s="7" t="n">
        <v>500</v>
      </c>
      <c r="V69" s="7" t="n">
        <v>264.7</v>
      </c>
      <c r="X69" s="7" t="n">
        <v>93.59999999999999</v>
      </c>
      <c r="Z69" s="7" t="n">
        <v>473.9</v>
      </c>
      <c r="AB69" s="7" t="n">
        <v>4515.3</v>
      </c>
    </row>
    <row r="70">
      <c r="A70" s="4" t="inlineStr">
        <is>
          <t>物业费</t>
        </is>
      </c>
      <c r="D70" s="7" t="n">
        <v>42.8</v>
      </c>
      <c r="F70" s="7" t="n">
        <v>27</v>
      </c>
      <c r="H70" s="7" t="n">
        <v>276</v>
      </c>
      <c r="J70" s="7" t="n">
        <v>156.5</v>
      </c>
      <c r="L70" s="7" t="n">
        <v>91.3</v>
      </c>
      <c r="N70" s="7" t="n">
        <v>257.1</v>
      </c>
      <c r="P70" s="7" t="n">
        <v>192.6</v>
      </c>
      <c r="R70" s="7" t="n">
        <v>127.5</v>
      </c>
      <c r="T70" s="7" t="n">
        <v>140.3</v>
      </c>
      <c r="V70" s="7" t="n">
        <v>65.09999999999999</v>
      </c>
      <c r="X70" s="7" t="n">
        <v>34.1</v>
      </c>
      <c r="Z70" s="7" t="n">
        <v>180.1</v>
      </c>
      <c r="AB70" s="7" t="n">
        <v>1590.4</v>
      </c>
    </row>
    <row r="71">
      <c r="A71" s="4" t="inlineStr">
        <is>
          <t>劳动保护费</t>
        </is>
      </c>
      <c r="D71" s="7" t="n">
        <v>259.5</v>
      </c>
      <c r="F71" s="7" t="n">
        <v>124.7</v>
      </c>
      <c r="H71" s="7" t="n">
        <v>1286.8</v>
      </c>
      <c r="J71" s="7" t="n">
        <v>677.8</v>
      </c>
      <c r="L71" s="7" t="n">
        <v>829.9</v>
      </c>
      <c r="N71" s="7" t="n">
        <v>1497.2</v>
      </c>
      <c r="P71" s="7" t="n">
        <v>849.5</v>
      </c>
      <c r="R71" s="7" t="n">
        <v>761.2</v>
      </c>
      <c r="T71" s="7" t="n">
        <v>496.9</v>
      </c>
      <c r="V71" s="7" t="n">
        <v>459.6</v>
      </c>
      <c r="X71" s="7" t="n">
        <v>186.5</v>
      </c>
      <c r="Z71" s="7" t="n">
        <v>787.6</v>
      </c>
      <c r="AB71" s="7" t="n">
        <v>8217.200000000001</v>
      </c>
    </row>
    <row r="72">
      <c r="A72" s="4" t="inlineStr">
        <is>
          <t>顾问费</t>
        </is>
      </c>
      <c r="D72" s="7" t="n">
        <v>346.5</v>
      </c>
      <c r="F72" s="7" t="n">
        <v>142.7</v>
      </c>
      <c r="H72" s="7" t="n">
        <v>1007.2</v>
      </c>
      <c r="J72" s="7" t="n">
        <v>677.5</v>
      </c>
      <c r="L72" s="7" t="n">
        <v>766.1</v>
      </c>
      <c r="N72" s="7" t="n">
        <v>1443.9</v>
      </c>
      <c r="P72" s="7" t="n">
        <v>766</v>
      </c>
      <c r="R72" s="7" t="n">
        <v>1107</v>
      </c>
      <c r="T72" s="7" t="n">
        <v>817.3</v>
      </c>
      <c r="V72" s="7" t="n">
        <v>373.4</v>
      </c>
      <c r="X72" s="7" t="n">
        <v>208.1</v>
      </c>
      <c r="Z72" s="7" t="n">
        <v>924.6</v>
      </c>
      <c r="AB72" s="7" t="n">
        <v>8580.299999999999</v>
      </c>
    </row>
    <row r="73">
      <c r="A73" s="4" t="inlineStr">
        <is>
          <t>快递费</t>
        </is>
      </c>
      <c r="D73" s="7" t="n">
        <v>133.8</v>
      </c>
      <c r="F73" s="7" t="n">
        <v>33.7</v>
      </c>
      <c r="H73" s="7" t="n">
        <v>465.6</v>
      </c>
      <c r="J73" s="7" t="n">
        <v>390.7</v>
      </c>
      <c r="L73" s="7" t="n">
        <v>210.4</v>
      </c>
      <c r="N73" s="7" t="n">
        <v>681.4</v>
      </c>
      <c r="P73" s="7" t="n">
        <v>436.5</v>
      </c>
      <c r="R73" s="7" t="n">
        <v>247</v>
      </c>
      <c r="T73" s="7" t="n">
        <v>256.4</v>
      </c>
      <c r="V73" s="7" t="n">
        <v>173.9</v>
      </c>
      <c r="X73" s="7" t="n">
        <v>70.40000000000001</v>
      </c>
      <c r="Z73" s="7" t="n">
        <v>385.2</v>
      </c>
      <c r="AB73" s="7" t="n">
        <v>3485</v>
      </c>
    </row>
    <row r="74">
      <c r="A74" s="4" t="inlineStr">
        <is>
          <t>诉讼费</t>
        </is>
      </c>
      <c r="D74" s="7" t="n">
        <v>159.3</v>
      </c>
      <c r="F74" s="7" t="n">
        <v>43.9</v>
      </c>
      <c r="H74" s="7" t="n">
        <v>614.6</v>
      </c>
      <c r="J74" s="7" t="n">
        <v>350.2</v>
      </c>
      <c r="L74" s="7" t="n">
        <v>288.8</v>
      </c>
      <c r="N74" s="7" t="n">
        <v>474.5</v>
      </c>
      <c r="P74" s="7" t="n">
        <v>251.2</v>
      </c>
      <c r="R74" s="7" t="n">
        <v>337.6</v>
      </c>
      <c r="T74" s="7" t="n">
        <v>347.4</v>
      </c>
      <c r="V74" s="7" t="n">
        <v>185</v>
      </c>
      <c r="X74" s="7" t="n">
        <v>63.6</v>
      </c>
      <c r="Z74" s="7" t="n">
        <v>299.8</v>
      </c>
      <c r="AB74" s="7" t="n">
        <v>3415.9</v>
      </c>
    </row>
    <row r="75">
      <c r="A75" s="4" t="inlineStr">
        <is>
          <t>会员费</t>
        </is>
      </c>
      <c r="D75" s="7" t="n">
        <v>161.9</v>
      </c>
      <c r="F75" s="7" t="n">
        <v>49.7</v>
      </c>
      <c r="H75" s="7" t="n">
        <v>425</v>
      </c>
      <c r="J75" s="7" t="n">
        <v>225</v>
      </c>
      <c r="L75" s="7" t="n">
        <v>291.9</v>
      </c>
      <c r="N75" s="7" t="n">
        <v>487.5</v>
      </c>
      <c r="P75" s="7" t="n">
        <v>302.5</v>
      </c>
      <c r="R75" s="7" t="n">
        <v>306.8</v>
      </c>
      <c r="T75" s="7" t="n">
        <v>312.3</v>
      </c>
      <c r="V75" s="7" t="n">
        <v>154.2</v>
      </c>
      <c r="X75" s="7" t="n">
        <v>76.3</v>
      </c>
      <c r="Z75" s="7" t="n">
        <v>365.8</v>
      </c>
      <c r="AB75" s="7" t="n">
        <v>3158.9</v>
      </c>
    </row>
    <row r="76">
      <c r="A76" s="4" t="inlineStr">
        <is>
          <t>广告宣传费</t>
        </is>
      </c>
      <c r="D76" s="7" t="n">
        <v>1898.3</v>
      </c>
      <c r="F76" s="7" t="n">
        <v>872.1</v>
      </c>
      <c r="H76" s="7" t="n">
        <v>10845.8</v>
      </c>
      <c r="J76" s="7" t="n">
        <v>5117.6</v>
      </c>
      <c r="L76" s="7" t="n">
        <v>6336.5</v>
      </c>
      <c r="N76" s="7" t="n">
        <v>9745.1</v>
      </c>
      <c r="P76" s="7" t="n">
        <v>6089.9</v>
      </c>
      <c r="R76" s="7" t="n">
        <v>6710</v>
      </c>
      <c r="T76" s="7" t="n">
        <v>4600</v>
      </c>
      <c r="V76" s="7" t="n">
        <v>2268.8</v>
      </c>
      <c r="X76" s="7" t="n">
        <v>1659.6</v>
      </c>
      <c r="Z76" s="7" t="n">
        <v>7223</v>
      </c>
      <c r="AB76" s="7" t="n">
        <v>63366.7</v>
      </c>
    </row>
    <row r="77">
      <c r="A77" s="4" t="inlineStr">
        <is>
          <t>会务费</t>
        </is>
      </c>
      <c r="D77" s="7" t="n">
        <v>333.7</v>
      </c>
      <c r="F77" s="7" t="n">
        <v>183.7</v>
      </c>
      <c r="H77" s="7" t="n">
        <v>1255.6</v>
      </c>
      <c r="J77" s="7" t="n">
        <v>838.5</v>
      </c>
      <c r="L77" s="7" t="n">
        <v>823.9</v>
      </c>
      <c r="N77" s="7" t="n">
        <v>1669</v>
      </c>
      <c r="P77" s="7" t="n">
        <v>1034.4</v>
      </c>
      <c r="R77" s="7" t="n">
        <v>1163.9</v>
      </c>
      <c r="T77" s="7" t="n">
        <v>607.9</v>
      </c>
      <c r="V77" s="7" t="n">
        <v>577.1</v>
      </c>
      <c r="X77" s="7" t="n">
        <v>212.1</v>
      </c>
      <c r="Z77" s="7" t="n">
        <v>1092.9</v>
      </c>
      <c r="AB77" s="7" t="n">
        <v>9792.700000000001</v>
      </c>
    </row>
    <row r="78">
      <c r="A78" s="4" t="inlineStr">
        <is>
          <t>装修费</t>
        </is>
      </c>
      <c r="D78" s="7" t="n">
        <v>43</v>
      </c>
      <c r="F78" s="7" t="n">
        <v>19.1</v>
      </c>
      <c r="H78" s="7" t="n">
        <v>137.1</v>
      </c>
      <c r="J78" s="7" t="n">
        <v>118.9</v>
      </c>
      <c r="L78" s="7" t="n">
        <v>102.4</v>
      </c>
      <c r="N78" s="7" t="n">
        <v>210.2</v>
      </c>
      <c r="P78" s="7" t="n">
        <v>126.6</v>
      </c>
      <c r="R78" s="7" t="n">
        <v>146.3</v>
      </c>
      <c r="T78" s="7" t="n">
        <v>65.90000000000001</v>
      </c>
      <c r="V78" s="7" t="n">
        <v>49.4</v>
      </c>
      <c r="X78" s="7" t="n">
        <v>29.8</v>
      </c>
      <c r="Z78" s="7" t="n">
        <v>130.5</v>
      </c>
      <c r="AB78" s="7" t="n">
        <v>1179.2</v>
      </c>
    </row>
    <row r="79">
      <c r="A79" s="4" t="inlineStr">
        <is>
          <t>推广费</t>
        </is>
      </c>
      <c r="D79" s="7" t="n">
        <v>231.2</v>
      </c>
      <c r="F79" s="7" t="n">
        <v>94.59999999999999</v>
      </c>
      <c r="H79" s="7" t="n">
        <v>1213.3</v>
      </c>
      <c r="J79" s="7" t="n">
        <v>753.2</v>
      </c>
      <c r="L79" s="7" t="n">
        <v>493.5</v>
      </c>
      <c r="N79" s="7" t="n">
        <v>1122.1</v>
      </c>
      <c r="P79" s="7" t="n">
        <v>787.3</v>
      </c>
      <c r="R79" s="7" t="n">
        <v>753.1</v>
      </c>
      <c r="T79" s="7" t="n">
        <v>545.9</v>
      </c>
      <c r="V79" s="7" t="n">
        <v>383.6</v>
      </c>
      <c r="X79" s="7" t="n">
        <v>152.6</v>
      </c>
      <c r="Z79" s="7" t="n">
        <v>752.4</v>
      </c>
      <c r="AB79" s="7" t="n">
        <v>7282.8</v>
      </c>
    </row>
    <row r="80">
      <c r="A80" s="4" t="inlineStr">
        <is>
          <t>展会费</t>
        </is>
      </c>
      <c r="D80" s="7" t="n">
        <v>523.6</v>
      </c>
      <c r="F80" s="7" t="n">
        <v>159.9</v>
      </c>
      <c r="H80" s="7" t="n">
        <v>2405.8</v>
      </c>
      <c r="J80" s="7" t="n">
        <v>1617.9</v>
      </c>
      <c r="L80" s="7" t="n">
        <v>1338.2</v>
      </c>
      <c r="N80" s="7" t="n">
        <v>1863.1</v>
      </c>
      <c r="P80" s="7" t="n">
        <v>1463.9</v>
      </c>
      <c r="R80" s="7" t="n">
        <v>980.6</v>
      </c>
      <c r="T80" s="7" t="n">
        <v>1338.1</v>
      </c>
      <c r="V80" s="7" t="n">
        <v>589.6</v>
      </c>
      <c r="X80" s="7" t="n">
        <v>315.2</v>
      </c>
      <c r="Z80" s="7" t="n">
        <v>1295.5</v>
      </c>
      <c r="AB80" s="7" t="n">
        <v>13891.4</v>
      </c>
    </row>
    <row r="81">
      <c r="A81" s="4" t="inlineStr">
        <is>
          <t>设计费</t>
        </is>
      </c>
      <c r="D81" s="7" t="n">
        <v>389.2</v>
      </c>
      <c r="F81" s="7" t="n">
        <v>83.8</v>
      </c>
      <c r="H81" s="7" t="n">
        <v>1455.8</v>
      </c>
      <c r="J81" s="7" t="n">
        <v>938.2</v>
      </c>
      <c r="L81" s="7" t="n">
        <v>769.3</v>
      </c>
      <c r="N81" s="7" t="n">
        <v>1155.6</v>
      </c>
      <c r="P81" s="7" t="n">
        <v>566.2</v>
      </c>
      <c r="R81" s="7" t="n">
        <v>778</v>
      </c>
      <c r="T81" s="7" t="n">
        <v>470.2</v>
      </c>
      <c r="V81" s="7" t="n">
        <v>289.5</v>
      </c>
      <c r="X81" s="7" t="n">
        <v>244.1</v>
      </c>
      <c r="Z81" s="7" t="n">
        <v>746.6</v>
      </c>
      <c r="AB81" s="7" t="n">
        <v>7886.5</v>
      </c>
    </row>
    <row r="82">
      <c r="A82" s="4" t="inlineStr">
        <is>
          <t>折旧费</t>
        </is>
      </c>
      <c r="D82" s="7" t="n">
        <v>2362.8</v>
      </c>
      <c r="F82" s="7" t="n">
        <v>1397.3</v>
      </c>
      <c r="H82" s="7" t="n">
        <v>11173.9</v>
      </c>
      <c r="J82" s="7" t="n">
        <v>5969.4</v>
      </c>
      <c r="L82" s="7" t="n">
        <v>7607.5</v>
      </c>
      <c r="N82" s="7" t="n">
        <v>10971.8</v>
      </c>
      <c r="P82" s="7" t="n">
        <v>6890.9</v>
      </c>
      <c r="R82" s="7" t="n">
        <v>9138.1</v>
      </c>
      <c r="T82" s="7" t="n">
        <v>5422.8</v>
      </c>
      <c r="V82" s="7" t="n">
        <v>5099.3</v>
      </c>
      <c r="X82" s="7" t="n">
        <v>2099.1</v>
      </c>
      <c r="Z82" s="7" t="n">
        <v>9677.299999999999</v>
      </c>
      <c r="AB82" s="7" t="n">
        <v>77810.2</v>
      </c>
    </row>
    <row r="83">
      <c r="A83" s="4" t="inlineStr">
        <is>
          <t>认证费</t>
        </is>
      </c>
      <c r="D83" s="7" t="n">
        <v>183</v>
      </c>
      <c r="F83" s="7" t="n">
        <v>47.8</v>
      </c>
      <c r="H83" s="7" t="n">
        <v>586.6</v>
      </c>
      <c r="J83" s="7" t="n">
        <v>334.5</v>
      </c>
      <c r="L83" s="7" t="n">
        <v>302.5</v>
      </c>
      <c r="N83" s="7" t="n">
        <v>634.6</v>
      </c>
      <c r="P83" s="7" t="n">
        <v>354.7</v>
      </c>
      <c r="R83" s="7" t="n">
        <v>531.3</v>
      </c>
      <c r="T83" s="7" t="n">
        <v>303.6</v>
      </c>
      <c r="V83" s="7" t="n">
        <v>248.8</v>
      </c>
      <c r="X83" s="7" t="n">
        <v>85.7</v>
      </c>
      <c r="Z83" s="7" t="n">
        <v>451.6</v>
      </c>
      <c r="AB83" s="7" t="n">
        <v>4064.7</v>
      </c>
    </row>
    <row r="84">
      <c r="A84" s="4" t="inlineStr">
        <is>
          <t>样品费</t>
        </is>
      </c>
      <c r="D84" s="7" t="n">
        <v>1961.4</v>
      </c>
      <c r="F84" s="7" t="n">
        <v>412</v>
      </c>
      <c r="H84" s="7" t="n">
        <v>5273.1</v>
      </c>
      <c r="J84" s="7" t="n">
        <v>4286.9</v>
      </c>
      <c r="L84" s="7" t="n">
        <v>4309.5</v>
      </c>
      <c r="N84" s="7" t="n">
        <v>6371</v>
      </c>
      <c r="P84" s="7" t="n">
        <v>4341</v>
      </c>
      <c r="R84" s="7" t="n">
        <v>3691.3</v>
      </c>
      <c r="T84" s="7" t="n">
        <v>4350.2</v>
      </c>
      <c r="V84" s="7" t="n">
        <v>1602.1</v>
      </c>
      <c r="X84" s="7" t="n">
        <v>1225.6</v>
      </c>
      <c r="Z84" s="7" t="n">
        <v>3706.7</v>
      </c>
      <c r="AB84" s="7" t="n">
        <v>41530.8</v>
      </c>
    </row>
    <row r="85">
      <c r="A85" s="4" t="inlineStr">
        <is>
          <t>劳务费</t>
        </is>
      </c>
      <c r="D85" s="7" t="n">
        <v>87.09999999999999</v>
      </c>
      <c r="F85" s="7" t="n">
        <v>40.9</v>
      </c>
      <c r="H85" s="7" t="n">
        <v>392.1</v>
      </c>
      <c r="J85" s="7" t="n">
        <v>350</v>
      </c>
      <c r="L85" s="7" t="n">
        <v>164.6</v>
      </c>
      <c r="N85" s="7" t="n">
        <v>595</v>
      </c>
      <c r="P85" s="7" t="n">
        <v>299.4</v>
      </c>
      <c r="R85" s="7" t="n">
        <v>200.3</v>
      </c>
      <c r="T85" s="7" t="n">
        <v>181.2</v>
      </c>
      <c r="V85" s="7" t="n">
        <v>119</v>
      </c>
      <c r="X85" s="7" t="n">
        <v>56.2</v>
      </c>
      <c r="Z85" s="7" t="n">
        <v>252.4</v>
      </c>
      <c r="AB85" s="7" t="n">
        <v>2738.2</v>
      </c>
    </row>
    <row r="86">
      <c r="A86" s="4" t="inlineStr">
        <is>
          <t>销售佣金</t>
        </is>
      </c>
      <c r="D86" s="7" t="n">
        <v>298</v>
      </c>
      <c r="F86" s="7" t="n">
        <v>149.1</v>
      </c>
      <c r="H86" s="7" t="n">
        <v>1483.2</v>
      </c>
      <c r="J86" s="7" t="n">
        <v>879.2</v>
      </c>
      <c r="L86" s="7" t="n">
        <v>769.2</v>
      </c>
      <c r="N86" s="7" t="n">
        <v>1854.5</v>
      </c>
      <c r="P86" s="7" t="n">
        <v>1006.8</v>
      </c>
      <c r="R86" s="7" t="n">
        <v>1229.6</v>
      </c>
      <c r="T86" s="7" t="n">
        <v>873.7</v>
      </c>
      <c r="V86" s="7" t="n">
        <v>419.5</v>
      </c>
      <c r="X86" s="7" t="n">
        <v>290.2</v>
      </c>
      <c r="Z86" s="7" t="n">
        <v>1018.4</v>
      </c>
      <c r="AB86" s="7" t="n">
        <v>10271.4</v>
      </c>
    </row>
    <row r="87">
      <c r="A87" s="4" t="inlineStr">
        <is>
          <t>检测费</t>
        </is>
      </c>
      <c r="D87" s="7" t="n">
        <v>499.9</v>
      </c>
      <c r="F87" s="7" t="n">
        <v>133.3</v>
      </c>
      <c r="H87" s="7" t="n">
        <v>2043.7</v>
      </c>
      <c r="J87" s="7" t="n">
        <v>1388</v>
      </c>
      <c r="L87" s="7" t="n">
        <v>818.8</v>
      </c>
      <c r="N87" s="7" t="n">
        <v>1692.2</v>
      </c>
      <c r="P87" s="7" t="n">
        <v>1233.2</v>
      </c>
      <c r="R87" s="7" t="n">
        <v>1074.2</v>
      </c>
      <c r="T87" s="7" t="n">
        <v>647.3</v>
      </c>
      <c r="V87" s="7" t="n">
        <v>493.4</v>
      </c>
      <c r="X87" s="7" t="n">
        <v>332.6</v>
      </c>
      <c r="Z87" s="7" t="n">
        <v>1217.6</v>
      </c>
      <c r="AB87" s="7" t="n">
        <v>11574.2</v>
      </c>
    </row>
    <row r="88">
      <c r="A88" s="4" t="inlineStr">
        <is>
          <t>质量赔偿</t>
        </is>
      </c>
      <c r="D88" s="7" t="n">
        <v>170.9</v>
      </c>
      <c r="F88" s="7" t="n">
        <v>85.59999999999999</v>
      </c>
      <c r="H88" s="7" t="n">
        <v>601.2</v>
      </c>
      <c r="J88" s="7" t="n">
        <v>438</v>
      </c>
      <c r="L88" s="7" t="n">
        <v>295</v>
      </c>
      <c r="N88" s="7" t="n">
        <v>746</v>
      </c>
      <c r="P88" s="7" t="n">
        <v>454.2</v>
      </c>
      <c r="R88" s="7" t="n">
        <v>497.2</v>
      </c>
      <c r="T88" s="7" t="n">
        <v>406.6</v>
      </c>
      <c r="V88" s="7" t="n">
        <v>284.6</v>
      </c>
      <c r="X88" s="7" t="n">
        <v>109.6</v>
      </c>
      <c r="Z88" s="7" t="n">
        <v>569.9</v>
      </c>
      <c r="AB88" s="7" t="n">
        <v>4658.8</v>
      </c>
    </row>
    <row r="89">
      <c r="A89" s="4" t="inlineStr">
        <is>
          <t>保险费</t>
        </is>
      </c>
      <c r="D89" s="7" t="n">
        <v>122.1</v>
      </c>
      <c r="F89" s="7" t="n">
        <v>32</v>
      </c>
      <c r="H89" s="7" t="n">
        <v>325.1</v>
      </c>
      <c r="J89" s="7" t="n">
        <v>235</v>
      </c>
      <c r="L89" s="7" t="n">
        <v>250.7</v>
      </c>
      <c r="N89" s="7" t="n">
        <v>369.2</v>
      </c>
      <c r="P89" s="7" t="n">
        <v>329</v>
      </c>
      <c r="R89" s="7" t="n">
        <v>241.7</v>
      </c>
      <c r="T89" s="7" t="n">
        <v>224.5</v>
      </c>
      <c r="V89" s="7" t="n">
        <v>125.3</v>
      </c>
      <c r="X89" s="7" t="n">
        <v>52.5</v>
      </c>
      <c r="Z89" s="7" t="n">
        <v>242.7</v>
      </c>
      <c r="AB89" s="7" t="n">
        <v>2549.8</v>
      </c>
    </row>
    <row r="90">
      <c r="A90" s="4" t="inlineStr">
        <is>
          <t>清洁费</t>
        </is>
      </c>
      <c r="D90" s="7" t="n">
        <v>254.3</v>
      </c>
      <c r="F90" s="7" t="n">
        <v>86.5</v>
      </c>
      <c r="H90" s="7" t="n">
        <v>869.5</v>
      </c>
      <c r="J90" s="7" t="n">
        <v>591.7</v>
      </c>
      <c r="L90" s="7" t="n">
        <v>432.2</v>
      </c>
      <c r="N90" s="7" t="n">
        <v>1335.5</v>
      </c>
      <c r="P90" s="7" t="n">
        <v>769.3</v>
      </c>
      <c r="R90" s="7" t="n">
        <v>649.2</v>
      </c>
      <c r="T90" s="7" t="n">
        <v>551.7</v>
      </c>
      <c r="V90" s="7" t="n">
        <v>229</v>
      </c>
      <c r="X90" s="7" t="n">
        <v>164.9</v>
      </c>
      <c r="Z90" s="7" t="n">
        <v>677.7</v>
      </c>
      <c r="AB90" s="7" t="n">
        <v>6611.5</v>
      </c>
    </row>
    <row r="91">
      <c r="A91" s="4" t="inlineStr">
        <is>
          <t>低值易耗品</t>
        </is>
      </c>
      <c r="D91" s="7" t="n">
        <v>151.8</v>
      </c>
      <c r="F91" s="7" t="n">
        <v>49.7</v>
      </c>
      <c r="H91" s="7" t="n">
        <v>566.3</v>
      </c>
      <c r="J91" s="7" t="n">
        <v>350.1</v>
      </c>
      <c r="L91" s="7" t="n">
        <v>223.3</v>
      </c>
      <c r="N91" s="7" t="n">
        <v>647.9</v>
      </c>
      <c r="P91" s="7" t="n">
        <v>271.9</v>
      </c>
      <c r="R91" s="7" t="n">
        <v>275.3</v>
      </c>
      <c r="T91" s="7" t="n">
        <v>344.4</v>
      </c>
      <c r="V91" s="7" t="n">
        <v>153.9</v>
      </c>
      <c r="X91" s="7" t="n">
        <v>85.59999999999999</v>
      </c>
      <c r="Z91" s="7" t="n">
        <v>282.8</v>
      </c>
      <c r="AB91" s="7" t="n">
        <v>3403</v>
      </c>
    </row>
    <row r="92">
      <c r="A92" s="4" t="inlineStr">
        <is>
          <t>物料消耗</t>
        </is>
      </c>
      <c r="D92" s="7" t="n">
        <v>261.9</v>
      </c>
      <c r="F92" s="7" t="n">
        <v>116.1</v>
      </c>
      <c r="H92" s="7" t="n">
        <v>1256.8</v>
      </c>
      <c r="J92" s="7" t="n">
        <v>643.4</v>
      </c>
      <c r="L92" s="7" t="n">
        <v>434.5</v>
      </c>
      <c r="N92" s="7" t="n">
        <v>1541.8</v>
      </c>
      <c r="P92" s="7" t="n">
        <v>504.8</v>
      </c>
      <c r="R92" s="7" t="n">
        <v>575.4</v>
      </c>
      <c r="T92" s="7" t="n">
        <v>507.3</v>
      </c>
      <c r="V92" s="7" t="n">
        <v>345.1</v>
      </c>
      <c r="X92" s="7" t="n">
        <v>202.6</v>
      </c>
      <c r="Z92" s="7" t="n">
        <v>485.6</v>
      </c>
      <c r="AB92" s="7" t="n">
        <v>6875.3</v>
      </c>
    </row>
    <row r="93">
      <c r="A93" s="4" t="inlineStr">
        <is>
          <t>盘盈盘亏</t>
        </is>
      </c>
      <c r="D93" s="7" t="n">
        <v>212.8</v>
      </c>
      <c r="F93" s="7" t="n">
        <v>107.2</v>
      </c>
      <c r="H93" s="7" t="n">
        <v>1056.8</v>
      </c>
      <c r="J93" s="7" t="n">
        <v>712.8</v>
      </c>
      <c r="L93" s="7" t="n">
        <v>525.2</v>
      </c>
      <c r="N93" s="7" t="n">
        <v>1136.7</v>
      </c>
      <c r="P93" s="7" t="n">
        <v>581</v>
      </c>
      <c r="R93" s="7" t="n">
        <v>763.2</v>
      </c>
      <c r="T93" s="7" t="n">
        <v>500.4</v>
      </c>
      <c r="V93" s="7" t="n">
        <v>236.9</v>
      </c>
      <c r="X93" s="7" t="n">
        <v>195</v>
      </c>
      <c r="Z93" s="7" t="n">
        <v>523.5</v>
      </c>
      <c r="AB93" s="7" t="n">
        <v>6551.5</v>
      </c>
    </row>
    <row r="94">
      <c r="A94" s="4" t="inlineStr">
        <is>
          <t>平台服务费</t>
        </is>
      </c>
      <c r="D94" s="7" t="n">
        <v>425.9</v>
      </c>
      <c r="F94" s="7" t="n">
        <v>130.7</v>
      </c>
      <c r="H94" s="7" t="n">
        <v>1626.3</v>
      </c>
      <c r="J94" s="7" t="n">
        <v>601.4</v>
      </c>
      <c r="L94" s="7" t="n">
        <v>726.2</v>
      </c>
      <c r="N94" s="7" t="n">
        <v>1010.9</v>
      </c>
      <c r="P94" s="7" t="n">
        <v>793.1</v>
      </c>
      <c r="R94" s="7" t="n">
        <v>763.6</v>
      </c>
      <c r="T94" s="7" t="n">
        <v>904.5</v>
      </c>
      <c r="V94" s="7" t="n">
        <v>320.4</v>
      </c>
      <c r="X94" s="7" t="n">
        <v>152.4</v>
      </c>
      <c r="Z94" s="7" t="n">
        <v>636.7</v>
      </c>
      <c r="AB94" s="7" t="n">
        <v>8092.1</v>
      </c>
    </row>
    <row r="95">
      <c r="A95" s="4" t="inlineStr">
        <is>
          <t>无形资产摊销</t>
        </is>
      </c>
      <c r="D95" s="7" t="n">
        <v>262.3</v>
      </c>
      <c r="F95" s="7" t="n">
        <v>169.1</v>
      </c>
      <c r="H95" s="7" t="n">
        <v>994.6</v>
      </c>
      <c r="J95" s="7" t="n">
        <v>762</v>
      </c>
      <c r="L95" s="7" t="n">
        <v>797.5</v>
      </c>
      <c r="N95" s="7" t="n">
        <v>1372.9</v>
      </c>
      <c r="P95" s="7" t="n">
        <v>828</v>
      </c>
      <c r="R95" s="7" t="n">
        <v>1145.3</v>
      </c>
      <c r="T95" s="7" t="n">
        <v>600.6</v>
      </c>
      <c r="V95" s="7" t="n">
        <v>449.5</v>
      </c>
      <c r="X95" s="7" t="n">
        <v>198.8</v>
      </c>
      <c r="Z95" s="7" t="n">
        <v>995.7</v>
      </c>
      <c r="AB95" s="7" t="n">
        <v>8576.299999999999</v>
      </c>
    </row>
    <row r="96">
      <c r="A96" s="4" t="inlineStr">
        <is>
          <t>研发材料</t>
        </is>
      </c>
      <c r="D96" s="7" t="n">
        <v>302.1</v>
      </c>
      <c r="F96" s="7" t="n">
        <v>105</v>
      </c>
      <c r="H96" s="7" t="n">
        <v>1336.7</v>
      </c>
      <c r="J96" s="7" t="n">
        <v>1100.9</v>
      </c>
      <c r="L96" s="7" t="n">
        <v>856.3</v>
      </c>
      <c r="N96" s="7" t="n">
        <v>1213.3</v>
      </c>
      <c r="P96" s="7" t="n">
        <v>1038.5</v>
      </c>
      <c r="R96" s="7" t="n">
        <v>1018.4</v>
      </c>
      <c r="T96" s="7" t="n">
        <v>562</v>
      </c>
      <c r="V96" s="7" t="n">
        <v>347.9</v>
      </c>
      <c r="X96" s="7" t="n">
        <v>244.2</v>
      </c>
      <c r="Z96" s="7" t="n">
        <v>904.3</v>
      </c>
      <c r="AB96" s="7" t="n">
        <v>9029.6</v>
      </c>
    </row>
    <row r="97">
      <c r="A97" s="4" t="inlineStr">
        <is>
          <t>项目名称</t>
        </is>
      </c>
      <c r="D97" s="7" t="n">
        <v>179.6</v>
      </c>
      <c r="F97" s="7" t="n">
        <v>48.4</v>
      </c>
      <c r="H97" s="7" t="n">
        <v>445.2</v>
      </c>
      <c r="J97" s="7" t="n">
        <v>361.6</v>
      </c>
      <c r="L97" s="7" t="n">
        <v>260.1</v>
      </c>
      <c r="N97" s="7" t="n">
        <v>628.8</v>
      </c>
      <c r="P97" s="7" t="n">
        <v>433.7</v>
      </c>
      <c r="R97" s="7" t="n">
        <v>340.4</v>
      </c>
      <c r="T97" s="7" t="n">
        <v>244.7</v>
      </c>
      <c r="V97" s="7" t="n">
        <v>199.3</v>
      </c>
      <c r="X97" s="7" t="n">
        <v>69.90000000000001</v>
      </c>
      <c r="Z97" s="7" t="n">
        <v>258.2</v>
      </c>
      <c r="AB97" s="7" t="n">
        <v>3469.9</v>
      </c>
    </row>
    <row r="98">
      <c r="A98" s="4" t="inlineStr">
        <is>
          <t>研发费</t>
        </is>
      </c>
      <c r="D98" s="7" t="n">
        <v>162.3</v>
      </c>
      <c r="F98" s="7" t="n">
        <v>55.5</v>
      </c>
      <c r="H98" s="7" t="n">
        <v>820</v>
      </c>
      <c r="J98" s="7" t="n">
        <v>445.8</v>
      </c>
      <c r="L98" s="7" t="n">
        <v>350.9</v>
      </c>
      <c r="N98" s="7" t="n">
        <v>1027</v>
      </c>
      <c r="P98" s="7" t="n">
        <v>407.7</v>
      </c>
      <c r="R98" s="7" t="n">
        <v>559.8</v>
      </c>
      <c r="T98" s="7" t="n">
        <v>514</v>
      </c>
      <c r="V98" s="7" t="n">
        <v>282.3</v>
      </c>
      <c r="X98" s="7" t="n">
        <v>144.1</v>
      </c>
      <c r="Z98" s="7" t="n">
        <v>502.8</v>
      </c>
      <c r="AB98" s="7" t="n">
        <v>5272.2</v>
      </c>
    </row>
    <row r="99">
      <c r="A99" s="4" t="inlineStr">
        <is>
          <t>残保金</t>
        </is>
      </c>
      <c r="D99" s="7" t="n">
        <v>279.9</v>
      </c>
      <c r="F99" s="7" t="n">
        <v>81.7</v>
      </c>
      <c r="H99" s="7" t="n">
        <v>1284.3</v>
      </c>
      <c r="J99" s="7" t="n">
        <v>987.8</v>
      </c>
      <c r="L99" s="7" t="n">
        <v>584.3</v>
      </c>
      <c r="N99" s="7" t="n">
        <v>1186.9</v>
      </c>
      <c r="P99" s="7" t="n">
        <v>883.8</v>
      </c>
      <c r="R99" s="7" t="n">
        <v>649.1</v>
      </c>
      <c r="T99" s="7" t="n">
        <v>624.9</v>
      </c>
      <c r="V99" s="7" t="n">
        <v>276.9</v>
      </c>
      <c r="X99" s="7" t="n">
        <v>224.9</v>
      </c>
      <c r="Z99" s="7" t="n">
        <v>587.6</v>
      </c>
      <c r="AB99" s="7" t="n">
        <v>7652.1</v>
      </c>
    </row>
    <row r="100">
      <c r="A100" s="4" t="inlineStr">
        <is>
          <t>环保费</t>
        </is>
      </c>
      <c r="D100" s="7" t="n">
        <v>120.5</v>
      </c>
      <c r="F100" s="7" t="n">
        <v>33.1</v>
      </c>
      <c r="H100" s="7" t="n">
        <v>305.5</v>
      </c>
      <c r="J100" s="7" t="n">
        <v>242.6</v>
      </c>
      <c r="L100" s="7" t="n">
        <v>191.5</v>
      </c>
      <c r="N100" s="7" t="n">
        <v>537.6</v>
      </c>
      <c r="P100" s="7" t="n">
        <v>191.7</v>
      </c>
      <c r="R100" s="7" t="n">
        <v>187.2</v>
      </c>
      <c r="T100" s="7" t="n">
        <v>182.6</v>
      </c>
      <c r="V100" s="7" t="n">
        <v>121.1</v>
      </c>
      <c r="X100" s="7" t="n">
        <v>79.09999999999999</v>
      </c>
      <c r="Z100" s="7" t="n">
        <v>271.4</v>
      </c>
      <c r="AB100" s="7" t="n">
        <v>2463.9</v>
      </c>
    </row>
    <row r="101">
      <c r="A101" s="4" t="inlineStr">
        <is>
          <t>报废损失</t>
        </is>
      </c>
      <c r="D101" s="7" t="n">
        <v>468.7</v>
      </c>
      <c r="F101" s="7" t="n">
        <v>165.1</v>
      </c>
      <c r="H101" s="7" t="n">
        <v>1301.9</v>
      </c>
      <c r="J101" s="7" t="n">
        <v>781.9</v>
      </c>
      <c r="L101" s="7" t="n">
        <v>968.5</v>
      </c>
      <c r="N101" s="7" t="n">
        <v>1214.2</v>
      </c>
      <c r="P101" s="7" t="n">
        <v>854</v>
      </c>
      <c r="R101" s="7" t="n">
        <v>784.8</v>
      </c>
      <c r="T101" s="7" t="n">
        <v>1077.6</v>
      </c>
      <c r="V101" s="7" t="n">
        <v>549.1</v>
      </c>
      <c r="X101" s="7" t="n">
        <v>236.7</v>
      </c>
      <c r="Z101" s="7" t="n">
        <v>694.8</v>
      </c>
      <c r="AB101" s="7" t="n">
        <v>9097.299999999999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57006</v>
      </c>
      <c r="D102" s="7" t="n">
        <v>48290.8</v>
      </c>
      <c r="E102" s="7" t="n">
        <v>47486.9</v>
      </c>
      <c r="F102" s="7" t="n">
        <v>9016.799999999999</v>
      </c>
      <c r="G102" s="7" t="n">
        <v>43283.9</v>
      </c>
      <c r="H102" s="7" t="n">
        <v>84179.89999999999</v>
      </c>
      <c r="I102" s="7" t="n">
        <v>47776.4</v>
      </c>
      <c r="J102" s="7" t="n">
        <v>41818.3</v>
      </c>
      <c r="K102" s="7" t="n">
        <v>52090.1</v>
      </c>
      <c r="L102" s="7" t="n">
        <v>80013.89999999999</v>
      </c>
      <c r="M102" s="7" t="n">
        <v>51706.9</v>
      </c>
      <c r="N102" s="7" t="n">
        <v>60224.5</v>
      </c>
      <c r="O102" s="7" t="n">
        <v>44950.6</v>
      </c>
      <c r="P102" s="7" t="n">
        <v>74906.3</v>
      </c>
      <c r="Q102" s="7" t="n">
        <v>55191.6</v>
      </c>
      <c r="R102" s="7" t="n">
        <v>47024.6</v>
      </c>
      <c r="S102" s="7" t="n">
        <v>56603.6</v>
      </c>
      <c r="T102" s="7" t="n">
        <v>43250.1</v>
      </c>
      <c r="U102" s="7" t="n">
        <v>53424.6</v>
      </c>
      <c r="V102" s="7" t="n">
        <v>38459.1</v>
      </c>
      <c r="W102" s="7" t="n">
        <v>49118.2</v>
      </c>
      <c r="X102" s="7" t="n">
        <v>12493.5</v>
      </c>
      <c r="Y102" s="7" t="n">
        <v>46230.3</v>
      </c>
      <c r="Z102" s="7" t="n">
        <v>64462.3</v>
      </c>
      <c r="AA102" s="8" t="n">
        <v>604869.1</v>
      </c>
      <c r="AB102" s="8" t="n">
        <v>604140.1</v>
      </c>
    </row>
    <row r="103">
      <c r="A103" s="4" t="inlineStr">
        <is>
          <t>职工薪酬</t>
        </is>
      </c>
      <c r="D103" s="7" t="n">
        <v>26088.5</v>
      </c>
      <c r="F103" s="7" t="n">
        <v>4817.5</v>
      </c>
      <c r="H103" s="7" t="n">
        <v>38451.4</v>
      </c>
      <c r="J103" s="7" t="n">
        <v>20418</v>
      </c>
      <c r="L103" s="7" t="n">
        <v>44197.9</v>
      </c>
      <c r="N103" s="7" t="n">
        <v>31123.7</v>
      </c>
      <c r="P103" s="7" t="n">
        <v>33974.1</v>
      </c>
      <c r="R103" s="7" t="n">
        <v>28508</v>
      </c>
      <c r="T103" s="7" t="n">
        <v>17910.9</v>
      </c>
      <c r="V103" s="7" t="n">
        <v>15360.4</v>
      </c>
      <c r="X103" s="7" t="n">
        <v>6775.9</v>
      </c>
      <c r="Z103" s="7" t="n">
        <v>26149.2</v>
      </c>
      <c r="AB103" s="7" t="n">
        <v>293775.5</v>
      </c>
    </row>
    <row r="104">
      <c r="A104" s="4" t="inlineStr">
        <is>
          <t>工资</t>
        </is>
      </c>
      <c r="D104" s="7" t="n">
        <v>15856.9</v>
      </c>
      <c r="F104" s="7" t="n">
        <v>2948.8</v>
      </c>
      <c r="H104" s="7" t="n">
        <v>18544.3</v>
      </c>
      <c r="J104" s="7" t="n">
        <v>11561.7</v>
      </c>
      <c r="L104" s="7" t="n">
        <v>28554.1</v>
      </c>
      <c r="N104" s="7" t="n">
        <v>16991.3</v>
      </c>
      <c r="P104" s="7" t="n">
        <v>20668.8</v>
      </c>
      <c r="R104" s="7" t="n">
        <v>17146.3</v>
      </c>
      <c r="T104" s="7" t="n">
        <v>10209.4</v>
      </c>
      <c r="V104" s="7" t="n">
        <v>9292.700000000001</v>
      </c>
      <c r="X104" s="7" t="n">
        <v>4248.1</v>
      </c>
      <c r="Z104" s="7" t="n">
        <v>14779.4</v>
      </c>
      <c r="AB104" s="7" t="n">
        <v>170801.8</v>
      </c>
    </row>
    <row r="105">
      <c r="A105" s="4" t="inlineStr">
        <is>
          <t>奖金及提成</t>
        </is>
      </c>
      <c r="D105" s="7" t="n">
        <v>4120.2</v>
      </c>
      <c r="F105" s="7" t="n">
        <v>886.2</v>
      </c>
      <c r="H105" s="7" t="n">
        <v>9767.1</v>
      </c>
      <c r="J105" s="7" t="n">
        <v>4035.2</v>
      </c>
      <c r="L105" s="7" t="n">
        <v>7840.8</v>
      </c>
      <c r="N105" s="7" t="n">
        <v>6406.8</v>
      </c>
      <c r="P105" s="7" t="n">
        <v>5530.7</v>
      </c>
      <c r="R105" s="7" t="n">
        <v>5318.5</v>
      </c>
      <c r="T105" s="7" t="n">
        <v>3787.3</v>
      </c>
      <c r="V105" s="7" t="n">
        <v>2748.2</v>
      </c>
      <c r="X105" s="7" t="n">
        <v>1088.4</v>
      </c>
      <c r="Z105" s="7" t="n">
        <v>5513.2</v>
      </c>
      <c r="AB105" s="7" t="n">
        <v>57042.6</v>
      </c>
    </row>
    <row r="106">
      <c r="A106" s="4" t="inlineStr">
        <is>
          <t>社保</t>
        </is>
      </c>
      <c r="D106" s="7" t="n">
        <v>4779.6</v>
      </c>
      <c r="F106" s="7" t="n">
        <v>730.6</v>
      </c>
      <c r="H106" s="7" t="n">
        <v>7571.8</v>
      </c>
      <c r="J106" s="7" t="n">
        <v>3640.3</v>
      </c>
      <c r="L106" s="7" t="n">
        <v>5436.1</v>
      </c>
      <c r="N106" s="7" t="n">
        <v>5924.9</v>
      </c>
      <c r="P106" s="7" t="n">
        <v>5534.1</v>
      </c>
      <c r="R106" s="7" t="n">
        <v>4699.5</v>
      </c>
      <c r="T106" s="7" t="n">
        <v>2597.5</v>
      </c>
      <c r="V106" s="7" t="n">
        <v>2224.1</v>
      </c>
      <c r="X106" s="7" t="n">
        <v>1091.3</v>
      </c>
      <c r="Z106" s="7" t="n">
        <v>4095</v>
      </c>
      <c r="AB106" s="7" t="n">
        <v>48324.8</v>
      </c>
    </row>
    <row r="107">
      <c r="A107" s="4" t="inlineStr">
        <is>
          <t>养老</t>
        </is>
      </c>
      <c r="D107" s="7" t="n">
        <v>307.7</v>
      </c>
      <c r="F107" s="7" t="n">
        <v>44.7</v>
      </c>
      <c r="H107" s="7" t="n">
        <v>588</v>
      </c>
      <c r="J107" s="7" t="n">
        <v>240.1</v>
      </c>
      <c r="L107" s="7" t="n">
        <v>486.5</v>
      </c>
      <c r="N107" s="7" t="n">
        <v>430.2</v>
      </c>
      <c r="P107" s="7" t="n">
        <v>370.6</v>
      </c>
      <c r="R107" s="7" t="n">
        <v>334</v>
      </c>
      <c r="T107" s="7" t="n">
        <v>272.9</v>
      </c>
      <c r="V107" s="7" t="n">
        <v>192</v>
      </c>
      <c r="X107" s="7" t="n">
        <v>99.8</v>
      </c>
      <c r="Z107" s="7" t="n">
        <v>529.3</v>
      </c>
      <c r="AB107" s="7" t="n">
        <v>3895.8</v>
      </c>
    </row>
    <row r="108">
      <c r="A108" s="4" t="inlineStr">
        <is>
          <t>医疗</t>
        </is>
      </c>
      <c r="D108" s="7" t="n">
        <v>319.1</v>
      </c>
      <c r="F108" s="7" t="n">
        <v>39.6</v>
      </c>
      <c r="H108" s="7" t="n">
        <v>355.9</v>
      </c>
      <c r="J108" s="7" t="n">
        <v>170.1</v>
      </c>
      <c r="L108" s="7" t="n">
        <v>405.9</v>
      </c>
      <c r="N108" s="7" t="n">
        <v>355</v>
      </c>
      <c r="P108" s="7" t="n">
        <v>298</v>
      </c>
      <c r="R108" s="7" t="n">
        <v>182.6</v>
      </c>
      <c r="T108" s="7" t="n">
        <v>229.9</v>
      </c>
      <c r="V108" s="7" t="n">
        <v>170.8</v>
      </c>
      <c r="X108" s="7" t="n">
        <v>71</v>
      </c>
      <c r="Z108" s="7" t="n">
        <v>271.5</v>
      </c>
      <c r="AB108" s="7" t="n">
        <v>2869.4</v>
      </c>
    </row>
    <row r="109">
      <c r="A109" s="4" t="inlineStr">
        <is>
          <t>工伤</t>
        </is>
      </c>
      <c r="D109" s="7" t="n">
        <v>159.4</v>
      </c>
      <c r="F109" s="7" t="n">
        <v>36.5</v>
      </c>
      <c r="H109" s="7" t="n">
        <v>244.3</v>
      </c>
      <c r="J109" s="7" t="n">
        <v>145.4</v>
      </c>
      <c r="L109" s="7" t="n">
        <v>258.8</v>
      </c>
      <c r="N109" s="7" t="n">
        <v>228.9</v>
      </c>
      <c r="P109" s="7" t="n">
        <v>340.3</v>
      </c>
      <c r="R109" s="7" t="n">
        <v>140.7</v>
      </c>
      <c r="T109" s="7" t="n">
        <v>120.6</v>
      </c>
      <c r="V109" s="7" t="n">
        <v>117.1</v>
      </c>
      <c r="X109" s="7" t="n">
        <v>49</v>
      </c>
      <c r="Z109" s="7" t="n">
        <v>243.6</v>
      </c>
      <c r="AB109" s="7" t="n">
        <v>2084.6</v>
      </c>
    </row>
    <row r="110">
      <c r="A110" s="4" t="inlineStr">
        <is>
          <t>失业</t>
        </is>
      </c>
      <c r="D110" s="7" t="n">
        <v>0.3</v>
      </c>
      <c r="F110" s="7" t="n">
        <v>0.1</v>
      </c>
      <c r="H110" s="7" t="n">
        <v>0.6</v>
      </c>
      <c r="J110" s="7" t="n">
        <v>0.3</v>
      </c>
      <c r="L110" s="7" t="n">
        <v>0.6</v>
      </c>
      <c r="N110" s="7" t="n">
        <v>0.4</v>
      </c>
      <c r="P110" s="7" t="n">
        <v>0.4</v>
      </c>
      <c r="R110" s="7" t="n">
        <v>0.3</v>
      </c>
      <c r="T110" s="7" t="n">
        <v>0.2</v>
      </c>
      <c r="V110" s="7" t="n">
        <v>0.2</v>
      </c>
      <c r="X110" s="7" t="n">
        <v>0.1</v>
      </c>
      <c r="Z110" s="7" t="n">
        <v>0.3</v>
      </c>
      <c r="AB110" s="7" t="n">
        <v>3.8</v>
      </c>
    </row>
    <row r="111">
      <c r="A111" s="4" t="inlineStr">
        <is>
          <t>生育</t>
        </is>
      </c>
      <c r="D111" s="7" t="n">
        <v>227.7</v>
      </c>
      <c r="F111" s="7" t="n">
        <v>54.3</v>
      </c>
      <c r="H111" s="7" t="n">
        <v>362.6</v>
      </c>
      <c r="J111" s="7" t="n">
        <v>212.1</v>
      </c>
      <c r="L111" s="7" t="n">
        <v>434.8</v>
      </c>
      <c r="N111" s="7" t="n">
        <v>377.7</v>
      </c>
      <c r="P111" s="7" t="n">
        <v>437.2</v>
      </c>
      <c r="R111" s="7" t="n">
        <v>212</v>
      </c>
      <c r="T111" s="7" t="n">
        <v>199.8</v>
      </c>
      <c r="V111" s="7" t="n">
        <v>143.5</v>
      </c>
      <c r="X111" s="7" t="n">
        <v>67.2</v>
      </c>
      <c r="Z111" s="7" t="n">
        <v>328.7</v>
      </c>
      <c r="AB111" s="7" t="n">
        <v>3057.6</v>
      </c>
    </row>
    <row r="112">
      <c r="A112" s="4" t="inlineStr">
        <is>
          <t>公积金</t>
        </is>
      </c>
      <c r="D112" s="7" t="n">
        <v>134.4</v>
      </c>
      <c r="F112" s="7" t="n">
        <v>22.5</v>
      </c>
      <c r="H112" s="7" t="n">
        <v>291.7</v>
      </c>
      <c r="J112" s="7" t="n">
        <v>107.1</v>
      </c>
      <c r="L112" s="7" t="n">
        <v>252.4</v>
      </c>
      <c r="N112" s="7" t="n">
        <v>202.2</v>
      </c>
      <c r="P112" s="7" t="n">
        <v>183.1</v>
      </c>
      <c r="R112" s="7" t="n">
        <v>131.9</v>
      </c>
      <c r="T112" s="7" t="n">
        <v>143</v>
      </c>
      <c r="V112" s="7" t="n">
        <v>126.4</v>
      </c>
      <c r="X112" s="7" t="n">
        <v>32.6</v>
      </c>
      <c r="Z112" s="7" t="n">
        <v>141.8</v>
      </c>
      <c r="AB112" s="7" t="n">
        <v>1769.1</v>
      </c>
    </row>
    <row r="113">
      <c r="A113" s="4" t="inlineStr">
        <is>
          <t>工会经费</t>
        </is>
      </c>
      <c r="D113" s="7" t="n">
        <v>177.3</v>
      </c>
      <c r="F113" s="7" t="n">
        <v>49.3</v>
      </c>
      <c r="H113" s="7" t="n">
        <v>402.3</v>
      </c>
      <c r="J113" s="7" t="n">
        <v>147.7</v>
      </c>
      <c r="L113" s="7" t="n">
        <v>278</v>
      </c>
      <c r="N113" s="7" t="n">
        <v>237.6</v>
      </c>
      <c r="P113" s="7" t="n">
        <v>359.6</v>
      </c>
      <c r="R113" s="7" t="n">
        <v>170.9</v>
      </c>
      <c r="T113" s="7" t="n">
        <v>162</v>
      </c>
      <c r="V113" s="7" t="n">
        <v>130.7</v>
      </c>
      <c r="X113" s="7" t="n">
        <v>67</v>
      </c>
      <c r="Z113" s="7" t="n">
        <v>228.4</v>
      </c>
      <c r="AB113" s="7" t="n">
        <v>2410.8</v>
      </c>
    </row>
    <row r="114">
      <c r="A114" s="4" t="inlineStr">
        <is>
          <t>职工教育经费</t>
        </is>
      </c>
      <c r="D114" s="7" t="n">
        <v>71.7</v>
      </c>
      <c r="F114" s="7" t="n">
        <v>11</v>
      </c>
      <c r="H114" s="7" t="n">
        <v>119.7</v>
      </c>
      <c r="J114" s="7" t="n">
        <v>52.9</v>
      </c>
      <c r="L114" s="7" t="n">
        <v>97.40000000000001</v>
      </c>
      <c r="N114" s="7" t="n">
        <v>98.59999999999999</v>
      </c>
      <c r="P114" s="7" t="n">
        <v>123.5</v>
      </c>
      <c r="R114" s="7" t="n">
        <v>69.2</v>
      </c>
      <c r="T114" s="7" t="n">
        <v>58.4</v>
      </c>
      <c r="V114" s="7" t="n">
        <v>44.3</v>
      </c>
      <c r="X114" s="7" t="n">
        <v>20.6</v>
      </c>
      <c r="Z114" s="7" t="n">
        <v>84.59999999999999</v>
      </c>
      <c r="AB114" s="7" t="n">
        <v>851.9</v>
      </c>
    </row>
    <row r="115">
      <c r="A115" s="4" t="inlineStr">
        <is>
          <t>福利费</t>
        </is>
      </c>
      <c r="D115" s="7" t="n">
        <v>948.4</v>
      </c>
      <c r="F115" s="7" t="n">
        <v>169.1</v>
      </c>
      <c r="H115" s="7" t="n">
        <v>1754.5</v>
      </c>
      <c r="J115" s="7" t="n">
        <v>873.1</v>
      </c>
      <c r="L115" s="7" t="n">
        <v>1739.1</v>
      </c>
      <c r="N115" s="7" t="n">
        <v>1262.3</v>
      </c>
      <c r="P115" s="7" t="n">
        <v>1574.3</v>
      </c>
      <c r="R115" s="7" t="n">
        <v>971.7</v>
      </c>
      <c r="T115" s="7" t="n">
        <v>953.3</v>
      </c>
      <c r="V115" s="7" t="n">
        <v>794</v>
      </c>
      <c r="X115" s="7" t="n">
        <v>227.9</v>
      </c>
      <c r="Z115" s="7" t="n">
        <v>1306.8</v>
      </c>
      <c r="AB115" s="7" t="n">
        <v>12574.5</v>
      </c>
    </row>
    <row r="116">
      <c r="A116" s="4" t="inlineStr">
        <is>
          <t>职工房租</t>
        </is>
      </c>
      <c r="D116" s="7" t="n">
        <v>293.4</v>
      </c>
      <c r="F116" s="7" t="n">
        <v>47</v>
      </c>
      <c r="H116" s="7" t="n">
        <v>480.8</v>
      </c>
      <c r="J116" s="7" t="n">
        <v>182.1</v>
      </c>
      <c r="L116" s="7" t="n">
        <v>566</v>
      </c>
      <c r="N116" s="7" t="n">
        <v>391.2</v>
      </c>
      <c r="P116" s="7" t="n">
        <v>407.4</v>
      </c>
      <c r="R116" s="7" t="n">
        <v>287</v>
      </c>
      <c r="T116" s="7" t="n">
        <v>263.3</v>
      </c>
      <c r="V116" s="7" t="n">
        <v>172.2</v>
      </c>
      <c r="X116" s="7" t="n">
        <v>54.9</v>
      </c>
      <c r="Z116" s="7" t="n">
        <v>308.5</v>
      </c>
      <c r="AB116" s="7" t="n">
        <v>3453.8</v>
      </c>
    </row>
    <row r="117">
      <c r="A117" s="4" t="inlineStr">
        <is>
          <t>水电物业费</t>
        </is>
      </c>
      <c r="D117" s="7" t="n">
        <v>92</v>
      </c>
      <c r="F117" s="7" t="n">
        <v>17.8</v>
      </c>
      <c r="H117" s="7" t="n">
        <v>181.6</v>
      </c>
      <c r="J117" s="7" t="n">
        <v>87.90000000000001</v>
      </c>
      <c r="L117" s="7" t="n">
        <v>131.3</v>
      </c>
      <c r="N117" s="7" t="n">
        <v>97.40000000000001</v>
      </c>
      <c r="P117" s="7" t="n">
        <v>108.7</v>
      </c>
      <c r="R117" s="7" t="n">
        <v>72.8</v>
      </c>
      <c r="T117" s="7" t="n">
        <v>85.7</v>
      </c>
      <c r="V117" s="7" t="n">
        <v>76.3</v>
      </c>
      <c r="X117" s="7" t="n">
        <v>23.2</v>
      </c>
      <c r="Z117" s="7" t="n">
        <v>130.7</v>
      </c>
      <c r="AB117" s="7" t="n">
        <v>1105.4</v>
      </c>
    </row>
    <row r="118">
      <c r="A118" s="4" t="inlineStr">
        <is>
          <t>员工餐</t>
        </is>
      </c>
      <c r="D118" s="7" t="n">
        <v>82.09999999999999</v>
      </c>
      <c r="F118" s="7" t="n">
        <v>18.5</v>
      </c>
      <c r="H118" s="7" t="n">
        <v>180.1</v>
      </c>
      <c r="J118" s="7" t="n">
        <v>65.8</v>
      </c>
      <c r="L118" s="7" t="n">
        <v>128.9</v>
      </c>
      <c r="N118" s="7" t="n">
        <v>148</v>
      </c>
      <c r="P118" s="7" t="n">
        <v>181.4</v>
      </c>
      <c r="R118" s="7" t="n">
        <v>106.1</v>
      </c>
      <c r="T118" s="7" t="n">
        <v>107.2</v>
      </c>
      <c r="V118" s="7" t="n">
        <v>71.3</v>
      </c>
      <c r="X118" s="7" t="n">
        <v>22.5</v>
      </c>
      <c r="Z118" s="7" t="n">
        <v>124.4</v>
      </c>
      <c r="AB118" s="7" t="n">
        <v>1236.3</v>
      </c>
    </row>
    <row r="119">
      <c r="A119" s="4" t="inlineStr">
        <is>
          <t>节日礼品</t>
        </is>
      </c>
      <c r="D119" s="7" t="n">
        <v>150.5</v>
      </c>
      <c r="F119" s="7" t="n">
        <v>33.6</v>
      </c>
      <c r="H119" s="7" t="n">
        <v>301.8</v>
      </c>
      <c r="J119" s="7" t="n">
        <v>198.2</v>
      </c>
      <c r="L119" s="7" t="n">
        <v>336.8</v>
      </c>
      <c r="N119" s="7" t="n">
        <v>232.5</v>
      </c>
      <c r="P119" s="7" t="n">
        <v>297.2</v>
      </c>
      <c r="R119" s="7" t="n">
        <v>157.2</v>
      </c>
      <c r="T119" s="7" t="n">
        <v>166.2</v>
      </c>
      <c r="V119" s="7" t="n">
        <v>169.6</v>
      </c>
      <c r="X119" s="7" t="n">
        <v>38.2</v>
      </c>
      <c r="Z119" s="7" t="n">
        <v>295.1</v>
      </c>
      <c r="AB119" s="7" t="n">
        <v>2376.9</v>
      </c>
    </row>
    <row r="120">
      <c r="A120" s="4" t="inlineStr">
        <is>
          <t>生日礼品</t>
        </is>
      </c>
      <c r="D120" s="7" t="n">
        <v>150.6</v>
      </c>
      <c r="F120" s="7" t="n">
        <v>23.2</v>
      </c>
      <c r="H120" s="7" t="n">
        <v>264.2</v>
      </c>
      <c r="J120" s="7" t="n">
        <v>144.4</v>
      </c>
      <c r="L120" s="7" t="n">
        <v>247.2</v>
      </c>
      <c r="N120" s="7" t="n">
        <v>154.5</v>
      </c>
      <c r="P120" s="7" t="n">
        <v>231.6</v>
      </c>
      <c r="R120" s="7" t="n">
        <v>185</v>
      </c>
      <c r="T120" s="7" t="n">
        <v>178.2</v>
      </c>
      <c r="V120" s="7" t="n">
        <v>121.9</v>
      </c>
      <c r="X120" s="7" t="n">
        <v>34.1</v>
      </c>
      <c r="Z120" s="7" t="n">
        <v>151.5</v>
      </c>
      <c r="AB120" s="7" t="n">
        <v>1886.4</v>
      </c>
    </row>
    <row r="121">
      <c r="A121" s="4" t="inlineStr">
        <is>
          <t>体检</t>
        </is>
      </c>
      <c r="D121" s="7" t="n">
        <v>94.90000000000001</v>
      </c>
      <c r="F121" s="7" t="n">
        <v>16.3</v>
      </c>
      <c r="H121" s="7" t="n">
        <v>206</v>
      </c>
      <c r="J121" s="7" t="n">
        <v>120.7</v>
      </c>
      <c r="L121" s="7" t="n">
        <v>188.2</v>
      </c>
      <c r="N121" s="7" t="n">
        <v>125.1</v>
      </c>
      <c r="P121" s="7" t="n">
        <v>231.3</v>
      </c>
      <c r="R121" s="7" t="n">
        <v>89.59999999999999</v>
      </c>
      <c r="T121" s="7" t="n">
        <v>80.8</v>
      </c>
      <c r="V121" s="7" t="n">
        <v>102</v>
      </c>
      <c r="X121" s="7" t="n">
        <v>37.4</v>
      </c>
      <c r="Z121" s="7" t="n">
        <v>177.7</v>
      </c>
      <c r="AB121" s="7" t="n">
        <v>1470</v>
      </c>
    </row>
    <row r="122">
      <c r="A122" s="4" t="inlineStr">
        <is>
          <t>其他福利支出</t>
        </is>
      </c>
      <c r="D122" s="7" t="n">
        <v>84.90000000000001</v>
      </c>
      <c r="F122" s="7" t="n">
        <v>12.7</v>
      </c>
      <c r="H122" s="7" t="n">
        <v>140</v>
      </c>
      <c r="J122" s="7" t="n">
        <v>74</v>
      </c>
      <c r="L122" s="7" t="n">
        <v>140.7</v>
      </c>
      <c r="N122" s="7" t="n">
        <v>113.6</v>
      </c>
      <c r="P122" s="7" t="n">
        <v>116.7</v>
      </c>
      <c r="R122" s="7" t="n">
        <v>74</v>
      </c>
      <c r="T122" s="7" t="n">
        <v>71.90000000000001</v>
      </c>
      <c r="V122" s="7" t="n">
        <v>80.7</v>
      </c>
      <c r="X122" s="7" t="n">
        <v>17.6</v>
      </c>
      <c r="Z122" s="7" t="n">
        <v>118.9</v>
      </c>
      <c r="AB122" s="7" t="n">
        <v>1045.7</v>
      </c>
    </row>
    <row r="123">
      <c r="A123" s="4" t="inlineStr">
        <is>
          <t>招聘费</t>
        </is>
      </c>
      <c r="D123" s="7" t="n">
        <v>274</v>
      </c>
      <c r="F123" s="7" t="n">
        <v>37.1</v>
      </c>
      <c r="H123" s="7" t="n">
        <v>474.2</v>
      </c>
      <c r="J123" s="7" t="n">
        <v>197.6</v>
      </c>
      <c r="L123" s="7" t="n">
        <v>358.6</v>
      </c>
      <c r="N123" s="7" t="n">
        <v>257.2</v>
      </c>
      <c r="P123" s="7" t="n">
        <v>405.9</v>
      </c>
      <c r="R123" s="7" t="n">
        <v>310.9</v>
      </c>
      <c r="T123" s="7" t="n">
        <v>252.4</v>
      </c>
      <c r="V123" s="7" t="n">
        <v>162</v>
      </c>
      <c r="X123" s="7" t="n">
        <v>80</v>
      </c>
      <c r="Z123" s="7" t="n">
        <v>282.3</v>
      </c>
      <c r="AB123" s="7" t="n">
        <v>3092.2</v>
      </c>
    </row>
    <row r="124">
      <c r="A124" s="4" t="inlineStr">
        <is>
          <t>办公费</t>
        </is>
      </c>
      <c r="D124" s="7" t="n">
        <v>1037.8</v>
      </c>
      <c r="F124" s="7" t="n">
        <v>230</v>
      </c>
      <c r="H124" s="7" t="n">
        <v>2242.3</v>
      </c>
      <c r="J124" s="7" t="n">
        <v>1283.6</v>
      </c>
      <c r="L124" s="7" t="n">
        <v>2494.6</v>
      </c>
      <c r="N124" s="7" t="n">
        <v>1907.7</v>
      </c>
      <c r="P124" s="7" t="n">
        <v>2789.7</v>
      </c>
      <c r="R124" s="7" t="n">
        <v>1772.1</v>
      </c>
      <c r="T124" s="7" t="n">
        <v>1076.8</v>
      </c>
      <c r="V124" s="7" t="n">
        <v>1189.2</v>
      </c>
      <c r="X124" s="7" t="n">
        <v>437.6</v>
      </c>
      <c r="Z124" s="7" t="n">
        <v>1622.1</v>
      </c>
      <c r="AB124" s="7" t="n">
        <v>18083.5</v>
      </c>
    </row>
    <row r="125">
      <c r="A125" s="4" t="inlineStr">
        <is>
          <t>市内交通费</t>
        </is>
      </c>
      <c r="D125" s="7" t="n">
        <v>9.199999999999999</v>
      </c>
      <c r="F125" s="7" t="n">
        <v>1.7</v>
      </c>
      <c r="H125" s="7" t="n">
        <v>16.6</v>
      </c>
      <c r="J125" s="7" t="n">
        <v>8.4</v>
      </c>
      <c r="L125" s="7" t="n">
        <v>14</v>
      </c>
      <c r="N125" s="7" t="n">
        <v>9.300000000000001</v>
      </c>
      <c r="P125" s="7" t="n">
        <v>16.8</v>
      </c>
      <c r="R125" s="7" t="n">
        <v>10.1</v>
      </c>
      <c r="T125" s="7" t="n">
        <v>8.4</v>
      </c>
      <c r="V125" s="7" t="n">
        <v>5.8</v>
      </c>
      <c r="X125" s="7" t="n">
        <v>2.9</v>
      </c>
      <c r="Z125" s="7" t="n">
        <v>14</v>
      </c>
      <c r="AB125" s="7" t="n">
        <v>117.2</v>
      </c>
    </row>
    <row r="126">
      <c r="A126" s="4" t="inlineStr">
        <is>
          <t>差旅费</t>
        </is>
      </c>
      <c r="D126" s="7" t="n">
        <v>3257.2</v>
      </c>
      <c r="F126" s="7" t="n">
        <v>686.4</v>
      </c>
      <c r="H126" s="7" t="n">
        <v>3879.9</v>
      </c>
      <c r="J126" s="7" t="n">
        <v>2725.7</v>
      </c>
      <c r="L126" s="7" t="n">
        <v>4750.6</v>
      </c>
      <c r="N126" s="7" t="n">
        <v>2654.4</v>
      </c>
      <c r="P126" s="7" t="n">
        <v>4035.5</v>
      </c>
      <c r="R126" s="7" t="n">
        <v>2352.6</v>
      </c>
      <c r="T126" s="7" t="n">
        <v>1916.8</v>
      </c>
      <c r="V126" s="7" t="n">
        <v>2872.2</v>
      </c>
      <c r="X126" s="7" t="n">
        <v>547.2</v>
      </c>
      <c r="Z126" s="7" t="n">
        <v>4431.3</v>
      </c>
      <c r="AB126" s="7" t="n">
        <v>34109.8</v>
      </c>
    </row>
    <row r="127">
      <c r="A127" s="4" t="inlineStr">
        <is>
          <t>交通费</t>
        </is>
      </c>
      <c r="D127" s="7" t="n">
        <v>227.4</v>
      </c>
      <c r="F127" s="7" t="n">
        <v>30.4</v>
      </c>
      <c r="H127" s="7" t="n">
        <v>367.5</v>
      </c>
      <c r="J127" s="7" t="n">
        <v>146.1</v>
      </c>
      <c r="L127" s="7" t="n">
        <v>285.7</v>
      </c>
      <c r="N127" s="7" t="n">
        <v>267.5</v>
      </c>
      <c r="P127" s="7" t="n">
        <v>340.5</v>
      </c>
      <c r="R127" s="7" t="n">
        <v>150.6</v>
      </c>
      <c r="T127" s="7" t="n">
        <v>198.7</v>
      </c>
      <c r="V127" s="7" t="n">
        <v>167.3</v>
      </c>
      <c r="X127" s="7" t="n">
        <v>59</v>
      </c>
      <c r="Z127" s="7" t="n">
        <v>374.8</v>
      </c>
      <c r="AB127" s="7" t="n">
        <v>2615.5</v>
      </c>
    </row>
    <row r="128">
      <c r="A128" s="4" t="inlineStr">
        <is>
          <t>住宿费</t>
        </is>
      </c>
      <c r="D128" s="7" t="n">
        <v>92.8</v>
      </c>
      <c r="F128" s="7" t="n">
        <v>28.3</v>
      </c>
      <c r="H128" s="7" t="n">
        <v>199.1</v>
      </c>
      <c r="J128" s="7" t="n">
        <v>106.4</v>
      </c>
      <c r="L128" s="7" t="n">
        <v>224.3</v>
      </c>
      <c r="N128" s="7" t="n">
        <v>185.7</v>
      </c>
      <c r="P128" s="7" t="n">
        <v>223.5</v>
      </c>
      <c r="R128" s="7" t="n">
        <v>135.1</v>
      </c>
      <c r="T128" s="7" t="n">
        <v>136.2</v>
      </c>
      <c r="V128" s="7" t="n">
        <v>99.59999999999999</v>
      </c>
      <c r="X128" s="7" t="n">
        <v>28.6</v>
      </c>
      <c r="Z128" s="7" t="n">
        <v>180.9</v>
      </c>
      <c r="AB128" s="7" t="n">
        <v>1640.5</v>
      </c>
    </row>
    <row r="129">
      <c r="A129" s="4" t="inlineStr">
        <is>
          <t>餐补</t>
        </is>
      </c>
      <c r="D129" s="7" t="n">
        <v>145.1</v>
      </c>
      <c r="F129" s="7" t="n">
        <v>29.4</v>
      </c>
      <c r="H129" s="7" t="n">
        <v>420.7</v>
      </c>
      <c r="J129" s="7" t="n">
        <v>130.8</v>
      </c>
      <c r="L129" s="7" t="n">
        <v>253.7</v>
      </c>
      <c r="N129" s="7" t="n">
        <v>213.9</v>
      </c>
      <c r="P129" s="7" t="n">
        <v>371.7</v>
      </c>
      <c r="R129" s="7" t="n">
        <v>226.1</v>
      </c>
      <c r="T129" s="7" t="n">
        <v>228.9</v>
      </c>
      <c r="V129" s="7" t="n">
        <v>143.8</v>
      </c>
      <c r="X129" s="7" t="n">
        <v>58.4</v>
      </c>
      <c r="Z129" s="7" t="n">
        <v>272.3</v>
      </c>
      <c r="AB129" s="7" t="n">
        <v>2494.8</v>
      </c>
    </row>
    <row r="130">
      <c r="A130" s="4" t="inlineStr">
        <is>
          <t>交通补助</t>
        </is>
      </c>
      <c r="D130" s="7" t="n">
        <v>128.8</v>
      </c>
      <c r="F130" s="7" t="n">
        <v>40</v>
      </c>
      <c r="H130" s="7" t="n">
        <v>377.9</v>
      </c>
      <c r="J130" s="7" t="n">
        <v>140.7</v>
      </c>
      <c r="L130" s="7" t="n">
        <v>279.2</v>
      </c>
      <c r="N130" s="7" t="n">
        <v>227.8</v>
      </c>
      <c r="P130" s="7" t="n">
        <v>291.7</v>
      </c>
      <c r="R130" s="7" t="n">
        <v>210.1</v>
      </c>
      <c r="T130" s="7" t="n">
        <v>170.4</v>
      </c>
      <c r="V130" s="7" t="n">
        <v>127.2</v>
      </c>
      <c r="X130" s="7" t="n">
        <v>37</v>
      </c>
      <c r="Z130" s="7" t="n">
        <v>292.8</v>
      </c>
      <c r="AB130" s="7" t="n">
        <v>2323.6</v>
      </c>
    </row>
    <row r="131">
      <c r="A131" s="4" t="inlineStr">
        <is>
          <t>通讯补助</t>
        </is>
      </c>
      <c r="D131" s="7" t="n">
        <v>47.9</v>
      </c>
      <c r="F131" s="7" t="n">
        <v>12.5</v>
      </c>
      <c r="H131" s="7" t="n">
        <v>142.3</v>
      </c>
      <c r="J131" s="7" t="n">
        <v>50.5</v>
      </c>
      <c r="L131" s="7" t="n">
        <v>95.7</v>
      </c>
      <c r="N131" s="7" t="n">
        <v>94.09999999999999</v>
      </c>
      <c r="P131" s="7" t="n">
        <v>112.7</v>
      </c>
      <c r="R131" s="7" t="n">
        <v>71.09999999999999</v>
      </c>
      <c r="T131" s="7" t="n">
        <v>43.2</v>
      </c>
      <c r="V131" s="7" t="n">
        <v>53.4</v>
      </c>
      <c r="X131" s="7" t="n">
        <v>17.5</v>
      </c>
      <c r="Z131" s="7" t="n">
        <v>70.3</v>
      </c>
      <c r="AB131" s="7" t="n">
        <v>811.2</v>
      </c>
    </row>
    <row r="132">
      <c r="A132" s="4" t="inlineStr">
        <is>
          <t>招待费</t>
        </is>
      </c>
      <c r="D132" s="7" t="n">
        <v>2411.3</v>
      </c>
      <c r="F132" s="7" t="n">
        <v>362.2</v>
      </c>
      <c r="H132" s="7" t="n">
        <v>2536.2</v>
      </c>
      <c r="J132" s="7" t="n">
        <v>2013.1</v>
      </c>
      <c r="L132" s="7" t="n">
        <v>2646.1</v>
      </c>
      <c r="N132" s="7" t="n">
        <v>2919.1</v>
      </c>
      <c r="P132" s="7" t="n">
        <v>3374.7</v>
      </c>
      <c r="R132" s="7" t="n">
        <v>2048.3</v>
      </c>
      <c r="T132" s="7" t="n">
        <v>2131.8</v>
      </c>
      <c r="V132" s="7" t="n">
        <v>1126.3</v>
      </c>
      <c r="X132" s="7" t="n">
        <v>508.9</v>
      </c>
      <c r="Z132" s="7" t="n">
        <v>3271.2</v>
      </c>
      <c r="AB132" s="7" t="n">
        <v>25349.2</v>
      </c>
    </row>
    <row r="133">
      <c r="A133" s="4" t="inlineStr">
        <is>
          <t>通讯费</t>
        </is>
      </c>
      <c r="D133" s="7" t="n">
        <v>169.7</v>
      </c>
      <c r="F133" s="7" t="n">
        <v>34</v>
      </c>
      <c r="H133" s="7" t="n">
        <v>459.8</v>
      </c>
      <c r="J133" s="7" t="n">
        <v>191.3</v>
      </c>
      <c r="L133" s="7" t="n">
        <v>349.8</v>
      </c>
      <c r="N133" s="7" t="n">
        <v>274.5</v>
      </c>
      <c r="P133" s="7" t="n">
        <v>278.7</v>
      </c>
      <c r="R133" s="7" t="n">
        <v>238.8</v>
      </c>
      <c r="T133" s="7" t="n">
        <v>158.9</v>
      </c>
      <c r="V133" s="7" t="n">
        <v>164.2</v>
      </c>
      <c r="X133" s="7" t="n">
        <v>67.5</v>
      </c>
      <c r="Z133" s="7" t="n">
        <v>328.7</v>
      </c>
      <c r="AB133" s="7" t="n">
        <v>2715.9</v>
      </c>
    </row>
    <row r="134">
      <c r="A134" s="4" t="inlineStr">
        <is>
          <t>网络费</t>
        </is>
      </c>
      <c r="D134" s="7" t="n">
        <v>103.1</v>
      </c>
      <c r="F134" s="7" t="n">
        <v>30</v>
      </c>
      <c r="H134" s="7" t="n">
        <v>173.6</v>
      </c>
      <c r="J134" s="7" t="n">
        <v>123.5</v>
      </c>
      <c r="L134" s="7" t="n">
        <v>224.8</v>
      </c>
      <c r="N134" s="7" t="n">
        <v>143.3</v>
      </c>
      <c r="P134" s="7" t="n">
        <v>149.5</v>
      </c>
      <c r="R134" s="7" t="n">
        <v>157.1</v>
      </c>
      <c r="T134" s="7" t="n">
        <v>106</v>
      </c>
      <c r="V134" s="7" t="n">
        <v>112.8</v>
      </c>
      <c r="X134" s="7" t="n">
        <v>25.3</v>
      </c>
      <c r="Z134" s="7" t="n">
        <v>175.7</v>
      </c>
      <c r="AB134" s="7" t="n">
        <v>1524.7</v>
      </c>
    </row>
    <row r="135">
      <c r="A135" s="4" t="inlineStr">
        <is>
          <t>修理费</t>
        </is>
      </c>
      <c r="D135" s="7" t="n">
        <v>47.3</v>
      </c>
      <c r="F135" s="7" t="n">
        <v>8.5</v>
      </c>
      <c r="H135" s="7" t="n">
        <v>91</v>
      </c>
      <c r="J135" s="7" t="n">
        <v>40.3</v>
      </c>
      <c r="L135" s="7" t="n">
        <v>71.59999999999999</v>
      </c>
      <c r="N135" s="7" t="n">
        <v>72</v>
      </c>
      <c r="P135" s="7" t="n">
        <v>99.7</v>
      </c>
      <c r="R135" s="7" t="n">
        <v>60</v>
      </c>
      <c r="T135" s="7" t="n">
        <v>38.9</v>
      </c>
      <c r="V135" s="7" t="n">
        <v>43.6</v>
      </c>
      <c r="X135" s="7" t="n">
        <v>14.1</v>
      </c>
      <c r="Z135" s="7" t="n">
        <v>79.8</v>
      </c>
      <c r="AB135" s="7" t="n">
        <v>666.8</v>
      </c>
    </row>
    <row r="136">
      <c r="A136" s="4" t="inlineStr">
        <is>
          <t>车辆费</t>
        </is>
      </c>
      <c r="D136" s="7" t="n">
        <v>38.7</v>
      </c>
      <c r="F136" s="7" t="n">
        <v>6.3</v>
      </c>
      <c r="H136" s="7" t="n">
        <v>77.8</v>
      </c>
      <c r="J136" s="7" t="n">
        <v>36</v>
      </c>
      <c r="L136" s="7" t="n">
        <v>51.4</v>
      </c>
      <c r="N136" s="7" t="n">
        <v>60.9</v>
      </c>
      <c r="P136" s="7" t="n">
        <v>70.8</v>
      </c>
      <c r="R136" s="7" t="n">
        <v>47.1</v>
      </c>
      <c r="T136" s="7" t="n">
        <v>26.8</v>
      </c>
      <c r="V136" s="7" t="n">
        <v>37</v>
      </c>
      <c r="X136" s="7" t="n">
        <v>7.5</v>
      </c>
      <c r="Z136" s="7" t="n">
        <v>55.4</v>
      </c>
      <c r="AB136" s="7" t="n">
        <v>515.7</v>
      </c>
    </row>
    <row r="137">
      <c r="A137" s="4" t="inlineStr">
        <is>
          <t>租赁费</t>
        </is>
      </c>
      <c r="D137" s="7" t="n">
        <v>2761.9</v>
      </c>
      <c r="F137" s="7" t="n">
        <v>402.9</v>
      </c>
      <c r="H137" s="7" t="n">
        <v>5170.1</v>
      </c>
      <c r="J137" s="7" t="n">
        <v>1547.4</v>
      </c>
      <c r="L137" s="7" t="n">
        <v>4574.5</v>
      </c>
      <c r="N137" s="7" t="n">
        <v>3881.1</v>
      </c>
      <c r="P137" s="7" t="n">
        <v>4753.6</v>
      </c>
      <c r="R137" s="7" t="n">
        <v>2004.3</v>
      </c>
      <c r="T137" s="7" t="n">
        <v>2154.1</v>
      </c>
      <c r="V137" s="7" t="n">
        <v>1831.8</v>
      </c>
      <c r="X137" s="7" t="n">
        <v>504.6</v>
      </c>
      <c r="Z137" s="7" t="n">
        <v>4064.5</v>
      </c>
      <c r="AB137" s="7" t="n">
        <v>33650.8</v>
      </c>
    </row>
    <row r="138">
      <c r="A138" s="4" t="inlineStr">
        <is>
          <t>能源费</t>
        </is>
      </c>
      <c r="D138" s="7" t="n">
        <v>676.8</v>
      </c>
      <c r="F138" s="7" t="n">
        <v>127.2</v>
      </c>
      <c r="H138" s="7" t="n">
        <v>1190.7</v>
      </c>
      <c r="J138" s="7" t="n">
        <v>618.7</v>
      </c>
      <c r="L138" s="7" t="n">
        <v>1211.4</v>
      </c>
      <c r="N138" s="7" t="n">
        <v>844</v>
      </c>
      <c r="P138" s="7" t="n">
        <v>993.9</v>
      </c>
      <c r="R138" s="7" t="n">
        <v>764.2</v>
      </c>
      <c r="T138" s="7" t="n">
        <v>538.8</v>
      </c>
      <c r="V138" s="7" t="n">
        <v>571.4</v>
      </c>
      <c r="X138" s="7" t="n">
        <v>201.9</v>
      </c>
      <c r="Z138" s="7" t="n">
        <v>1065.1</v>
      </c>
      <c r="AB138" s="7" t="n">
        <v>8804.1</v>
      </c>
    </row>
    <row r="139">
      <c r="A139" s="4" t="inlineStr">
        <is>
          <t>水费</t>
        </is>
      </c>
      <c r="D139" s="7" t="n">
        <v>156.6</v>
      </c>
      <c r="F139" s="7" t="n">
        <v>24.8</v>
      </c>
      <c r="H139" s="7" t="n">
        <v>286</v>
      </c>
      <c r="J139" s="7" t="n">
        <v>177.3</v>
      </c>
      <c r="L139" s="7" t="n">
        <v>309.1</v>
      </c>
      <c r="N139" s="7" t="n">
        <v>154.5</v>
      </c>
      <c r="P139" s="7" t="n">
        <v>317</v>
      </c>
      <c r="R139" s="7" t="n">
        <v>168</v>
      </c>
      <c r="T139" s="7" t="n">
        <v>147.9</v>
      </c>
      <c r="V139" s="7" t="n">
        <v>153.5</v>
      </c>
      <c r="X139" s="7" t="n">
        <v>41</v>
      </c>
      <c r="Z139" s="7" t="n">
        <v>299</v>
      </c>
      <c r="AB139" s="7" t="n">
        <v>2234.7</v>
      </c>
    </row>
    <row r="140">
      <c r="A140" s="4" t="inlineStr">
        <is>
          <t>电费</t>
        </is>
      </c>
      <c r="D140" s="7" t="n">
        <v>15.4</v>
      </c>
      <c r="F140" s="7" t="n">
        <v>3</v>
      </c>
      <c r="H140" s="7" t="n">
        <v>22.5</v>
      </c>
      <c r="J140" s="7" t="n">
        <v>15.6</v>
      </c>
      <c r="L140" s="7" t="n">
        <v>25.4</v>
      </c>
      <c r="N140" s="7" t="n">
        <v>17.8</v>
      </c>
      <c r="P140" s="7" t="n">
        <v>24.4</v>
      </c>
      <c r="R140" s="7" t="n">
        <v>17.8</v>
      </c>
      <c r="T140" s="7" t="n">
        <v>9.4</v>
      </c>
      <c r="V140" s="7" t="n">
        <v>15</v>
      </c>
      <c r="X140" s="7" t="n">
        <v>4</v>
      </c>
      <c r="Z140" s="7" t="n">
        <v>23.8</v>
      </c>
      <c r="AB140" s="7" t="n">
        <v>194.1</v>
      </c>
    </row>
    <row r="141">
      <c r="A141" s="4" t="inlineStr">
        <is>
          <t>燃气费</t>
        </is>
      </c>
      <c r="D141" s="7" t="n">
        <v>217.3</v>
      </c>
      <c r="F141" s="7" t="n">
        <v>44.9</v>
      </c>
      <c r="H141" s="7" t="n">
        <v>479.1</v>
      </c>
      <c r="J141" s="7" t="n">
        <v>172.9</v>
      </c>
      <c r="L141" s="7" t="n">
        <v>467.2</v>
      </c>
      <c r="N141" s="7" t="n">
        <v>348.4</v>
      </c>
      <c r="P141" s="7" t="n">
        <v>328.2</v>
      </c>
      <c r="R141" s="7" t="n">
        <v>217.7</v>
      </c>
      <c r="T141" s="7" t="n">
        <v>147.4</v>
      </c>
      <c r="V141" s="7" t="n">
        <v>146</v>
      </c>
      <c r="X141" s="7" t="n">
        <v>73.59999999999999</v>
      </c>
      <c r="Z141" s="7" t="n">
        <v>291.7</v>
      </c>
      <c r="AB141" s="7" t="n">
        <v>2934.4</v>
      </c>
    </row>
    <row r="142">
      <c r="A142" s="4" t="inlineStr">
        <is>
          <t>蒸汽费</t>
        </is>
      </c>
      <c r="D142" s="7" t="n">
        <v>287.5</v>
      </c>
      <c r="F142" s="7" t="n">
        <v>54.5</v>
      </c>
      <c r="H142" s="7" t="n">
        <v>403.1</v>
      </c>
      <c r="J142" s="7" t="n">
        <v>252.9</v>
      </c>
      <c r="L142" s="7" t="n">
        <v>409.7</v>
      </c>
      <c r="N142" s="7" t="n">
        <v>323.3</v>
      </c>
      <c r="P142" s="7" t="n">
        <v>324.3</v>
      </c>
      <c r="R142" s="7" t="n">
        <v>360.7</v>
      </c>
      <c r="T142" s="7" t="n">
        <v>234.1</v>
      </c>
      <c r="V142" s="7" t="n">
        <v>256.9</v>
      </c>
      <c r="X142" s="7" t="n">
        <v>83.3</v>
      </c>
      <c r="Z142" s="7" t="n">
        <v>450.6</v>
      </c>
      <c r="AB142" s="7" t="n">
        <v>3440.9</v>
      </c>
    </row>
    <row r="143">
      <c r="A143" s="4" t="inlineStr">
        <is>
          <t>物业费</t>
        </is>
      </c>
      <c r="D143" s="7" t="n">
        <v>226.4</v>
      </c>
      <c r="F143" s="7" t="n">
        <v>59.8</v>
      </c>
      <c r="H143" s="7" t="n">
        <v>640.5</v>
      </c>
      <c r="J143" s="7" t="n">
        <v>312</v>
      </c>
      <c r="L143" s="7" t="n">
        <v>415.4</v>
      </c>
      <c r="N143" s="7" t="n">
        <v>442.5</v>
      </c>
      <c r="P143" s="7" t="n">
        <v>439.7</v>
      </c>
      <c r="R143" s="7" t="n">
        <v>363.5</v>
      </c>
      <c r="T143" s="7" t="n">
        <v>217.3</v>
      </c>
      <c r="V143" s="7" t="n">
        <v>200.4</v>
      </c>
      <c r="X143" s="7" t="n">
        <v>68.7</v>
      </c>
      <c r="Z143" s="7" t="n">
        <v>495.8</v>
      </c>
      <c r="AB143" s="7" t="n">
        <v>3882</v>
      </c>
    </row>
    <row r="144">
      <c r="A144" s="4" t="inlineStr">
        <is>
          <t>劳动保护费</t>
        </is>
      </c>
      <c r="D144" s="7" t="n">
        <v>30.6</v>
      </c>
      <c r="F144" s="7" t="n">
        <v>6.1</v>
      </c>
      <c r="H144" s="7" t="n">
        <v>46</v>
      </c>
      <c r="J144" s="7" t="n">
        <v>22.2</v>
      </c>
      <c r="L144" s="7" t="n">
        <v>43.4</v>
      </c>
      <c r="N144" s="7" t="n">
        <v>47.7</v>
      </c>
      <c r="P144" s="7" t="n">
        <v>56.6</v>
      </c>
      <c r="R144" s="7" t="n">
        <v>25</v>
      </c>
      <c r="T144" s="7" t="n">
        <v>29.4</v>
      </c>
      <c r="V144" s="7" t="n">
        <v>26.1</v>
      </c>
      <c r="X144" s="7" t="n">
        <v>6.1</v>
      </c>
      <c r="Z144" s="7" t="n">
        <v>34.5</v>
      </c>
      <c r="AB144" s="7" t="n">
        <v>373.7</v>
      </c>
    </row>
    <row r="145">
      <c r="A145" s="4" t="inlineStr">
        <is>
          <t>顾问费</t>
        </is>
      </c>
      <c r="D145" s="7" t="n">
        <v>295</v>
      </c>
      <c r="F145" s="7" t="n">
        <v>33.7</v>
      </c>
      <c r="H145" s="7" t="n">
        <v>473.3</v>
      </c>
      <c r="J145" s="7" t="n">
        <v>213.6</v>
      </c>
      <c r="L145" s="7" t="n">
        <v>386.3</v>
      </c>
      <c r="N145" s="7" t="n">
        <v>394.9</v>
      </c>
      <c r="P145" s="7" t="n">
        <v>299.6</v>
      </c>
      <c r="R145" s="7" t="n">
        <v>274.5</v>
      </c>
      <c r="T145" s="7" t="n">
        <v>231.3</v>
      </c>
      <c r="V145" s="7" t="n">
        <v>223.2</v>
      </c>
      <c r="X145" s="7" t="n">
        <v>85.3</v>
      </c>
      <c r="Z145" s="7" t="n">
        <v>324.6</v>
      </c>
      <c r="AB145" s="7" t="n">
        <v>3235.3</v>
      </c>
    </row>
    <row r="146">
      <c r="A146" s="4" t="inlineStr">
        <is>
          <t>快递费</t>
        </is>
      </c>
      <c r="D146" s="7" t="n">
        <v>92.59999999999999</v>
      </c>
      <c r="F146" s="7" t="n">
        <v>16.9</v>
      </c>
      <c r="H146" s="7" t="n">
        <v>115.2</v>
      </c>
      <c r="J146" s="7" t="n">
        <v>74.90000000000001</v>
      </c>
      <c r="L146" s="7" t="n">
        <v>117.2</v>
      </c>
      <c r="N146" s="7" t="n">
        <v>110.7</v>
      </c>
      <c r="P146" s="7" t="n">
        <v>151.3</v>
      </c>
      <c r="R146" s="7" t="n">
        <v>104.6</v>
      </c>
      <c r="T146" s="7" t="n">
        <v>76.2</v>
      </c>
      <c r="V146" s="7" t="n">
        <v>61.6</v>
      </c>
      <c r="X146" s="7" t="n">
        <v>26.9</v>
      </c>
      <c r="Z146" s="7" t="n">
        <v>90.40000000000001</v>
      </c>
      <c r="AB146" s="7" t="n">
        <v>1038.5</v>
      </c>
    </row>
    <row r="147">
      <c r="A147" s="4" t="inlineStr">
        <is>
          <t>诉讼费</t>
        </is>
      </c>
      <c r="D147" s="7" t="n">
        <v>343.7</v>
      </c>
      <c r="F147" s="7" t="n">
        <v>55.1</v>
      </c>
      <c r="H147" s="7" t="n">
        <v>497.3</v>
      </c>
      <c r="J147" s="7" t="n">
        <v>231.2</v>
      </c>
      <c r="L147" s="7" t="n">
        <v>525.8</v>
      </c>
      <c r="N147" s="7" t="n">
        <v>308.5</v>
      </c>
      <c r="P147" s="7" t="n">
        <v>307.2</v>
      </c>
      <c r="R147" s="7" t="n">
        <v>321</v>
      </c>
      <c r="T147" s="7" t="n">
        <v>277.8</v>
      </c>
      <c r="V147" s="7" t="n">
        <v>151.5</v>
      </c>
      <c r="X147" s="7" t="n">
        <v>56.3</v>
      </c>
      <c r="Z147" s="7" t="n">
        <v>329.7</v>
      </c>
      <c r="AB147" s="7" t="n">
        <v>3405.1</v>
      </c>
    </row>
    <row r="148">
      <c r="A148" s="4" t="inlineStr">
        <is>
          <t>会员费</t>
        </is>
      </c>
      <c r="D148" s="7" t="n">
        <v>157.9</v>
      </c>
      <c r="F148" s="7" t="n">
        <v>38.2</v>
      </c>
      <c r="H148" s="7" t="n">
        <v>440.4</v>
      </c>
      <c r="J148" s="7" t="n">
        <v>121.9</v>
      </c>
      <c r="L148" s="7" t="n">
        <v>412.1</v>
      </c>
      <c r="N148" s="7" t="n">
        <v>205.8</v>
      </c>
      <c r="P148" s="7" t="n">
        <v>281.4</v>
      </c>
      <c r="R148" s="7" t="n">
        <v>176.6</v>
      </c>
      <c r="T148" s="7" t="n">
        <v>183.6</v>
      </c>
      <c r="V148" s="7" t="n">
        <v>196.2</v>
      </c>
      <c r="X148" s="7" t="n">
        <v>48.2</v>
      </c>
      <c r="Z148" s="7" t="n">
        <v>209.5</v>
      </c>
      <c r="AB148" s="7" t="n">
        <v>2471.8</v>
      </c>
    </row>
    <row r="149">
      <c r="A149" s="4" t="inlineStr">
        <is>
          <t>广告宣传费</t>
        </is>
      </c>
      <c r="D149" s="7" t="n">
        <v>1160</v>
      </c>
      <c r="F149" s="7" t="n">
        <v>245.7</v>
      </c>
      <c r="H149" s="7" t="n">
        <v>2118.9</v>
      </c>
      <c r="J149" s="7" t="n">
        <v>1167</v>
      </c>
      <c r="L149" s="7" t="n">
        <v>2499.3</v>
      </c>
      <c r="N149" s="7" t="n">
        <v>1365.4</v>
      </c>
      <c r="P149" s="7" t="n">
        <v>1661.2</v>
      </c>
      <c r="R149" s="7" t="n">
        <v>1683.9</v>
      </c>
      <c r="T149" s="7" t="n">
        <v>1517.4</v>
      </c>
      <c r="V149" s="7" t="n">
        <v>940.5</v>
      </c>
      <c r="X149" s="7" t="n">
        <v>414.6</v>
      </c>
      <c r="Z149" s="7" t="n">
        <v>2323.5</v>
      </c>
      <c r="AB149" s="7" t="n">
        <v>17097.4</v>
      </c>
    </row>
    <row r="150">
      <c r="A150" s="4" t="inlineStr">
        <is>
          <t>会务费</t>
        </is>
      </c>
      <c r="D150" s="7" t="n">
        <v>293.8</v>
      </c>
      <c r="F150" s="7" t="n">
        <v>41.4</v>
      </c>
      <c r="H150" s="7" t="n">
        <v>380.1</v>
      </c>
      <c r="J150" s="7" t="n">
        <v>234.6</v>
      </c>
      <c r="L150" s="7" t="n">
        <v>328.4</v>
      </c>
      <c r="N150" s="7" t="n">
        <v>219.6</v>
      </c>
      <c r="P150" s="7" t="n">
        <v>371.9</v>
      </c>
      <c r="R150" s="7" t="n">
        <v>197.2</v>
      </c>
      <c r="T150" s="7" t="n">
        <v>257.9</v>
      </c>
      <c r="V150" s="7" t="n">
        <v>172.4</v>
      </c>
      <c r="X150" s="7" t="n">
        <v>52.9</v>
      </c>
      <c r="Z150" s="7" t="n">
        <v>396.8</v>
      </c>
      <c r="AB150" s="7" t="n">
        <v>2947</v>
      </c>
    </row>
    <row r="151">
      <c r="A151" s="4" t="inlineStr">
        <is>
          <t>装修费</t>
        </is>
      </c>
      <c r="D151" s="7" t="n">
        <v>218.6</v>
      </c>
      <c r="F151" s="7" t="n">
        <v>33.4</v>
      </c>
      <c r="H151" s="7" t="n">
        <v>313.8</v>
      </c>
      <c r="J151" s="7" t="n">
        <v>152.6</v>
      </c>
      <c r="L151" s="7" t="n">
        <v>326.5</v>
      </c>
      <c r="N151" s="7" t="n">
        <v>336.6</v>
      </c>
      <c r="P151" s="7" t="n">
        <v>378.6</v>
      </c>
      <c r="R151" s="7" t="n">
        <v>193.2</v>
      </c>
      <c r="T151" s="7" t="n">
        <v>237.5</v>
      </c>
      <c r="V151" s="7" t="n">
        <v>145</v>
      </c>
      <c r="X151" s="7" t="n">
        <v>39.9</v>
      </c>
      <c r="Z151" s="7" t="n">
        <v>274</v>
      </c>
      <c r="AB151" s="7" t="n">
        <v>2649.7</v>
      </c>
    </row>
    <row r="152">
      <c r="A152" s="4" t="inlineStr">
        <is>
          <t>推广费</t>
        </is>
      </c>
      <c r="D152" s="7" t="n">
        <v>303.9</v>
      </c>
      <c r="F152" s="7" t="n">
        <v>38.5</v>
      </c>
      <c r="H152" s="7" t="n">
        <v>379</v>
      </c>
      <c r="J152" s="7" t="n">
        <v>229.9</v>
      </c>
      <c r="L152" s="7" t="n">
        <v>394.5</v>
      </c>
      <c r="N152" s="7" t="n">
        <v>342.3</v>
      </c>
      <c r="P152" s="7" t="n">
        <v>309.8</v>
      </c>
      <c r="R152" s="7" t="n">
        <v>223.8</v>
      </c>
      <c r="T152" s="7" t="n">
        <v>163.3</v>
      </c>
      <c r="V152" s="7" t="n">
        <v>175.6</v>
      </c>
      <c r="X152" s="7" t="n">
        <v>59.9</v>
      </c>
      <c r="Z152" s="7" t="n">
        <v>409.9</v>
      </c>
      <c r="AB152" s="7" t="n">
        <v>3030.4</v>
      </c>
    </row>
    <row r="153">
      <c r="A153" s="4" t="inlineStr">
        <is>
          <t>展会费</t>
        </is>
      </c>
      <c r="D153" s="7" t="n">
        <v>166.2</v>
      </c>
      <c r="F153" s="7" t="n">
        <v>43.9</v>
      </c>
      <c r="H153" s="7" t="n">
        <v>386.3</v>
      </c>
      <c r="J153" s="7" t="n">
        <v>171.1</v>
      </c>
      <c r="L153" s="7" t="n">
        <v>382.3</v>
      </c>
      <c r="N153" s="7" t="n">
        <v>270.1</v>
      </c>
      <c r="P153" s="7" t="n">
        <v>366.9</v>
      </c>
      <c r="R153" s="7" t="n">
        <v>189.7</v>
      </c>
      <c r="T153" s="7" t="n">
        <v>201.1</v>
      </c>
      <c r="V153" s="7" t="n">
        <v>182.5</v>
      </c>
      <c r="X153" s="7" t="n">
        <v>57.1</v>
      </c>
      <c r="Z153" s="7" t="n">
        <v>297.7</v>
      </c>
      <c r="AB153" s="7" t="n">
        <v>2714.9</v>
      </c>
    </row>
    <row r="154">
      <c r="A154" s="4" t="inlineStr">
        <is>
          <t>设计费</t>
        </is>
      </c>
      <c r="D154" s="7" t="n">
        <v>75.3</v>
      </c>
      <c r="F154" s="7" t="n">
        <v>18.3</v>
      </c>
      <c r="H154" s="7" t="n">
        <v>168.1</v>
      </c>
      <c r="J154" s="7" t="n">
        <v>65</v>
      </c>
      <c r="L154" s="7" t="n">
        <v>116.9</v>
      </c>
      <c r="N154" s="7" t="n">
        <v>87.8</v>
      </c>
      <c r="P154" s="7" t="n">
        <v>92.59999999999999</v>
      </c>
      <c r="R154" s="7" t="n">
        <v>93.40000000000001</v>
      </c>
      <c r="T154" s="7" t="n">
        <v>66.5</v>
      </c>
      <c r="V154" s="7" t="n">
        <v>45.6</v>
      </c>
      <c r="X154" s="7" t="n">
        <v>19.9</v>
      </c>
      <c r="Z154" s="7" t="n">
        <v>124.2</v>
      </c>
      <c r="AB154" s="7" t="n">
        <v>973.6</v>
      </c>
    </row>
    <row r="155">
      <c r="A155" s="4" t="inlineStr">
        <is>
          <t>折旧费</t>
        </is>
      </c>
      <c r="D155" s="7" t="n">
        <v>1958.3</v>
      </c>
      <c r="F155" s="7" t="n">
        <v>253.5</v>
      </c>
      <c r="H155" s="7" t="n">
        <v>3896.6</v>
      </c>
      <c r="J155" s="7" t="n">
        <v>1972</v>
      </c>
      <c r="L155" s="7" t="n">
        <v>2893.7</v>
      </c>
      <c r="N155" s="7" t="n">
        <v>1883.4</v>
      </c>
      <c r="P155" s="7" t="n">
        <v>3011.8</v>
      </c>
      <c r="R155" s="7" t="n">
        <v>1830.6</v>
      </c>
      <c r="T155" s="7" t="n">
        <v>2181.1</v>
      </c>
      <c r="V155" s="7" t="n">
        <v>1986.9</v>
      </c>
      <c r="X155" s="7" t="n">
        <v>571.6</v>
      </c>
      <c r="Z155" s="7" t="n">
        <v>2749.5</v>
      </c>
      <c r="AB155" s="7" t="n">
        <v>25189</v>
      </c>
    </row>
    <row r="156">
      <c r="A156" s="4" t="inlineStr">
        <is>
          <t>认证费</t>
        </is>
      </c>
      <c r="D156" s="7" t="n">
        <v>117.9</v>
      </c>
      <c r="F156" s="7" t="n">
        <v>30.4</v>
      </c>
      <c r="H156" s="7" t="n">
        <v>212.5</v>
      </c>
      <c r="J156" s="7" t="n">
        <v>116.1</v>
      </c>
      <c r="L156" s="7" t="n">
        <v>225</v>
      </c>
      <c r="N156" s="7" t="n">
        <v>135.7</v>
      </c>
      <c r="P156" s="7" t="n">
        <v>140.2</v>
      </c>
      <c r="R156" s="7" t="n">
        <v>138.9</v>
      </c>
      <c r="T156" s="7" t="n">
        <v>111.1</v>
      </c>
      <c r="V156" s="7" t="n">
        <v>122.9</v>
      </c>
      <c r="X156" s="7" t="n">
        <v>35.7</v>
      </c>
      <c r="Z156" s="7" t="n">
        <v>207.9</v>
      </c>
      <c r="AB156" s="7" t="n">
        <v>1594.3</v>
      </c>
    </row>
    <row r="157">
      <c r="A157" s="4" t="inlineStr">
        <is>
          <t>样品费</t>
        </is>
      </c>
      <c r="D157" s="7" t="n">
        <v>1178.2</v>
      </c>
      <c r="F157" s="7" t="n">
        <v>173.1</v>
      </c>
      <c r="H157" s="7" t="n">
        <v>1230.5</v>
      </c>
      <c r="J157" s="7" t="n">
        <v>1010.1</v>
      </c>
      <c r="L157" s="7" t="n">
        <v>1716.7</v>
      </c>
      <c r="N157" s="7" t="n">
        <v>1499.5</v>
      </c>
      <c r="P157" s="7" t="n">
        <v>1121.3</v>
      </c>
      <c r="R157" s="7" t="n">
        <v>1202</v>
      </c>
      <c r="T157" s="7" t="n">
        <v>717</v>
      </c>
      <c r="V157" s="7" t="n">
        <v>780.1</v>
      </c>
      <c r="X157" s="7" t="n">
        <v>294.3</v>
      </c>
      <c r="Z157" s="7" t="n">
        <v>1638.2</v>
      </c>
      <c r="AB157" s="7" t="n">
        <v>12561</v>
      </c>
    </row>
    <row r="158">
      <c r="A158" s="4" t="inlineStr">
        <is>
          <t>劳务费</t>
        </is>
      </c>
      <c r="D158" s="7" t="n">
        <v>286</v>
      </c>
      <c r="F158" s="7" t="n">
        <v>49.7</v>
      </c>
      <c r="H158" s="7" t="n">
        <v>508.6</v>
      </c>
      <c r="J158" s="7" t="n">
        <v>234</v>
      </c>
      <c r="L158" s="7" t="n">
        <v>469.3</v>
      </c>
      <c r="N158" s="7" t="n">
        <v>329.7</v>
      </c>
      <c r="P158" s="7" t="n">
        <v>499.9</v>
      </c>
      <c r="R158" s="7" t="n">
        <v>214.5</v>
      </c>
      <c r="T158" s="7" t="n">
        <v>300.6</v>
      </c>
      <c r="V158" s="7" t="n">
        <v>224.2</v>
      </c>
      <c r="X158" s="7" t="n">
        <v>54.4</v>
      </c>
      <c r="Z158" s="7" t="n">
        <v>298.6</v>
      </c>
      <c r="AB158" s="7" t="n">
        <v>3469.5</v>
      </c>
    </row>
    <row r="159">
      <c r="A159" s="4" t="inlineStr">
        <is>
          <t>销售佣金</t>
        </is>
      </c>
      <c r="D159" s="7" t="n">
        <v>136.2</v>
      </c>
      <c r="F159" s="7" t="n">
        <v>30.2</v>
      </c>
      <c r="H159" s="7" t="n">
        <v>307.6</v>
      </c>
      <c r="J159" s="7" t="n">
        <v>108.9</v>
      </c>
      <c r="L159" s="7" t="n">
        <v>224.4</v>
      </c>
      <c r="N159" s="7" t="n">
        <v>160</v>
      </c>
      <c r="P159" s="7" t="n">
        <v>308.8</v>
      </c>
      <c r="R159" s="7" t="n">
        <v>161.6</v>
      </c>
      <c r="T159" s="7" t="n">
        <v>151</v>
      </c>
      <c r="V159" s="7" t="n">
        <v>119.1</v>
      </c>
      <c r="X159" s="7" t="n">
        <v>40.7</v>
      </c>
      <c r="Z159" s="7" t="n">
        <v>147.7</v>
      </c>
      <c r="AB159" s="7" t="n">
        <v>1896.2</v>
      </c>
    </row>
    <row r="160">
      <c r="A160" s="4" t="inlineStr">
        <is>
          <t>检测费</t>
        </is>
      </c>
      <c r="D160" s="7" t="n">
        <v>388.3</v>
      </c>
      <c r="F160" s="7" t="n">
        <v>51.6</v>
      </c>
      <c r="H160" s="7" t="n">
        <v>671.3</v>
      </c>
      <c r="J160" s="7" t="n">
        <v>291.2</v>
      </c>
      <c r="L160" s="7" t="n">
        <v>598.8</v>
      </c>
      <c r="N160" s="7" t="n">
        <v>364.4</v>
      </c>
      <c r="P160" s="7" t="n">
        <v>539.3</v>
      </c>
      <c r="R160" s="7" t="n">
        <v>353.6</v>
      </c>
      <c r="T160" s="7" t="n">
        <v>231.9</v>
      </c>
      <c r="V160" s="7" t="n">
        <v>223.1</v>
      </c>
      <c r="X160" s="7" t="n">
        <v>58.2</v>
      </c>
      <c r="Z160" s="7" t="n">
        <v>493.2</v>
      </c>
      <c r="AB160" s="7" t="n">
        <v>4264.9</v>
      </c>
    </row>
    <row r="161">
      <c r="A161" s="4" t="inlineStr">
        <is>
          <t>质量赔偿</t>
        </is>
      </c>
      <c r="D161" s="7" t="n">
        <v>203.7</v>
      </c>
      <c r="F161" s="7" t="n">
        <v>35.7</v>
      </c>
      <c r="H161" s="7" t="n">
        <v>428.8</v>
      </c>
      <c r="J161" s="7" t="n">
        <v>152.7</v>
      </c>
      <c r="L161" s="7" t="n">
        <v>471.4</v>
      </c>
      <c r="N161" s="7" t="n">
        <v>302.5</v>
      </c>
      <c r="P161" s="7" t="n">
        <v>294.7</v>
      </c>
      <c r="R161" s="7" t="n">
        <v>207.7</v>
      </c>
      <c r="T161" s="7" t="n">
        <v>205.6</v>
      </c>
      <c r="V161" s="7" t="n">
        <v>166.4</v>
      </c>
      <c r="X161" s="7" t="n">
        <v>44.2</v>
      </c>
      <c r="Z161" s="7" t="n">
        <v>246.5</v>
      </c>
      <c r="AB161" s="7" t="n">
        <v>2759.9</v>
      </c>
    </row>
    <row r="162">
      <c r="A162" s="4" t="inlineStr">
        <is>
          <t>保险费</t>
        </is>
      </c>
      <c r="D162" s="7" t="n">
        <v>21.5</v>
      </c>
      <c r="F162" s="7" t="n">
        <v>4</v>
      </c>
      <c r="H162" s="7" t="n">
        <v>31.5</v>
      </c>
      <c r="J162" s="7" t="n">
        <v>18.7</v>
      </c>
      <c r="L162" s="7" t="n">
        <v>38</v>
      </c>
      <c r="N162" s="7" t="n">
        <v>21</v>
      </c>
      <c r="P162" s="7" t="n">
        <v>22</v>
      </c>
      <c r="R162" s="7" t="n">
        <v>15.9</v>
      </c>
      <c r="T162" s="7" t="n">
        <v>18.9</v>
      </c>
      <c r="V162" s="7" t="n">
        <v>14.2</v>
      </c>
      <c r="X162" s="7" t="n">
        <v>5.4</v>
      </c>
      <c r="Z162" s="7" t="n">
        <v>25.4</v>
      </c>
      <c r="AB162" s="7" t="n">
        <v>236.5</v>
      </c>
    </row>
    <row r="163">
      <c r="A163" s="4" t="inlineStr">
        <is>
          <t>清洁费</t>
        </is>
      </c>
      <c r="D163" s="7" t="n">
        <v>204.6</v>
      </c>
      <c r="F163" s="7" t="n">
        <v>48.9</v>
      </c>
      <c r="H163" s="7" t="n">
        <v>438.2</v>
      </c>
      <c r="J163" s="7" t="n">
        <v>240.9</v>
      </c>
      <c r="L163" s="7" t="n">
        <v>376.8</v>
      </c>
      <c r="N163" s="7" t="n">
        <v>311.1</v>
      </c>
      <c r="P163" s="7" t="n">
        <v>273.1</v>
      </c>
      <c r="R163" s="7" t="n">
        <v>218.4</v>
      </c>
      <c r="T163" s="7" t="n">
        <v>192.8</v>
      </c>
      <c r="V163" s="7" t="n">
        <v>174.6</v>
      </c>
      <c r="X163" s="7" t="n">
        <v>44.3</v>
      </c>
      <c r="Z163" s="7" t="n">
        <v>387.1</v>
      </c>
      <c r="AB163" s="7" t="n">
        <v>2910.8</v>
      </c>
    </row>
    <row r="164">
      <c r="A164" s="4" t="inlineStr">
        <is>
          <t>低值易耗品</t>
        </is>
      </c>
      <c r="D164" s="7" t="n">
        <v>5.1</v>
      </c>
      <c r="F164" s="7" t="n">
        <v>1.5</v>
      </c>
      <c r="H164" s="7" t="n">
        <v>11.6</v>
      </c>
      <c r="J164" s="7" t="n">
        <v>6.2</v>
      </c>
      <c r="L164" s="7" t="n">
        <v>12.1</v>
      </c>
      <c r="N164" s="7" t="n">
        <v>6.4</v>
      </c>
      <c r="P164" s="7" t="n">
        <v>12.6</v>
      </c>
      <c r="R164" s="7" t="n">
        <v>7.3</v>
      </c>
      <c r="T164" s="7" t="n">
        <v>4.3</v>
      </c>
      <c r="V164" s="7" t="n">
        <v>4.8</v>
      </c>
      <c r="X164" s="7" t="n">
        <v>2.2</v>
      </c>
      <c r="Z164" s="7" t="n">
        <v>11.2</v>
      </c>
      <c r="AB164" s="7" t="n">
        <v>85.3</v>
      </c>
    </row>
    <row r="165">
      <c r="A165" s="4" t="inlineStr">
        <is>
          <t>物料消耗</t>
        </is>
      </c>
      <c r="D165" s="7" t="n">
        <v>57</v>
      </c>
      <c r="F165" s="7" t="n">
        <v>9.800000000000001</v>
      </c>
      <c r="H165" s="7" t="n">
        <v>79.40000000000001</v>
      </c>
      <c r="J165" s="7" t="n">
        <v>41</v>
      </c>
      <c r="L165" s="7" t="n">
        <v>89.40000000000001</v>
      </c>
      <c r="N165" s="7" t="n">
        <v>42.5</v>
      </c>
      <c r="P165" s="7" t="n">
        <v>60.1</v>
      </c>
      <c r="R165" s="7" t="n">
        <v>40.8</v>
      </c>
      <c r="T165" s="7" t="n">
        <v>32.9</v>
      </c>
      <c r="V165" s="7" t="n">
        <v>47.1</v>
      </c>
      <c r="X165" s="7" t="n">
        <v>13.9</v>
      </c>
      <c r="Z165" s="7" t="n">
        <v>51.7</v>
      </c>
      <c r="AB165" s="7" t="n">
        <v>565.6</v>
      </c>
    </row>
    <row r="166">
      <c r="A166" s="4" t="inlineStr">
        <is>
          <t>盘盈盘亏</t>
        </is>
      </c>
      <c r="D166" s="7" t="n">
        <v>83.59999999999999</v>
      </c>
      <c r="F166" s="7" t="n">
        <v>19.4</v>
      </c>
      <c r="H166" s="7" t="n">
        <v>143.5</v>
      </c>
      <c r="J166" s="7" t="n">
        <v>83.8</v>
      </c>
      <c r="L166" s="7" t="n">
        <v>168.9</v>
      </c>
      <c r="N166" s="7" t="n">
        <v>137.9</v>
      </c>
      <c r="P166" s="7" t="n">
        <v>168.9</v>
      </c>
      <c r="R166" s="7" t="n">
        <v>78.7</v>
      </c>
      <c r="T166" s="7" t="n">
        <v>88.2</v>
      </c>
      <c r="V166" s="7" t="n">
        <v>84.7</v>
      </c>
      <c r="X166" s="7" t="n">
        <v>19.7</v>
      </c>
      <c r="Z166" s="7" t="n">
        <v>107.1</v>
      </c>
      <c r="AB166" s="7" t="n">
        <v>1184.4</v>
      </c>
    </row>
    <row r="167">
      <c r="A167" s="4" t="inlineStr">
        <is>
          <t>平台服务费</t>
        </is>
      </c>
      <c r="D167" s="7" t="n">
        <v>132.7</v>
      </c>
      <c r="F167" s="7" t="n">
        <v>25.6</v>
      </c>
      <c r="H167" s="7" t="n">
        <v>292.6</v>
      </c>
      <c r="J167" s="7" t="n">
        <v>149.7</v>
      </c>
      <c r="L167" s="7" t="n">
        <v>223.6</v>
      </c>
      <c r="N167" s="7" t="n">
        <v>144.5</v>
      </c>
      <c r="P167" s="7" t="n">
        <v>167.3</v>
      </c>
      <c r="R167" s="7" t="n">
        <v>131.2</v>
      </c>
      <c r="T167" s="7" t="n">
        <v>108.2</v>
      </c>
      <c r="V167" s="7" t="n">
        <v>101.4</v>
      </c>
      <c r="X167" s="7" t="n">
        <v>35.2</v>
      </c>
      <c r="Z167" s="7" t="n">
        <v>177.9</v>
      </c>
      <c r="AB167" s="7" t="n">
        <v>1689.9</v>
      </c>
    </row>
    <row r="168">
      <c r="A168" s="4" t="inlineStr">
        <is>
          <t>无形资产摊销</t>
        </is>
      </c>
      <c r="D168" s="7" t="n">
        <v>263.9</v>
      </c>
      <c r="F168" s="7" t="n">
        <v>37.2</v>
      </c>
      <c r="H168" s="7" t="n">
        <v>471.8</v>
      </c>
      <c r="J168" s="7" t="n">
        <v>179</v>
      </c>
      <c r="L168" s="7" t="n">
        <v>314.6</v>
      </c>
      <c r="N168" s="7" t="n">
        <v>193.2</v>
      </c>
      <c r="P168" s="7" t="n">
        <v>354.4</v>
      </c>
      <c r="R168" s="7" t="n">
        <v>259.4</v>
      </c>
      <c r="T168" s="7" t="n">
        <v>239.2</v>
      </c>
      <c r="V168" s="7" t="n">
        <v>181.1</v>
      </c>
      <c r="X168" s="7" t="n">
        <v>65.7</v>
      </c>
      <c r="Z168" s="7" t="n">
        <v>245.2</v>
      </c>
      <c r="AB168" s="7" t="n">
        <v>2804.7</v>
      </c>
    </row>
    <row r="169">
      <c r="A169" s="4" t="inlineStr">
        <is>
          <t>研发材料</t>
        </is>
      </c>
      <c r="D169" s="7" t="n">
        <v>182.8</v>
      </c>
      <c r="F169" s="7" t="n">
        <v>27.1</v>
      </c>
      <c r="H169" s="7" t="n">
        <v>236.3</v>
      </c>
      <c r="J169" s="7" t="n">
        <v>118.6</v>
      </c>
      <c r="L169" s="7" t="n">
        <v>219.5</v>
      </c>
      <c r="N169" s="7" t="n">
        <v>170.6</v>
      </c>
      <c r="P169" s="7" t="n">
        <v>243.9</v>
      </c>
      <c r="R169" s="7" t="n">
        <v>137.7</v>
      </c>
      <c r="T169" s="7" t="n">
        <v>148</v>
      </c>
      <c r="V169" s="7" t="n">
        <v>151.2</v>
      </c>
      <c r="X169" s="7" t="n">
        <v>39.3</v>
      </c>
      <c r="Z169" s="7" t="n">
        <v>204.5</v>
      </c>
      <c r="AB169" s="7" t="n">
        <v>1879.5</v>
      </c>
    </row>
    <row r="170">
      <c r="A170" s="4" t="inlineStr">
        <is>
          <t>项目名称</t>
        </is>
      </c>
      <c r="D170" s="7" t="n">
        <v>96.09999999999999</v>
      </c>
      <c r="F170" s="7" t="n">
        <v>10.7</v>
      </c>
      <c r="H170" s="7" t="n">
        <v>161.4</v>
      </c>
      <c r="J170" s="7" t="n">
        <v>58.7</v>
      </c>
      <c r="L170" s="7" t="n">
        <v>124.3</v>
      </c>
      <c r="N170" s="7" t="n">
        <v>95.40000000000001</v>
      </c>
      <c r="P170" s="7" t="n">
        <v>122.8</v>
      </c>
      <c r="R170" s="7" t="n">
        <v>55.9</v>
      </c>
      <c r="T170" s="7" t="n">
        <v>88</v>
      </c>
      <c r="V170" s="7" t="n">
        <v>45.7</v>
      </c>
      <c r="X170" s="7" t="n">
        <v>25.4</v>
      </c>
      <c r="Z170" s="7" t="n">
        <v>102.2</v>
      </c>
      <c r="AB170" s="7" t="n">
        <v>986.6</v>
      </c>
    </row>
    <row r="171">
      <c r="A171" s="4" t="inlineStr">
        <is>
          <t>研发费</t>
        </is>
      </c>
      <c r="D171" s="7" t="n">
        <v>99.40000000000001</v>
      </c>
      <c r="F171" s="7" t="n">
        <v>20.3</v>
      </c>
      <c r="H171" s="7" t="n">
        <v>160.5</v>
      </c>
      <c r="J171" s="7" t="n">
        <v>73.2</v>
      </c>
      <c r="L171" s="7" t="n">
        <v>165.7</v>
      </c>
      <c r="N171" s="7" t="n">
        <v>137.7</v>
      </c>
      <c r="P171" s="7" t="n">
        <v>143.7</v>
      </c>
      <c r="R171" s="7" t="n">
        <v>127.5</v>
      </c>
      <c r="T171" s="7" t="n">
        <v>74</v>
      </c>
      <c r="V171" s="7" t="n">
        <v>94.2</v>
      </c>
      <c r="X171" s="7" t="n">
        <v>34.1</v>
      </c>
      <c r="Z171" s="7" t="n">
        <v>162.8</v>
      </c>
      <c r="AB171" s="7" t="n">
        <v>1293.1</v>
      </c>
    </row>
    <row r="172">
      <c r="A172" s="4" t="inlineStr">
        <is>
          <t>残保金</t>
        </is>
      </c>
      <c r="D172" s="7" t="n">
        <v>17.8</v>
      </c>
      <c r="F172" s="7" t="n">
        <v>3.1</v>
      </c>
      <c r="H172" s="7" t="n">
        <v>30.2</v>
      </c>
      <c r="J172" s="7" t="n">
        <v>11.8</v>
      </c>
      <c r="L172" s="7" t="n">
        <v>22.3</v>
      </c>
      <c r="N172" s="7" t="n">
        <v>18.4</v>
      </c>
      <c r="P172" s="7" t="n">
        <v>19.3</v>
      </c>
      <c r="R172" s="7" t="n">
        <v>12.5</v>
      </c>
      <c r="T172" s="7" t="n">
        <v>11.3</v>
      </c>
      <c r="V172" s="7" t="n">
        <v>9.9</v>
      </c>
      <c r="X172" s="7" t="n">
        <v>4.9</v>
      </c>
      <c r="Z172" s="7" t="n">
        <v>23.2</v>
      </c>
      <c r="AB172" s="7" t="n">
        <v>184.7</v>
      </c>
    </row>
    <row r="173">
      <c r="A173" s="4" t="inlineStr">
        <is>
          <t>环保费</t>
        </is>
      </c>
      <c r="D173" s="7" t="n">
        <v>197.7</v>
      </c>
      <c r="F173" s="7" t="n">
        <v>32.8</v>
      </c>
      <c r="H173" s="7" t="n">
        <v>459.8</v>
      </c>
      <c r="J173" s="7" t="n">
        <v>224.1</v>
      </c>
      <c r="L173" s="7" t="n">
        <v>418.7</v>
      </c>
      <c r="N173" s="7" t="n">
        <v>201.2</v>
      </c>
      <c r="P173" s="7" t="n">
        <v>304.5</v>
      </c>
      <c r="R173" s="7" t="n">
        <v>260.5</v>
      </c>
      <c r="T173" s="7" t="n">
        <v>200.3</v>
      </c>
      <c r="V173" s="7" t="n">
        <v>206.3</v>
      </c>
      <c r="X173" s="7" t="n">
        <v>59.1</v>
      </c>
      <c r="Z173" s="7" t="n">
        <v>196</v>
      </c>
      <c r="AB173" s="7" t="n">
        <v>2761</v>
      </c>
    </row>
    <row r="174">
      <c r="A174" s="4" t="inlineStr">
        <is>
          <t>报废损失</t>
        </is>
      </c>
      <c r="D174" s="7" t="n">
        <v>259.7</v>
      </c>
      <c r="F174" s="7" t="n">
        <v>40.6</v>
      </c>
      <c r="H174" s="7" t="n">
        <v>687.3</v>
      </c>
      <c r="J174" s="7" t="n">
        <v>300</v>
      </c>
      <c r="L174" s="7" t="n">
        <v>373</v>
      </c>
      <c r="N174" s="7" t="n">
        <v>431.8</v>
      </c>
      <c r="P174" s="7" t="n">
        <v>559.5</v>
      </c>
      <c r="R174" s="7" t="n">
        <v>310.5</v>
      </c>
      <c r="T174" s="7" t="n">
        <v>313</v>
      </c>
      <c r="V174" s="7" t="n">
        <v>221.5</v>
      </c>
      <c r="X174" s="7" t="n">
        <v>74.8</v>
      </c>
      <c r="Z174" s="7" t="n">
        <v>302.6</v>
      </c>
      <c r="AB174" s="7" t="n">
        <v>3874.3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29679.6</v>
      </c>
      <c r="D175" s="7" t="n">
        <v>24261.7</v>
      </c>
      <c r="E175" s="7" t="n">
        <v>25519.6</v>
      </c>
      <c r="F175" s="7" t="n">
        <v>7642.2</v>
      </c>
      <c r="G175" s="7" t="n">
        <v>22953.6</v>
      </c>
      <c r="H175" s="7" t="n">
        <v>38862.9</v>
      </c>
      <c r="I175" s="7" t="n">
        <v>28109.9</v>
      </c>
      <c r="J175" s="7" t="n">
        <v>39220.7</v>
      </c>
      <c r="K175" s="7" t="n">
        <v>26060.7</v>
      </c>
      <c r="L175" s="7" t="n">
        <v>39113.1</v>
      </c>
      <c r="M175" s="7" t="n">
        <v>25703.1</v>
      </c>
      <c r="N175" s="7" t="n">
        <v>57048.3</v>
      </c>
      <c r="O175" s="7" t="n">
        <v>23083.8</v>
      </c>
      <c r="P175" s="7" t="n">
        <v>13582.3</v>
      </c>
      <c r="Q175" s="7" t="n">
        <v>27421</v>
      </c>
      <c r="R175" s="7" t="n">
        <v>14705.6</v>
      </c>
      <c r="S175" s="7" t="n">
        <v>27461.1</v>
      </c>
      <c r="T175" s="7" t="n">
        <v>25984.1</v>
      </c>
      <c r="U175" s="7" t="n">
        <v>26382</v>
      </c>
      <c r="V175" s="7" t="n">
        <v>20602.5</v>
      </c>
      <c r="W175" s="7" t="n">
        <v>27626.9</v>
      </c>
      <c r="X175" s="7" t="n">
        <v>12040.5</v>
      </c>
      <c r="Y175" s="7" t="n">
        <v>24564.1</v>
      </c>
      <c r="Z175" s="7" t="n">
        <v>22467.7</v>
      </c>
      <c r="AA175" s="8" t="n">
        <v>314565.4</v>
      </c>
      <c r="AB175" s="8" t="n">
        <v>315531.6</v>
      </c>
    </row>
    <row r="176">
      <c r="A176" s="4" t="inlineStr">
        <is>
          <t>职工薪酬</t>
        </is>
      </c>
      <c r="D176" s="7" t="n">
        <v>15297.4</v>
      </c>
      <c r="F176" s="7" t="n">
        <v>4162.8</v>
      </c>
      <c r="H176" s="7" t="n">
        <v>15688.1</v>
      </c>
      <c r="J176" s="7" t="n">
        <v>21503.9</v>
      </c>
      <c r="L176" s="7" t="n">
        <v>18126.8</v>
      </c>
      <c r="N176" s="7" t="n">
        <v>31111.7</v>
      </c>
      <c r="P176" s="7" t="n">
        <v>7467.7</v>
      </c>
      <c r="R176" s="7" t="n">
        <v>8129.8</v>
      </c>
      <c r="T176" s="7" t="n">
        <v>10242.9</v>
      </c>
      <c r="V176" s="7" t="n">
        <v>9144.200000000001</v>
      </c>
      <c r="X176" s="7" t="n">
        <v>6237.5</v>
      </c>
      <c r="Z176" s="7" t="n">
        <v>11710.1</v>
      </c>
      <c r="AB176" s="7" t="n">
        <v>158822.9</v>
      </c>
    </row>
    <row r="177">
      <c r="A177" s="4" t="inlineStr">
        <is>
          <t>工资</t>
        </is>
      </c>
      <c r="D177" s="7" t="n">
        <v>9365.799999999999</v>
      </c>
      <c r="F177" s="7" t="n">
        <v>2411.2</v>
      </c>
      <c r="H177" s="7" t="n">
        <v>8278.6</v>
      </c>
      <c r="J177" s="7" t="n">
        <v>12768</v>
      </c>
      <c r="L177" s="7" t="n">
        <v>8691.1</v>
      </c>
      <c r="N177" s="7" t="n">
        <v>19356.4</v>
      </c>
      <c r="P177" s="7" t="n">
        <v>4567</v>
      </c>
      <c r="R177" s="7" t="n">
        <v>4919</v>
      </c>
      <c r="T177" s="7" t="n">
        <v>5473.5</v>
      </c>
      <c r="V177" s="7" t="n">
        <v>4995.8</v>
      </c>
      <c r="X177" s="7" t="n">
        <v>4055.1</v>
      </c>
      <c r="Z177" s="7" t="n">
        <v>6725.7</v>
      </c>
      <c r="AB177" s="7" t="n">
        <v>91607.2</v>
      </c>
    </row>
    <row r="178">
      <c r="A178" s="4" t="inlineStr">
        <is>
          <t>奖金及提成</t>
        </is>
      </c>
      <c r="D178" s="7" t="n">
        <v>3020.5</v>
      </c>
      <c r="F178" s="7" t="n">
        <v>927.2</v>
      </c>
      <c r="H178" s="7" t="n">
        <v>3456.2</v>
      </c>
      <c r="J178" s="7" t="n">
        <v>4717.9</v>
      </c>
      <c r="L178" s="7" t="n">
        <v>4334.7</v>
      </c>
      <c r="N178" s="7" t="n">
        <v>6126.3</v>
      </c>
      <c r="P178" s="7" t="n">
        <v>1294.9</v>
      </c>
      <c r="R178" s="7" t="n">
        <v>1836.4</v>
      </c>
      <c r="T178" s="7" t="n">
        <v>1923.5</v>
      </c>
      <c r="V178" s="7" t="n">
        <v>1509.9</v>
      </c>
      <c r="X178" s="7" t="n">
        <v>891.4</v>
      </c>
      <c r="Z178" s="7" t="n">
        <v>2753.2</v>
      </c>
      <c r="AB178" s="7" t="n">
        <v>32792.1</v>
      </c>
    </row>
    <row r="179">
      <c r="A179" s="4" t="inlineStr">
        <is>
          <t>社保</t>
        </is>
      </c>
      <c r="D179" s="7" t="n">
        <v>1978.1</v>
      </c>
      <c r="F179" s="7" t="n">
        <v>565.9</v>
      </c>
      <c r="H179" s="7" t="n">
        <v>2751.5</v>
      </c>
      <c r="J179" s="7" t="n">
        <v>2775.3</v>
      </c>
      <c r="L179" s="7" t="n">
        <v>3819.2</v>
      </c>
      <c r="N179" s="7" t="n">
        <v>3778.6</v>
      </c>
      <c r="P179" s="7" t="n">
        <v>1145.8</v>
      </c>
      <c r="R179" s="7" t="n">
        <v>887.2</v>
      </c>
      <c r="T179" s="7" t="n">
        <v>2021.1</v>
      </c>
      <c r="V179" s="7" t="n">
        <v>1886.2</v>
      </c>
      <c r="X179" s="7" t="n">
        <v>870.5</v>
      </c>
      <c r="Z179" s="7" t="n">
        <v>1539.8</v>
      </c>
      <c r="AB179" s="7" t="n">
        <v>24019.2</v>
      </c>
    </row>
    <row r="180">
      <c r="A180" s="4" t="inlineStr">
        <is>
          <t>养老</t>
        </is>
      </c>
      <c r="D180" s="7" t="n">
        <v>42</v>
      </c>
      <c r="F180" s="7" t="n">
        <v>11.7</v>
      </c>
      <c r="H180" s="7" t="n">
        <v>62</v>
      </c>
      <c r="J180" s="7" t="n">
        <v>81.8</v>
      </c>
      <c r="L180" s="7" t="n">
        <v>66.7</v>
      </c>
      <c r="N180" s="7" t="n">
        <v>79.5</v>
      </c>
      <c r="P180" s="7" t="n">
        <v>33</v>
      </c>
      <c r="R180" s="7" t="n">
        <v>35.3</v>
      </c>
      <c r="T180" s="7" t="n">
        <v>40.8</v>
      </c>
      <c r="V180" s="7" t="n">
        <v>45.8</v>
      </c>
      <c r="X180" s="7" t="n">
        <v>27.6</v>
      </c>
      <c r="Z180" s="7" t="n">
        <v>43.6</v>
      </c>
      <c r="AB180" s="7" t="n">
        <v>569.8</v>
      </c>
    </row>
    <row r="181">
      <c r="A181" s="4" t="inlineStr">
        <is>
          <t>医疗</t>
        </is>
      </c>
      <c r="D181" s="7" t="n">
        <v>32.8</v>
      </c>
      <c r="F181" s="7" t="n">
        <v>8.5</v>
      </c>
      <c r="H181" s="7" t="n">
        <v>71.90000000000001</v>
      </c>
      <c r="J181" s="7" t="n">
        <v>64.40000000000001</v>
      </c>
      <c r="L181" s="7" t="n">
        <v>66.7</v>
      </c>
      <c r="N181" s="7" t="n">
        <v>79.7</v>
      </c>
      <c r="P181" s="7" t="n">
        <v>17.8</v>
      </c>
      <c r="R181" s="7" t="n">
        <v>26.6</v>
      </c>
      <c r="T181" s="7" t="n">
        <v>38.4</v>
      </c>
      <c r="V181" s="7" t="n">
        <v>26.9</v>
      </c>
      <c r="X181" s="7" t="n">
        <v>14.7</v>
      </c>
      <c r="Z181" s="7" t="n">
        <v>42.6</v>
      </c>
      <c r="AB181" s="7" t="n">
        <v>491</v>
      </c>
    </row>
    <row r="182">
      <c r="A182" s="4" t="inlineStr">
        <is>
          <t>工伤</t>
        </is>
      </c>
      <c r="D182" s="7" t="n">
        <v>109</v>
      </c>
      <c r="F182" s="7" t="n">
        <v>50.9</v>
      </c>
      <c r="H182" s="7" t="n">
        <v>165.1</v>
      </c>
      <c r="J182" s="7" t="n">
        <v>215.8</v>
      </c>
      <c r="L182" s="7" t="n">
        <v>217.8</v>
      </c>
      <c r="N182" s="7" t="n">
        <v>295.7</v>
      </c>
      <c r="P182" s="7" t="n">
        <v>103.7</v>
      </c>
      <c r="R182" s="7" t="n">
        <v>84.3</v>
      </c>
      <c r="T182" s="7" t="n">
        <v>139.5</v>
      </c>
      <c r="V182" s="7" t="n">
        <v>147.5</v>
      </c>
      <c r="X182" s="7" t="n">
        <v>66</v>
      </c>
      <c r="Z182" s="7" t="n">
        <v>172</v>
      </c>
      <c r="AB182" s="7" t="n">
        <v>1767.3</v>
      </c>
    </row>
    <row r="183">
      <c r="A183" s="4" t="inlineStr">
        <is>
          <t>失业</t>
        </is>
      </c>
      <c r="D183" s="7" t="n">
        <v>173.5</v>
      </c>
      <c r="F183" s="7" t="n">
        <v>43.1</v>
      </c>
      <c r="H183" s="7" t="n">
        <v>190.9</v>
      </c>
      <c r="J183" s="7" t="n">
        <v>185.6</v>
      </c>
      <c r="L183" s="7" t="n">
        <v>247.2</v>
      </c>
      <c r="N183" s="7" t="n">
        <v>313.9</v>
      </c>
      <c r="P183" s="7" t="n">
        <v>102.2</v>
      </c>
      <c r="R183" s="7" t="n">
        <v>106.8</v>
      </c>
      <c r="T183" s="7" t="n">
        <v>117.1</v>
      </c>
      <c r="V183" s="7" t="n">
        <v>132.3</v>
      </c>
      <c r="X183" s="7" t="n">
        <v>65.2</v>
      </c>
      <c r="Z183" s="7" t="n">
        <v>169.8</v>
      </c>
      <c r="AB183" s="7" t="n">
        <v>1847.6</v>
      </c>
    </row>
    <row r="184">
      <c r="A184" s="4" t="inlineStr">
        <is>
          <t>生育</t>
        </is>
      </c>
      <c r="D184" s="7" t="n">
        <v>94.09999999999999</v>
      </c>
      <c r="F184" s="7" t="n">
        <v>31.9</v>
      </c>
      <c r="H184" s="7" t="n">
        <v>262.7</v>
      </c>
      <c r="J184" s="7" t="n">
        <v>262.8</v>
      </c>
      <c r="L184" s="7" t="n">
        <v>182.8</v>
      </c>
      <c r="N184" s="7" t="n">
        <v>351.7</v>
      </c>
      <c r="P184" s="7" t="n">
        <v>85.09999999999999</v>
      </c>
      <c r="R184" s="7" t="n">
        <v>98.3</v>
      </c>
      <c r="T184" s="7" t="n">
        <v>103.6</v>
      </c>
      <c r="V184" s="7" t="n">
        <v>104.7</v>
      </c>
      <c r="X184" s="7" t="n">
        <v>72.40000000000001</v>
      </c>
      <c r="Z184" s="7" t="n">
        <v>94.3</v>
      </c>
      <c r="AB184" s="7" t="n">
        <v>1744.4</v>
      </c>
    </row>
    <row r="185">
      <c r="A185" s="4" t="inlineStr">
        <is>
          <t>公积金</t>
        </is>
      </c>
      <c r="D185" s="7" t="n">
        <v>108.3</v>
      </c>
      <c r="F185" s="7" t="n">
        <v>20.4</v>
      </c>
      <c r="H185" s="7" t="n">
        <v>114.1</v>
      </c>
      <c r="J185" s="7" t="n">
        <v>141.1</v>
      </c>
      <c r="L185" s="7" t="n">
        <v>175.6</v>
      </c>
      <c r="N185" s="7" t="n">
        <v>152</v>
      </c>
      <c r="P185" s="7" t="n">
        <v>59.2</v>
      </c>
      <c r="R185" s="7" t="n">
        <v>60.1</v>
      </c>
      <c r="T185" s="7" t="n">
        <v>104.5</v>
      </c>
      <c r="V185" s="7" t="n">
        <v>94.2</v>
      </c>
      <c r="X185" s="7" t="n">
        <v>54.2</v>
      </c>
      <c r="Z185" s="7" t="n">
        <v>58.6</v>
      </c>
      <c r="AB185" s="7" t="n">
        <v>1142.3</v>
      </c>
    </row>
    <row r="186">
      <c r="A186" s="4" t="inlineStr">
        <is>
          <t>工会经费</t>
        </is>
      </c>
      <c r="D186" s="7" t="n">
        <v>38.2</v>
      </c>
      <c r="F186" s="7" t="n">
        <v>11.1</v>
      </c>
      <c r="H186" s="7" t="n">
        <v>73.8</v>
      </c>
      <c r="J186" s="7" t="n">
        <v>85.59999999999999</v>
      </c>
      <c r="L186" s="7" t="n">
        <v>53.2</v>
      </c>
      <c r="N186" s="7" t="n">
        <v>120.6</v>
      </c>
      <c r="P186" s="7" t="n">
        <v>17.5</v>
      </c>
      <c r="R186" s="7" t="n">
        <v>26.5</v>
      </c>
      <c r="T186" s="7" t="n">
        <v>40.6</v>
      </c>
      <c r="V186" s="7" t="n">
        <v>34.1</v>
      </c>
      <c r="X186" s="7" t="n">
        <v>24.6</v>
      </c>
      <c r="Z186" s="7" t="n">
        <v>49</v>
      </c>
      <c r="AB186" s="7" t="n">
        <v>574.8</v>
      </c>
    </row>
    <row r="187">
      <c r="A187" s="4" t="inlineStr">
        <is>
          <t>职工教育经费</t>
        </is>
      </c>
      <c r="D187" s="7" t="n">
        <v>162.3</v>
      </c>
      <c r="F187" s="7" t="n">
        <v>48.4</v>
      </c>
      <c r="H187" s="7" t="n">
        <v>164.3</v>
      </c>
      <c r="J187" s="7" t="n">
        <v>160.8</v>
      </c>
      <c r="L187" s="7" t="n">
        <v>193</v>
      </c>
      <c r="N187" s="7" t="n">
        <v>311.6</v>
      </c>
      <c r="P187" s="7" t="n">
        <v>61.5</v>
      </c>
      <c r="R187" s="7" t="n">
        <v>61.6</v>
      </c>
      <c r="T187" s="7" t="n">
        <v>108.6</v>
      </c>
      <c r="V187" s="7" t="n">
        <v>129.8</v>
      </c>
      <c r="X187" s="7" t="n">
        <v>50.3</v>
      </c>
      <c r="Z187" s="7" t="n">
        <v>106</v>
      </c>
      <c r="AB187" s="7" t="n">
        <v>1558.2</v>
      </c>
    </row>
    <row r="188">
      <c r="A188" s="4" t="inlineStr">
        <is>
          <t>福利费</t>
        </is>
      </c>
      <c r="D188" s="7" t="n">
        <v>624.2</v>
      </c>
      <c r="F188" s="7" t="n">
        <v>178.6</v>
      </c>
      <c r="H188" s="7" t="n">
        <v>849.6</v>
      </c>
      <c r="J188" s="7" t="n">
        <v>855.2</v>
      </c>
      <c r="L188" s="7" t="n">
        <v>860</v>
      </c>
      <c r="N188" s="7" t="n">
        <v>1266.2</v>
      </c>
      <c r="P188" s="7" t="n">
        <v>321.8</v>
      </c>
      <c r="R188" s="7" t="n">
        <v>339</v>
      </c>
      <c r="T188" s="7" t="n">
        <v>571.1</v>
      </c>
      <c r="V188" s="7" t="n">
        <v>494.2</v>
      </c>
      <c r="X188" s="7" t="n">
        <v>291.4</v>
      </c>
      <c r="Z188" s="7" t="n">
        <v>477.8</v>
      </c>
      <c r="AB188" s="7" t="n">
        <v>7129.1</v>
      </c>
    </row>
    <row r="189">
      <c r="A189" s="4" t="inlineStr">
        <is>
          <t>职工房租</t>
        </is>
      </c>
      <c r="D189" s="7" t="n">
        <v>140.1</v>
      </c>
      <c r="F189" s="7" t="n">
        <v>38.2</v>
      </c>
      <c r="H189" s="7" t="n">
        <v>223.8</v>
      </c>
      <c r="J189" s="7" t="n">
        <v>173</v>
      </c>
      <c r="L189" s="7" t="n">
        <v>195.2</v>
      </c>
      <c r="N189" s="7" t="n">
        <v>234.9</v>
      </c>
      <c r="P189" s="7" t="n">
        <v>73.59999999999999</v>
      </c>
      <c r="R189" s="7" t="n">
        <v>61.3</v>
      </c>
      <c r="T189" s="7" t="n">
        <v>114.6</v>
      </c>
      <c r="V189" s="7" t="n">
        <v>115.8</v>
      </c>
      <c r="X189" s="7" t="n">
        <v>53.9</v>
      </c>
      <c r="Z189" s="7" t="n">
        <v>120.6</v>
      </c>
      <c r="AB189" s="7" t="n">
        <v>1545</v>
      </c>
    </row>
    <row r="190">
      <c r="A190" s="4" t="inlineStr">
        <is>
          <t>水电物业费</t>
        </is>
      </c>
      <c r="D190" s="7" t="n">
        <v>62.8</v>
      </c>
      <c r="F190" s="7" t="n">
        <v>13.5</v>
      </c>
      <c r="H190" s="7" t="n">
        <v>91.09999999999999</v>
      </c>
      <c r="J190" s="7" t="n">
        <v>90</v>
      </c>
      <c r="L190" s="7" t="n">
        <v>63.5</v>
      </c>
      <c r="N190" s="7" t="n">
        <v>120.5</v>
      </c>
      <c r="P190" s="7" t="n">
        <v>21.3</v>
      </c>
      <c r="R190" s="7" t="n">
        <v>37.2</v>
      </c>
      <c r="T190" s="7" t="n">
        <v>63.2</v>
      </c>
      <c r="V190" s="7" t="n">
        <v>43.7</v>
      </c>
      <c r="X190" s="7" t="n">
        <v>21.8</v>
      </c>
      <c r="Z190" s="7" t="n">
        <v>33</v>
      </c>
      <c r="AB190" s="7" t="n">
        <v>661.6</v>
      </c>
    </row>
    <row r="191">
      <c r="A191" s="4" t="inlineStr">
        <is>
          <t>员工餐</t>
        </is>
      </c>
      <c r="D191" s="7" t="n">
        <v>36.6</v>
      </c>
      <c r="F191" s="7" t="n">
        <v>16.5</v>
      </c>
      <c r="H191" s="7" t="n">
        <v>89.09999999999999</v>
      </c>
      <c r="J191" s="7" t="n">
        <v>60.1</v>
      </c>
      <c r="L191" s="7" t="n">
        <v>74.90000000000001</v>
      </c>
      <c r="N191" s="7" t="n">
        <v>87.5</v>
      </c>
      <c r="P191" s="7" t="n">
        <v>30.5</v>
      </c>
      <c r="R191" s="7" t="n">
        <v>27.5</v>
      </c>
      <c r="T191" s="7" t="n">
        <v>56.7</v>
      </c>
      <c r="V191" s="7" t="n">
        <v>46.2</v>
      </c>
      <c r="X191" s="7" t="n">
        <v>18.3</v>
      </c>
      <c r="Z191" s="7" t="n">
        <v>33.2</v>
      </c>
      <c r="AB191" s="7" t="n">
        <v>577.1</v>
      </c>
    </row>
    <row r="192">
      <c r="A192" s="4" t="inlineStr">
        <is>
          <t>节日礼品</t>
        </is>
      </c>
      <c r="D192" s="7" t="n">
        <v>144.4</v>
      </c>
      <c r="F192" s="7" t="n">
        <v>42.4</v>
      </c>
      <c r="H192" s="7" t="n">
        <v>195.1</v>
      </c>
      <c r="J192" s="7" t="n">
        <v>151.1</v>
      </c>
      <c r="L192" s="7" t="n">
        <v>212.4</v>
      </c>
      <c r="N192" s="7" t="n">
        <v>220</v>
      </c>
      <c r="P192" s="7" t="n">
        <v>76.8</v>
      </c>
      <c r="R192" s="7" t="n">
        <v>68.5</v>
      </c>
      <c r="T192" s="7" t="n">
        <v>100.8</v>
      </c>
      <c r="V192" s="7" t="n">
        <v>121.6</v>
      </c>
      <c r="X192" s="7" t="n">
        <v>74.7</v>
      </c>
      <c r="Z192" s="7" t="n">
        <v>87.90000000000001</v>
      </c>
      <c r="AB192" s="7" t="n">
        <v>1495.7</v>
      </c>
    </row>
    <row r="193">
      <c r="A193" s="4" t="inlineStr">
        <is>
          <t>生日礼品</t>
        </is>
      </c>
      <c r="D193" s="7" t="n">
        <v>15.8</v>
      </c>
      <c r="F193" s="7" t="n">
        <v>3.8</v>
      </c>
      <c r="H193" s="7" t="n">
        <v>23.1</v>
      </c>
      <c r="J193" s="7" t="n">
        <v>17.3</v>
      </c>
      <c r="L193" s="7" t="n">
        <v>25.1</v>
      </c>
      <c r="N193" s="7" t="n">
        <v>37.6</v>
      </c>
      <c r="P193" s="7" t="n">
        <v>7.8</v>
      </c>
      <c r="R193" s="7" t="n">
        <v>7.5</v>
      </c>
      <c r="T193" s="7" t="n">
        <v>11.2</v>
      </c>
      <c r="V193" s="7" t="n">
        <v>11.5</v>
      </c>
      <c r="X193" s="7" t="n">
        <v>7.1</v>
      </c>
      <c r="Z193" s="7" t="n">
        <v>12.3</v>
      </c>
      <c r="AB193" s="7" t="n">
        <v>180.1</v>
      </c>
    </row>
    <row r="194">
      <c r="A194" s="4" t="inlineStr">
        <is>
          <t>体检</t>
        </is>
      </c>
      <c r="D194" s="7" t="n">
        <v>143.1</v>
      </c>
      <c r="F194" s="7" t="n">
        <v>46</v>
      </c>
      <c r="H194" s="7" t="n">
        <v>144</v>
      </c>
      <c r="J194" s="7" t="n">
        <v>214.1</v>
      </c>
      <c r="L194" s="7" t="n">
        <v>160.7</v>
      </c>
      <c r="N194" s="7" t="n">
        <v>352.9</v>
      </c>
      <c r="P194" s="7" t="n">
        <v>76.90000000000001</v>
      </c>
      <c r="R194" s="7" t="n">
        <v>97.3</v>
      </c>
      <c r="T194" s="7" t="n">
        <v>147.2</v>
      </c>
      <c r="V194" s="7" t="n">
        <v>107.5</v>
      </c>
      <c r="X194" s="7" t="n">
        <v>73</v>
      </c>
      <c r="Z194" s="7" t="n">
        <v>121.4</v>
      </c>
      <c r="AB194" s="7" t="n">
        <v>1684.1</v>
      </c>
    </row>
    <row r="195">
      <c r="A195" s="4" t="inlineStr">
        <is>
          <t>其他福利支出</t>
        </is>
      </c>
      <c r="D195" s="7" t="n">
        <v>81.40000000000001</v>
      </c>
      <c r="F195" s="7" t="n">
        <v>18.2</v>
      </c>
      <c r="H195" s="7" t="n">
        <v>83.40000000000001</v>
      </c>
      <c r="J195" s="7" t="n">
        <v>149.6</v>
      </c>
      <c r="L195" s="7" t="n">
        <v>128.2</v>
      </c>
      <c r="N195" s="7" t="n">
        <v>212.8</v>
      </c>
      <c r="P195" s="7" t="n">
        <v>34.9</v>
      </c>
      <c r="R195" s="7" t="n">
        <v>39.7</v>
      </c>
      <c r="T195" s="7" t="n">
        <v>77.40000000000001</v>
      </c>
      <c r="V195" s="7" t="n">
        <v>47.9</v>
      </c>
      <c r="X195" s="7" t="n">
        <v>42.6</v>
      </c>
      <c r="Z195" s="7" t="n">
        <v>69.40000000000001</v>
      </c>
      <c r="AB195" s="7" t="n">
        <v>985.5</v>
      </c>
    </row>
    <row r="196">
      <c r="A196" s="4" t="inlineStr">
        <is>
          <t>招聘费</t>
        </is>
      </c>
      <c r="D196" s="7" t="n">
        <v>117.6</v>
      </c>
      <c r="F196" s="7" t="n">
        <v>42.8</v>
      </c>
      <c r="H196" s="7" t="n">
        <v>210</v>
      </c>
      <c r="J196" s="7" t="n">
        <v>196.1</v>
      </c>
      <c r="L196" s="7" t="n">
        <v>272.3</v>
      </c>
      <c r="N196" s="7" t="n">
        <v>255.4</v>
      </c>
      <c r="P196" s="7" t="n">
        <v>92.5</v>
      </c>
      <c r="R196" s="7" t="n">
        <v>91.2</v>
      </c>
      <c r="T196" s="7" t="n">
        <v>200.9</v>
      </c>
      <c r="V196" s="7" t="n">
        <v>137.7</v>
      </c>
      <c r="X196" s="7" t="n">
        <v>83.3</v>
      </c>
      <c r="Z196" s="7" t="n">
        <v>109.1</v>
      </c>
      <c r="AB196" s="7" t="n">
        <v>1808.9</v>
      </c>
    </row>
    <row r="197">
      <c r="A197" s="4" t="inlineStr">
        <is>
          <t>办公费</t>
        </is>
      </c>
      <c r="D197" s="7" t="n">
        <v>785.4</v>
      </c>
      <c r="F197" s="7" t="n">
        <v>231.5</v>
      </c>
      <c r="H197" s="7" t="n">
        <v>827.3</v>
      </c>
      <c r="J197" s="7" t="n">
        <v>1092</v>
      </c>
      <c r="L197" s="7" t="n">
        <v>1024.2</v>
      </c>
      <c r="N197" s="7" t="n">
        <v>1227.5</v>
      </c>
      <c r="P197" s="7" t="n">
        <v>478.7</v>
      </c>
      <c r="R197" s="7" t="n">
        <v>529</v>
      </c>
      <c r="T197" s="7" t="n">
        <v>668.3</v>
      </c>
      <c r="V197" s="7" t="n">
        <v>587.9</v>
      </c>
      <c r="X197" s="7" t="n">
        <v>330.6</v>
      </c>
      <c r="Z197" s="7" t="n">
        <v>593.3</v>
      </c>
      <c r="AB197" s="7" t="n">
        <v>8375.700000000001</v>
      </c>
    </row>
    <row r="198">
      <c r="A198" s="4" t="inlineStr">
        <is>
          <t>市内交通费</t>
        </is>
      </c>
      <c r="D198" s="7" t="n">
        <v>73.7</v>
      </c>
      <c r="F198" s="7" t="n">
        <v>28.3</v>
      </c>
      <c r="H198" s="7" t="n">
        <v>135.6</v>
      </c>
      <c r="J198" s="7" t="n">
        <v>130.6</v>
      </c>
      <c r="L198" s="7" t="n">
        <v>110.7</v>
      </c>
      <c r="N198" s="7" t="n">
        <v>201.8</v>
      </c>
      <c r="P198" s="7" t="n">
        <v>30.3</v>
      </c>
      <c r="R198" s="7" t="n">
        <v>56.2</v>
      </c>
      <c r="T198" s="7" t="n">
        <v>87.90000000000001</v>
      </c>
      <c r="V198" s="7" t="n">
        <v>82.7</v>
      </c>
      <c r="X198" s="7" t="n">
        <v>39.6</v>
      </c>
      <c r="Z198" s="7" t="n">
        <v>63.1</v>
      </c>
      <c r="AB198" s="7" t="n">
        <v>1040.5</v>
      </c>
    </row>
    <row r="199">
      <c r="A199" s="4" t="inlineStr">
        <is>
          <t>差旅费</t>
        </is>
      </c>
      <c r="D199" s="7" t="n">
        <v>1361.5</v>
      </c>
      <c r="F199" s="7" t="n">
        <v>510.2</v>
      </c>
      <c r="H199" s="7" t="n">
        <v>1918</v>
      </c>
      <c r="J199" s="7" t="n">
        <v>1779.7</v>
      </c>
      <c r="L199" s="7" t="n">
        <v>2190.4</v>
      </c>
      <c r="N199" s="7" t="n">
        <v>3683.7</v>
      </c>
      <c r="P199" s="7" t="n">
        <v>743.8</v>
      </c>
      <c r="R199" s="7" t="n">
        <v>1043.9</v>
      </c>
      <c r="T199" s="7" t="n">
        <v>1297.6</v>
      </c>
      <c r="V199" s="7" t="n">
        <v>1279.8</v>
      </c>
      <c r="X199" s="7" t="n">
        <v>735.8</v>
      </c>
      <c r="Z199" s="7" t="n">
        <v>1693.2</v>
      </c>
      <c r="AB199" s="7" t="n">
        <v>18237.6</v>
      </c>
    </row>
    <row r="200">
      <c r="A200" s="4" t="inlineStr">
        <is>
          <t>交通费</t>
        </is>
      </c>
      <c r="D200" s="7" t="n">
        <v>86.5</v>
      </c>
      <c r="F200" s="7" t="n">
        <v>20.2</v>
      </c>
      <c r="H200" s="7" t="n">
        <v>126.2</v>
      </c>
      <c r="J200" s="7" t="n">
        <v>142</v>
      </c>
      <c r="L200" s="7" t="n">
        <v>121.3</v>
      </c>
      <c r="N200" s="7" t="n">
        <v>198.4</v>
      </c>
      <c r="P200" s="7" t="n">
        <v>29.4</v>
      </c>
      <c r="R200" s="7" t="n">
        <v>39.9</v>
      </c>
      <c r="T200" s="7" t="n">
        <v>96.2</v>
      </c>
      <c r="V200" s="7" t="n">
        <v>56.8</v>
      </c>
      <c r="X200" s="7" t="n">
        <v>27.2</v>
      </c>
      <c r="Z200" s="7" t="n">
        <v>82</v>
      </c>
      <c r="AB200" s="7" t="n">
        <v>1026.1</v>
      </c>
    </row>
    <row r="201">
      <c r="A201" s="4" t="inlineStr">
        <is>
          <t>住宿费</t>
        </is>
      </c>
      <c r="D201" s="7" t="n">
        <v>95.8</v>
      </c>
      <c r="F201" s="7" t="n">
        <v>31.8</v>
      </c>
      <c r="H201" s="7" t="n">
        <v>163</v>
      </c>
      <c r="J201" s="7" t="n">
        <v>246.4</v>
      </c>
      <c r="L201" s="7" t="n">
        <v>176.5</v>
      </c>
      <c r="N201" s="7" t="n">
        <v>293.2</v>
      </c>
      <c r="P201" s="7" t="n">
        <v>94.09999999999999</v>
      </c>
      <c r="R201" s="7" t="n">
        <v>80.40000000000001</v>
      </c>
      <c r="T201" s="7" t="n">
        <v>151.4</v>
      </c>
      <c r="V201" s="7" t="n">
        <v>125.2</v>
      </c>
      <c r="X201" s="7" t="n">
        <v>64.5</v>
      </c>
      <c r="Z201" s="7" t="n">
        <v>152.7</v>
      </c>
      <c r="AB201" s="7" t="n">
        <v>1675</v>
      </c>
    </row>
    <row r="202">
      <c r="A202" s="4" t="inlineStr">
        <is>
          <t>餐补</t>
        </is>
      </c>
      <c r="D202" s="7" t="n">
        <v>128.2</v>
      </c>
      <c r="F202" s="7" t="n">
        <v>31.3</v>
      </c>
      <c r="H202" s="7" t="n">
        <v>136.4</v>
      </c>
      <c r="J202" s="7" t="n">
        <v>174</v>
      </c>
      <c r="L202" s="7" t="n">
        <v>223.4</v>
      </c>
      <c r="N202" s="7" t="n">
        <v>320.9</v>
      </c>
      <c r="P202" s="7" t="n">
        <v>81.5</v>
      </c>
      <c r="R202" s="7" t="n">
        <v>73.59999999999999</v>
      </c>
      <c r="T202" s="7" t="n">
        <v>151.3</v>
      </c>
      <c r="V202" s="7" t="n">
        <v>118</v>
      </c>
      <c r="X202" s="7" t="n">
        <v>67.7</v>
      </c>
      <c r="Z202" s="7" t="n">
        <v>115</v>
      </c>
      <c r="AB202" s="7" t="n">
        <v>1621.3</v>
      </c>
    </row>
    <row r="203">
      <c r="A203" s="4" t="inlineStr">
        <is>
          <t>交通补助</t>
        </is>
      </c>
      <c r="D203" s="7" t="n">
        <v>157.6</v>
      </c>
      <c r="F203" s="7" t="n">
        <v>42.2</v>
      </c>
      <c r="H203" s="7" t="n">
        <v>255.2</v>
      </c>
      <c r="J203" s="7" t="n">
        <v>281.7</v>
      </c>
      <c r="L203" s="7" t="n">
        <v>208.7</v>
      </c>
      <c r="N203" s="7" t="n">
        <v>421.6</v>
      </c>
      <c r="P203" s="7" t="n">
        <v>96.40000000000001</v>
      </c>
      <c r="R203" s="7" t="n">
        <v>116.8</v>
      </c>
      <c r="T203" s="7" t="n">
        <v>136.1</v>
      </c>
      <c r="V203" s="7" t="n">
        <v>123.9</v>
      </c>
      <c r="X203" s="7" t="n">
        <v>77.8</v>
      </c>
      <c r="Z203" s="7" t="n">
        <v>147.5</v>
      </c>
      <c r="AB203" s="7" t="n">
        <v>2065.5</v>
      </c>
    </row>
    <row r="204">
      <c r="A204" s="4" t="inlineStr">
        <is>
          <t>通讯补助</t>
        </is>
      </c>
      <c r="D204" s="7" t="n">
        <v>179</v>
      </c>
      <c r="F204" s="7" t="n">
        <v>41.8</v>
      </c>
      <c r="H204" s="7" t="n">
        <v>186.5</v>
      </c>
      <c r="J204" s="7" t="n">
        <v>166.6</v>
      </c>
      <c r="L204" s="7" t="n">
        <v>235.1</v>
      </c>
      <c r="N204" s="7" t="n">
        <v>375.5</v>
      </c>
      <c r="P204" s="7" t="n">
        <v>61</v>
      </c>
      <c r="R204" s="7" t="n">
        <v>96.90000000000001</v>
      </c>
      <c r="T204" s="7" t="n">
        <v>149.8</v>
      </c>
      <c r="V204" s="7" t="n">
        <v>141.3</v>
      </c>
      <c r="X204" s="7" t="n">
        <v>59.5</v>
      </c>
      <c r="Z204" s="7" t="n">
        <v>130.9</v>
      </c>
      <c r="AB204" s="7" t="n">
        <v>1823.9</v>
      </c>
    </row>
    <row r="205">
      <c r="A205" s="4" t="inlineStr">
        <is>
          <t>招待费</t>
        </is>
      </c>
      <c r="D205" s="7" t="n">
        <v>980.4</v>
      </c>
      <c r="F205" s="7" t="n">
        <v>363.4</v>
      </c>
      <c r="H205" s="7" t="n">
        <v>1581.3</v>
      </c>
      <c r="J205" s="7" t="n">
        <v>1823.2</v>
      </c>
      <c r="L205" s="7" t="n">
        <v>1878.7</v>
      </c>
      <c r="N205" s="7" t="n">
        <v>2051.5</v>
      </c>
      <c r="P205" s="7" t="n">
        <v>604.8</v>
      </c>
      <c r="R205" s="7" t="n">
        <v>464.4</v>
      </c>
      <c r="T205" s="7" t="n">
        <v>1283.1</v>
      </c>
      <c r="V205" s="7" t="n">
        <v>758.6</v>
      </c>
      <c r="X205" s="7" t="n">
        <v>528.9</v>
      </c>
      <c r="Z205" s="7" t="n">
        <v>986.3</v>
      </c>
      <c r="AB205" s="7" t="n">
        <v>13304.6</v>
      </c>
    </row>
    <row r="206">
      <c r="A206" s="4" t="inlineStr">
        <is>
          <t>通讯费</t>
        </is>
      </c>
      <c r="D206" s="7" t="n">
        <v>129.2</v>
      </c>
      <c r="F206" s="7" t="n">
        <v>26.4</v>
      </c>
      <c r="H206" s="7" t="n">
        <v>210.3</v>
      </c>
      <c r="J206" s="7" t="n">
        <v>192.9</v>
      </c>
      <c r="L206" s="7" t="n">
        <v>211.1</v>
      </c>
      <c r="N206" s="7" t="n">
        <v>287</v>
      </c>
      <c r="P206" s="7" t="n">
        <v>45.3</v>
      </c>
      <c r="R206" s="7" t="n">
        <v>53.2</v>
      </c>
      <c r="T206" s="7" t="n">
        <v>95.8</v>
      </c>
      <c r="V206" s="7" t="n">
        <v>74</v>
      </c>
      <c r="X206" s="7" t="n">
        <v>50.4</v>
      </c>
      <c r="Z206" s="7" t="n">
        <v>98.3</v>
      </c>
      <c r="AB206" s="7" t="n">
        <v>1473.9</v>
      </c>
    </row>
    <row r="207">
      <c r="A207" s="4" t="inlineStr">
        <is>
          <t>网络费</t>
        </is>
      </c>
      <c r="D207" s="7" t="n">
        <v>55.7</v>
      </c>
      <c r="F207" s="7" t="n">
        <v>15.1</v>
      </c>
      <c r="H207" s="7" t="n">
        <v>110.5</v>
      </c>
      <c r="J207" s="7" t="n">
        <v>84.09999999999999</v>
      </c>
      <c r="L207" s="7" t="n">
        <v>109.4</v>
      </c>
      <c r="N207" s="7" t="n">
        <v>139</v>
      </c>
      <c r="P207" s="7" t="n">
        <v>30.6</v>
      </c>
      <c r="R207" s="7" t="n">
        <v>35.3</v>
      </c>
      <c r="T207" s="7" t="n">
        <v>54.9</v>
      </c>
      <c r="V207" s="7" t="n">
        <v>41.4</v>
      </c>
      <c r="X207" s="7" t="n">
        <v>27.9</v>
      </c>
      <c r="Z207" s="7" t="n">
        <v>49.9</v>
      </c>
      <c r="AB207" s="7" t="n">
        <v>753.8</v>
      </c>
    </row>
    <row r="208">
      <c r="A208" s="4" t="inlineStr">
        <is>
          <t>修理费</t>
        </is>
      </c>
      <c r="D208" s="7" t="n">
        <v>37.1</v>
      </c>
      <c r="F208" s="7" t="n">
        <v>12.1</v>
      </c>
      <c r="H208" s="7" t="n">
        <v>71.59999999999999</v>
      </c>
      <c r="J208" s="7" t="n">
        <v>62.3</v>
      </c>
      <c r="L208" s="7" t="n">
        <v>51.5</v>
      </c>
      <c r="N208" s="7" t="n">
        <v>92</v>
      </c>
      <c r="P208" s="7" t="n">
        <v>19.6</v>
      </c>
      <c r="R208" s="7" t="n">
        <v>32.7</v>
      </c>
      <c r="T208" s="7" t="n">
        <v>40.9</v>
      </c>
      <c r="V208" s="7" t="n">
        <v>32.9</v>
      </c>
      <c r="X208" s="7" t="n">
        <v>24.9</v>
      </c>
      <c r="Z208" s="7" t="n">
        <v>35.6</v>
      </c>
      <c r="AB208" s="7" t="n">
        <v>513.2</v>
      </c>
    </row>
    <row r="209">
      <c r="A209" s="4" t="inlineStr">
        <is>
          <t>车辆费</t>
        </is>
      </c>
      <c r="D209" s="7" t="n">
        <v>125.4</v>
      </c>
      <c r="F209" s="7" t="n">
        <v>35.3</v>
      </c>
      <c r="H209" s="7" t="n">
        <v>159.1</v>
      </c>
      <c r="J209" s="7" t="n">
        <v>165.3</v>
      </c>
      <c r="L209" s="7" t="n">
        <v>157.1</v>
      </c>
      <c r="N209" s="7" t="n">
        <v>203.6</v>
      </c>
      <c r="P209" s="7" t="n">
        <v>71.7</v>
      </c>
      <c r="R209" s="7" t="n">
        <v>44.8</v>
      </c>
      <c r="T209" s="7" t="n">
        <v>115.8</v>
      </c>
      <c r="V209" s="7" t="n">
        <v>108.9</v>
      </c>
      <c r="X209" s="7" t="n">
        <v>46.2</v>
      </c>
      <c r="Z209" s="7" t="n">
        <v>114.1</v>
      </c>
      <c r="AB209" s="7" t="n">
        <v>1347.3</v>
      </c>
    </row>
    <row r="210">
      <c r="A210" s="4" t="inlineStr">
        <is>
          <t>租赁费</t>
        </is>
      </c>
      <c r="D210" s="7" t="n">
        <v>1525</v>
      </c>
      <c r="F210" s="7" t="n">
        <v>365.7</v>
      </c>
      <c r="H210" s="7" t="n">
        <v>1737.1</v>
      </c>
      <c r="J210" s="7" t="n">
        <v>1514.3</v>
      </c>
      <c r="L210" s="7" t="n">
        <v>2246.9</v>
      </c>
      <c r="N210" s="7" t="n">
        <v>2198.3</v>
      </c>
      <c r="P210" s="7" t="n">
        <v>726.8</v>
      </c>
      <c r="R210" s="7" t="n">
        <v>732.2</v>
      </c>
      <c r="T210" s="7" t="n">
        <v>1109.9</v>
      </c>
      <c r="V210" s="7" t="n">
        <v>859.5</v>
      </c>
      <c r="X210" s="7" t="n">
        <v>642.9</v>
      </c>
      <c r="Z210" s="7" t="n">
        <v>1026.1</v>
      </c>
      <c r="AB210" s="7" t="n">
        <v>14684.7</v>
      </c>
    </row>
    <row r="211">
      <c r="A211" s="4" t="inlineStr">
        <is>
          <t>能源费</t>
        </is>
      </c>
      <c r="D211" s="7" t="n">
        <v>308.1</v>
      </c>
      <c r="F211" s="7" t="n">
        <v>110.7</v>
      </c>
      <c r="H211" s="7" t="n">
        <v>564.5</v>
      </c>
      <c r="J211" s="7" t="n">
        <v>653.1</v>
      </c>
      <c r="L211" s="7" t="n">
        <v>543.6</v>
      </c>
      <c r="N211" s="7" t="n">
        <v>704.4</v>
      </c>
      <c r="P211" s="7" t="n">
        <v>165</v>
      </c>
      <c r="R211" s="7" t="n">
        <v>246.5</v>
      </c>
      <c r="T211" s="7" t="n">
        <v>381.5</v>
      </c>
      <c r="V211" s="7" t="n">
        <v>274.5</v>
      </c>
      <c r="X211" s="7" t="n">
        <v>196.1</v>
      </c>
      <c r="Z211" s="7" t="n">
        <v>317.5</v>
      </c>
      <c r="AB211" s="7" t="n">
        <v>4465.5</v>
      </c>
    </row>
    <row r="212">
      <c r="A212" s="4" t="inlineStr">
        <is>
          <t>水费</t>
        </is>
      </c>
      <c r="D212" s="7" t="n">
        <v>138.4</v>
      </c>
      <c r="F212" s="7" t="n">
        <v>48</v>
      </c>
      <c r="H212" s="7" t="n">
        <v>197.3</v>
      </c>
      <c r="J212" s="7" t="n">
        <v>295.1</v>
      </c>
      <c r="L212" s="7" t="n">
        <v>229.8</v>
      </c>
      <c r="N212" s="7" t="n">
        <v>291.3</v>
      </c>
      <c r="P212" s="7" t="n">
        <v>61.5</v>
      </c>
      <c r="R212" s="7" t="n">
        <v>106.4</v>
      </c>
      <c r="T212" s="7" t="n">
        <v>145.9</v>
      </c>
      <c r="V212" s="7" t="n">
        <v>127.2</v>
      </c>
      <c r="X212" s="7" t="n">
        <v>81.7</v>
      </c>
      <c r="Z212" s="7" t="n">
        <v>113.1</v>
      </c>
      <c r="AB212" s="7" t="n">
        <v>1835.7</v>
      </c>
    </row>
    <row r="213">
      <c r="A213" s="4" t="inlineStr">
        <is>
          <t>电费</t>
        </is>
      </c>
      <c r="D213" s="7" t="n">
        <v>34.7</v>
      </c>
      <c r="F213" s="7" t="n">
        <v>12.2</v>
      </c>
      <c r="H213" s="7" t="n">
        <v>73.3</v>
      </c>
      <c r="J213" s="7" t="n">
        <v>82.8</v>
      </c>
      <c r="L213" s="7" t="n">
        <v>63.6</v>
      </c>
      <c r="N213" s="7" t="n">
        <v>115.3</v>
      </c>
      <c r="P213" s="7" t="n">
        <v>20</v>
      </c>
      <c r="R213" s="7" t="n">
        <v>25.2</v>
      </c>
      <c r="T213" s="7" t="n">
        <v>49.4</v>
      </c>
      <c r="V213" s="7" t="n">
        <v>39.5</v>
      </c>
      <c r="X213" s="7" t="n">
        <v>22.4</v>
      </c>
      <c r="Z213" s="7" t="n">
        <v>35.3</v>
      </c>
      <c r="AB213" s="7" t="n">
        <v>573.7</v>
      </c>
    </row>
    <row r="214">
      <c r="A214" s="4" t="inlineStr">
        <is>
          <t>燃气费</t>
        </is>
      </c>
      <c r="D214" s="7" t="n">
        <v>76</v>
      </c>
      <c r="F214" s="7" t="n">
        <v>24.6</v>
      </c>
      <c r="H214" s="7" t="n">
        <v>180.3</v>
      </c>
      <c r="J214" s="7" t="n">
        <v>169.1</v>
      </c>
      <c r="L214" s="7" t="n">
        <v>121</v>
      </c>
      <c r="N214" s="7" t="n">
        <v>172.7</v>
      </c>
      <c r="P214" s="7" t="n">
        <v>48</v>
      </c>
      <c r="R214" s="7" t="n">
        <v>78.7</v>
      </c>
      <c r="T214" s="7" t="n">
        <v>115.2</v>
      </c>
      <c r="V214" s="7" t="n">
        <v>65.8</v>
      </c>
      <c r="X214" s="7" t="n">
        <v>62.7</v>
      </c>
      <c r="Z214" s="7" t="n">
        <v>117.9</v>
      </c>
      <c r="AB214" s="7" t="n">
        <v>1232</v>
      </c>
    </row>
    <row r="215">
      <c r="A215" s="4" t="inlineStr">
        <is>
          <t>蒸汽费</t>
        </is>
      </c>
      <c r="D215" s="7" t="n">
        <v>59</v>
      </c>
      <c r="F215" s="7" t="n">
        <v>25.9</v>
      </c>
      <c r="H215" s="7" t="n">
        <v>113.6</v>
      </c>
      <c r="J215" s="7" t="n">
        <v>106.1</v>
      </c>
      <c r="L215" s="7" t="n">
        <v>129.2</v>
      </c>
      <c r="N215" s="7" t="n">
        <v>125.1</v>
      </c>
      <c r="P215" s="7" t="n">
        <v>35.5</v>
      </c>
      <c r="R215" s="7" t="n">
        <v>36.2</v>
      </c>
      <c r="T215" s="7" t="n">
        <v>71</v>
      </c>
      <c r="V215" s="7" t="n">
        <v>42</v>
      </c>
      <c r="X215" s="7" t="n">
        <v>29.3</v>
      </c>
      <c r="Z215" s="7" t="n">
        <v>51.2</v>
      </c>
      <c r="AB215" s="7" t="n">
        <v>824.1</v>
      </c>
    </row>
    <row r="216">
      <c r="A216" s="4" t="inlineStr">
        <is>
          <t>物业费</t>
        </is>
      </c>
      <c r="D216" s="7" t="n">
        <v>66.8</v>
      </c>
      <c r="F216" s="7" t="n">
        <v>19</v>
      </c>
      <c r="H216" s="7" t="n">
        <v>121.5</v>
      </c>
      <c r="J216" s="7" t="n">
        <v>127.2</v>
      </c>
      <c r="L216" s="7" t="n">
        <v>120.4</v>
      </c>
      <c r="N216" s="7" t="n">
        <v>138.4</v>
      </c>
      <c r="P216" s="7" t="n">
        <v>39.2</v>
      </c>
      <c r="R216" s="7" t="n">
        <v>37.8</v>
      </c>
      <c r="T216" s="7" t="n">
        <v>48.8</v>
      </c>
      <c r="V216" s="7" t="n">
        <v>47.8</v>
      </c>
      <c r="X216" s="7" t="n">
        <v>25.6</v>
      </c>
      <c r="Z216" s="7" t="n">
        <v>72.7</v>
      </c>
      <c r="AB216" s="7" t="n">
        <v>865.2</v>
      </c>
    </row>
    <row r="217">
      <c r="A217" s="4" t="inlineStr">
        <is>
          <t>劳动保护费</t>
        </is>
      </c>
      <c r="D217" s="7" t="n">
        <v>119.3</v>
      </c>
      <c r="F217" s="7" t="n">
        <v>44.6</v>
      </c>
      <c r="H217" s="7" t="n">
        <v>166</v>
      </c>
      <c r="J217" s="7" t="n">
        <v>244.4</v>
      </c>
      <c r="L217" s="7" t="n">
        <v>246.3</v>
      </c>
      <c r="N217" s="7" t="n">
        <v>380.4</v>
      </c>
      <c r="P217" s="7" t="n">
        <v>69.09999999999999</v>
      </c>
      <c r="R217" s="7" t="n">
        <v>79.5</v>
      </c>
      <c r="T217" s="7" t="n">
        <v>156.3</v>
      </c>
      <c r="V217" s="7" t="n">
        <v>127.8</v>
      </c>
      <c r="X217" s="7" t="n">
        <v>79.59999999999999</v>
      </c>
      <c r="Z217" s="7" t="n">
        <v>115.4</v>
      </c>
      <c r="AB217" s="7" t="n">
        <v>1828.7</v>
      </c>
    </row>
    <row r="218">
      <c r="A218" s="4" t="inlineStr">
        <is>
          <t>顾问费</t>
        </is>
      </c>
      <c r="D218" s="7" t="n">
        <v>8.699999999999999</v>
      </c>
      <c r="F218" s="7" t="n">
        <v>2.6</v>
      </c>
      <c r="H218" s="7" t="n">
        <v>13.8</v>
      </c>
      <c r="J218" s="7" t="n">
        <v>14</v>
      </c>
      <c r="L218" s="7" t="n">
        <v>12.4</v>
      </c>
      <c r="N218" s="7" t="n">
        <v>19.3</v>
      </c>
      <c r="P218" s="7" t="n">
        <v>4.1</v>
      </c>
      <c r="R218" s="7" t="n">
        <v>4.5</v>
      </c>
      <c r="T218" s="7" t="n">
        <v>7.5</v>
      </c>
      <c r="V218" s="7" t="n">
        <v>7</v>
      </c>
      <c r="X218" s="7" t="n">
        <v>3.7</v>
      </c>
      <c r="Z218" s="7" t="n">
        <v>6.1</v>
      </c>
      <c r="AB218" s="7" t="n">
        <v>103.7</v>
      </c>
    </row>
    <row r="219">
      <c r="A219" s="4" t="inlineStr">
        <is>
          <t>快递费</t>
        </is>
      </c>
      <c r="D219" s="7" t="n">
        <v>143.3</v>
      </c>
      <c r="F219" s="7" t="n">
        <v>33</v>
      </c>
      <c r="H219" s="7" t="n">
        <v>177.3</v>
      </c>
      <c r="J219" s="7" t="n">
        <v>182.1</v>
      </c>
      <c r="L219" s="7" t="n">
        <v>192</v>
      </c>
      <c r="N219" s="7" t="n">
        <v>414.1</v>
      </c>
      <c r="P219" s="7" t="n">
        <v>71.90000000000001</v>
      </c>
      <c r="R219" s="7" t="n">
        <v>83.2</v>
      </c>
      <c r="T219" s="7" t="n">
        <v>150.1</v>
      </c>
      <c r="V219" s="7" t="n">
        <v>103.2</v>
      </c>
      <c r="X219" s="7" t="n">
        <v>64.7</v>
      </c>
      <c r="Z219" s="7" t="n">
        <v>124.7</v>
      </c>
      <c r="AB219" s="7" t="n">
        <v>1739.6</v>
      </c>
    </row>
    <row r="220">
      <c r="A220" s="4" t="inlineStr">
        <is>
          <t>诉讼费</t>
        </is>
      </c>
      <c r="D220" s="7" t="n">
        <v>116.3</v>
      </c>
      <c r="F220" s="7" t="n">
        <v>36.6</v>
      </c>
      <c r="H220" s="7" t="n">
        <v>186.1</v>
      </c>
      <c r="J220" s="7" t="n">
        <v>117.5</v>
      </c>
      <c r="L220" s="7" t="n">
        <v>182.7</v>
      </c>
      <c r="N220" s="7" t="n">
        <v>236.6</v>
      </c>
      <c r="P220" s="7" t="n">
        <v>56.5</v>
      </c>
      <c r="R220" s="7" t="n">
        <v>44.7</v>
      </c>
      <c r="T220" s="7" t="n">
        <v>104.2</v>
      </c>
      <c r="V220" s="7" t="n">
        <v>80.2</v>
      </c>
      <c r="X220" s="7" t="n">
        <v>44.5</v>
      </c>
      <c r="Z220" s="7" t="n">
        <v>66.59999999999999</v>
      </c>
      <c r="AB220" s="7" t="n">
        <v>1272.5</v>
      </c>
    </row>
    <row r="221">
      <c r="A221" s="4" t="inlineStr">
        <is>
          <t>会员费</t>
        </is>
      </c>
      <c r="D221" s="7" t="n">
        <v>101.4</v>
      </c>
      <c r="F221" s="7" t="n">
        <v>25.2</v>
      </c>
      <c r="H221" s="7" t="n">
        <v>171.6</v>
      </c>
      <c r="J221" s="7" t="n">
        <v>156.5</v>
      </c>
      <c r="L221" s="7" t="n">
        <v>117.4</v>
      </c>
      <c r="N221" s="7" t="n">
        <v>176.4</v>
      </c>
      <c r="P221" s="7" t="n">
        <v>38.8</v>
      </c>
      <c r="R221" s="7" t="n">
        <v>69.09999999999999</v>
      </c>
      <c r="T221" s="7" t="n">
        <v>104.6</v>
      </c>
      <c r="V221" s="7" t="n">
        <v>62.4</v>
      </c>
      <c r="X221" s="7" t="n">
        <v>52.2</v>
      </c>
      <c r="Z221" s="7" t="n">
        <v>97.5</v>
      </c>
      <c r="AB221" s="7" t="n">
        <v>1173.1</v>
      </c>
    </row>
    <row r="222">
      <c r="A222" s="4" t="inlineStr">
        <is>
          <t>广告宣传费</t>
        </is>
      </c>
      <c r="D222" s="7" t="n">
        <v>735.4</v>
      </c>
      <c r="F222" s="7" t="n">
        <v>249.1</v>
      </c>
      <c r="H222" s="7" t="n">
        <v>1279.9</v>
      </c>
      <c r="J222" s="7" t="n">
        <v>1159.6</v>
      </c>
      <c r="L222" s="7" t="n">
        <v>1131.1</v>
      </c>
      <c r="N222" s="7" t="n">
        <v>1644.1</v>
      </c>
      <c r="P222" s="7" t="n">
        <v>377.9</v>
      </c>
      <c r="R222" s="7" t="n">
        <v>393.3</v>
      </c>
      <c r="T222" s="7" t="n">
        <v>965.6</v>
      </c>
      <c r="V222" s="7" t="n">
        <v>611.2</v>
      </c>
      <c r="X222" s="7" t="n">
        <v>331.2</v>
      </c>
      <c r="Z222" s="7" t="n">
        <v>594.4</v>
      </c>
      <c r="AB222" s="7" t="n">
        <v>9472.799999999999</v>
      </c>
    </row>
    <row r="223">
      <c r="A223" s="4" t="inlineStr">
        <is>
          <t>会务费</t>
        </is>
      </c>
      <c r="D223" s="7" t="n">
        <v>106.2</v>
      </c>
      <c r="F223" s="7" t="n">
        <v>34.5</v>
      </c>
      <c r="H223" s="7" t="n">
        <v>169.1</v>
      </c>
      <c r="J223" s="7" t="n">
        <v>139.2</v>
      </c>
      <c r="L223" s="7" t="n">
        <v>202.8</v>
      </c>
      <c r="N223" s="7" t="n">
        <v>219.9</v>
      </c>
      <c r="P223" s="7" t="n">
        <v>53.6</v>
      </c>
      <c r="R223" s="7" t="n">
        <v>58.8</v>
      </c>
      <c r="T223" s="7" t="n">
        <v>94.2</v>
      </c>
      <c r="V223" s="7" t="n">
        <v>78.3</v>
      </c>
      <c r="X223" s="7" t="n">
        <v>50.2</v>
      </c>
      <c r="Z223" s="7" t="n">
        <v>114.7</v>
      </c>
      <c r="AB223" s="7" t="n">
        <v>1321.5</v>
      </c>
    </row>
    <row r="224">
      <c r="A224" s="4" t="inlineStr">
        <is>
          <t>装修费</t>
        </is>
      </c>
      <c r="D224" s="7" t="n">
        <v>138.4</v>
      </c>
      <c r="F224" s="7" t="n">
        <v>31.3</v>
      </c>
      <c r="H224" s="7" t="n">
        <v>197.5</v>
      </c>
      <c r="J224" s="7" t="n">
        <v>231.2</v>
      </c>
      <c r="L224" s="7" t="n">
        <v>184.7</v>
      </c>
      <c r="N224" s="7" t="n">
        <v>344.3</v>
      </c>
      <c r="P224" s="7" t="n">
        <v>72.2</v>
      </c>
      <c r="R224" s="7" t="n">
        <v>61.5</v>
      </c>
      <c r="T224" s="7" t="n">
        <v>94.90000000000001</v>
      </c>
      <c r="V224" s="7" t="n">
        <v>81</v>
      </c>
      <c r="X224" s="7" t="n">
        <v>60.5</v>
      </c>
      <c r="Z224" s="7" t="n">
        <v>104.8</v>
      </c>
      <c r="AB224" s="7" t="n">
        <v>1602.3</v>
      </c>
    </row>
    <row r="225">
      <c r="A225" s="4" t="inlineStr">
        <is>
          <t>推广费</t>
        </is>
      </c>
      <c r="D225" s="7" t="n">
        <v>173.7</v>
      </c>
      <c r="F225" s="7" t="n">
        <v>38.2</v>
      </c>
      <c r="H225" s="7" t="n">
        <v>321.7</v>
      </c>
      <c r="J225" s="7" t="n">
        <v>277.7</v>
      </c>
      <c r="L225" s="7" t="n">
        <v>249.2</v>
      </c>
      <c r="N225" s="7" t="n">
        <v>451.9</v>
      </c>
      <c r="P225" s="7" t="n">
        <v>102.7</v>
      </c>
      <c r="R225" s="7" t="n">
        <v>102.5</v>
      </c>
      <c r="T225" s="7" t="n">
        <v>145.3</v>
      </c>
      <c r="V225" s="7" t="n">
        <v>147.5</v>
      </c>
      <c r="X225" s="7" t="n">
        <v>93.5</v>
      </c>
      <c r="Z225" s="7" t="n">
        <v>160.5</v>
      </c>
      <c r="AB225" s="7" t="n">
        <v>2264.4</v>
      </c>
    </row>
    <row r="226">
      <c r="A226" s="4" t="inlineStr">
        <is>
          <t>展会费</t>
        </is>
      </c>
      <c r="D226" s="7" t="n">
        <v>109.4</v>
      </c>
      <c r="F226" s="7" t="n">
        <v>28</v>
      </c>
      <c r="H226" s="7" t="n">
        <v>223.9</v>
      </c>
      <c r="J226" s="7" t="n">
        <v>175.2</v>
      </c>
      <c r="L226" s="7" t="n">
        <v>178.1</v>
      </c>
      <c r="N226" s="7" t="n">
        <v>244.3</v>
      </c>
      <c r="P226" s="7" t="n">
        <v>47.1</v>
      </c>
      <c r="R226" s="7" t="n">
        <v>60.6</v>
      </c>
      <c r="T226" s="7" t="n">
        <v>128.8</v>
      </c>
      <c r="V226" s="7" t="n">
        <v>106.8</v>
      </c>
      <c r="X226" s="7" t="n">
        <v>54.4</v>
      </c>
      <c r="Z226" s="7" t="n">
        <v>77.40000000000001</v>
      </c>
      <c r="AB226" s="7" t="n">
        <v>1434</v>
      </c>
    </row>
    <row r="227">
      <c r="A227" s="4" t="inlineStr">
        <is>
          <t>设计费</t>
        </is>
      </c>
      <c r="D227" s="7" t="n">
        <v>104.1</v>
      </c>
      <c r="F227" s="7" t="n">
        <v>24.7</v>
      </c>
      <c r="H227" s="7" t="n">
        <v>112.7</v>
      </c>
      <c r="J227" s="7" t="n">
        <v>150.9</v>
      </c>
      <c r="L227" s="7" t="n">
        <v>108.3</v>
      </c>
      <c r="N227" s="7" t="n">
        <v>243</v>
      </c>
      <c r="P227" s="7" t="n">
        <v>48.6</v>
      </c>
      <c r="R227" s="7" t="n">
        <v>65.90000000000001</v>
      </c>
      <c r="T227" s="7" t="n">
        <v>82.8</v>
      </c>
      <c r="V227" s="7" t="n">
        <v>51.3</v>
      </c>
      <c r="X227" s="7" t="n">
        <v>49.1</v>
      </c>
      <c r="Z227" s="7" t="n">
        <v>90.5</v>
      </c>
      <c r="AB227" s="7" t="n">
        <v>1131.9</v>
      </c>
    </row>
    <row r="228">
      <c r="A228" s="4" t="inlineStr">
        <is>
          <t>折旧费</t>
        </is>
      </c>
      <c r="D228" s="7" t="n">
        <v>1136.9</v>
      </c>
      <c r="F228" s="7" t="n">
        <v>367.4</v>
      </c>
      <c r="H228" s="7" t="n">
        <v>1541.4</v>
      </c>
      <c r="J228" s="7" t="n">
        <v>1660.9</v>
      </c>
      <c r="L228" s="7" t="n">
        <v>1877</v>
      </c>
      <c r="N228" s="7" t="n">
        <v>2093.2</v>
      </c>
      <c r="P228" s="7" t="n">
        <v>543.8</v>
      </c>
      <c r="R228" s="7" t="n">
        <v>642.4</v>
      </c>
      <c r="T228" s="7" t="n">
        <v>978.5</v>
      </c>
      <c r="V228" s="7" t="n">
        <v>653.7</v>
      </c>
      <c r="X228" s="7" t="n">
        <v>596.6</v>
      </c>
      <c r="Z228" s="7" t="n">
        <v>915.4</v>
      </c>
      <c r="AB228" s="7" t="n">
        <v>13007.2</v>
      </c>
    </row>
    <row r="229">
      <c r="A229" s="4" t="inlineStr">
        <is>
          <t>认证费</t>
        </is>
      </c>
      <c r="D229" s="7" t="n">
        <v>155.7</v>
      </c>
      <c r="F229" s="7" t="n">
        <v>35.1</v>
      </c>
      <c r="H229" s="7" t="n">
        <v>189.1</v>
      </c>
      <c r="J229" s="7" t="n">
        <v>187.2</v>
      </c>
      <c r="L229" s="7" t="n">
        <v>193.1</v>
      </c>
      <c r="N229" s="7" t="n">
        <v>388.2</v>
      </c>
      <c r="P229" s="7" t="n">
        <v>94.90000000000001</v>
      </c>
      <c r="R229" s="7" t="n">
        <v>94.90000000000001</v>
      </c>
      <c r="T229" s="7" t="n">
        <v>149.7</v>
      </c>
      <c r="V229" s="7" t="n">
        <v>108.1</v>
      </c>
      <c r="X229" s="7" t="n">
        <v>70.3</v>
      </c>
      <c r="Z229" s="7" t="n">
        <v>114</v>
      </c>
      <c r="AB229" s="7" t="n">
        <v>1780.3</v>
      </c>
    </row>
    <row r="230">
      <c r="A230" s="4" t="inlineStr">
        <is>
          <t>样品费</t>
        </is>
      </c>
      <c r="D230" s="7" t="n">
        <v>574.6</v>
      </c>
      <c r="F230" s="7" t="n">
        <v>198.4</v>
      </c>
      <c r="H230" s="7" t="n">
        <v>751.4</v>
      </c>
      <c r="J230" s="7" t="n">
        <v>886.2</v>
      </c>
      <c r="L230" s="7" t="n">
        <v>667</v>
      </c>
      <c r="N230" s="7" t="n">
        <v>1468.9</v>
      </c>
      <c r="P230" s="7" t="n">
        <v>299.3</v>
      </c>
      <c r="R230" s="7" t="n">
        <v>292.2</v>
      </c>
      <c r="T230" s="7" t="n">
        <v>616.1</v>
      </c>
      <c r="V230" s="7" t="n">
        <v>491.3</v>
      </c>
      <c r="X230" s="7" t="n">
        <v>204</v>
      </c>
      <c r="Z230" s="7" t="n">
        <v>393</v>
      </c>
      <c r="AB230" s="7" t="n">
        <v>6842.4</v>
      </c>
    </row>
    <row r="231">
      <c r="A231" s="4" t="inlineStr">
        <is>
          <t>劳务费</t>
        </is>
      </c>
      <c r="D231" s="7" t="n">
        <v>99.8</v>
      </c>
      <c r="F231" s="7" t="n">
        <v>29.1</v>
      </c>
      <c r="H231" s="7" t="n">
        <v>183.7</v>
      </c>
      <c r="J231" s="7" t="n">
        <v>144.5</v>
      </c>
      <c r="L231" s="7" t="n">
        <v>118.4</v>
      </c>
      <c r="N231" s="7" t="n">
        <v>262.7</v>
      </c>
      <c r="P231" s="7" t="n">
        <v>45.7</v>
      </c>
      <c r="R231" s="7" t="n">
        <v>62.2</v>
      </c>
      <c r="T231" s="7" t="n">
        <v>68.40000000000001</v>
      </c>
      <c r="V231" s="7" t="n">
        <v>73.40000000000001</v>
      </c>
      <c r="X231" s="7" t="n">
        <v>35.8</v>
      </c>
      <c r="Z231" s="7" t="n">
        <v>97.90000000000001</v>
      </c>
      <c r="AB231" s="7" t="n">
        <v>1221.6</v>
      </c>
    </row>
    <row r="232">
      <c r="A232" s="4" t="inlineStr">
        <is>
          <t>销售佣金</t>
        </is>
      </c>
      <c r="D232" s="7" t="n">
        <v>12</v>
      </c>
      <c r="F232" s="7" t="n">
        <v>4.6</v>
      </c>
      <c r="H232" s="7" t="n">
        <v>28.4</v>
      </c>
      <c r="J232" s="7" t="n">
        <v>28.4</v>
      </c>
      <c r="L232" s="7" t="n">
        <v>18.7</v>
      </c>
      <c r="N232" s="7" t="n">
        <v>28.8</v>
      </c>
      <c r="P232" s="7" t="n">
        <v>10.3</v>
      </c>
      <c r="R232" s="7" t="n">
        <v>12.3</v>
      </c>
      <c r="T232" s="7" t="n">
        <v>16.8</v>
      </c>
      <c r="V232" s="7" t="n">
        <v>16</v>
      </c>
      <c r="X232" s="7" t="n">
        <v>6.9</v>
      </c>
      <c r="Z232" s="7" t="n">
        <v>10.7</v>
      </c>
      <c r="AB232" s="7" t="n">
        <v>193.9</v>
      </c>
    </row>
    <row r="233">
      <c r="A233" s="4" t="inlineStr">
        <is>
          <t>检测费</t>
        </is>
      </c>
      <c r="D233" s="7" t="n">
        <v>96.8</v>
      </c>
      <c r="F233" s="7" t="n">
        <v>22</v>
      </c>
      <c r="H233" s="7" t="n">
        <v>140.8</v>
      </c>
      <c r="J233" s="7" t="n">
        <v>124</v>
      </c>
      <c r="L233" s="7" t="n">
        <v>105.7</v>
      </c>
      <c r="N233" s="7" t="n">
        <v>252.3</v>
      </c>
      <c r="P233" s="7" t="n">
        <v>38.4</v>
      </c>
      <c r="R233" s="7" t="n">
        <v>60.2</v>
      </c>
      <c r="T233" s="7" t="n">
        <v>85</v>
      </c>
      <c r="V233" s="7" t="n">
        <v>87</v>
      </c>
      <c r="X233" s="7" t="n">
        <v>36.1</v>
      </c>
      <c r="Z233" s="7" t="n">
        <v>82.40000000000001</v>
      </c>
      <c r="AB233" s="7" t="n">
        <v>1130.7</v>
      </c>
    </row>
    <row r="234">
      <c r="A234" s="4" t="inlineStr">
        <is>
          <t>质量赔偿</t>
        </is>
      </c>
      <c r="D234" s="7" t="n">
        <v>132.4</v>
      </c>
      <c r="F234" s="7" t="n">
        <v>38.4</v>
      </c>
      <c r="H234" s="7" t="n">
        <v>223.1</v>
      </c>
      <c r="J234" s="7" t="n">
        <v>185.6</v>
      </c>
      <c r="L234" s="7" t="n">
        <v>166.2</v>
      </c>
      <c r="N234" s="7" t="n">
        <v>283.4</v>
      </c>
      <c r="P234" s="7" t="n">
        <v>91.59999999999999</v>
      </c>
      <c r="R234" s="7" t="n">
        <v>70.3</v>
      </c>
      <c r="T234" s="7" t="n">
        <v>148.9</v>
      </c>
      <c r="V234" s="7" t="n">
        <v>97.7</v>
      </c>
      <c r="X234" s="7" t="n">
        <v>63.5</v>
      </c>
      <c r="Z234" s="7" t="n">
        <v>110.1</v>
      </c>
      <c r="AB234" s="7" t="n">
        <v>1611.2</v>
      </c>
    </row>
    <row r="235">
      <c r="A235" s="4" t="inlineStr">
        <is>
          <t>保险费</t>
        </is>
      </c>
      <c r="D235" s="7" t="n">
        <v>75.7</v>
      </c>
      <c r="F235" s="7" t="n">
        <v>19.1</v>
      </c>
      <c r="H235" s="7" t="n">
        <v>127.5</v>
      </c>
      <c r="J235" s="7" t="n">
        <v>108.4</v>
      </c>
      <c r="L235" s="7" t="n">
        <v>94.2</v>
      </c>
      <c r="N235" s="7" t="n">
        <v>151.5</v>
      </c>
      <c r="P235" s="7" t="n">
        <v>51.4</v>
      </c>
      <c r="R235" s="7" t="n">
        <v>56.2</v>
      </c>
      <c r="T235" s="7" t="n">
        <v>96</v>
      </c>
      <c r="V235" s="7" t="n">
        <v>70.5</v>
      </c>
      <c r="X235" s="7" t="n">
        <v>28.8</v>
      </c>
      <c r="Z235" s="7" t="n">
        <v>58.6</v>
      </c>
      <c r="AB235" s="7" t="n">
        <v>937.9</v>
      </c>
    </row>
    <row r="236">
      <c r="A236" s="4" t="inlineStr">
        <is>
          <t>清洁费</t>
        </is>
      </c>
      <c r="D236" s="7" t="n">
        <v>119.7</v>
      </c>
      <c r="F236" s="7" t="n">
        <v>26.8</v>
      </c>
      <c r="H236" s="7" t="n">
        <v>153.1</v>
      </c>
      <c r="J236" s="7" t="n">
        <v>137.5</v>
      </c>
      <c r="L236" s="7" t="n">
        <v>165.4</v>
      </c>
      <c r="N236" s="7" t="n">
        <v>216.6</v>
      </c>
      <c r="P236" s="7" t="n">
        <v>65.09999999999999</v>
      </c>
      <c r="R236" s="7" t="n">
        <v>73</v>
      </c>
      <c r="T236" s="7" t="n">
        <v>91.3</v>
      </c>
      <c r="V236" s="7" t="n">
        <v>91.90000000000001</v>
      </c>
      <c r="X236" s="7" t="n">
        <v>54.2</v>
      </c>
      <c r="Z236" s="7" t="n">
        <v>84.3</v>
      </c>
      <c r="AB236" s="7" t="n">
        <v>1278.9</v>
      </c>
    </row>
    <row r="237">
      <c r="A237" s="4" t="inlineStr">
        <is>
          <t>低值易耗品</t>
        </is>
      </c>
      <c r="D237" s="7" t="n">
        <v>150.5</v>
      </c>
      <c r="F237" s="7" t="n">
        <v>48.9</v>
      </c>
      <c r="H237" s="7" t="n">
        <v>168.6</v>
      </c>
      <c r="J237" s="7" t="n">
        <v>252.6</v>
      </c>
      <c r="L237" s="7" t="n">
        <v>161.2</v>
      </c>
      <c r="N237" s="7" t="n">
        <v>333.7</v>
      </c>
      <c r="P237" s="7" t="n">
        <v>87.90000000000001</v>
      </c>
      <c r="R237" s="7" t="n">
        <v>81.59999999999999</v>
      </c>
      <c r="T237" s="7" t="n">
        <v>143.9</v>
      </c>
      <c r="V237" s="7" t="n">
        <v>129.6</v>
      </c>
      <c r="X237" s="7" t="n">
        <v>67</v>
      </c>
      <c r="Z237" s="7" t="n">
        <v>94.8</v>
      </c>
      <c r="AB237" s="7" t="n">
        <v>1720.3</v>
      </c>
    </row>
    <row r="238">
      <c r="A238" s="4" t="inlineStr">
        <is>
          <t>物料消耗</t>
        </is>
      </c>
      <c r="D238" s="7" t="n">
        <v>62.4</v>
      </c>
      <c r="F238" s="7" t="n">
        <v>22</v>
      </c>
      <c r="H238" s="7" t="n">
        <v>96.2</v>
      </c>
      <c r="J238" s="7" t="n">
        <v>74.2</v>
      </c>
      <c r="L238" s="7" t="n">
        <v>111.6</v>
      </c>
      <c r="N238" s="7" t="n">
        <v>137.4</v>
      </c>
      <c r="P238" s="7" t="n">
        <v>41.7</v>
      </c>
      <c r="R238" s="7" t="n">
        <v>31.8</v>
      </c>
      <c r="T238" s="7" t="n">
        <v>78.8</v>
      </c>
      <c r="V238" s="7" t="n">
        <v>54.2</v>
      </c>
      <c r="X238" s="7" t="n">
        <v>24.2</v>
      </c>
      <c r="Z238" s="7" t="n">
        <v>61</v>
      </c>
      <c r="AB238" s="7" t="n">
        <v>795.5</v>
      </c>
    </row>
    <row r="239">
      <c r="A239" s="4" t="inlineStr">
        <is>
          <t>盘盈盘亏</t>
        </is>
      </c>
      <c r="D239" s="7" t="n">
        <v>163.3</v>
      </c>
      <c r="F239" s="7" t="n">
        <v>45.6</v>
      </c>
      <c r="H239" s="7" t="n">
        <v>243.5</v>
      </c>
      <c r="J239" s="7" t="n">
        <v>163.5</v>
      </c>
      <c r="L239" s="7" t="n">
        <v>208.5</v>
      </c>
      <c r="N239" s="7" t="n">
        <v>350.8</v>
      </c>
      <c r="P239" s="7" t="n">
        <v>67.40000000000001</v>
      </c>
      <c r="R239" s="7" t="n">
        <v>98.7</v>
      </c>
      <c r="T239" s="7" t="n">
        <v>105.2</v>
      </c>
      <c r="V239" s="7" t="n">
        <v>129.8</v>
      </c>
      <c r="X239" s="7" t="n">
        <v>70.5</v>
      </c>
      <c r="Z239" s="7" t="n">
        <v>152</v>
      </c>
      <c r="AB239" s="7" t="n">
        <v>1798.8</v>
      </c>
    </row>
    <row r="240">
      <c r="A240" s="4" t="inlineStr">
        <is>
          <t>平台服务费</t>
        </is>
      </c>
      <c r="D240" s="7" t="n">
        <v>101.4</v>
      </c>
      <c r="F240" s="7" t="n">
        <v>34.3</v>
      </c>
      <c r="H240" s="7" t="n">
        <v>222.3</v>
      </c>
      <c r="J240" s="7" t="n">
        <v>183.1</v>
      </c>
      <c r="L240" s="7" t="n">
        <v>162.6</v>
      </c>
      <c r="N240" s="7" t="n">
        <v>276.2</v>
      </c>
      <c r="P240" s="7" t="n">
        <v>89</v>
      </c>
      <c r="R240" s="7" t="n">
        <v>80.8</v>
      </c>
      <c r="T240" s="7" t="n">
        <v>159.4</v>
      </c>
      <c r="V240" s="7" t="n">
        <v>110.6</v>
      </c>
      <c r="X240" s="7" t="n">
        <v>74.5</v>
      </c>
      <c r="Z240" s="7" t="n">
        <v>92.5</v>
      </c>
      <c r="AB240" s="7" t="n">
        <v>1586.7</v>
      </c>
    </row>
    <row r="241">
      <c r="A241" s="4" t="inlineStr">
        <is>
          <t>无形资产摊销</t>
        </is>
      </c>
      <c r="D241" s="7" t="n">
        <v>56.8</v>
      </c>
      <c r="F241" s="7" t="n">
        <v>14.8</v>
      </c>
      <c r="H241" s="7" t="n">
        <v>109.2</v>
      </c>
      <c r="J241" s="7" t="n">
        <v>99</v>
      </c>
      <c r="L241" s="7" t="n">
        <v>83</v>
      </c>
      <c r="N241" s="7" t="n">
        <v>107</v>
      </c>
      <c r="P241" s="7" t="n">
        <v>32</v>
      </c>
      <c r="R241" s="7" t="n">
        <v>29.8</v>
      </c>
      <c r="T241" s="7" t="n">
        <v>52.4</v>
      </c>
      <c r="V241" s="7" t="n">
        <v>37.3</v>
      </c>
      <c r="X241" s="7" t="n">
        <v>24.3</v>
      </c>
      <c r="Z241" s="7" t="n">
        <v>58.5</v>
      </c>
      <c r="AB241" s="7" t="n">
        <v>704.1</v>
      </c>
    </row>
    <row r="242">
      <c r="A242" s="4" t="inlineStr">
        <is>
          <t>研发材料</t>
        </is>
      </c>
      <c r="D242" s="7" t="n">
        <v>55.9</v>
      </c>
      <c r="F242" s="7" t="n">
        <v>10.7</v>
      </c>
      <c r="H242" s="7" t="n">
        <v>54.2</v>
      </c>
      <c r="J242" s="7" t="n">
        <v>83.8</v>
      </c>
      <c r="L242" s="7" t="n">
        <v>73.2</v>
      </c>
      <c r="N242" s="7" t="n">
        <v>126.8</v>
      </c>
      <c r="P242" s="7" t="n">
        <v>31</v>
      </c>
      <c r="R242" s="7" t="n">
        <v>24.5</v>
      </c>
      <c r="T242" s="7" t="n">
        <v>39.5</v>
      </c>
      <c r="V242" s="7" t="n">
        <v>47.4</v>
      </c>
      <c r="X242" s="7" t="n">
        <v>18</v>
      </c>
      <c r="Z242" s="7" t="n">
        <v>52.8</v>
      </c>
      <c r="AB242" s="7" t="n">
        <v>617.8</v>
      </c>
    </row>
    <row r="243">
      <c r="A243" s="4" t="inlineStr">
        <is>
          <t>项目名称</t>
        </is>
      </c>
      <c r="D243" s="7" t="n">
        <v>86</v>
      </c>
      <c r="F243" s="7" t="n">
        <v>28.4</v>
      </c>
      <c r="H243" s="7" t="n">
        <v>209.3</v>
      </c>
      <c r="J243" s="7" t="n">
        <v>191.9</v>
      </c>
      <c r="L243" s="7" t="n">
        <v>134</v>
      </c>
      <c r="N243" s="7" t="n">
        <v>271.4</v>
      </c>
      <c r="P243" s="7" t="n">
        <v>59.2</v>
      </c>
      <c r="R243" s="7" t="n">
        <v>84.2</v>
      </c>
      <c r="T243" s="7" t="n">
        <v>112.1</v>
      </c>
      <c r="V243" s="7" t="n">
        <v>81.7</v>
      </c>
      <c r="X243" s="7" t="n">
        <v>41.2</v>
      </c>
      <c r="Z243" s="7" t="n">
        <v>118.2</v>
      </c>
      <c r="AB243" s="7" t="n">
        <v>1417.6</v>
      </c>
    </row>
    <row r="244">
      <c r="A244" s="4" t="inlineStr">
        <is>
          <t>研发费</t>
        </is>
      </c>
      <c r="D244" s="7" t="n">
        <v>44.4</v>
      </c>
      <c r="F244" s="7" t="n">
        <v>10.5</v>
      </c>
      <c r="H244" s="7" t="n">
        <v>66.2</v>
      </c>
      <c r="J244" s="7" t="n">
        <v>56.1</v>
      </c>
      <c r="L244" s="7" t="n">
        <v>51.4</v>
      </c>
      <c r="N244" s="7" t="n">
        <v>77.90000000000001</v>
      </c>
      <c r="P244" s="7" t="n">
        <v>27.3</v>
      </c>
      <c r="R244" s="7" t="n">
        <v>22.8</v>
      </c>
      <c r="T244" s="7" t="n">
        <v>40.3</v>
      </c>
      <c r="V244" s="7" t="n">
        <v>32.5</v>
      </c>
      <c r="X244" s="7" t="n">
        <v>16.2</v>
      </c>
      <c r="Z244" s="7" t="n">
        <v>31.2</v>
      </c>
      <c r="AB244" s="7" t="n">
        <v>476.8</v>
      </c>
    </row>
    <row r="245">
      <c r="A245" s="4" t="inlineStr">
        <is>
          <t>残保金</t>
        </is>
      </c>
      <c r="D245" s="7" t="n">
        <v>23.5</v>
      </c>
      <c r="F245" s="7" t="n">
        <v>7.6</v>
      </c>
      <c r="H245" s="7" t="n">
        <v>43.9</v>
      </c>
      <c r="J245" s="7" t="n">
        <v>38.8</v>
      </c>
      <c r="L245" s="7" t="n">
        <v>47.6</v>
      </c>
      <c r="N245" s="7" t="n">
        <v>84.7</v>
      </c>
      <c r="P245" s="7" t="n">
        <v>15.4</v>
      </c>
      <c r="R245" s="7" t="n">
        <v>15.6</v>
      </c>
      <c r="T245" s="7" t="n">
        <v>39.1</v>
      </c>
      <c r="V245" s="7" t="n">
        <v>18.1</v>
      </c>
      <c r="X245" s="7" t="n">
        <v>15.2</v>
      </c>
      <c r="Z245" s="7" t="n">
        <v>35.2</v>
      </c>
      <c r="AB245" s="7" t="n">
        <v>384.7</v>
      </c>
    </row>
    <row r="246">
      <c r="A246" s="4" t="inlineStr">
        <is>
          <t>环保费</t>
        </is>
      </c>
      <c r="D246" s="7" t="n">
        <v>104.2</v>
      </c>
      <c r="F246" s="7" t="n">
        <v>25.4</v>
      </c>
      <c r="H246" s="7" t="n">
        <v>172.9</v>
      </c>
      <c r="J246" s="7" t="n">
        <v>198.2</v>
      </c>
      <c r="L246" s="7" t="n">
        <v>157.1</v>
      </c>
      <c r="N246" s="7" t="n">
        <v>283.1</v>
      </c>
      <c r="P246" s="7" t="n">
        <v>54.4</v>
      </c>
      <c r="R246" s="7" t="n">
        <v>63.1</v>
      </c>
      <c r="T246" s="7" t="n">
        <v>123.1</v>
      </c>
      <c r="V246" s="7" t="n">
        <v>99.5</v>
      </c>
      <c r="X246" s="7" t="n">
        <v>38.6</v>
      </c>
      <c r="Z246" s="7" t="n">
        <v>92.5</v>
      </c>
      <c r="AB246" s="7" t="n">
        <v>1412.1</v>
      </c>
    </row>
    <row r="247">
      <c r="A247" s="4" t="inlineStr">
        <is>
          <t>报废损失</t>
        </is>
      </c>
      <c r="D247" s="7" t="n">
        <v>152.4</v>
      </c>
      <c r="F247" s="7" t="n">
        <v>34.8</v>
      </c>
      <c r="H247" s="7" t="n">
        <v>250.9</v>
      </c>
      <c r="J247" s="7" t="n">
        <v>297.6</v>
      </c>
      <c r="L247" s="7" t="n">
        <v>230.3</v>
      </c>
      <c r="N247" s="7" t="n">
        <v>261.6</v>
      </c>
      <c r="P247" s="7" t="n">
        <v>75.09999999999999</v>
      </c>
      <c r="R247" s="7" t="n">
        <v>92.5</v>
      </c>
      <c r="T247" s="7" t="n">
        <v>194.1</v>
      </c>
      <c r="V247" s="7" t="n">
        <v>107.9</v>
      </c>
      <c r="X247" s="7" t="n">
        <v>63.2</v>
      </c>
      <c r="Z247" s="7" t="n">
        <v>168.9</v>
      </c>
      <c r="AB247" s="7" t="n">
        <v>1929.3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6038.7</v>
      </c>
      <c r="D248" s="7" t="n">
        <v>-954.1</v>
      </c>
      <c r="E248" s="7" t="n">
        <v>6927.6</v>
      </c>
      <c r="F248" s="7" t="n">
        <v>16123.8</v>
      </c>
      <c r="G248" s="7" t="n">
        <v>6346.6</v>
      </c>
      <c r="H248" s="7" t="n">
        <v>11358.5</v>
      </c>
      <c r="I248" s="7" t="n">
        <v>7380.9</v>
      </c>
      <c r="J248" s="7" t="n">
        <v>14896.1</v>
      </c>
      <c r="K248" s="7" t="n">
        <v>7153</v>
      </c>
      <c r="L248" s="7" t="n">
        <v>1417.6</v>
      </c>
      <c r="M248" s="7" t="n">
        <v>6705.7</v>
      </c>
      <c r="N248" s="7" t="n">
        <v>5735</v>
      </c>
      <c r="O248" s="7" t="n">
        <v>7486.4</v>
      </c>
      <c r="P248" s="7" t="n">
        <v>2462.8</v>
      </c>
      <c r="Q248" s="7" t="n">
        <v>7001.7</v>
      </c>
      <c r="R248" s="7" t="n">
        <v>9720.6</v>
      </c>
      <c r="S248" s="7" t="n">
        <v>7063.5</v>
      </c>
      <c r="T248" s="7" t="n">
        <v>-2917.1</v>
      </c>
      <c r="U248" s="7" t="n">
        <v>6855.6</v>
      </c>
      <c r="V248" s="7" t="n">
        <v>-4074.9</v>
      </c>
      <c r="W248" s="7" t="n">
        <v>6036.3</v>
      </c>
      <c r="X248" s="7" t="n">
        <v>12948.1</v>
      </c>
      <c r="Y248" s="7" t="n">
        <v>5841.6</v>
      </c>
      <c r="Z248" s="7" t="n">
        <v>12117.2</v>
      </c>
      <c r="AA248" s="8" t="n">
        <v>80837.60000000001</v>
      </c>
      <c r="AB248" s="8" t="n">
        <v>78833.60000000001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3143.5</v>
      </c>
      <c r="E250" s="7" t="n">
        <v>0</v>
      </c>
      <c r="F250" s="7" t="n">
        <v>4980.5</v>
      </c>
      <c r="G250" s="7" t="n">
        <v>0</v>
      </c>
      <c r="H250" s="7" t="n">
        <v>2051.7</v>
      </c>
      <c r="I250" s="7" t="n">
        <v>0</v>
      </c>
      <c r="J250" s="7" t="n">
        <v>961.8</v>
      </c>
      <c r="K250" s="7" t="n">
        <v>0</v>
      </c>
      <c r="L250" s="7" t="n">
        <v>1826.8</v>
      </c>
      <c r="M250" s="7" t="n">
        <v>0</v>
      </c>
      <c r="N250" s="7" t="n">
        <v>-3766.2</v>
      </c>
      <c r="O250" s="7" t="n">
        <v>0</v>
      </c>
      <c r="P250" s="7" t="n">
        <v>-4308.5</v>
      </c>
      <c r="Q250" s="7" t="n">
        <v>0</v>
      </c>
      <c r="R250" s="7" t="n">
        <v>3633.8</v>
      </c>
      <c r="S250" s="7" t="n">
        <v>0</v>
      </c>
      <c r="T250" s="7" t="n">
        <v>586.5</v>
      </c>
      <c r="U250" s="7" t="n">
        <v>0</v>
      </c>
      <c r="V250" s="7" t="n">
        <v>-4001.6</v>
      </c>
      <c r="W250" s="7" t="n">
        <v>0</v>
      </c>
      <c r="X250" s="7" t="n">
        <v>-1028.9</v>
      </c>
      <c r="Y250" s="7" t="n">
        <v>0</v>
      </c>
      <c r="Z250" s="7" t="n">
        <v>448.3</v>
      </c>
      <c r="AA250" s="7" t="n">
        <v>0</v>
      </c>
      <c r="AB250" s="7" t="n">
        <v>4527.7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13276.9</v>
      </c>
      <c r="D255" s="7" t="n">
        <v>17387.3</v>
      </c>
      <c r="E255" s="7" t="n">
        <v>11344.4</v>
      </c>
      <c r="F255" s="7" t="n">
        <v>13936.4</v>
      </c>
      <c r="G255" s="7" t="n">
        <v>9948.299999999999</v>
      </c>
      <c r="H255" s="7" t="n">
        <v>323.2</v>
      </c>
      <c r="I255" s="7" t="n">
        <v>10547.3</v>
      </c>
      <c r="J255" s="7" t="n">
        <v>8318.200000000001</v>
      </c>
      <c r="K255" s="7" t="n">
        <v>11421.2</v>
      </c>
      <c r="L255" s="7" t="n">
        <v>3536</v>
      </c>
      <c r="M255" s="7" t="n">
        <v>12513.7</v>
      </c>
      <c r="N255" s="7" t="n">
        <v>9963.4</v>
      </c>
      <c r="O255" s="7" t="n">
        <v>12590</v>
      </c>
      <c r="P255" s="7" t="n">
        <v>7398.1</v>
      </c>
      <c r="Q255" s="7" t="n">
        <v>11866.5</v>
      </c>
      <c r="R255" s="7" t="n">
        <v>17950.8</v>
      </c>
      <c r="S255" s="7" t="n">
        <v>11724.9</v>
      </c>
      <c r="T255" s="7" t="n">
        <v>19128.5</v>
      </c>
      <c r="U255" s="7" t="n">
        <v>11222.7</v>
      </c>
      <c r="V255" s="7" t="n">
        <v>11939.2</v>
      </c>
      <c r="W255" s="7" t="n">
        <v>10905.4</v>
      </c>
      <c r="X255" s="7" t="n">
        <v>4156.4</v>
      </c>
      <c r="Y255" s="7" t="n">
        <v>9972.9</v>
      </c>
      <c r="Z255" s="7" t="n">
        <v>26238.9</v>
      </c>
      <c r="AA255" s="7" t="n">
        <v>137334.2</v>
      </c>
      <c r="AB255" s="7" t="n">
        <v>140276.4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103337.2</v>
      </c>
      <c r="D256" s="7" t="n">
        <v>120622.9</v>
      </c>
      <c r="E256" s="7" t="n">
        <v>117089</v>
      </c>
      <c r="F256" s="7" t="n">
        <v>41675.7</v>
      </c>
      <c r="G256" s="7" t="n">
        <v>99484.39999999999</v>
      </c>
      <c r="H256" s="7" t="n">
        <v>133555.9</v>
      </c>
      <c r="I256" s="7" t="n">
        <v>91870.7</v>
      </c>
      <c r="J256" s="7" t="n">
        <v>161179.8</v>
      </c>
      <c r="K256" s="7" t="n">
        <v>99019.3</v>
      </c>
      <c r="L256" s="7" t="n">
        <v>118564.5</v>
      </c>
      <c r="M256" s="7" t="n">
        <v>118124.5</v>
      </c>
      <c r="N256" s="7" t="n">
        <v>127614.4</v>
      </c>
      <c r="O256" s="7" t="n">
        <v>101093.7</v>
      </c>
      <c r="P256" s="7" t="n">
        <v>128283.8</v>
      </c>
      <c r="Q256" s="7" t="n">
        <v>96065</v>
      </c>
      <c r="R256" s="7" t="n">
        <v>110388.8</v>
      </c>
      <c r="S256" s="7" t="n">
        <v>110945.3</v>
      </c>
      <c r="T256" s="7" t="n">
        <v>93566</v>
      </c>
      <c r="U256" s="7" t="n">
        <v>100079.2</v>
      </c>
      <c r="V256" s="7" t="n">
        <v>98917.2</v>
      </c>
      <c r="W256" s="7" t="n">
        <v>90029.89999999999</v>
      </c>
      <c r="X256" s="7" t="n">
        <v>24295.7</v>
      </c>
      <c r="Y256" s="7" t="n">
        <v>94341.2</v>
      </c>
      <c r="Z256" s="7" t="n">
        <v>100789.4</v>
      </c>
      <c r="AA256" s="8" t="n">
        <v>1221479.4</v>
      </c>
      <c r="AB256" s="8" t="n">
        <v>1259454.1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407.4</v>
      </c>
      <c r="E257" s="7" t="n">
        <v>0</v>
      </c>
      <c r="F257" s="7" t="n">
        <v>235.4</v>
      </c>
      <c r="G257" s="7" t="n">
        <v>0</v>
      </c>
      <c r="H257" s="7" t="n">
        <v>4039</v>
      </c>
      <c r="I257" s="7" t="n">
        <v>0</v>
      </c>
      <c r="J257" s="7" t="n">
        <v>442.1</v>
      </c>
      <c r="K257" s="7" t="n">
        <v>0</v>
      </c>
      <c r="L257" s="7" t="n">
        <v>4554.4</v>
      </c>
      <c r="M257" s="7" t="n">
        <v>0</v>
      </c>
      <c r="N257" s="7" t="n">
        <v>1222.7</v>
      </c>
      <c r="O257" s="7" t="n">
        <v>0</v>
      </c>
      <c r="P257" s="7" t="n">
        <v>433.9</v>
      </c>
      <c r="Q257" s="7" t="n">
        <v>0</v>
      </c>
      <c r="R257" s="7" t="n">
        <v>1652.1</v>
      </c>
      <c r="S257" s="7" t="n">
        <v>0</v>
      </c>
      <c r="T257" s="7" t="n">
        <v>2566.1</v>
      </c>
      <c r="U257" s="7" t="n">
        <v>0</v>
      </c>
      <c r="V257" s="7" t="n">
        <v>3173.9</v>
      </c>
      <c r="W257" s="7" t="n">
        <v>0</v>
      </c>
      <c r="X257" s="7" t="n">
        <v>3532.7</v>
      </c>
      <c r="Y257" s="7" t="n">
        <v>0</v>
      </c>
      <c r="Z257" s="7" t="n">
        <v>2831.3</v>
      </c>
      <c r="AA257" s="7" t="n">
        <v>0</v>
      </c>
      <c r="AB257" s="7" t="n">
        <v>25091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35.8</v>
      </c>
      <c r="E258" s="7" t="n">
        <v>0</v>
      </c>
      <c r="F258" s="7" t="n">
        <v>661.6</v>
      </c>
      <c r="G258" s="7" t="n">
        <v>0</v>
      </c>
      <c r="H258" s="7" t="n">
        <v>2424.1</v>
      </c>
      <c r="I258" s="7" t="n">
        <v>0</v>
      </c>
      <c r="J258" s="7" t="n">
        <v>2587</v>
      </c>
      <c r="K258" s="7" t="n">
        <v>0</v>
      </c>
      <c r="L258" s="7" t="n">
        <v>1361.4</v>
      </c>
      <c r="M258" s="7" t="n">
        <v>0</v>
      </c>
      <c r="N258" s="7" t="n">
        <v>1478.3</v>
      </c>
      <c r="O258" s="7" t="n">
        <v>0</v>
      </c>
      <c r="P258" s="7" t="n">
        <v>1478.8</v>
      </c>
      <c r="Q258" s="7" t="n">
        <v>0</v>
      </c>
      <c r="R258" s="7" t="n">
        <v>2571.1</v>
      </c>
      <c r="S258" s="7" t="n">
        <v>0</v>
      </c>
      <c r="T258" s="7" t="n">
        <v>2097.8</v>
      </c>
      <c r="U258" s="7" t="n">
        <v>0</v>
      </c>
      <c r="V258" s="7" t="n">
        <v>576.7</v>
      </c>
      <c r="W258" s="7" t="n">
        <v>0</v>
      </c>
      <c r="X258" s="7" t="n">
        <v>1036.2</v>
      </c>
      <c r="Y258" s="7" t="n">
        <v>0</v>
      </c>
      <c r="Z258" s="7" t="n">
        <v>1501</v>
      </c>
      <c r="AA258" s="7" t="n">
        <v>0</v>
      </c>
      <c r="AB258" s="7" t="n">
        <v>17809.8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105782.6</v>
      </c>
      <c r="D259" s="7" t="n">
        <v>130455</v>
      </c>
      <c r="E259" s="7" t="n">
        <v>98461.5</v>
      </c>
      <c r="F259" s="7" t="n">
        <v>44953.5</v>
      </c>
      <c r="G259" s="7" t="n">
        <v>95911.3</v>
      </c>
      <c r="H259" s="7" t="n">
        <v>128306.2</v>
      </c>
      <c r="I259" s="7" t="n">
        <v>100472.7</v>
      </c>
      <c r="J259" s="7" t="n">
        <v>149238.6</v>
      </c>
      <c r="K259" s="7" t="n">
        <v>96529.39999999999</v>
      </c>
      <c r="L259" s="7" t="n">
        <v>128288.6</v>
      </c>
      <c r="M259" s="7" t="n">
        <v>112050.1</v>
      </c>
      <c r="N259" s="7" t="n">
        <v>132684.4</v>
      </c>
      <c r="O259" s="7" t="n">
        <v>102606.7</v>
      </c>
      <c r="P259" s="7" t="n">
        <v>115578.9</v>
      </c>
      <c r="Q259" s="7" t="n">
        <v>114443.7</v>
      </c>
      <c r="R259" s="7" t="n">
        <v>101408.1</v>
      </c>
      <c r="S259" s="7" t="n">
        <v>102730.3</v>
      </c>
      <c r="T259" s="7" t="n">
        <v>91548</v>
      </c>
      <c r="U259" s="7" t="n">
        <v>115472</v>
      </c>
      <c r="V259" s="7" t="n">
        <v>99725.8</v>
      </c>
      <c r="W259" s="7" t="n">
        <v>102046</v>
      </c>
      <c r="X259" s="7" t="n">
        <v>22992.8</v>
      </c>
      <c r="Y259" s="7" t="n">
        <v>90341.39999999999</v>
      </c>
      <c r="Z259" s="7" t="n">
        <v>103502.5</v>
      </c>
      <c r="AA259" s="8" t="n">
        <v>1236847.7</v>
      </c>
      <c r="AB259" s="8" t="n">
        <v>1248682.4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25138.4</v>
      </c>
      <c r="D260" s="7" t="n">
        <v>32613.8</v>
      </c>
      <c r="E260" s="7" t="n">
        <v>23863.7</v>
      </c>
      <c r="F260" s="7" t="n">
        <v>11238.4</v>
      </c>
      <c r="G260" s="7" t="n">
        <v>24645.3</v>
      </c>
      <c r="H260" s="7" t="n">
        <v>32076.5</v>
      </c>
      <c r="I260" s="7" t="n">
        <v>29558.7</v>
      </c>
      <c r="J260" s="7" t="n">
        <v>37309.7</v>
      </c>
      <c r="K260" s="7" t="n">
        <v>28689.5</v>
      </c>
      <c r="L260" s="7" t="n">
        <v>32072.2</v>
      </c>
      <c r="M260" s="7" t="n">
        <v>29379.6</v>
      </c>
      <c r="N260" s="7" t="n">
        <v>33171.1</v>
      </c>
      <c r="O260" s="7" t="n">
        <v>28348</v>
      </c>
      <c r="P260" s="7" t="n">
        <v>28894.7</v>
      </c>
      <c r="Q260" s="7" t="n">
        <v>25663.4</v>
      </c>
      <c r="R260" s="7" t="n">
        <v>25352</v>
      </c>
      <c r="S260" s="7" t="n">
        <v>27068</v>
      </c>
      <c r="T260" s="7" t="n">
        <v>22887</v>
      </c>
      <c r="U260" s="7" t="n">
        <v>28683.6</v>
      </c>
      <c r="V260" s="7" t="n">
        <v>24931.5</v>
      </c>
      <c r="W260" s="7" t="n">
        <v>28689.2</v>
      </c>
      <c r="X260" s="7" t="n">
        <v>5748.2</v>
      </c>
      <c r="Y260" s="7" t="n">
        <v>27099.4</v>
      </c>
      <c r="Z260" s="7" t="n">
        <v>25875.6</v>
      </c>
      <c r="AA260" s="7" t="n">
        <v>326826.8</v>
      </c>
      <c r="AB260" s="7" t="n">
        <v>312170.7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93345</v>
      </c>
      <c r="D261" s="7" t="n">
        <v>97841.2</v>
      </c>
      <c r="E261" s="7" t="n">
        <v>89126.60000000001</v>
      </c>
      <c r="F261" s="7" t="n">
        <v>33715.1</v>
      </c>
      <c r="G261" s="7" t="n">
        <v>86630.7</v>
      </c>
      <c r="H261" s="7" t="n">
        <v>96229.7</v>
      </c>
      <c r="I261" s="7" t="n">
        <v>79192.5</v>
      </c>
      <c r="J261" s="7" t="n">
        <v>111928.9</v>
      </c>
      <c r="K261" s="7" t="n">
        <v>84788.3</v>
      </c>
      <c r="L261" s="7" t="n">
        <v>96216.39999999999</v>
      </c>
      <c r="M261" s="7" t="n">
        <v>74375.3</v>
      </c>
      <c r="N261" s="7" t="n">
        <v>99513.3</v>
      </c>
      <c r="O261" s="7" t="n">
        <v>71495</v>
      </c>
      <c r="P261" s="7" t="n">
        <v>86684.2</v>
      </c>
      <c r="Q261" s="7" t="n">
        <v>71531</v>
      </c>
      <c r="R261" s="7" t="n">
        <v>76056.10000000001</v>
      </c>
      <c r="S261" s="7" t="n">
        <v>63002.3</v>
      </c>
      <c r="T261" s="7" t="n">
        <v>68661</v>
      </c>
      <c r="U261" s="7" t="n">
        <v>64589.4</v>
      </c>
      <c r="V261" s="7" t="n">
        <v>74794.3</v>
      </c>
      <c r="W261" s="7" t="n">
        <v>98897.60000000001</v>
      </c>
      <c r="X261" s="7" t="n">
        <v>17244.6</v>
      </c>
      <c r="Y261" s="7" t="n">
        <v>77315.8</v>
      </c>
      <c r="Z261" s="7" t="n">
        <v>77626.89999999999</v>
      </c>
      <c r="AA261" s="8" t="n">
        <v>954289.5</v>
      </c>
      <c r="AB261" s="8" t="n">
        <v>936511.7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13866.6</v>
      </c>
      <c r="E262" s="7" t="n">
        <v>0</v>
      </c>
      <c r="F262" s="7" t="n">
        <v>2390.4</v>
      </c>
      <c r="G262" s="7" t="n">
        <v>0</v>
      </c>
      <c r="H262" s="7" t="n">
        <v>6571.9</v>
      </c>
      <c r="I262" s="7" t="n">
        <v>0</v>
      </c>
      <c r="J262" s="7" t="n">
        <v>5945</v>
      </c>
      <c r="K262" s="7" t="n">
        <v>0</v>
      </c>
      <c r="L262" s="7" t="n">
        <v>16745.8</v>
      </c>
      <c r="M262" s="7" t="n">
        <v>0</v>
      </c>
      <c r="N262" s="7" t="n">
        <v>12544.6</v>
      </c>
      <c r="O262" s="7" t="n">
        <v>0</v>
      </c>
      <c r="P262" s="7" t="n">
        <v>21551</v>
      </c>
      <c r="Q262" s="7" t="n">
        <v>0</v>
      </c>
      <c r="R262" s="7" t="n">
        <v>16548.9</v>
      </c>
      <c r="S262" s="7" t="n">
        <v>0</v>
      </c>
      <c r="T262" s="7" t="n">
        <v>6866.1</v>
      </c>
      <c r="U262" s="7" t="n">
        <v>0</v>
      </c>
      <c r="V262" s="7" t="n">
        <v>16939.3</v>
      </c>
      <c r="W262" s="7" t="n">
        <v>0</v>
      </c>
      <c r="X262" s="7" t="n">
        <v>2586</v>
      </c>
      <c r="Y262" s="7" t="n">
        <v>0</v>
      </c>
      <c r="Z262" s="7" t="n">
        <v>22822.9</v>
      </c>
      <c r="AA262" s="7" t="n">
        <v>0</v>
      </c>
      <c r="AB262" s="7" t="n">
        <v>145378.5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93345</v>
      </c>
      <c r="D263" s="7" t="n">
        <v>83974.60000000001</v>
      </c>
      <c r="E263" s="7" t="n">
        <v>89126.60000000001</v>
      </c>
      <c r="F263" s="7" t="n">
        <v>31324.7</v>
      </c>
      <c r="G263" s="7" t="n">
        <v>86630.7</v>
      </c>
      <c r="H263" s="7" t="n">
        <v>89657.8</v>
      </c>
      <c r="I263" s="7" t="n">
        <v>79192.5</v>
      </c>
      <c r="J263" s="7" t="n">
        <v>105983.9</v>
      </c>
      <c r="K263" s="7" t="n">
        <v>84788.3</v>
      </c>
      <c r="L263" s="7" t="n">
        <v>79470.60000000001</v>
      </c>
      <c r="M263" s="7" t="n">
        <v>74375.3</v>
      </c>
      <c r="N263" s="7" t="n">
        <v>86968.7</v>
      </c>
      <c r="O263" s="7" t="n">
        <v>71495</v>
      </c>
      <c r="P263" s="7" t="n">
        <v>65133.2</v>
      </c>
      <c r="Q263" s="7" t="n">
        <v>71531</v>
      </c>
      <c r="R263" s="7" t="n">
        <v>59507.2</v>
      </c>
      <c r="S263" s="7" t="n">
        <v>63002.3</v>
      </c>
      <c r="T263" s="7" t="n">
        <v>61794.9</v>
      </c>
      <c r="U263" s="7" t="n">
        <v>64589.4</v>
      </c>
      <c r="V263" s="7" t="n">
        <v>57855</v>
      </c>
      <c r="W263" s="7" t="n">
        <v>98897.60000000001</v>
      </c>
      <c r="X263" s="7" t="n">
        <v>14658.6</v>
      </c>
      <c r="Y263" s="7" t="n">
        <v>77315.8</v>
      </c>
      <c r="Z263" s="7" t="n">
        <v>54804</v>
      </c>
      <c r="AA263" s="8" t="n">
        <v>954289.5</v>
      </c>
      <c r="AB263" s="8" t="n">
        <v>791133.2</v>
      </c>
    </row>
    <row r="264">
      <c r="A264" s="4" t="inlineStr">
        <is>
          <t>净利率</t>
        </is>
      </c>
      <c r="D264" s="13" t="n">
        <v>12.4</v>
      </c>
      <c r="F264" s="13" t="n">
        <v>12.3</v>
      </c>
      <c r="H264" s="13" t="n">
        <v>6.7</v>
      </c>
      <c r="J264" s="13" t="n">
        <v>9.199999999999999</v>
      </c>
      <c r="L264" s="13" t="n">
        <v>8.6</v>
      </c>
      <c r="N264" s="13" t="n">
        <v>6.9</v>
      </c>
      <c r="P264" s="13" t="n">
        <v>8</v>
      </c>
      <c r="R264" s="13" t="n">
        <v>6.8</v>
      </c>
      <c r="T264" s="13" t="n">
        <v>9.699999999999999</v>
      </c>
      <c r="V264" s="13" t="n">
        <v>9.1</v>
      </c>
      <c r="X264" s="13" t="n">
        <v>4.6</v>
      </c>
      <c r="Z264" s="13" t="n">
        <v>8.1</v>
      </c>
    </row>
    <row r="265">
      <c r="A265" s="4" t="inlineStr">
        <is>
          <t>销售达成率</t>
        </is>
      </c>
      <c r="D265" s="13" t="n">
        <v>76.09999999999999</v>
      </c>
      <c r="F265" s="13" t="n">
        <v>27.4</v>
      </c>
      <c r="H265" s="13" t="n">
        <v>172.9</v>
      </c>
      <c r="J265" s="13" t="n">
        <v>145.6</v>
      </c>
      <c r="L265" s="13" t="n">
        <v>110.9</v>
      </c>
      <c r="N265" s="13" t="n">
        <v>160.2</v>
      </c>
      <c r="P265" s="13" t="n">
        <v>105.6</v>
      </c>
      <c r="R265" s="13" t="n">
        <v>112.5</v>
      </c>
      <c r="T265" s="13" t="n">
        <v>66.2</v>
      </c>
      <c r="V265" s="13" t="n">
        <v>77.3</v>
      </c>
      <c r="X265" s="13" t="n">
        <v>40.8</v>
      </c>
      <c r="Z265" s="13" t="n">
        <v>97.8</v>
      </c>
    </row>
    <row r="266">
      <c r="A266" s="4" t="inlineStr">
        <is>
          <t>净利达成率</t>
        </is>
      </c>
      <c r="D266" s="13" t="n">
        <v>104.8</v>
      </c>
      <c r="F266" s="13" t="n">
        <v>37.8</v>
      </c>
      <c r="H266" s="13" t="n">
        <v>111.1</v>
      </c>
      <c r="J266" s="13" t="n">
        <v>141.3</v>
      </c>
      <c r="L266" s="13" t="n">
        <v>113.5</v>
      </c>
      <c r="N266" s="13" t="n">
        <v>133.8</v>
      </c>
      <c r="P266" s="13" t="n">
        <v>121.2</v>
      </c>
      <c r="R266" s="13" t="n">
        <v>106.3</v>
      </c>
      <c r="T266" s="13" t="n">
        <v>109</v>
      </c>
      <c r="V266" s="13" t="n">
        <v>115.8</v>
      </c>
      <c r="X266" s="13" t="n">
        <v>17.4</v>
      </c>
      <c r="Z266" s="13" t="n">
        <v>100.4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45295</v>
      </c>
      <c r="B2" s="4" t="inlineStr">
        <is>
          <t>2024-01</t>
        </is>
      </c>
      <c r="C2" s="4" t="inlineStr">
        <is>
          <t>吴中实业有限公司经销商返点实现14727</t>
        </is>
      </c>
      <c r="D2" s="15" t="n">
        <v>-14727.64</v>
      </c>
      <c r="E2" s="4" t="inlineStr">
        <is>
          <t>上海分部</t>
        </is>
      </c>
      <c r="F2" s="4" t="inlineStr">
        <is>
          <t>王秀英</t>
        </is>
      </c>
    </row>
    <row r="3">
      <c r="A3" s="14" t="n">
        <v>45307</v>
      </c>
      <c r="B3" s="4" t="inlineStr">
        <is>
          <t>2024-01</t>
        </is>
      </c>
      <c r="C3" s="4" t="inlineStr">
        <is>
          <t>冲减计提吴中食品有限公司经销商返点实现10341</t>
        </is>
      </c>
      <c r="D3" s="15" t="n">
        <v>10341.67</v>
      </c>
      <c r="E3" s="4" t="inlineStr">
        <is>
          <t>赣皖区域</t>
        </is>
      </c>
      <c r="F3" s="4" t="inlineStr">
        <is>
          <t>何明秀</t>
        </is>
      </c>
    </row>
    <row r="4">
      <c r="A4" s="14" t="n">
        <v>45336</v>
      </c>
      <c r="B4" s="4" t="inlineStr">
        <is>
          <t>2024-02</t>
        </is>
      </c>
      <c r="C4" s="4" t="inlineStr">
        <is>
          <t>冲减计提海宁食品有限公司经销商返点实现596</t>
        </is>
      </c>
      <c r="D4" s="15" t="n">
        <v>596.12</v>
      </c>
      <c r="E4" s="4" t="inlineStr">
        <is>
          <t>江苏分部</t>
        </is>
      </c>
      <c r="F4" s="4" t="inlineStr">
        <is>
          <t>黄静芳</t>
        </is>
      </c>
    </row>
    <row r="5">
      <c r="A5" s="14" t="n">
        <v>45361</v>
      </c>
      <c r="B5" s="4" t="inlineStr">
        <is>
          <t>2024-03</t>
        </is>
      </c>
      <c r="C5" s="4" t="inlineStr">
        <is>
          <t>冲减计提吴中市大匠食品商行经销商返点实现5514</t>
        </is>
      </c>
      <c r="D5" s="15" t="n">
        <v>5514.49</v>
      </c>
      <c r="E5" s="4" t="inlineStr">
        <is>
          <t>赣皖区域</t>
        </is>
      </c>
      <c r="F5" s="4" t="inlineStr">
        <is>
          <t>黄秀秀</t>
        </is>
      </c>
    </row>
    <row r="6">
      <c r="A6" s="14" t="n">
        <v>45364</v>
      </c>
      <c r="B6" s="4" t="inlineStr">
        <is>
          <t>2024-03</t>
        </is>
      </c>
      <c r="C6" s="4" t="inlineStr">
        <is>
          <t>海宁供应链管理有限公司经销商返点实现1945</t>
        </is>
      </c>
      <c r="D6" s="15" t="n">
        <v>-1945.98</v>
      </c>
      <c r="E6" s="4" t="inlineStr">
        <is>
          <t>赣皖区域</t>
        </is>
      </c>
      <c r="F6" s="4" t="inlineStr">
        <is>
          <t>李强英</t>
        </is>
      </c>
    </row>
    <row r="7">
      <c r="A7" s="14" t="n">
        <v>45367</v>
      </c>
      <c r="B7" s="4" t="inlineStr">
        <is>
          <t>2024-03</t>
        </is>
      </c>
      <c r="C7" s="4" t="inlineStr">
        <is>
          <t>余杭供应链管理有限公司经销商返点实现10912</t>
        </is>
      </c>
      <c r="D7" s="15" t="n">
        <v>-10912.73</v>
      </c>
      <c r="E7" s="4" t="inlineStr">
        <is>
          <t>江苏分部</t>
        </is>
      </c>
      <c r="F7" s="4" t="inlineStr">
        <is>
          <t>胡兰英</t>
        </is>
      </c>
    </row>
    <row r="8">
      <c r="A8" s="14" t="n">
        <v>45368</v>
      </c>
      <c r="B8" s="4" t="inlineStr">
        <is>
          <t>2024-03</t>
        </is>
      </c>
      <c r="C8" s="4" t="inlineStr">
        <is>
          <t>余杭实业有限公司经销商返点实现14574</t>
        </is>
      </c>
      <c r="D8" s="15" t="n">
        <v>-14574.03</v>
      </c>
      <c r="E8" s="4" t="inlineStr">
        <is>
          <t>江苏分部</t>
        </is>
      </c>
      <c r="F8" s="4" t="inlineStr">
        <is>
          <t>徐丽秀</t>
        </is>
      </c>
    </row>
    <row r="9">
      <c r="A9" s="14" t="n">
        <v>45369</v>
      </c>
      <c r="B9" s="4" t="inlineStr">
        <is>
          <t>2024-03</t>
        </is>
      </c>
      <c r="C9" s="4" t="inlineStr">
        <is>
          <t>冲减计提武进商贸有限公司经销商返点实现7024</t>
        </is>
      </c>
      <c r="D9" s="15" t="n">
        <v>7024.47</v>
      </c>
      <c r="E9" s="4" t="inlineStr">
        <is>
          <t>上海分部</t>
        </is>
      </c>
      <c r="F9" s="4" t="inlineStr">
        <is>
          <t>陈丽芳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江苏分部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浙江分部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江苏分部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浙江分部</t>
        </is>
      </c>
      <c r="F13" s="4" t="inlineStr">
        <is>
          <t>杨兰英</t>
        </is>
      </c>
    </row>
    <row r="14">
      <c r="A14" s="14" t="n">
        <v>45384</v>
      </c>
      <c r="B14" s="4" t="inlineStr">
        <is>
          <t>2024-04</t>
        </is>
      </c>
      <c r="C14" s="4" t="inlineStr">
        <is>
          <t>衢州区优鲜冷冻食品批发部经销商返点实现2650</t>
        </is>
      </c>
      <c r="D14" s="15" t="n">
        <v>-2650.47</v>
      </c>
      <c r="E14" s="4" t="inlineStr">
        <is>
          <t>江苏分部</t>
        </is>
      </c>
      <c r="F14" s="4" t="inlineStr">
        <is>
          <t>周霞伟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江苏分部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赣皖区域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江苏分部</t>
        </is>
      </c>
      <c r="F17" s="4" t="inlineStr">
        <is>
          <t>王艳娜</t>
        </is>
      </c>
    </row>
    <row r="18">
      <c r="A18" s="14" t="n">
        <v>45429</v>
      </c>
      <c r="B18" s="4" t="inlineStr">
        <is>
          <t>2024-05</t>
        </is>
      </c>
      <c r="C18" s="4" t="inlineStr">
        <is>
          <t>冲减计提余杭区优鲜冷冻食品批发部经销商返点实现6383</t>
        </is>
      </c>
      <c r="D18" s="15" t="n">
        <v>6383.97</v>
      </c>
      <c r="E18" s="4" t="inlineStr">
        <is>
          <t>赣皖区域</t>
        </is>
      </c>
      <c r="F18" s="4" t="inlineStr">
        <is>
          <t>罗英伟</t>
        </is>
      </c>
    </row>
    <row r="19">
      <c r="A19" s="14" t="n">
        <v>45431</v>
      </c>
      <c r="B19" s="4" t="inlineStr">
        <is>
          <t>2024-05</t>
        </is>
      </c>
      <c r="C19" s="4" t="inlineStr">
        <is>
          <t>吴中区淼沃冷冻食品批发部经销商返点实现8872</t>
        </is>
      </c>
      <c r="D19" s="15" t="n">
        <v>-8872.84</v>
      </c>
      <c r="E19" s="4" t="inlineStr">
        <is>
          <t>上海分部</t>
        </is>
      </c>
      <c r="F19" s="4" t="inlineStr">
        <is>
          <t>朱敏英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武进食品有限公司经销商返点实现13687</t>
        </is>
      </c>
      <c r="D20" s="15" t="n">
        <v>-13687.62</v>
      </c>
      <c r="E20" s="4" t="inlineStr">
        <is>
          <t>浙江分部</t>
        </is>
      </c>
      <c r="F20" s="4" t="inlineStr">
        <is>
          <t>林秀娜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江苏分部</t>
        </is>
      </c>
      <c r="F21" s="4" t="inlineStr">
        <is>
          <t>刘明秀</t>
        </is>
      </c>
    </row>
    <row r="22">
      <c r="A22" s="14" t="n">
        <v>45447</v>
      </c>
      <c r="B22" s="4" t="inlineStr">
        <is>
          <t>2024-06</t>
        </is>
      </c>
      <c r="C22" s="4" t="inlineStr">
        <is>
          <t>余杭食品有限公司经销商返点实现9006</t>
        </is>
      </c>
      <c r="D22" s="15" t="n">
        <v>-9006.41</v>
      </c>
      <c r="E22" s="4" t="inlineStr">
        <is>
          <t>江苏分部</t>
        </is>
      </c>
      <c r="F22" s="4" t="inlineStr">
        <is>
          <t>吴超娜</t>
        </is>
      </c>
    </row>
    <row r="23">
      <c r="A23" s="14" t="n">
        <v>45451</v>
      </c>
      <c r="B23" s="4" t="inlineStr">
        <is>
          <t>2024-06</t>
        </is>
      </c>
      <c r="C23" s="4" t="inlineStr">
        <is>
          <t>姑苏区大匠冷冻食品批发部经销商返点实现5750</t>
        </is>
      </c>
      <c r="D23" s="15" t="n">
        <v>-5750.59</v>
      </c>
      <c r="E23" s="4" t="inlineStr">
        <is>
          <t>江苏分部</t>
        </is>
      </c>
      <c r="F23" s="4" t="inlineStr">
        <is>
          <t>赵秀英</t>
        </is>
      </c>
    </row>
    <row r="24">
      <c r="A24" s="14" t="n">
        <v>45453</v>
      </c>
      <c r="B24" s="4" t="inlineStr">
        <is>
          <t>2024-06</t>
        </is>
      </c>
      <c r="C24" s="4" t="inlineStr">
        <is>
          <t>海宁市食佳食品商行经销商返点实现11958</t>
        </is>
      </c>
      <c r="D24" s="15" t="n">
        <v>-11958.61</v>
      </c>
      <c r="E24" s="4" t="inlineStr">
        <is>
          <t>上海分部</t>
        </is>
      </c>
      <c r="F24" s="4" t="inlineStr">
        <is>
          <t>朱洋秀</t>
        </is>
      </c>
    </row>
    <row r="25">
      <c r="A25" s="14" t="n">
        <v>45471</v>
      </c>
      <c r="B25" s="4" t="inlineStr">
        <is>
          <t>2024-06</t>
        </is>
      </c>
      <c r="C25" s="4" t="inlineStr">
        <is>
          <t>武进实业有限公司经销商返点实现14630</t>
        </is>
      </c>
      <c r="D25" s="15" t="n">
        <v>-14630.05</v>
      </c>
      <c r="E25" s="4" t="inlineStr">
        <is>
          <t>上海分部</t>
        </is>
      </c>
      <c r="F25" s="4" t="inlineStr">
        <is>
          <t>罗娟英</t>
        </is>
      </c>
    </row>
    <row r="26">
      <c r="A26" s="14" t="n">
        <v>45492</v>
      </c>
      <c r="B26" s="4" t="inlineStr">
        <is>
          <t>2024-07</t>
        </is>
      </c>
      <c r="C26" s="4" t="inlineStr">
        <is>
          <t>姑苏食品有限公司经销商返点实现13816</t>
        </is>
      </c>
      <c r="D26" s="15" t="n">
        <v>-13816.89</v>
      </c>
      <c r="E26" s="4" t="inlineStr">
        <is>
          <t>江苏分部</t>
        </is>
      </c>
      <c r="F26" s="4" t="inlineStr">
        <is>
          <t>张霞伟</t>
        </is>
      </c>
    </row>
    <row r="27">
      <c r="A27" s="14" t="n">
        <v>45495</v>
      </c>
      <c r="B27" s="4" t="inlineStr">
        <is>
          <t>2024-07</t>
        </is>
      </c>
      <c r="C27" s="4" t="inlineStr">
        <is>
          <t>衢州供应链管理有限公司经销商返点实现11494</t>
        </is>
      </c>
      <c r="D27" s="15" t="n">
        <v>-11494.07</v>
      </c>
      <c r="E27" s="4" t="inlineStr">
        <is>
          <t>浙江分部</t>
        </is>
      </c>
      <c r="F27" s="4" t="inlineStr">
        <is>
          <t>吴明娜</t>
        </is>
      </c>
    </row>
    <row r="28">
      <c r="A28" s="14" t="n">
        <v>45496</v>
      </c>
      <c r="B28" s="4" t="inlineStr">
        <is>
          <t>2024-07</t>
        </is>
      </c>
      <c r="C28" s="4" t="inlineStr">
        <is>
          <t>武进供应链管理有限公司经销商返点实现4932</t>
        </is>
      </c>
      <c r="D28" s="15" t="n">
        <v>-4932.89</v>
      </c>
      <c r="E28" s="4" t="inlineStr">
        <is>
          <t>赣皖区域</t>
        </is>
      </c>
      <c r="F28" s="4" t="inlineStr">
        <is>
          <t>林敏娜</t>
        </is>
      </c>
    </row>
    <row r="29">
      <c r="A29" s="14" t="n">
        <v>45496</v>
      </c>
      <c r="B29" s="4" t="inlineStr">
        <is>
          <t>2024-07</t>
        </is>
      </c>
      <c r="C29" s="4" t="inlineStr">
        <is>
          <t>武进实业有限公司经销商返点实现13245</t>
        </is>
      </c>
      <c r="D29" s="15" t="n">
        <v>-13245.23</v>
      </c>
      <c r="E29" s="4" t="inlineStr">
        <is>
          <t>上海分部</t>
        </is>
      </c>
      <c r="F29" s="4" t="inlineStr">
        <is>
          <t>林丽秀</t>
        </is>
      </c>
    </row>
    <row r="30">
      <c r="A30" s="14" t="n">
        <v>45507</v>
      </c>
      <c r="B30" s="4" t="inlineStr">
        <is>
          <t>2024-08</t>
        </is>
      </c>
      <c r="C30" s="4" t="inlineStr">
        <is>
          <t>钟楼供应链管理有限公司经销商返点实现8531</t>
        </is>
      </c>
      <c r="D30" s="15" t="n">
        <v>-8531.530000000001</v>
      </c>
      <c r="E30" s="4" t="inlineStr">
        <is>
          <t>江苏分部</t>
        </is>
      </c>
      <c r="F30" s="4" t="inlineStr">
        <is>
          <t>王娟芳</t>
        </is>
      </c>
    </row>
    <row r="31">
      <c r="A31" s="14" t="n">
        <v>45508</v>
      </c>
      <c r="B31" s="4" t="inlineStr">
        <is>
          <t>2024-08</t>
        </is>
      </c>
      <c r="C31" s="4" t="inlineStr">
        <is>
          <t>余杭食品有限公司经销商返点实现9890</t>
        </is>
      </c>
      <c r="D31" s="15" t="n">
        <v>-9890.049999999999</v>
      </c>
      <c r="E31" s="4" t="inlineStr">
        <is>
          <t>上海分部</t>
        </is>
      </c>
      <c r="F31" s="4" t="inlineStr">
        <is>
          <t>马磊芳</t>
        </is>
      </c>
    </row>
    <row r="32">
      <c r="A32" s="14" t="n">
        <v>45515</v>
      </c>
      <c r="B32" s="4" t="inlineStr">
        <is>
          <t>2024-08</t>
        </is>
      </c>
      <c r="C32" s="4" t="inlineStr">
        <is>
          <t>衢州实业有限公司经销商返点实现8781</t>
        </is>
      </c>
      <c r="D32" s="15" t="n">
        <v>-8781.709999999999</v>
      </c>
      <c r="E32" s="4" t="inlineStr">
        <is>
          <t>江苏分部</t>
        </is>
      </c>
      <c r="F32" s="4" t="inlineStr">
        <is>
          <t>赵勇芳</t>
        </is>
      </c>
    </row>
    <row r="33">
      <c r="A33" s="14" t="n">
        <v>45518</v>
      </c>
      <c r="B33" s="4" t="inlineStr">
        <is>
          <t>2024-08</t>
        </is>
      </c>
      <c r="C33" s="4" t="inlineStr">
        <is>
          <t>海宁实业有限公司经销商返点实现6186</t>
        </is>
      </c>
      <c r="D33" s="15" t="n">
        <v>-6186.97</v>
      </c>
      <c r="E33" s="4" t="inlineStr">
        <is>
          <t>江苏分部</t>
        </is>
      </c>
      <c r="F33" s="4" t="inlineStr">
        <is>
          <t>赵秀伟</t>
        </is>
      </c>
    </row>
    <row r="34">
      <c r="A34" s="14" t="n">
        <v>45528</v>
      </c>
      <c r="B34" s="4" t="inlineStr">
        <is>
          <t>2024-08</t>
        </is>
      </c>
      <c r="C34" s="4" t="inlineStr">
        <is>
          <t>吴中供应链管理有限公司经销商返点实现12918</t>
        </is>
      </c>
      <c r="D34" s="15" t="n">
        <v>-12918.46</v>
      </c>
      <c r="E34" s="4" t="inlineStr">
        <is>
          <t>浙江分部</t>
        </is>
      </c>
      <c r="F34" s="4" t="inlineStr">
        <is>
          <t>赵超伟</t>
        </is>
      </c>
    </row>
    <row r="35">
      <c r="A35" s="14" t="n">
        <v>45543</v>
      </c>
      <c r="B35" s="4" t="inlineStr">
        <is>
          <t>2024-09</t>
        </is>
      </c>
      <c r="C35" s="4" t="inlineStr">
        <is>
          <t>衢州实业有限公司经销商返点实现3916</t>
        </is>
      </c>
      <c r="D35" s="15" t="n">
        <v>-3916.7</v>
      </c>
      <c r="E35" s="4" t="inlineStr">
        <is>
          <t>江苏分部</t>
        </is>
      </c>
      <c r="F35" s="4" t="inlineStr">
        <is>
          <t>刘磊英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江苏分部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赣皖区域</t>
        </is>
      </c>
      <c r="F37" s="4" t="inlineStr">
        <is>
          <t>刘明秀</t>
        </is>
      </c>
    </row>
    <row r="38">
      <c r="A38" s="14" t="n">
        <v>45571</v>
      </c>
      <c r="B38" s="4" t="inlineStr">
        <is>
          <t>2024-10</t>
        </is>
      </c>
      <c r="C38" s="4" t="inlineStr">
        <is>
          <t>衢州供应链管理有限公司经销商返点实现14926</t>
        </is>
      </c>
      <c r="D38" s="15" t="n">
        <v>-14926.33</v>
      </c>
      <c r="E38" s="4" t="inlineStr">
        <is>
          <t>江苏分部</t>
        </is>
      </c>
      <c r="F38" s="4" t="inlineStr">
        <is>
          <t>胡洋秀</t>
        </is>
      </c>
    </row>
    <row r="39">
      <c r="A39" s="14" t="n">
        <v>45582</v>
      </c>
      <c r="B39" s="4" t="inlineStr">
        <is>
          <t>2024-10</t>
        </is>
      </c>
      <c r="C39" s="4" t="inlineStr">
        <is>
          <t>吴中商贸有限公司经销商返点实现12721</t>
        </is>
      </c>
      <c r="D39" s="15" t="n">
        <v>-12721.34</v>
      </c>
      <c r="E39" s="4" t="inlineStr">
        <is>
          <t>上海分部</t>
        </is>
      </c>
      <c r="F39" s="4" t="inlineStr">
        <is>
          <t>马明娜</t>
        </is>
      </c>
    </row>
    <row r="40">
      <c r="A40" s="14" t="n">
        <v>45584</v>
      </c>
      <c r="B40" s="4" t="inlineStr">
        <is>
          <t>2024-10</t>
        </is>
      </c>
      <c r="C40" s="4" t="inlineStr">
        <is>
          <t>吴中实业有限公司经销商返点实现3164</t>
        </is>
      </c>
      <c r="D40" s="15" t="n">
        <v>-3164.2</v>
      </c>
      <c r="E40" s="4" t="inlineStr">
        <is>
          <t>赣皖区域</t>
        </is>
      </c>
      <c r="F40" s="4" t="inlineStr">
        <is>
          <t>陈艳芳</t>
        </is>
      </c>
    </row>
    <row r="41">
      <c r="A41" s="14" t="n">
        <v>45584</v>
      </c>
      <c r="B41" s="4" t="inlineStr">
        <is>
          <t>2024-10</t>
        </is>
      </c>
      <c r="C41" s="4" t="inlineStr">
        <is>
          <t>钟楼商贸有限公司经销商返点实现4804</t>
        </is>
      </c>
      <c r="D41" s="15" t="n">
        <v>-4804.02</v>
      </c>
      <c r="E41" s="4" t="inlineStr">
        <is>
          <t>江苏分部</t>
        </is>
      </c>
      <c r="F41" s="4" t="inlineStr">
        <is>
          <t>黄强英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武进食品有限公司经销商返点实现11835</t>
        </is>
      </c>
      <c r="D42" s="15" t="n">
        <v>-11835.92</v>
      </c>
      <c r="E42" s="4" t="inlineStr">
        <is>
          <t>浙江分部</t>
        </is>
      </c>
      <c r="F42" s="4" t="inlineStr">
        <is>
          <t>朱娜芳</t>
        </is>
      </c>
    </row>
    <row r="43">
      <c r="A43" s="14" t="n">
        <v>45590</v>
      </c>
      <c r="B43" s="4" t="inlineStr">
        <is>
          <t>2024-10</t>
        </is>
      </c>
      <c r="C43" s="4" t="inlineStr">
        <is>
          <t>姑苏食品有限公司经销商返点实现1092</t>
        </is>
      </c>
      <c r="D43" s="15" t="n">
        <v>-1092.76</v>
      </c>
      <c r="E43" s="4" t="inlineStr">
        <is>
          <t>赣皖区域</t>
        </is>
      </c>
      <c r="F43" s="4" t="inlineStr">
        <is>
          <t>胡娟秀</t>
        </is>
      </c>
    </row>
    <row r="44">
      <c r="A44" s="14" t="n">
        <v>45593</v>
      </c>
      <c r="B44" s="4" t="inlineStr">
        <is>
          <t>2024-10</t>
        </is>
      </c>
      <c r="C44" s="4" t="inlineStr">
        <is>
          <t>钟楼商贸有限公司经销商返点实现4662</t>
        </is>
      </c>
      <c r="D44" s="15" t="n">
        <v>-4662.67</v>
      </c>
      <c r="E44" s="4" t="inlineStr">
        <is>
          <t>赣皖区域</t>
        </is>
      </c>
      <c r="F44" s="4" t="inlineStr">
        <is>
          <t>王霞伟</t>
        </is>
      </c>
    </row>
    <row r="45">
      <c r="A45" s="14" t="n">
        <v>45601</v>
      </c>
      <c r="B45" s="4" t="inlineStr">
        <is>
          <t>2024-11</t>
        </is>
      </c>
      <c r="C45" s="4" t="inlineStr">
        <is>
          <t>海宁区大匠冷冻食品批发部经销商返点实现1170</t>
        </is>
      </c>
      <c r="D45" s="15" t="n">
        <v>-1170.19</v>
      </c>
      <c r="E45" s="4" t="inlineStr">
        <is>
          <t>江苏分部</t>
        </is>
      </c>
      <c r="F45" s="4" t="inlineStr">
        <is>
          <t>罗英娜</t>
        </is>
      </c>
    </row>
    <row r="46">
      <c r="A46" s="14" t="n">
        <v>45608</v>
      </c>
      <c r="B46" s="4" t="inlineStr">
        <is>
          <t>2024-11</t>
        </is>
      </c>
      <c r="C46" s="4" t="inlineStr">
        <is>
          <t>冲减计提余杭市食佳食品商行经销商返点实现9865</t>
        </is>
      </c>
      <c r="D46" s="15" t="n">
        <v>9865.9</v>
      </c>
      <c r="E46" s="4" t="inlineStr">
        <is>
          <t>上海分部</t>
        </is>
      </c>
      <c r="F46" s="4" t="inlineStr">
        <is>
          <t>赵娜秀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赣皖区域</t>
        </is>
      </c>
      <c r="F47" s="4" t="inlineStr">
        <is>
          <t>高强芳</t>
        </is>
      </c>
    </row>
    <row r="48">
      <c r="A48" s="14" t="n">
        <v>45630</v>
      </c>
      <c r="B48" s="4" t="inlineStr">
        <is>
          <t>2024-12</t>
        </is>
      </c>
      <c r="C48" s="4" t="inlineStr">
        <is>
          <t>钟楼供应链管理有限公司经销商返点实现7624</t>
        </is>
      </c>
      <c r="D48" s="15" t="n">
        <v>-7624.46</v>
      </c>
      <c r="E48" s="4" t="inlineStr">
        <is>
          <t>赣皖区域</t>
        </is>
      </c>
      <c r="F48" s="4" t="inlineStr">
        <is>
          <t>刘敏秀</t>
        </is>
      </c>
    </row>
    <row r="49">
      <c r="A49" s="14" t="n">
        <v>45637</v>
      </c>
      <c r="B49" s="4" t="inlineStr">
        <is>
          <t>2024-12</t>
        </is>
      </c>
      <c r="C49" s="4" t="inlineStr">
        <is>
          <t>衢州食品有限公司经销商返点实现8329</t>
        </is>
      </c>
      <c r="D49" s="15" t="n">
        <v>-8329.209999999999</v>
      </c>
      <c r="E49" s="4" t="inlineStr">
        <is>
          <t>赣皖区域</t>
        </is>
      </c>
      <c r="F49" s="4" t="inlineStr">
        <is>
          <t>朱静英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浙江分部</t>
        </is>
      </c>
      <c r="F50" s="4" t="inlineStr">
        <is>
          <t>刘秀芳</t>
        </is>
      </c>
    </row>
    <row r="51">
      <c r="A51" s="14" t="n">
        <v>45651</v>
      </c>
      <c r="B51" s="4" t="inlineStr">
        <is>
          <t>2024-12</t>
        </is>
      </c>
      <c r="C51" s="4" t="inlineStr">
        <is>
          <t>武进食品有限公司经销商返点实现3701</t>
        </is>
      </c>
      <c r="D51" s="15" t="n">
        <v>-3701.94</v>
      </c>
      <c r="E51" s="4" t="inlineStr">
        <is>
          <t>浙江分部</t>
        </is>
      </c>
      <c r="F51" s="4" t="inlineStr">
        <is>
          <t>陈勇娜</t>
        </is>
      </c>
    </row>
    <row r="52">
      <c r="C52" s="6" t="inlineStr">
        <is>
          <t>合计</t>
        </is>
      </c>
      <c r="D52" s="16" t="n">
        <v>-268505.85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江苏美鑫食品科技有限公司资产负债表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3965068.17</v>
      </c>
      <c r="D5" s="15" t="n">
        <v>3495587.84</v>
      </c>
      <c r="E5" s="4" t="inlineStr">
        <is>
          <t>短期借款</t>
        </is>
      </c>
      <c r="F5" s="3" t="n">
        <v>21</v>
      </c>
      <c r="G5" s="15" t="n">
        <v>738016.91</v>
      </c>
      <c r="H5" s="15" t="n">
        <v>2879830.26</v>
      </c>
    </row>
    <row r="6">
      <c r="A6" s="4" t="inlineStr">
        <is>
          <t>交易性金融资产</t>
        </is>
      </c>
      <c r="B6" s="3" t="n">
        <v>2</v>
      </c>
      <c r="C6" s="15" t="n">
        <v>5265691.21</v>
      </c>
      <c r="D6" s="15" t="n">
        <v>3821980.86</v>
      </c>
      <c r="E6" s="4" t="inlineStr">
        <is>
          <t>应付票据</t>
        </is>
      </c>
      <c r="F6" s="3" t="n">
        <v>22</v>
      </c>
      <c r="G6" s="15" t="n">
        <v>3931725.07</v>
      </c>
      <c r="H6" s="15" t="n">
        <v>1378853.18</v>
      </c>
    </row>
    <row r="7">
      <c r="A7" s="4" t="inlineStr">
        <is>
          <t>应收票据</t>
        </is>
      </c>
      <c r="B7" s="3" t="n">
        <v>3</v>
      </c>
      <c r="C7" s="15" t="n">
        <v>3473854.54</v>
      </c>
      <c r="D7" s="15" t="n">
        <v>4913568.61</v>
      </c>
      <c r="E7" s="4" t="inlineStr">
        <is>
          <t>应付账款</t>
        </is>
      </c>
      <c r="F7" s="3" t="n">
        <v>23</v>
      </c>
      <c r="G7" s="15" t="n">
        <v>1746785.59</v>
      </c>
      <c r="H7" s="15" t="n">
        <v>2624814.1</v>
      </c>
    </row>
    <row r="8">
      <c r="A8" s="4" t="inlineStr">
        <is>
          <t>应收账款</t>
        </is>
      </c>
      <c r="B8" s="3" t="n">
        <v>4</v>
      </c>
      <c r="C8" s="15" t="n">
        <v>2590931.8</v>
      </c>
      <c r="D8" s="15" t="n">
        <v>2846226.82</v>
      </c>
      <c r="E8" s="4" t="inlineStr">
        <is>
          <t>预收款项</t>
        </is>
      </c>
      <c r="F8" s="3" t="n">
        <v>24</v>
      </c>
      <c r="G8" s="15" t="n">
        <v>1060607.89</v>
      </c>
      <c r="H8" s="15" t="n">
        <v>823478.9399999999</v>
      </c>
    </row>
    <row r="9">
      <c r="A9" s="4" t="inlineStr">
        <is>
          <t>预付款项</t>
        </is>
      </c>
      <c r="B9" s="3" t="n">
        <v>5</v>
      </c>
      <c r="C9" s="15" t="n">
        <v>1670383</v>
      </c>
      <c r="D9" s="15" t="n">
        <v>2823966.74</v>
      </c>
      <c r="E9" s="4" t="inlineStr">
        <is>
          <t>合同负债</t>
        </is>
      </c>
      <c r="F9" s="3" t="n">
        <v>25</v>
      </c>
      <c r="G9" s="15" t="n">
        <v>2537713.9</v>
      </c>
      <c r="H9" s="15" t="n">
        <v>2547876.13</v>
      </c>
    </row>
    <row r="10">
      <c r="A10" s="4" t="inlineStr">
        <is>
          <t>其他应收款</t>
        </is>
      </c>
      <c r="B10" s="3" t="n">
        <v>6</v>
      </c>
      <c r="C10" s="15" t="n">
        <v>4034707.28</v>
      </c>
      <c r="D10" s="15" t="n">
        <v>5022368.35</v>
      </c>
      <c r="E10" s="4" t="inlineStr">
        <is>
          <t>应付职工薪酬</t>
        </is>
      </c>
      <c r="F10" s="3" t="n">
        <v>26</v>
      </c>
      <c r="G10" s="15" t="n">
        <v>1489256.58</v>
      </c>
      <c r="H10" s="15" t="n">
        <v>2476178.8</v>
      </c>
    </row>
    <row r="11">
      <c r="A11" s="4" t="inlineStr">
        <is>
          <t>存货</t>
        </is>
      </c>
      <c r="B11" s="3" t="n">
        <v>7</v>
      </c>
      <c r="C11" s="15" t="n">
        <v>2194687.01</v>
      </c>
      <c r="D11" s="15" t="n">
        <v>5256341.2</v>
      </c>
      <c r="E11" s="4" t="inlineStr">
        <is>
          <t>应交税费</t>
        </is>
      </c>
      <c r="F11" s="3" t="n">
        <v>27</v>
      </c>
      <c r="G11" s="15" t="n">
        <v>3505576.2</v>
      </c>
      <c r="H11" s="15" t="n">
        <v>2913738.26</v>
      </c>
    </row>
    <row r="12">
      <c r="A12" s="4" t="inlineStr">
        <is>
          <t>其中：原材料</t>
        </is>
      </c>
      <c r="C12" s="15" t="n">
        <v>670155.72</v>
      </c>
      <c r="D12" s="15" t="n">
        <v>709266.58</v>
      </c>
      <c r="E12" s="4" t="inlineStr">
        <is>
          <t>其他应付款</t>
        </is>
      </c>
      <c r="F12" s="3" t="n">
        <v>28</v>
      </c>
      <c r="G12" s="15" t="n">
        <v>1800988.7</v>
      </c>
      <c r="H12" s="15" t="n">
        <v>3003765.96</v>
      </c>
    </row>
    <row r="13">
      <c r="A13" s="4" t="inlineStr">
        <is>
          <t>在制品</t>
        </is>
      </c>
      <c r="C13" s="15" t="n">
        <v>414736.23</v>
      </c>
      <c r="D13" s="15" t="n">
        <v>620370.95</v>
      </c>
      <c r="E13" s="4" t="inlineStr">
        <is>
          <t>一年内到期的非流动负债</t>
        </is>
      </c>
      <c r="F13" s="3" t="n">
        <v>29</v>
      </c>
      <c r="G13" s="15" t="n">
        <v>1532166.9</v>
      </c>
      <c r="H13" s="15" t="n">
        <v>2950678.4</v>
      </c>
    </row>
    <row r="14">
      <c r="A14" s="4" t="inlineStr">
        <is>
          <t>库存商品</t>
        </is>
      </c>
      <c r="C14" s="15" t="n">
        <v>437286.97</v>
      </c>
      <c r="D14" s="15" t="n">
        <v>920138.83</v>
      </c>
      <c r="E14" s="4" t="inlineStr">
        <is>
          <t>其他流动负债</t>
        </is>
      </c>
      <c r="F14" s="3" t="n">
        <v>30</v>
      </c>
      <c r="G14" s="15" t="n">
        <v>4335006.06</v>
      </c>
      <c r="H14" s="15" t="n">
        <v>1932605.9</v>
      </c>
    </row>
    <row r="15">
      <c r="A15" s="4" t="inlineStr">
        <is>
          <t>合同资产</t>
        </is>
      </c>
      <c r="B15" s="3" t="n">
        <v>8</v>
      </c>
      <c r="C15" s="15" t="n">
        <v>5619440.31</v>
      </c>
      <c r="D15" s="15" t="n">
        <v>1731090.99</v>
      </c>
      <c r="E15" s="6" t="inlineStr">
        <is>
          <t>流动负债合计</t>
        </is>
      </c>
      <c r="F15" s="3" t="n">
        <v>31</v>
      </c>
      <c r="G15" s="16" t="n">
        <v>22677843.8</v>
      </c>
      <c r="H15" s="16" t="n">
        <v>23531819.93</v>
      </c>
    </row>
    <row r="16">
      <c r="A16" s="4" t="inlineStr">
        <is>
          <t>一年内到期的非流动资产</t>
        </is>
      </c>
      <c r="B16" s="3" t="n">
        <v>9</v>
      </c>
      <c r="C16" s="15" t="n">
        <v>5419035.87</v>
      </c>
      <c r="D16" s="15" t="n">
        <v>3393116.29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5420991.48</v>
      </c>
      <c r="D17" s="15" t="n">
        <v>4327662.53</v>
      </c>
      <c r="E17" s="4" t="inlineStr">
        <is>
          <t>长期借款</t>
        </is>
      </c>
      <c r="F17" s="3" t="n">
        <v>32</v>
      </c>
      <c r="G17" s="15" t="n">
        <v>1623745.96</v>
      </c>
      <c r="H17" s="15" t="n">
        <v>1156953.04</v>
      </c>
    </row>
    <row r="18">
      <c r="A18" s="6" t="inlineStr">
        <is>
          <t>流动资产合计</t>
        </is>
      </c>
      <c r="B18" s="3" t="n">
        <v>11</v>
      </c>
      <c r="C18" s="16" t="n">
        <v>39654790.67</v>
      </c>
      <c r="D18" s="16" t="n">
        <v>37631910.23</v>
      </c>
      <c r="E18" s="4" t="inlineStr">
        <is>
          <t>长期应付款</t>
        </is>
      </c>
      <c r="F18" s="3" t="n">
        <v>33</v>
      </c>
      <c r="G18" s="15" t="n">
        <v>3331620.84</v>
      </c>
      <c r="H18" s="15" t="n">
        <v>4013956.63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3615500.9</v>
      </c>
      <c r="H19" s="15" t="n">
        <v>2990603.29</v>
      </c>
    </row>
    <row r="20">
      <c r="A20" s="4" t="inlineStr">
        <is>
          <t>长期股权投资</t>
        </is>
      </c>
      <c r="B20" s="3" t="n">
        <v>12</v>
      </c>
      <c r="C20" s="15" t="n">
        <v>2114196.61</v>
      </c>
      <c r="D20" s="15" t="n">
        <v>1424380.68</v>
      </c>
      <c r="E20" s="4" t="inlineStr">
        <is>
          <t>递延所得税负债</t>
        </is>
      </c>
      <c r="F20" s="3" t="n">
        <v>35</v>
      </c>
      <c r="G20" s="15" t="n">
        <v>1148208.22</v>
      </c>
      <c r="H20" s="15" t="n">
        <v>1923552.7</v>
      </c>
    </row>
    <row r="21">
      <c r="A21" s="4" t="inlineStr">
        <is>
          <t>固定资产</t>
        </is>
      </c>
      <c r="B21" s="3" t="n">
        <v>13</v>
      </c>
      <c r="C21" s="15" t="n">
        <v>6711890.86</v>
      </c>
      <c r="D21" s="15" t="n">
        <v>2906814.9</v>
      </c>
      <c r="E21" s="6" t="inlineStr">
        <is>
          <t>非流动负债合计</t>
        </is>
      </c>
      <c r="F21" s="3" t="n">
        <v>36</v>
      </c>
      <c r="G21" s="16" t="n">
        <v>9719075.92</v>
      </c>
      <c r="H21" s="16" t="n">
        <v>10085065.66</v>
      </c>
    </row>
    <row r="22">
      <c r="A22" s="4" t="inlineStr">
        <is>
          <t>在建工程</t>
        </is>
      </c>
      <c r="B22" s="3" t="n">
        <v>14</v>
      </c>
      <c r="C22" s="15" t="n">
        <v>2094079.66</v>
      </c>
      <c r="D22" s="15" t="n">
        <v>6632400.18</v>
      </c>
      <c r="E22" s="6" t="inlineStr">
        <is>
          <t>负债合计</t>
        </is>
      </c>
      <c r="F22" s="3" t="n">
        <v>37</v>
      </c>
      <c r="G22" s="16" t="n">
        <v>32396919.71</v>
      </c>
      <c r="H22" s="16" t="n">
        <v>33616885.59</v>
      </c>
    </row>
    <row r="23">
      <c r="A23" s="4" t="inlineStr">
        <is>
          <t>无形资产</t>
        </is>
      </c>
      <c r="B23" s="3" t="n">
        <v>15</v>
      </c>
      <c r="C23" s="15" t="n">
        <v>3143793.24</v>
      </c>
      <c r="D23" s="15" t="n">
        <v>1176143.54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6402670.9</v>
      </c>
      <c r="D24" s="15" t="n">
        <v>1380205.06</v>
      </c>
      <c r="E24" s="4" t="inlineStr">
        <is>
          <t>实收资本</t>
        </is>
      </c>
      <c r="F24" s="3" t="n">
        <v>38</v>
      </c>
      <c r="G24" s="15" t="n">
        <v>2476898.92</v>
      </c>
      <c r="H24" s="15" t="n">
        <v>7983364.56</v>
      </c>
    </row>
    <row r="25">
      <c r="A25" s="4" t="inlineStr">
        <is>
          <t>递延所得税资产</t>
        </is>
      </c>
      <c r="B25" s="3" t="n">
        <v>17</v>
      </c>
      <c r="C25" s="15" t="n">
        <v>2648805.47</v>
      </c>
      <c r="D25" s="15" t="n">
        <v>10024194.79</v>
      </c>
      <c r="E25" s="4" t="inlineStr">
        <is>
          <t>资本公积</t>
        </is>
      </c>
      <c r="F25" s="3" t="n">
        <v>39</v>
      </c>
      <c r="G25" s="15" t="n">
        <v>8182652.45</v>
      </c>
      <c r="H25" s="15" t="n">
        <v>3351695.3</v>
      </c>
    </row>
    <row r="26">
      <c r="A26" s="4" t="inlineStr">
        <is>
          <t>其他非流动资产</t>
        </is>
      </c>
      <c r="B26" s="3" t="n">
        <v>18</v>
      </c>
      <c r="C26" s="15" t="n">
        <v>3321090.39</v>
      </c>
      <c r="D26" s="15" t="n">
        <v>1543801</v>
      </c>
      <c r="E26" s="4" t="inlineStr">
        <is>
          <t>盈余公积</t>
        </is>
      </c>
      <c r="F26" s="3" t="n">
        <v>40</v>
      </c>
      <c r="G26" s="15" t="n">
        <v>6140617.5</v>
      </c>
      <c r="H26" s="15" t="n">
        <v>12553985.73</v>
      </c>
    </row>
    <row r="27">
      <c r="A27" s="6" t="inlineStr">
        <is>
          <t>非流动资产合计</t>
        </is>
      </c>
      <c r="B27" s="3" t="n">
        <v>19</v>
      </c>
      <c r="C27" s="16" t="n">
        <v>26436527.13</v>
      </c>
      <c r="D27" s="16" t="n">
        <v>25087940.15</v>
      </c>
      <c r="E27" s="4" t="inlineStr">
        <is>
          <t>未分配利润</t>
        </is>
      </c>
      <c r="F27" s="3" t="n">
        <v>41</v>
      </c>
      <c r="G27" s="15" t="n">
        <v>16894229.24</v>
      </c>
      <c r="H27" s="15" t="n">
        <v>5213919.21</v>
      </c>
    </row>
    <row r="28">
      <c r="A28" s="6" t="inlineStr">
        <is>
          <t>资产总计</t>
        </is>
      </c>
      <c r="B28" s="3" t="n">
        <v>20</v>
      </c>
      <c r="C28" s="16" t="n">
        <v>66091317.81</v>
      </c>
      <c r="D28" s="16" t="n">
        <v>62719850.38</v>
      </c>
      <c r="E28" s="6" t="inlineStr">
        <is>
          <t>所有者权益合计</t>
        </is>
      </c>
      <c r="F28" s="3" t="n">
        <v>42</v>
      </c>
      <c r="G28" s="16" t="n">
        <v>33694398.1</v>
      </c>
      <c r="H28" s="16" t="n">
        <v>29102964.8</v>
      </c>
    </row>
    <row r="29">
      <c r="E29" s="6" t="inlineStr">
        <is>
          <t>负债和所有者权益总计</t>
        </is>
      </c>
      <c r="F29" s="3" t="n">
        <v>43</v>
      </c>
      <c r="G29" s="16" t="n">
        <v>66091317.81</v>
      </c>
      <c r="H29" s="16" t="n">
        <v>62719850.38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江苏美鑫食品科技有限公司2025年销售明细表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SO202510121</t>
        </is>
      </c>
      <c r="C3" s="4" t="inlineStr">
        <is>
          <t>合肥淼沃酒店管理集团</t>
        </is>
      </c>
      <c r="D3" s="4" t="inlineStr">
        <is>
          <t>复合调味粉</t>
        </is>
      </c>
      <c r="E3" s="4" t="inlineStr">
        <is>
          <t>1kg</t>
        </is>
      </c>
      <c r="F3" s="18" t="n">
        <v>1010</v>
      </c>
      <c r="G3" s="15" t="n">
        <v>46.48</v>
      </c>
      <c r="H3" s="15" t="n">
        <v>46944.8</v>
      </c>
      <c r="I3" s="4" t="inlineStr">
        <is>
          <t>浙江分部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SO202510146</t>
        </is>
      </c>
      <c r="C4" s="4" t="inlineStr">
        <is>
          <t>杭州食佳餐饮管理有限公司</t>
        </is>
      </c>
      <c r="D4" s="4" t="inlineStr">
        <is>
          <t>复合调味粉</t>
        </is>
      </c>
      <c r="E4" s="4" t="inlineStr">
        <is>
          <t>2.5kg</t>
        </is>
      </c>
      <c r="F4" s="18" t="n">
        <v>920</v>
      </c>
      <c r="G4" s="15" t="n">
        <v>112.31</v>
      </c>
      <c r="H4" s="15" t="n">
        <v>103325.2</v>
      </c>
      <c r="I4" s="4" t="inlineStr">
        <is>
          <t>江苏分部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SO202510162</t>
        </is>
      </c>
      <c r="C5" s="4" t="inlineStr">
        <is>
          <t>苏州食佳酒店管理集团</t>
        </is>
      </c>
      <c r="D5" s="4" t="inlineStr">
        <is>
          <t>川味底料</t>
        </is>
      </c>
      <c r="E5" s="4" t="inlineStr">
        <is>
          <t>简装</t>
        </is>
      </c>
      <c r="F5" s="18" t="n">
        <v>1010</v>
      </c>
      <c r="G5" s="15" t="n">
        <v>139.05</v>
      </c>
      <c r="H5" s="15" t="n">
        <v>140440.5</v>
      </c>
      <c r="I5" s="4" t="inlineStr">
        <is>
          <t>赣皖区域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SO202510059</t>
        </is>
      </c>
      <c r="C6" s="4" t="inlineStr">
        <is>
          <t>苏州优鲜超市</t>
        </is>
      </c>
      <c r="D6" s="4" t="inlineStr">
        <is>
          <t>川味底料</t>
        </is>
      </c>
      <c r="E6" s="4" t="inlineStr">
        <is>
          <t>精装</t>
        </is>
      </c>
      <c r="F6" s="18" t="n">
        <v>3160</v>
      </c>
      <c r="G6" s="15" t="n">
        <v>7.69</v>
      </c>
      <c r="H6" s="15" t="n">
        <v>24300.4</v>
      </c>
      <c r="I6" s="4" t="inlineStr">
        <is>
          <t>赣皖区域</t>
        </is>
      </c>
      <c r="J6" s="4" t="inlineStr">
        <is>
          <t>吴娜娜</t>
        </is>
      </c>
    </row>
    <row r="7">
      <c r="A7" s="14" t="n">
        <v>45662</v>
      </c>
      <c r="B7" s="4" t="inlineStr">
        <is>
          <t>SO202510034</t>
        </is>
      </c>
      <c r="C7" s="4" t="inlineStr">
        <is>
          <t>南京百味超市</t>
        </is>
      </c>
      <c r="D7" s="4" t="inlineStr">
        <is>
          <t>酱料</t>
        </is>
      </c>
      <c r="E7" s="4" t="inlineStr">
        <is>
          <t>C级</t>
        </is>
      </c>
      <c r="F7" s="18" t="n">
        <v>4600</v>
      </c>
      <c r="G7" s="15" t="n">
        <v>152.81</v>
      </c>
      <c r="H7" s="15" t="n">
        <v>702926</v>
      </c>
      <c r="I7" s="4" t="inlineStr">
        <is>
          <t>上海分部</t>
        </is>
      </c>
      <c r="J7" s="4" t="inlineStr">
        <is>
          <t>胡娟伟</t>
        </is>
      </c>
    </row>
    <row r="8">
      <c r="A8" s="14" t="n">
        <v>45662</v>
      </c>
      <c r="B8" s="4" t="inlineStr">
        <is>
          <t>SO202510102</t>
        </is>
      </c>
      <c r="C8" s="4" t="inlineStr">
        <is>
          <t>南京大匠酒店管理集团</t>
        </is>
      </c>
      <c r="D8" s="4" t="inlineStr">
        <is>
          <t>团餐</t>
        </is>
      </c>
      <c r="E8" s="4" t="inlineStr">
        <is>
          <t>标准</t>
        </is>
      </c>
      <c r="F8" s="18" t="n">
        <v>3350</v>
      </c>
      <c r="G8" s="15" t="n">
        <v>86.52</v>
      </c>
      <c r="H8" s="15" t="n">
        <v>289842</v>
      </c>
      <c r="I8" s="4" t="inlineStr">
        <is>
          <t>浙江分部</t>
        </is>
      </c>
      <c r="J8" s="4" t="inlineStr">
        <is>
          <t>周英敏</t>
        </is>
      </c>
    </row>
    <row r="9">
      <c r="A9" s="14" t="n">
        <v>45662</v>
      </c>
      <c r="B9" s="4" t="inlineStr">
        <is>
          <t>SO202510139</t>
        </is>
      </c>
      <c r="C9" s="4" t="inlineStr">
        <is>
          <t>南昌京功超市</t>
        </is>
      </c>
      <c r="D9" s="4" t="inlineStr">
        <is>
          <t>中式汤底</t>
        </is>
      </c>
      <c r="E9" s="4" t="inlineStr">
        <is>
          <t>标准</t>
        </is>
      </c>
      <c r="F9" s="18" t="n">
        <v>210</v>
      </c>
      <c r="G9" s="15" t="n">
        <v>68.13</v>
      </c>
      <c r="H9" s="15" t="n">
        <v>14307.3</v>
      </c>
      <c r="I9" s="4" t="inlineStr">
        <is>
          <t>上海分部</t>
        </is>
      </c>
      <c r="J9" s="4" t="inlineStr">
        <is>
          <t>杨杰娜</t>
        </is>
      </c>
    </row>
    <row r="10">
      <c r="A10" s="14" t="n">
        <v>45662</v>
      </c>
      <c r="B10" s="4" t="inlineStr">
        <is>
          <t>SO202510144</t>
        </is>
      </c>
      <c r="C10" s="4" t="inlineStr">
        <is>
          <t>合肥百味食品有限公司</t>
        </is>
      </c>
      <c r="D10" s="4" t="inlineStr">
        <is>
          <t>调味汁</t>
        </is>
      </c>
      <c r="E10" s="4" t="inlineStr">
        <is>
          <t>2.5kg</t>
        </is>
      </c>
      <c r="F10" s="18" t="n">
        <v>1090</v>
      </c>
      <c r="G10" s="15" t="n">
        <v>114.09</v>
      </c>
      <c r="H10" s="15" t="n">
        <v>124358.1</v>
      </c>
      <c r="I10" s="4" t="inlineStr">
        <is>
          <t>上海分部</t>
        </is>
      </c>
      <c r="J10" s="4" t="inlineStr">
        <is>
          <t>林涛英</t>
        </is>
      </c>
    </row>
    <row r="11">
      <c r="A11" s="14" t="n">
        <v>45665</v>
      </c>
      <c r="B11" s="4" t="inlineStr">
        <is>
          <t>SO202510105</t>
        </is>
      </c>
      <c r="C11" s="4" t="inlineStr">
        <is>
          <t>上海优鲜超市</t>
        </is>
      </c>
      <c r="D11" s="4" t="inlineStr">
        <is>
          <t>酱料</t>
        </is>
      </c>
      <c r="E11" s="4" t="inlineStr">
        <is>
          <t>B级</t>
        </is>
      </c>
      <c r="F11" s="18" t="n">
        <v>4400</v>
      </c>
      <c r="G11" s="15" t="n">
        <v>4.22</v>
      </c>
      <c r="H11" s="15" t="n">
        <v>18568</v>
      </c>
      <c r="I11" s="4" t="inlineStr">
        <is>
          <t>赣皖区域</t>
        </is>
      </c>
      <c r="J11" s="4" t="inlineStr">
        <is>
          <t>李伟秀</t>
        </is>
      </c>
    </row>
    <row r="12">
      <c r="A12" s="14" t="n">
        <v>45665</v>
      </c>
      <c r="B12" s="4" t="inlineStr">
        <is>
          <t>SO202510114</t>
        </is>
      </c>
      <c r="C12" s="4" t="inlineStr">
        <is>
          <t>常州大匠食品有限公司</t>
        </is>
      </c>
      <c r="D12" s="4" t="inlineStr">
        <is>
          <t>中式汤底</t>
        </is>
      </c>
      <c r="E12" s="4" t="inlineStr">
        <is>
          <t>25kg</t>
        </is>
      </c>
      <c r="F12" s="18" t="n">
        <v>2280</v>
      </c>
      <c r="G12" s="15" t="n">
        <v>47.11</v>
      </c>
      <c r="H12" s="15" t="n">
        <v>107410.8</v>
      </c>
      <c r="I12" s="4" t="inlineStr">
        <is>
          <t>江苏分部</t>
        </is>
      </c>
      <c r="J12" s="4" t="inlineStr">
        <is>
          <t>张强娜</t>
        </is>
      </c>
    </row>
    <row r="13">
      <c r="A13" s="14" t="n">
        <v>45668</v>
      </c>
      <c r="B13" s="4" t="inlineStr">
        <is>
          <t>SO202510012</t>
        </is>
      </c>
      <c r="C13" s="4" t="inlineStr">
        <is>
          <t>温州优鲜电商平台</t>
        </is>
      </c>
      <c r="D13" s="4" t="inlineStr">
        <is>
          <t>复合调味粉</t>
        </is>
      </c>
      <c r="E13" s="4" t="inlineStr">
        <is>
          <t>500g</t>
        </is>
      </c>
      <c r="F13" s="18" t="n">
        <v>2880</v>
      </c>
      <c r="G13" s="15" t="n">
        <v>106.89</v>
      </c>
      <c r="H13" s="15" t="n">
        <v>307843.2</v>
      </c>
      <c r="I13" s="4" t="inlineStr">
        <is>
          <t>江苏分部</t>
        </is>
      </c>
      <c r="J13" s="4" t="inlineStr">
        <is>
          <t>朱兰秀</t>
        </is>
      </c>
    </row>
    <row r="14">
      <c r="A14" s="14" t="n">
        <v>45669</v>
      </c>
      <c r="B14" s="4" t="inlineStr">
        <is>
          <t>SO202510067</t>
        </is>
      </c>
      <c r="C14" s="4" t="inlineStr">
        <is>
          <t>南昌大匠电商平台</t>
        </is>
      </c>
      <c r="D14" s="4" t="inlineStr">
        <is>
          <t>川味底料</t>
        </is>
      </c>
      <c r="E14" s="4" t="inlineStr">
        <is>
          <t>C级</t>
        </is>
      </c>
      <c r="F14" s="18" t="n">
        <v>2870</v>
      </c>
      <c r="G14" s="15" t="n">
        <v>104.01</v>
      </c>
      <c r="H14" s="15" t="n">
        <v>298508.7</v>
      </c>
      <c r="I14" s="4" t="inlineStr">
        <is>
          <t>江苏分部</t>
        </is>
      </c>
      <c r="J14" s="4" t="inlineStr">
        <is>
          <t>徐娟英</t>
        </is>
      </c>
    </row>
    <row r="15">
      <c r="A15" s="14" t="n">
        <v>45669</v>
      </c>
      <c r="B15" s="4" t="inlineStr">
        <is>
          <t>SO202510100</t>
        </is>
      </c>
      <c r="C15" s="4" t="inlineStr">
        <is>
          <t>常州淼沃超市</t>
        </is>
      </c>
      <c r="D15" s="4" t="inlineStr">
        <is>
          <t>中式汤底</t>
        </is>
      </c>
      <c r="E15" s="4" t="inlineStr">
        <is>
          <t>C级</t>
        </is>
      </c>
      <c r="F15" s="18" t="n">
        <v>170</v>
      </c>
      <c r="G15" s="15" t="n">
        <v>84.06999999999999</v>
      </c>
      <c r="H15" s="15" t="n">
        <v>14291.9</v>
      </c>
      <c r="I15" s="4" t="inlineStr">
        <is>
          <t>浙江分部</t>
        </is>
      </c>
      <c r="J15" s="4" t="inlineStr">
        <is>
          <t>何强敏</t>
        </is>
      </c>
    </row>
    <row r="16">
      <c r="A16" s="14" t="n">
        <v>45672</v>
      </c>
      <c r="B16" s="4" t="inlineStr">
        <is>
          <t>SO202510159</t>
        </is>
      </c>
      <c r="C16" s="4" t="inlineStr">
        <is>
          <t>常州百味超市</t>
        </is>
      </c>
      <c r="D16" s="4" t="inlineStr">
        <is>
          <t>中式汤底</t>
        </is>
      </c>
      <c r="E16" s="4" t="inlineStr">
        <is>
          <t>500g</t>
        </is>
      </c>
      <c r="F16" s="18" t="n">
        <v>4150</v>
      </c>
      <c r="G16" s="15" t="n">
        <v>112.71</v>
      </c>
      <c r="H16" s="15" t="n">
        <v>467746.5</v>
      </c>
      <c r="I16" s="4" t="inlineStr">
        <is>
          <t>江苏分部</t>
        </is>
      </c>
      <c r="J16" s="4" t="inlineStr">
        <is>
          <t>徐涛秀</t>
        </is>
      </c>
    </row>
    <row r="17">
      <c r="A17" s="14" t="n">
        <v>45673</v>
      </c>
      <c r="B17" s="4" t="inlineStr">
        <is>
          <t>SO202510096</t>
        </is>
      </c>
      <c r="C17" s="4" t="inlineStr">
        <is>
          <t>杭州大匠食品有限公司</t>
        </is>
      </c>
      <c r="D17" s="4" t="inlineStr">
        <is>
          <t>团餐</t>
        </is>
      </c>
      <c r="E17" s="4" t="inlineStr">
        <is>
          <t>简装</t>
        </is>
      </c>
      <c r="F17" s="18" t="n">
        <v>3670</v>
      </c>
      <c r="G17" s="15" t="n">
        <v>85.39</v>
      </c>
      <c r="H17" s="15" t="n">
        <v>313381.3</v>
      </c>
      <c r="I17" s="4" t="inlineStr">
        <is>
          <t>上海分部</t>
        </is>
      </c>
      <c r="J17" s="4" t="inlineStr">
        <is>
          <t>胡丽敏</t>
        </is>
      </c>
    </row>
    <row r="18">
      <c r="A18" s="14" t="n">
        <v>45679</v>
      </c>
      <c r="B18" s="4" t="inlineStr">
        <is>
          <t>SO202510028</t>
        </is>
      </c>
      <c r="C18" s="4" t="inlineStr">
        <is>
          <t>南京淼沃供应链有限公司</t>
        </is>
      </c>
      <c r="D18" s="4" t="inlineStr">
        <is>
          <t>中式汤底</t>
        </is>
      </c>
      <c r="E18" s="4" t="inlineStr">
        <is>
          <t>1kg</t>
        </is>
      </c>
      <c r="F18" s="18" t="n">
        <v>1760</v>
      </c>
      <c r="G18" s="15" t="n">
        <v>50.14</v>
      </c>
      <c r="H18" s="15" t="n">
        <v>88246.39999999999</v>
      </c>
      <c r="I18" s="4" t="inlineStr">
        <is>
          <t>浙江分部</t>
        </is>
      </c>
      <c r="J18" s="4" t="inlineStr">
        <is>
          <t>王秀英</t>
        </is>
      </c>
    </row>
    <row r="19">
      <c r="A19" s="14" t="n">
        <v>45679</v>
      </c>
      <c r="B19" s="4" t="inlineStr">
        <is>
          <t>SO202510122</t>
        </is>
      </c>
      <c r="C19" s="4" t="inlineStr">
        <is>
          <t>苏州京功酒店管理集团</t>
        </is>
      </c>
      <c r="D19" s="4" t="inlineStr">
        <is>
          <t>调味汁</t>
        </is>
      </c>
      <c r="E19" s="4" t="inlineStr">
        <is>
          <t>25kg</t>
        </is>
      </c>
      <c r="F19" s="18" t="n">
        <v>1440</v>
      </c>
      <c r="G19" s="15" t="n">
        <v>64.90000000000001</v>
      </c>
      <c r="H19" s="15" t="n">
        <v>93456</v>
      </c>
      <c r="I19" s="4" t="inlineStr">
        <is>
          <t>赣皖区域</t>
        </is>
      </c>
      <c r="J19" s="4" t="inlineStr">
        <is>
          <t>黄秀英</t>
        </is>
      </c>
    </row>
    <row r="20">
      <c r="A20" s="14" t="n">
        <v>45682</v>
      </c>
      <c r="B20" s="4" t="inlineStr">
        <is>
          <t>SO202510057</t>
        </is>
      </c>
      <c r="C20" s="4" t="inlineStr">
        <is>
          <t>杭州百味酒店管理集团</t>
        </is>
      </c>
      <c r="D20" s="4" t="inlineStr">
        <is>
          <t>中式汤底</t>
        </is>
      </c>
      <c r="E20" s="4" t="inlineStr">
        <is>
          <t>2.5kg</t>
        </is>
      </c>
      <c r="F20" s="18" t="n">
        <v>2280</v>
      </c>
      <c r="G20" s="15" t="n">
        <v>79.86</v>
      </c>
      <c r="H20" s="15" t="n">
        <v>182080.8</v>
      </c>
      <c r="I20" s="4" t="inlineStr">
        <is>
          <t>浙江分部</t>
        </is>
      </c>
      <c r="J20" s="4" t="inlineStr">
        <is>
          <t>徐秀娜</t>
        </is>
      </c>
    </row>
    <row r="21">
      <c r="A21" s="14" t="n">
        <v>45683</v>
      </c>
      <c r="B21" s="4" t="inlineStr">
        <is>
          <t>SO202510005</t>
        </is>
      </c>
      <c r="C21" s="4" t="inlineStr">
        <is>
          <t>嘉兴京功酒店管理集团</t>
        </is>
      </c>
      <c r="D21" s="4" t="inlineStr">
        <is>
          <t>复合调味粉</t>
        </is>
      </c>
      <c r="E21" s="4" t="inlineStr">
        <is>
          <t>5kg</t>
        </is>
      </c>
      <c r="F21" s="18" t="n">
        <v>4900</v>
      </c>
      <c r="G21" s="15" t="n">
        <v>154.75</v>
      </c>
      <c r="H21" s="15" t="n">
        <v>758275</v>
      </c>
      <c r="I21" s="4" t="inlineStr">
        <is>
          <t>上海分部</t>
        </is>
      </c>
      <c r="J21" s="4" t="inlineStr">
        <is>
          <t>周英芳</t>
        </is>
      </c>
    </row>
    <row r="22">
      <c r="A22" s="14" t="n">
        <v>45683</v>
      </c>
      <c r="B22" s="4" t="inlineStr">
        <is>
          <t>SO202510120</t>
        </is>
      </c>
      <c r="C22" s="4" t="inlineStr">
        <is>
          <t>嘉兴大匠商贸有限公司</t>
        </is>
      </c>
      <c r="D22" s="4" t="inlineStr">
        <is>
          <t>预制菜</t>
        </is>
      </c>
      <c r="E22" s="4" t="inlineStr">
        <is>
          <t>简装</t>
        </is>
      </c>
      <c r="F22" s="18" t="n">
        <v>560</v>
      </c>
      <c r="G22" s="15" t="n">
        <v>141</v>
      </c>
      <c r="H22" s="15" t="n">
        <v>78960</v>
      </c>
      <c r="I22" s="4" t="inlineStr">
        <is>
          <t>赣皖区域</t>
        </is>
      </c>
      <c r="J22" s="4" t="inlineStr">
        <is>
          <t>赵静芳</t>
        </is>
      </c>
    </row>
    <row r="23">
      <c r="A23" s="14" t="n">
        <v>45691</v>
      </c>
      <c r="B23" s="4" t="inlineStr">
        <is>
          <t>SO202510085</t>
        </is>
      </c>
      <c r="C23" s="4" t="inlineStr">
        <is>
          <t>杭州百味食品有限公司</t>
        </is>
      </c>
      <c r="D23" s="4" t="inlineStr">
        <is>
          <t>川味底料</t>
        </is>
      </c>
      <c r="E23" s="4" t="inlineStr">
        <is>
          <t>10kg</t>
        </is>
      </c>
      <c r="F23" s="18" t="n">
        <v>4010</v>
      </c>
      <c r="G23" s="15" t="n">
        <v>155.49</v>
      </c>
      <c r="H23" s="15" t="n">
        <v>623514.9</v>
      </c>
      <c r="I23" s="4" t="inlineStr">
        <is>
          <t>江苏分部</t>
        </is>
      </c>
      <c r="J23" s="4" t="inlineStr">
        <is>
          <t>周伟英</t>
        </is>
      </c>
    </row>
    <row r="24">
      <c r="A24" s="14" t="n">
        <v>45693</v>
      </c>
      <c r="B24" s="4" t="inlineStr">
        <is>
          <t>SO202510142</t>
        </is>
      </c>
      <c r="C24" s="4" t="inlineStr">
        <is>
          <t>温州大匠酒店管理集团</t>
        </is>
      </c>
      <c r="D24" s="4" t="inlineStr">
        <is>
          <t>酱料</t>
        </is>
      </c>
      <c r="E24" s="4" t="inlineStr">
        <is>
          <t>标准</t>
        </is>
      </c>
      <c r="F24" s="18" t="n">
        <v>4460</v>
      </c>
      <c r="G24" s="15" t="n">
        <v>27.31</v>
      </c>
      <c r="H24" s="15" t="n">
        <v>121802.6</v>
      </c>
      <c r="I24" s="4" t="inlineStr">
        <is>
          <t>上海分部</t>
        </is>
      </c>
      <c r="J24" s="4" t="inlineStr">
        <is>
          <t>张勇秀</t>
        </is>
      </c>
    </row>
    <row r="25">
      <c r="A25" s="14" t="n">
        <v>45696</v>
      </c>
      <c r="B25" s="4" t="inlineStr">
        <is>
          <t>SO202510001</t>
        </is>
      </c>
      <c r="C25" s="4" t="inlineStr">
        <is>
          <t>杭州优鲜超市</t>
        </is>
      </c>
      <c r="D25" s="4" t="inlineStr">
        <is>
          <t>酱料</t>
        </is>
      </c>
      <c r="E25" s="4" t="inlineStr">
        <is>
          <t>C级</t>
        </is>
      </c>
      <c r="F25" s="18" t="n">
        <v>110</v>
      </c>
      <c r="G25" s="15" t="n">
        <v>149.74</v>
      </c>
      <c r="H25" s="15" t="n">
        <v>16471.4</v>
      </c>
      <c r="I25" s="4" t="inlineStr">
        <is>
          <t>浙江分部</t>
        </is>
      </c>
      <c r="J25" s="4" t="inlineStr">
        <is>
          <t>黄静伟</t>
        </is>
      </c>
    </row>
    <row r="26">
      <c r="A26" s="14" t="n">
        <v>45698</v>
      </c>
      <c r="B26" s="4" t="inlineStr">
        <is>
          <t>SO202510014</t>
        </is>
      </c>
      <c r="C26" s="4" t="inlineStr">
        <is>
          <t>苏州京功电商平台</t>
        </is>
      </c>
      <c r="D26" s="4" t="inlineStr">
        <is>
          <t>预制菜</t>
        </is>
      </c>
      <c r="E26" s="4" t="inlineStr">
        <is>
          <t>500g</t>
        </is>
      </c>
      <c r="F26" s="18" t="n">
        <v>3870</v>
      </c>
      <c r="G26" s="15" t="n">
        <v>69.15000000000001</v>
      </c>
      <c r="H26" s="15" t="n">
        <v>267610.5</v>
      </c>
      <c r="I26" s="4" t="inlineStr">
        <is>
          <t>江苏分部</t>
        </is>
      </c>
      <c r="J26" s="4" t="inlineStr">
        <is>
          <t>杨兰芳</t>
        </is>
      </c>
    </row>
    <row r="27">
      <c r="A27" s="14" t="n">
        <v>45701</v>
      </c>
      <c r="B27" s="4" t="inlineStr">
        <is>
          <t>SO202510026</t>
        </is>
      </c>
      <c r="C27" s="4" t="inlineStr">
        <is>
          <t>苏州大匠供应链有限公司</t>
        </is>
      </c>
      <c r="D27" s="4" t="inlineStr">
        <is>
          <t>调味汁</t>
        </is>
      </c>
      <c r="E27" s="4" t="inlineStr">
        <is>
          <t>标准</t>
        </is>
      </c>
      <c r="F27" s="18" t="n">
        <v>3530</v>
      </c>
      <c r="G27" s="15" t="n">
        <v>90.92</v>
      </c>
      <c r="H27" s="15" t="n">
        <v>320947.6</v>
      </c>
      <c r="I27" s="4" t="inlineStr">
        <is>
          <t>赣皖区域</t>
        </is>
      </c>
      <c r="J27" s="4" t="inlineStr">
        <is>
          <t>朱秀娜</t>
        </is>
      </c>
    </row>
    <row r="28">
      <c r="A28" s="14" t="n">
        <v>45710</v>
      </c>
      <c r="B28" s="4" t="inlineStr">
        <is>
          <t>SO202510035</t>
        </is>
      </c>
      <c r="C28" s="4" t="inlineStr">
        <is>
          <t>南京优鲜电商平台</t>
        </is>
      </c>
      <c r="D28" s="4" t="inlineStr">
        <is>
          <t>川味底料</t>
        </is>
      </c>
      <c r="E28" s="4" t="inlineStr">
        <is>
          <t>C级</t>
        </is>
      </c>
      <c r="F28" s="18" t="n">
        <v>2660</v>
      </c>
      <c r="G28" s="15" t="n">
        <v>91.95999999999999</v>
      </c>
      <c r="H28" s="15" t="n">
        <v>244613.6</v>
      </c>
      <c r="I28" s="4" t="inlineStr">
        <is>
          <t>江苏分部</t>
        </is>
      </c>
      <c r="J28" s="4" t="inlineStr">
        <is>
          <t>赵明敏</t>
        </is>
      </c>
    </row>
    <row r="29">
      <c r="A29" s="14" t="n">
        <v>45712</v>
      </c>
      <c r="B29" s="4" t="inlineStr">
        <is>
          <t>SO202510109</t>
        </is>
      </c>
      <c r="C29" s="4" t="inlineStr">
        <is>
          <t>上海大匠电商平台</t>
        </is>
      </c>
      <c r="D29" s="4" t="inlineStr">
        <is>
          <t>团餐</t>
        </is>
      </c>
      <c r="E29" s="4" t="inlineStr">
        <is>
          <t>10kg</t>
        </is>
      </c>
      <c r="F29" s="18" t="n">
        <v>3960</v>
      </c>
      <c r="G29" s="15" t="n">
        <v>34.44</v>
      </c>
      <c r="H29" s="15" t="n">
        <v>136382.4</v>
      </c>
      <c r="I29" s="4" t="inlineStr">
        <is>
          <t>浙江分部</t>
        </is>
      </c>
      <c r="J29" s="4" t="inlineStr">
        <is>
          <t>徐勇芳</t>
        </is>
      </c>
    </row>
    <row r="30">
      <c r="A30" s="14" t="n">
        <v>45713</v>
      </c>
      <c r="B30" s="4" t="inlineStr">
        <is>
          <t>SO202510078</t>
        </is>
      </c>
      <c r="C30" s="4" t="inlineStr">
        <is>
          <t>无锡百味食品有限公司</t>
        </is>
      </c>
      <c r="D30" s="4" t="inlineStr">
        <is>
          <t>复合调味粉</t>
        </is>
      </c>
      <c r="E30" s="4" t="inlineStr">
        <is>
          <t>10kg</t>
        </is>
      </c>
      <c r="F30" s="18" t="n">
        <v>2810</v>
      </c>
      <c r="G30" s="15" t="n">
        <v>25.25</v>
      </c>
      <c r="H30" s="15" t="n">
        <v>70952.5</v>
      </c>
      <c r="I30" s="4" t="inlineStr">
        <is>
          <t>赣皖区域</t>
        </is>
      </c>
      <c r="J30" s="4" t="inlineStr">
        <is>
          <t>杨娜英</t>
        </is>
      </c>
    </row>
    <row r="31">
      <c r="A31" s="14" t="n">
        <v>45715</v>
      </c>
      <c r="B31" s="4" t="inlineStr">
        <is>
          <t>SO202510043</t>
        </is>
      </c>
      <c r="C31" s="4" t="inlineStr">
        <is>
          <t>无锡优鲜酒店管理集团</t>
        </is>
      </c>
      <c r="D31" s="4" t="inlineStr">
        <is>
          <t>复合调味粉</t>
        </is>
      </c>
      <c r="E31" s="4" t="inlineStr">
        <is>
          <t>标准</t>
        </is>
      </c>
      <c r="F31" s="18" t="n">
        <v>4120</v>
      </c>
      <c r="G31" s="15" t="n">
        <v>128.74</v>
      </c>
      <c r="H31" s="15" t="n">
        <v>530408.8</v>
      </c>
      <c r="I31" s="4" t="inlineStr">
        <is>
          <t>赣皖区域</t>
        </is>
      </c>
      <c r="J31" s="4" t="inlineStr">
        <is>
          <t>马兰芳</t>
        </is>
      </c>
    </row>
    <row r="32">
      <c r="A32" s="14" t="n">
        <v>45715</v>
      </c>
      <c r="B32" s="4" t="inlineStr">
        <is>
          <t>SO202510073</t>
        </is>
      </c>
      <c r="C32" s="4" t="inlineStr">
        <is>
          <t>苏州食佳电商平台</t>
        </is>
      </c>
      <c r="D32" s="4" t="inlineStr">
        <is>
          <t>川味底料</t>
        </is>
      </c>
      <c r="E32" s="4" t="inlineStr">
        <is>
          <t>标准</t>
        </is>
      </c>
      <c r="F32" s="18" t="n">
        <v>2180</v>
      </c>
      <c r="G32" s="15" t="n">
        <v>15.51</v>
      </c>
      <c r="H32" s="15" t="n">
        <v>33811.8</v>
      </c>
      <c r="I32" s="4" t="inlineStr">
        <is>
          <t>上海分部</t>
        </is>
      </c>
      <c r="J32" s="4" t="inlineStr">
        <is>
          <t>胡静英</t>
        </is>
      </c>
    </row>
    <row r="33">
      <c r="A33" s="14" t="n">
        <v>45721</v>
      </c>
      <c r="B33" s="4" t="inlineStr">
        <is>
          <t>SO202510033</t>
        </is>
      </c>
      <c r="C33" s="4" t="inlineStr">
        <is>
          <t>上海百味酒店管理集团</t>
        </is>
      </c>
      <c r="D33" s="4" t="inlineStr">
        <is>
          <t>川味底料</t>
        </is>
      </c>
      <c r="E33" s="4" t="inlineStr">
        <is>
          <t>C级</t>
        </is>
      </c>
      <c r="F33" s="18" t="n">
        <v>800</v>
      </c>
      <c r="G33" s="15" t="n">
        <v>74.56999999999999</v>
      </c>
      <c r="H33" s="15" t="n">
        <v>59656</v>
      </c>
      <c r="I33" s="4" t="inlineStr">
        <is>
          <t>浙江分部</t>
        </is>
      </c>
      <c r="J33" s="4" t="inlineStr">
        <is>
          <t>王伟芳</t>
        </is>
      </c>
    </row>
    <row r="34">
      <c r="A34" s="14" t="n">
        <v>45722</v>
      </c>
      <c r="B34" s="4" t="inlineStr">
        <is>
          <t>SO202510039</t>
        </is>
      </c>
      <c r="C34" s="4" t="inlineStr">
        <is>
          <t>无锡食佳超市</t>
        </is>
      </c>
      <c r="D34" s="4" t="inlineStr">
        <is>
          <t>预制菜</t>
        </is>
      </c>
      <c r="E34" s="4" t="inlineStr">
        <is>
          <t>10kg</t>
        </is>
      </c>
      <c r="F34" s="18" t="n">
        <v>1330</v>
      </c>
      <c r="G34" s="15" t="n">
        <v>112.28</v>
      </c>
      <c r="H34" s="15" t="n">
        <v>149332.4</v>
      </c>
      <c r="I34" s="4" t="inlineStr">
        <is>
          <t>江苏分部</t>
        </is>
      </c>
      <c r="J34" s="4" t="inlineStr">
        <is>
          <t>何艳芳</t>
        </is>
      </c>
    </row>
    <row r="35">
      <c r="A35" s="14" t="n">
        <v>45724</v>
      </c>
      <c r="B35" s="4" t="inlineStr">
        <is>
          <t>SO202510004</t>
        </is>
      </c>
      <c r="C35" s="4" t="inlineStr">
        <is>
          <t>南京淼沃餐饮管理有限公司</t>
        </is>
      </c>
      <c r="D35" s="4" t="inlineStr">
        <is>
          <t>预制菜</t>
        </is>
      </c>
      <c r="E35" s="4" t="inlineStr">
        <is>
          <t>精装</t>
        </is>
      </c>
      <c r="F35" s="18" t="n">
        <v>680</v>
      </c>
      <c r="G35" s="15" t="n">
        <v>54.96</v>
      </c>
      <c r="H35" s="15" t="n">
        <v>37372.8</v>
      </c>
      <c r="I35" s="4" t="inlineStr">
        <is>
          <t>赣皖区域</t>
        </is>
      </c>
      <c r="J35" s="4" t="inlineStr">
        <is>
          <t>李勇娜</t>
        </is>
      </c>
    </row>
    <row r="36">
      <c r="A36" s="14" t="n">
        <v>45724</v>
      </c>
      <c r="B36" s="4" t="inlineStr">
        <is>
          <t>SO202510061</t>
        </is>
      </c>
      <c r="C36" s="4" t="inlineStr">
        <is>
          <t>嘉兴大匠食品有限公司</t>
        </is>
      </c>
      <c r="D36" s="4" t="inlineStr">
        <is>
          <t>复合调味粉</t>
        </is>
      </c>
      <c r="E36" s="4" t="inlineStr">
        <is>
          <t>A级</t>
        </is>
      </c>
      <c r="F36" s="18" t="n">
        <v>560</v>
      </c>
      <c r="G36" s="15" t="n">
        <v>78.89</v>
      </c>
      <c r="H36" s="15" t="n">
        <v>44178.4</v>
      </c>
      <c r="I36" s="4" t="inlineStr">
        <is>
          <t>江苏分部</t>
        </is>
      </c>
      <c r="J36" s="4" t="inlineStr">
        <is>
          <t>黄勇芳</t>
        </is>
      </c>
    </row>
    <row r="37">
      <c r="A37" s="14" t="n">
        <v>45725</v>
      </c>
      <c r="B37" s="4" t="inlineStr">
        <is>
          <t>SO202510137</t>
        </is>
      </c>
      <c r="C37" s="4" t="inlineStr">
        <is>
          <t>无锡大匠商贸有限公司</t>
        </is>
      </c>
      <c r="D37" s="4" t="inlineStr">
        <is>
          <t>复合调味粉</t>
        </is>
      </c>
      <c r="E37" s="4" t="inlineStr">
        <is>
          <t>B级</t>
        </is>
      </c>
      <c r="F37" s="18" t="n">
        <v>3540</v>
      </c>
      <c r="G37" s="15" t="n">
        <v>12.37</v>
      </c>
      <c r="H37" s="15" t="n">
        <v>43789.8</v>
      </c>
      <c r="I37" s="4" t="inlineStr">
        <is>
          <t>上海分部</t>
        </is>
      </c>
      <c r="J37" s="4" t="inlineStr">
        <is>
          <t>周涛秀</t>
        </is>
      </c>
    </row>
    <row r="38">
      <c r="A38" s="14" t="n">
        <v>45727</v>
      </c>
      <c r="B38" s="4" t="inlineStr">
        <is>
          <t>SO202510046</t>
        </is>
      </c>
      <c r="C38" s="4" t="inlineStr">
        <is>
          <t>常州京功酒店管理集团</t>
        </is>
      </c>
      <c r="D38" s="4" t="inlineStr">
        <is>
          <t>团餐</t>
        </is>
      </c>
      <c r="E38" s="4" t="inlineStr">
        <is>
          <t>A级</t>
        </is>
      </c>
      <c r="F38" s="18" t="n">
        <v>600</v>
      </c>
      <c r="G38" s="15" t="n">
        <v>73.41</v>
      </c>
      <c r="H38" s="15" t="n">
        <v>44046</v>
      </c>
      <c r="I38" s="4" t="inlineStr">
        <is>
          <t>上海分部</t>
        </is>
      </c>
      <c r="J38" s="4" t="inlineStr">
        <is>
          <t>吴磊秀</t>
        </is>
      </c>
    </row>
    <row r="39">
      <c r="A39" s="14" t="n">
        <v>45728</v>
      </c>
      <c r="B39" s="4" t="inlineStr">
        <is>
          <t>SO202510093</t>
        </is>
      </c>
      <c r="C39" s="4" t="inlineStr">
        <is>
          <t>合肥京功食品有限公司</t>
        </is>
      </c>
      <c r="D39" s="4" t="inlineStr">
        <is>
          <t>调味汁</t>
        </is>
      </c>
      <c r="E39" s="4" t="inlineStr">
        <is>
          <t>标准</t>
        </is>
      </c>
      <c r="F39" s="18" t="n">
        <v>4910</v>
      </c>
      <c r="G39" s="15" t="n">
        <v>105.86</v>
      </c>
      <c r="H39" s="15" t="n">
        <v>519772.6</v>
      </c>
      <c r="I39" s="4" t="inlineStr">
        <is>
          <t>浙江分部</t>
        </is>
      </c>
      <c r="J39" s="4" t="inlineStr">
        <is>
          <t>刘勇英</t>
        </is>
      </c>
    </row>
    <row r="40">
      <c r="A40" s="14" t="n">
        <v>45731</v>
      </c>
      <c r="B40" s="4" t="inlineStr">
        <is>
          <t>SO202510049</t>
        </is>
      </c>
      <c r="C40" s="4" t="inlineStr">
        <is>
          <t>常州京功超市</t>
        </is>
      </c>
      <c r="D40" s="4" t="inlineStr">
        <is>
          <t>川味底料</t>
        </is>
      </c>
      <c r="E40" s="4" t="inlineStr">
        <is>
          <t>特级</t>
        </is>
      </c>
      <c r="F40" s="18" t="n">
        <v>3390</v>
      </c>
      <c r="G40" s="15" t="n">
        <v>156.37</v>
      </c>
      <c r="H40" s="15" t="n">
        <v>530094.3</v>
      </c>
      <c r="I40" s="4" t="inlineStr">
        <is>
          <t>浙江分部</t>
        </is>
      </c>
      <c r="J40" s="4" t="inlineStr">
        <is>
          <t>胡强伟</t>
        </is>
      </c>
    </row>
    <row r="41">
      <c r="A41" s="14" t="n">
        <v>45734</v>
      </c>
      <c r="B41" s="4" t="inlineStr">
        <is>
          <t>SO202510098</t>
        </is>
      </c>
      <c r="C41" s="4" t="inlineStr">
        <is>
          <t>苏州淼沃餐饮管理有限公司</t>
        </is>
      </c>
      <c r="D41" s="4" t="inlineStr">
        <is>
          <t>调味汁</t>
        </is>
      </c>
      <c r="E41" s="4" t="inlineStr">
        <is>
          <t>10kg</t>
        </is>
      </c>
      <c r="F41" s="18" t="n">
        <v>1300</v>
      </c>
      <c r="G41" s="15" t="n">
        <v>133.42</v>
      </c>
      <c r="H41" s="15" t="n">
        <v>173446</v>
      </c>
      <c r="I41" s="4" t="inlineStr">
        <is>
          <t>赣皖区域</t>
        </is>
      </c>
      <c r="J41" s="4" t="inlineStr">
        <is>
          <t>刘涛英</t>
        </is>
      </c>
    </row>
    <row r="42">
      <c r="A42" s="14" t="n">
        <v>45738</v>
      </c>
      <c r="B42" s="4" t="inlineStr">
        <is>
          <t>SO202510147</t>
        </is>
      </c>
      <c r="C42" s="4" t="inlineStr">
        <is>
          <t>南昌优鲜超市</t>
        </is>
      </c>
      <c r="D42" s="4" t="inlineStr">
        <is>
          <t>酱料</t>
        </is>
      </c>
      <c r="E42" s="4" t="inlineStr">
        <is>
          <t>500g</t>
        </is>
      </c>
      <c r="F42" s="18" t="n">
        <v>770</v>
      </c>
      <c r="G42" s="15" t="n">
        <v>13.68</v>
      </c>
      <c r="H42" s="15" t="n">
        <v>10533.6</v>
      </c>
      <c r="I42" s="4" t="inlineStr">
        <is>
          <t>江苏分部</t>
        </is>
      </c>
      <c r="J42" s="4" t="inlineStr">
        <is>
          <t>张艳伟</t>
        </is>
      </c>
    </row>
    <row r="43">
      <c r="A43" s="14" t="n">
        <v>45740</v>
      </c>
      <c r="B43" s="4" t="inlineStr">
        <is>
          <t>SO202510150</t>
        </is>
      </c>
      <c r="C43" s="4" t="inlineStr">
        <is>
          <t>嘉兴淼沃商贸有限公司</t>
        </is>
      </c>
      <c r="D43" s="4" t="inlineStr">
        <is>
          <t>中式汤底</t>
        </is>
      </c>
      <c r="E43" s="4" t="inlineStr">
        <is>
          <t>5kg</t>
        </is>
      </c>
      <c r="F43" s="18" t="n">
        <v>2830</v>
      </c>
      <c r="G43" s="15" t="n">
        <v>105.25</v>
      </c>
      <c r="H43" s="15" t="n">
        <v>297857.5</v>
      </c>
      <c r="I43" s="4" t="inlineStr">
        <is>
          <t>江苏分部</t>
        </is>
      </c>
      <c r="J43" s="4" t="inlineStr">
        <is>
          <t>黄秀敏</t>
        </is>
      </c>
    </row>
    <row r="44">
      <c r="A44" s="14" t="n">
        <v>45754</v>
      </c>
      <c r="B44" s="4" t="inlineStr">
        <is>
          <t>SO202510094</t>
        </is>
      </c>
      <c r="C44" s="4" t="inlineStr">
        <is>
          <t>南京百味超市</t>
        </is>
      </c>
      <c r="D44" s="4" t="inlineStr">
        <is>
          <t>中式汤底</t>
        </is>
      </c>
      <c r="E44" s="4" t="inlineStr">
        <is>
          <t>1kg</t>
        </is>
      </c>
      <c r="F44" s="18" t="n">
        <v>4080</v>
      </c>
      <c r="G44" s="15" t="n">
        <v>6.25</v>
      </c>
      <c r="H44" s="15" t="n">
        <v>25500</v>
      </c>
      <c r="I44" s="4" t="inlineStr">
        <is>
          <t>浙江分部</t>
        </is>
      </c>
      <c r="J44" s="4" t="inlineStr">
        <is>
          <t>黄芳敏</t>
        </is>
      </c>
    </row>
    <row r="45">
      <c r="A45" s="14" t="n">
        <v>45755</v>
      </c>
      <c r="B45" s="4" t="inlineStr">
        <is>
          <t>SO202510145</t>
        </is>
      </c>
      <c r="C45" s="4" t="inlineStr">
        <is>
          <t>杭州淼沃供应链有限公司</t>
        </is>
      </c>
      <c r="D45" s="4" t="inlineStr">
        <is>
          <t>团餐</t>
        </is>
      </c>
      <c r="E45" s="4" t="inlineStr">
        <is>
          <t>5kg</t>
        </is>
      </c>
      <c r="F45" s="18" t="n">
        <v>710</v>
      </c>
      <c r="G45" s="15" t="n">
        <v>80.15000000000001</v>
      </c>
      <c r="H45" s="15" t="n">
        <v>56906.5</v>
      </c>
      <c r="I45" s="4" t="inlineStr">
        <is>
          <t>赣皖区域</t>
        </is>
      </c>
      <c r="J45" s="4" t="inlineStr">
        <is>
          <t>罗芳娜</t>
        </is>
      </c>
    </row>
    <row r="46">
      <c r="A46" s="14" t="n">
        <v>45757</v>
      </c>
      <c r="B46" s="4" t="inlineStr">
        <is>
          <t>SO202510132</t>
        </is>
      </c>
      <c r="C46" s="4" t="inlineStr">
        <is>
          <t>镇江京功商贸有限公司</t>
        </is>
      </c>
      <c r="D46" s="4" t="inlineStr">
        <is>
          <t>团餐</t>
        </is>
      </c>
      <c r="E46" s="4" t="inlineStr">
        <is>
          <t>500g</t>
        </is>
      </c>
      <c r="F46" s="18" t="n">
        <v>200</v>
      </c>
      <c r="G46" s="15" t="n">
        <v>80.25</v>
      </c>
      <c r="H46" s="15" t="n">
        <v>16050</v>
      </c>
      <c r="I46" s="4" t="inlineStr">
        <is>
          <t>赣皖区域</t>
        </is>
      </c>
      <c r="J46" s="4" t="inlineStr">
        <is>
          <t>胡秀敏</t>
        </is>
      </c>
    </row>
    <row r="47">
      <c r="A47" s="14" t="n">
        <v>45759</v>
      </c>
      <c r="B47" s="4" t="inlineStr">
        <is>
          <t>SO202510165</t>
        </is>
      </c>
      <c r="C47" s="4" t="inlineStr">
        <is>
          <t>合肥京功电商平台</t>
        </is>
      </c>
      <c r="D47" s="4" t="inlineStr">
        <is>
          <t>团餐</t>
        </is>
      </c>
      <c r="E47" s="4" t="inlineStr">
        <is>
          <t>B级</t>
        </is>
      </c>
      <c r="F47" s="18" t="n">
        <v>3520</v>
      </c>
      <c r="G47" s="15" t="n">
        <v>46.13</v>
      </c>
      <c r="H47" s="15" t="n">
        <v>162377.6</v>
      </c>
      <c r="I47" s="4" t="inlineStr">
        <is>
          <t>上海分部</t>
        </is>
      </c>
      <c r="J47" s="4" t="inlineStr">
        <is>
          <t>李秀英</t>
        </is>
      </c>
    </row>
    <row r="48">
      <c r="A48" s="14" t="n">
        <v>45768</v>
      </c>
      <c r="B48" s="4" t="inlineStr">
        <is>
          <t>SO202510099</t>
        </is>
      </c>
      <c r="C48" s="4" t="inlineStr">
        <is>
          <t>常州淼沃酒店管理集团</t>
        </is>
      </c>
      <c r="D48" s="4" t="inlineStr">
        <is>
          <t>调味汁</t>
        </is>
      </c>
      <c r="E48" s="4" t="inlineStr">
        <is>
          <t>B级</t>
        </is>
      </c>
      <c r="F48" s="18" t="n">
        <v>1680</v>
      </c>
      <c r="G48" s="15" t="n">
        <v>14.33</v>
      </c>
      <c r="H48" s="15" t="n">
        <v>24074.4</v>
      </c>
      <c r="I48" s="4" t="inlineStr">
        <is>
          <t>江苏分部</t>
        </is>
      </c>
      <c r="J48" s="4" t="inlineStr">
        <is>
          <t>徐勇娜</t>
        </is>
      </c>
    </row>
    <row r="49">
      <c r="A49" s="14" t="n">
        <v>45770</v>
      </c>
      <c r="B49" s="4" t="inlineStr">
        <is>
          <t>SO202510003</t>
        </is>
      </c>
      <c r="C49" s="4" t="inlineStr">
        <is>
          <t>杭州优鲜商贸有限公司</t>
        </is>
      </c>
      <c r="D49" s="4" t="inlineStr">
        <is>
          <t>预制菜</t>
        </is>
      </c>
      <c r="E49" s="4" t="inlineStr">
        <is>
          <t>简装</t>
        </is>
      </c>
      <c r="F49" s="18" t="n">
        <v>2350</v>
      </c>
      <c r="G49" s="15" t="n">
        <v>28.54</v>
      </c>
      <c r="H49" s="15" t="n">
        <v>67069</v>
      </c>
      <c r="I49" s="4" t="inlineStr">
        <is>
          <t>江苏分部</t>
        </is>
      </c>
      <c r="J49" s="4" t="inlineStr">
        <is>
          <t>王洋伟</t>
        </is>
      </c>
    </row>
    <row r="50">
      <c r="A50" s="14" t="n">
        <v>45772</v>
      </c>
      <c r="B50" s="4" t="inlineStr">
        <is>
          <t>SO202510045</t>
        </is>
      </c>
      <c r="C50" s="4" t="inlineStr">
        <is>
          <t>温州京功酒店管理集团</t>
        </is>
      </c>
      <c r="D50" s="4" t="inlineStr">
        <is>
          <t>中式汤底</t>
        </is>
      </c>
      <c r="E50" s="4" t="inlineStr">
        <is>
          <t>B级</t>
        </is>
      </c>
      <c r="F50" s="18" t="n">
        <v>2650</v>
      </c>
      <c r="G50" s="15" t="n">
        <v>20.17</v>
      </c>
      <c r="H50" s="15" t="n">
        <v>53450.5</v>
      </c>
      <c r="I50" s="4" t="inlineStr">
        <is>
          <t>浙江分部</t>
        </is>
      </c>
      <c r="J50" s="4" t="inlineStr">
        <is>
          <t>吴伟娜</t>
        </is>
      </c>
    </row>
    <row r="51">
      <c r="A51" s="14" t="n">
        <v>45774</v>
      </c>
      <c r="B51" s="4" t="inlineStr">
        <is>
          <t>SO202510058</t>
        </is>
      </c>
      <c r="C51" s="4" t="inlineStr">
        <is>
          <t>苏州百味食品有限公司</t>
        </is>
      </c>
      <c r="D51" s="4" t="inlineStr">
        <is>
          <t>中式汤底</t>
        </is>
      </c>
      <c r="E51" s="4" t="inlineStr">
        <is>
          <t>25kg</t>
        </is>
      </c>
      <c r="F51" s="18" t="n">
        <v>2280</v>
      </c>
      <c r="G51" s="15" t="n">
        <v>86.34</v>
      </c>
      <c r="H51" s="15" t="n">
        <v>196855.2</v>
      </c>
      <c r="I51" s="4" t="inlineStr">
        <is>
          <t>赣皖区域</t>
        </is>
      </c>
      <c r="J51" s="4" t="inlineStr">
        <is>
          <t>赵秀敏</t>
        </is>
      </c>
    </row>
    <row r="52">
      <c r="A52" s="14" t="n">
        <v>45775</v>
      </c>
      <c r="B52" s="4" t="inlineStr">
        <is>
          <t>SO202510040</t>
        </is>
      </c>
      <c r="C52" s="4" t="inlineStr">
        <is>
          <t>宁波京功超市</t>
        </is>
      </c>
      <c r="D52" s="4" t="inlineStr">
        <is>
          <t>调味汁</t>
        </is>
      </c>
      <c r="E52" s="4" t="inlineStr">
        <is>
          <t>1kg</t>
        </is>
      </c>
      <c r="F52" s="18" t="n">
        <v>1210</v>
      </c>
      <c r="G52" s="15" t="n">
        <v>76.08</v>
      </c>
      <c r="H52" s="15" t="n">
        <v>92056.8</v>
      </c>
      <c r="I52" s="4" t="inlineStr">
        <is>
          <t>江苏分部</t>
        </is>
      </c>
      <c r="J52" s="4" t="inlineStr">
        <is>
          <t>黄娜伟</t>
        </is>
      </c>
    </row>
    <row r="53">
      <c r="A53" s="14" t="n">
        <v>45781</v>
      </c>
      <c r="B53" s="4" t="inlineStr">
        <is>
          <t>SO202510079</t>
        </is>
      </c>
      <c r="C53" s="4" t="inlineStr">
        <is>
          <t>嘉兴淼沃酒店管理集团</t>
        </is>
      </c>
      <c r="D53" s="4" t="inlineStr">
        <is>
          <t>调味汁</t>
        </is>
      </c>
      <c r="E53" s="4" t="inlineStr">
        <is>
          <t>特级</t>
        </is>
      </c>
      <c r="F53" s="18" t="n">
        <v>1970</v>
      </c>
      <c r="G53" s="15" t="n">
        <v>13.85</v>
      </c>
      <c r="H53" s="15" t="n">
        <v>27284.5</v>
      </c>
      <c r="I53" s="4" t="inlineStr">
        <is>
          <t>赣皖区域</t>
        </is>
      </c>
      <c r="J53" s="4" t="inlineStr">
        <is>
          <t>黄伟芳</t>
        </is>
      </c>
    </row>
    <row r="54">
      <c r="A54" s="14" t="n">
        <v>45781</v>
      </c>
      <c r="B54" s="4" t="inlineStr">
        <is>
          <t>SO202510108</t>
        </is>
      </c>
      <c r="C54" s="4" t="inlineStr">
        <is>
          <t>南京食佳酒店管理集团</t>
        </is>
      </c>
      <c r="D54" s="4" t="inlineStr">
        <is>
          <t>中式汤底</t>
        </is>
      </c>
      <c r="E54" s="4" t="inlineStr">
        <is>
          <t>10kg</t>
        </is>
      </c>
      <c r="F54" s="18" t="n">
        <v>1840</v>
      </c>
      <c r="G54" s="15" t="n">
        <v>4.95</v>
      </c>
      <c r="H54" s="15" t="n">
        <v>9108</v>
      </c>
      <c r="I54" s="4" t="inlineStr">
        <is>
          <t>赣皖区域</t>
        </is>
      </c>
      <c r="J54" s="4" t="inlineStr">
        <is>
          <t>朱兰英</t>
        </is>
      </c>
    </row>
    <row r="55">
      <c r="A55" s="14" t="n">
        <v>45784</v>
      </c>
      <c r="B55" s="4" t="inlineStr">
        <is>
          <t>SO202510013</t>
        </is>
      </c>
      <c r="C55" s="4" t="inlineStr">
        <is>
          <t>合肥食佳食品有限公司</t>
        </is>
      </c>
      <c r="D55" s="4" t="inlineStr">
        <is>
          <t>团餐</t>
        </is>
      </c>
      <c r="E55" s="4" t="inlineStr">
        <is>
          <t>B级</t>
        </is>
      </c>
      <c r="F55" s="18" t="n">
        <v>1110</v>
      </c>
      <c r="G55" s="15" t="n">
        <v>112.07</v>
      </c>
      <c r="H55" s="15" t="n">
        <v>124397.7</v>
      </c>
      <c r="I55" s="4" t="inlineStr">
        <is>
          <t>江苏分部</t>
        </is>
      </c>
      <c r="J55" s="4" t="inlineStr">
        <is>
          <t>王秀伟</t>
        </is>
      </c>
    </row>
    <row r="56">
      <c r="A56" s="14" t="n">
        <v>45785</v>
      </c>
      <c r="B56" s="4" t="inlineStr">
        <is>
          <t>SO202510031</t>
        </is>
      </c>
      <c r="C56" s="4" t="inlineStr">
        <is>
          <t>常州京功商贸有限公司</t>
        </is>
      </c>
      <c r="D56" s="4" t="inlineStr">
        <is>
          <t>川味底料</t>
        </is>
      </c>
      <c r="E56" s="4" t="inlineStr">
        <is>
          <t>500g</t>
        </is>
      </c>
      <c r="F56" s="18" t="n">
        <v>810</v>
      </c>
      <c r="G56" s="15" t="n">
        <v>99.95</v>
      </c>
      <c r="H56" s="15" t="n">
        <v>80959.5</v>
      </c>
      <c r="I56" s="4" t="inlineStr">
        <is>
          <t>赣皖区域</t>
        </is>
      </c>
      <c r="J56" s="4" t="inlineStr">
        <is>
          <t>林强伟</t>
        </is>
      </c>
    </row>
    <row r="57">
      <c r="A57" s="14" t="n">
        <v>45786</v>
      </c>
      <c r="B57" s="4" t="inlineStr">
        <is>
          <t>SO202510084</t>
        </is>
      </c>
      <c r="C57" s="4" t="inlineStr">
        <is>
          <t>杭州淼沃电商平台</t>
        </is>
      </c>
      <c r="D57" s="4" t="inlineStr">
        <is>
          <t>川味底料</t>
        </is>
      </c>
      <c r="E57" s="4" t="inlineStr">
        <is>
          <t>1kg</t>
        </is>
      </c>
      <c r="F57" s="18" t="n">
        <v>3510</v>
      </c>
      <c r="G57" s="15" t="n">
        <v>85.16</v>
      </c>
      <c r="H57" s="15" t="n">
        <v>298911.6</v>
      </c>
      <c r="I57" s="4" t="inlineStr">
        <is>
          <t>江苏分部</t>
        </is>
      </c>
      <c r="J57" s="4" t="inlineStr">
        <is>
          <t>朱超秀</t>
        </is>
      </c>
    </row>
    <row r="58">
      <c r="A58" s="14" t="n">
        <v>45786</v>
      </c>
      <c r="B58" s="4" t="inlineStr">
        <is>
          <t>SO202510156</t>
        </is>
      </c>
      <c r="C58" s="4" t="inlineStr">
        <is>
          <t>温州优鲜供应链有限公司</t>
        </is>
      </c>
      <c r="D58" s="4" t="inlineStr">
        <is>
          <t>调味汁</t>
        </is>
      </c>
      <c r="E58" s="4" t="inlineStr">
        <is>
          <t>简装</t>
        </is>
      </c>
      <c r="F58" s="18" t="n">
        <v>3610</v>
      </c>
      <c r="G58" s="15" t="n">
        <v>69.38</v>
      </c>
      <c r="H58" s="15" t="n">
        <v>250461.8</v>
      </c>
      <c r="I58" s="4" t="inlineStr">
        <is>
          <t>江苏分部</t>
        </is>
      </c>
      <c r="J58" s="4" t="inlineStr">
        <is>
          <t>陈强秀</t>
        </is>
      </c>
    </row>
    <row r="59">
      <c r="A59" s="14" t="n">
        <v>45791</v>
      </c>
      <c r="B59" s="4" t="inlineStr">
        <is>
          <t>SO202510010</t>
        </is>
      </c>
      <c r="C59" s="4" t="inlineStr">
        <is>
          <t>合肥淼沃食品有限公司</t>
        </is>
      </c>
      <c r="D59" s="4" t="inlineStr">
        <is>
          <t>酱料</t>
        </is>
      </c>
      <c r="E59" s="4" t="inlineStr">
        <is>
          <t>5kg</t>
        </is>
      </c>
      <c r="F59" s="18" t="n">
        <v>90</v>
      </c>
      <c r="G59" s="15" t="n">
        <v>135.02</v>
      </c>
      <c r="H59" s="15" t="n">
        <v>12151.8</v>
      </c>
      <c r="I59" s="4" t="inlineStr">
        <is>
          <t>上海分部</t>
        </is>
      </c>
      <c r="J59" s="4" t="inlineStr">
        <is>
          <t>朱英伟</t>
        </is>
      </c>
    </row>
    <row r="60">
      <c r="A60" s="14" t="n">
        <v>45794</v>
      </c>
      <c r="B60" s="4" t="inlineStr">
        <is>
          <t>SO202510055</t>
        </is>
      </c>
      <c r="C60" s="4" t="inlineStr">
        <is>
          <t>温州淼沃餐饮管理有限公司</t>
        </is>
      </c>
      <c r="D60" s="4" t="inlineStr">
        <is>
          <t>调味汁</t>
        </is>
      </c>
      <c r="E60" s="4" t="inlineStr">
        <is>
          <t>标准</t>
        </is>
      </c>
      <c r="F60" s="18" t="n">
        <v>2380</v>
      </c>
      <c r="G60" s="15" t="n">
        <v>97.51000000000001</v>
      </c>
      <c r="H60" s="15" t="n">
        <v>232073.8</v>
      </c>
      <c r="I60" s="4" t="inlineStr">
        <is>
          <t>上海分部</t>
        </is>
      </c>
      <c r="J60" s="4" t="inlineStr">
        <is>
          <t>高明英</t>
        </is>
      </c>
    </row>
    <row r="61">
      <c r="A61" s="14" t="n">
        <v>45795</v>
      </c>
      <c r="B61" s="4" t="inlineStr">
        <is>
          <t>SO202510097</t>
        </is>
      </c>
      <c r="C61" s="4" t="inlineStr">
        <is>
          <t>南昌京功商贸有限公司</t>
        </is>
      </c>
      <c r="D61" s="4" t="inlineStr">
        <is>
          <t>川味底料</t>
        </is>
      </c>
      <c r="E61" s="4" t="inlineStr">
        <is>
          <t>A级</t>
        </is>
      </c>
      <c r="F61" s="18" t="n">
        <v>770</v>
      </c>
      <c r="G61" s="15" t="n">
        <v>32.69</v>
      </c>
      <c r="H61" s="15" t="n">
        <v>25171.3</v>
      </c>
      <c r="I61" s="4" t="inlineStr">
        <is>
          <t>上海分部</t>
        </is>
      </c>
      <c r="J61" s="4" t="inlineStr">
        <is>
          <t>李兰秀</t>
        </is>
      </c>
    </row>
    <row r="62">
      <c r="A62" s="14" t="n">
        <v>45797</v>
      </c>
      <c r="B62" s="4" t="inlineStr">
        <is>
          <t>SO202510062</t>
        </is>
      </c>
      <c r="C62" s="4" t="inlineStr">
        <is>
          <t>无锡淼沃餐饮管理有限公司</t>
        </is>
      </c>
      <c r="D62" s="4" t="inlineStr">
        <is>
          <t>团餐</t>
        </is>
      </c>
      <c r="E62" s="4" t="inlineStr">
        <is>
          <t>10kg</t>
        </is>
      </c>
      <c r="F62" s="18" t="n">
        <v>4090</v>
      </c>
      <c r="G62" s="15" t="n">
        <v>95.36</v>
      </c>
      <c r="H62" s="15" t="n">
        <v>390022.4</v>
      </c>
      <c r="I62" s="4" t="inlineStr">
        <is>
          <t>赣皖区域</t>
        </is>
      </c>
      <c r="J62" s="4" t="inlineStr">
        <is>
          <t>马勇芳</t>
        </is>
      </c>
    </row>
    <row r="63">
      <c r="A63" s="14" t="n">
        <v>45802</v>
      </c>
      <c r="B63" s="4" t="inlineStr">
        <is>
          <t>SO202510080</t>
        </is>
      </c>
      <c r="C63" s="4" t="inlineStr">
        <is>
          <t>常州百味商贸有限公司</t>
        </is>
      </c>
      <c r="D63" s="4" t="inlineStr">
        <is>
          <t>中式汤底</t>
        </is>
      </c>
      <c r="E63" s="4" t="inlineStr">
        <is>
          <t>5kg</t>
        </is>
      </c>
      <c r="F63" s="18" t="n">
        <v>3540</v>
      </c>
      <c r="G63" s="15" t="n">
        <v>101.94</v>
      </c>
      <c r="H63" s="15" t="n">
        <v>360867.6</v>
      </c>
      <c r="I63" s="4" t="inlineStr">
        <is>
          <t>江苏分部</t>
        </is>
      </c>
      <c r="J63" s="4" t="inlineStr">
        <is>
          <t>郭静娜</t>
        </is>
      </c>
    </row>
    <row r="64">
      <c r="A64" s="14" t="n">
        <v>45809</v>
      </c>
      <c r="B64" s="4" t="inlineStr">
        <is>
          <t>SO202510072</t>
        </is>
      </c>
      <c r="C64" s="4" t="inlineStr">
        <is>
          <t>南京京功食品有限公司</t>
        </is>
      </c>
      <c r="D64" s="4" t="inlineStr">
        <is>
          <t>复合调味粉</t>
        </is>
      </c>
      <c r="E64" s="4" t="inlineStr">
        <is>
          <t>25kg</t>
        </is>
      </c>
      <c r="F64" s="18" t="n">
        <v>4740</v>
      </c>
      <c r="G64" s="15" t="n">
        <v>31.09</v>
      </c>
      <c r="H64" s="15" t="n">
        <v>147366.6</v>
      </c>
      <c r="I64" s="4" t="inlineStr">
        <is>
          <t>江苏分部</t>
        </is>
      </c>
      <c r="J64" s="4" t="inlineStr">
        <is>
          <t>李秀敏</t>
        </is>
      </c>
    </row>
    <row r="65">
      <c r="A65" s="14" t="n">
        <v>45811</v>
      </c>
      <c r="B65" s="4" t="inlineStr">
        <is>
          <t>SO202510036</t>
        </is>
      </c>
      <c r="C65" s="4" t="inlineStr">
        <is>
          <t>镇江京功供应链有限公司</t>
        </is>
      </c>
      <c r="D65" s="4" t="inlineStr">
        <is>
          <t>调味汁</t>
        </is>
      </c>
      <c r="E65" s="4" t="inlineStr">
        <is>
          <t>C级</t>
        </is>
      </c>
      <c r="F65" s="18" t="n">
        <v>2070</v>
      </c>
      <c r="G65" s="15" t="n">
        <v>71.29000000000001</v>
      </c>
      <c r="H65" s="15" t="n">
        <v>147570.3</v>
      </c>
      <c r="I65" s="4" t="inlineStr">
        <is>
          <t>赣皖区域</t>
        </is>
      </c>
      <c r="J65" s="4" t="inlineStr">
        <is>
          <t>刘静英</t>
        </is>
      </c>
    </row>
    <row r="66">
      <c r="A66" s="14" t="n">
        <v>45814</v>
      </c>
      <c r="B66" s="4" t="inlineStr">
        <is>
          <t>SO202510158</t>
        </is>
      </c>
      <c r="C66" s="4" t="inlineStr">
        <is>
          <t>温州淼沃餐饮管理有限公司</t>
        </is>
      </c>
      <c r="D66" s="4" t="inlineStr">
        <is>
          <t>川味底料</t>
        </is>
      </c>
      <c r="E66" s="4" t="inlineStr">
        <is>
          <t>1kg</t>
        </is>
      </c>
      <c r="F66" s="18" t="n">
        <v>2370</v>
      </c>
      <c r="G66" s="15" t="n">
        <v>37.93</v>
      </c>
      <c r="H66" s="15" t="n">
        <v>89894.10000000001</v>
      </c>
      <c r="I66" s="4" t="inlineStr">
        <is>
          <t>上海分部</t>
        </is>
      </c>
      <c r="J66" s="4" t="inlineStr">
        <is>
          <t>周涛秀</t>
        </is>
      </c>
    </row>
    <row r="67">
      <c r="A67" s="14" t="n">
        <v>45817</v>
      </c>
      <c r="B67" s="4" t="inlineStr">
        <is>
          <t>SO202510032</t>
        </is>
      </c>
      <c r="C67" s="4" t="inlineStr">
        <is>
          <t>温州百味供应链有限公司</t>
        </is>
      </c>
      <c r="D67" s="4" t="inlineStr">
        <is>
          <t>调味汁</t>
        </is>
      </c>
      <c r="E67" s="4" t="inlineStr">
        <is>
          <t>1kg</t>
        </is>
      </c>
      <c r="F67" s="18" t="n">
        <v>3870</v>
      </c>
      <c r="G67" s="15" t="n">
        <v>64.45</v>
      </c>
      <c r="H67" s="15" t="n">
        <v>249421.5</v>
      </c>
      <c r="I67" s="4" t="inlineStr">
        <is>
          <t>赣皖区域</t>
        </is>
      </c>
      <c r="J67" s="4" t="inlineStr">
        <is>
          <t>杨勇伟</t>
        </is>
      </c>
    </row>
    <row r="68">
      <c r="A68" s="14" t="n">
        <v>45818</v>
      </c>
      <c r="B68" s="4" t="inlineStr">
        <is>
          <t>SO202510021</t>
        </is>
      </c>
      <c r="C68" s="4" t="inlineStr">
        <is>
          <t>南昌优鲜食品有限公司</t>
        </is>
      </c>
      <c r="D68" s="4" t="inlineStr">
        <is>
          <t>复合调味粉</t>
        </is>
      </c>
      <c r="E68" s="4" t="inlineStr">
        <is>
          <t>2.5kg</t>
        </is>
      </c>
      <c r="F68" s="18" t="n">
        <v>2810</v>
      </c>
      <c r="G68" s="15" t="n">
        <v>35.89</v>
      </c>
      <c r="H68" s="15" t="n">
        <v>100850.9</v>
      </c>
      <c r="I68" s="4" t="inlineStr">
        <is>
          <t>江苏分部</t>
        </is>
      </c>
      <c r="J68" s="4" t="inlineStr">
        <is>
          <t>马涛娜</t>
        </is>
      </c>
    </row>
    <row r="69">
      <c r="A69" s="14" t="n">
        <v>45819</v>
      </c>
      <c r="B69" s="4" t="inlineStr">
        <is>
          <t>SO202510113</t>
        </is>
      </c>
      <c r="C69" s="4" t="inlineStr">
        <is>
          <t>无锡百味餐饮管理有限公司</t>
        </is>
      </c>
      <c r="D69" s="4" t="inlineStr">
        <is>
          <t>复合调味粉</t>
        </is>
      </c>
      <c r="E69" s="4" t="inlineStr">
        <is>
          <t>C级</t>
        </is>
      </c>
      <c r="F69" s="18" t="n">
        <v>3520</v>
      </c>
      <c r="G69" s="15" t="n">
        <v>71.92</v>
      </c>
      <c r="H69" s="15" t="n">
        <v>253158.4</v>
      </c>
      <c r="I69" s="4" t="inlineStr">
        <is>
          <t>赣皖区域</t>
        </is>
      </c>
      <c r="J69" s="4" t="inlineStr">
        <is>
          <t>何超英</t>
        </is>
      </c>
    </row>
    <row r="70">
      <c r="A70" s="14" t="n">
        <v>45821</v>
      </c>
      <c r="B70" s="4" t="inlineStr">
        <is>
          <t>SO202510006</t>
        </is>
      </c>
      <c r="C70" s="4" t="inlineStr">
        <is>
          <t>常州优鲜商贸有限公司</t>
        </is>
      </c>
      <c r="D70" s="4" t="inlineStr">
        <is>
          <t>川味底料</t>
        </is>
      </c>
      <c r="E70" s="4" t="inlineStr">
        <is>
          <t>精装</t>
        </is>
      </c>
      <c r="F70" s="18" t="n">
        <v>370</v>
      </c>
      <c r="G70" s="15" t="n">
        <v>16.28</v>
      </c>
      <c r="H70" s="15" t="n">
        <v>6023.6</v>
      </c>
      <c r="I70" s="4" t="inlineStr">
        <is>
          <t>浙江分部</t>
        </is>
      </c>
      <c r="J70" s="4" t="inlineStr">
        <is>
          <t>孙娜芳</t>
        </is>
      </c>
    </row>
    <row r="71">
      <c r="A71" s="14" t="n">
        <v>45824</v>
      </c>
      <c r="B71" s="4" t="inlineStr">
        <is>
          <t>SO202510070</t>
        </is>
      </c>
      <c r="C71" s="4" t="inlineStr">
        <is>
          <t>常州大匠酒店管理集团</t>
        </is>
      </c>
      <c r="D71" s="4" t="inlineStr">
        <is>
          <t>中式汤底</t>
        </is>
      </c>
      <c r="E71" s="4" t="inlineStr">
        <is>
          <t>10kg</t>
        </is>
      </c>
      <c r="F71" s="18" t="n">
        <v>4340</v>
      </c>
      <c r="G71" s="15" t="n">
        <v>140.33</v>
      </c>
      <c r="H71" s="15" t="n">
        <v>609032.2</v>
      </c>
      <c r="I71" s="4" t="inlineStr">
        <is>
          <t>江苏分部</t>
        </is>
      </c>
      <c r="J71" s="4" t="inlineStr">
        <is>
          <t>周英秀</t>
        </is>
      </c>
    </row>
    <row r="72">
      <c r="A72" s="14" t="n">
        <v>45826</v>
      </c>
      <c r="B72" s="4" t="inlineStr">
        <is>
          <t>SO202510086</t>
        </is>
      </c>
      <c r="C72" s="4" t="inlineStr">
        <is>
          <t>上海淼沃超市</t>
        </is>
      </c>
      <c r="D72" s="4" t="inlineStr">
        <is>
          <t>调味汁</t>
        </is>
      </c>
      <c r="E72" s="4" t="inlineStr">
        <is>
          <t>5kg</t>
        </is>
      </c>
      <c r="F72" s="18" t="n">
        <v>2460</v>
      </c>
      <c r="G72" s="15" t="n">
        <v>17.29</v>
      </c>
      <c r="H72" s="15" t="n">
        <v>42533.4</v>
      </c>
      <c r="I72" s="4" t="inlineStr">
        <is>
          <t>江苏分部</t>
        </is>
      </c>
      <c r="J72" s="4" t="inlineStr">
        <is>
          <t>孙兰敏</t>
        </is>
      </c>
    </row>
    <row r="73">
      <c r="A73" s="14" t="n">
        <v>45830</v>
      </c>
      <c r="B73" s="4" t="inlineStr">
        <is>
          <t>SO202510090</t>
        </is>
      </c>
      <c r="C73" s="4" t="inlineStr">
        <is>
          <t>南昌大匠餐饮管理有限公司</t>
        </is>
      </c>
      <c r="D73" s="4" t="inlineStr">
        <is>
          <t>复合调味粉</t>
        </is>
      </c>
      <c r="E73" s="4" t="inlineStr">
        <is>
          <t>2.5kg</t>
        </is>
      </c>
      <c r="F73" s="18" t="n">
        <v>3020</v>
      </c>
      <c r="G73" s="15" t="n">
        <v>92.56999999999999</v>
      </c>
      <c r="H73" s="15" t="n">
        <v>279561.4</v>
      </c>
      <c r="I73" s="4" t="inlineStr">
        <is>
          <t>上海分部</t>
        </is>
      </c>
      <c r="J73" s="4" t="inlineStr">
        <is>
          <t>胡秀芳</t>
        </is>
      </c>
    </row>
    <row r="74">
      <c r="A74" s="14" t="n">
        <v>45831</v>
      </c>
      <c r="B74" s="4" t="inlineStr">
        <is>
          <t>SO202510008</t>
        </is>
      </c>
      <c r="C74" s="4" t="inlineStr">
        <is>
          <t>宁波优鲜供应链有限公司</t>
        </is>
      </c>
      <c r="D74" s="4" t="inlineStr">
        <is>
          <t>团餐</t>
        </is>
      </c>
      <c r="E74" s="4" t="inlineStr">
        <is>
          <t>500g</t>
        </is>
      </c>
      <c r="F74" s="18" t="n">
        <v>1150</v>
      </c>
      <c r="G74" s="15" t="n">
        <v>117.76</v>
      </c>
      <c r="H74" s="15" t="n">
        <v>135424</v>
      </c>
      <c r="I74" s="4" t="inlineStr">
        <is>
          <t>江苏分部</t>
        </is>
      </c>
      <c r="J74" s="4" t="inlineStr">
        <is>
          <t>李兰敏</t>
        </is>
      </c>
    </row>
    <row r="75">
      <c r="A75" s="14" t="n">
        <v>45831</v>
      </c>
      <c r="B75" s="4" t="inlineStr">
        <is>
          <t>SO202510009</t>
        </is>
      </c>
      <c r="C75" s="4" t="inlineStr">
        <is>
          <t>上海京功餐饮管理有限公司</t>
        </is>
      </c>
      <c r="D75" s="4" t="inlineStr">
        <is>
          <t>调味汁</t>
        </is>
      </c>
      <c r="E75" s="4" t="inlineStr">
        <is>
          <t>C级</t>
        </is>
      </c>
      <c r="F75" s="18" t="n">
        <v>4400</v>
      </c>
      <c r="G75" s="15" t="n">
        <v>122.01</v>
      </c>
      <c r="H75" s="15" t="n">
        <v>536844</v>
      </c>
      <c r="I75" s="4" t="inlineStr">
        <is>
          <t>浙江分部</t>
        </is>
      </c>
      <c r="J75" s="4" t="inlineStr">
        <is>
          <t>马杰芳</t>
        </is>
      </c>
    </row>
    <row r="76">
      <c r="A76" s="14" t="n">
        <v>45831</v>
      </c>
      <c r="B76" s="4" t="inlineStr">
        <is>
          <t>SO202510116</t>
        </is>
      </c>
      <c r="C76" s="4" t="inlineStr">
        <is>
          <t>宁波淼沃酒店管理集团</t>
        </is>
      </c>
      <c r="D76" s="4" t="inlineStr">
        <is>
          <t>川味底料</t>
        </is>
      </c>
      <c r="E76" s="4" t="inlineStr">
        <is>
          <t>A级</t>
        </is>
      </c>
      <c r="F76" s="18" t="n">
        <v>4920</v>
      </c>
      <c r="G76" s="15" t="n">
        <v>111.97</v>
      </c>
      <c r="H76" s="15" t="n">
        <v>550892.4</v>
      </c>
      <c r="I76" s="4" t="inlineStr">
        <is>
          <t>上海分部</t>
        </is>
      </c>
      <c r="J76" s="4" t="inlineStr">
        <is>
          <t>孙兰芳</t>
        </is>
      </c>
    </row>
    <row r="77">
      <c r="A77" s="14" t="n">
        <v>45832</v>
      </c>
      <c r="B77" s="4" t="inlineStr">
        <is>
          <t>SO202510107</t>
        </is>
      </c>
      <c r="C77" s="4" t="inlineStr">
        <is>
          <t>宁波食佳商贸有限公司</t>
        </is>
      </c>
      <c r="D77" s="4" t="inlineStr">
        <is>
          <t>团餐</t>
        </is>
      </c>
      <c r="E77" s="4" t="inlineStr">
        <is>
          <t>A级</t>
        </is>
      </c>
      <c r="F77" s="18" t="n">
        <v>490</v>
      </c>
      <c r="G77" s="15" t="n">
        <v>80.41</v>
      </c>
      <c r="H77" s="15" t="n">
        <v>39400.9</v>
      </c>
      <c r="I77" s="4" t="inlineStr">
        <is>
          <t>浙江分部</t>
        </is>
      </c>
      <c r="J77" s="4" t="inlineStr">
        <is>
          <t>朱敏英</t>
        </is>
      </c>
    </row>
    <row r="78">
      <c r="A78" s="14" t="n">
        <v>45833</v>
      </c>
      <c r="B78" s="4" t="inlineStr">
        <is>
          <t>SO202510119</t>
        </is>
      </c>
      <c r="C78" s="4" t="inlineStr">
        <is>
          <t>合肥食佳食品有限公司</t>
        </is>
      </c>
      <c r="D78" s="4" t="inlineStr">
        <is>
          <t>预制菜</t>
        </is>
      </c>
      <c r="E78" s="4" t="inlineStr">
        <is>
          <t>2.5kg</t>
        </is>
      </c>
      <c r="F78" s="18" t="n">
        <v>3500</v>
      </c>
      <c r="G78" s="15" t="n">
        <v>20.24</v>
      </c>
      <c r="H78" s="15" t="n">
        <v>70840</v>
      </c>
      <c r="I78" s="4" t="inlineStr">
        <is>
          <t>赣皖区域</t>
        </is>
      </c>
      <c r="J78" s="4" t="inlineStr">
        <is>
          <t>高勇英</t>
        </is>
      </c>
    </row>
    <row r="79">
      <c r="A79" s="14" t="n">
        <v>45839</v>
      </c>
      <c r="B79" s="4" t="inlineStr">
        <is>
          <t>SO202510047</t>
        </is>
      </c>
      <c r="C79" s="4" t="inlineStr">
        <is>
          <t>南京百味电商平台</t>
        </is>
      </c>
      <c r="D79" s="4" t="inlineStr">
        <is>
          <t>复合调味粉</t>
        </is>
      </c>
      <c r="E79" s="4" t="inlineStr">
        <is>
          <t>5kg</t>
        </is>
      </c>
      <c r="F79" s="18" t="n">
        <v>3820</v>
      </c>
      <c r="G79" s="15" t="n">
        <v>46.88</v>
      </c>
      <c r="H79" s="15" t="n">
        <v>179081.6</v>
      </c>
      <c r="I79" s="4" t="inlineStr">
        <is>
          <t>赣皖区域</t>
        </is>
      </c>
      <c r="J79" s="4" t="inlineStr">
        <is>
          <t>胡秀娜</t>
        </is>
      </c>
    </row>
    <row r="80">
      <c r="A80" s="14" t="n">
        <v>45839</v>
      </c>
      <c r="B80" s="4" t="inlineStr">
        <is>
          <t>SO202510052</t>
        </is>
      </c>
      <c r="C80" s="4" t="inlineStr">
        <is>
          <t>南昌大匠超市</t>
        </is>
      </c>
      <c r="D80" s="4" t="inlineStr">
        <is>
          <t>酱料</t>
        </is>
      </c>
      <c r="E80" s="4" t="inlineStr">
        <is>
          <t>精装</t>
        </is>
      </c>
      <c r="F80" s="18" t="n">
        <v>860</v>
      </c>
      <c r="G80" s="15" t="n">
        <v>70.55</v>
      </c>
      <c r="H80" s="15" t="n">
        <v>60673</v>
      </c>
      <c r="I80" s="4" t="inlineStr">
        <is>
          <t>赣皖区域</t>
        </is>
      </c>
      <c r="J80" s="4" t="inlineStr">
        <is>
          <t>李超伟</t>
        </is>
      </c>
    </row>
    <row r="81">
      <c r="A81" s="14" t="n">
        <v>45841</v>
      </c>
      <c r="B81" s="4" t="inlineStr">
        <is>
          <t>SO202510038</t>
        </is>
      </c>
      <c r="C81" s="4" t="inlineStr">
        <is>
          <t>常州食佳超市</t>
        </is>
      </c>
      <c r="D81" s="4" t="inlineStr">
        <is>
          <t>川味底料</t>
        </is>
      </c>
      <c r="E81" s="4" t="inlineStr">
        <is>
          <t>C级</t>
        </is>
      </c>
      <c r="F81" s="18" t="n">
        <v>720</v>
      </c>
      <c r="G81" s="15" t="n">
        <v>77.89</v>
      </c>
      <c r="H81" s="15" t="n">
        <v>56080.8</v>
      </c>
      <c r="I81" s="4" t="inlineStr">
        <is>
          <t>江苏分部</t>
        </is>
      </c>
      <c r="J81" s="4" t="inlineStr">
        <is>
          <t>吴磊娜</t>
        </is>
      </c>
    </row>
    <row r="82">
      <c r="A82" s="14" t="n">
        <v>45841</v>
      </c>
      <c r="B82" s="4" t="inlineStr">
        <is>
          <t>SO202510160</t>
        </is>
      </c>
      <c r="C82" s="4" t="inlineStr">
        <is>
          <t>温州百味供应链有限公司</t>
        </is>
      </c>
      <c r="D82" s="4" t="inlineStr">
        <is>
          <t>酱料</t>
        </is>
      </c>
      <c r="E82" s="4" t="inlineStr">
        <is>
          <t>C级</t>
        </is>
      </c>
      <c r="F82" s="18" t="n">
        <v>4640</v>
      </c>
      <c r="G82" s="15" t="n">
        <v>99.91</v>
      </c>
      <c r="H82" s="15" t="n">
        <v>463582.4</v>
      </c>
      <c r="I82" s="4" t="inlineStr">
        <is>
          <t>赣皖区域</t>
        </is>
      </c>
      <c r="J82" s="4" t="inlineStr">
        <is>
          <t>陈超娜</t>
        </is>
      </c>
    </row>
    <row r="83">
      <c r="A83" s="14" t="n">
        <v>45842</v>
      </c>
      <c r="B83" s="4" t="inlineStr">
        <is>
          <t>SO202510133</t>
        </is>
      </c>
      <c r="C83" s="4" t="inlineStr">
        <is>
          <t>上海京功酒店管理集团</t>
        </is>
      </c>
      <c r="D83" s="4" t="inlineStr">
        <is>
          <t>团餐</t>
        </is>
      </c>
      <c r="E83" s="4" t="inlineStr">
        <is>
          <t>1kg</t>
        </is>
      </c>
      <c r="F83" s="18" t="n">
        <v>3270</v>
      </c>
      <c r="G83" s="15" t="n">
        <v>138.14</v>
      </c>
      <c r="H83" s="15" t="n">
        <v>451717.8</v>
      </c>
      <c r="I83" s="4" t="inlineStr">
        <is>
          <t>浙江分部</t>
        </is>
      </c>
      <c r="J83" s="4" t="inlineStr">
        <is>
          <t>张涛英</t>
        </is>
      </c>
    </row>
    <row r="84">
      <c r="A84" s="14" t="n">
        <v>45844</v>
      </c>
      <c r="B84" s="4" t="inlineStr">
        <is>
          <t>SO202510101</t>
        </is>
      </c>
      <c r="C84" s="4" t="inlineStr">
        <is>
          <t>杭州京功餐饮管理有限公司</t>
        </is>
      </c>
      <c r="D84" s="4" t="inlineStr">
        <is>
          <t>酱料</t>
        </is>
      </c>
      <c r="E84" s="4" t="inlineStr">
        <is>
          <t>特级</t>
        </is>
      </c>
      <c r="F84" s="18" t="n">
        <v>3540</v>
      </c>
      <c r="G84" s="15" t="n">
        <v>11.43</v>
      </c>
      <c r="H84" s="15" t="n">
        <v>40462.2</v>
      </c>
      <c r="I84" s="4" t="inlineStr">
        <is>
          <t>上海分部</t>
        </is>
      </c>
      <c r="J84" s="4" t="inlineStr">
        <is>
          <t>胡英芳</t>
        </is>
      </c>
    </row>
    <row r="85">
      <c r="A85" s="14" t="n">
        <v>45845</v>
      </c>
      <c r="B85" s="4" t="inlineStr">
        <is>
          <t>SO202510030</t>
        </is>
      </c>
      <c r="C85" s="4" t="inlineStr">
        <is>
          <t>宁波食佳商贸有限公司</t>
        </is>
      </c>
      <c r="D85" s="4" t="inlineStr">
        <is>
          <t>中式汤底</t>
        </is>
      </c>
      <c r="E85" s="4" t="inlineStr">
        <is>
          <t>A级</t>
        </is>
      </c>
      <c r="F85" s="18" t="n">
        <v>1040</v>
      </c>
      <c r="G85" s="15" t="n">
        <v>128.54</v>
      </c>
      <c r="H85" s="15" t="n">
        <v>133681.6</v>
      </c>
      <c r="I85" s="4" t="inlineStr">
        <is>
          <t>江苏分部</t>
        </is>
      </c>
      <c r="J85" s="4" t="inlineStr">
        <is>
          <t>黄芳伟</t>
        </is>
      </c>
    </row>
    <row r="86">
      <c r="A86" s="14" t="n">
        <v>45846</v>
      </c>
      <c r="B86" s="4" t="inlineStr">
        <is>
          <t>SO202510053</t>
        </is>
      </c>
      <c r="C86" s="4" t="inlineStr">
        <is>
          <t>苏州食佳食品有限公司</t>
        </is>
      </c>
      <c r="D86" s="4" t="inlineStr">
        <is>
          <t>中式汤底</t>
        </is>
      </c>
      <c r="E86" s="4" t="inlineStr">
        <is>
          <t>精装</t>
        </is>
      </c>
      <c r="F86" s="18" t="n">
        <v>3510</v>
      </c>
      <c r="G86" s="15" t="n">
        <v>134.5</v>
      </c>
      <c r="H86" s="15" t="n">
        <v>472095</v>
      </c>
      <c r="I86" s="4" t="inlineStr">
        <is>
          <t>上海分部</t>
        </is>
      </c>
      <c r="J86" s="4" t="inlineStr">
        <is>
          <t>罗艳敏</t>
        </is>
      </c>
    </row>
    <row r="87">
      <c r="A87" s="14" t="n">
        <v>45847</v>
      </c>
      <c r="B87" s="4" t="inlineStr">
        <is>
          <t>SO202510106</t>
        </is>
      </c>
      <c r="C87" s="4" t="inlineStr">
        <is>
          <t>嘉兴优鲜供应链有限公司</t>
        </is>
      </c>
      <c r="D87" s="4" t="inlineStr">
        <is>
          <t>复合调味粉</t>
        </is>
      </c>
      <c r="E87" s="4" t="inlineStr">
        <is>
          <t>A级</t>
        </is>
      </c>
      <c r="F87" s="18" t="n">
        <v>2380</v>
      </c>
      <c r="G87" s="15" t="n">
        <v>4.67</v>
      </c>
      <c r="H87" s="15" t="n">
        <v>11114.6</v>
      </c>
      <c r="I87" s="4" t="inlineStr">
        <is>
          <t>江苏分部</t>
        </is>
      </c>
      <c r="J87" s="4" t="inlineStr">
        <is>
          <t>吴洋英</t>
        </is>
      </c>
    </row>
    <row r="88">
      <c r="A88" s="14" t="n">
        <v>45848</v>
      </c>
      <c r="B88" s="4" t="inlineStr">
        <is>
          <t>SO202510002</t>
        </is>
      </c>
      <c r="C88" s="4" t="inlineStr">
        <is>
          <t>宁波百味电商平台</t>
        </is>
      </c>
      <c r="D88" s="4" t="inlineStr">
        <is>
          <t>中式汤底</t>
        </is>
      </c>
      <c r="E88" s="4" t="inlineStr">
        <is>
          <t>2.5kg</t>
        </is>
      </c>
      <c r="F88" s="18" t="n">
        <v>4330</v>
      </c>
      <c r="G88" s="15" t="n">
        <v>31.88</v>
      </c>
      <c r="H88" s="15" t="n">
        <v>138040.4</v>
      </c>
      <c r="I88" s="4" t="inlineStr">
        <is>
          <t>上海分部</t>
        </is>
      </c>
      <c r="J88" s="4" t="inlineStr">
        <is>
          <t>周伟敏</t>
        </is>
      </c>
    </row>
    <row r="89">
      <c r="A89" s="14" t="n">
        <v>45848</v>
      </c>
      <c r="B89" s="4" t="inlineStr">
        <is>
          <t>SO202510023</t>
        </is>
      </c>
      <c r="C89" s="4" t="inlineStr">
        <is>
          <t>嘉兴优鲜供应链有限公司</t>
        </is>
      </c>
      <c r="D89" s="4" t="inlineStr">
        <is>
          <t>川味底料</t>
        </is>
      </c>
      <c r="E89" s="4" t="inlineStr">
        <is>
          <t>特级</t>
        </is>
      </c>
      <c r="F89" s="18" t="n">
        <v>2210</v>
      </c>
      <c r="G89" s="15" t="n">
        <v>11.09</v>
      </c>
      <c r="H89" s="15" t="n">
        <v>24508.9</v>
      </c>
      <c r="I89" s="4" t="inlineStr">
        <is>
          <t>江苏分部</t>
        </is>
      </c>
      <c r="J89" s="4" t="inlineStr">
        <is>
          <t>马静娜</t>
        </is>
      </c>
    </row>
    <row r="90">
      <c r="A90" s="14" t="n">
        <v>45848</v>
      </c>
      <c r="B90" s="4" t="inlineStr">
        <is>
          <t>SO202510069</t>
        </is>
      </c>
      <c r="C90" s="4" t="inlineStr">
        <is>
          <t>温州食佳酒店管理集团</t>
        </is>
      </c>
      <c r="D90" s="4" t="inlineStr">
        <is>
          <t>调味汁</t>
        </is>
      </c>
      <c r="E90" s="4" t="inlineStr">
        <is>
          <t>标准</t>
        </is>
      </c>
      <c r="F90" s="18" t="n">
        <v>1070</v>
      </c>
      <c r="G90" s="15" t="n">
        <v>131.86</v>
      </c>
      <c r="H90" s="15" t="n">
        <v>141090.2</v>
      </c>
      <c r="I90" s="4" t="inlineStr">
        <is>
          <t>上海分部</t>
        </is>
      </c>
      <c r="J90" s="4" t="inlineStr">
        <is>
          <t>胡伟伟</t>
        </is>
      </c>
    </row>
    <row r="91">
      <c r="A91" s="14" t="n">
        <v>45849</v>
      </c>
      <c r="B91" s="4" t="inlineStr">
        <is>
          <t>SO202510025</t>
        </is>
      </c>
      <c r="C91" s="4" t="inlineStr">
        <is>
          <t>南昌百味酒店管理集团</t>
        </is>
      </c>
      <c r="D91" s="4" t="inlineStr">
        <is>
          <t>预制菜</t>
        </is>
      </c>
      <c r="E91" s="4" t="inlineStr">
        <is>
          <t>5kg</t>
        </is>
      </c>
      <c r="F91" s="18" t="n">
        <v>4050</v>
      </c>
      <c r="G91" s="15" t="n">
        <v>37.37</v>
      </c>
      <c r="H91" s="15" t="n">
        <v>151348.5</v>
      </c>
      <c r="I91" s="4" t="inlineStr">
        <is>
          <t>浙江分部</t>
        </is>
      </c>
      <c r="J91" s="4" t="inlineStr">
        <is>
          <t>林丽伟</t>
        </is>
      </c>
    </row>
    <row r="92">
      <c r="A92" s="14" t="n">
        <v>45851</v>
      </c>
      <c r="B92" s="4" t="inlineStr">
        <is>
          <t>SO202510022</t>
        </is>
      </c>
      <c r="C92" s="4" t="inlineStr">
        <is>
          <t>南昌京功超市</t>
        </is>
      </c>
      <c r="D92" s="4" t="inlineStr">
        <is>
          <t>复合调味粉</t>
        </is>
      </c>
      <c r="E92" s="4" t="inlineStr">
        <is>
          <t>B级</t>
        </is>
      </c>
      <c r="F92" s="18" t="n">
        <v>2640</v>
      </c>
      <c r="G92" s="15" t="n">
        <v>116.82</v>
      </c>
      <c r="H92" s="15" t="n">
        <v>308404.8</v>
      </c>
      <c r="I92" s="4" t="inlineStr">
        <is>
          <t>江苏分部</t>
        </is>
      </c>
      <c r="J92" s="4" t="inlineStr">
        <is>
          <t>何洋秀</t>
        </is>
      </c>
    </row>
    <row r="93">
      <c r="A93" s="14" t="n">
        <v>45855</v>
      </c>
      <c r="B93" s="4" t="inlineStr">
        <is>
          <t>SO202510016</t>
        </is>
      </c>
      <c r="C93" s="4" t="inlineStr">
        <is>
          <t>上海食佳食品有限公司</t>
        </is>
      </c>
      <c r="D93" s="4" t="inlineStr">
        <is>
          <t>调味汁</t>
        </is>
      </c>
      <c r="E93" s="4" t="inlineStr">
        <is>
          <t>A级</t>
        </is>
      </c>
      <c r="F93" s="18" t="n">
        <v>3630</v>
      </c>
      <c r="G93" s="15" t="n">
        <v>87.56</v>
      </c>
      <c r="H93" s="15" t="n">
        <v>317842.8</v>
      </c>
      <c r="I93" s="4" t="inlineStr">
        <is>
          <t>上海分部</t>
        </is>
      </c>
      <c r="J93" s="4" t="inlineStr">
        <is>
          <t>孙杰英</t>
        </is>
      </c>
    </row>
    <row r="94">
      <c r="A94" s="14" t="n">
        <v>45856</v>
      </c>
      <c r="B94" s="4" t="inlineStr">
        <is>
          <t>SO202510044</t>
        </is>
      </c>
      <c r="C94" s="4" t="inlineStr">
        <is>
          <t>宁波京功食品有限公司</t>
        </is>
      </c>
      <c r="D94" s="4" t="inlineStr">
        <is>
          <t>复合调味粉</t>
        </is>
      </c>
      <c r="E94" s="4" t="inlineStr">
        <is>
          <t>标准</t>
        </is>
      </c>
      <c r="F94" s="18" t="n">
        <v>3430</v>
      </c>
      <c r="G94" s="15" t="n">
        <v>125.22</v>
      </c>
      <c r="H94" s="15" t="n">
        <v>429504.6</v>
      </c>
      <c r="I94" s="4" t="inlineStr">
        <is>
          <t>江苏分部</t>
        </is>
      </c>
      <c r="J94" s="4" t="inlineStr">
        <is>
          <t>黄强伟</t>
        </is>
      </c>
    </row>
    <row r="95">
      <c r="A95" s="14" t="n">
        <v>45856</v>
      </c>
      <c r="B95" s="4" t="inlineStr">
        <is>
          <t>SO202510143</t>
        </is>
      </c>
      <c r="C95" s="4" t="inlineStr">
        <is>
          <t>南京优鲜超市</t>
        </is>
      </c>
      <c r="D95" s="4" t="inlineStr">
        <is>
          <t>团餐</t>
        </is>
      </c>
      <c r="E95" s="4" t="inlineStr">
        <is>
          <t>2.5kg</t>
        </is>
      </c>
      <c r="F95" s="18" t="n">
        <v>1810</v>
      </c>
      <c r="G95" s="15" t="n">
        <v>42.74</v>
      </c>
      <c r="H95" s="15" t="n">
        <v>77359.39999999999</v>
      </c>
      <c r="I95" s="4" t="inlineStr">
        <is>
          <t>上海分部</t>
        </is>
      </c>
      <c r="J95" s="4" t="inlineStr">
        <is>
          <t>孙洋娜</t>
        </is>
      </c>
    </row>
    <row r="96">
      <c r="A96" s="14" t="n">
        <v>45857</v>
      </c>
      <c r="B96" s="4" t="inlineStr">
        <is>
          <t>SO202510134</t>
        </is>
      </c>
      <c r="C96" s="4" t="inlineStr">
        <is>
          <t>镇江食佳酒店管理集团</t>
        </is>
      </c>
      <c r="D96" s="4" t="inlineStr">
        <is>
          <t>酱料</t>
        </is>
      </c>
      <c r="E96" s="4" t="inlineStr">
        <is>
          <t>特级</t>
        </is>
      </c>
      <c r="F96" s="18" t="n">
        <v>770</v>
      </c>
      <c r="G96" s="15" t="n">
        <v>33.76</v>
      </c>
      <c r="H96" s="15" t="n">
        <v>25995.2</v>
      </c>
      <c r="I96" s="4" t="inlineStr">
        <is>
          <t>浙江分部</t>
        </is>
      </c>
      <c r="J96" s="4" t="inlineStr">
        <is>
          <t>徐磊伟</t>
        </is>
      </c>
    </row>
    <row r="97">
      <c r="A97" s="14" t="n">
        <v>45857</v>
      </c>
      <c r="B97" s="4" t="inlineStr">
        <is>
          <t>SO202510135</t>
        </is>
      </c>
      <c r="C97" s="4" t="inlineStr">
        <is>
          <t>温州淼沃超市</t>
        </is>
      </c>
      <c r="D97" s="4" t="inlineStr">
        <is>
          <t>复合调味粉</t>
        </is>
      </c>
      <c r="E97" s="4" t="inlineStr">
        <is>
          <t>B级</t>
        </is>
      </c>
      <c r="F97" s="18" t="n">
        <v>3100</v>
      </c>
      <c r="G97" s="15" t="n">
        <v>57.05</v>
      </c>
      <c r="H97" s="15" t="n">
        <v>176855</v>
      </c>
      <c r="I97" s="4" t="inlineStr">
        <is>
          <t>浙江分部</t>
        </is>
      </c>
      <c r="J97" s="4" t="inlineStr">
        <is>
          <t>王敏芳</t>
        </is>
      </c>
    </row>
    <row r="98">
      <c r="A98" s="14" t="n">
        <v>45859</v>
      </c>
      <c r="B98" s="4" t="inlineStr">
        <is>
          <t>SO202510148</t>
        </is>
      </c>
      <c r="C98" s="4" t="inlineStr">
        <is>
          <t>苏州淼沃超市</t>
        </is>
      </c>
      <c r="D98" s="4" t="inlineStr">
        <is>
          <t>调味汁</t>
        </is>
      </c>
      <c r="E98" s="4" t="inlineStr">
        <is>
          <t>A级</t>
        </is>
      </c>
      <c r="F98" s="18" t="n">
        <v>130</v>
      </c>
      <c r="G98" s="15" t="n">
        <v>147.16</v>
      </c>
      <c r="H98" s="15" t="n">
        <v>19130.8</v>
      </c>
      <c r="I98" s="4" t="inlineStr">
        <is>
          <t>浙江分部</t>
        </is>
      </c>
      <c r="J98" s="4" t="inlineStr">
        <is>
          <t>赵敏伟</t>
        </is>
      </c>
    </row>
    <row r="99">
      <c r="A99" s="14" t="n">
        <v>45861</v>
      </c>
      <c r="B99" s="4" t="inlineStr">
        <is>
          <t>SO202510104</t>
        </is>
      </c>
      <c r="C99" s="4" t="inlineStr">
        <is>
          <t>合肥百味供应链有限公司</t>
        </is>
      </c>
      <c r="D99" s="4" t="inlineStr">
        <is>
          <t>调味汁</t>
        </is>
      </c>
      <c r="E99" s="4" t="inlineStr">
        <is>
          <t>5kg</t>
        </is>
      </c>
      <c r="F99" s="18" t="n">
        <v>1140</v>
      </c>
      <c r="G99" s="15" t="n">
        <v>23.34</v>
      </c>
      <c r="H99" s="15" t="n">
        <v>26607.6</v>
      </c>
      <c r="I99" s="4" t="inlineStr">
        <is>
          <t>上海分部</t>
        </is>
      </c>
      <c r="J99" s="4" t="inlineStr">
        <is>
          <t>何涛敏</t>
        </is>
      </c>
    </row>
    <row r="100">
      <c r="A100" s="14" t="n">
        <v>45862</v>
      </c>
      <c r="B100" s="4" t="inlineStr">
        <is>
          <t>SO202510089</t>
        </is>
      </c>
      <c r="C100" s="4" t="inlineStr">
        <is>
          <t>上海优鲜供应链有限公司</t>
        </is>
      </c>
      <c r="D100" s="4" t="inlineStr">
        <is>
          <t>中式汤底</t>
        </is>
      </c>
      <c r="E100" s="4" t="inlineStr">
        <is>
          <t>C级</t>
        </is>
      </c>
      <c r="F100" s="18" t="n">
        <v>1110</v>
      </c>
      <c r="G100" s="15" t="n">
        <v>26.74</v>
      </c>
      <c r="H100" s="15" t="n">
        <v>29681.4</v>
      </c>
      <c r="I100" s="4" t="inlineStr">
        <is>
          <t>上海分部</t>
        </is>
      </c>
      <c r="J100" s="4" t="inlineStr">
        <is>
          <t>李超伟</t>
        </is>
      </c>
    </row>
    <row r="101">
      <c r="A101" s="14" t="n">
        <v>45864</v>
      </c>
      <c r="B101" s="4" t="inlineStr">
        <is>
          <t>SO202510054</t>
        </is>
      </c>
      <c r="C101" s="4" t="inlineStr">
        <is>
          <t>合肥百味食品有限公司</t>
        </is>
      </c>
      <c r="D101" s="4" t="inlineStr">
        <is>
          <t>中式汤底</t>
        </is>
      </c>
      <c r="E101" s="4" t="inlineStr">
        <is>
          <t>标准</t>
        </is>
      </c>
      <c r="F101" s="18" t="n">
        <v>850</v>
      </c>
      <c r="G101" s="15" t="n">
        <v>54.25</v>
      </c>
      <c r="H101" s="15" t="n">
        <v>46112.5</v>
      </c>
      <c r="I101" s="4" t="inlineStr">
        <is>
          <t>赣皖区域</t>
        </is>
      </c>
      <c r="J101" s="4" t="inlineStr">
        <is>
          <t>吴伟伟</t>
        </is>
      </c>
    </row>
    <row r="102">
      <c r="A102" s="14" t="n">
        <v>45864</v>
      </c>
      <c r="B102" s="4" t="inlineStr">
        <is>
          <t>SO202510138</t>
        </is>
      </c>
      <c r="C102" s="4" t="inlineStr">
        <is>
          <t>常州淼沃商贸有限公司</t>
        </is>
      </c>
      <c r="D102" s="4" t="inlineStr">
        <is>
          <t>复合调味粉</t>
        </is>
      </c>
      <c r="E102" s="4" t="inlineStr">
        <is>
          <t>精装</t>
        </is>
      </c>
      <c r="F102" s="18" t="n">
        <v>1690</v>
      </c>
      <c r="G102" s="15" t="n">
        <v>142.25</v>
      </c>
      <c r="H102" s="15" t="n">
        <v>240402.5</v>
      </c>
      <c r="I102" s="4" t="inlineStr">
        <is>
          <t>赣皖区域</t>
        </is>
      </c>
      <c r="J102" s="4" t="inlineStr">
        <is>
          <t>孙洋娜</t>
        </is>
      </c>
    </row>
    <row r="103">
      <c r="A103" s="14" t="n">
        <v>45866</v>
      </c>
      <c r="B103" s="4" t="inlineStr">
        <is>
          <t>SO202510081</t>
        </is>
      </c>
      <c r="C103" s="4" t="inlineStr">
        <is>
          <t>杭州大匠商贸有限公司</t>
        </is>
      </c>
      <c r="D103" s="4" t="inlineStr">
        <is>
          <t>调味汁</t>
        </is>
      </c>
      <c r="E103" s="4" t="inlineStr">
        <is>
          <t>2.5kg</t>
        </is>
      </c>
      <c r="F103" s="18" t="n">
        <v>2230</v>
      </c>
      <c r="G103" s="15" t="n">
        <v>46.73</v>
      </c>
      <c r="H103" s="15" t="n">
        <v>104207.9</v>
      </c>
      <c r="I103" s="4" t="inlineStr">
        <is>
          <t>浙江分部</t>
        </is>
      </c>
      <c r="J103" s="4" t="inlineStr">
        <is>
          <t>高娜敏</t>
        </is>
      </c>
    </row>
    <row r="104">
      <c r="A104" s="14" t="n">
        <v>45872</v>
      </c>
      <c r="B104" s="4" t="inlineStr">
        <is>
          <t>SO202510152</t>
        </is>
      </c>
      <c r="C104" s="4" t="inlineStr">
        <is>
          <t>南京京功电商平台</t>
        </is>
      </c>
      <c r="D104" s="4" t="inlineStr">
        <is>
          <t>酱料</t>
        </is>
      </c>
      <c r="E104" s="4" t="inlineStr">
        <is>
          <t>1kg</t>
        </is>
      </c>
      <c r="F104" s="18" t="n">
        <v>890</v>
      </c>
      <c r="G104" s="15" t="n">
        <v>147.46</v>
      </c>
      <c r="H104" s="15" t="n">
        <v>131239.4</v>
      </c>
      <c r="I104" s="4" t="inlineStr">
        <is>
          <t>浙江分部</t>
        </is>
      </c>
      <c r="J104" s="4" t="inlineStr">
        <is>
          <t>何英芳</t>
        </is>
      </c>
    </row>
    <row r="105">
      <c r="A105" s="14" t="n">
        <v>45874</v>
      </c>
      <c r="B105" s="4" t="inlineStr">
        <is>
          <t>SO202510019</t>
        </is>
      </c>
      <c r="C105" s="4" t="inlineStr">
        <is>
          <t>上海优鲜餐饮管理有限公司</t>
        </is>
      </c>
      <c r="D105" s="4" t="inlineStr">
        <is>
          <t>团餐</t>
        </is>
      </c>
      <c r="E105" s="4" t="inlineStr">
        <is>
          <t>特级</t>
        </is>
      </c>
      <c r="F105" s="18" t="n">
        <v>990</v>
      </c>
      <c r="G105" s="15" t="n">
        <v>75.45999999999999</v>
      </c>
      <c r="H105" s="15" t="n">
        <v>74705.39999999999</v>
      </c>
      <c r="I105" s="4" t="inlineStr">
        <is>
          <t>江苏分部</t>
        </is>
      </c>
      <c r="J105" s="4" t="inlineStr">
        <is>
          <t>张娟英</t>
        </is>
      </c>
    </row>
    <row r="106">
      <c r="A106" s="14" t="n">
        <v>45874</v>
      </c>
      <c r="B106" s="4" t="inlineStr">
        <is>
          <t>SO202510076</t>
        </is>
      </c>
      <c r="C106" s="4" t="inlineStr">
        <is>
          <t>苏州优鲜食品有限公司</t>
        </is>
      </c>
      <c r="D106" s="4" t="inlineStr">
        <is>
          <t>酱料</t>
        </is>
      </c>
      <c r="E106" s="4" t="inlineStr">
        <is>
          <t>500g</t>
        </is>
      </c>
      <c r="F106" s="18" t="n">
        <v>3460</v>
      </c>
      <c r="G106" s="15" t="n">
        <v>149.42</v>
      </c>
      <c r="H106" s="15" t="n">
        <v>516993.2</v>
      </c>
      <c r="I106" s="4" t="inlineStr">
        <is>
          <t>赣皖区域</t>
        </is>
      </c>
      <c r="J106" s="4" t="inlineStr">
        <is>
          <t>周明伟</t>
        </is>
      </c>
    </row>
    <row r="107">
      <c r="A107" s="14" t="n">
        <v>45878</v>
      </c>
      <c r="B107" s="4" t="inlineStr">
        <is>
          <t>SO202510050</t>
        </is>
      </c>
      <c r="C107" s="4" t="inlineStr">
        <is>
          <t>常州百味供应链有限公司</t>
        </is>
      </c>
      <c r="D107" s="4" t="inlineStr">
        <is>
          <t>川味底料</t>
        </is>
      </c>
      <c r="E107" s="4" t="inlineStr">
        <is>
          <t>特级</t>
        </is>
      </c>
      <c r="F107" s="18" t="n">
        <v>3170</v>
      </c>
      <c r="G107" s="15" t="n">
        <v>101.87</v>
      </c>
      <c r="H107" s="15" t="n">
        <v>322927.9</v>
      </c>
      <c r="I107" s="4" t="inlineStr">
        <is>
          <t>江苏分部</t>
        </is>
      </c>
      <c r="J107" s="4" t="inlineStr">
        <is>
          <t>张兰芳</t>
        </is>
      </c>
    </row>
    <row r="108">
      <c r="A108" s="14" t="n">
        <v>45878</v>
      </c>
      <c r="B108" s="4" t="inlineStr">
        <is>
          <t>SO202510060</t>
        </is>
      </c>
      <c r="C108" s="4" t="inlineStr">
        <is>
          <t>嘉兴优鲜供应链有限公司</t>
        </is>
      </c>
      <c r="D108" s="4" t="inlineStr">
        <is>
          <t>酱料</t>
        </is>
      </c>
      <c r="E108" s="4" t="inlineStr">
        <is>
          <t>精装</t>
        </is>
      </c>
      <c r="F108" s="18" t="n">
        <v>1190</v>
      </c>
      <c r="G108" s="15" t="n">
        <v>40.39</v>
      </c>
      <c r="H108" s="15" t="n">
        <v>48064.1</v>
      </c>
      <c r="I108" s="4" t="inlineStr">
        <is>
          <t>上海分部</t>
        </is>
      </c>
      <c r="J108" s="4" t="inlineStr">
        <is>
          <t>高杰敏</t>
        </is>
      </c>
    </row>
    <row r="109">
      <c r="A109" s="14" t="n">
        <v>45880</v>
      </c>
      <c r="B109" s="4" t="inlineStr">
        <is>
          <t>SO202510103</t>
        </is>
      </c>
      <c r="C109" s="4" t="inlineStr">
        <is>
          <t>合肥食佳电商平台</t>
        </is>
      </c>
      <c r="D109" s="4" t="inlineStr">
        <is>
          <t>预制菜</t>
        </is>
      </c>
      <c r="E109" s="4" t="inlineStr">
        <is>
          <t>2.5kg</t>
        </is>
      </c>
      <c r="F109" s="18" t="n">
        <v>1050</v>
      </c>
      <c r="G109" s="15" t="n">
        <v>93.59</v>
      </c>
      <c r="H109" s="15" t="n">
        <v>98269.5</v>
      </c>
      <c r="I109" s="4" t="inlineStr">
        <is>
          <t>江苏分部</t>
        </is>
      </c>
      <c r="J109" s="4" t="inlineStr">
        <is>
          <t>陈超伟</t>
        </is>
      </c>
    </row>
    <row r="110">
      <c r="A110" s="14" t="n">
        <v>45886</v>
      </c>
      <c r="B110" s="4" t="inlineStr">
        <is>
          <t>SO202510131</t>
        </is>
      </c>
      <c r="C110" s="4" t="inlineStr">
        <is>
          <t>南昌百味超市</t>
        </is>
      </c>
      <c r="D110" s="4" t="inlineStr">
        <is>
          <t>预制菜</t>
        </is>
      </c>
      <c r="E110" s="4" t="inlineStr">
        <is>
          <t>500g</t>
        </is>
      </c>
      <c r="F110" s="18" t="n">
        <v>1150</v>
      </c>
      <c r="G110" s="15" t="n">
        <v>147.82</v>
      </c>
      <c r="H110" s="15" t="n">
        <v>169993</v>
      </c>
      <c r="I110" s="4" t="inlineStr">
        <is>
          <t>上海分部</t>
        </is>
      </c>
      <c r="J110" s="4" t="inlineStr">
        <is>
          <t>何娜秀</t>
        </is>
      </c>
    </row>
    <row r="111">
      <c r="A111" s="14" t="n">
        <v>45888</v>
      </c>
      <c r="B111" s="4" t="inlineStr">
        <is>
          <t>SO202510118</t>
        </is>
      </c>
      <c r="C111" s="4" t="inlineStr">
        <is>
          <t>镇江优鲜超市</t>
        </is>
      </c>
      <c r="D111" s="4" t="inlineStr">
        <is>
          <t>预制菜</t>
        </is>
      </c>
      <c r="E111" s="4" t="inlineStr">
        <is>
          <t>500g</t>
        </is>
      </c>
      <c r="F111" s="18" t="n">
        <v>2810</v>
      </c>
      <c r="G111" s="15" t="n">
        <v>38.87</v>
      </c>
      <c r="H111" s="15" t="n">
        <v>109224.7</v>
      </c>
      <c r="I111" s="4" t="inlineStr">
        <is>
          <t>上海分部</t>
        </is>
      </c>
      <c r="J111" s="4" t="inlineStr">
        <is>
          <t>胡杰芳</t>
        </is>
      </c>
    </row>
    <row r="112">
      <c r="A112" s="14" t="n">
        <v>45893</v>
      </c>
      <c r="B112" s="4" t="inlineStr">
        <is>
          <t>SO202510154</t>
        </is>
      </c>
      <c r="C112" s="4" t="inlineStr">
        <is>
          <t>无锡大匠供应链有限公司</t>
        </is>
      </c>
      <c r="D112" s="4" t="inlineStr">
        <is>
          <t>复合调味粉</t>
        </is>
      </c>
      <c r="E112" s="4" t="inlineStr">
        <is>
          <t>C级</t>
        </is>
      </c>
      <c r="F112" s="18" t="n">
        <v>2750</v>
      </c>
      <c r="G112" s="15" t="n">
        <v>142.71</v>
      </c>
      <c r="H112" s="15" t="n">
        <v>392452.5</v>
      </c>
      <c r="I112" s="4" t="inlineStr">
        <is>
          <t>浙江分部</t>
        </is>
      </c>
      <c r="J112" s="4" t="inlineStr">
        <is>
          <t>王艳芳</t>
        </is>
      </c>
    </row>
    <row r="113">
      <c r="A113" s="14" t="n">
        <v>45897</v>
      </c>
      <c r="B113" s="4" t="inlineStr">
        <is>
          <t>SO202510091</t>
        </is>
      </c>
      <c r="C113" s="4" t="inlineStr">
        <is>
          <t>苏州淼沃供应链有限公司</t>
        </is>
      </c>
      <c r="D113" s="4" t="inlineStr">
        <is>
          <t>复合调味粉</t>
        </is>
      </c>
      <c r="E113" s="4" t="inlineStr">
        <is>
          <t>500g</t>
        </is>
      </c>
      <c r="F113" s="18" t="n">
        <v>1620</v>
      </c>
      <c r="G113" s="15" t="n">
        <v>123.13</v>
      </c>
      <c r="H113" s="15" t="n">
        <v>199470.6</v>
      </c>
      <c r="I113" s="4" t="inlineStr">
        <is>
          <t>上海分部</t>
        </is>
      </c>
      <c r="J113" s="4" t="inlineStr">
        <is>
          <t>陈强敏</t>
        </is>
      </c>
    </row>
    <row r="114">
      <c r="A114" s="14" t="n">
        <v>45902</v>
      </c>
      <c r="B114" s="4" t="inlineStr">
        <is>
          <t>SO202510018</t>
        </is>
      </c>
      <c r="C114" s="4" t="inlineStr">
        <is>
          <t>镇江大匠餐饮管理有限公司</t>
        </is>
      </c>
      <c r="D114" s="4" t="inlineStr">
        <is>
          <t>中式汤底</t>
        </is>
      </c>
      <c r="E114" s="4" t="inlineStr">
        <is>
          <t>5kg</t>
        </is>
      </c>
      <c r="F114" s="18" t="n">
        <v>2460</v>
      </c>
      <c r="G114" s="15" t="n">
        <v>152.08</v>
      </c>
      <c r="H114" s="15" t="n">
        <v>374116.8</v>
      </c>
      <c r="I114" s="4" t="inlineStr">
        <is>
          <t>上海分部</t>
        </is>
      </c>
      <c r="J114" s="4" t="inlineStr">
        <is>
          <t>张超伟</t>
        </is>
      </c>
    </row>
    <row r="115">
      <c r="A115" s="14" t="n">
        <v>45902</v>
      </c>
      <c r="B115" s="4" t="inlineStr">
        <is>
          <t>SO202510024</t>
        </is>
      </c>
      <c r="C115" s="4" t="inlineStr">
        <is>
          <t>常州京功商贸有限公司</t>
        </is>
      </c>
      <c r="D115" s="4" t="inlineStr">
        <is>
          <t>团餐</t>
        </is>
      </c>
      <c r="E115" s="4" t="inlineStr">
        <is>
          <t>1kg</t>
        </is>
      </c>
      <c r="F115" s="18" t="n">
        <v>3360</v>
      </c>
      <c r="G115" s="15" t="n">
        <v>72.47</v>
      </c>
      <c r="H115" s="15" t="n">
        <v>243499.2</v>
      </c>
      <c r="I115" s="4" t="inlineStr">
        <is>
          <t>上海分部</t>
        </is>
      </c>
      <c r="J115" s="4" t="inlineStr">
        <is>
          <t>王英娜</t>
        </is>
      </c>
    </row>
    <row r="116">
      <c r="A116" s="14" t="n">
        <v>45902</v>
      </c>
      <c r="B116" s="4" t="inlineStr">
        <is>
          <t>SO202510161</t>
        </is>
      </c>
      <c r="C116" s="4" t="inlineStr">
        <is>
          <t>无锡淼沃餐饮管理有限公司</t>
        </is>
      </c>
      <c r="D116" s="4" t="inlineStr">
        <is>
          <t>预制菜</t>
        </is>
      </c>
      <c r="E116" s="4" t="inlineStr">
        <is>
          <t>B级</t>
        </is>
      </c>
      <c r="F116" s="18" t="n">
        <v>3070</v>
      </c>
      <c r="G116" s="15" t="n">
        <v>25.27</v>
      </c>
      <c r="H116" s="15" t="n">
        <v>77578.89999999999</v>
      </c>
      <c r="I116" s="4" t="inlineStr">
        <is>
          <t>赣皖区域</t>
        </is>
      </c>
      <c r="J116" s="4" t="inlineStr">
        <is>
          <t>李艳娜</t>
        </is>
      </c>
    </row>
    <row r="117">
      <c r="A117" s="14" t="n">
        <v>45903</v>
      </c>
      <c r="B117" s="4" t="inlineStr">
        <is>
          <t>SO202510056</t>
        </is>
      </c>
      <c r="C117" s="4" t="inlineStr">
        <is>
          <t>杭州京功餐饮管理有限公司</t>
        </is>
      </c>
      <c r="D117" s="4" t="inlineStr">
        <is>
          <t>调味汁</t>
        </is>
      </c>
      <c r="E117" s="4" t="inlineStr">
        <is>
          <t>25kg</t>
        </is>
      </c>
      <c r="F117" s="18" t="n">
        <v>70</v>
      </c>
      <c r="G117" s="15" t="n">
        <v>144.12</v>
      </c>
      <c r="H117" s="15" t="n">
        <v>10088.4</v>
      </c>
      <c r="I117" s="4" t="inlineStr">
        <is>
          <t>赣皖区域</t>
        </is>
      </c>
      <c r="J117" s="4" t="inlineStr">
        <is>
          <t>张芳秀</t>
        </is>
      </c>
    </row>
    <row r="118">
      <c r="A118" s="14" t="n">
        <v>45907</v>
      </c>
      <c r="B118" s="4" t="inlineStr">
        <is>
          <t>SO202510048</t>
        </is>
      </c>
      <c r="C118" s="4" t="inlineStr">
        <is>
          <t>宁波优鲜电商平台</t>
        </is>
      </c>
      <c r="D118" s="4" t="inlineStr">
        <is>
          <t>中式汤底</t>
        </is>
      </c>
      <c r="E118" s="4" t="inlineStr">
        <is>
          <t>500g</t>
        </is>
      </c>
      <c r="F118" s="18" t="n">
        <v>120</v>
      </c>
      <c r="G118" s="15" t="n">
        <v>34.88</v>
      </c>
      <c r="H118" s="15" t="n">
        <v>4185.6</v>
      </c>
      <c r="I118" s="4" t="inlineStr">
        <is>
          <t>浙江分部</t>
        </is>
      </c>
      <c r="J118" s="4" t="inlineStr">
        <is>
          <t>马强娜</t>
        </is>
      </c>
    </row>
    <row r="119">
      <c r="A119" s="14" t="n">
        <v>45908</v>
      </c>
      <c r="B119" s="4" t="inlineStr">
        <is>
          <t>SO202510020</t>
        </is>
      </c>
      <c r="C119" s="4" t="inlineStr">
        <is>
          <t>南昌食佳供应链有限公司</t>
        </is>
      </c>
      <c r="D119" s="4" t="inlineStr">
        <is>
          <t>中式汤底</t>
        </is>
      </c>
      <c r="E119" s="4" t="inlineStr">
        <is>
          <t>B级</t>
        </is>
      </c>
      <c r="F119" s="18" t="n">
        <v>3940</v>
      </c>
      <c r="G119" s="15" t="n">
        <v>66.45</v>
      </c>
      <c r="H119" s="15" t="n">
        <v>261813</v>
      </c>
      <c r="I119" s="4" t="inlineStr">
        <is>
          <t>上海分部</t>
        </is>
      </c>
      <c r="J119" s="4" t="inlineStr">
        <is>
          <t>高秀娜</t>
        </is>
      </c>
    </row>
    <row r="120">
      <c r="A120" s="14" t="n">
        <v>45917</v>
      </c>
      <c r="B120" s="4" t="inlineStr">
        <is>
          <t>SO202510163</t>
        </is>
      </c>
      <c r="C120" s="4" t="inlineStr">
        <is>
          <t>镇江淼沃电商平台</t>
        </is>
      </c>
      <c r="D120" s="4" t="inlineStr">
        <is>
          <t>中式汤底</t>
        </is>
      </c>
      <c r="E120" s="4" t="inlineStr">
        <is>
          <t>500g</t>
        </is>
      </c>
      <c r="F120" s="18" t="n">
        <v>4070</v>
      </c>
      <c r="G120" s="15" t="n">
        <v>35.4</v>
      </c>
      <c r="H120" s="15" t="n">
        <v>144078</v>
      </c>
      <c r="I120" s="4" t="inlineStr">
        <is>
          <t>上海分部</t>
        </is>
      </c>
      <c r="J120" s="4" t="inlineStr">
        <is>
          <t>马艳娜</t>
        </is>
      </c>
    </row>
    <row r="121">
      <c r="A121" s="14" t="n">
        <v>45918</v>
      </c>
      <c r="B121" s="4" t="inlineStr">
        <is>
          <t>SO202510037</t>
        </is>
      </c>
      <c r="C121" s="4" t="inlineStr">
        <is>
          <t>嘉兴京功供应链有限公司</t>
        </is>
      </c>
      <c r="D121" s="4" t="inlineStr">
        <is>
          <t>川味底料</t>
        </is>
      </c>
      <c r="E121" s="4" t="inlineStr">
        <is>
          <t>25kg</t>
        </is>
      </c>
      <c r="F121" s="18" t="n">
        <v>3950</v>
      </c>
      <c r="G121" s="15" t="n">
        <v>46.96</v>
      </c>
      <c r="H121" s="15" t="n">
        <v>185492</v>
      </c>
      <c r="I121" s="4" t="inlineStr">
        <is>
          <t>浙江分部</t>
        </is>
      </c>
      <c r="J121" s="4" t="inlineStr">
        <is>
          <t>高超秀</t>
        </is>
      </c>
    </row>
    <row r="122">
      <c r="A122" s="14" t="n">
        <v>45920</v>
      </c>
      <c r="B122" s="4" t="inlineStr">
        <is>
          <t>SO202510015</t>
        </is>
      </c>
      <c r="C122" s="4" t="inlineStr">
        <is>
          <t>合肥京功酒店管理集团</t>
        </is>
      </c>
      <c r="D122" s="4" t="inlineStr">
        <is>
          <t>酱料</t>
        </is>
      </c>
      <c r="E122" s="4" t="inlineStr">
        <is>
          <t>1kg</t>
        </is>
      </c>
      <c r="F122" s="18" t="n">
        <v>200</v>
      </c>
      <c r="G122" s="15" t="n">
        <v>47.84</v>
      </c>
      <c r="H122" s="15" t="n">
        <v>9568</v>
      </c>
      <c r="I122" s="4" t="inlineStr">
        <is>
          <t>江苏分部</t>
        </is>
      </c>
      <c r="J122" s="4" t="inlineStr">
        <is>
          <t>马丽英</t>
        </is>
      </c>
    </row>
    <row r="123">
      <c r="A123" s="14" t="n">
        <v>45925</v>
      </c>
      <c r="B123" s="4" t="inlineStr">
        <is>
          <t>SO202510125</t>
        </is>
      </c>
      <c r="C123" s="4" t="inlineStr">
        <is>
          <t>常州百味餐饮管理有限公司</t>
        </is>
      </c>
      <c r="D123" s="4" t="inlineStr">
        <is>
          <t>预制菜</t>
        </is>
      </c>
      <c r="E123" s="4" t="inlineStr">
        <is>
          <t>2.5kg</t>
        </is>
      </c>
      <c r="F123" s="18" t="n">
        <v>1330</v>
      </c>
      <c r="G123" s="15" t="n">
        <v>125.05</v>
      </c>
      <c r="H123" s="15" t="n">
        <v>166316.5</v>
      </c>
      <c r="I123" s="4" t="inlineStr">
        <is>
          <t>江苏分部</t>
        </is>
      </c>
      <c r="J123" s="4" t="inlineStr">
        <is>
          <t>黄芳敏</t>
        </is>
      </c>
    </row>
    <row r="124">
      <c r="A124" s="14" t="n">
        <v>45926</v>
      </c>
      <c r="B124" s="4" t="inlineStr">
        <is>
          <t>SO202510007</t>
        </is>
      </c>
      <c r="C124" s="4" t="inlineStr">
        <is>
          <t>温州食佳食品有限公司</t>
        </is>
      </c>
      <c r="D124" s="4" t="inlineStr">
        <is>
          <t>预制菜</t>
        </is>
      </c>
      <c r="E124" s="4" t="inlineStr">
        <is>
          <t>精装</t>
        </is>
      </c>
      <c r="F124" s="18" t="n">
        <v>190</v>
      </c>
      <c r="G124" s="15" t="n">
        <v>150.86</v>
      </c>
      <c r="H124" s="15" t="n">
        <v>28663.4</v>
      </c>
      <c r="I124" s="4" t="inlineStr">
        <is>
          <t>江苏分部</t>
        </is>
      </c>
      <c r="J124" s="4" t="inlineStr">
        <is>
          <t>李丽敏</t>
        </is>
      </c>
    </row>
    <row r="125">
      <c r="A125" s="14" t="n">
        <v>45936</v>
      </c>
      <c r="B125" s="4" t="inlineStr">
        <is>
          <t>SO202510095</t>
        </is>
      </c>
      <c r="C125" s="4" t="inlineStr">
        <is>
          <t>温州食佳商贸有限公司</t>
        </is>
      </c>
      <c r="D125" s="4" t="inlineStr">
        <is>
          <t>团餐</t>
        </is>
      </c>
      <c r="E125" s="4" t="inlineStr">
        <is>
          <t>25kg</t>
        </is>
      </c>
      <c r="F125" s="18" t="n">
        <v>1300</v>
      </c>
      <c r="G125" s="15" t="n">
        <v>159.1</v>
      </c>
      <c r="H125" s="15" t="n">
        <v>206830</v>
      </c>
      <c r="I125" s="4" t="inlineStr">
        <is>
          <t>江苏分部</t>
        </is>
      </c>
      <c r="J125" s="4" t="inlineStr">
        <is>
          <t>胡丽芳</t>
        </is>
      </c>
    </row>
    <row r="126">
      <c r="A126" s="14" t="n">
        <v>45938</v>
      </c>
      <c r="B126" s="4" t="inlineStr">
        <is>
          <t>SO202510083</t>
        </is>
      </c>
      <c r="C126" s="4" t="inlineStr">
        <is>
          <t>常州优鲜供应链有限公司</t>
        </is>
      </c>
      <c r="D126" s="4" t="inlineStr">
        <is>
          <t>调味汁</t>
        </is>
      </c>
      <c r="E126" s="4" t="inlineStr">
        <is>
          <t>C级</t>
        </is>
      </c>
      <c r="F126" s="18" t="n">
        <v>2990</v>
      </c>
      <c r="G126" s="15" t="n">
        <v>44.57</v>
      </c>
      <c r="H126" s="15" t="n">
        <v>133264.3</v>
      </c>
      <c r="I126" s="4" t="inlineStr">
        <is>
          <t>赣皖区域</t>
        </is>
      </c>
      <c r="J126" s="4" t="inlineStr">
        <is>
          <t>刘敏娜</t>
        </is>
      </c>
    </row>
    <row r="127">
      <c r="A127" s="14" t="n">
        <v>45939</v>
      </c>
      <c r="B127" s="4" t="inlineStr">
        <is>
          <t>SO202510140</t>
        </is>
      </c>
      <c r="C127" s="4" t="inlineStr">
        <is>
          <t>苏州大匠电商平台</t>
        </is>
      </c>
      <c r="D127" s="4" t="inlineStr">
        <is>
          <t>预制菜</t>
        </is>
      </c>
      <c r="E127" s="4" t="inlineStr">
        <is>
          <t>特级</t>
        </is>
      </c>
      <c r="F127" s="18" t="n">
        <v>2410</v>
      </c>
      <c r="G127" s="15" t="n">
        <v>128.67</v>
      </c>
      <c r="H127" s="15" t="n">
        <v>310094.7</v>
      </c>
      <c r="I127" s="4" t="inlineStr">
        <is>
          <t>江苏分部</t>
        </is>
      </c>
      <c r="J127" s="4" t="inlineStr">
        <is>
          <t>赵超英</t>
        </is>
      </c>
    </row>
    <row r="128">
      <c r="A128" s="14" t="n">
        <v>45944</v>
      </c>
      <c r="B128" s="4" t="inlineStr">
        <is>
          <t>SO202510157</t>
        </is>
      </c>
      <c r="C128" s="4" t="inlineStr">
        <is>
          <t>嘉兴优鲜餐饮管理有限公司</t>
        </is>
      </c>
      <c r="D128" s="4" t="inlineStr">
        <is>
          <t>预制菜</t>
        </is>
      </c>
      <c r="E128" s="4" t="inlineStr">
        <is>
          <t>5kg</t>
        </is>
      </c>
      <c r="F128" s="18" t="n">
        <v>3550</v>
      </c>
      <c r="G128" s="15" t="n">
        <v>132.22</v>
      </c>
      <c r="H128" s="15" t="n">
        <v>469381</v>
      </c>
      <c r="I128" s="4" t="inlineStr">
        <is>
          <t>上海分部</t>
        </is>
      </c>
      <c r="J128" s="4" t="inlineStr">
        <is>
          <t>胡英敏</t>
        </is>
      </c>
    </row>
    <row r="129">
      <c r="A129" s="14" t="n">
        <v>45958</v>
      </c>
      <c r="B129" s="4" t="inlineStr">
        <is>
          <t>SO202510029</t>
        </is>
      </c>
      <c r="C129" s="4" t="inlineStr">
        <is>
          <t>杭州食佳供应链有限公司</t>
        </is>
      </c>
      <c r="D129" s="4" t="inlineStr">
        <is>
          <t>调味汁</t>
        </is>
      </c>
      <c r="E129" s="4" t="inlineStr">
        <is>
          <t>简装</t>
        </is>
      </c>
      <c r="F129" s="18" t="n">
        <v>2060</v>
      </c>
      <c r="G129" s="15" t="n">
        <v>102.45</v>
      </c>
      <c r="H129" s="15" t="n">
        <v>211047</v>
      </c>
      <c r="I129" s="4" t="inlineStr">
        <is>
          <t>江苏分部</t>
        </is>
      </c>
      <c r="J129" s="4" t="inlineStr">
        <is>
          <t>林英娜</t>
        </is>
      </c>
    </row>
    <row r="130">
      <c r="A130" s="14" t="n">
        <v>45958</v>
      </c>
      <c r="B130" s="4" t="inlineStr">
        <is>
          <t>SO202510123</t>
        </is>
      </c>
      <c r="C130" s="4" t="inlineStr">
        <is>
          <t>苏州优鲜酒店管理集团</t>
        </is>
      </c>
      <c r="D130" s="4" t="inlineStr">
        <is>
          <t>预制菜</t>
        </is>
      </c>
      <c r="E130" s="4" t="inlineStr">
        <is>
          <t>特级</t>
        </is>
      </c>
      <c r="F130" s="18" t="n">
        <v>3050</v>
      </c>
      <c r="G130" s="15" t="n">
        <v>23.76</v>
      </c>
      <c r="H130" s="15" t="n">
        <v>72468</v>
      </c>
      <c r="I130" s="4" t="inlineStr">
        <is>
          <t>赣皖区域</t>
        </is>
      </c>
      <c r="J130" s="4" t="inlineStr">
        <is>
          <t>马芳芳</t>
        </is>
      </c>
    </row>
    <row r="131">
      <c r="A131" s="14" t="n">
        <v>45958</v>
      </c>
      <c r="B131" s="4" t="inlineStr">
        <is>
          <t>SO202510149</t>
        </is>
      </c>
      <c r="C131" s="4" t="inlineStr">
        <is>
          <t>南京百味餐饮管理有限公司</t>
        </is>
      </c>
      <c r="D131" s="4" t="inlineStr">
        <is>
          <t>酱料</t>
        </is>
      </c>
      <c r="E131" s="4" t="inlineStr">
        <is>
          <t>B级</t>
        </is>
      </c>
      <c r="F131" s="18" t="n">
        <v>1300</v>
      </c>
      <c r="G131" s="15" t="n">
        <v>52.26</v>
      </c>
      <c r="H131" s="15" t="n">
        <v>67938</v>
      </c>
      <c r="I131" s="4" t="inlineStr">
        <is>
          <t>赣皖区域</t>
        </is>
      </c>
      <c r="J131" s="4" t="inlineStr">
        <is>
          <t>罗涛芳</t>
        </is>
      </c>
    </row>
    <row r="132">
      <c r="A132" s="14" t="n">
        <v>45962</v>
      </c>
      <c r="B132" s="4" t="inlineStr">
        <is>
          <t>SO202510126</t>
        </is>
      </c>
      <c r="C132" s="4" t="inlineStr">
        <is>
          <t>宁波食佳供应链有限公司</t>
        </is>
      </c>
      <c r="D132" s="4" t="inlineStr">
        <is>
          <t>调味汁</t>
        </is>
      </c>
      <c r="E132" s="4" t="inlineStr">
        <is>
          <t>精装</t>
        </is>
      </c>
      <c r="F132" s="18" t="n">
        <v>1220</v>
      </c>
      <c r="G132" s="15" t="n">
        <v>81.44</v>
      </c>
      <c r="H132" s="15" t="n">
        <v>99356.8</v>
      </c>
      <c r="I132" s="4" t="inlineStr">
        <is>
          <t>赣皖区域</t>
        </is>
      </c>
      <c r="J132" s="4" t="inlineStr">
        <is>
          <t>罗磊娜</t>
        </is>
      </c>
    </row>
    <row r="133">
      <c r="A133" s="14" t="n">
        <v>45963</v>
      </c>
      <c r="B133" s="4" t="inlineStr">
        <is>
          <t>SO202510017</t>
        </is>
      </c>
      <c r="C133" s="4" t="inlineStr">
        <is>
          <t>合肥食佳电商平台</t>
        </is>
      </c>
      <c r="D133" s="4" t="inlineStr">
        <is>
          <t>团餐</t>
        </is>
      </c>
      <c r="E133" s="4" t="inlineStr">
        <is>
          <t>500g</t>
        </is>
      </c>
      <c r="F133" s="18" t="n">
        <v>3030</v>
      </c>
      <c r="G133" s="15" t="n">
        <v>63.56</v>
      </c>
      <c r="H133" s="15" t="n">
        <v>192586.8</v>
      </c>
      <c r="I133" s="4" t="inlineStr">
        <is>
          <t>浙江分部</t>
        </is>
      </c>
      <c r="J133" s="4" t="inlineStr">
        <is>
          <t>何敏秀</t>
        </is>
      </c>
    </row>
    <row r="134">
      <c r="A134" s="14" t="n">
        <v>45964</v>
      </c>
      <c r="B134" s="4" t="inlineStr">
        <is>
          <t>SO202510092</t>
        </is>
      </c>
      <c r="C134" s="4" t="inlineStr">
        <is>
          <t>杭州百味餐饮管理有限公司</t>
        </is>
      </c>
      <c r="D134" s="4" t="inlineStr">
        <is>
          <t>中式汤底</t>
        </is>
      </c>
      <c r="E134" s="4" t="inlineStr">
        <is>
          <t>1kg</t>
        </is>
      </c>
      <c r="F134" s="18" t="n">
        <v>330</v>
      </c>
      <c r="G134" s="15" t="n">
        <v>78.8</v>
      </c>
      <c r="H134" s="15" t="n">
        <v>26004</v>
      </c>
      <c r="I134" s="4" t="inlineStr">
        <is>
          <t>赣皖区域</t>
        </is>
      </c>
      <c r="J134" s="4" t="inlineStr">
        <is>
          <t>张静敏</t>
        </is>
      </c>
    </row>
    <row r="135">
      <c r="A135" s="14" t="n">
        <v>45964</v>
      </c>
      <c r="B135" s="4" t="inlineStr">
        <is>
          <t>SO202510164</t>
        </is>
      </c>
      <c r="C135" s="4" t="inlineStr">
        <is>
          <t>杭州大匠食品有限公司</t>
        </is>
      </c>
      <c r="D135" s="4" t="inlineStr">
        <is>
          <t>酱料</t>
        </is>
      </c>
      <c r="E135" s="4" t="inlineStr">
        <is>
          <t>5kg</t>
        </is>
      </c>
      <c r="F135" s="18" t="n">
        <v>2390</v>
      </c>
      <c r="G135" s="15" t="n">
        <v>94.89</v>
      </c>
      <c r="H135" s="15" t="n">
        <v>226787.1</v>
      </c>
      <c r="I135" s="4" t="inlineStr">
        <is>
          <t>上海分部</t>
        </is>
      </c>
      <c r="J135" s="4" t="inlineStr">
        <is>
          <t>周英英</t>
        </is>
      </c>
    </row>
    <row r="136">
      <c r="A136" s="14" t="n">
        <v>45966</v>
      </c>
      <c r="B136" s="4" t="inlineStr">
        <is>
          <t>SO202510027</t>
        </is>
      </c>
      <c r="C136" s="4" t="inlineStr">
        <is>
          <t>宁波京功酒店管理集团</t>
        </is>
      </c>
      <c r="D136" s="4" t="inlineStr">
        <is>
          <t>中式汤底</t>
        </is>
      </c>
      <c r="E136" s="4" t="inlineStr">
        <is>
          <t>精装</t>
        </is>
      </c>
      <c r="F136" s="18" t="n">
        <v>4370</v>
      </c>
      <c r="G136" s="15" t="n">
        <v>20.15</v>
      </c>
      <c r="H136" s="15" t="n">
        <v>88055.5</v>
      </c>
      <c r="I136" s="4" t="inlineStr">
        <is>
          <t>上海分部</t>
        </is>
      </c>
      <c r="J136" s="4" t="inlineStr">
        <is>
          <t>陈勇娜</t>
        </is>
      </c>
    </row>
    <row r="137">
      <c r="A137" s="14" t="n">
        <v>45966</v>
      </c>
      <c r="B137" s="4" t="inlineStr">
        <is>
          <t>SO202510141</t>
        </is>
      </c>
      <c r="C137" s="4" t="inlineStr">
        <is>
          <t>南京百味电商平台</t>
        </is>
      </c>
      <c r="D137" s="4" t="inlineStr">
        <is>
          <t>调味汁</t>
        </is>
      </c>
      <c r="E137" s="4" t="inlineStr">
        <is>
          <t>10kg</t>
        </is>
      </c>
      <c r="F137" s="18" t="n">
        <v>3470</v>
      </c>
      <c r="G137" s="15" t="n">
        <v>118.26</v>
      </c>
      <c r="H137" s="15" t="n">
        <v>410362.2</v>
      </c>
      <c r="I137" s="4" t="inlineStr">
        <is>
          <t>赣皖区域</t>
        </is>
      </c>
      <c r="J137" s="4" t="inlineStr">
        <is>
          <t>徐伟秀</t>
        </is>
      </c>
    </row>
    <row r="138">
      <c r="A138" s="14" t="n">
        <v>45967</v>
      </c>
      <c r="B138" s="4" t="inlineStr">
        <is>
          <t>SO202510082</t>
        </is>
      </c>
      <c r="C138" s="4" t="inlineStr">
        <is>
          <t>温州淼沃商贸有限公司</t>
        </is>
      </c>
      <c r="D138" s="4" t="inlineStr">
        <is>
          <t>川味底料</t>
        </is>
      </c>
      <c r="E138" s="4" t="inlineStr">
        <is>
          <t>C级</t>
        </is>
      </c>
      <c r="F138" s="18" t="n">
        <v>720</v>
      </c>
      <c r="G138" s="15" t="n">
        <v>126.99</v>
      </c>
      <c r="H138" s="15" t="n">
        <v>91432.8</v>
      </c>
      <c r="I138" s="4" t="inlineStr">
        <is>
          <t>赣皖区域</t>
        </is>
      </c>
      <c r="J138" s="4" t="inlineStr">
        <is>
          <t>马娟伟</t>
        </is>
      </c>
    </row>
    <row r="139">
      <c r="A139" s="14" t="n">
        <v>45969</v>
      </c>
      <c r="B139" s="4" t="inlineStr">
        <is>
          <t>SO202510065</t>
        </is>
      </c>
      <c r="C139" s="4" t="inlineStr">
        <is>
          <t>南昌百味酒店管理集团</t>
        </is>
      </c>
      <c r="D139" s="4" t="inlineStr">
        <is>
          <t>预制菜</t>
        </is>
      </c>
      <c r="E139" s="4" t="inlineStr">
        <is>
          <t>B级</t>
        </is>
      </c>
      <c r="F139" s="18" t="n">
        <v>3190</v>
      </c>
      <c r="G139" s="15" t="n">
        <v>27.94</v>
      </c>
      <c r="H139" s="15" t="n">
        <v>89128.60000000001</v>
      </c>
      <c r="I139" s="4" t="inlineStr">
        <is>
          <t>上海分部</t>
        </is>
      </c>
      <c r="J139" s="4" t="inlineStr">
        <is>
          <t>何娟敏</t>
        </is>
      </c>
    </row>
    <row r="140">
      <c r="A140" s="14" t="n">
        <v>45969</v>
      </c>
      <c r="B140" s="4" t="inlineStr">
        <is>
          <t>SO202510077</t>
        </is>
      </c>
      <c r="C140" s="4" t="inlineStr">
        <is>
          <t>上海淼沃超市</t>
        </is>
      </c>
      <c r="D140" s="4" t="inlineStr">
        <is>
          <t>团餐</t>
        </is>
      </c>
      <c r="E140" s="4" t="inlineStr">
        <is>
          <t>C级</t>
        </is>
      </c>
      <c r="F140" s="18" t="n">
        <v>2120</v>
      </c>
      <c r="G140" s="15" t="n">
        <v>137.55</v>
      </c>
      <c r="H140" s="15" t="n">
        <v>291606</v>
      </c>
      <c r="I140" s="4" t="inlineStr">
        <is>
          <t>浙江分部</t>
        </is>
      </c>
      <c r="J140" s="4" t="inlineStr">
        <is>
          <t>朱娜英</t>
        </is>
      </c>
    </row>
    <row r="141">
      <c r="A141" s="14" t="n">
        <v>45971</v>
      </c>
      <c r="B141" s="4" t="inlineStr">
        <is>
          <t>SO202510111</t>
        </is>
      </c>
      <c r="C141" s="4" t="inlineStr">
        <is>
          <t>镇江淼沃食品有限公司</t>
        </is>
      </c>
      <c r="D141" s="4" t="inlineStr">
        <is>
          <t>酱料</t>
        </is>
      </c>
      <c r="E141" s="4" t="inlineStr">
        <is>
          <t>C级</t>
        </is>
      </c>
      <c r="F141" s="18" t="n">
        <v>1800</v>
      </c>
      <c r="G141" s="15" t="n">
        <v>147.71</v>
      </c>
      <c r="H141" s="15" t="n">
        <v>265878</v>
      </c>
      <c r="I141" s="4" t="inlineStr">
        <is>
          <t>上海分部</t>
        </is>
      </c>
      <c r="J141" s="4" t="inlineStr">
        <is>
          <t>吴涛秀</t>
        </is>
      </c>
    </row>
    <row r="142">
      <c r="A142" s="14" t="n">
        <v>45974</v>
      </c>
      <c r="B142" s="4" t="inlineStr">
        <is>
          <t>SO202510087</t>
        </is>
      </c>
      <c r="C142" s="4" t="inlineStr">
        <is>
          <t>南昌百味供应链有限公司</t>
        </is>
      </c>
      <c r="D142" s="4" t="inlineStr">
        <is>
          <t>团餐</t>
        </is>
      </c>
      <c r="E142" s="4" t="inlineStr">
        <is>
          <t>精装</t>
        </is>
      </c>
      <c r="F142" s="18" t="n">
        <v>4560</v>
      </c>
      <c r="G142" s="15" t="n">
        <v>30.04</v>
      </c>
      <c r="H142" s="15" t="n">
        <v>136982.4</v>
      </c>
      <c r="I142" s="4" t="inlineStr">
        <is>
          <t>江苏分部</t>
        </is>
      </c>
      <c r="J142" s="4" t="inlineStr">
        <is>
          <t>罗芳芳</t>
        </is>
      </c>
    </row>
    <row r="143">
      <c r="A143" s="14" t="n">
        <v>45976</v>
      </c>
      <c r="B143" s="4" t="inlineStr">
        <is>
          <t>SO202510153</t>
        </is>
      </c>
      <c r="C143" s="4" t="inlineStr">
        <is>
          <t>南昌京功电商平台</t>
        </is>
      </c>
      <c r="D143" s="4" t="inlineStr">
        <is>
          <t>调味汁</t>
        </is>
      </c>
      <c r="E143" s="4" t="inlineStr">
        <is>
          <t>1kg</t>
        </is>
      </c>
      <c r="F143" s="18" t="n">
        <v>3840</v>
      </c>
      <c r="G143" s="15" t="n">
        <v>47.64</v>
      </c>
      <c r="H143" s="15" t="n">
        <v>182937.6</v>
      </c>
      <c r="I143" s="4" t="inlineStr">
        <is>
          <t>上海分部</t>
        </is>
      </c>
      <c r="J143" s="4" t="inlineStr">
        <is>
          <t>徐磊英</t>
        </is>
      </c>
    </row>
    <row r="144">
      <c r="A144" s="14" t="n">
        <v>45980</v>
      </c>
      <c r="B144" s="4" t="inlineStr">
        <is>
          <t>SO202510042</t>
        </is>
      </c>
      <c r="C144" s="4" t="inlineStr">
        <is>
          <t>南京百味超市</t>
        </is>
      </c>
      <c r="D144" s="4" t="inlineStr">
        <is>
          <t>调味汁</t>
        </is>
      </c>
      <c r="E144" s="4" t="inlineStr">
        <is>
          <t>10kg</t>
        </is>
      </c>
      <c r="F144" s="18" t="n">
        <v>40</v>
      </c>
      <c r="G144" s="15" t="n">
        <v>63.78</v>
      </c>
      <c r="H144" s="15" t="n">
        <v>2551.2</v>
      </c>
      <c r="I144" s="4" t="inlineStr">
        <is>
          <t>江苏分部</t>
        </is>
      </c>
      <c r="J144" s="4" t="inlineStr">
        <is>
          <t>李明英</t>
        </is>
      </c>
    </row>
    <row r="145">
      <c r="A145" s="14" t="n">
        <v>45982</v>
      </c>
      <c r="B145" s="4" t="inlineStr">
        <is>
          <t>SO202510127</t>
        </is>
      </c>
      <c r="C145" s="4" t="inlineStr">
        <is>
          <t>宁波京功超市</t>
        </is>
      </c>
      <c r="D145" s="4" t="inlineStr">
        <is>
          <t>团餐</t>
        </is>
      </c>
      <c r="E145" s="4" t="inlineStr">
        <is>
          <t>2.5kg</t>
        </is>
      </c>
      <c r="F145" s="18" t="n">
        <v>1300</v>
      </c>
      <c r="G145" s="15" t="n">
        <v>139.65</v>
      </c>
      <c r="H145" s="15" t="n">
        <v>181545</v>
      </c>
      <c r="I145" s="4" t="inlineStr">
        <is>
          <t>浙江分部</t>
        </is>
      </c>
      <c r="J145" s="4" t="inlineStr">
        <is>
          <t>王娟秀</t>
        </is>
      </c>
    </row>
    <row r="146">
      <c r="A146" s="14" t="n">
        <v>45982</v>
      </c>
      <c r="B146" s="4" t="inlineStr">
        <is>
          <t>SO202510130</t>
        </is>
      </c>
      <c r="C146" s="4" t="inlineStr">
        <is>
          <t>南京食佳餐饮管理有限公司</t>
        </is>
      </c>
      <c r="D146" s="4" t="inlineStr">
        <is>
          <t>团餐</t>
        </is>
      </c>
      <c r="E146" s="4" t="inlineStr">
        <is>
          <t>1kg</t>
        </is>
      </c>
      <c r="F146" s="18" t="n">
        <v>4420</v>
      </c>
      <c r="G146" s="15" t="n">
        <v>92.56</v>
      </c>
      <c r="H146" s="15" t="n">
        <v>409115.2</v>
      </c>
      <c r="I146" s="4" t="inlineStr">
        <is>
          <t>上海分部</t>
        </is>
      </c>
      <c r="J146" s="4" t="inlineStr">
        <is>
          <t>高杰娜</t>
        </is>
      </c>
    </row>
    <row r="147">
      <c r="A147" s="14" t="n">
        <v>45986</v>
      </c>
      <c r="B147" s="4" t="inlineStr">
        <is>
          <t>SO202510075</t>
        </is>
      </c>
      <c r="C147" s="4" t="inlineStr">
        <is>
          <t>嘉兴食佳餐饮管理有限公司</t>
        </is>
      </c>
      <c r="D147" s="4" t="inlineStr">
        <is>
          <t>酱料</t>
        </is>
      </c>
      <c r="E147" s="4" t="inlineStr">
        <is>
          <t>5kg</t>
        </is>
      </c>
      <c r="F147" s="18" t="n">
        <v>2720</v>
      </c>
      <c r="G147" s="15" t="n">
        <v>137.18</v>
      </c>
      <c r="H147" s="15" t="n">
        <v>373129.6</v>
      </c>
      <c r="I147" s="4" t="inlineStr">
        <is>
          <t>赣皖区域</t>
        </is>
      </c>
      <c r="J147" s="4" t="inlineStr">
        <is>
          <t>罗芳敏</t>
        </is>
      </c>
    </row>
    <row r="148">
      <c r="A148" s="14" t="n">
        <v>45987</v>
      </c>
      <c r="B148" s="4" t="inlineStr">
        <is>
          <t>SO202510136</t>
        </is>
      </c>
      <c r="C148" s="4" t="inlineStr">
        <is>
          <t>南昌优鲜商贸有限公司</t>
        </is>
      </c>
      <c r="D148" s="4" t="inlineStr">
        <is>
          <t>调味汁</t>
        </is>
      </c>
      <c r="E148" s="4" t="inlineStr">
        <is>
          <t>2.5kg</t>
        </is>
      </c>
      <c r="F148" s="18" t="n">
        <v>1620</v>
      </c>
      <c r="G148" s="15" t="n">
        <v>34.51</v>
      </c>
      <c r="H148" s="15" t="n">
        <v>55906.2</v>
      </c>
      <c r="I148" s="4" t="inlineStr">
        <is>
          <t>赣皖区域</t>
        </is>
      </c>
      <c r="J148" s="4" t="inlineStr">
        <is>
          <t>徐秀娜</t>
        </is>
      </c>
    </row>
    <row r="149">
      <c r="A149" s="14" t="n">
        <v>45994</v>
      </c>
      <c r="B149" s="4" t="inlineStr">
        <is>
          <t>SO202510066</t>
        </is>
      </c>
      <c r="C149" s="4" t="inlineStr">
        <is>
          <t>苏州百味电商平台</t>
        </is>
      </c>
      <c r="D149" s="4" t="inlineStr">
        <is>
          <t>酱料</t>
        </is>
      </c>
      <c r="E149" s="4" t="inlineStr">
        <is>
          <t>A级</t>
        </is>
      </c>
      <c r="F149" s="18" t="n">
        <v>1410</v>
      </c>
      <c r="G149" s="15" t="n">
        <v>93.94</v>
      </c>
      <c r="H149" s="15" t="n">
        <v>132455.4</v>
      </c>
      <c r="I149" s="4" t="inlineStr">
        <is>
          <t>赣皖区域</t>
        </is>
      </c>
      <c r="J149" s="4" t="inlineStr">
        <is>
          <t>罗艳秀</t>
        </is>
      </c>
    </row>
    <row r="150">
      <c r="A150" s="14" t="n">
        <v>45995</v>
      </c>
      <c r="B150" s="4" t="inlineStr">
        <is>
          <t>SO202510063</t>
        </is>
      </c>
      <c r="C150" s="4" t="inlineStr">
        <is>
          <t>南昌京功商贸有限公司</t>
        </is>
      </c>
      <c r="D150" s="4" t="inlineStr">
        <is>
          <t>团餐</t>
        </is>
      </c>
      <c r="E150" s="4" t="inlineStr">
        <is>
          <t>标准</t>
        </is>
      </c>
      <c r="F150" s="18" t="n">
        <v>3150</v>
      </c>
      <c r="G150" s="15" t="n">
        <v>78.51000000000001</v>
      </c>
      <c r="H150" s="15" t="n">
        <v>247306.5</v>
      </c>
      <c r="I150" s="4" t="inlineStr">
        <is>
          <t>赣皖区域</t>
        </is>
      </c>
      <c r="J150" s="4" t="inlineStr">
        <is>
          <t>胡静英</t>
        </is>
      </c>
    </row>
    <row r="151">
      <c r="A151" s="14" t="n">
        <v>45995</v>
      </c>
      <c r="B151" s="4" t="inlineStr">
        <is>
          <t>SO202510068</t>
        </is>
      </c>
      <c r="C151" s="4" t="inlineStr">
        <is>
          <t>合肥食佳酒店管理集团</t>
        </is>
      </c>
      <c r="D151" s="4" t="inlineStr">
        <is>
          <t>调味汁</t>
        </is>
      </c>
      <c r="E151" s="4" t="inlineStr">
        <is>
          <t>精装</t>
        </is>
      </c>
      <c r="F151" s="18" t="n">
        <v>700</v>
      </c>
      <c r="G151" s="15" t="n">
        <v>56.88</v>
      </c>
      <c r="H151" s="15" t="n">
        <v>39816</v>
      </c>
      <c r="I151" s="4" t="inlineStr">
        <is>
          <t>上海分部</t>
        </is>
      </c>
      <c r="J151" s="4" t="inlineStr">
        <is>
          <t>何兰芳</t>
        </is>
      </c>
    </row>
    <row r="152">
      <c r="A152" s="14" t="n">
        <v>45996</v>
      </c>
      <c r="B152" s="4" t="inlineStr">
        <is>
          <t>SO202510041</t>
        </is>
      </c>
      <c r="C152" s="4" t="inlineStr">
        <is>
          <t>常州京功电商平台</t>
        </is>
      </c>
      <c r="D152" s="4" t="inlineStr">
        <is>
          <t>调味汁</t>
        </is>
      </c>
      <c r="E152" s="4" t="inlineStr">
        <is>
          <t>25kg</t>
        </is>
      </c>
      <c r="F152" s="18" t="n">
        <v>3480</v>
      </c>
      <c r="G152" s="15" t="n">
        <v>63.38</v>
      </c>
      <c r="H152" s="15" t="n">
        <v>220562.4</v>
      </c>
      <c r="I152" s="4" t="inlineStr">
        <is>
          <t>浙江分部</t>
        </is>
      </c>
      <c r="J152" s="4" t="inlineStr">
        <is>
          <t>周秀英</t>
        </is>
      </c>
    </row>
    <row r="153">
      <c r="A153" s="14" t="n">
        <v>45996</v>
      </c>
      <c r="B153" s="4" t="inlineStr">
        <is>
          <t>SO202510064</t>
        </is>
      </c>
      <c r="C153" s="4" t="inlineStr">
        <is>
          <t>镇江大匠商贸有限公司</t>
        </is>
      </c>
      <c r="D153" s="4" t="inlineStr">
        <is>
          <t>川味底料</t>
        </is>
      </c>
      <c r="E153" s="4" t="inlineStr">
        <is>
          <t>简装</t>
        </is>
      </c>
      <c r="F153" s="18" t="n">
        <v>2600</v>
      </c>
      <c r="G153" s="15" t="n">
        <v>81.27</v>
      </c>
      <c r="H153" s="15" t="n">
        <v>211302</v>
      </c>
      <c r="I153" s="4" t="inlineStr">
        <is>
          <t>上海分部</t>
        </is>
      </c>
      <c r="J153" s="4" t="inlineStr">
        <is>
          <t>何勇英</t>
        </is>
      </c>
    </row>
    <row r="154">
      <c r="A154" s="14" t="n">
        <v>45996</v>
      </c>
      <c r="B154" s="4" t="inlineStr">
        <is>
          <t>SO202510088</t>
        </is>
      </c>
      <c r="C154" s="4" t="inlineStr">
        <is>
          <t>合肥百味商贸有限公司</t>
        </is>
      </c>
      <c r="D154" s="4" t="inlineStr">
        <is>
          <t>中式汤底</t>
        </is>
      </c>
      <c r="E154" s="4" t="inlineStr">
        <is>
          <t>C级</t>
        </is>
      </c>
      <c r="F154" s="18" t="n">
        <v>3660</v>
      </c>
      <c r="G154" s="15" t="n">
        <v>117.84</v>
      </c>
      <c r="H154" s="15" t="n">
        <v>431294.4</v>
      </c>
      <c r="I154" s="4" t="inlineStr">
        <is>
          <t>赣皖区域</t>
        </is>
      </c>
      <c r="J154" s="4" t="inlineStr">
        <is>
          <t>刘秀秀</t>
        </is>
      </c>
    </row>
    <row r="155">
      <c r="A155" s="14" t="n">
        <v>45997</v>
      </c>
      <c r="B155" s="4" t="inlineStr">
        <is>
          <t>SO202510110</t>
        </is>
      </c>
      <c r="C155" s="4" t="inlineStr">
        <is>
          <t>温州优鲜食品有限公司</t>
        </is>
      </c>
      <c r="D155" s="4" t="inlineStr">
        <is>
          <t>酱料</t>
        </is>
      </c>
      <c r="E155" s="4" t="inlineStr">
        <is>
          <t>500g</t>
        </is>
      </c>
      <c r="F155" s="18" t="n">
        <v>3390</v>
      </c>
      <c r="G155" s="15" t="n">
        <v>127.74</v>
      </c>
      <c r="H155" s="15" t="n">
        <v>433038.6</v>
      </c>
      <c r="I155" s="4" t="inlineStr">
        <is>
          <t>赣皖区域</t>
        </is>
      </c>
      <c r="J155" s="4" t="inlineStr">
        <is>
          <t>郭超芳</t>
        </is>
      </c>
    </row>
    <row r="156">
      <c r="A156" s="14" t="n">
        <v>45999</v>
      </c>
      <c r="B156" s="4" t="inlineStr">
        <is>
          <t>SO202510051</t>
        </is>
      </c>
      <c r="C156" s="4" t="inlineStr">
        <is>
          <t>常州京功超市</t>
        </is>
      </c>
      <c r="D156" s="4" t="inlineStr">
        <is>
          <t>调味汁</t>
        </is>
      </c>
      <c r="E156" s="4" t="inlineStr">
        <is>
          <t>B级</t>
        </is>
      </c>
      <c r="F156" s="18" t="n">
        <v>3830</v>
      </c>
      <c r="G156" s="15" t="n">
        <v>155.27</v>
      </c>
      <c r="H156" s="15" t="n">
        <v>594684.1</v>
      </c>
      <c r="I156" s="4" t="inlineStr">
        <is>
          <t>江苏分部</t>
        </is>
      </c>
      <c r="J156" s="4" t="inlineStr">
        <is>
          <t>刘艳娜</t>
        </is>
      </c>
    </row>
    <row r="157">
      <c r="A157" s="14" t="n">
        <v>46004</v>
      </c>
      <c r="B157" s="4" t="inlineStr">
        <is>
          <t>SO202510129</t>
        </is>
      </c>
      <c r="C157" s="4" t="inlineStr">
        <is>
          <t>宁波优鲜商贸有限公司</t>
        </is>
      </c>
      <c r="D157" s="4" t="inlineStr">
        <is>
          <t>中式汤底</t>
        </is>
      </c>
      <c r="E157" s="4" t="inlineStr">
        <is>
          <t>2.5kg</t>
        </is>
      </c>
      <c r="F157" s="18" t="n">
        <v>4800</v>
      </c>
      <c r="G157" s="15" t="n">
        <v>128.85</v>
      </c>
      <c r="H157" s="15" t="n">
        <v>618480</v>
      </c>
      <c r="I157" s="4" t="inlineStr">
        <is>
          <t>上海分部</t>
        </is>
      </c>
      <c r="J157" s="4" t="inlineStr">
        <is>
          <t>高明芳</t>
        </is>
      </c>
    </row>
    <row r="158">
      <c r="A158" s="14" t="n">
        <v>46005</v>
      </c>
      <c r="B158" s="4" t="inlineStr">
        <is>
          <t>SO202510011</t>
        </is>
      </c>
      <c r="C158" s="4" t="inlineStr">
        <is>
          <t>南京百味餐饮管理有限公司</t>
        </is>
      </c>
      <c r="D158" s="4" t="inlineStr">
        <is>
          <t>酱料</t>
        </is>
      </c>
      <c r="E158" s="4" t="inlineStr">
        <is>
          <t>标准</t>
        </is>
      </c>
      <c r="F158" s="18" t="n">
        <v>1620</v>
      </c>
      <c r="G158" s="15" t="n">
        <v>24.5</v>
      </c>
      <c r="H158" s="15" t="n">
        <v>39690</v>
      </c>
      <c r="I158" s="4" t="inlineStr">
        <is>
          <t>浙江分部</t>
        </is>
      </c>
      <c r="J158" s="4" t="inlineStr">
        <is>
          <t>李洋伟</t>
        </is>
      </c>
    </row>
    <row r="159">
      <c r="A159" s="14" t="n">
        <v>46005</v>
      </c>
      <c r="B159" s="4" t="inlineStr">
        <is>
          <t>SO202510128</t>
        </is>
      </c>
      <c r="C159" s="4" t="inlineStr">
        <is>
          <t>上海淼沃超市</t>
        </is>
      </c>
      <c r="D159" s="4" t="inlineStr">
        <is>
          <t>酱料</t>
        </is>
      </c>
      <c r="E159" s="4" t="inlineStr">
        <is>
          <t>精装</t>
        </is>
      </c>
      <c r="F159" s="18" t="n">
        <v>1980</v>
      </c>
      <c r="G159" s="15" t="n">
        <v>103.88</v>
      </c>
      <c r="H159" s="15" t="n">
        <v>205682.4</v>
      </c>
      <c r="I159" s="4" t="inlineStr">
        <is>
          <t>江苏分部</t>
        </is>
      </c>
      <c r="J159" s="4" t="inlineStr">
        <is>
          <t>黄磊秀</t>
        </is>
      </c>
    </row>
    <row r="160">
      <c r="A160" s="14" t="n">
        <v>46009</v>
      </c>
      <c r="B160" s="4" t="inlineStr">
        <is>
          <t>SO202510071</t>
        </is>
      </c>
      <c r="C160" s="4" t="inlineStr">
        <is>
          <t>常州优鲜商贸有限公司</t>
        </is>
      </c>
      <c r="D160" s="4" t="inlineStr">
        <is>
          <t>调味汁</t>
        </is>
      </c>
      <c r="E160" s="4" t="inlineStr">
        <is>
          <t>5kg</t>
        </is>
      </c>
      <c r="F160" s="18" t="n">
        <v>2040</v>
      </c>
      <c r="G160" s="15" t="n">
        <v>152.79</v>
      </c>
      <c r="H160" s="15" t="n">
        <v>311691.6</v>
      </c>
      <c r="I160" s="4" t="inlineStr">
        <is>
          <t>江苏分部</t>
        </is>
      </c>
      <c r="J160" s="4" t="inlineStr">
        <is>
          <t>徐英英</t>
        </is>
      </c>
    </row>
    <row r="161">
      <c r="A161" s="14" t="n">
        <v>46009</v>
      </c>
      <c r="B161" s="4" t="inlineStr">
        <is>
          <t>SO202510124</t>
        </is>
      </c>
      <c r="C161" s="4" t="inlineStr">
        <is>
          <t>无锡优鲜供应链有限公司</t>
        </is>
      </c>
      <c r="D161" s="4" t="inlineStr">
        <is>
          <t>复合调味粉</t>
        </is>
      </c>
      <c r="E161" s="4" t="inlineStr">
        <is>
          <t>简装</t>
        </is>
      </c>
      <c r="F161" s="18" t="n">
        <v>3470</v>
      </c>
      <c r="G161" s="15" t="n">
        <v>59.03</v>
      </c>
      <c r="H161" s="15" t="n">
        <v>204834.1</v>
      </c>
      <c r="I161" s="4" t="inlineStr">
        <is>
          <t>江苏分部</t>
        </is>
      </c>
      <c r="J161" s="4" t="inlineStr">
        <is>
          <t>何兰英</t>
        </is>
      </c>
    </row>
    <row r="162">
      <c r="A162" s="14" t="n">
        <v>46011</v>
      </c>
      <c r="B162" s="4" t="inlineStr">
        <is>
          <t>SO202510074</t>
        </is>
      </c>
      <c r="C162" s="4" t="inlineStr">
        <is>
          <t>苏州大匠电商平台</t>
        </is>
      </c>
      <c r="D162" s="4" t="inlineStr">
        <is>
          <t>团餐</t>
        </is>
      </c>
      <c r="E162" s="4" t="inlineStr">
        <is>
          <t>10kg</t>
        </is>
      </c>
      <c r="F162" s="18" t="n">
        <v>2640</v>
      </c>
      <c r="G162" s="15" t="n">
        <v>16.78</v>
      </c>
      <c r="H162" s="15" t="n">
        <v>44299.2</v>
      </c>
      <c r="I162" s="4" t="inlineStr">
        <is>
          <t>浙江分部</t>
        </is>
      </c>
      <c r="J162" s="4" t="inlineStr">
        <is>
          <t>张芳敏</t>
        </is>
      </c>
    </row>
    <row r="163">
      <c r="A163" s="14" t="n">
        <v>46011</v>
      </c>
      <c r="B163" s="4" t="inlineStr">
        <is>
          <t>SO202510151</t>
        </is>
      </c>
      <c r="C163" s="4" t="inlineStr">
        <is>
          <t>嘉兴大匠供应链有限公司</t>
        </is>
      </c>
      <c r="D163" s="4" t="inlineStr">
        <is>
          <t>酱料</t>
        </is>
      </c>
      <c r="E163" s="4" t="inlineStr">
        <is>
          <t>特级</t>
        </is>
      </c>
      <c r="F163" s="18" t="n">
        <v>2960</v>
      </c>
      <c r="G163" s="15" t="n">
        <v>147.5</v>
      </c>
      <c r="H163" s="15" t="n">
        <v>436600</v>
      </c>
      <c r="I163" s="4" t="inlineStr">
        <is>
          <t>江苏分部</t>
        </is>
      </c>
      <c r="J163" s="4" t="inlineStr">
        <is>
          <t>赵伟娜</t>
        </is>
      </c>
    </row>
    <row r="164">
      <c r="A164" s="14" t="n">
        <v>46013</v>
      </c>
      <c r="B164" s="4" t="inlineStr">
        <is>
          <t>SO202510155</t>
        </is>
      </c>
      <c r="C164" s="4" t="inlineStr">
        <is>
          <t>镇江京功食品有限公司</t>
        </is>
      </c>
      <c r="D164" s="4" t="inlineStr">
        <is>
          <t>复合调味粉</t>
        </is>
      </c>
      <c r="E164" s="4" t="inlineStr">
        <is>
          <t>1kg</t>
        </is>
      </c>
      <c r="F164" s="18" t="n">
        <v>4260</v>
      </c>
      <c r="G164" s="15" t="n">
        <v>112.22</v>
      </c>
      <c r="H164" s="15" t="n">
        <v>478057.2</v>
      </c>
      <c r="I164" s="4" t="inlineStr">
        <is>
          <t>江苏分部</t>
        </is>
      </c>
      <c r="J164" s="4" t="inlineStr">
        <is>
          <t>刘杰英</t>
        </is>
      </c>
    </row>
    <row r="165">
      <c r="A165" s="14" t="n">
        <v>46016</v>
      </c>
      <c r="B165" s="4" t="inlineStr">
        <is>
          <t>SO202510115</t>
        </is>
      </c>
      <c r="C165" s="4" t="inlineStr">
        <is>
          <t>温州京功餐饮管理有限公司</t>
        </is>
      </c>
      <c r="D165" s="4" t="inlineStr">
        <is>
          <t>复合调味粉</t>
        </is>
      </c>
      <c r="E165" s="4" t="inlineStr">
        <is>
          <t>2.5kg</t>
        </is>
      </c>
      <c r="F165" s="18" t="n">
        <v>2420</v>
      </c>
      <c r="G165" s="15" t="n">
        <v>22.37</v>
      </c>
      <c r="H165" s="15" t="n">
        <v>54135.4</v>
      </c>
      <c r="I165" s="4" t="inlineStr">
        <is>
          <t>浙江分部</t>
        </is>
      </c>
      <c r="J165" s="4" t="inlineStr">
        <is>
          <t>吴英芳</t>
        </is>
      </c>
    </row>
    <row r="166">
      <c r="A166" s="14" t="n">
        <v>46017</v>
      </c>
      <c r="B166" s="4" t="inlineStr">
        <is>
          <t>SO202510117</t>
        </is>
      </c>
      <c r="C166" s="4" t="inlineStr">
        <is>
          <t>上海百味餐饮管理有限公司</t>
        </is>
      </c>
      <c r="D166" s="4" t="inlineStr">
        <is>
          <t>川味底料</t>
        </is>
      </c>
      <c r="E166" s="4" t="inlineStr">
        <is>
          <t>B级</t>
        </is>
      </c>
      <c r="F166" s="18" t="n">
        <v>2890</v>
      </c>
      <c r="G166" s="15" t="n">
        <v>67.45999999999999</v>
      </c>
      <c r="H166" s="15" t="n">
        <v>194959.4</v>
      </c>
      <c r="I166" s="4" t="inlineStr">
        <is>
          <t>浙江分部</t>
        </is>
      </c>
      <c r="J166" s="4" t="inlineStr">
        <is>
          <t>罗兰伟</t>
        </is>
      </c>
    </row>
    <row r="167">
      <c r="A167" s="14" t="n">
        <v>46019</v>
      </c>
      <c r="B167" s="4" t="inlineStr">
        <is>
          <t>SO202510112</t>
        </is>
      </c>
      <c r="C167" s="4" t="inlineStr">
        <is>
          <t>南京京功电商平台</t>
        </is>
      </c>
      <c r="D167" s="4" t="inlineStr">
        <is>
          <t>团餐</t>
        </is>
      </c>
      <c r="E167" s="4" t="inlineStr">
        <is>
          <t>25kg</t>
        </is>
      </c>
      <c r="F167" s="18" t="n">
        <v>1020</v>
      </c>
      <c r="G167" s="15" t="n">
        <v>96.95</v>
      </c>
      <c r="H167" s="15" t="n">
        <v>98889</v>
      </c>
      <c r="I167" s="4" t="inlineStr">
        <is>
          <t>浙江分部</t>
        </is>
      </c>
      <c r="J167" s="4" t="inlineStr">
        <is>
          <t>李秀娜</t>
        </is>
      </c>
    </row>
    <row r="168">
      <c r="A168" s="6" t="inlineStr">
        <is>
          <t>合计</t>
        </is>
      </c>
      <c r="F168" s="19" t="n">
        <v>395490</v>
      </c>
      <c r="H168" s="16" t="n">
        <v>31502859.4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江苏美鑫食品科技有限公司应收账款账龄分析表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昆明永利食品有限公司</t>
        </is>
      </c>
      <c r="B5" s="15" t="n">
        <v>955244.8199999999</v>
      </c>
      <c r="C5" s="15" t="n">
        <v>580471.77</v>
      </c>
      <c r="D5" s="15" t="n">
        <v>202656.35</v>
      </c>
      <c r="E5" s="15" t="n">
        <v>53245.63</v>
      </c>
      <c r="F5" s="15" t="n">
        <v>107369.12</v>
      </c>
      <c r="G5" s="15" t="n">
        <v>11501.95</v>
      </c>
      <c r="H5" s="15" t="n">
        <v>1172106.3</v>
      </c>
    </row>
    <row r="6">
      <c r="A6" s="4" t="inlineStr">
        <is>
          <t>杭州永利食品有限公司</t>
        </is>
      </c>
      <c r="B6" s="15" t="n">
        <v>1063665.72</v>
      </c>
      <c r="C6" s="15" t="n">
        <v>606598.04</v>
      </c>
      <c r="D6" s="15" t="n">
        <v>311780.11</v>
      </c>
      <c r="E6" s="15" t="n">
        <v>48873.43</v>
      </c>
      <c r="F6" s="15" t="n">
        <v>92157.61</v>
      </c>
      <c r="G6" s="15" t="n">
        <v>4256.53</v>
      </c>
      <c r="H6" s="15" t="n">
        <v>1196699.36</v>
      </c>
    </row>
    <row r="7">
      <c r="A7" s="4" t="inlineStr">
        <is>
          <t>昆明荣泰电子商务有限公司</t>
        </is>
      </c>
      <c r="B7" s="15" t="n">
        <v>460467.81</v>
      </c>
      <c r="C7" s="15" t="n">
        <v>230583.62</v>
      </c>
      <c r="D7" s="15" t="n">
        <v>153349.44</v>
      </c>
      <c r="E7" s="15" t="n">
        <v>42832.22</v>
      </c>
      <c r="F7" s="15" t="n">
        <v>2867.61</v>
      </c>
      <c r="G7" s="15" t="n">
        <v>30834.92</v>
      </c>
      <c r="H7" s="15" t="n">
        <v>930099.67</v>
      </c>
    </row>
    <row r="8">
      <c r="A8" s="4" t="inlineStr">
        <is>
          <t>杭州汇通餐饮集团</t>
        </is>
      </c>
      <c r="B8" s="15" t="n">
        <v>591289.65</v>
      </c>
      <c r="C8" s="15" t="n">
        <v>313325.38</v>
      </c>
      <c r="D8" s="15" t="n">
        <v>166475.35</v>
      </c>
      <c r="E8" s="15" t="n">
        <v>19909.36</v>
      </c>
      <c r="F8" s="15" t="n">
        <v>58726.37</v>
      </c>
      <c r="G8" s="15" t="n">
        <v>32853.19</v>
      </c>
      <c r="H8" s="15" t="n">
        <v>1271879.14</v>
      </c>
    </row>
    <row r="9">
      <c r="A9" s="4" t="inlineStr">
        <is>
          <t>苏州永利电子商务有限公司</t>
        </is>
      </c>
      <c r="B9" s="15" t="n">
        <v>1390490.02</v>
      </c>
      <c r="C9" s="15" t="n">
        <v>765832.3</v>
      </c>
      <c r="D9" s="15" t="n">
        <v>373559.94</v>
      </c>
      <c r="E9" s="15" t="n">
        <v>87191.66</v>
      </c>
      <c r="F9" s="15" t="n">
        <v>94820.55</v>
      </c>
      <c r="G9" s="15" t="n">
        <v>69085.57000000001</v>
      </c>
      <c r="H9" s="15" t="n">
        <v>2658460.16</v>
      </c>
    </row>
    <row r="10">
      <c r="A10" s="4" t="inlineStr">
        <is>
          <t>杭州京功电子商务有限公司</t>
        </is>
      </c>
      <c r="B10" s="15" t="n">
        <v>611878.23</v>
      </c>
      <c r="C10" s="15" t="n">
        <v>232690.85</v>
      </c>
      <c r="D10" s="15" t="n">
        <v>197040.66</v>
      </c>
      <c r="E10" s="15" t="n">
        <v>49026.14</v>
      </c>
      <c r="F10" s="15" t="n">
        <v>89525.23</v>
      </c>
      <c r="G10" s="15" t="n">
        <v>43595.35</v>
      </c>
      <c r="H10" s="15" t="n">
        <v>905791.46</v>
      </c>
    </row>
    <row r="11">
      <c r="A11" s="4" t="inlineStr">
        <is>
          <t>成都京功供应链有限公司</t>
        </is>
      </c>
      <c r="B11" s="15" t="n">
        <v>798275.97</v>
      </c>
      <c r="C11" s="15" t="n">
        <v>303362.35</v>
      </c>
      <c r="D11" s="15" t="n">
        <v>298526.13</v>
      </c>
      <c r="E11" s="15" t="n">
        <v>53088.77</v>
      </c>
      <c r="F11" s="15" t="n">
        <v>86896.63</v>
      </c>
      <c r="G11" s="15" t="n">
        <v>56402.09</v>
      </c>
      <c r="H11" s="15" t="n">
        <v>1422086.72</v>
      </c>
    </row>
    <row r="12">
      <c r="A12" s="4" t="inlineStr">
        <is>
          <t>深圳百味进出口有限公司</t>
        </is>
      </c>
      <c r="B12" s="15" t="n">
        <v>987680.1800000001</v>
      </c>
      <c r="C12" s="15" t="n">
        <v>547252.28</v>
      </c>
      <c r="D12" s="15" t="n">
        <v>279143.59</v>
      </c>
      <c r="E12" s="15" t="n">
        <v>60752.51</v>
      </c>
      <c r="F12" s="15" t="n">
        <v>97451.67</v>
      </c>
      <c r="G12" s="15" t="n">
        <v>3080.13</v>
      </c>
      <c r="H12" s="15" t="n">
        <v>1074070.69</v>
      </c>
    </row>
    <row r="13">
      <c r="A13" s="4" t="inlineStr">
        <is>
          <t>西安汇通电子商务有限公司</t>
        </is>
      </c>
      <c r="B13" s="15" t="n">
        <v>1529956.11</v>
      </c>
      <c r="C13" s="15" t="n">
        <v>931089.64</v>
      </c>
      <c r="D13" s="15" t="n">
        <v>334580.74</v>
      </c>
      <c r="E13" s="15" t="n">
        <v>45566.7</v>
      </c>
      <c r="F13" s="15" t="n">
        <v>146859.65</v>
      </c>
      <c r="G13" s="15" t="n">
        <v>71859.38</v>
      </c>
      <c r="H13" s="15" t="n">
        <v>2549385.88</v>
      </c>
    </row>
    <row r="14">
      <c r="A14" s="4" t="inlineStr">
        <is>
          <t>天津荣泰电子商务有限公司</t>
        </is>
      </c>
      <c r="B14" s="15" t="n">
        <v>430729.01</v>
      </c>
      <c r="C14" s="15" t="n">
        <v>177115.11</v>
      </c>
      <c r="D14" s="15" t="n">
        <v>161153.63</v>
      </c>
      <c r="E14" s="15" t="n">
        <v>63050.82</v>
      </c>
      <c r="F14" s="15" t="n">
        <v>17725.36</v>
      </c>
      <c r="G14" s="15" t="n">
        <v>11684.09</v>
      </c>
      <c r="H14" s="15" t="n">
        <v>924895.33</v>
      </c>
    </row>
    <row r="15">
      <c r="A15" s="4" t="inlineStr">
        <is>
          <t>宁波鑫达进出口有限公司</t>
        </is>
      </c>
      <c r="B15" s="15" t="n">
        <v>513201.99</v>
      </c>
      <c r="C15" s="15" t="n">
        <v>317451.29</v>
      </c>
      <c r="D15" s="15" t="n">
        <v>129476.7</v>
      </c>
      <c r="E15" s="15" t="n">
        <v>8815.98</v>
      </c>
      <c r="F15" s="15" t="n">
        <v>54536.72</v>
      </c>
      <c r="G15" s="15" t="n">
        <v>2921.3</v>
      </c>
      <c r="H15" s="15" t="n">
        <v>1254366.72</v>
      </c>
    </row>
    <row r="16">
      <c r="A16" s="4" t="inlineStr">
        <is>
          <t>无锡京功实业有限公司</t>
        </is>
      </c>
      <c r="B16" s="15" t="n">
        <v>1458382.13</v>
      </c>
      <c r="C16" s="15" t="n">
        <v>659669.58</v>
      </c>
      <c r="D16" s="15" t="n">
        <v>401443.12</v>
      </c>
      <c r="E16" s="15" t="n">
        <v>203339.2</v>
      </c>
      <c r="F16" s="15" t="n">
        <v>170303.19</v>
      </c>
      <c r="G16" s="15" t="n">
        <v>23627.04</v>
      </c>
      <c r="H16" s="15" t="n">
        <v>2940305.49</v>
      </c>
    </row>
    <row r="17">
      <c r="A17" s="4" t="inlineStr">
        <is>
          <t>无锡大匠食品有限公司</t>
        </is>
      </c>
      <c r="B17" s="15" t="n">
        <v>1436131.73</v>
      </c>
      <c r="C17" s="15" t="n">
        <v>720461.61</v>
      </c>
      <c r="D17" s="15" t="n">
        <v>357933.78</v>
      </c>
      <c r="E17" s="15" t="n">
        <v>173168.82</v>
      </c>
      <c r="F17" s="15" t="n">
        <v>106570.22</v>
      </c>
      <c r="G17" s="15" t="n">
        <v>77997.3</v>
      </c>
      <c r="H17" s="15" t="n">
        <v>1600656.76</v>
      </c>
    </row>
    <row r="18">
      <c r="A18" s="4" t="inlineStr">
        <is>
          <t>重庆京功食品有限公司</t>
        </is>
      </c>
      <c r="B18" s="15" t="n">
        <v>576289.64</v>
      </c>
      <c r="C18" s="15" t="n">
        <v>369583.24</v>
      </c>
      <c r="D18" s="15" t="n">
        <v>85000.82000000001</v>
      </c>
      <c r="E18" s="15" t="n">
        <v>83660.73</v>
      </c>
      <c r="F18" s="15" t="n">
        <v>4928.7</v>
      </c>
      <c r="G18" s="15" t="n">
        <v>33116.15</v>
      </c>
      <c r="H18" s="15" t="n">
        <v>1201459.9</v>
      </c>
    </row>
    <row r="19">
      <c r="A19" s="4" t="inlineStr">
        <is>
          <t>福州京功商贸有限公司</t>
        </is>
      </c>
      <c r="B19" s="15" t="n">
        <v>324106.93</v>
      </c>
      <c r="C19" s="15" t="n">
        <v>133795.48</v>
      </c>
      <c r="D19" s="15" t="n">
        <v>116547.03</v>
      </c>
      <c r="E19" s="15" t="n">
        <v>32531.38</v>
      </c>
      <c r="F19" s="15" t="n">
        <v>40257.28</v>
      </c>
      <c r="G19" s="15" t="n">
        <v>975.76</v>
      </c>
      <c r="H19" s="15" t="n">
        <v>400043.55</v>
      </c>
    </row>
    <row r="20">
      <c r="A20" s="4" t="inlineStr">
        <is>
          <t>福州汇通食品有限公司</t>
        </is>
      </c>
      <c r="B20" s="15" t="n">
        <v>1053372.49</v>
      </c>
      <c r="C20" s="15" t="n">
        <v>550656.8199999999</v>
      </c>
      <c r="D20" s="15" t="n">
        <v>158353.32</v>
      </c>
      <c r="E20" s="15" t="n">
        <v>133248.58</v>
      </c>
      <c r="F20" s="15" t="n">
        <v>153792.4</v>
      </c>
      <c r="G20" s="15" t="n">
        <v>57321.37</v>
      </c>
      <c r="H20" s="15" t="n">
        <v>1265504.38</v>
      </c>
    </row>
    <row r="21">
      <c r="A21" s="4" t="inlineStr">
        <is>
          <t>上海京功实业有限公司</t>
        </is>
      </c>
      <c r="B21" s="15" t="n">
        <v>541234.79</v>
      </c>
      <c r="C21" s="15" t="n">
        <v>274567.69</v>
      </c>
      <c r="D21" s="15" t="n">
        <v>155565.6</v>
      </c>
      <c r="E21" s="15" t="n">
        <v>19324.16</v>
      </c>
      <c r="F21" s="15" t="n">
        <v>50776.07</v>
      </c>
      <c r="G21" s="15" t="n">
        <v>41001.27</v>
      </c>
      <c r="H21" s="15" t="n">
        <v>1294008.7</v>
      </c>
    </row>
    <row r="22">
      <c r="A22" s="4" t="inlineStr">
        <is>
          <t>苏州优鲜实业有限公司</t>
        </is>
      </c>
      <c r="B22" s="15" t="n">
        <v>1474850.5</v>
      </c>
      <c r="C22" s="15" t="n">
        <v>813936.52</v>
      </c>
      <c r="D22" s="15" t="n">
        <v>185171.22</v>
      </c>
      <c r="E22" s="15" t="n">
        <v>172919.05</v>
      </c>
      <c r="F22" s="15" t="n">
        <v>205965.84</v>
      </c>
      <c r="G22" s="15" t="n">
        <v>96857.87</v>
      </c>
      <c r="H22" s="15" t="n">
        <v>3254328.6</v>
      </c>
    </row>
    <row r="23">
      <c r="A23" s="4" t="inlineStr">
        <is>
          <t>成都永利餐饮集团</t>
        </is>
      </c>
      <c r="B23" s="15" t="n">
        <v>757004.74</v>
      </c>
      <c r="C23" s="15" t="n">
        <v>429734.24</v>
      </c>
      <c r="D23" s="15" t="n">
        <v>189334.59</v>
      </c>
      <c r="E23" s="15" t="n">
        <v>72320.62</v>
      </c>
      <c r="F23" s="15" t="n">
        <v>44898.57</v>
      </c>
      <c r="G23" s="15" t="n">
        <v>20716.72</v>
      </c>
      <c r="H23" s="15" t="n">
        <v>1091624.39</v>
      </c>
    </row>
    <row r="24">
      <c r="A24" s="4" t="inlineStr">
        <is>
          <t>深圳优鲜食品有限公司</t>
        </is>
      </c>
      <c r="B24" s="15" t="n">
        <v>937528.38</v>
      </c>
      <c r="C24" s="15" t="n">
        <v>531620.1800000001</v>
      </c>
      <c r="D24" s="15" t="n">
        <v>268340.56</v>
      </c>
      <c r="E24" s="15" t="n">
        <v>66721.60000000001</v>
      </c>
      <c r="F24" s="15" t="n">
        <v>56882.37</v>
      </c>
      <c r="G24" s="15" t="n">
        <v>13963.67</v>
      </c>
      <c r="H24" s="15" t="n">
        <v>1604729.41</v>
      </c>
    </row>
    <row r="25">
      <c r="A25" s="4" t="inlineStr">
        <is>
          <t>无锡京功餐饮集团</t>
        </is>
      </c>
      <c r="B25" s="15" t="n">
        <v>1272687.49</v>
      </c>
      <c r="C25" s="15" t="n">
        <v>777178.4</v>
      </c>
      <c r="D25" s="15" t="n">
        <v>355949.11</v>
      </c>
      <c r="E25" s="15" t="n">
        <v>31285.9</v>
      </c>
      <c r="F25" s="15" t="n">
        <v>54733</v>
      </c>
      <c r="G25" s="15" t="n">
        <v>53541.08</v>
      </c>
      <c r="H25" s="15" t="n">
        <v>1363212.4</v>
      </c>
    </row>
    <row r="26">
      <c r="A26" s="4" t="inlineStr">
        <is>
          <t>天津永利实业有限公司</t>
        </is>
      </c>
      <c r="B26" s="15" t="n">
        <v>440106.73</v>
      </c>
      <c r="C26" s="15" t="n">
        <v>237288.24</v>
      </c>
      <c r="D26" s="15" t="n">
        <v>97058.92999999999</v>
      </c>
      <c r="E26" s="15" t="n">
        <v>60790.89</v>
      </c>
      <c r="F26" s="15" t="n">
        <v>21540.96</v>
      </c>
      <c r="G26" s="15" t="n">
        <v>23427.71</v>
      </c>
      <c r="H26" s="15" t="n">
        <v>993932.0699999999</v>
      </c>
    </row>
    <row r="27">
      <c r="A27" s="4" t="inlineStr">
        <is>
          <t>天津永利供应链有限公司</t>
        </is>
      </c>
      <c r="B27" s="15" t="n">
        <v>994520.22</v>
      </c>
      <c r="C27" s="15" t="n">
        <v>486268.14</v>
      </c>
      <c r="D27" s="15" t="n">
        <v>259751.39</v>
      </c>
      <c r="E27" s="15" t="n">
        <v>80203.24000000001</v>
      </c>
      <c r="F27" s="15" t="n">
        <v>131298.81</v>
      </c>
      <c r="G27" s="15" t="n">
        <v>36998.64</v>
      </c>
      <c r="H27" s="15" t="n">
        <v>2397850.33</v>
      </c>
    </row>
    <row r="28">
      <c r="A28" s="4" t="inlineStr">
        <is>
          <t>厦门汇通连锁超市</t>
        </is>
      </c>
      <c r="B28" s="15" t="n">
        <v>534383.47</v>
      </c>
      <c r="C28" s="15" t="n">
        <v>221304.67</v>
      </c>
      <c r="D28" s="15" t="n">
        <v>127837.89</v>
      </c>
      <c r="E28" s="15" t="n">
        <v>88995.00999999999</v>
      </c>
      <c r="F28" s="15" t="n">
        <v>57303.63</v>
      </c>
      <c r="G28" s="15" t="n">
        <v>38942.27</v>
      </c>
      <c r="H28" s="15" t="n">
        <v>723234.71</v>
      </c>
    </row>
    <row r="29">
      <c r="A29" s="4" t="inlineStr">
        <is>
          <t>天津荣泰实业有限公司</t>
        </is>
      </c>
      <c r="B29" s="15" t="n">
        <v>14800.06</v>
      </c>
      <c r="C29" s="15" t="n">
        <v>8118.24</v>
      </c>
      <c r="D29" s="15" t="n">
        <v>4041.41</v>
      </c>
      <c r="E29" s="15" t="n">
        <v>291.33</v>
      </c>
      <c r="F29" s="15" t="n">
        <v>1501.04</v>
      </c>
      <c r="G29" s="15" t="n">
        <v>848.04</v>
      </c>
      <c r="H29" s="15" t="n">
        <v>36638.76</v>
      </c>
    </row>
    <row r="30">
      <c r="A30" s="6" t="inlineStr">
        <is>
          <t>合计</t>
        </is>
      </c>
      <c r="B30" s="16" t="n">
        <v>21148278.81</v>
      </c>
      <c r="C30" s="16" t="n">
        <v>11219955.68</v>
      </c>
      <c r="D30" s="16" t="n">
        <v>5370071.41</v>
      </c>
      <c r="E30" s="16" t="n">
        <v>1751153.73</v>
      </c>
      <c r="F30" s="16" t="n">
        <v>1949688.6</v>
      </c>
      <c r="G30" s="16" t="n">
        <v>857409.39</v>
      </c>
      <c r="H30" s="16" t="n">
        <v>35527370.88</v>
      </c>
    </row>
    <row r="31">
      <c r="A31" s="6" t="inlineStr">
        <is>
          <t>占比</t>
        </is>
      </c>
      <c r="B31" s="20" t="n">
        <v>1</v>
      </c>
      <c r="C31" s="20" t="n">
        <v>0.5305</v>
      </c>
      <c r="D31" s="20" t="n">
        <v>0.2539</v>
      </c>
      <c r="E31" s="20" t="n">
        <v>0.0828</v>
      </c>
      <c r="F31" s="20" t="n">
        <v>0.0922</v>
      </c>
      <c r="G31" s="20" t="n">
        <v>0.0405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江苏美鑫食品科技有限公司2025年12月库存台账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中式汤底</t>
        </is>
      </c>
      <c r="B4" s="4" t="inlineStr">
        <is>
          <t>5kg/箱</t>
        </is>
      </c>
      <c r="C4" s="18" t="n">
        <v>76</v>
      </c>
      <c r="D4" s="18" t="n">
        <v>5762</v>
      </c>
      <c r="E4" s="18" t="n">
        <v>2769</v>
      </c>
      <c r="F4" s="18" t="n">
        <v>3069</v>
      </c>
      <c r="G4" s="18" t="n">
        <v>4982</v>
      </c>
      <c r="H4" s="18" t="n">
        <v>3663</v>
      </c>
      <c r="I4" s="18" t="n">
        <v>1570</v>
      </c>
      <c r="J4" s="18" t="n">
        <v>7075</v>
      </c>
      <c r="K4" s="18" t="n">
        <v>3766</v>
      </c>
      <c r="L4" s="18" t="n">
        <v>2826</v>
      </c>
      <c r="M4" s="18" t="n">
        <v>5515</v>
      </c>
      <c r="N4" s="18" t="n">
        <v>1077</v>
      </c>
      <c r="O4" s="18" t="n">
        <v>574</v>
      </c>
      <c r="P4" s="18" t="n">
        <v>5820</v>
      </c>
      <c r="Q4" s="18" t="n">
        <v>4843</v>
      </c>
      <c r="R4" s="18" t="n">
        <v>1551</v>
      </c>
      <c r="S4" s="18" t="n">
        <v>9398</v>
      </c>
      <c r="T4" s="18" t="n">
        <v>18071</v>
      </c>
      <c r="U4" s="18" t="n">
        <v>14697</v>
      </c>
      <c r="V4" s="18" t="n">
        <v>12772</v>
      </c>
    </row>
    <row r="5">
      <c r="A5" s="4" t="inlineStr">
        <is>
          <t>酱料</t>
        </is>
      </c>
      <c r="B5" s="4" t="inlineStr">
        <is>
          <t>1kg/箱</t>
        </is>
      </c>
      <c r="C5" s="18" t="n">
        <v>2107</v>
      </c>
      <c r="D5" s="18" t="n">
        <v>3187</v>
      </c>
      <c r="E5" s="18" t="n">
        <v>2121</v>
      </c>
      <c r="F5" s="18" t="n">
        <v>3173</v>
      </c>
      <c r="G5" s="18" t="n">
        <v>4276</v>
      </c>
      <c r="H5" s="18" t="n">
        <v>5038</v>
      </c>
      <c r="I5" s="18" t="n">
        <v>302</v>
      </c>
      <c r="J5" s="18" t="n">
        <v>9012</v>
      </c>
      <c r="K5" s="18" t="n">
        <v>958</v>
      </c>
      <c r="L5" s="18" t="n">
        <v>1354</v>
      </c>
      <c r="M5" s="18" t="n">
        <v>1221</v>
      </c>
      <c r="N5" s="18" t="n">
        <v>1091</v>
      </c>
      <c r="O5" s="18" t="n">
        <v>4375</v>
      </c>
      <c r="P5" s="18" t="n">
        <v>2445</v>
      </c>
      <c r="Q5" s="18" t="n">
        <v>6532</v>
      </c>
      <c r="R5" s="18" t="n">
        <v>288</v>
      </c>
      <c r="S5" s="18" t="n">
        <v>11716</v>
      </c>
      <c r="T5" s="18" t="n">
        <v>12024</v>
      </c>
      <c r="U5" s="18" t="n">
        <v>10176</v>
      </c>
      <c r="V5" s="18" t="n">
        <v>13564</v>
      </c>
    </row>
    <row r="6">
      <c r="A6" s="4" t="inlineStr">
        <is>
          <t>川味底料</t>
        </is>
      </c>
      <c r="B6" s="4" t="inlineStr">
        <is>
          <t>2.5kg/箱</t>
        </is>
      </c>
      <c r="C6" s="18" t="n">
        <v>3970</v>
      </c>
      <c r="D6" s="18" t="n">
        <v>5048</v>
      </c>
      <c r="E6" s="18" t="n">
        <v>2065</v>
      </c>
      <c r="F6" s="18" t="n">
        <v>6953</v>
      </c>
      <c r="G6" s="18" t="n">
        <v>3506</v>
      </c>
      <c r="H6" s="18" t="n">
        <v>5988</v>
      </c>
      <c r="I6" s="18" t="n">
        <v>6537</v>
      </c>
      <c r="J6" s="18" t="n">
        <v>2957</v>
      </c>
      <c r="K6" s="18" t="n">
        <v>2912</v>
      </c>
      <c r="L6" s="18" t="n">
        <v>3435</v>
      </c>
      <c r="M6" s="18" t="n">
        <v>1053</v>
      </c>
      <c r="N6" s="18" t="n">
        <v>5294</v>
      </c>
      <c r="O6" s="18" t="n">
        <v>622</v>
      </c>
      <c r="P6" s="18" t="n">
        <v>3050</v>
      </c>
      <c r="Q6" s="18" t="n">
        <v>1757</v>
      </c>
      <c r="R6" s="18" t="n">
        <v>1915</v>
      </c>
      <c r="S6" s="18" t="n">
        <v>11010</v>
      </c>
      <c r="T6" s="18" t="n">
        <v>17521</v>
      </c>
      <c r="U6" s="18" t="n">
        <v>11412</v>
      </c>
      <c r="V6" s="18" t="n">
        <v>17119</v>
      </c>
    </row>
    <row r="7">
      <c r="A7" s="4" t="inlineStr">
        <is>
          <t>调味汁</t>
        </is>
      </c>
      <c r="B7" s="4" t="inlineStr">
        <is>
          <t>10kg/桶</t>
        </is>
      </c>
      <c r="C7" s="18" t="n">
        <v>3343</v>
      </c>
      <c r="D7" s="18" t="n">
        <v>1214</v>
      </c>
      <c r="E7" s="18" t="n">
        <v>1163</v>
      </c>
      <c r="F7" s="18" t="n">
        <v>3394</v>
      </c>
      <c r="G7" s="18" t="n">
        <v>2016</v>
      </c>
      <c r="H7" s="18" t="n">
        <v>7209</v>
      </c>
      <c r="I7" s="18" t="n">
        <v>588</v>
      </c>
      <c r="J7" s="18" t="n">
        <v>8637</v>
      </c>
      <c r="K7" s="18" t="n">
        <v>3862</v>
      </c>
      <c r="L7" s="18" t="n">
        <v>331</v>
      </c>
      <c r="M7" s="18" t="n">
        <v>3511</v>
      </c>
      <c r="N7" s="18" t="n">
        <v>682</v>
      </c>
      <c r="O7" s="18" t="n">
        <v>2796</v>
      </c>
      <c r="P7" s="18" t="n">
        <v>5124</v>
      </c>
      <c r="Q7" s="18" t="n">
        <v>2147</v>
      </c>
      <c r="R7" s="18" t="n">
        <v>5773</v>
      </c>
      <c r="S7" s="18" t="n">
        <v>12017</v>
      </c>
      <c r="T7" s="18" t="n">
        <v>13878</v>
      </c>
      <c r="U7" s="18" t="n">
        <v>7409</v>
      </c>
      <c r="V7" s="18" t="n">
        <v>18486</v>
      </c>
    </row>
    <row r="8">
      <c r="A8" s="4" t="inlineStr">
        <is>
          <t>复合调味粉</t>
        </is>
      </c>
      <c r="B8" s="4" t="inlineStr">
        <is>
          <t>10kg/桶</t>
        </is>
      </c>
      <c r="C8" s="18" t="n">
        <v>297</v>
      </c>
      <c r="D8" s="18" t="n">
        <v>7197</v>
      </c>
      <c r="E8" s="18" t="n">
        <v>2669</v>
      </c>
      <c r="F8" s="18" t="n">
        <v>4825</v>
      </c>
      <c r="G8" s="18" t="n">
        <v>1951</v>
      </c>
      <c r="H8" s="18" t="n">
        <v>936</v>
      </c>
      <c r="I8" s="18" t="n">
        <v>1631</v>
      </c>
      <c r="J8" s="18" t="n">
        <v>1256</v>
      </c>
      <c r="K8" s="18" t="n">
        <v>337</v>
      </c>
      <c r="L8" s="18" t="n">
        <v>1175</v>
      </c>
      <c r="M8" s="18" t="n">
        <v>347</v>
      </c>
      <c r="N8" s="18" t="n">
        <v>1165</v>
      </c>
      <c r="O8" s="18" t="n">
        <v>3732</v>
      </c>
      <c r="P8" s="18" t="n">
        <v>5307</v>
      </c>
      <c r="Q8" s="18" t="n">
        <v>2533</v>
      </c>
      <c r="R8" s="18" t="n">
        <v>6506</v>
      </c>
      <c r="S8" s="18" t="n">
        <v>6317</v>
      </c>
      <c r="T8" s="18" t="n">
        <v>14615</v>
      </c>
      <c r="U8" s="18" t="n">
        <v>7180</v>
      </c>
      <c r="V8" s="18" t="n">
        <v>13752</v>
      </c>
    </row>
    <row r="9">
      <c r="A9" s="4" t="inlineStr">
        <is>
          <t>团餐</t>
        </is>
      </c>
      <c r="B9" s="4" t="inlineStr">
        <is>
          <t>1kg/箱</t>
        </is>
      </c>
      <c r="C9" s="18" t="n">
        <v>2082</v>
      </c>
      <c r="D9" s="18" t="n">
        <v>533</v>
      </c>
      <c r="E9" s="18" t="n">
        <v>953</v>
      </c>
      <c r="F9" s="18" t="n">
        <v>1662</v>
      </c>
      <c r="G9" s="18" t="n">
        <v>3654</v>
      </c>
      <c r="H9" s="18" t="n">
        <v>7966</v>
      </c>
      <c r="I9" s="18" t="n">
        <v>5611</v>
      </c>
      <c r="J9" s="18" t="n">
        <v>6009</v>
      </c>
      <c r="K9" s="18" t="n">
        <v>1493</v>
      </c>
      <c r="L9" s="18" t="n">
        <v>6722</v>
      </c>
      <c r="M9" s="18" t="n">
        <v>5409</v>
      </c>
      <c r="N9" s="18" t="n">
        <v>2806</v>
      </c>
      <c r="O9" s="18" t="n">
        <v>4080</v>
      </c>
      <c r="P9" s="18" t="n">
        <v>652</v>
      </c>
      <c r="Q9" s="18" t="n">
        <v>4478</v>
      </c>
      <c r="R9" s="18" t="n">
        <v>254</v>
      </c>
      <c r="S9" s="18" t="n">
        <v>11309</v>
      </c>
      <c r="T9" s="18" t="n">
        <v>15873</v>
      </c>
      <c r="U9" s="18" t="n">
        <v>16451</v>
      </c>
      <c r="V9" s="18" t="n">
        <v>10731</v>
      </c>
    </row>
    <row r="10">
      <c r="A10" s="4" t="inlineStr">
        <is>
          <t>预制菜</t>
        </is>
      </c>
      <c r="B10" s="4" t="inlineStr">
        <is>
          <t>5kg/箱</t>
        </is>
      </c>
      <c r="C10" s="18" t="n">
        <v>1376</v>
      </c>
      <c r="D10" s="18" t="n">
        <v>2428</v>
      </c>
      <c r="E10" s="18" t="n">
        <v>1301</v>
      </c>
      <c r="F10" s="18" t="n">
        <v>2503</v>
      </c>
      <c r="G10" s="18" t="n">
        <v>3790</v>
      </c>
      <c r="H10" s="18" t="n">
        <v>7245</v>
      </c>
      <c r="I10" s="18" t="n">
        <v>2964</v>
      </c>
      <c r="J10" s="18" t="n">
        <v>8071</v>
      </c>
      <c r="K10" s="18" t="n">
        <v>3477</v>
      </c>
      <c r="L10" s="18" t="n">
        <v>1640</v>
      </c>
      <c r="M10" s="18" t="n">
        <v>593</v>
      </c>
      <c r="N10" s="18" t="n">
        <v>4524</v>
      </c>
      <c r="O10" s="18" t="n">
        <v>911</v>
      </c>
      <c r="P10" s="18" t="n">
        <v>1165</v>
      </c>
      <c r="Q10" s="18" t="n">
        <v>1361</v>
      </c>
      <c r="R10" s="18" t="n">
        <v>715</v>
      </c>
      <c r="S10" s="18" t="n">
        <v>9554</v>
      </c>
      <c r="T10" s="18" t="n">
        <v>12478</v>
      </c>
      <c r="U10" s="18" t="n">
        <v>6219</v>
      </c>
      <c r="V10" s="18" t="n">
        <v>15813</v>
      </c>
    </row>
    <row r="11">
      <c r="A11" s="6" t="inlineStr">
        <is>
          <t>合计</t>
        </is>
      </c>
      <c r="C11" s="19" t="n">
        <v>13251</v>
      </c>
      <c r="D11" s="19" t="n">
        <v>25369</v>
      </c>
      <c r="E11" s="19" t="n">
        <v>13041</v>
      </c>
      <c r="F11" s="19" t="n">
        <v>25579</v>
      </c>
      <c r="G11" s="19" t="n">
        <v>24175</v>
      </c>
      <c r="H11" s="19" t="n">
        <v>38045</v>
      </c>
      <c r="I11" s="19" t="n">
        <v>19203</v>
      </c>
      <c r="J11" s="19" t="n">
        <v>43017</v>
      </c>
      <c r="K11" s="19" t="n">
        <v>16805</v>
      </c>
      <c r="L11" s="19" t="n">
        <v>17483</v>
      </c>
      <c r="M11" s="19" t="n">
        <v>17649</v>
      </c>
      <c r="N11" s="19" t="n">
        <v>16639</v>
      </c>
      <c r="O11" s="19" t="n">
        <v>17090</v>
      </c>
      <c r="P11" s="19" t="n">
        <v>23563</v>
      </c>
      <c r="Q11" s="19" t="n">
        <v>23651</v>
      </c>
      <c r="R11" s="19" t="n">
        <v>17002</v>
      </c>
      <c r="S11" s="19" t="n">
        <v>71321</v>
      </c>
      <c r="T11" s="19" t="n">
        <v>104460</v>
      </c>
      <c r="U11" s="19" t="n">
        <v>73544</v>
      </c>
      <c r="V11" s="19" t="n">
        <v>102237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江苏美鑫食品科技有限公司2025年度经营KPI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8759.6</v>
      </c>
      <c r="C3" s="3" t="n">
        <v>8775.9</v>
      </c>
      <c r="D3" s="21" t="n">
        <v>1.0019</v>
      </c>
      <c r="E3" s="3" t="n">
        <v>6716.2</v>
      </c>
      <c r="F3" s="21" t="n">
        <v>0.3067</v>
      </c>
    </row>
    <row r="4">
      <c r="A4" s="6" t="inlineStr">
        <is>
          <t>净利润(万元)</t>
        </is>
      </c>
      <c r="B4" s="3" t="n">
        <v>716.7</v>
      </c>
      <c r="C4" s="3" t="n">
        <v>597.2</v>
      </c>
      <c r="D4" s="21" t="n">
        <v>0.8333</v>
      </c>
      <c r="E4" s="3" t="n">
        <v>477.8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0.2514</v>
      </c>
      <c r="D5" s="3" t="inlineStr">
        <is>
          <t>-</t>
        </is>
      </c>
      <c r="E5" s="21" t="n">
        <v>0.3045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0.06809999999999999</v>
      </c>
      <c r="D6" s="3" t="inlineStr">
        <is>
          <t>-</t>
        </is>
      </c>
      <c r="E6" s="21" t="n">
        <v>0.0393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424</v>
      </c>
      <c r="C7" s="3" t="n">
        <v>388</v>
      </c>
      <c r="D7" s="3" t="inlineStr">
        <is>
          <t>-</t>
        </is>
      </c>
      <c r="E7" s="3" t="n">
        <v>394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调味汁</t>
        </is>
      </c>
      <c r="C12" s="7" t="n">
        <v>1499.5</v>
      </c>
      <c r="D12" s="21" t="n">
        <v>0.1709</v>
      </c>
      <c r="E12" s="22" t="n">
        <v>0.2091</v>
      </c>
      <c r="F12" s="21" t="n">
        <v>0.4265</v>
      </c>
      <c r="H12" s="4" t="inlineStr">
        <is>
          <t>江苏分部</t>
        </is>
      </c>
      <c r="I12" s="7" t="n">
        <v>1951.6</v>
      </c>
      <c r="J12" s="7" t="n">
        <v>144.1</v>
      </c>
      <c r="K12" s="21" t="n">
        <v>0.0738</v>
      </c>
      <c r="L12" s="21" t="n">
        <v>1.0281</v>
      </c>
    </row>
    <row r="13">
      <c r="A13" s="3" t="n">
        <v>2</v>
      </c>
      <c r="B13" s="4" t="inlineStr">
        <is>
          <t>中式汤底</t>
        </is>
      </c>
      <c r="C13" s="7" t="n">
        <v>1352.9</v>
      </c>
      <c r="D13" s="21" t="n">
        <v>0.1542</v>
      </c>
      <c r="E13" s="22" t="n">
        <v>0.0373</v>
      </c>
      <c r="F13" s="21" t="n">
        <v>0.2797</v>
      </c>
      <c r="H13" s="4" t="inlineStr">
        <is>
          <t>浙江分部</t>
        </is>
      </c>
      <c r="I13" s="7" t="n">
        <v>1699.2</v>
      </c>
      <c r="J13" s="7" t="n">
        <v>130.4</v>
      </c>
      <c r="K13" s="21" t="n">
        <v>0.07679999999999999</v>
      </c>
      <c r="L13" s="21" t="n">
        <v>0.9907</v>
      </c>
    </row>
    <row r="14">
      <c r="A14" s="3" t="n">
        <v>3</v>
      </c>
      <c r="B14" s="4" t="inlineStr">
        <is>
          <t>复合调味粉</t>
        </is>
      </c>
      <c r="C14" s="7" t="n">
        <v>1303.8</v>
      </c>
      <c r="D14" s="21" t="n">
        <v>0.1486</v>
      </c>
      <c r="E14" s="22" t="n">
        <v>0.2469</v>
      </c>
      <c r="F14" s="21" t="n">
        <v>0.2867</v>
      </c>
      <c r="H14" s="4" t="inlineStr">
        <is>
          <t>上海分部</t>
        </is>
      </c>
      <c r="I14" s="7" t="n">
        <v>1893.6</v>
      </c>
      <c r="J14" s="7" t="n">
        <v>162</v>
      </c>
      <c r="K14" s="21" t="n">
        <v>0.08550000000000001</v>
      </c>
      <c r="L14" s="21" t="n">
        <v>1.0224</v>
      </c>
    </row>
    <row r="15">
      <c r="A15" s="3" t="n">
        <v>4</v>
      </c>
      <c r="B15" s="4" t="inlineStr">
        <is>
          <t>团餐</t>
        </is>
      </c>
      <c r="C15" s="7" t="n">
        <v>1263.4</v>
      </c>
      <c r="D15" s="21" t="n">
        <v>0.144</v>
      </c>
      <c r="E15" s="22" t="n">
        <v>0.2378</v>
      </c>
      <c r="F15" s="21" t="n">
        <v>0.2828</v>
      </c>
      <c r="H15" s="4" t="inlineStr">
        <is>
          <t>赣皖区域</t>
        </is>
      </c>
      <c r="I15" s="7" t="n">
        <v>1529.8</v>
      </c>
      <c r="J15" s="7" t="n">
        <v>121.2</v>
      </c>
      <c r="K15" s="21" t="n">
        <v>0.07920000000000001</v>
      </c>
      <c r="L15" s="21" t="n">
        <v>0.9679</v>
      </c>
    </row>
    <row r="16">
      <c r="A16" s="3" t="n">
        <v>5</v>
      </c>
      <c r="B16" s="4" t="inlineStr">
        <is>
          <t>预制菜</t>
        </is>
      </c>
      <c r="C16" s="7" t="n">
        <v>1234.7</v>
      </c>
      <c r="D16" s="21" t="n">
        <v>0.1407</v>
      </c>
      <c r="E16" s="22" t="n">
        <v>0.0306</v>
      </c>
      <c r="F16" s="21" t="n">
        <v>0.2579</v>
      </c>
      <c r="H16" s="4" t="inlineStr">
        <is>
          <t>安徽省区</t>
        </is>
      </c>
      <c r="I16" s="7" t="n">
        <v>554.3</v>
      </c>
      <c r="J16" s="7" t="n">
        <v>41.4</v>
      </c>
      <c r="K16" s="21" t="n">
        <v>0.0746</v>
      </c>
      <c r="L16" s="21" t="n">
        <v>1.0118</v>
      </c>
    </row>
    <row r="17">
      <c r="A17" s="3" t="n">
        <v>6</v>
      </c>
      <c r="B17" s="4" t="inlineStr">
        <is>
          <t>酱料</t>
        </is>
      </c>
      <c r="C17" s="7" t="n">
        <v>1108.4</v>
      </c>
      <c r="D17" s="21" t="n">
        <v>0.1263</v>
      </c>
      <c r="E17" s="22" t="n">
        <v>0.0449</v>
      </c>
      <c r="F17" s="21" t="n">
        <v>0.3772</v>
      </c>
      <c r="H17" s="4" t="inlineStr">
        <is>
          <t>江西省区</t>
        </is>
      </c>
      <c r="I17" s="7" t="n">
        <v>1147.5</v>
      </c>
      <c r="J17" s="7" t="n">
        <v>93.7</v>
      </c>
      <c r="K17" s="21" t="n">
        <v>0.08160000000000001</v>
      </c>
      <c r="L17" s="21" t="n">
        <v>0.9844000000000001</v>
      </c>
    </row>
    <row r="18">
      <c r="A18" s="3" t="n">
        <v>7</v>
      </c>
      <c r="B18" s="4" t="inlineStr">
        <is>
          <t>川味底料</t>
        </is>
      </c>
      <c r="C18" s="7" t="n">
        <v>1013.3</v>
      </c>
      <c r="D18" s="21" t="n">
        <v>0.1155</v>
      </c>
      <c r="E18" s="22" t="n">
        <v>-0.0166</v>
      </c>
      <c r="F18" s="21" t="n">
        <v>0.3307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江苏美鑫食品科技有限公司2025年费用预算执行表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16891</v>
      </c>
      <c r="D4" s="18" t="n">
        <v>17408</v>
      </c>
      <c r="E4" s="24" t="n">
        <v>517</v>
      </c>
      <c r="F4" s="18" t="n">
        <v>14474</v>
      </c>
      <c r="G4" s="18" t="n">
        <v>13072</v>
      </c>
      <c r="H4" s="18" t="n">
        <v>-1402</v>
      </c>
      <c r="I4" s="18" t="n">
        <v>16956</v>
      </c>
      <c r="J4" s="18" t="n">
        <v>13613</v>
      </c>
      <c r="K4" s="18" t="n">
        <v>-3343</v>
      </c>
      <c r="L4" s="18" t="n">
        <v>21255</v>
      </c>
      <c r="M4" s="18" t="n">
        <v>23868</v>
      </c>
      <c r="N4" s="24" t="n">
        <v>2613</v>
      </c>
      <c r="O4" s="18" t="n">
        <v>20096</v>
      </c>
      <c r="P4" s="18" t="n">
        <v>21109</v>
      </c>
      <c r="Q4" s="24" t="n">
        <v>1013</v>
      </c>
      <c r="R4" s="18" t="n">
        <v>24506</v>
      </c>
      <c r="S4" s="18" t="n">
        <v>21802</v>
      </c>
      <c r="T4" s="18" t="n">
        <v>-2704</v>
      </c>
      <c r="U4" s="18" t="n">
        <v>26936</v>
      </c>
      <c r="V4" s="18" t="n">
        <v>23259</v>
      </c>
      <c r="W4" s="18" t="n">
        <v>-3677</v>
      </c>
      <c r="X4" s="18" t="n">
        <v>20953</v>
      </c>
      <c r="Y4" s="18" t="n">
        <v>23653</v>
      </c>
      <c r="Z4" s="24" t="n">
        <v>2700</v>
      </c>
      <c r="AA4" s="18" t="n">
        <v>18623</v>
      </c>
      <c r="AB4" s="18" t="n">
        <v>16502</v>
      </c>
      <c r="AC4" s="18" t="n">
        <v>-2121</v>
      </c>
      <c r="AD4" s="18" t="n">
        <v>22810</v>
      </c>
      <c r="AE4" s="18" t="n">
        <v>28155</v>
      </c>
      <c r="AF4" s="24" t="n">
        <v>5345</v>
      </c>
      <c r="AG4" s="18" t="n">
        <v>22617</v>
      </c>
      <c r="AH4" s="18" t="n">
        <v>27240</v>
      </c>
      <c r="AI4" s="24" t="n">
        <v>4623</v>
      </c>
      <c r="AJ4" s="18" t="n">
        <v>29384</v>
      </c>
      <c r="AK4" s="18" t="n">
        <v>28485</v>
      </c>
      <c r="AL4" s="18" t="n">
        <v>-899</v>
      </c>
    </row>
    <row r="5">
      <c r="B5" s="4" t="inlineStr">
        <is>
          <t>差旅费</t>
        </is>
      </c>
      <c r="C5" s="18" t="n">
        <v>4980</v>
      </c>
      <c r="D5" s="18" t="n">
        <v>3946</v>
      </c>
      <c r="E5" s="18" t="n">
        <v>-1034</v>
      </c>
      <c r="F5" s="18" t="n">
        <v>4556</v>
      </c>
      <c r="G5" s="18" t="n">
        <v>5020</v>
      </c>
      <c r="H5" s="24" t="n">
        <v>464</v>
      </c>
      <c r="I5" s="18" t="n">
        <v>6595</v>
      </c>
      <c r="J5" s="18" t="n">
        <v>5280</v>
      </c>
      <c r="K5" s="18" t="n">
        <v>-1315</v>
      </c>
      <c r="L5" s="18" t="n">
        <v>7022</v>
      </c>
      <c r="M5" s="18" t="n">
        <v>7256</v>
      </c>
      <c r="N5" s="24" t="n">
        <v>234</v>
      </c>
      <c r="O5" s="18" t="n">
        <v>7417</v>
      </c>
      <c r="P5" s="18" t="n">
        <v>5598</v>
      </c>
      <c r="Q5" s="18" t="n">
        <v>-1819</v>
      </c>
      <c r="R5" s="18" t="n">
        <v>7900</v>
      </c>
      <c r="S5" s="18" t="n">
        <v>9630</v>
      </c>
      <c r="T5" s="24" t="n">
        <v>1730</v>
      </c>
      <c r="U5" s="18" t="n">
        <v>7756</v>
      </c>
      <c r="V5" s="18" t="n">
        <v>6171</v>
      </c>
      <c r="W5" s="18" t="n">
        <v>-1585</v>
      </c>
      <c r="X5" s="18" t="n">
        <v>6199</v>
      </c>
      <c r="Y5" s="18" t="n">
        <v>7566</v>
      </c>
      <c r="Z5" s="24" t="n">
        <v>1367</v>
      </c>
      <c r="AA5" s="18" t="n">
        <v>6725</v>
      </c>
      <c r="AB5" s="18" t="n">
        <v>6818</v>
      </c>
      <c r="AC5" s="24" t="n">
        <v>93</v>
      </c>
      <c r="AD5" s="18" t="n">
        <v>8273</v>
      </c>
      <c r="AE5" s="18" t="n">
        <v>6420</v>
      </c>
      <c r="AF5" s="18" t="n">
        <v>-1853</v>
      </c>
      <c r="AG5" s="18" t="n">
        <v>6783</v>
      </c>
      <c r="AH5" s="18" t="n">
        <v>8300</v>
      </c>
      <c r="AI5" s="24" t="n">
        <v>1517</v>
      </c>
      <c r="AJ5" s="18" t="n">
        <v>8885</v>
      </c>
      <c r="AK5" s="18" t="n">
        <v>8294</v>
      </c>
      <c r="AL5" s="18" t="n">
        <v>-591</v>
      </c>
    </row>
    <row r="6">
      <c r="B6" s="4" t="inlineStr">
        <is>
          <t>业务招待费</t>
        </is>
      </c>
      <c r="C6" s="18" t="n">
        <v>4328</v>
      </c>
      <c r="D6" s="18" t="n">
        <v>4436</v>
      </c>
      <c r="E6" s="24" t="n">
        <v>108</v>
      </c>
      <c r="F6" s="18" t="n">
        <v>3968</v>
      </c>
      <c r="G6" s="18" t="n">
        <v>3582</v>
      </c>
      <c r="H6" s="18" t="n">
        <v>-386</v>
      </c>
      <c r="I6" s="18" t="n">
        <v>4912</v>
      </c>
      <c r="J6" s="18" t="n">
        <v>4998</v>
      </c>
      <c r="K6" s="24" t="n">
        <v>86</v>
      </c>
      <c r="L6" s="18" t="n">
        <v>5751</v>
      </c>
      <c r="M6" s="18" t="n">
        <v>7413</v>
      </c>
      <c r="N6" s="24" t="n">
        <v>1662</v>
      </c>
      <c r="O6" s="18" t="n">
        <v>5733</v>
      </c>
      <c r="P6" s="18" t="n">
        <v>4527</v>
      </c>
      <c r="Q6" s="18" t="n">
        <v>-1206</v>
      </c>
      <c r="R6" s="18" t="n">
        <v>6045</v>
      </c>
      <c r="S6" s="18" t="n">
        <v>7542</v>
      </c>
      <c r="T6" s="24" t="n">
        <v>1497</v>
      </c>
      <c r="U6" s="18" t="n">
        <v>6520</v>
      </c>
      <c r="V6" s="18" t="n">
        <v>5450</v>
      </c>
      <c r="W6" s="18" t="n">
        <v>-1070</v>
      </c>
      <c r="X6" s="18" t="n">
        <v>5235</v>
      </c>
      <c r="Y6" s="18" t="n">
        <v>6711</v>
      </c>
      <c r="Z6" s="24" t="n">
        <v>1476</v>
      </c>
      <c r="AA6" s="18" t="n">
        <v>5392</v>
      </c>
      <c r="AB6" s="18" t="n">
        <v>3798</v>
      </c>
      <c r="AC6" s="18" t="n">
        <v>-1594</v>
      </c>
      <c r="AD6" s="18" t="n">
        <v>5654</v>
      </c>
      <c r="AE6" s="18" t="n">
        <v>5779</v>
      </c>
      <c r="AF6" s="24" t="n">
        <v>125</v>
      </c>
      <c r="AG6" s="18" t="n">
        <v>5845</v>
      </c>
      <c r="AH6" s="18" t="n">
        <v>5024</v>
      </c>
      <c r="AI6" s="18" t="n">
        <v>-821</v>
      </c>
      <c r="AJ6" s="18" t="n">
        <v>7326</v>
      </c>
      <c r="AK6" s="18" t="n">
        <v>8703</v>
      </c>
      <c r="AL6" s="24" t="n">
        <v>1377</v>
      </c>
    </row>
    <row r="7">
      <c r="B7" s="4" t="inlineStr">
        <is>
          <t>办公费</t>
        </is>
      </c>
      <c r="C7" s="18" t="n">
        <v>3846</v>
      </c>
      <c r="D7" s="18" t="n">
        <v>4950</v>
      </c>
      <c r="E7" s="24" t="n">
        <v>1104</v>
      </c>
      <c r="F7" s="18" t="n">
        <v>3290</v>
      </c>
      <c r="G7" s="18" t="n">
        <v>3030</v>
      </c>
      <c r="H7" s="18" t="n">
        <v>-260</v>
      </c>
      <c r="I7" s="18" t="n">
        <v>3905</v>
      </c>
      <c r="J7" s="18" t="n">
        <v>4820</v>
      </c>
      <c r="K7" s="24" t="n">
        <v>915</v>
      </c>
      <c r="L7" s="18" t="n">
        <v>4276</v>
      </c>
      <c r="M7" s="18" t="n">
        <v>5441</v>
      </c>
      <c r="N7" s="24" t="n">
        <v>1165</v>
      </c>
      <c r="O7" s="18" t="n">
        <v>4235</v>
      </c>
      <c r="P7" s="18" t="n">
        <v>5008</v>
      </c>
      <c r="Q7" s="24" t="n">
        <v>773</v>
      </c>
      <c r="R7" s="18" t="n">
        <v>5373</v>
      </c>
      <c r="S7" s="18" t="n">
        <v>5372</v>
      </c>
      <c r="T7" s="18" t="n">
        <v>-1</v>
      </c>
      <c r="U7" s="18" t="n">
        <v>5724</v>
      </c>
      <c r="V7" s="18" t="n">
        <v>4132</v>
      </c>
      <c r="W7" s="18" t="n">
        <v>-1592</v>
      </c>
      <c r="X7" s="18" t="n">
        <v>4350</v>
      </c>
      <c r="Y7" s="18" t="n">
        <v>3601</v>
      </c>
      <c r="Z7" s="18" t="n">
        <v>-749</v>
      </c>
      <c r="AA7" s="18" t="n">
        <v>4142</v>
      </c>
      <c r="AB7" s="18" t="n">
        <v>4653</v>
      </c>
      <c r="AC7" s="24" t="n">
        <v>511</v>
      </c>
      <c r="AD7" s="18" t="n">
        <v>5002</v>
      </c>
      <c r="AE7" s="18" t="n">
        <v>3684</v>
      </c>
      <c r="AF7" s="18" t="n">
        <v>-1318</v>
      </c>
      <c r="AG7" s="18" t="n">
        <v>4232</v>
      </c>
      <c r="AH7" s="18" t="n">
        <v>4136</v>
      </c>
      <c r="AI7" s="18" t="n">
        <v>-96</v>
      </c>
      <c r="AJ7" s="18" t="n">
        <v>6239</v>
      </c>
      <c r="AK7" s="18" t="n">
        <v>6872</v>
      </c>
      <c r="AL7" s="24" t="n">
        <v>633</v>
      </c>
    </row>
    <row r="8">
      <c r="B8" s="4" t="inlineStr">
        <is>
          <t>折旧费</t>
        </is>
      </c>
      <c r="C8" s="18" t="n">
        <v>2709</v>
      </c>
      <c r="D8" s="18" t="n">
        <v>2791</v>
      </c>
      <c r="E8" s="24" t="n">
        <v>82</v>
      </c>
      <c r="F8" s="18" t="n">
        <v>2723</v>
      </c>
      <c r="G8" s="18" t="n">
        <v>3230</v>
      </c>
      <c r="H8" s="24" t="n">
        <v>507</v>
      </c>
      <c r="I8" s="18" t="n">
        <v>3572</v>
      </c>
      <c r="J8" s="18" t="n">
        <v>2549</v>
      </c>
      <c r="K8" s="18" t="n">
        <v>-1023</v>
      </c>
      <c r="L8" s="18" t="n">
        <v>3813</v>
      </c>
      <c r="M8" s="18" t="n">
        <v>4473</v>
      </c>
      <c r="N8" s="24" t="n">
        <v>660</v>
      </c>
      <c r="O8" s="18" t="n">
        <v>3324</v>
      </c>
      <c r="P8" s="18" t="n">
        <v>3776</v>
      </c>
      <c r="Q8" s="24" t="n">
        <v>452</v>
      </c>
      <c r="R8" s="18" t="n">
        <v>3746</v>
      </c>
      <c r="S8" s="18" t="n">
        <v>3391</v>
      </c>
      <c r="T8" s="18" t="n">
        <v>-355</v>
      </c>
      <c r="U8" s="18" t="n">
        <v>4207</v>
      </c>
      <c r="V8" s="18" t="n">
        <v>3981</v>
      </c>
      <c r="W8" s="18" t="n">
        <v>-226</v>
      </c>
      <c r="X8" s="18" t="n">
        <v>3735</v>
      </c>
      <c r="Y8" s="18" t="n">
        <v>4384</v>
      </c>
      <c r="Z8" s="24" t="n">
        <v>649</v>
      </c>
      <c r="AA8" s="18" t="n">
        <v>3415</v>
      </c>
      <c r="AB8" s="18" t="n">
        <v>4401</v>
      </c>
      <c r="AC8" s="24" t="n">
        <v>986</v>
      </c>
      <c r="AD8" s="18" t="n">
        <v>4264</v>
      </c>
      <c r="AE8" s="18" t="n">
        <v>5268</v>
      </c>
      <c r="AF8" s="24" t="n">
        <v>1004</v>
      </c>
      <c r="AG8" s="18" t="n">
        <v>4013</v>
      </c>
      <c r="AH8" s="18" t="n">
        <v>4372</v>
      </c>
      <c r="AI8" s="24" t="n">
        <v>359</v>
      </c>
      <c r="AJ8" s="18" t="n">
        <v>4561</v>
      </c>
      <c r="AK8" s="18" t="n">
        <v>3477</v>
      </c>
      <c r="AL8" s="18" t="n">
        <v>-1084</v>
      </c>
    </row>
    <row r="9">
      <c r="B9" s="6" t="inlineStr">
        <is>
          <t>小计</t>
        </is>
      </c>
      <c r="C9" s="19" t="n">
        <v>32754</v>
      </c>
      <c r="D9" s="19" t="n">
        <v>33531</v>
      </c>
      <c r="E9" s="19" t="n">
        <v>777</v>
      </c>
      <c r="F9" s="19" t="n">
        <v>29011</v>
      </c>
      <c r="G9" s="19" t="n">
        <v>27934</v>
      </c>
      <c r="H9" s="19" t="n">
        <v>-1077</v>
      </c>
      <c r="I9" s="19" t="n">
        <v>35940</v>
      </c>
      <c r="J9" s="19" t="n">
        <v>31260</v>
      </c>
      <c r="K9" s="19" t="n">
        <v>-4680</v>
      </c>
      <c r="L9" s="19" t="n">
        <v>42117</v>
      </c>
      <c r="M9" s="19" t="n">
        <v>48451</v>
      </c>
      <c r="N9" s="19" t="n">
        <v>6334</v>
      </c>
      <c r="O9" s="19" t="n">
        <v>40805</v>
      </c>
      <c r="P9" s="19" t="n">
        <v>40018</v>
      </c>
      <c r="Q9" s="19" t="n">
        <v>-787</v>
      </c>
      <c r="R9" s="19" t="n">
        <v>47570</v>
      </c>
      <c r="S9" s="19" t="n">
        <v>47737</v>
      </c>
      <c r="T9" s="19" t="n">
        <v>167</v>
      </c>
      <c r="U9" s="19" t="n">
        <v>51143</v>
      </c>
      <c r="V9" s="19" t="n">
        <v>42993</v>
      </c>
      <c r="W9" s="19" t="n">
        <v>-8150</v>
      </c>
      <c r="X9" s="19" t="n">
        <v>40472</v>
      </c>
      <c r="Y9" s="19" t="n">
        <v>45915</v>
      </c>
      <c r="Z9" s="19" t="n">
        <v>5443</v>
      </c>
      <c r="AA9" s="19" t="n">
        <v>38297</v>
      </c>
      <c r="AB9" s="19" t="n">
        <v>36172</v>
      </c>
      <c r="AC9" s="19" t="n">
        <v>-2125</v>
      </c>
      <c r="AD9" s="19" t="n">
        <v>46003</v>
      </c>
      <c r="AE9" s="19" t="n">
        <v>49306</v>
      </c>
      <c r="AF9" s="19" t="n">
        <v>3303</v>
      </c>
      <c r="AG9" s="19" t="n">
        <v>43490</v>
      </c>
      <c r="AH9" s="19" t="n">
        <v>49072</v>
      </c>
      <c r="AI9" s="19" t="n">
        <v>5582</v>
      </c>
      <c r="AJ9" s="19" t="n">
        <v>56395</v>
      </c>
      <c r="AK9" s="19" t="n">
        <v>55831</v>
      </c>
      <c r="AL9" s="19" t="n">
        <v>-564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49285</v>
      </c>
      <c r="D10" s="18" t="n">
        <v>59747</v>
      </c>
      <c r="E10" s="24" t="n">
        <v>10462</v>
      </c>
      <c r="F10" s="18" t="n">
        <v>38957</v>
      </c>
      <c r="G10" s="18" t="n">
        <v>45705</v>
      </c>
      <c r="H10" s="24" t="n">
        <v>6748</v>
      </c>
      <c r="I10" s="18" t="n">
        <v>53948</v>
      </c>
      <c r="J10" s="18" t="n">
        <v>63152</v>
      </c>
      <c r="K10" s="24" t="n">
        <v>9204</v>
      </c>
      <c r="L10" s="18" t="n">
        <v>58288</v>
      </c>
      <c r="M10" s="18" t="n">
        <v>71209</v>
      </c>
      <c r="N10" s="24" t="n">
        <v>12921</v>
      </c>
      <c r="O10" s="18" t="n">
        <v>60417</v>
      </c>
      <c r="P10" s="18" t="n">
        <v>61419</v>
      </c>
      <c r="Q10" s="24" t="n">
        <v>1002</v>
      </c>
      <c r="R10" s="18" t="n">
        <v>71565</v>
      </c>
      <c r="S10" s="18" t="n">
        <v>92455</v>
      </c>
      <c r="T10" s="24" t="n">
        <v>20890</v>
      </c>
      <c r="U10" s="18" t="n">
        <v>70790</v>
      </c>
      <c r="V10" s="18" t="n">
        <v>75408</v>
      </c>
      <c r="W10" s="24" t="n">
        <v>4618</v>
      </c>
      <c r="X10" s="18" t="n">
        <v>58429</v>
      </c>
      <c r="Y10" s="18" t="n">
        <v>74743</v>
      </c>
      <c r="Z10" s="24" t="n">
        <v>16314</v>
      </c>
      <c r="AA10" s="18" t="n">
        <v>54974</v>
      </c>
      <c r="AB10" s="18" t="n">
        <v>69073</v>
      </c>
      <c r="AC10" s="24" t="n">
        <v>14099</v>
      </c>
      <c r="AD10" s="18" t="n">
        <v>63836</v>
      </c>
      <c r="AE10" s="18" t="n">
        <v>70391</v>
      </c>
      <c r="AF10" s="24" t="n">
        <v>6555</v>
      </c>
      <c r="AG10" s="18" t="n">
        <v>60894</v>
      </c>
      <c r="AH10" s="18" t="n">
        <v>50966</v>
      </c>
      <c r="AI10" s="18" t="n">
        <v>-9928</v>
      </c>
      <c r="AJ10" s="18" t="n">
        <v>74222</v>
      </c>
      <c r="AK10" s="18" t="n">
        <v>59896</v>
      </c>
      <c r="AL10" s="18" t="n">
        <v>-14326</v>
      </c>
    </row>
    <row r="11">
      <c r="B11" s="4" t="inlineStr">
        <is>
          <t>差旅费</t>
        </is>
      </c>
      <c r="C11" s="18" t="n">
        <v>17371</v>
      </c>
      <c r="D11" s="18" t="n">
        <v>22216</v>
      </c>
      <c r="E11" s="24" t="n">
        <v>4845</v>
      </c>
      <c r="F11" s="18" t="n">
        <v>13253</v>
      </c>
      <c r="G11" s="18" t="n">
        <v>13606</v>
      </c>
      <c r="H11" s="24" t="n">
        <v>353</v>
      </c>
      <c r="I11" s="18" t="n">
        <v>17650</v>
      </c>
      <c r="J11" s="18" t="n">
        <v>18017</v>
      </c>
      <c r="K11" s="24" t="n">
        <v>367</v>
      </c>
      <c r="L11" s="18" t="n">
        <v>21997</v>
      </c>
      <c r="M11" s="18" t="n">
        <v>21175</v>
      </c>
      <c r="N11" s="18" t="n">
        <v>-822</v>
      </c>
      <c r="O11" s="18" t="n">
        <v>18313</v>
      </c>
      <c r="P11" s="18" t="n">
        <v>22148</v>
      </c>
      <c r="Q11" s="24" t="n">
        <v>3835</v>
      </c>
      <c r="R11" s="18" t="n">
        <v>24077</v>
      </c>
      <c r="S11" s="18" t="n">
        <v>20309</v>
      </c>
      <c r="T11" s="18" t="n">
        <v>-3768</v>
      </c>
      <c r="U11" s="18" t="n">
        <v>24920</v>
      </c>
      <c r="V11" s="18" t="n">
        <v>31499</v>
      </c>
      <c r="W11" s="24" t="n">
        <v>6579</v>
      </c>
      <c r="X11" s="18" t="n">
        <v>20636</v>
      </c>
      <c r="Y11" s="18" t="n">
        <v>21785</v>
      </c>
      <c r="Z11" s="24" t="n">
        <v>1149</v>
      </c>
      <c r="AA11" s="18" t="n">
        <v>19519</v>
      </c>
      <c r="AB11" s="18" t="n">
        <v>24893</v>
      </c>
      <c r="AC11" s="24" t="n">
        <v>5374</v>
      </c>
      <c r="AD11" s="18" t="n">
        <v>21981</v>
      </c>
      <c r="AE11" s="18" t="n">
        <v>15806</v>
      </c>
      <c r="AF11" s="18" t="n">
        <v>-6175</v>
      </c>
      <c r="AG11" s="18" t="n">
        <v>19945</v>
      </c>
      <c r="AH11" s="18" t="n">
        <v>21575</v>
      </c>
      <c r="AI11" s="24" t="n">
        <v>1630</v>
      </c>
      <c r="AJ11" s="18" t="n">
        <v>26890</v>
      </c>
      <c r="AK11" s="18" t="n">
        <v>22152</v>
      </c>
      <c r="AL11" s="18" t="n">
        <v>-4738</v>
      </c>
    </row>
    <row r="12">
      <c r="B12" s="4" t="inlineStr">
        <is>
          <t>业务招待费</t>
        </is>
      </c>
      <c r="C12" s="18" t="n">
        <v>11914</v>
      </c>
      <c r="D12" s="18" t="n">
        <v>15088</v>
      </c>
      <c r="E12" s="24" t="n">
        <v>3174</v>
      </c>
      <c r="F12" s="18" t="n">
        <v>10339</v>
      </c>
      <c r="G12" s="18" t="n">
        <v>12569</v>
      </c>
      <c r="H12" s="24" t="n">
        <v>2230</v>
      </c>
      <c r="I12" s="18" t="n">
        <v>13871</v>
      </c>
      <c r="J12" s="18" t="n">
        <v>13968</v>
      </c>
      <c r="K12" s="24" t="n">
        <v>97</v>
      </c>
      <c r="L12" s="18" t="n">
        <v>16870</v>
      </c>
      <c r="M12" s="18" t="n">
        <v>14252</v>
      </c>
      <c r="N12" s="18" t="n">
        <v>-2618</v>
      </c>
      <c r="O12" s="18" t="n">
        <v>17687</v>
      </c>
      <c r="P12" s="18" t="n">
        <v>17674</v>
      </c>
      <c r="Q12" s="18" t="n">
        <v>-13</v>
      </c>
      <c r="R12" s="18" t="n">
        <v>19176</v>
      </c>
      <c r="S12" s="18" t="n">
        <v>17748</v>
      </c>
      <c r="T12" s="18" t="n">
        <v>-1428</v>
      </c>
      <c r="U12" s="18" t="n">
        <v>19661</v>
      </c>
      <c r="V12" s="18" t="n">
        <v>16685</v>
      </c>
      <c r="W12" s="18" t="n">
        <v>-2976</v>
      </c>
      <c r="X12" s="18" t="n">
        <v>15994</v>
      </c>
      <c r="Y12" s="18" t="n">
        <v>17189</v>
      </c>
      <c r="Z12" s="24" t="n">
        <v>1195</v>
      </c>
      <c r="AA12" s="18" t="n">
        <v>14091</v>
      </c>
      <c r="AB12" s="18" t="n">
        <v>17368</v>
      </c>
      <c r="AC12" s="24" t="n">
        <v>3277</v>
      </c>
      <c r="AD12" s="18" t="n">
        <v>18847</v>
      </c>
      <c r="AE12" s="18" t="n">
        <v>14049</v>
      </c>
      <c r="AF12" s="18" t="n">
        <v>-4798</v>
      </c>
      <c r="AG12" s="18" t="n">
        <v>16373</v>
      </c>
      <c r="AH12" s="18" t="n">
        <v>11627</v>
      </c>
      <c r="AI12" s="18" t="n">
        <v>-4746</v>
      </c>
      <c r="AJ12" s="18" t="n">
        <v>19495</v>
      </c>
      <c r="AK12" s="18" t="n">
        <v>23222</v>
      </c>
      <c r="AL12" s="24" t="n">
        <v>3727</v>
      </c>
    </row>
    <row r="13">
      <c r="B13" s="4" t="inlineStr">
        <is>
          <t>办公费</t>
        </is>
      </c>
      <c r="C13" s="18" t="n">
        <v>10192</v>
      </c>
      <c r="D13" s="18" t="n">
        <v>8848</v>
      </c>
      <c r="E13" s="18" t="n">
        <v>-1344</v>
      </c>
      <c r="F13" s="18" t="n">
        <v>10057</v>
      </c>
      <c r="G13" s="18" t="n">
        <v>9008</v>
      </c>
      <c r="H13" s="18" t="n">
        <v>-1049</v>
      </c>
      <c r="I13" s="18" t="n">
        <v>12079</v>
      </c>
      <c r="J13" s="18" t="n">
        <v>9392</v>
      </c>
      <c r="K13" s="18" t="n">
        <v>-2687</v>
      </c>
      <c r="L13" s="18" t="n">
        <v>13956</v>
      </c>
      <c r="M13" s="18" t="n">
        <v>13881</v>
      </c>
      <c r="N13" s="18" t="n">
        <v>-75</v>
      </c>
      <c r="O13" s="18" t="n">
        <v>13565</v>
      </c>
      <c r="P13" s="18" t="n">
        <v>13246</v>
      </c>
      <c r="Q13" s="18" t="n">
        <v>-319</v>
      </c>
      <c r="R13" s="18" t="n">
        <v>16370</v>
      </c>
      <c r="S13" s="18" t="n">
        <v>20554</v>
      </c>
      <c r="T13" s="24" t="n">
        <v>4184</v>
      </c>
      <c r="U13" s="18" t="n">
        <v>15804</v>
      </c>
      <c r="V13" s="18" t="n">
        <v>15154</v>
      </c>
      <c r="W13" s="18" t="n">
        <v>-650</v>
      </c>
      <c r="X13" s="18" t="n">
        <v>13861</v>
      </c>
      <c r="Y13" s="18" t="n">
        <v>13551</v>
      </c>
      <c r="Z13" s="18" t="n">
        <v>-310</v>
      </c>
      <c r="AA13" s="18" t="n">
        <v>13195</v>
      </c>
      <c r="AB13" s="18" t="n">
        <v>14523</v>
      </c>
      <c r="AC13" s="24" t="n">
        <v>1328</v>
      </c>
      <c r="AD13" s="18" t="n">
        <v>14279</v>
      </c>
      <c r="AE13" s="18" t="n">
        <v>18226</v>
      </c>
      <c r="AF13" s="24" t="n">
        <v>3947</v>
      </c>
      <c r="AG13" s="18" t="n">
        <v>13102</v>
      </c>
      <c r="AH13" s="18" t="n">
        <v>11870</v>
      </c>
      <c r="AI13" s="18" t="n">
        <v>-1232</v>
      </c>
      <c r="AJ13" s="18" t="n">
        <v>17840</v>
      </c>
      <c r="AK13" s="18" t="n">
        <v>22938</v>
      </c>
      <c r="AL13" s="24" t="n">
        <v>5098</v>
      </c>
    </row>
    <row r="14">
      <c r="B14" s="4" t="inlineStr">
        <is>
          <t>折旧费</t>
        </is>
      </c>
      <c r="C14" s="18" t="n">
        <v>7839</v>
      </c>
      <c r="D14" s="18" t="n">
        <v>7099</v>
      </c>
      <c r="E14" s="18" t="n">
        <v>-740</v>
      </c>
      <c r="F14" s="18" t="n">
        <v>8180</v>
      </c>
      <c r="G14" s="18" t="n">
        <v>6904</v>
      </c>
      <c r="H14" s="18" t="n">
        <v>-1276</v>
      </c>
      <c r="I14" s="18" t="n">
        <v>9996</v>
      </c>
      <c r="J14" s="18" t="n">
        <v>7801</v>
      </c>
      <c r="K14" s="18" t="n">
        <v>-2195</v>
      </c>
      <c r="L14" s="18" t="n">
        <v>11282</v>
      </c>
      <c r="M14" s="18" t="n">
        <v>8459</v>
      </c>
      <c r="N14" s="18" t="n">
        <v>-2823</v>
      </c>
      <c r="O14" s="18" t="n">
        <v>9993</v>
      </c>
      <c r="P14" s="18" t="n">
        <v>10077</v>
      </c>
      <c r="Q14" s="24" t="n">
        <v>84</v>
      </c>
      <c r="R14" s="18" t="n">
        <v>12804</v>
      </c>
      <c r="S14" s="18" t="n">
        <v>16315</v>
      </c>
      <c r="T14" s="24" t="n">
        <v>3511</v>
      </c>
      <c r="U14" s="18" t="n">
        <v>12437</v>
      </c>
      <c r="V14" s="18" t="n">
        <v>9260</v>
      </c>
      <c r="W14" s="18" t="n">
        <v>-3177</v>
      </c>
      <c r="X14" s="18" t="n">
        <v>10230</v>
      </c>
      <c r="Y14" s="18" t="n">
        <v>9278</v>
      </c>
      <c r="Z14" s="18" t="n">
        <v>-952</v>
      </c>
      <c r="AA14" s="18" t="n">
        <v>9082</v>
      </c>
      <c r="AB14" s="18" t="n">
        <v>8063</v>
      </c>
      <c r="AC14" s="18" t="n">
        <v>-1019</v>
      </c>
      <c r="AD14" s="18" t="n">
        <v>12479</v>
      </c>
      <c r="AE14" s="18" t="n">
        <v>13698</v>
      </c>
      <c r="AF14" s="24" t="n">
        <v>1219</v>
      </c>
      <c r="AG14" s="18" t="n">
        <v>10539</v>
      </c>
      <c r="AH14" s="18" t="n">
        <v>12493</v>
      </c>
      <c r="AI14" s="24" t="n">
        <v>1954</v>
      </c>
      <c r="AJ14" s="18" t="n">
        <v>12841</v>
      </c>
      <c r="AK14" s="18" t="n">
        <v>12480</v>
      </c>
      <c r="AL14" s="18" t="n">
        <v>-361</v>
      </c>
    </row>
    <row r="15">
      <c r="B15" s="6" t="inlineStr">
        <is>
          <t>小计</t>
        </is>
      </c>
      <c r="C15" s="19" t="n">
        <v>96601</v>
      </c>
      <c r="D15" s="19" t="n">
        <v>112998</v>
      </c>
      <c r="E15" s="19" t="n">
        <v>16397</v>
      </c>
      <c r="F15" s="19" t="n">
        <v>80786</v>
      </c>
      <c r="G15" s="19" t="n">
        <v>87792</v>
      </c>
      <c r="H15" s="19" t="n">
        <v>7006</v>
      </c>
      <c r="I15" s="19" t="n">
        <v>107544</v>
      </c>
      <c r="J15" s="19" t="n">
        <v>112330</v>
      </c>
      <c r="K15" s="19" t="n">
        <v>4786</v>
      </c>
      <c r="L15" s="19" t="n">
        <v>122393</v>
      </c>
      <c r="M15" s="19" t="n">
        <v>128976</v>
      </c>
      <c r="N15" s="19" t="n">
        <v>6583</v>
      </c>
      <c r="O15" s="19" t="n">
        <v>119975</v>
      </c>
      <c r="P15" s="19" t="n">
        <v>124564</v>
      </c>
      <c r="Q15" s="19" t="n">
        <v>4589</v>
      </c>
      <c r="R15" s="19" t="n">
        <v>143992</v>
      </c>
      <c r="S15" s="19" t="n">
        <v>167381</v>
      </c>
      <c r="T15" s="19" t="n">
        <v>23389</v>
      </c>
      <c r="U15" s="19" t="n">
        <v>143612</v>
      </c>
      <c r="V15" s="19" t="n">
        <v>148006</v>
      </c>
      <c r="W15" s="19" t="n">
        <v>4394</v>
      </c>
      <c r="X15" s="19" t="n">
        <v>119150</v>
      </c>
      <c r="Y15" s="19" t="n">
        <v>136546</v>
      </c>
      <c r="Z15" s="19" t="n">
        <v>17396</v>
      </c>
      <c r="AA15" s="19" t="n">
        <v>110861</v>
      </c>
      <c r="AB15" s="19" t="n">
        <v>133920</v>
      </c>
      <c r="AC15" s="19" t="n">
        <v>23059</v>
      </c>
      <c r="AD15" s="19" t="n">
        <v>131422</v>
      </c>
      <c r="AE15" s="19" t="n">
        <v>132170</v>
      </c>
      <c r="AF15" s="19" t="n">
        <v>748</v>
      </c>
      <c r="AG15" s="19" t="n">
        <v>120853</v>
      </c>
      <c r="AH15" s="19" t="n">
        <v>108531</v>
      </c>
      <c r="AI15" s="19" t="n">
        <v>-12322</v>
      </c>
      <c r="AJ15" s="19" t="n">
        <v>151288</v>
      </c>
      <c r="AK15" s="19" t="n">
        <v>140688</v>
      </c>
      <c r="AL15" s="19" t="n">
        <v>-10600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62919</v>
      </c>
      <c r="D16" s="18" t="n">
        <v>80908</v>
      </c>
      <c r="E16" s="24" t="n">
        <v>17989</v>
      </c>
      <c r="F16" s="18" t="n">
        <v>51053</v>
      </c>
      <c r="G16" s="18" t="n">
        <v>58996</v>
      </c>
      <c r="H16" s="24" t="n">
        <v>7943</v>
      </c>
      <c r="I16" s="18" t="n">
        <v>68881</v>
      </c>
      <c r="J16" s="18" t="n">
        <v>61166</v>
      </c>
      <c r="K16" s="18" t="n">
        <v>-7715</v>
      </c>
      <c r="L16" s="18" t="n">
        <v>84029</v>
      </c>
      <c r="M16" s="18" t="n">
        <v>89588</v>
      </c>
      <c r="N16" s="24" t="n">
        <v>5559</v>
      </c>
      <c r="O16" s="18" t="n">
        <v>81466</v>
      </c>
      <c r="P16" s="18" t="n">
        <v>61549</v>
      </c>
      <c r="Q16" s="18" t="n">
        <v>-19917</v>
      </c>
      <c r="R16" s="18" t="n">
        <v>91719</v>
      </c>
      <c r="S16" s="18" t="n">
        <v>84799</v>
      </c>
      <c r="T16" s="18" t="n">
        <v>-6920</v>
      </c>
      <c r="U16" s="18" t="n">
        <v>89984</v>
      </c>
      <c r="V16" s="18" t="n">
        <v>78962</v>
      </c>
      <c r="W16" s="18" t="n">
        <v>-11022</v>
      </c>
      <c r="X16" s="18" t="n">
        <v>72697</v>
      </c>
      <c r="Y16" s="18" t="n">
        <v>85950</v>
      </c>
      <c r="Z16" s="24" t="n">
        <v>13253</v>
      </c>
      <c r="AA16" s="18" t="n">
        <v>63899</v>
      </c>
      <c r="AB16" s="18" t="n">
        <v>75663</v>
      </c>
      <c r="AC16" s="24" t="n">
        <v>11764</v>
      </c>
      <c r="AD16" s="18" t="n">
        <v>79735</v>
      </c>
      <c r="AE16" s="18" t="n">
        <v>85987</v>
      </c>
      <c r="AF16" s="24" t="n">
        <v>6252</v>
      </c>
      <c r="AG16" s="18" t="n">
        <v>82331</v>
      </c>
      <c r="AH16" s="18" t="n">
        <v>101187</v>
      </c>
      <c r="AI16" s="24" t="n">
        <v>18856</v>
      </c>
      <c r="AJ16" s="18" t="n">
        <v>100895</v>
      </c>
      <c r="AK16" s="18" t="n">
        <v>72184</v>
      </c>
      <c r="AL16" s="18" t="n">
        <v>-28711</v>
      </c>
    </row>
    <row r="17">
      <c r="B17" s="4" t="inlineStr">
        <is>
          <t>差旅费</t>
        </is>
      </c>
      <c r="C17" s="18" t="n">
        <v>21811</v>
      </c>
      <c r="D17" s="18" t="n">
        <v>22425</v>
      </c>
      <c r="E17" s="24" t="n">
        <v>614</v>
      </c>
      <c r="F17" s="18" t="n">
        <v>17514</v>
      </c>
      <c r="G17" s="18" t="n">
        <v>12855</v>
      </c>
      <c r="H17" s="18" t="n">
        <v>-4659</v>
      </c>
      <c r="I17" s="18" t="n">
        <v>24969</v>
      </c>
      <c r="J17" s="18" t="n">
        <v>22907</v>
      </c>
      <c r="K17" s="18" t="n">
        <v>-2062</v>
      </c>
      <c r="L17" s="18" t="n">
        <v>27929</v>
      </c>
      <c r="M17" s="18" t="n">
        <v>22438</v>
      </c>
      <c r="N17" s="18" t="n">
        <v>-5491</v>
      </c>
      <c r="O17" s="18" t="n">
        <v>28341</v>
      </c>
      <c r="P17" s="18" t="n">
        <v>33200</v>
      </c>
      <c r="Q17" s="24" t="n">
        <v>4859</v>
      </c>
      <c r="R17" s="18" t="n">
        <v>30032</v>
      </c>
      <c r="S17" s="18" t="n">
        <v>26149</v>
      </c>
      <c r="T17" s="18" t="n">
        <v>-3883</v>
      </c>
      <c r="U17" s="18" t="n">
        <v>34347</v>
      </c>
      <c r="V17" s="18" t="n">
        <v>24241</v>
      </c>
      <c r="W17" s="18" t="n">
        <v>-10106</v>
      </c>
      <c r="X17" s="18" t="n">
        <v>27116</v>
      </c>
      <c r="Y17" s="18" t="n">
        <v>28462</v>
      </c>
      <c r="Z17" s="24" t="n">
        <v>1346</v>
      </c>
      <c r="AA17" s="18" t="n">
        <v>25795</v>
      </c>
      <c r="AB17" s="18" t="n">
        <v>24812</v>
      </c>
      <c r="AC17" s="18" t="n">
        <v>-983</v>
      </c>
      <c r="AD17" s="18" t="n">
        <v>27462</v>
      </c>
      <c r="AE17" s="18" t="n">
        <v>32990</v>
      </c>
      <c r="AF17" s="24" t="n">
        <v>5528</v>
      </c>
      <c r="AG17" s="18" t="n">
        <v>27553</v>
      </c>
      <c r="AH17" s="18" t="n">
        <v>28807</v>
      </c>
      <c r="AI17" s="24" t="n">
        <v>1254</v>
      </c>
      <c r="AJ17" s="18" t="n">
        <v>31104</v>
      </c>
      <c r="AK17" s="18" t="n">
        <v>36651</v>
      </c>
      <c r="AL17" s="24" t="n">
        <v>5547</v>
      </c>
    </row>
    <row r="18">
      <c r="B18" s="4" t="inlineStr">
        <is>
          <t>业务招待费</t>
        </is>
      </c>
      <c r="C18" s="18" t="n">
        <v>15307</v>
      </c>
      <c r="D18" s="18" t="n">
        <v>15782</v>
      </c>
      <c r="E18" s="24" t="n">
        <v>475</v>
      </c>
      <c r="F18" s="18" t="n">
        <v>13248</v>
      </c>
      <c r="G18" s="18" t="n">
        <v>14984</v>
      </c>
      <c r="H18" s="24" t="n">
        <v>1736</v>
      </c>
      <c r="I18" s="18" t="n">
        <v>19365</v>
      </c>
      <c r="J18" s="18" t="n">
        <v>17664</v>
      </c>
      <c r="K18" s="18" t="n">
        <v>-1701</v>
      </c>
      <c r="L18" s="18" t="n">
        <v>21149</v>
      </c>
      <c r="M18" s="18" t="n">
        <v>22202</v>
      </c>
      <c r="N18" s="24" t="n">
        <v>1053</v>
      </c>
      <c r="O18" s="18" t="n">
        <v>19020</v>
      </c>
      <c r="P18" s="18" t="n">
        <v>13621</v>
      </c>
      <c r="Q18" s="18" t="n">
        <v>-5399</v>
      </c>
      <c r="R18" s="18" t="n">
        <v>24884</v>
      </c>
      <c r="S18" s="18" t="n">
        <v>24562</v>
      </c>
      <c r="T18" s="18" t="n">
        <v>-322</v>
      </c>
      <c r="U18" s="18" t="n">
        <v>27087</v>
      </c>
      <c r="V18" s="18" t="n">
        <v>20400</v>
      </c>
      <c r="W18" s="18" t="n">
        <v>-6687</v>
      </c>
      <c r="X18" s="18" t="n">
        <v>22103</v>
      </c>
      <c r="Y18" s="18" t="n">
        <v>24164</v>
      </c>
      <c r="Z18" s="24" t="n">
        <v>2061</v>
      </c>
      <c r="AA18" s="18" t="n">
        <v>20282</v>
      </c>
      <c r="AB18" s="18" t="n">
        <v>18151</v>
      </c>
      <c r="AC18" s="18" t="n">
        <v>-2131</v>
      </c>
      <c r="AD18" s="18" t="n">
        <v>22506</v>
      </c>
      <c r="AE18" s="18" t="n">
        <v>16920</v>
      </c>
      <c r="AF18" s="18" t="n">
        <v>-5586</v>
      </c>
      <c r="AG18" s="18" t="n">
        <v>22518</v>
      </c>
      <c r="AH18" s="18" t="n">
        <v>16938</v>
      </c>
      <c r="AI18" s="18" t="n">
        <v>-5580</v>
      </c>
      <c r="AJ18" s="18" t="n">
        <v>29634</v>
      </c>
      <c r="AK18" s="18" t="n">
        <v>22768</v>
      </c>
      <c r="AL18" s="18" t="n">
        <v>-6866</v>
      </c>
    </row>
    <row r="19">
      <c r="B19" s="4" t="inlineStr">
        <is>
          <t>办公费</t>
        </is>
      </c>
      <c r="C19" s="18" t="n">
        <v>14734</v>
      </c>
      <c r="D19" s="18" t="n">
        <v>16865</v>
      </c>
      <c r="E19" s="24" t="n">
        <v>2131</v>
      </c>
      <c r="F19" s="18" t="n">
        <v>12721</v>
      </c>
      <c r="G19" s="18" t="n">
        <v>10685</v>
      </c>
      <c r="H19" s="18" t="n">
        <v>-2036</v>
      </c>
      <c r="I19" s="18" t="n">
        <v>16579</v>
      </c>
      <c r="J19" s="18" t="n">
        <v>18668</v>
      </c>
      <c r="K19" s="24" t="n">
        <v>2089</v>
      </c>
      <c r="L19" s="18" t="n">
        <v>17281</v>
      </c>
      <c r="M19" s="18" t="n">
        <v>14192</v>
      </c>
      <c r="N19" s="18" t="n">
        <v>-3089</v>
      </c>
      <c r="O19" s="18" t="n">
        <v>17725</v>
      </c>
      <c r="P19" s="18" t="n">
        <v>19699</v>
      </c>
      <c r="Q19" s="24" t="n">
        <v>1974</v>
      </c>
      <c r="R19" s="18" t="n">
        <v>18854</v>
      </c>
      <c r="S19" s="18" t="n">
        <v>15188</v>
      </c>
      <c r="T19" s="18" t="n">
        <v>-3666</v>
      </c>
      <c r="U19" s="18" t="n">
        <v>20690</v>
      </c>
      <c r="V19" s="18" t="n">
        <v>21272</v>
      </c>
      <c r="W19" s="24" t="n">
        <v>582</v>
      </c>
      <c r="X19" s="18" t="n">
        <v>15940</v>
      </c>
      <c r="Y19" s="18" t="n">
        <v>15878</v>
      </c>
      <c r="Z19" s="18" t="n">
        <v>-62</v>
      </c>
      <c r="AA19" s="18" t="n">
        <v>14982</v>
      </c>
      <c r="AB19" s="18" t="n">
        <v>11642</v>
      </c>
      <c r="AC19" s="18" t="n">
        <v>-3340</v>
      </c>
      <c r="AD19" s="18" t="n">
        <v>20137</v>
      </c>
      <c r="AE19" s="18" t="n">
        <v>15917</v>
      </c>
      <c r="AF19" s="18" t="n">
        <v>-4220</v>
      </c>
      <c r="AG19" s="18" t="n">
        <v>18324</v>
      </c>
      <c r="AH19" s="18" t="n">
        <v>19635</v>
      </c>
      <c r="AI19" s="24" t="n">
        <v>1311</v>
      </c>
      <c r="AJ19" s="18" t="n">
        <v>24317</v>
      </c>
      <c r="AK19" s="18" t="n">
        <v>27348</v>
      </c>
      <c r="AL19" s="24" t="n">
        <v>3031</v>
      </c>
    </row>
    <row r="20">
      <c r="B20" s="4" t="inlineStr">
        <is>
          <t>折旧费</t>
        </is>
      </c>
      <c r="C20" s="18" t="n">
        <v>11125</v>
      </c>
      <c r="D20" s="18" t="n">
        <v>14422</v>
      </c>
      <c r="E20" s="24" t="n">
        <v>3297</v>
      </c>
      <c r="F20" s="18" t="n">
        <v>8834</v>
      </c>
      <c r="G20" s="18" t="n">
        <v>7721</v>
      </c>
      <c r="H20" s="18" t="n">
        <v>-1113</v>
      </c>
      <c r="I20" s="18" t="n">
        <v>13409</v>
      </c>
      <c r="J20" s="18" t="n">
        <v>13896</v>
      </c>
      <c r="K20" s="24" t="n">
        <v>487</v>
      </c>
      <c r="L20" s="18" t="n">
        <v>12962</v>
      </c>
      <c r="M20" s="18" t="n">
        <v>13161</v>
      </c>
      <c r="N20" s="24" t="n">
        <v>199</v>
      </c>
      <c r="O20" s="18" t="n">
        <v>14184</v>
      </c>
      <c r="P20" s="18" t="n">
        <v>14661</v>
      </c>
      <c r="Q20" s="24" t="n">
        <v>477</v>
      </c>
      <c r="R20" s="18" t="n">
        <v>15732</v>
      </c>
      <c r="S20" s="18" t="n">
        <v>17727</v>
      </c>
      <c r="T20" s="24" t="n">
        <v>1995</v>
      </c>
      <c r="U20" s="18" t="n">
        <v>16941</v>
      </c>
      <c r="V20" s="18" t="n">
        <v>18744</v>
      </c>
      <c r="W20" s="24" t="n">
        <v>1803</v>
      </c>
      <c r="X20" s="18" t="n">
        <v>13349</v>
      </c>
      <c r="Y20" s="18" t="n">
        <v>12231</v>
      </c>
      <c r="Z20" s="18" t="n">
        <v>-1118</v>
      </c>
      <c r="AA20" s="18" t="n">
        <v>11730</v>
      </c>
      <c r="AB20" s="18" t="n">
        <v>14014</v>
      </c>
      <c r="AC20" s="24" t="n">
        <v>2284</v>
      </c>
      <c r="AD20" s="18" t="n">
        <v>14090</v>
      </c>
      <c r="AE20" s="18" t="n">
        <v>14730</v>
      </c>
      <c r="AF20" s="24" t="n">
        <v>640</v>
      </c>
      <c r="AG20" s="18" t="n">
        <v>14150</v>
      </c>
      <c r="AH20" s="18" t="n">
        <v>14262</v>
      </c>
      <c r="AI20" s="24" t="n">
        <v>112</v>
      </c>
      <c r="AJ20" s="18" t="n">
        <v>16516</v>
      </c>
      <c r="AK20" s="18" t="n">
        <v>13711</v>
      </c>
      <c r="AL20" s="18" t="n">
        <v>-2805</v>
      </c>
    </row>
    <row r="21">
      <c r="B21" s="6" t="inlineStr">
        <is>
          <t>小计</t>
        </is>
      </c>
      <c r="C21" s="19" t="n">
        <v>125896</v>
      </c>
      <c r="D21" s="19" t="n">
        <v>150402</v>
      </c>
      <c r="E21" s="19" t="n">
        <v>24506</v>
      </c>
      <c r="F21" s="19" t="n">
        <v>103370</v>
      </c>
      <c r="G21" s="19" t="n">
        <v>105241</v>
      </c>
      <c r="H21" s="19" t="n">
        <v>1871</v>
      </c>
      <c r="I21" s="19" t="n">
        <v>143203</v>
      </c>
      <c r="J21" s="19" t="n">
        <v>134301</v>
      </c>
      <c r="K21" s="19" t="n">
        <v>-8902</v>
      </c>
      <c r="L21" s="19" t="n">
        <v>163350</v>
      </c>
      <c r="M21" s="19" t="n">
        <v>161581</v>
      </c>
      <c r="N21" s="19" t="n">
        <v>-1769</v>
      </c>
      <c r="O21" s="19" t="n">
        <v>160736</v>
      </c>
      <c r="P21" s="19" t="n">
        <v>142730</v>
      </c>
      <c r="Q21" s="19" t="n">
        <v>-18006</v>
      </c>
      <c r="R21" s="19" t="n">
        <v>181221</v>
      </c>
      <c r="S21" s="19" t="n">
        <v>168425</v>
      </c>
      <c r="T21" s="19" t="n">
        <v>-12796</v>
      </c>
      <c r="U21" s="19" t="n">
        <v>189049</v>
      </c>
      <c r="V21" s="19" t="n">
        <v>163619</v>
      </c>
      <c r="W21" s="19" t="n">
        <v>-25430</v>
      </c>
      <c r="X21" s="19" t="n">
        <v>151205</v>
      </c>
      <c r="Y21" s="19" t="n">
        <v>166685</v>
      </c>
      <c r="Z21" s="19" t="n">
        <v>15480</v>
      </c>
      <c r="AA21" s="19" t="n">
        <v>136688</v>
      </c>
      <c r="AB21" s="19" t="n">
        <v>144282</v>
      </c>
      <c r="AC21" s="19" t="n">
        <v>7594</v>
      </c>
      <c r="AD21" s="19" t="n">
        <v>163930</v>
      </c>
      <c r="AE21" s="19" t="n">
        <v>166544</v>
      </c>
      <c r="AF21" s="19" t="n">
        <v>2614</v>
      </c>
      <c r="AG21" s="19" t="n">
        <v>164876</v>
      </c>
      <c r="AH21" s="19" t="n">
        <v>180829</v>
      </c>
      <c r="AI21" s="19" t="n">
        <v>15953</v>
      </c>
      <c r="AJ21" s="19" t="n">
        <v>202466</v>
      </c>
      <c r="AK21" s="19" t="n">
        <v>172662</v>
      </c>
      <c r="AL21" s="19" t="n">
        <v>-29804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40990</v>
      </c>
      <c r="D22" s="18" t="n">
        <v>46574</v>
      </c>
      <c r="E22" s="24" t="n">
        <v>5584</v>
      </c>
      <c r="F22" s="18" t="n">
        <v>34107</v>
      </c>
      <c r="G22" s="18" t="n">
        <v>25801</v>
      </c>
      <c r="H22" s="18" t="n">
        <v>-8306</v>
      </c>
      <c r="I22" s="18" t="n">
        <v>46070</v>
      </c>
      <c r="J22" s="18" t="n">
        <v>38704</v>
      </c>
      <c r="K22" s="18" t="n">
        <v>-7366</v>
      </c>
      <c r="L22" s="18" t="n">
        <v>46237</v>
      </c>
      <c r="M22" s="18" t="n">
        <v>56296</v>
      </c>
      <c r="N22" s="24" t="n">
        <v>10059</v>
      </c>
      <c r="O22" s="18" t="n">
        <v>45934</v>
      </c>
      <c r="P22" s="18" t="n">
        <v>33638</v>
      </c>
      <c r="Q22" s="18" t="n">
        <v>-12296</v>
      </c>
      <c r="R22" s="18" t="n">
        <v>49514</v>
      </c>
      <c r="S22" s="18" t="n">
        <v>62163</v>
      </c>
      <c r="T22" s="24" t="n">
        <v>12649</v>
      </c>
      <c r="U22" s="18" t="n">
        <v>60537</v>
      </c>
      <c r="V22" s="18" t="n">
        <v>78353</v>
      </c>
      <c r="W22" s="24" t="n">
        <v>17816</v>
      </c>
      <c r="X22" s="18" t="n">
        <v>50741</v>
      </c>
      <c r="Y22" s="18" t="n">
        <v>38109</v>
      </c>
      <c r="Z22" s="18" t="n">
        <v>-12632</v>
      </c>
      <c r="AA22" s="18" t="n">
        <v>45219</v>
      </c>
      <c r="AB22" s="18" t="n">
        <v>37559</v>
      </c>
      <c r="AC22" s="18" t="n">
        <v>-7660</v>
      </c>
      <c r="AD22" s="18" t="n">
        <v>52066</v>
      </c>
      <c r="AE22" s="18" t="n">
        <v>54040</v>
      </c>
      <c r="AF22" s="24" t="n">
        <v>1974</v>
      </c>
      <c r="AG22" s="18" t="n">
        <v>47994</v>
      </c>
      <c r="AH22" s="18" t="n">
        <v>59163</v>
      </c>
      <c r="AI22" s="24" t="n">
        <v>11169</v>
      </c>
      <c r="AJ22" s="18" t="n">
        <v>64523</v>
      </c>
      <c r="AK22" s="18" t="n">
        <v>63715</v>
      </c>
      <c r="AL22" s="18" t="n">
        <v>-808</v>
      </c>
    </row>
    <row r="23">
      <c r="B23" s="4" t="inlineStr">
        <is>
          <t>差旅费</t>
        </is>
      </c>
      <c r="C23" s="18" t="n">
        <v>11342</v>
      </c>
      <c r="D23" s="18" t="n">
        <v>13473</v>
      </c>
      <c r="E23" s="24" t="n">
        <v>2131</v>
      </c>
      <c r="F23" s="18" t="n">
        <v>9912</v>
      </c>
      <c r="G23" s="18" t="n">
        <v>8361</v>
      </c>
      <c r="H23" s="18" t="n">
        <v>-1551</v>
      </c>
      <c r="I23" s="18" t="n">
        <v>13238</v>
      </c>
      <c r="J23" s="18" t="n">
        <v>10529</v>
      </c>
      <c r="K23" s="18" t="n">
        <v>-2709</v>
      </c>
      <c r="L23" s="18" t="n">
        <v>16451</v>
      </c>
      <c r="M23" s="18" t="n">
        <v>21249</v>
      </c>
      <c r="N23" s="24" t="n">
        <v>4798</v>
      </c>
      <c r="O23" s="18" t="n">
        <v>14917</v>
      </c>
      <c r="P23" s="18" t="n">
        <v>17593</v>
      </c>
      <c r="Q23" s="24" t="n">
        <v>2676</v>
      </c>
      <c r="R23" s="18" t="n">
        <v>17509</v>
      </c>
      <c r="S23" s="18" t="n">
        <v>16772</v>
      </c>
      <c r="T23" s="18" t="n">
        <v>-737</v>
      </c>
      <c r="U23" s="18" t="n">
        <v>20472</v>
      </c>
      <c r="V23" s="18" t="n">
        <v>15271</v>
      </c>
      <c r="W23" s="18" t="n">
        <v>-5201</v>
      </c>
      <c r="X23" s="18" t="n">
        <v>16861</v>
      </c>
      <c r="Y23" s="18" t="n">
        <v>16606</v>
      </c>
      <c r="Z23" s="18" t="n">
        <v>-255</v>
      </c>
      <c r="AA23" s="18" t="n">
        <v>13758</v>
      </c>
      <c r="AB23" s="18" t="n">
        <v>10110</v>
      </c>
      <c r="AC23" s="18" t="n">
        <v>-3648</v>
      </c>
      <c r="AD23" s="18" t="n">
        <v>17932</v>
      </c>
      <c r="AE23" s="18" t="n">
        <v>17435</v>
      </c>
      <c r="AF23" s="18" t="n">
        <v>-497</v>
      </c>
      <c r="AG23" s="18" t="n">
        <v>16413</v>
      </c>
      <c r="AH23" s="18" t="n">
        <v>13001</v>
      </c>
      <c r="AI23" s="18" t="n">
        <v>-3412</v>
      </c>
      <c r="AJ23" s="18" t="n">
        <v>21159</v>
      </c>
      <c r="AK23" s="18" t="n">
        <v>23102</v>
      </c>
      <c r="AL23" s="24" t="n">
        <v>1943</v>
      </c>
    </row>
    <row r="24">
      <c r="B24" s="4" t="inlineStr">
        <is>
          <t>业务招待费</t>
        </is>
      </c>
      <c r="C24" s="18" t="n">
        <v>9306</v>
      </c>
      <c r="D24" s="18" t="n">
        <v>6934</v>
      </c>
      <c r="E24" s="18" t="n">
        <v>-2372</v>
      </c>
      <c r="F24" s="18" t="n">
        <v>8537</v>
      </c>
      <c r="G24" s="18" t="n">
        <v>9799</v>
      </c>
      <c r="H24" s="24" t="n">
        <v>1262</v>
      </c>
      <c r="I24" s="18" t="n">
        <v>10392</v>
      </c>
      <c r="J24" s="18" t="n">
        <v>7437</v>
      </c>
      <c r="K24" s="18" t="n">
        <v>-2955</v>
      </c>
      <c r="L24" s="18" t="n">
        <v>11742</v>
      </c>
      <c r="M24" s="18" t="n">
        <v>11724</v>
      </c>
      <c r="N24" s="18" t="n">
        <v>-18</v>
      </c>
      <c r="O24" s="18" t="n">
        <v>12859</v>
      </c>
      <c r="P24" s="18" t="n">
        <v>14619</v>
      </c>
      <c r="Q24" s="24" t="n">
        <v>1760</v>
      </c>
      <c r="R24" s="18" t="n">
        <v>12633</v>
      </c>
      <c r="S24" s="18" t="n">
        <v>16214</v>
      </c>
      <c r="T24" s="24" t="n">
        <v>3581</v>
      </c>
      <c r="U24" s="18" t="n">
        <v>15518</v>
      </c>
      <c r="V24" s="18" t="n">
        <v>19956</v>
      </c>
      <c r="W24" s="24" t="n">
        <v>4438</v>
      </c>
      <c r="X24" s="18" t="n">
        <v>11389</v>
      </c>
      <c r="Y24" s="18" t="n">
        <v>13238</v>
      </c>
      <c r="Z24" s="24" t="n">
        <v>1849</v>
      </c>
      <c r="AA24" s="18" t="n">
        <v>11680</v>
      </c>
      <c r="AB24" s="18" t="n">
        <v>11256</v>
      </c>
      <c r="AC24" s="18" t="n">
        <v>-424</v>
      </c>
      <c r="AD24" s="18" t="n">
        <v>14707</v>
      </c>
      <c r="AE24" s="18" t="n">
        <v>10568</v>
      </c>
      <c r="AF24" s="18" t="n">
        <v>-4139</v>
      </c>
      <c r="AG24" s="18" t="n">
        <v>11722</v>
      </c>
      <c r="AH24" s="18" t="n">
        <v>14232</v>
      </c>
      <c r="AI24" s="24" t="n">
        <v>2510</v>
      </c>
      <c r="AJ24" s="18" t="n">
        <v>16617</v>
      </c>
      <c r="AK24" s="18" t="n">
        <v>20203</v>
      </c>
      <c r="AL24" s="24" t="n">
        <v>3586</v>
      </c>
    </row>
    <row r="25">
      <c r="B25" s="4" t="inlineStr">
        <is>
          <t>办公费</t>
        </is>
      </c>
      <c r="C25" s="18" t="n">
        <v>7844</v>
      </c>
      <c r="D25" s="18" t="n">
        <v>7489</v>
      </c>
      <c r="E25" s="18" t="n">
        <v>-355</v>
      </c>
      <c r="F25" s="18" t="n">
        <v>7832</v>
      </c>
      <c r="G25" s="18" t="n">
        <v>5589</v>
      </c>
      <c r="H25" s="18" t="n">
        <v>-2243</v>
      </c>
      <c r="I25" s="18" t="n">
        <v>9087</v>
      </c>
      <c r="J25" s="18" t="n">
        <v>9673</v>
      </c>
      <c r="K25" s="24" t="n">
        <v>586</v>
      </c>
      <c r="L25" s="18" t="n">
        <v>10216</v>
      </c>
      <c r="M25" s="18" t="n">
        <v>10812</v>
      </c>
      <c r="N25" s="24" t="n">
        <v>596</v>
      </c>
      <c r="O25" s="18" t="n">
        <v>11122</v>
      </c>
      <c r="P25" s="18" t="n">
        <v>10434</v>
      </c>
      <c r="Q25" s="18" t="n">
        <v>-688</v>
      </c>
      <c r="R25" s="18" t="n">
        <v>11888</v>
      </c>
      <c r="S25" s="18" t="n">
        <v>10073</v>
      </c>
      <c r="T25" s="18" t="n">
        <v>-1815</v>
      </c>
      <c r="U25" s="18" t="n">
        <v>13042</v>
      </c>
      <c r="V25" s="18" t="n">
        <v>16851</v>
      </c>
      <c r="W25" s="24" t="n">
        <v>3809</v>
      </c>
      <c r="X25" s="18" t="n">
        <v>9893</v>
      </c>
      <c r="Y25" s="18" t="n">
        <v>11021</v>
      </c>
      <c r="Z25" s="24" t="n">
        <v>1128</v>
      </c>
      <c r="AA25" s="18" t="n">
        <v>8550</v>
      </c>
      <c r="AB25" s="18" t="n">
        <v>8515</v>
      </c>
      <c r="AC25" s="18" t="n">
        <v>-35</v>
      </c>
      <c r="AD25" s="18" t="n">
        <v>12016</v>
      </c>
      <c r="AE25" s="18" t="n">
        <v>10706</v>
      </c>
      <c r="AF25" s="18" t="n">
        <v>-1310</v>
      </c>
      <c r="AG25" s="18" t="n">
        <v>11083</v>
      </c>
      <c r="AH25" s="18" t="n">
        <v>12954</v>
      </c>
      <c r="AI25" s="24" t="n">
        <v>1871</v>
      </c>
      <c r="AJ25" s="18" t="n">
        <v>13761</v>
      </c>
      <c r="AK25" s="18" t="n">
        <v>16788</v>
      </c>
      <c r="AL25" s="24" t="n">
        <v>3027</v>
      </c>
    </row>
    <row r="26">
      <c r="B26" s="4" t="inlineStr">
        <is>
          <t>折旧费</t>
        </is>
      </c>
      <c r="C26" s="18" t="n">
        <v>6089</v>
      </c>
      <c r="D26" s="18" t="n">
        <v>6659</v>
      </c>
      <c r="E26" s="24" t="n">
        <v>570</v>
      </c>
      <c r="F26" s="18" t="n">
        <v>5904</v>
      </c>
      <c r="G26" s="18" t="n">
        <v>4834</v>
      </c>
      <c r="H26" s="18" t="n">
        <v>-1070</v>
      </c>
      <c r="I26" s="18" t="n">
        <v>7025</v>
      </c>
      <c r="J26" s="18" t="n">
        <v>6175</v>
      </c>
      <c r="K26" s="18" t="n">
        <v>-850</v>
      </c>
      <c r="L26" s="18" t="n">
        <v>8909</v>
      </c>
      <c r="M26" s="18" t="n">
        <v>10508</v>
      </c>
      <c r="N26" s="24" t="n">
        <v>1599</v>
      </c>
      <c r="O26" s="18" t="n">
        <v>8179</v>
      </c>
      <c r="P26" s="18" t="n">
        <v>10091</v>
      </c>
      <c r="Q26" s="24" t="n">
        <v>1912</v>
      </c>
      <c r="R26" s="18" t="n">
        <v>9679</v>
      </c>
      <c r="S26" s="18" t="n">
        <v>8478</v>
      </c>
      <c r="T26" s="18" t="n">
        <v>-1201</v>
      </c>
      <c r="U26" s="18" t="n">
        <v>10765</v>
      </c>
      <c r="V26" s="18" t="n">
        <v>11034</v>
      </c>
      <c r="W26" s="24" t="n">
        <v>269</v>
      </c>
      <c r="X26" s="18" t="n">
        <v>8378</v>
      </c>
      <c r="Y26" s="18" t="n">
        <v>6833</v>
      </c>
      <c r="Z26" s="18" t="n">
        <v>-1545</v>
      </c>
      <c r="AA26" s="18" t="n">
        <v>8064</v>
      </c>
      <c r="AB26" s="18" t="n">
        <v>6473</v>
      </c>
      <c r="AC26" s="18" t="n">
        <v>-1591</v>
      </c>
      <c r="AD26" s="18" t="n">
        <v>9110</v>
      </c>
      <c r="AE26" s="18" t="n">
        <v>9655</v>
      </c>
      <c r="AF26" s="24" t="n">
        <v>545</v>
      </c>
      <c r="AG26" s="18" t="n">
        <v>7510</v>
      </c>
      <c r="AH26" s="18" t="n">
        <v>7860</v>
      </c>
      <c r="AI26" s="24" t="n">
        <v>350</v>
      </c>
      <c r="AJ26" s="18" t="n">
        <v>10156</v>
      </c>
      <c r="AK26" s="18" t="n">
        <v>10306</v>
      </c>
      <c r="AL26" s="24" t="n">
        <v>150</v>
      </c>
    </row>
    <row r="27">
      <c r="B27" s="6" t="inlineStr">
        <is>
          <t>小计</t>
        </is>
      </c>
      <c r="C27" s="19" t="n">
        <v>75571</v>
      </c>
      <c r="D27" s="19" t="n">
        <v>81129</v>
      </c>
      <c r="E27" s="19" t="n">
        <v>5558</v>
      </c>
      <c r="F27" s="19" t="n">
        <v>66292</v>
      </c>
      <c r="G27" s="19" t="n">
        <v>54384</v>
      </c>
      <c r="H27" s="19" t="n">
        <v>-11908</v>
      </c>
      <c r="I27" s="19" t="n">
        <v>85812</v>
      </c>
      <c r="J27" s="19" t="n">
        <v>72518</v>
      </c>
      <c r="K27" s="19" t="n">
        <v>-13294</v>
      </c>
      <c r="L27" s="19" t="n">
        <v>93555</v>
      </c>
      <c r="M27" s="19" t="n">
        <v>110589</v>
      </c>
      <c r="N27" s="19" t="n">
        <v>17034</v>
      </c>
      <c r="O27" s="19" t="n">
        <v>93011</v>
      </c>
      <c r="P27" s="19" t="n">
        <v>86375</v>
      </c>
      <c r="Q27" s="19" t="n">
        <v>-6636</v>
      </c>
      <c r="R27" s="19" t="n">
        <v>101223</v>
      </c>
      <c r="S27" s="19" t="n">
        <v>113700</v>
      </c>
      <c r="T27" s="19" t="n">
        <v>12477</v>
      </c>
      <c r="U27" s="19" t="n">
        <v>120334</v>
      </c>
      <c r="V27" s="19" t="n">
        <v>141465</v>
      </c>
      <c r="W27" s="19" t="n">
        <v>21131</v>
      </c>
      <c r="X27" s="19" t="n">
        <v>97262</v>
      </c>
      <c r="Y27" s="19" t="n">
        <v>85807</v>
      </c>
      <c r="Z27" s="19" t="n">
        <v>-11455</v>
      </c>
      <c r="AA27" s="19" t="n">
        <v>87271</v>
      </c>
      <c r="AB27" s="19" t="n">
        <v>73913</v>
      </c>
      <c r="AC27" s="19" t="n">
        <v>-13358</v>
      </c>
      <c r="AD27" s="19" t="n">
        <v>105831</v>
      </c>
      <c r="AE27" s="19" t="n">
        <v>102404</v>
      </c>
      <c r="AF27" s="19" t="n">
        <v>-3427</v>
      </c>
      <c r="AG27" s="19" t="n">
        <v>94722</v>
      </c>
      <c r="AH27" s="19" t="n">
        <v>107210</v>
      </c>
      <c r="AI27" s="19" t="n">
        <v>12488</v>
      </c>
      <c r="AJ27" s="19" t="n">
        <v>126216</v>
      </c>
      <c r="AK27" s="19" t="n">
        <v>134114</v>
      </c>
      <c r="AL27" s="19" t="n">
        <v>7898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84916</v>
      </c>
      <c r="D28" s="18" t="n">
        <v>102161</v>
      </c>
      <c r="E28" s="24" t="n">
        <v>17245</v>
      </c>
      <c r="F28" s="18" t="n">
        <v>63706</v>
      </c>
      <c r="G28" s="18" t="n">
        <v>58883</v>
      </c>
      <c r="H28" s="18" t="n">
        <v>-4823</v>
      </c>
      <c r="I28" s="18" t="n">
        <v>96099</v>
      </c>
      <c r="J28" s="18" t="n">
        <v>110093</v>
      </c>
      <c r="K28" s="24" t="n">
        <v>13994</v>
      </c>
      <c r="L28" s="18" t="n">
        <v>95219</v>
      </c>
      <c r="M28" s="18" t="n">
        <v>123724</v>
      </c>
      <c r="N28" s="24" t="n">
        <v>28505</v>
      </c>
      <c r="O28" s="18" t="n">
        <v>90444</v>
      </c>
      <c r="P28" s="18" t="n">
        <v>96967</v>
      </c>
      <c r="Q28" s="24" t="n">
        <v>6523</v>
      </c>
      <c r="R28" s="18" t="n">
        <v>99526</v>
      </c>
      <c r="S28" s="18" t="n">
        <v>104071</v>
      </c>
      <c r="T28" s="24" t="n">
        <v>4545</v>
      </c>
      <c r="U28" s="18" t="n">
        <v>115786</v>
      </c>
      <c r="V28" s="18" t="n">
        <v>82712</v>
      </c>
      <c r="W28" s="18" t="n">
        <v>-33074</v>
      </c>
      <c r="X28" s="18" t="n">
        <v>92448</v>
      </c>
      <c r="Y28" s="18" t="n">
        <v>81954</v>
      </c>
      <c r="Z28" s="18" t="n">
        <v>-10494</v>
      </c>
      <c r="AA28" s="18" t="n">
        <v>94624</v>
      </c>
      <c r="AB28" s="18" t="n">
        <v>110423</v>
      </c>
      <c r="AC28" s="24" t="n">
        <v>15799</v>
      </c>
      <c r="AD28" s="18" t="n">
        <v>102134</v>
      </c>
      <c r="AE28" s="18" t="n">
        <v>101865</v>
      </c>
      <c r="AF28" s="18" t="n">
        <v>-269</v>
      </c>
      <c r="AG28" s="18" t="n">
        <v>99233</v>
      </c>
      <c r="AH28" s="18" t="n">
        <v>81740</v>
      </c>
      <c r="AI28" s="18" t="n">
        <v>-17493</v>
      </c>
      <c r="AJ28" s="18" t="n">
        <v>132817</v>
      </c>
      <c r="AK28" s="18" t="n">
        <v>108548</v>
      </c>
      <c r="AL28" s="18" t="n">
        <v>-24269</v>
      </c>
    </row>
    <row r="29">
      <c r="B29" s="4" t="inlineStr">
        <is>
          <t>差旅费</t>
        </is>
      </c>
      <c r="C29" s="18" t="n">
        <v>28121</v>
      </c>
      <c r="D29" s="18" t="n">
        <v>33878</v>
      </c>
      <c r="E29" s="24" t="n">
        <v>5757</v>
      </c>
      <c r="F29" s="18" t="n">
        <v>21469</v>
      </c>
      <c r="G29" s="18" t="n">
        <v>27302</v>
      </c>
      <c r="H29" s="24" t="n">
        <v>5833</v>
      </c>
      <c r="I29" s="18" t="n">
        <v>29600</v>
      </c>
      <c r="J29" s="18" t="n">
        <v>21298</v>
      </c>
      <c r="K29" s="18" t="n">
        <v>-8302</v>
      </c>
      <c r="L29" s="18" t="n">
        <v>33954</v>
      </c>
      <c r="M29" s="18" t="n">
        <v>32145</v>
      </c>
      <c r="N29" s="18" t="n">
        <v>-1809</v>
      </c>
      <c r="O29" s="18" t="n">
        <v>32281</v>
      </c>
      <c r="P29" s="18" t="n">
        <v>32647</v>
      </c>
      <c r="Q29" s="24" t="n">
        <v>366</v>
      </c>
      <c r="R29" s="18" t="n">
        <v>35325</v>
      </c>
      <c r="S29" s="18" t="n">
        <v>43773</v>
      </c>
      <c r="T29" s="24" t="n">
        <v>8448</v>
      </c>
      <c r="U29" s="18" t="n">
        <v>37440</v>
      </c>
      <c r="V29" s="18" t="n">
        <v>35884</v>
      </c>
      <c r="W29" s="18" t="n">
        <v>-1556</v>
      </c>
      <c r="X29" s="18" t="n">
        <v>32547</v>
      </c>
      <c r="Y29" s="18" t="n">
        <v>36681</v>
      </c>
      <c r="Z29" s="24" t="n">
        <v>4134</v>
      </c>
      <c r="AA29" s="18" t="n">
        <v>27049</v>
      </c>
      <c r="AB29" s="18" t="n">
        <v>22681</v>
      </c>
      <c r="AC29" s="18" t="n">
        <v>-4368</v>
      </c>
      <c r="AD29" s="18" t="n">
        <v>37866</v>
      </c>
      <c r="AE29" s="18" t="n">
        <v>29466</v>
      </c>
      <c r="AF29" s="18" t="n">
        <v>-8400</v>
      </c>
      <c r="AG29" s="18" t="n">
        <v>32029</v>
      </c>
      <c r="AH29" s="18" t="n">
        <v>24451</v>
      </c>
      <c r="AI29" s="18" t="n">
        <v>-7578</v>
      </c>
      <c r="AJ29" s="18" t="n">
        <v>41065</v>
      </c>
      <c r="AK29" s="18" t="n">
        <v>50681</v>
      </c>
      <c r="AL29" s="24" t="n">
        <v>9616</v>
      </c>
    </row>
    <row r="30">
      <c r="B30" s="4" t="inlineStr">
        <is>
          <t>业务招待费</t>
        </is>
      </c>
      <c r="C30" s="18" t="n">
        <v>21229</v>
      </c>
      <c r="D30" s="18" t="n">
        <v>20984</v>
      </c>
      <c r="E30" s="18" t="n">
        <v>-245</v>
      </c>
      <c r="F30" s="18" t="n">
        <v>16607</v>
      </c>
      <c r="G30" s="18" t="n">
        <v>14217</v>
      </c>
      <c r="H30" s="18" t="n">
        <v>-2390</v>
      </c>
      <c r="I30" s="18" t="n">
        <v>23593</v>
      </c>
      <c r="J30" s="18" t="n">
        <v>16584</v>
      </c>
      <c r="K30" s="18" t="n">
        <v>-7009</v>
      </c>
      <c r="L30" s="18" t="n">
        <v>24071</v>
      </c>
      <c r="M30" s="18" t="n">
        <v>27671</v>
      </c>
      <c r="N30" s="24" t="n">
        <v>3600</v>
      </c>
      <c r="O30" s="18" t="n">
        <v>24938</v>
      </c>
      <c r="P30" s="18" t="n">
        <v>29416</v>
      </c>
      <c r="Q30" s="24" t="n">
        <v>4478</v>
      </c>
      <c r="R30" s="18" t="n">
        <v>28010</v>
      </c>
      <c r="S30" s="18" t="n">
        <v>22603</v>
      </c>
      <c r="T30" s="18" t="n">
        <v>-5407</v>
      </c>
      <c r="U30" s="18" t="n">
        <v>28943</v>
      </c>
      <c r="V30" s="18" t="n">
        <v>25671</v>
      </c>
      <c r="W30" s="18" t="n">
        <v>-3272</v>
      </c>
      <c r="X30" s="18" t="n">
        <v>24650</v>
      </c>
      <c r="Y30" s="18" t="n">
        <v>22864</v>
      </c>
      <c r="Z30" s="18" t="n">
        <v>-1786</v>
      </c>
      <c r="AA30" s="18" t="n">
        <v>21499</v>
      </c>
      <c r="AB30" s="18" t="n">
        <v>20391</v>
      </c>
      <c r="AC30" s="18" t="n">
        <v>-1108</v>
      </c>
      <c r="AD30" s="18" t="n">
        <v>28075</v>
      </c>
      <c r="AE30" s="18" t="n">
        <v>21370</v>
      </c>
      <c r="AF30" s="18" t="n">
        <v>-6705</v>
      </c>
      <c r="AG30" s="18" t="n">
        <v>25552</v>
      </c>
      <c r="AH30" s="18" t="n">
        <v>18362</v>
      </c>
      <c r="AI30" s="18" t="n">
        <v>-7190</v>
      </c>
      <c r="AJ30" s="18" t="n">
        <v>31936</v>
      </c>
      <c r="AK30" s="18" t="n">
        <v>29542</v>
      </c>
      <c r="AL30" s="18" t="n">
        <v>-2394</v>
      </c>
    </row>
    <row r="31">
      <c r="B31" s="4" t="inlineStr">
        <is>
          <t>办公费</t>
        </is>
      </c>
      <c r="C31" s="18" t="n">
        <v>15998</v>
      </c>
      <c r="D31" s="18" t="n">
        <v>17031</v>
      </c>
      <c r="E31" s="24" t="n">
        <v>1033</v>
      </c>
      <c r="F31" s="18" t="n">
        <v>14945</v>
      </c>
      <c r="G31" s="18" t="n">
        <v>17172</v>
      </c>
      <c r="H31" s="24" t="n">
        <v>2227</v>
      </c>
      <c r="I31" s="18" t="n">
        <v>20717</v>
      </c>
      <c r="J31" s="18" t="n">
        <v>18749</v>
      </c>
      <c r="K31" s="18" t="n">
        <v>-1968</v>
      </c>
      <c r="L31" s="18" t="n">
        <v>22699</v>
      </c>
      <c r="M31" s="18" t="n">
        <v>19561</v>
      </c>
      <c r="N31" s="18" t="n">
        <v>-3138</v>
      </c>
      <c r="O31" s="18" t="n">
        <v>23841</v>
      </c>
      <c r="P31" s="18" t="n">
        <v>29703</v>
      </c>
      <c r="Q31" s="24" t="n">
        <v>5862</v>
      </c>
      <c r="R31" s="18" t="n">
        <v>22410</v>
      </c>
      <c r="S31" s="18" t="n">
        <v>21042</v>
      </c>
      <c r="T31" s="18" t="n">
        <v>-1368</v>
      </c>
      <c r="U31" s="18" t="n">
        <v>28601</v>
      </c>
      <c r="V31" s="18" t="n">
        <v>26538</v>
      </c>
      <c r="W31" s="18" t="n">
        <v>-2063</v>
      </c>
      <c r="X31" s="18" t="n">
        <v>22890</v>
      </c>
      <c r="Y31" s="18" t="n">
        <v>28726</v>
      </c>
      <c r="Z31" s="24" t="n">
        <v>5836</v>
      </c>
      <c r="AA31" s="18" t="n">
        <v>21346</v>
      </c>
      <c r="AB31" s="18" t="n">
        <v>27378</v>
      </c>
      <c r="AC31" s="24" t="n">
        <v>6032</v>
      </c>
      <c r="AD31" s="18" t="n">
        <v>26322</v>
      </c>
      <c r="AE31" s="18" t="n">
        <v>26319</v>
      </c>
      <c r="AF31" s="18" t="n">
        <v>-3</v>
      </c>
      <c r="AG31" s="18" t="n">
        <v>19998</v>
      </c>
      <c r="AH31" s="18" t="n">
        <v>17201</v>
      </c>
      <c r="AI31" s="18" t="n">
        <v>-2797</v>
      </c>
      <c r="AJ31" s="18" t="n">
        <v>25645</v>
      </c>
      <c r="AK31" s="18" t="n">
        <v>22415</v>
      </c>
      <c r="AL31" s="18" t="n">
        <v>-3230</v>
      </c>
    </row>
    <row r="32">
      <c r="B32" s="4" t="inlineStr">
        <is>
          <t>折旧费</t>
        </is>
      </c>
      <c r="C32" s="18" t="n">
        <v>14778</v>
      </c>
      <c r="D32" s="18" t="n">
        <v>12762</v>
      </c>
      <c r="E32" s="18" t="n">
        <v>-2016</v>
      </c>
      <c r="F32" s="18" t="n">
        <v>12654</v>
      </c>
      <c r="G32" s="18" t="n">
        <v>10990</v>
      </c>
      <c r="H32" s="18" t="n">
        <v>-1664</v>
      </c>
      <c r="I32" s="18" t="n">
        <v>15178</v>
      </c>
      <c r="J32" s="18" t="n">
        <v>15785</v>
      </c>
      <c r="K32" s="24" t="n">
        <v>607</v>
      </c>
      <c r="L32" s="18" t="n">
        <v>18038</v>
      </c>
      <c r="M32" s="18" t="n">
        <v>21154</v>
      </c>
      <c r="N32" s="24" t="n">
        <v>3116</v>
      </c>
      <c r="O32" s="18" t="n">
        <v>15786</v>
      </c>
      <c r="P32" s="18" t="n">
        <v>13237</v>
      </c>
      <c r="Q32" s="18" t="n">
        <v>-2549</v>
      </c>
      <c r="R32" s="18" t="n">
        <v>17282</v>
      </c>
      <c r="S32" s="18" t="n">
        <v>12992</v>
      </c>
      <c r="T32" s="18" t="n">
        <v>-4290</v>
      </c>
      <c r="U32" s="18" t="n">
        <v>21338</v>
      </c>
      <c r="V32" s="18" t="n">
        <v>20233</v>
      </c>
      <c r="W32" s="18" t="n">
        <v>-1105</v>
      </c>
      <c r="X32" s="18" t="n">
        <v>19101</v>
      </c>
      <c r="Y32" s="18" t="n">
        <v>15115</v>
      </c>
      <c r="Z32" s="18" t="n">
        <v>-3986</v>
      </c>
      <c r="AA32" s="18" t="n">
        <v>16551</v>
      </c>
      <c r="AB32" s="18" t="n">
        <v>21084</v>
      </c>
      <c r="AC32" s="24" t="n">
        <v>4533</v>
      </c>
      <c r="AD32" s="18" t="n">
        <v>20970</v>
      </c>
      <c r="AE32" s="18" t="n">
        <v>19415</v>
      </c>
      <c r="AF32" s="18" t="n">
        <v>-1555</v>
      </c>
      <c r="AG32" s="18" t="n">
        <v>17733</v>
      </c>
      <c r="AH32" s="18" t="n">
        <v>22064</v>
      </c>
      <c r="AI32" s="24" t="n">
        <v>4331</v>
      </c>
      <c r="AJ32" s="18" t="n">
        <v>23506</v>
      </c>
      <c r="AK32" s="18" t="n">
        <v>26192</v>
      </c>
      <c r="AL32" s="24" t="n">
        <v>2686</v>
      </c>
    </row>
    <row r="33">
      <c r="B33" s="6" t="inlineStr">
        <is>
          <t>小计</t>
        </is>
      </c>
      <c r="C33" s="19" t="n">
        <v>165042</v>
      </c>
      <c r="D33" s="19" t="n">
        <v>186816</v>
      </c>
      <c r="E33" s="19" t="n">
        <v>21774</v>
      </c>
      <c r="F33" s="19" t="n">
        <v>129381</v>
      </c>
      <c r="G33" s="19" t="n">
        <v>128564</v>
      </c>
      <c r="H33" s="19" t="n">
        <v>-817</v>
      </c>
      <c r="I33" s="19" t="n">
        <v>185187</v>
      </c>
      <c r="J33" s="19" t="n">
        <v>182509</v>
      </c>
      <c r="K33" s="19" t="n">
        <v>-2678</v>
      </c>
      <c r="L33" s="19" t="n">
        <v>193981</v>
      </c>
      <c r="M33" s="19" t="n">
        <v>224255</v>
      </c>
      <c r="N33" s="19" t="n">
        <v>30274</v>
      </c>
      <c r="O33" s="19" t="n">
        <v>187290</v>
      </c>
      <c r="P33" s="19" t="n">
        <v>201970</v>
      </c>
      <c r="Q33" s="19" t="n">
        <v>14680</v>
      </c>
      <c r="R33" s="19" t="n">
        <v>202553</v>
      </c>
      <c r="S33" s="19" t="n">
        <v>204481</v>
      </c>
      <c r="T33" s="19" t="n">
        <v>1928</v>
      </c>
      <c r="U33" s="19" t="n">
        <v>232108</v>
      </c>
      <c r="V33" s="19" t="n">
        <v>191038</v>
      </c>
      <c r="W33" s="19" t="n">
        <v>-41070</v>
      </c>
      <c r="X33" s="19" t="n">
        <v>191636</v>
      </c>
      <c r="Y33" s="19" t="n">
        <v>185340</v>
      </c>
      <c r="Z33" s="19" t="n">
        <v>-6296</v>
      </c>
      <c r="AA33" s="19" t="n">
        <v>181069</v>
      </c>
      <c r="AB33" s="19" t="n">
        <v>201957</v>
      </c>
      <c r="AC33" s="19" t="n">
        <v>20888</v>
      </c>
      <c r="AD33" s="19" t="n">
        <v>215367</v>
      </c>
      <c r="AE33" s="19" t="n">
        <v>198435</v>
      </c>
      <c r="AF33" s="19" t="n">
        <v>-16932</v>
      </c>
      <c r="AG33" s="19" t="n">
        <v>194545</v>
      </c>
      <c r="AH33" s="19" t="n">
        <v>163818</v>
      </c>
      <c r="AI33" s="19" t="n">
        <v>-30727</v>
      </c>
      <c r="AJ33" s="19" t="n">
        <v>254969</v>
      </c>
      <c r="AK33" s="19" t="n">
        <v>237378</v>
      </c>
      <c r="AL33" s="19" t="n">
        <v>-17591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64099</v>
      </c>
      <c r="D34" s="18" t="n">
        <v>74327</v>
      </c>
      <c r="E34" s="24" t="n">
        <v>10228</v>
      </c>
      <c r="F34" s="18" t="n">
        <v>56268</v>
      </c>
      <c r="G34" s="18" t="n">
        <v>66495</v>
      </c>
      <c r="H34" s="24" t="n">
        <v>10227</v>
      </c>
      <c r="I34" s="18" t="n">
        <v>67473</v>
      </c>
      <c r="J34" s="18" t="n">
        <v>68703</v>
      </c>
      <c r="K34" s="24" t="n">
        <v>1230</v>
      </c>
      <c r="L34" s="18" t="n">
        <v>77185</v>
      </c>
      <c r="M34" s="18" t="n">
        <v>84508</v>
      </c>
      <c r="N34" s="24" t="n">
        <v>7323</v>
      </c>
      <c r="O34" s="18" t="n">
        <v>82392</v>
      </c>
      <c r="P34" s="18" t="n">
        <v>104257</v>
      </c>
      <c r="Q34" s="24" t="n">
        <v>21865</v>
      </c>
      <c r="R34" s="18" t="n">
        <v>81358</v>
      </c>
      <c r="S34" s="18" t="n">
        <v>90105</v>
      </c>
      <c r="T34" s="24" t="n">
        <v>8747</v>
      </c>
      <c r="U34" s="18" t="n">
        <v>91075</v>
      </c>
      <c r="V34" s="18" t="n">
        <v>117296</v>
      </c>
      <c r="W34" s="24" t="n">
        <v>26221</v>
      </c>
      <c r="X34" s="18" t="n">
        <v>77957</v>
      </c>
      <c r="Y34" s="18" t="n">
        <v>66667</v>
      </c>
      <c r="Z34" s="18" t="n">
        <v>-11290</v>
      </c>
      <c r="AA34" s="18" t="n">
        <v>72858</v>
      </c>
      <c r="AB34" s="18" t="n">
        <v>77429</v>
      </c>
      <c r="AC34" s="24" t="n">
        <v>4571</v>
      </c>
      <c r="AD34" s="18" t="n">
        <v>77314</v>
      </c>
      <c r="AE34" s="18" t="n">
        <v>85802</v>
      </c>
      <c r="AF34" s="24" t="n">
        <v>8488</v>
      </c>
      <c r="AG34" s="18" t="n">
        <v>82884</v>
      </c>
      <c r="AH34" s="18" t="n">
        <v>59667</v>
      </c>
      <c r="AI34" s="18" t="n">
        <v>-23217</v>
      </c>
      <c r="AJ34" s="18" t="n">
        <v>91939</v>
      </c>
      <c r="AK34" s="18" t="n">
        <v>74782</v>
      </c>
      <c r="AL34" s="18" t="n">
        <v>-17157</v>
      </c>
    </row>
    <row r="35">
      <c r="B35" s="4" t="inlineStr">
        <is>
          <t>差旅费</t>
        </is>
      </c>
      <c r="C35" s="18" t="n">
        <v>21680</v>
      </c>
      <c r="D35" s="18" t="n">
        <v>25462</v>
      </c>
      <c r="E35" s="24" t="n">
        <v>3782</v>
      </c>
      <c r="F35" s="18" t="n">
        <v>19158</v>
      </c>
      <c r="G35" s="18" t="n">
        <v>22073</v>
      </c>
      <c r="H35" s="24" t="n">
        <v>2915</v>
      </c>
      <c r="I35" s="18" t="n">
        <v>25051</v>
      </c>
      <c r="J35" s="18" t="n">
        <v>21151</v>
      </c>
      <c r="K35" s="18" t="n">
        <v>-3900</v>
      </c>
      <c r="L35" s="18" t="n">
        <v>27165</v>
      </c>
      <c r="M35" s="18" t="n">
        <v>29257</v>
      </c>
      <c r="N35" s="24" t="n">
        <v>2092</v>
      </c>
      <c r="O35" s="18" t="n">
        <v>25866</v>
      </c>
      <c r="P35" s="18" t="n">
        <v>21037</v>
      </c>
      <c r="Q35" s="18" t="n">
        <v>-4829</v>
      </c>
      <c r="R35" s="18" t="n">
        <v>29484</v>
      </c>
      <c r="S35" s="18" t="n">
        <v>29022</v>
      </c>
      <c r="T35" s="18" t="n">
        <v>-462</v>
      </c>
      <c r="U35" s="18" t="n">
        <v>30434</v>
      </c>
      <c r="V35" s="18" t="n">
        <v>21589</v>
      </c>
      <c r="W35" s="18" t="n">
        <v>-8845</v>
      </c>
      <c r="X35" s="18" t="n">
        <v>25140</v>
      </c>
      <c r="Y35" s="18" t="n">
        <v>29823</v>
      </c>
      <c r="Z35" s="24" t="n">
        <v>4683</v>
      </c>
      <c r="AA35" s="18" t="n">
        <v>24962</v>
      </c>
      <c r="AB35" s="18" t="n">
        <v>22427</v>
      </c>
      <c r="AC35" s="18" t="n">
        <v>-2535</v>
      </c>
      <c r="AD35" s="18" t="n">
        <v>29008</v>
      </c>
      <c r="AE35" s="18" t="n">
        <v>26143</v>
      </c>
      <c r="AF35" s="18" t="n">
        <v>-2865</v>
      </c>
      <c r="AG35" s="18" t="n">
        <v>26621</v>
      </c>
      <c r="AH35" s="18" t="n">
        <v>23504</v>
      </c>
      <c r="AI35" s="18" t="n">
        <v>-3117</v>
      </c>
      <c r="AJ35" s="18" t="n">
        <v>31096</v>
      </c>
      <c r="AK35" s="18" t="n">
        <v>39579</v>
      </c>
      <c r="AL35" s="24" t="n">
        <v>8483</v>
      </c>
    </row>
    <row r="36">
      <c r="B36" s="4" t="inlineStr">
        <is>
          <t>业务招待费</t>
        </is>
      </c>
      <c r="C36" s="18" t="n">
        <v>15550</v>
      </c>
      <c r="D36" s="18" t="n">
        <v>16605</v>
      </c>
      <c r="E36" s="24" t="n">
        <v>1055</v>
      </c>
      <c r="F36" s="18" t="n">
        <v>13985</v>
      </c>
      <c r="G36" s="18" t="n">
        <v>14623</v>
      </c>
      <c r="H36" s="24" t="n">
        <v>638</v>
      </c>
      <c r="I36" s="18" t="n">
        <v>17636</v>
      </c>
      <c r="J36" s="18" t="n">
        <v>21184</v>
      </c>
      <c r="K36" s="24" t="n">
        <v>3548</v>
      </c>
      <c r="L36" s="18" t="n">
        <v>22405</v>
      </c>
      <c r="M36" s="18" t="n">
        <v>25787</v>
      </c>
      <c r="N36" s="24" t="n">
        <v>3382</v>
      </c>
      <c r="O36" s="18" t="n">
        <v>20341</v>
      </c>
      <c r="P36" s="18" t="n">
        <v>22725</v>
      </c>
      <c r="Q36" s="24" t="n">
        <v>2384</v>
      </c>
      <c r="R36" s="18" t="n">
        <v>24593</v>
      </c>
      <c r="S36" s="18" t="n">
        <v>29680</v>
      </c>
      <c r="T36" s="24" t="n">
        <v>5087</v>
      </c>
      <c r="U36" s="18" t="n">
        <v>22714</v>
      </c>
      <c r="V36" s="18" t="n">
        <v>20572</v>
      </c>
      <c r="W36" s="18" t="n">
        <v>-2142</v>
      </c>
      <c r="X36" s="18" t="n">
        <v>20441</v>
      </c>
      <c r="Y36" s="18" t="n">
        <v>26171</v>
      </c>
      <c r="Z36" s="24" t="n">
        <v>5730</v>
      </c>
      <c r="AA36" s="18" t="n">
        <v>16969</v>
      </c>
      <c r="AB36" s="18" t="n">
        <v>21722</v>
      </c>
      <c r="AC36" s="24" t="n">
        <v>4753</v>
      </c>
      <c r="AD36" s="18" t="n">
        <v>23573</v>
      </c>
      <c r="AE36" s="18" t="n">
        <v>30589</v>
      </c>
      <c r="AF36" s="24" t="n">
        <v>7016</v>
      </c>
      <c r="AG36" s="18" t="n">
        <v>22200</v>
      </c>
      <c r="AH36" s="18" t="n">
        <v>27053</v>
      </c>
      <c r="AI36" s="24" t="n">
        <v>4853</v>
      </c>
      <c r="AJ36" s="18" t="n">
        <v>27359</v>
      </c>
      <c r="AK36" s="18" t="n">
        <v>26486</v>
      </c>
      <c r="AL36" s="18" t="n">
        <v>-873</v>
      </c>
    </row>
    <row r="37">
      <c r="B37" s="4" t="inlineStr">
        <is>
          <t>办公费</t>
        </is>
      </c>
      <c r="C37" s="18" t="n">
        <v>13002</v>
      </c>
      <c r="D37" s="18" t="n">
        <v>12697</v>
      </c>
      <c r="E37" s="18" t="n">
        <v>-305</v>
      </c>
      <c r="F37" s="18" t="n">
        <v>12310</v>
      </c>
      <c r="G37" s="18" t="n">
        <v>10719</v>
      </c>
      <c r="H37" s="18" t="n">
        <v>-1591</v>
      </c>
      <c r="I37" s="18" t="n">
        <v>16100</v>
      </c>
      <c r="J37" s="18" t="n">
        <v>16922</v>
      </c>
      <c r="K37" s="24" t="n">
        <v>822</v>
      </c>
      <c r="L37" s="18" t="n">
        <v>16127</v>
      </c>
      <c r="M37" s="18" t="n">
        <v>17812</v>
      </c>
      <c r="N37" s="24" t="n">
        <v>1685</v>
      </c>
      <c r="O37" s="18" t="n">
        <v>18110</v>
      </c>
      <c r="P37" s="18" t="n">
        <v>20409</v>
      </c>
      <c r="Q37" s="24" t="n">
        <v>2299</v>
      </c>
      <c r="R37" s="18" t="n">
        <v>18926</v>
      </c>
      <c r="S37" s="18" t="n">
        <v>22597</v>
      </c>
      <c r="T37" s="24" t="n">
        <v>3671</v>
      </c>
      <c r="U37" s="18" t="n">
        <v>20123</v>
      </c>
      <c r="V37" s="18" t="n">
        <v>25067</v>
      </c>
      <c r="W37" s="24" t="n">
        <v>4944</v>
      </c>
      <c r="X37" s="18" t="n">
        <v>17082</v>
      </c>
      <c r="Y37" s="18" t="n">
        <v>16943</v>
      </c>
      <c r="Z37" s="18" t="n">
        <v>-139</v>
      </c>
      <c r="AA37" s="18" t="n">
        <v>14076</v>
      </c>
      <c r="AB37" s="18" t="n">
        <v>17923</v>
      </c>
      <c r="AC37" s="24" t="n">
        <v>3847</v>
      </c>
      <c r="AD37" s="18" t="n">
        <v>20056</v>
      </c>
      <c r="AE37" s="18" t="n">
        <v>14677</v>
      </c>
      <c r="AF37" s="18" t="n">
        <v>-5379</v>
      </c>
      <c r="AG37" s="18" t="n">
        <v>16845</v>
      </c>
      <c r="AH37" s="18" t="n">
        <v>16493</v>
      </c>
      <c r="AI37" s="18" t="n">
        <v>-352</v>
      </c>
      <c r="AJ37" s="18" t="n">
        <v>24206</v>
      </c>
      <c r="AK37" s="18" t="n">
        <v>18447</v>
      </c>
      <c r="AL37" s="18" t="n">
        <v>-5759</v>
      </c>
    </row>
    <row r="38">
      <c r="B38" s="4" t="inlineStr">
        <is>
          <t>折旧费</t>
        </is>
      </c>
      <c r="C38" s="18" t="n">
        <v>11300</v>
      </c>
      <c r="D38" s="18" t="n">
        <v>12134</v>
      </c>
      <c r="E38" s="24" t="n">
        <v>834</v>
      </c>
      <c r="F38" s="18" t="n">
        <v>9798</v>
      </c>
      <c r="G38" s="18" t="n">
        <v>8845</v>
      </c>
      <c r="H38" s="18" t="n">
        <v>-953</v>
      </c>
      <c r="I38" s="18" t="n">
        <v>12031</v>
      </c>
      <c r="J38" s="18" t="n">
        <v>8962</v>
      </c>
      <c r="K38" s="18" t="n">
        <v>-3069</v>
      </c>
      <c r="L38" s="18" t="n">
        <v>14276</v>
      </c>
      <c r="M38" s="18" t="n">
        <v>10344</v>
      </c>
      <c r="N38" s="18" t="n">
        <v>-3932</v>
      </c>
      <c r="O38" s="18" t="n">
        <v>13001</v>
      </c>
      <c r="P38" s="18" t="n">
        <v>16894</v>
      </c>
      <c r="Q38" s="24" t="n">
        <v>3893</v>
      </c>
      <c r="R38" s="18" t="n">
        <v>16327</v>
      </c>
      <c r="S38" s="18" t="n">
        <v>16976</v>
      </c>
      <c r="T38" s="24" t="n">
        <v>649</v>
      </c>
      <c r="U38" s="18" t="n">
        <v>16546</v>
      </c>
      <c r="V38" s="18" t="n">
        <v>12474</v>
      </c>
      <c r="W38" s="18" t="n">
        <v>-4072</v>
      </c>
      <c r="X38" s="18" t="n">
        <v>14773</v>
      </c>
      <c r="Y38" s="18" t="n">
        <v>12898</v>
      </c>
      <c r="Z38" s="18" t="n">
        <v>-1875</v>
      </c>
      <c r="AA38" s="18" t="n">
        <v>12571</v>
      </c>
      <c r="AB38" s="18" t="n">
        <v>15520</v>
      </c>
      <c r="AC38" s="24" t="n">
        <v>2949</v>
      </c>
      <c r="AD38" s="18" t="n">
        <v>16031</v>
      </c>
      <c r="AE38" s="18" t="n">
        <v>18921</v>
      </c>
      <c r="AF38" s="24" t="n">
        <v>2890</v>
      </c>
      <c r="AG38" s="18" t="n">
        <v>13118</v>
      </c>
      <c r="AH38" s="18" t="n">
        <v>11942</v>
      </c>
      <c r="AI38" s="18" t="n">
        <v>-1176</v>
      </c>
      <c r="AJ38" s="18" t="n">
        <v>16473</v>
      </c>
      <c r="AK38" s="18" t="n">
        <v>21380</v>
      </c>
      <c r="AL38" s="24" t="n">
        <v>4907</v>
      </c>
    </row>
    <row r="39">
      <c r="B39" s="6" t="inlineStr">
        <is>
          <t>小计</t>
        </is>
      </c>
      <c r="C39" s="19" t="n">
        <v>125631</v>
      </c>
      <c r="D39" s="19" t="n">
        <v>141225</v>
      </c>
      <c r="E39" s="19" t="n">
        <v>15594</v>
      </c>
      <c r="F39" s="19" t="n">
        <v>111519</v>
      </c>
      <c r="G39" s="19" t="n">
        <v>122755</v>
      </c>
      <c r="H39" s="19" t="n">
        <v>11236</v>
      </c>
      <c r="I39" s="19" t="n">
        <v>138291</v>
      </c>
      <c r="J39" s="19" t="n">
        <v>136922</v>
      </c>
      <c r="K39" s="19" t="n">
        <v>-1369</v>
      </c>
      <c r="L39" s="19" t="n">
        <v>157158</v>
      </c>
      <c r="M39" s="19" t="n">
        <v>167708</v>
      </c>
      <c r="N39" s="19" t="n">
        <v>10550</v>
      </c>
      <c r="O39" s="19" t="n">
        <v>159710</v>
      </c>
      <c r="P39" s="19" t="n">
        <v>185322</v>
      </c>
      <c r="Q39" s="19" t="n">
        <v>25612</v>
      </c>
      <c r="R39" s="19" t="n">
        <v>170688</v>
      </c>
      <c r="S39" s="19" t="n">
        <v>188380</v>
      </c>
      <c r="T39" s="19" t="n">
        <v>17692</v>
      </c>
      <c r="U39" s="19" t="n">
        <v>180892</v>
      </c>
      <c r="V39" s="19" t="n">
        <v>196998</v>
      </c>
      <c r="W39" s="19" t="n">
        <v>16106</v>
      </c>
      <c r="X39" s="19" t="n">
        <v>155393</v>
      </c>
      <c r="Y39" s="19" t="n">
        <v>152502</v>
      </c>
      <c r="Z39" s="19" t="n">
        <v>-2891</v>
      </c>
      <c r="AA39" s="19" t="n">
        <v>141436</v>
      </c>
      <c r="AB39" s="19" t="n">
        <v>155021</v>
      </c>
      <c r="AC39" s="19" t="n">
        <v>13585</v>
      </c>
      <c r="AD39" s="19" t="n">
        <v>165982</v>
      </c>
      <c r="AE39" s="19" t="n">
        <v>176132</v>
      </c>
      <c r="AF39" s="19" t="n">
        <v>10150</v>
      </c>
      <c r="AG39" s="19" t="n">
        <v>161668</v>
      </c>
      <c r="AH39" s="19" t="n">
        <v>138659</v>
      </c>
      <c r="AI39" s="19" t="n">
        <v>-23009</v>
      </c>
      <c r="AJ39" s="19" t="n">
        <v>191073</v>
      </c>
      <c r="AK39" s="19" t="n">
        <v>180674</v>
      </c>
      <c r="AL39" s="19" t="n">
        <v>-10399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73588</v>
      </c>
      <c r="D40" s="18" t="n">
        <v>79765</v>
      </c>
      <c r="E40" s="24" t="n">
        <v>6177</v>
      </c>
      <c r="F40" s="18" t="n">
        <v>63643</v>
      </c>
      <c r="G40" s="18" t="n">
        <v>70307</v>
      </c>
      <c r="H40" s="24" t="n">
        <v>6664</v>
      </c>
      <c r="I40" s="18" t="n">
        <v>87184</v>
      </c>
      <c r="J40" s="18" t="n">
        <v>98323</v>
      </c>
      <c r="K40" s="24" t="n">
        <v>11139</v>
      </c>
      <c r="L40" s="18" t="n">
        <v>97779</v>
      </c>
      <c r="M40" s="18" t="n">
        <v>107074</v>
      </c>
      <c r="N40" s="24" t="n">
        <v>9295</v>
      </c>
      <c r="O40" s="18" t="n">
        <v>92568</v>
      </c>
      <c r="P40" s="18" t="n">
        <v>95611</v>
      </c>
      <c r="Q40" s="24" t="n">
        <v>3043</v>
      </c>
      <c r="R40" s="18" t="n">
        <v>103546</v>
      </c>
      <c r="S40" s="18" t="n">
        <v>75482</v>
      </c>
      <c r="T40" s="18" t="n">
        <v>-28064</v>
      </c>
      <c r="U40" s="18" t="n">
        <v>101552</v>
      </c>
      <c r="V40" s="18" t="n">
        <v>125026</v>
      </c>
      <c r="W40" s="24" t="n">
        <v>23474</v>
      </c>
      <c r="X40" s="18" t="n">
        <v>89002</v>
      </c>
      <c r="Y40" s="18" t="n">
        <v>96329</v>
      </c>
      <c r="Z40" s="24" t="n">
        <v>7327</v>
      </c>
      <c r="AA40" s="18" t="n">
        <v>89498</v>
      </c>
      <c r="AB40" s="18" t="n">
        <v>88013</v>
      </c>
      <c r="AC40" s="18" t="n">
        <v>-1485</v>
      </c>
      <c r="AD40" s="18" t="n">
        <v>106925</v>
      </c>
      <c r="AE40" s="18" t="n">
        <v>96766</v>
      </c>
      <c r="AF40" s="18" t="n">
        <v>-10159</v>
      </c>
      <c r="AG40" s="18" t="n">
        <v>92323</v>
      </c>
      <c r="AH40" s="18" t="n">
        <v>113568</v>
      </c>
      <c r="AI40" s="24" t="n">
        <v>21245</v>
      </c>
      <c r="AJ40" s="18" t="n">
        <v>124018</v>
      </c>
      <c r="AK40" s="18" t="n">
        <v>91631</v>
      </c>
      <c r="AL40" s="18" t="n">
        <v>-32387</v>
      </c>
    </row>
    <row r="41">
      <c r="B41" s="4" t="inlineStr">
        <is>
          <t>差旅费</t>
        </is>
      </c>
      <c r="C41" s="18" t="n">
        <v>24446</v>
      </c>
      <c r="D41" s="18" t="n">
        <v>31602</v>
      </c>
      <c r="E41" s="24" t="n">
        <v>7156</v>
      </c>
      <c r="F41" s="18" t="n">
        <v>21152</v>
      </c>
      <c r="G41" s="18" t="n">
        <v>15283</v>
      </c>
      <c r="H41" s="18" t="n">
        <v>-5869</v>
      </c>
      <c r="I41" s="18" t="n">
        <v>29502</v>
      </c>
      <c r="J41" s="18" t="n">
        <v>34642</v>
      </c>
      <c r="K41" s="24" t="n">
        <v>5140</v>
      </c>
      <c r="L41" s="18" t="n">
        <v>29055</v>
      </c>
      <c r="M41" s="18" t="n">
        <v>36592</v>
      </c>
      <c r="N41" s="24" t="n">
        <v>7537</v>
      </c>
      <c r="O41" s="18" t="n">
        <v>33059</v>
      </c>
      <c r="P41" s="18" t="n">
        <v>32814</v>
      </c>
      <c r="Q41" s="18" t="n">
        <v>-245</v>
      </c>
      <c r="R41" s="18" t="n">
        <v>33962</v>
      </c>
      <c r="S41" s="18" t="n">
        <v>26137</v>
      </c>
      <c r="T41" s="18" t="n">
        <v>-7825</v>
      </c>
      <c r="U41" s="18" t="n">
        <v>35879</v>
      </c>
      <c r="V41" s="18" t="n">
        <v>26753</v>
      </c>
      <c r="W41" s="18" t="n">
        <v>-9126</v>
      </c>
      <c r="X41" s="18" t="n">
        <v>33041</v>
      </c>
      <c r="Y41" s="18" t="n">
        <v>28239</v>
      </c>
      <c r="Z41" s="18" t="n">
        <v>-4802</v>
      </c>
      <c r="AA41" s="18" t="n">
        <v>26720</v>
      </c>
      <c r="AB41" s="18" t="n">
        <v>29119</v>
      </c>
      <c r="AC41" s="24" t="n">
        <v>2399</v>
      </c>
      <c r="AD41" s="18" t="n">
        <v>36578</v>
      </c>
      <c r="AE41" s="18" t="n">
        <v>47537</v>
      </c>
      <c r="AF41" s="24" t="n">
        <v>10959</v>
      </c>
      <c r="AG41" s="18" t="n">
        <v>32574</v>
      </c>
      <c r="AH41" s="18" t="n">
        <v>27514</v>
      </c>
      <c r="AI41" s="18" t="n">
        <v>-5060</v>
      </c>
      <c r="AJ41" s="18" t="n">
        <v>41571</v>
      </c>
      <c r="AK41" s="18" t="n">
        <v>40510</v>
      </c>
      <c r="AL41" s="18" t="n">
        <v>-1061</v>
      </c>
    </row>
    <row r="42">
      <c r="B42" s="4" t="inlineStr">
        <is>
          <t>业务招待费</t>
        </is>
      </c>
      <c r="C42" s="18" t="n">
        <v>20629</v>
      </c>
      <c r="D42" s="18" t="n">
        <v>16575</v>
      </c>
      <c r="E42" s="18" t="n">
        <v>-4054</v>
      </c>
      <c r="F42" s="18" t="n">
        <v>17939</v>
      </c>
      <c r="G42" s="18" t="n">
        <v>21956</v>
      </c>
      <c r="H42" s="24" t="n">
        <v>4017</v>
      </c>
      <c r="I42" s="18" t="n">
        <v>21847</v>
      </c>
      <c r="J42" s="18" t="n">
        <v>27872</v>
      </c>
      <c r="K42" s="24" t="n">
        <v>6025</v>
      </c>
      <c r="L42" s="18" t="n">
        <v>25850</v>
      </c>
      <c r="M42" s="18" t="n">
        <v>28495</v>
      </c>
      <c r="N42" s="24" t="n">
        <v>2645</v>
      </c>
      <c r="O42" s="18" t="n">
        <v>26356</v>
      </c>
      <c r="P42" s="18" t="n">
        <v>32017</v>
      </c>
      <c r="Q42" s="24" t="n">
        <v>5661</v>
      </c>
      <c r="R42" s="18" t="n">
        <v>28179</v>
      </c>
      <c r="S42" s="18" t="n">
        <v>36127</v>
      </c>
      <c r="T42" s="24" t="n">
        <v>7948</v>
      </c>
      <c r="U42" s="18" t="n">
        <v>27350</v>
      </c>
      <c r="V42" s="18" t="n">
        <v>27301</v>
      </c>
      <c r="W42" s="18" t="n">
        <v>-49</v>
      </c>
      <c r="X42" s="18" t="n">
        <v>25404</v>
      </c>
      <c r="Y42" s="18" t="n">
        <v>25143</v>
      </c>
      <c r="Z42" s="18" t="n">
        <v>-261</v>
      </c>
      <c r="AA42" s="18" t="n">
        <v>20984</v>
      </c>
      <c r="AB42" s="18" t="n">
        <v>23183</v>
      </c>
      <c r="AC42" s="24" t="n">
        <v>2199</v>
      </c>
      <c r="AD42" s="18" t="n">
        <v>29281</v>
      </c>
      <c r="AE42" s="18" t="n">
        <v>29203</v>
      </c>
      <c r="AF42" s="18" t="n">
        <v>-78</v>
      </c>
      <c r="AG42" s="18" t="n">
        <v>21916</v>
      </c>
      <c r="AH42" s="18" t="n">
        <v>21505</v>
      </c>
      <c r="AI42" s="18" t="n">
        <v>-411</v>
      </c>
      <c r="AJ42" s="18" t="n">
        <v>32006</v>
      </c>
      <c r="AK42" s="18" t="n">
        <v>24728</v>
      </c>
      <c r="AL42" s="18" t="n">
        <v>-7278</v>
      </c>
    </row>
    <row r="43">
      <c r="B43" s="4" t="inlineStr">
        <is>
          <t>办公费</t>
        </is>
      </c>
      <c r="C43" s="18" t="n">
        <v>15072</v>
      </c>
      <c r="D43" s="18" t="n">
        <v>12741</v>
      </c>
      <c r="E43" s="18" t="n">
        <v>-2331</v>
      </c>
      <c r="F43" s="18" t="n">
        <v>13720</v>
      </c>
      <c r="G43" s="18" t="n">
        <v>10384</v>
      </c>
      <c r="H43" s="18" t="n">
        <v>-3336</v>
      </c>
      <c r="I43" s="18" t="n">
        <v>16736</v>
      </c>
      <c r="J43" s="18" t="n">
        <v>18240</v>
      </c>
      <c r="K43" s="24" t="n">
        <v>1504</v>
      </c>
      <c r="L43" s="18" t="n">
        <v>21370</v>
      </c>
      <c r="M43" s="18" t="n">
        <v>25580</v>
      </c>
      <c r="N43" s="24" t="n">
        <v>4210</v>
      </c>
      <c r="O43" s="18" t="n">
        <v>20477</v>
      </c>
      <c r="P43" s="18" t="n">
        <v>16342</v>
      </c>
      <c r="Q43" s="18" t="n">
        <v>-4135</v>
      </c>
      <c r="R43" s="18" t="n">
        <v>20809</v>
      </c>
      <c r="S43" s="18" t="n">
        <v>20598</v>
      </c>
      <c r="T43" s="18" t="n">
        <v>-211</v>
      </c>
      <c r="U43" s="18" t="n">
        <v>26620</v>
      </c>
      <c r="V43" s="18" t="n">
        <v>19599</v>
      </c>
      <c r="W43" s="18" t="n">
        <v>-7021</v>
      </c>
      <c r="X43" s="18" t="n">
        <v>19903</v>
      </c>
      <c r="Y43" s="18" t="n">
        <v>18779</v>
      </c>
      <c r="Z43" s="18" t="n">
        <v>-1124</v>
      </c>
      <c r="AA43" s="18" t="n">
        <v>19076</v>
      </c>
      <c r="AB43" s="18" t="n">
        <v>15052</v>
      </c>
      <c r="AC43" s="18" t="n">
        <v>-4024</v>
      </c>
      <c r="AD43" s="18" t="n">
        <v>21988</v>
      </c>
      <c r="AE43" s="18" t="n">
        <v>27404</v>
      </c>
      <c r="AF43" s="24" t="n">
        <v>5416</v>
      </c>
      <c r="AG43" s="18" t="n">
        <v>21664</v>
      </c>
      <c r="AH43" s="18" t="n">
        <v>22305</v>
      </c>
      <c r="AI43" s="24" t="n">
        <v>641</v>
      </c>
      <c r="AJ43" s="18" t="n">
        <v>24851</v>
      </c>
      <c r="AK43" s="18" t="n">
        <v>25911</v>
      </c>
      <c r="AL43" s="24" t="n">
        <v>1060</v>
      </c>
    </row>
    <row r="44">
      <c r="B44" s="4" t="inlineStr">
        <is>
          <t>折旧费</t>
        </is>
      </c>
      <c r="C44" s="18" t="n">
        <v>14265</v>
      </c>
      <c r="D44" s="18" t="n">
        <v>13917</v>
      </c>
      <c r="E44" s="18" t="n">
        <v>-348</v>
      </c>
      <c r="F44" s="18" t="n">
        <v>11147</v>
      </c>
      <c r="G44" s="18" t="n">
        <v>10495</v>
      </c>
      <c r="H44" s="18" t="n">
        <v>-652</v>
      </c>
      <c r="I44" s="18" t="n">
        <v>15545</v>
      </c>
      <c r="J44" s="18" t="n">
        <v>15821</v>
      </c>
      <c r="K44" s="24" t="n">
        <v>276</v>
      </c>
      <c r="L44" s="18" t="n">
        <v>17758</v>
      </c>
      <c r="M44" s="18" t="n">
        <v>20619</v>
      </c>
      <c r="N44" s="24" t="n">
        <v>2861</v>
      </c>
      <c r="O44" s="18" t="n">
        <v>14599</v>
      </c>
      <c r="P44" s="18" t="n">
        <v>10341</v>
      </c>
      <c r="Q44" s="18" t="n">
        <v>-4258</v>
      </c>
      <c r="R44" s="18" t="n">
        <v>18491</v>
      </c>
      <c r="S44" s="18" t="n">
        <v>21209</v>
      </c>
      <c r="T44" s="24" t="n">
        <v>2718</v>
      </c>
      <c r="U44" s="18" t="n">
        <v>17552</v>
      </c>
      <c r="V44" s="18" t="n">
        <v>20259</v>
      </c>
      <c r="W44" s="24" t="n">
        <v>2707</v>
      </c>
      <c r="X44" s="18" t="n">
        <v>16521</v>
      </c>
      <c r="Y44" s="18" t="n">
        <v>21317</v>
      </c>
      <c r="Z44" s="24" t="n">
        <v>4796</v>
      </c>
      <c r="AA44" s="18" t="n">
        <v>14441</v>
      </c>
      <c r="AB44" s="18" t="n">
        <v>17133</v>
      </c>
      <c r="AC44" s="24" t="n">
        <v>2692</v>
      </c>
      <c r="AD44" s="18" t="n">
        <v>17794</v>
      </c>
      <c r="AE44" s="18" t="n">
        <v>20748</v>
      </c>
      <c r="AF44" s="24" t="n">
        <v>2954</v>
      </c>
      <c r="AG44" s="18" t="n">
        <v>16307</v>
      </c>
      <c r="AH44" s="18" t="n">
        <v>16426</v>
      </c>
      <c r="AI44" s="24" t="n">
        <v>119</v>
      </c>
      <c r="AJ44" s="18" t="n">
        <v>22065</v>
      </c>
      <c r="AK44" s="18" t="n">
        <v>27613</v>
      </c>
      <c r="AL44" s="24" t="n">
        <v>5548</v>
      </c>
    </row>
    <row r="45">
      <c r="B45" s="6" t="inlineStr">
        <is>
          <t>小计</t>
        </is>
      </c>
      <c r="C45" s="19" t="n">
        <v>148000</v>
      </c>
      <c r="D45" s="19" t="n">
        <v>154600</v>
      </c>
      <c r="E45" s="19" t="n">
        <v>6600</v>
      </c>
      <c r="F45" s="19" t="n">
        <v>127601</v>
      </c>
      <c r="G45" s="19" t="n">
        <v>128425</v>
      </c>
      <c r="H45" s="19" t="n">
        <v>824</v>
      </c>
      <c r="I45" s="19" t="n">
        <v>170814</v>
      </c>
      <c r="J45" s="19" t="n">
        <v>194898</v>
      </c>
      <c r="K45" s="19" t="n">
        <v>24084</v>
      </c>
      <c r="L45" s="19" t="n">
        <v>191812</v>
      </c>
      <c r="M45" s="19" t="n">
        <v>218360</v>
      </c>
      <c r="N45" s="19" t="n">
        <v>26548</v>
      </c>
      <c r="O45" s="19" t="n">
        <v>187059</v>
      </c>
      <c r="P45" s="19" t="n">
        <v>187125</v>
      </c>
      <c r="Q45" s="19" t="n">
        <v>66</v>
      </c>
      <c r="R45" s="19" t="n">
        <v>204987</v>
      </c>
      <c r="S45" s="19" t="n">
        <v>179553</v>
      </c>
      <c r="T45" s="19" t="n">
        <v>-25434</v>
      </c>
      <c r="U45" s="19" t="n">
        <v>208953</v>
      </c>
      <c r="V45" s="19" t="n">
        <v>218938</v>
      </c>
      <c r="W45" s="19" t="n">
        <v>9985</v>
      </c>
      <c r="X45" s="19" t="n">
        <v>183871</v>
      </c>
      <c r="Y45" s="19" t="n">
        <v>189807</v>
      </c>
      <c r="Z45" s="19" t="n">
        <v>5936</v>
      </c>
      <c r="AA45" s="19" t="n">
        <v>170719</v>
      </c>
      <c r="AB45" s="19" t="n">
        <v>172500</v>
      </c>
      <c r="AC45" s="19" t="n">
        <v>1781</v>
      </c>
      <c r="AD45" s="19" t="n">
        <v>212566</v>
      </c>
      <c r="AE45" s="19" t="n">
        <v>221658</v>
      </c>
      <c r="AF45" s="19" t="n">
        <v>9092</v>
      </c>
      <c r="AG45" s="19" t="n">
        <v>184784</v>
      </c>
      <c r="AH45" s="19" t="n">
        <v>201318</v>
      </c>
      <c r="AI45" s="19" t="n">
        <v>16534</v>
      </c>
      <c r="AJ45" s="19" t="n">
        <v>244511</v>
      </c>
      <c r="AK45" s="19" t="n">
        <v>210393</v>
      </c>
      <c r="AL45" s="19" t="n">
        <v>-34118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64312</v>
      </c>
      <c r="D46" s="18" t="n">
        <v>76181</v>
      </c>
      <c r="E46" s="24" t="n">
        <v>11869</v>
      </c>
      <c r="F46" s="18" t="n">
        <v>57931</v>
      </c>
      <c r="G46" s="18" t="n">
        <v>46260</v>
      </c>
      <c r="H46" s="18" t="n">
        <v>-11671</v>
      </c>
      <c r="I46" s="18" t="n">
        <v>73290</v>
      </c>
      <c r="J46" s="18" t="n">
        <v>88270</v>
      </c>
      <c r="K46" s="24" t="n">
        <v>14980</v>
      </c>
      <c r="L46" s="18" t="n">
        <v>85567</v>
      </c>
      <c r="M46" s="18" t="n">
        <v>61700</v>
      </c>
      <c r="N46" s="18" t="n">
        <v>-23867</v>
      </c>
      <c r="O46" s="18" t="n">
        <v>89012</v>
      </c>
      <c r="P46" s="18" t="n">
        <v>109847</v>
      </c>
      <c r="Q46" s="24" t="n">
        <v>20835</v>
      </c>
      <c r="R46" s="18" t="n">
        <v>84843</v>
      </c>
      <c r="S46" s="18" t="n">
        <v>85078</v>
      </c>
      <c r="T46" s="24" t="n">
        <v>235</v>
      </c>
      <c r="U46" s="18" t="n">
        <v>99580</v>
      </c>
      <c r="V46" s="18" t="n">
        <v>109880</v>
      </c>
      <c r="W46" s="24" t="n">
        <v>10300</v>
      </c>
      <c r="X46" s="18" t="n">
        <v>84575</v>
      </c>
      <c r="Y46" s="18" t="n">
        <v>84154</v>
      </c>
      <c r="Z46" s="18" t="n">
        <v>-421</v>
      </c>
      <c r="AA46" s="18" t="n">
        <v>70442</v>
      </c>
      <c r="AB46" s="18" t="n">
        <v>67917</v>
      </c>
      <c r="AC46" s="18" t="n">
        <v>-2525</v>
      </c>
      <c r="AD46" s="18" t="n">
        <v>87976</v>
      </c>
      <c r="AE46" s="18" t="n">
        <v>97695</v>
      </c>
      <c r="AF46" s="24" t="n">
        <v>9719</v>
      </c>
      <c r="AG46" s="18" t="n">
        <v>83339</v>
      </c>
      <c r="AH46" s="18" t="n">
        <v>75719</v>
      </c>
      <c r="AI46" s="18" t="n">
        <v>-7620</v>
      </c>
      <c r="AJ46" s="18" t="n">
        <v>113354</v>
      </c>
      <c r="AK46" s="18" t="n">
        <v>133652</v>
      </c>
      <c r="AL46" s="24" t="n">
        <v>20298</v>
      </c>
    </row>
    <row r="47">
      <c r="B47" s="4" t="inlineStr">
        <is>
          <t>差旅费</t>
        </is>
      </c>
      <c r="C47" s="18" t="n">
        <v>22474</v>
      </c>
      <c r="D47" s="18" t="n">
        <v>19359</v>
      </c>
      <c r="E47" s="18" t="n">
        <v>-3115</v>
      </c>
      <c r="F47" s="18" t="n">
        <v>18399</v>
      </c>
      <c r="G47" s="18" t="n">
        <v>16375</v>
      </c>
      <c r="H47" s="18" t="n">
        <v>-2024</v>
      </c>
      <c r="I47" s="18" t="n">
        <v>22644</v>
      </c>
      <c r="J47" s="18" t="n">
        <v>22249</v>
      </c>
      <c r="K47" s="18" t="n">
        <v>-395</v>
      </c>
      <c r="L47" s="18" t="n">
        <v>26394</v>
      </c>
      <c r="M47" s="18" t="n">
        <v>22849</v>
      </c>
      <c r="N47" s="18" t="n">
        <v>-3545</v>
      </c>
      <c r="O47" s="18" t="n">
        <v>28636</v>
      </c>
      <c r="P47" s="18" t="n">
        <v>28805</v>
      </c>
      <c r="Q47" s="24" t="n">
        <v>169</v>
      </c>
      <c r="R47" s="18" t="n">
        <v>29879</v>
      </c>
      <c r="S47" s="18" t="n">
        <v>28924</v>
      </c>
      <c r="T47" s="18" t="n">
        <v>-955</v>
      </c>
      <c r="U47" s="18" t="n">
        <v>33142</v>
      </c>
      <c r="V47" s="18" t="n">
        <v>33110</v>
      </c>
      <c r="W47" s="18" t="n">
        <v>-32</v>
      </c>
      <c r="X47" s="18" t="n">
        <v>27572</v>
      </c>
      <c r="Y47" s="18" t="n">
        <v>19358</v>
      </c>
      <c r="Z47" s="18" t="n">
        <v>-8214</v>
      </c>
      <c r="AA47" s="18" t="n">
        <v>26486</v>
      </c>
      <c r="AB47" s="18" t="n">
        <v>19182</v>
      </c>
      <c r="AC47" s="18" t="n">
        <v>-7304</v>
      </c>
      <c r="AD47" s="18" t="n">
        <v>28716</v>
      </c>
      <c r="AE47" s="18" t="n">
        <v>33277</v>
      </c>
      <c r="AF47" s="24" t="n">
        <v>4561</v>
      </c>
      <c r="AG47" s="18" t="n">
        <v>28535</v>
      </c>
      <c r="AH47" s="18" t="n">
        <v>21019</v>
      </c>
      <c r="AI47" s="18" t="n">
        <v>-7516</v>
      </c>
      <c r="AJ47" s="18" t="n">
        <v>34855</v>
      </c>
      <c r="AK47" s="18" t="n">
        <v>28153</v>
      </c>
      <c r="AL47" s="18" t="n">
        <v>-6702</v>
      </c>
    </row>
    <row r="48">
      <c r="B48" s="4" t="inlineStr">
        <is>
          <t>业务招待费</t>
        </is>
      </c>
      <c r="C48" s="18" t="n">
        <v>17764</v>
      </c>
      <c r="D48" s="18" t="n">
        <v>22845</v>
      </c>
      <c r="E48" s="24" t="n">
        <v>5081</v>
      </c>
      <c r="F48" s="18" t="n">
        <v>13862</v>
      </c>
      <c r="G48" s="18" t="n">
        <v>10743</v>
      </c>
      <c r="H48" s="18" t="n">
        <v>-3119</v>
      </c>
      <c r="I48" s="18" t="n">
        <v>20500</v>
      </c>
      <c r="J48" s="18" t="n">
        <v>22509</v>
      </c>
      <c r="K48" s="24" t="n">
        <v>2009</v>
      </c>
      <c r="L48" s="18" t="n">
        <v>23476</v>
      </c>
      <c r="M48" s="18" t="n">
        <v>21297</v>
      </c>
      <c r="N48" s="18" t="n">
        <v>-2179</v>
      </c>
      <c r="O48" s="18" t="n">
        <v>23689</v>
      </c>
      <c r="P48" s="18" t="n">
        <v>21859</v>
      </c>
      <c r="Q48" s="18" t="n">
        <v>-1830</v>
      </c>
      <c r="R48" s="18" t="n">
        <v>23622</v>
      </c>
      <c r="S48" s="18" t="n">
        <v>19959</v>
      </c>
      <c r="T48" s="18" t="n">
        <v>-3663</v>
      </c>
      <c r="U48" s="18" t="n">
        <v>26648</v>
      </c>
      <c r="V48" s="18" t="n">
        <v>30098</v>
      </c>
      <c r="W48" s="24" t="n">
        <v>3450</v>
      </c>
      <c r="X48" s="18" t="n">
        <v>19692</v>
      </c>
      <c r="Y48" s="18" t="n">
        <v>25517</v>
      </c>
      <c r="Z48" s="24" t="n">
        <v>5825</v>
      </c>
      <c r="AA48" s="18" t="n">
        <v>20540</v>
      </c>
      <c r="AB48" s="18" t="n">
        <v>24484</v>
      </c>
      <c r="AC48" s="24" t="n">
        <v>3944</v>
      </c>
      <c r="AD48" s="18" t="n">
        <v>25210</v>
      </c>
      <c r="AE48" s="18" t="n">
        <v>18240</v>
      </c>
      <c r="AF48" s="18" t="n">
        <v>-6970</v>
      </c>
      <c r="AG48" s="18" t="n">
        <v>21205</v>
      </c>
      <c r="AH48" s="18" t="n">
        <v>19106</v>
      </c>
      <c r="AI48" s="18" t="n">
        <v>-2099</v>
      </c>
      <c r="AJ48" s="18" t="n">
        <v>27857</v>
      </c>
      <c r="AK48" s="18" t="n">
        <v>25230</v>
      </c>
      <c r="AL48" s="18" t="n">
        <v>-2627</v>
      </c>
    </row>
    <row r="49">
      <c r="B49" s="4" t="inlineStr">
        <is>
          <t>办公费</t>
        </is>
      </c>
      <c r="C49" s="18" t="n">
        <v>14907</v>
      </c>
      <c r="D49" s="18" t="n">
        <v>12866</v>
      </c>
      <c r="E49" s="18" t="n">
        <v>-2041</v>
      </c>
      <c r="F49" s="18" t="n">
        <v>12417</v>
      </c>
      <c r="G49" s="18" t="n">
        <v>12258</v>
      </c>
      <c r="H49" s="18" t="n">
        <v>-159</v>
      </c>
      <c r="I49" s="18" t="n">
        <v>15060</v>
      </c>
      <c r="J49" s="18" t="n">
        <v>13638</v>
      </c>
      <c r="K49" s="18" t="n">
        <v>-1422</v>
      </c>
      <c r="L49" s="18" t="n">
        <v>18311</v>
      </c>
      <c r="M49" s="18" t="n">
        <v>18115</v>
      </c>
      <c r="N49" s="18" t="n">
        <v>-196</v>
      </c>
      <c r="O49" s="18" t="n">
        <v>18582</v>
      </c>
      <c r="P49" s="18" t="n">
        <v>19625</v>
      </c>
      <c r="Q49" s="24" t="n">
        <v>1043</v>
      </c>
      <c r="R49" s="18" t="n">
        <v>18018</v>
      </c>
      <c r="S49" s="18" t="n">
        <v>20398</v>
      </c>
      <c r="T49" s="24" t="n">
        <v>2380</v>
      </c>
      <c r="U49" s="18" t="n">
        <v>21105</v>
      </c>
      <c r="V49" s="18" t="n">
        <v>25389</v>
      </c>
      <c r="W49" s="24" t="n">
        <v>4284</v>
      </c>
      <c r="X49" s="18" t="n">
        <v>17051</v>
      </c>
      <c r="Y49" s="18" t="n">
        <v>19336</v>
      </c>
      <c r="Z49" s="24" t="n">
        <v>2285</v>
      </c>
      <c r="AA49" s="18" t="n">
        <v>17161</v>
      </c>
      <c r="AB49" s="18" t="n">
        <v>18196</v>
      </c>
      <c r="AC49" s="24" t="n">
        <v>1035</v>
      </c>
      <c r="AD49" s="18" t="n">
        <v>18752</v>
      </c>
      <c r="AE49" s="18" t="n">
        <v>14657</v>
      </c>
      <c r="AF49" s="18" t="n">
        <v>-4095</v>
      </c>
      <c r="AG49" s="18" t="n">
        <v>17864</v>
      </c>
      <c r="AH49" s="18" t="n">
        <v>14832</v>
      </c>
      <c r="AI49" s="18" t="n">
        <v>-3032</v>
      </c>
      <c r="AJ49" s="18" t="n">
        <v>22392</v>
      </c>
      <c r="AK49" s="18" t="n">
        <v>17682</v>
      </c>
      <c r="AL49" s="18" t="n">
        <v>-4710</v>
      </c>
    </row>
    <row r="50">
      <c r="B50" s="4" t="inlineStr">
        <is>
          <t>折旧费</t>
        </is>
      </c>
      <c r="C50" s="18" t="n">
        <v>12613</v>
      </c>
      <c r="D50" s="18" t="n">
        <v>14105</v>
      </c>
      <c r="E50" s="24" t="n">
        <v>1492</v>
      </c>
      <c r="F50" s="18" t="n">
        <v>9446</v>
      </c>
      <c r="G50" s="18" t="n">
        <v>11976</v>
      </c>
      <c r="H50" s="24" t="n">
        <v>2530</v>
      </c>
      <c r="I50" s="18" t="n">
        <v>13084</v>
      </c>
      <c r="J50" s="18" t="n">
        <v>12812</v>
      </c>
      <c r="K50" s="18" t="n">
        <v>-272</v>
      </c>
      <c r="L50" s="18" t="n">
        <v>15625</v>
      </c>
      <c r="M50" s="18" t="n">
        <v>18746</v>
      </c>
      <c r="N50" s="24" t="n">
        <v>3121</v>
      </c>
      <c r="O50" s="18" t="n">
        <v>15389</v>
      </c>
      <c r="P50" s="18" t="n">
        <v>15364</v>
      </c>
      <c r="Q50" s="18" t="n">
        <v>-25</v>
      </c>
      <c r="R50" s="18" t="n">
        <v>14899</v>
      </c>
      <c r="S50" s="18" t="n">
        <v>13442</v>
      </c>
      <c r="T50" s="18" t="n">
        <v>-1457</v>
      </c>
      <c r="U50" s="18" t="n">
        <v>17654</v>
      </c>
      <c r="V50" s="18" t="n">
        <v>13438</v>
      </c>
      <c r="W50" s="18" t="n">
        <v>-4216</v>
      </c>
      <c r="X50" s="18" t="n">
        <v>13708</v>
      </c>
      <c r="Y50" s="18" t="n">
        <v>11483</v>
      </c>
      <c r="Z50" s="18" t="n">
        <v>-2225</v>
      </c>
      <c r="AA50" s="18" t="n">
        <v>12959</v>
      </c>
      <c r="AB50" s="18" t="n">
        <v>15034</v>
      </c>
      <c r="AC50" s="24" t="n">
        <v>2075</v>
      </c>
      <c r="AD50" s="18" t="n">
        <v>16563</v>
      </c>
      <c r="AE50" s="18" t="n">
        <v>20392</v>
      </c>
      <c r="AF50" s="24" t="n">
        <v>3829</v>
      </c>
      <c r="AG50" s="18" t="n">
        <v>13053</v>
      </c>
      <c r="AH50" s="18" t="n">
        <v>14564</v>
      </c>
      <c r="AI50" s="24" t="n">
        <v>1511</v>
      </c>
      <c r="AJ50" s="18" t="n">
        <v>18118</v>
      </c>
      <c r="AK50" s="18" t="n">
        <v>19803</v>
      </c>
      <c r="AL50" s="24" t="n">
        <v>1685</v>
      </c>
    </row>
    <row r="51">
      <c r="B51" s="6" t="inlineStr">
        <is>
          <t>小计</t>
        </is>
      </c>
      <c r="C51" s="19" t="n">
        <v>132070</v>
      </c>
      <c r="D51" s="19" t="n">
        <v>145356</v>
      </c>
      <c r="E51" s="19" t="n">
        <v>13286</v>
      </c>
      <c r="F51" s="19" t="n">
        <v>112055</v>
      </c>
      <c r="G51" s="19" t="n">
        <v>97612</v>
      </c>
      <c r="H51" s="19" t="n">
        <v>-14443</v>
      </c>
      <c r="I51" s="19" t="n">
        <v>144578</v>
      </c>
      <c r="J51" s="19" t="n">
        <v>159478</v>
      </c>
      <c r="K51" s="19" t="n">
        <v>14900</v>
      </c>
      <c r="L51" s="19" t="n">
        <v>169373</v>
      </c>
      <c r="M51" s="19" t="n">
        <v>142707</v>
      </c>
      <c r="N51" s="19" t="n">
        <v>-26666</v>
      </c>
      <c r="O51" s="19" t="n">
        <v>175308</v>
      </c>
      <c r="P51" s="19" t="n">
        <v>195500</v>
      </c>
      <c r="Q51" s="19" t="n">
        <v>20192</v>
      </c>
      <c r="R51" s="19" t="n">
        <v>171261</v>
      </c>
      <c r="S51" s="19" t="n">
        <v>167801</v>
      </c>
      <c r="T51" s="19" t="n">
        <v>-3460</v>
      </c>
      <c r="U51" s="19" t="n">
        <v>198129</v>
      </c>
      <c r="V51" s="19" t="n">
        <v>211915</v>
      </c>
      <c r="W51" s="19" t="n">
        <v>13786</v>
      </c>
      <c r="X51" s="19" t="n">
        <v>162598</v>
      </c>
      <c r="Y51" s="19" t="n">
        <v>159848</v>
      </c>
      <c r="Z51" s="19" t="n">
        <v>-2750</v>
      </c>
      <c r="AA51" s="19" t="n">
        <v>147588</v>
      </c>
      <c r="AB51" s="19" t="n">
        <v>144813</v>
      </c>
      <c r="AC51" s="19" t="n">
        <v>-2775</v>
      </c>
      <c r="AD51" s="19" t="n">
        <v>177217</v>
      </c>
      <c r="AE51" s="19" t="n">
        <v>184261</v>
      </c>
      <c r="AF51" s="19" t="n">
        <v>7044</v>
      </c>
      <c r="AG51" s="19" t="n">
        <v>163996</v>
      </c>
      <c r="AH51" s="19" t="n">
        <v>145240</v>
      </c>
      <c r="AI51" s="19" t="n">
        <v>-18756</v>
      </c>
      <c r="AJ51" s="19" t="n">
        <v>216576</v>
      </c>
      <c r="AK51" s="19" t="n">
        <v>224520</v>
      </c>
      <c r="AL51" s="19" t="n">
        <v>7944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江苏美鑫食品科技有限公司现金流量表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10383518.19</v>
      </c>
      <c r="D5" s="15" t="n">
        <v>3331982.22</v>
      </c>
      <c r="E5" s="15" t="n">
        <v>7368105.38</v>
      </c>
      <c r="F5" s="15" t="n">
        <v>4626883.19</v>
      </c>
      <c r="G5" s="15" t="n">
        <v>25710488.98</v>
      </c>
    </row>
    <row r="6">
      <c r="A6" s="4" t="inlineStr">
        <is>
          <t>收到的税费返还</t>
        </is>
      </c>
      <c r="B6" s="3" t="n">
        <v>2</v>
      </c>
      <c r="C6" s="15" t="n">
        <v>2516889.19</v>
      </c>
      <c r="D6" s="15" t="n">
        <v>12850720.45</v>
      </c>
      <c r="E6" s="15" t="n">
        <v>3546109.47</v>
      </c>
      <c r="F6" s="15" t="n">
        <v>2428231.43</v>
      </c>
      <c r="G6" s="15" t="n">
        <v>21341950.54</v>
      </c>
    </row>
    <row r="7">
      <c r="A7" s="4" t="inlineStr">
        <is>
          <t>收到其他与经营活动有关的现金</t>
        </is>
      </c>
      <c r="B7" s="3" t="n">
        <v>3</v>
      </c>
      <c r="C7" s="15" t="n">
        <v>7377911.54</v>
      </c>
      <c r="D7" s="15" t="n">
        <v>12855578.01</v>
      </c>
      <c r="E7" s="15" t="n">
        <v>8424679.34</v>
      </c>
      <c r="F7" s="15" t="n">
        <v>8712140.220000001</v>
      </c>
      <c r="G7" s="15" t="n">
        <v>37370309.11</v>
      </c>
    </row>
    <row r="8">
      <c r="A8" s="6" t="inlineStr">
        <is>
          <t>经营活动现金流入小计</t>
        </is>
      </c>
      <c r="B8" s="3" t="n">
        <v>4</v>
      </c>
      <c r="C8" s="16" t="n">
        <v>1126701.13</v>
      </c>
      <c r="D8" s="16" t="n">
        <v>3699587.77</v>
      </c>
      <c r="E8" s="16" t="n">
        <v>6908915.89</v>
      </c>
      <c r="F8" s="16" t="n">
        <v>-1174632.1</v>
      </c>
      <c r="G8" s="16" t="n">
        <v>10560572.69</v>
      </c>
    </row>
    <row r="9">
      <c r="A9" s="4" t="inlineStr">
        <is>
          <t>购买商品、接受劳务支付的现金</t>
        </is>
      </c>
      <c r="B9" s="3" t="n">
        <v>5</v>
      </c>
      <c r="C9" s="15" t="n">
        <v>-6346949.45</v>
      </c>
      <c r="D9" s="15" t="n">
        <v>-10763741.32</v>
      </c>
      <c r="E9" s="15" t="n">
        <v>-8476509.32</v>
      </c>
      <c r="F9" s="15" t="n">
        <v>-689544.12</v>
      </c>
      <c r="G9" s="15" t="n">
        <v>-26276744.21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-4676222.18</v>
      </c>
      <c r="D10" s="15" t="n">
        <v>-5558421.45</v>
      </c>
      <c r="E10" s="15" t="n">
        <v>-8051225.04</v>
      </c>
      <c r="F10" s="15" t="n">
        <v>-10698596.42</v>
      </c>
      <c r="G10" s="15" t="n">
        <v>-28984465.09</v>
      </c>
    </row>
    <row r="11">
      <c r="A11" s="4" t="inlineStr">
        <is>
          <t>支付的各项税费</t>
        </is>
      </c>
      <c r="B11" s="3" t="n">
        <v>7</v>
      </c>
      <c r="C11" s="15" t="n">
        <v>-6310455.34</v>
      </c>
      <c r="D11" s="15" t="n">
        <v>-4771170.28</v>
      </c>
      <c r="E11" s="15" t="n">
        <v>-12403804.44</v>
      </c>
      <c r="F11" s="15" t="n">
        <v>-9131603.779999999</v>
      </c>
      <c r="G11" s="15" t="n">
        <v>-32617033.84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-4794220.41</v>
      </c>
      <c r="D12" s="15" t="n">
        <v>-5340015.05</v>
      </c>
      <c r="E12" s="15" t="n">
        <v>-8892818.85</v>
      </c>
      <c r="F12" s="15" t="n">
        <v>-7389867.31</v>
      </c>
      <c r="G12" s="15" t="n">
        <v>-26416921.62</v>
      </c>
    </row>
    <row r="13">
      <c r="A13" s="6" t="inlineStr">
        <is>
          <t>经营活动现金流出小计</t>
        </is>
      </c>
      <c r="B13" s="3" t="n">
        <v>9</v>
      </c>
      <c r="C13" s="16" t="n">
        <v>6191147.78</v>
      </c>
      <c r="D13" s="16" t="n">
        <v>3872062.17</v>
      </c>
      <c r="E13" s="16" t="n">
        <v>1309731.53</v>
      </c>
      <c r="F13" s="16" t="n">
        <v>1149735.9</v>
      </c>
      <c r="G13" s="16" t="n">
        <v>12522677.38</v>
      </c>
    </row>
    <row r="14">
      <c r="A14" s="6" t="inlineStr">
        <is>
          <t>经营活动产生的现金流量净额</t>
        </is>
      </c>
      <c r="B14" s="3" t="n">
        <v>10</v>
      </c>
      <c r="C14" s="16" t="n">
        <v>4386406.43</v>
      </c>
      <c r="D14" s="16" t="n">
        <v>549845.8199999999</v>
      </c>
      <c r="E14" s="16" t="n">
        <v>4596924.24</v>
      </c>
      <c r="F14" s="16" t="n">
        <v>4243472.83</v>
      </c>
      <c r="G14" s="16" t="n">
        <v>13776649.32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1454341.26</v>
      </c>
      <c r="D16" s="15" t="n">
        <v>7307732.29</v>
      </c>
      <c r="E16" s="15" t="n">
        <v>11218322.15</v>
      </c>
      <c r="F16" s="15" t="n">
        <v>12673092.91</v>
      </c>
      <c r="G16" s="15" t="n">
        <v>32653488.61</v>
      </c>
    </row>
    <row r="17">
      <c r="A17" s="4" t="inlineStr">
        <is>
          <t>取得投资收益收到的现金</t>
        </is>
      </c>
      <c r="B17" s="3" t="n">
        <v>12</v>
      </c>
      <c r="C17" s="15" t="n">
        <v>5557194.31</v>
      </c>
      <c r="D17" s="15" t="n">
        <v>9807793.970000001</v>
      </c>
      <c r="E17" s="15" t="n">
        <v>7204026.73</v>
      </c>
      <c r="F17" s="15" t="n">
        <v>991103.3</v>
      </c>
      <c r="G17" s="15" t="n">
        <v>23560118.31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2686168.3</v>
      </c>
      <c r="D18" s="15" t="n">
        <v>2509863</v>
      </c>
      <c r="E18" s="15" t="n">
        <v>13169523.51</v>
      </c>
      <c r="F18" s="15" t="n">
        <v>3570136.71</v>
      </c>
      <c r="G18" s="15" t="n">
        <v>21935691.52</v>
      </c>
    </row>
    <row r="19">
      <c r="A19" s="6" t="inlineStr">
        <is>
          <t>投资活动现金流入小计</t>
        </is>
      </c>
      <c r="B19" s="3" t="n">
        <v>14</v>
      </c>
      <c r="C19" s="16" t="n">
        <v>6922919.33</v>
      </c>
      <c r="D19" s="16" t="n">
        <v>6909159.17</v>
      </c>
      <c r="E19" s="16" t="n">
        <v>1718667.62</v>
      </c>
      <c r="F19" s="16" t="n">
        <v>2686740.15</v>
      </c>
      <c r="G19" s="16" t="n">
        <v>18237486.27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-6079812.12</v>
      </c>
      <c r="D20" s="15" t="n">
        <v>-3517515.98</v>
      </c>
      <c r="E20" s="15" t="n">
        <v>-12737806.7</v>
      </c>
      <c r="F20" s="15" t="n">
        <v>-7209815.73</v>
      </c>
      <c r="G20" s="15" t="n">
        <v>-29544950.53</v>
      </c>
    </row>
    <row r="21">
      <c r="A21" s="4" t="inlineStr">
        <is>
          <t>投资支付的现金</t>
        </is>
      </c>
      <c r="B21" s="3" t="n">
        <v>16</v>
      </c>
      <c r="C21" s="15" t="n">
        <v>-5519784.03</v>
      </c>
      <c r="D21" s="15" t="n">
        <v>-7818139.39</v>
      </c>
      <c r="E21" s="15" t="n">
        <v>-7793786.17</v>
      </c>
      <c r="F21" s="15" t="n">
        <v>-3334402.94</v>
      </c>
      <c r="G21" s="15" t="n">
        <v>-24466112.53</v>
      </c>
    </row>
    <row r="22">
      <c r="A22" s="6" t="inlineStr">
        <is>
          <t>投资活动现金流出小计</t>
        </is>
      </c>
      <c r="B22" s="3" t="n">
        <v>17</v>
      </c>
      <c r="C22" s="16" t="n">
        <v>1989320.9</v>
      </c>
      <c r="D22" s="16" t="n">
        <v>6350176.57</v>
      </c>
      <c r="E22" s="16" t="n">
        <v>2104121.27</v>
      </c>
      <c r="F22" s="16" t="n">
        <v>6408962.74</v>
      </c>
      <c r="G22" s="16" t="n">
        <v>16852581.48</v>
      </c>
    </row>
    <row r="23">
      <c r="A23" s="6" t="inlineStr">
        <is>
          <t>投资活动产生的现金流量净额</t>
        </is>
      </c>
      <c r="B23" s="3" t="n">
        <v>18</v>
      </c>
      <c r="C23" s="16" t="n">
        <v>4060419.88</v>
      </c>
      <c r="D23" s="16" t="n">
        <v>5891645.14</v>
      </c>
      <c r="E23" s="16" t="n">
        <v>4114182.72</v>
      </c>
      <c r="F23" s="16" t="n">
        <v>-1632298.25</v>
      </c>
      <c r="G23" s="16" t="n">
        <v>12433949.49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4538779.47</v>
      </c>
      <c r="D25" s="15" t="n">
        <v>3800733.19</v>
      </c>
      <c r="E25" s="15" t="n">
        <v>1980449.85</v>
      </c>
      <c r="F25" s="15" t="n">
        <v>8350588.79</v>
      </c>
      <c r="G25" s="15" t="n">
        <v>18670551.3</v>
      </c>
    </row>
    <row r="26">
      <c r="A26" s="4" t="inlineStr">
        <is>
          <t>取得借款收到的现金</t>
        </is>
      </c>
      <c r="B26" s="3" t="n">
        <v>20</v>
      </c>
      <c r="C26" s="15" t="n">
        <v>8837544.300000001</v>
      </c>
      <c r="D26" s="15" t="n">
        <v>11977414.58</v>
      </c>
      <c r="E26" s="15" t="n">
        <v>6982021.58</v>
      </c>
      <c r="F26" s="15" t="n">
        <v>5828899.84</v>
      </c>
      <c r="G26" s="15" t="n">
        <v>33625880.3</v>
      </c>
    </row>
    <row r="27">
      <c r="A27" s="6" t="inlineStr">
        <is>
          <t>筹资活动现金流入小计</t>
        </is>
      </c>
      <c r="B27" s="3" t="n">
        <v>21</v>
      </c>
      <c r="C27" s="16" t="n">
        <v>1085059.63</v>
      </c>
      <c r="D27" s="16" t="n">
        <v>-1628503.38</v>
      </c>
      <c r="E27" s="16" t="n">
        <v>4183713.05</v>
      </c>
      <c r="F27" s="16" t="n">
        <v>-2117563.28</v>
      </c>
      <c r="G27" s="16" t="n">
        <v>1522706.02</v>
      </c>
    </row>
    <row r="28">
      <c r="A28" s="4" t="inlineStr">
        <is>
          <t>偿还债务支付的现金</t>
        </is>
      </c>
      <c r="B28" s="3" t="n">
        <v>22</v>
      </c>
      <c r="C28" s="15" t="n">
        <v>-3446992.12</v>
      </c>
      <c r="D28" s="15" t="n">
        <v>-5053250.28</v>
      </c>
      <c r="E28" s="15" t="n">
        <v>-6044600.37</v>
      </c>
      <c r="F28" s="15" t="n">
        <v>-12102402.24</v>
      </c>
      <c r="G28" s="15" t="n">
        <v>-26647245.01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-6380937.69</v>
      </c>
      <c r="D29" s="15" t="n">
        <v>-5153252.56</v>
      </c>
      <c r="E29" s="15" t="n">
        <v>-9049871.07</v>
      </c>
      <c r="F29" s="15" t="n">
        <v>-996583.99</v>
      </c>
      <c r="G29" s="15" t="n">
        <v>-21580645.31</v>
      </c>
    </row>
    <row r="30">
      <c r="A30" s="6" t="inlineStr">
        <is>
          <t>筹资活动现金流出小计</t>
        </is>
      </c>
      <c r="B30" s="3" t="n">
        <v>24</v>
      </c>
      <c r="C30" s="16" t="n">
        <v>3811311.26</v>
      </c>
      <c r="D30" s="16" t="n">
        <v>-258228.43</v>
      </c>
      <c r="E30" s="16" t="n">
        <v>458477.47</v>
      </c>
      <c r="F30" s="16" t="n">
        <v>1611654.01</v>
      </c>
      <c r="G30" s="16" t="n">
        <v>5623214.31</v>
      </c>
    </row>
    <row r="31">
      <c r="A31" s="6" t="inlineStr">
        <is>
          <t>筹资活动产生的现金流量净额</t>
        </is>
      </c>
      <c r="B31" s="3" t="n">
        <v>25</v>
      </c>
      <c r="C31" s="16" t="n">
        <v>-1504197.42</v>
      </c>
      <c r="D31" s="16" t="n">
        <v>460195.62</v>
      </c>
      <c r="E31" s="16" t="n">
        <v>3061124.94</v>
      </c>
      <c r="F31" s="16" t="n">
        <v>4122072.98</v>
      </c>
      <c r="G31" s="16" t="n">
        <v>6139196.12</v>
      </c>
    </row>
    <row r="32">
      <c r="A32" s="4" t="inlineStr">
        <is>
          <t>四、汇率变动对现金的影响</t>
        </is>
      </c>
      <c r="B32" s="3" t="n">
        <v>26</v>
      </c>
      <c r="C32" s="15" t="n">
        <v>-71437.86</v>
      </c>
      <c r="D32" s="15" t="n">
        <v>-357674.1</v>
      </c>
      <c r="E32" s="15" t="n">
        <v>83575.06</v>
      </c>
      <c r="F32" s="15" t="n">
        <v>224159.03</v>
      </c>
      <c r="G32" s="15" t="n">
        <v>-121377.87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-1548380.65</v>
      </c>
      <c r="D33" s="16" t="n">
        <v>4623921.93</v>
      </c>
      <c r="E33" s="16" t="n">
        <v>-181691.43</v>
      </c>
      <c r="F33" s="16" t="n">
        <v>817115.01</v>
      </c>
      <c r="G33" s="16" t="n">
        <v>3710964.86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-189580.45</v>
      </c>
      <c r="D34" s="15" t="n">
        <v>356516.29</v>
      </c>
      <c r="E34" s="15" t="n">
        <v>-118866.35</v>
      </c>
      <c r="F34" s="15" t="n">
        <v>-347296.05</v>
      </c>
      <c r="G34" s="15" t="n">
        <v>-299226.56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723862.63</v>
      </c>
      <c r="D35" s="16" t="n">
        <v>3039368.95</v>
      </c>
      <c r="E35" s="16" t="n">
        <v>1447073.77</v>
      </c>
      <c r="F35" s="16" t="n">
        <v>6324839.55</v>
      </c>
      <c r="G35" s="16" t="n">
        <v>11535144.9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中式汤底</t>
        </is>
      </c>
      <c r="B4" s="15" t="n">
        <v>1811723.52</v>
      </c>
      <c r="C4" s="15" t="n">
        <v>532272.64</v>
      </c>
      <c r="D4" s="15" t="n">
        <v>1087836.37</v>
      </c>
      <c r="E4" s="15" t="n">
        <v>170535.8</v>
      </c>
      <c r="F4" s="15" t="n">
        <v>651336.3199999999</v>
      </c>
      <c r="G4" s="15" t="n">
        <v>870488.4</v>
      </c>
      <c r="H4" s="15" t="n">
        <v>1400322.19</v>
      </c>
      <c r="I4" s="15" t="n">
        <v>1450907.9</v>
      </c>
      <c r="J4" s="15" t="n">
        <v>27440.72</v>
      </c>
      <c r="K4" s="15" t="n">
        <v>226081.93</v>
      </c>
      <c r="L4" s="15" t="n">
        <v>313098.22</v>
      </c>
      <c r="M4" s="15" t="n">
        <v>2534776.73</v>
      </c>
      <c r="N4" s="15" t="n">
        <v>1201106.78</v>
      </c>
      <c r="O4" s="15" t="n">
        <v>900115.15</v>
      </c>
      <c r="P4" s="15" t="n">
        <v>1249453.23</v>
      </c>
      <c r="Q4" s="15" t="n">
        <v>263943.94</v>
      </c>
      <c r="R4" s="15" t="n">
        <v>109805.47</v>
      </c>
      <c r="S4" s="15" t="n">
        <v>1537700.95</v>
      </c>
      <c r="T4" s="15" t="n">
        <v>2093106.95</v>
      </c>
      <c r="U4" s="15" t="n">
        <v>558855.41</v>
      </c>
      <c r="V4" s="15" t="n">
        <v>100863.38</v>
      </c>
      <c r="W4" s="15" t="n">
        <v>297425.69</v>
      </c>
      <c r="X4" s="15" t="n">
        <v>-36185.88</v>
      </c>
      <c r="Y4" s="15" t="n">
        <v>2140617.14</v>
      </c>
      <c r="Z4" s="15" t="n">
        <v>2966301.22</v>
      </c>
      <c r="AA4" s="15" t="n">
        <v>2270423.5</v>
      </c>
      <c r="AB4" s="15" t="n">
        <v>1504983.18</v>
      </c>
      <c r="AC4" s="15" t="n">
        <v>157026.41</v>
      </c>
      <c r="AD4" s="15" t="n">
        <v>351418.64</v>
      </c>
      <c r="AE4" s="15" t="n">
        <v>2205562.79</v>
      </c>
      <c r="AF4" s="15" t="n">
        <v>3894056.46</v>
      </c>
      <c r="AG4" s="15" t="n">
        <v>873373.28</v>
      </c>
      <c r="AH4" s="15" t="n">
        <v>634586.14</v>
      </c>
      <c r="AI4" s="15" t="n">
        <v>319533.95</v>
      </c>
      <c r="AJ4" s="15" t="n">
        <v>118647.35</v>
      </c>
      <c r="AK4" s="15" t="n">
        <v>2273239.49</v>
      </c>
      <c r="AL4" s="15" t="n">
        <v>808679.0699999999</v>
      </c>
      <c r="AM4" s="15" t="n">
        <v>2275517.14</v>
      </c>
      <c r="AN4" s="15" t="n">
        <v>339936.07</v>
      </c>
      <c r="AO4" s="15" t="n">
        <v>367904.68</v>
      </c>
      <c r="AP4" s="15" t="n">
        <v>454743.89</v>
      </c>
      <c r="AQ4" s="15" t="n">
        <v>1833582.91</v>
      </c>
      <c r="AR4" s="15" t="n">
        <v>2425686.92</v>
      </c>
      <c r="AS4" s="15" t="n">
        <v>201613.48</v>
      </c>
      <c r="AT4" s="15" t="n">
        <v>1073370.32</v>
      </c>
      <c r="AU4" s="15" t="n">
        <v>9994.65</v>
      </c>
      <c r="AV4" s="15" t="n">
        <v>-29388.03</v>
      </c>
      <c r="AW4" s="15" t="n">
        <v>452369.68</v>
      </c>
      <c r="AX4" s="15" t="n">
        <v>2444575.94</v>
      </c>
      <c r="AY4" s="15" t="n">
        <v>759159.42</v>
      </c>
      <c r="AZ4" s="15" t="n">
        <v>838725.3100000001</v>
      </c>
      <c r="BA4" s="15" t="n">
        <v>163361.52</v>
      </c>
      <c r="BB4" s="15" t="n">
        <v>1159453.49</v>
      </c>
      <c r="BC4" s="15" t="n">
        <v>135831.19</v>
      </c>
      <c r="BD4" s="15" t="n">
        <v>1814071.38</v>
      </c>
      <c r="BE4" s="15" t="n">
        <v>2343934.57</v>
      </c>
      <c r="BF4" s="15" t="n">
        <v>1197481.39</v>
      </c>
      <c r="BG4" s="15" t="n">
        <v>170033.33</v>
      </c>
      <c r="BH4" s="15" t="n">
        <v>253721.24</v>
      </c>
      <c r="BI4" s="15" t="n">
        <v>2433106.27</v>
      </c>
      <c r="BJ4" s="15" t="n">
        <v>3112313.82</v>
      </c>
      <c r="BK4" s="15" t="n">
        <v>1359523.39</v>
      </c>
      <c r="BL4" s="15" t="n">
        <v>920495.23</v>
      </c>
      <c r="BM4" s="15" t="n">
        <v>278813.39</v>
      </c>
      <c r="BN4" s="15" t="n">
        <v>743684.04</v>
      </c>
      <c r="BO4" s="15" t="n">
        <v>1676211.44</v>
      </c>
      <c r="BP4" s="15" t="n">
        <v>2487027.82</v>
      </c>
      <c r="BQ4" s="15" t="n">
        <v>1529997.38</v>
      </c>
      <c r="BR4" s="15" t="n">
        <v>458558.74</v>
      </c>
      <c r="BS4" s="15" t="n">
        <v>197862.79</v>
      </c>
      <c r="BT4" s="15" t="n">
        <v>425813.86</v>
      </c>
      <c r="BU4" s="15" t="n">
        <v>246764.86</v>
      </c>
      <c r="BV4" s="15" t="n">
        <v>3279074.99</v>
      </c>
      <c r="BW4" s="15" t="n">
        <v>1625945.75</v>
      </c>
      <c r="BX4" s="15" t="n">
        <v>965560.67</v>
      </c>
      <c r="BY4" s="15" t="n">
        <v>202294.35</v>
      </c>
      <c r="BZ4" s="15" t="n">
        <v>1089101.74</v>
      </c>
      <c r="CA4" s="15" t="n">
        <v>981705.6</v>
      </c>
      <c r="CB4" s="15" t="n">
        <v>3755823.23</v>
      </c>
      <c r="CC4" s="15" t="n">
        <v>1711470.55</v>
      </c>
      <c r="CD4" s="15" t="n">
        <v>1064379.59</v>
      </c>
      <c r="CE4" s="15" t="n">
        <v>258292.24</v>
      </c>
      <c r="CF4" s="15" t="n">
        <v>600548.91</v>
      </c>
      <c r="CG4" s="15" t="n">
        <v>109406.05</v>
      </c>
      <c r="CH4" s="15" t="n">
        <v>1452272.43</v>
      </c>
      <c r="CI4" s="15" t="n">
        <v>1202461.34</v>
      </c>
      <c r="CJ4" s="15" t="n">
        <v>407128.9</v>
      </c>
      <c r="CK4" s="15" t="n">
        <v>114584.86</v>
      </c>
      <c r="CL4" s="15" t="n">
        <v>432047.53</v>
      </c>
      <c r="CM4" s="15" t="n">
        <v>1866097.34</v>
      </c>
      <c r="CN4" s="15" t="n">
        <v>1256576.47</v>
      </c>
      <c r="CO4" s="15" t="n">
        <v>2198119.8</v>
      </c>
      <c r="CP4" s="15" t="n">
        <v>1271755.72</v>
      </c>
      <c r="CQ4" s="15" t="n">
        <v>277957.13</v>
      </c>
      <c r="CR4" s="15" t="n">
        <v>1157201.2</v>
      </c>
      <c r="CS4" s="15" t="n">
        <v>1756066.07</v>
      </c>
      <c r="CT4" s="15" t="n">
        <v>3091004.97</v>
      </c>
      <c r="CU4" s="15" t="n">
        <v>2122894.65</v>
      </c>
      <c r="CV4" s="15" t="n">
        <v>1194813.27</v>
      </c>
      <c r="CW4" s="15" t="n">
        <v>316260.62</v>
      </c>
      <c r="CX4" s="15" t="n">
        <v>1124872.88</v>
      </c>
      <c r="CY4" s="15" t="n">
        <v>1085024.87</v>
      </c>
      <c r="CZ4" s="15" t="n">
        <v>2044599.93</v>
      </c>
      <c r="DA4" s="15" t="n">
        <v>1394755.23</v>
      </c>
      <c r="DB4" s="15" t="n">
        <v>1060142.54</v>
      </c>
      <c r="DC4" s="15" t="n">
        <v>160484.5</v>
      </c>
      <c r="DD4" s="15" t="n">
        <v>308887.91</v>
      </c>
      <c r="DE4" s="15" t="n">
        <v>3160380.12</v>
      </c>
      <c r="DF4" s="15" t="n">
        <v>2248253.17</v>
      </c>
      <c r="DG4" s="15" t="n">
        <v>1088764.83</v>
      </c>
      <c r="DH4" s="15" t="n">
        <v>1281374.6</v>
      </c>
      <c r="DI4" s="15" t="n">
        <v>126753.62</v>
      </c>
      <c r="DJ4" s="15" t="n">
        <v>451129.52</v>
      </c>
      <c r="DK4" s="15" t="n">
        <v>348030.32</v>
      </c>
      <c r="DL4" s="15" t="n">
        <v>2152367.41</v>
      </c>
      <c r="DM4" s="15" t="n">
        <v>1820588.53</v>
      </c>
      <c r="DN4" s="15" t="n">
        <v>811891.66</v>
      </c>
      <c r="DO4" s="15" t="n">
        <v>390852.46</v>
      </c>
      <c r="DP4" s="15" t="n">
        <v>211876.93</v>
      </c>
    </row>
    <row r="5">
      <c r="A5" s="4" t="inlineStr">
        <is>
          <t>酱料</t>
        </is>
      </c>
      <c r="B5" s="15" t="n">
        <v>3275929.78</v>
      </c>
      <c r="C5" s="15" t="n">
        <v>882395.96</v>
      </c>
      <c r="D5" s="15" t="n">
        <v>976268.6</v>
      </c>
      <c r="E5" s="15" t="n">
        <v>166084.46</v>
      </c>
      <c r="F5" s="15" t="n">
        <v>273719.46</v>
      </c>
      <c r="G5" s="15" t="n">
        <v>736113.29</v>
      </c>
      <c r="H5" s="15" t="n">
        <v>239061.04</v>
      </c>
      <c r="I5" s="15" t="n">
        <v>419010.69</v>
      </c>
      <c r="J5" s="15" t="n">
        <v>528218.27</v>
      </c>
      <c r="K5" s="15" t="n">
        <v>66720.42</v>
      </c>
      <c r="L5" s="15" t="n">
        <v>-98692.82000000001</v>
      </c>
      <c r="M5" s="15" t="n">
        <v>2762759.33</v>
      </c>
      <c r="N5" s="15" t="n">
        <v>2608103.64</v>
      </c>
      <c r="O5" s="15" t="n">
        <v>1997098.13</v>
      </c>
      <c r="P5" s="15" t="n">
        <v>633656.26</v>
      </c>
      <c r="Q5" s="15" t="n">
        <v>162166.26</v>
      </c>
      <c r="R5" s="15" t="n">
        <v>667233.45</v>
      </c>
      <c r="S5" s="15" t="n">
        <v>2070350.32</v>
      </c>
      <c r="T5" s="15" t="n">
        <v>1119653.44</v>
      </c>
      <c r="U5" s="15" t="n">
        <v>570829.24</v>
      </c>
      <c r="V5" s="15" t="n">
        <v>1242853.1</v>
      </c>
      <c r="W5" s="15" t="n">
        <v>99020.19</v>
      </c>
      <c r="X5" s="15" t="n">
        <v>181544.03</v>
      </c>
      <c r="Y5" s="15" t="n">
        <v>1336276.38</v>
      </c>
      <c r="Z5" s="15" t="n">
        <v>1373508.41</v>
      </c>
      <c r="AA5" s="15" t="n">
        <v>2392346.44</v>
      </c>
      <c r="AB5" s="15" t="n">
        <v>311676.87</v>
      </c>
      <c r="AC5" s="15" t="n">
        <v>48032.2</v>
      </c>
      <c r="AD5" s="15" t="n">
        <v>323710.21</v>
      </c>
      <c r="AE5" s="15" t="n">
        <v>164959.13</v>
      </c>
      <c r="AF5" s="15" t="n">
        <v>1001727.27</v>
      </c>
      <c r="AG5" s="15" t="n">
        <v>1110806.27</v>
      </c>
      <c r="AH5" s="15" t="n">
        <v>24092.72</v>
      </c>
      <c r="AI5" s="15" t="n">
        <v>221993.44</v>
      </c>
      <c r="AJ5" s="15" t="n">
        <v>125024.65</v>
      </c>
      <c r="AK5" s="15" t="n">
        <v>2785362.48</v>
      </c>
      <c r="AL5" s="15" t="n">
        <v>1724861.56</v>
      </c>
      <c r="AM5" s="15" t="n">
        <v>731814.35</v>
      </c>
      <c r="AN5" s="15" t="n">
        <v>692631.85</v>
      </c>
      <c r="AO5" s="15" t="n">
        <v>362646.44</v>
      </c>
      <c r="AP5" s="15" t="n">
        <v>638871.45</v>
      </c>
      <c r="AQ5" s="15" t="n">
        <v>247764.05</v>
      </c>
      <c r="AR5" s="15" t="n">
        <v>1949602.5</v>
      </c>
      <c r="AS5" s="15" t="n">
        <v>658478.13</v>
      </c>
      <c r="AT5" s="15" t="n">
        <v>453508.19</v>
      </c>
      <c r="AU5" s="15" t="n">
        <v>176682.55</v>
      </c>
      <c r="AV5" s="15" t="n">
        <v>1083048.33</v>
      </c>
      <c r="AW5" s="15" t="n">
        <v>448240.52</v>
      </c>
      <c r="AX5" s="15" t="n">
        <v>2987376.03</v>
      </c>
      <c r="AY5" s="15" t="n">
        <v>240672.5</v>
      </c>
      <c r="AZ5" s="15" t="n">
        <v>144405.04</v>
      </c>
      <c r="BA5" s="15" t="n">
        <v>77548.37</v>
      </c>
      <c r="BB5" s="15" t="n">
        <v>944985.96</v>
      </c>
      <c r="BC5" s="15" t="n">
        <v>202861.24</v>
      </c>
      <c r="BD5" s="15" t="n">
        <v>3037870.3</v>
      </c>
      <c r="BE5" s="15" t="n">
        <v>1757961.73</v>
      </c>
      <c r="BF5" s="15" t="n">
        <v>1308778.27</v>
      </c>
      <c r="BG5" s="15" t="n">
        <v>166783.69</v>
      </c>
      <c r="BH5" s="15" t="n">
        <v>265693.18</v>
      </c>
      <c r="BI5" s="15" t="n">
        <v>1165199.61</v>
      </c>
      <c r="BJ5" s="15" t="n">
        <v>3171513.35</v>
      </c>
      <c r="BK5" s="15" t="n">
        <v>1718297.84</v>
      </c>
      <c r="BL5" s="15" t="n">
        <v>1142155.96</v>
      </c>
      <c r="BM5" s="15" t="n">
        <v>283148.51</v>
      </c>
      <c r="BN5" s="15" t="n">
        <v>708324.12</v>
      </c>
      <c r="BO5" s="15" t="n">
        <v>2895622.42</v>
      </c>
      <c r="BP5" s="15" t="n">
        <v>254104.69</v>
      </c>
      <c r="BQ5" s="15" t="n">
        <v>1900973.57</v>
      </c>
      <c r="BR5" s="15" t="n">
        <v>495473.49</v>
      </c>
      <c r="BS5" s="15" t="n">
        <v>131031.54</v>
      </c>
      <c r="BT5" s="15" t="n">
        <v>658961.85</v>
      </c>
      <c r="BU5" s="15" t="n">
        <v>737792.51</v>
      </c>
      <c r="BV5" s="15" t="n">
        <v>1541402.87</v>
      </c>
      <c r="BW5" s="15" t="n">
        <v>2035657.39</v>
      </c>
      <c r="BX5" s="15" t="n">
        <v>674918.45</v>
      </c>
      <c r="BY5" s="15" t="n">
        <v>288328.09</v>
      </c>
      <c r="BZ5" s="15" t="n">
        <v>385486.06</v>
      </c>
      <c r="CA5" s="15" t="n">
        <v>378908.28</v>
      </c>
      <c r="CB5" s="15" t="n">
        <v>955824.1800000001</v>
      </c>
      <c r="CC5" s="15" t="n">
        <v>786046.63</v>
      </c>
      <c r="CD5" s="15" t="n">
        <v>1202745.73</v>
      </c>
      <c r="CE5" s="15" t="n">
        <v>308436.69</v>
      </c>
      <c r="CF5" s="15" t="n">
        <v>-124759.55</v>
      </c>
      <c r="CG5" s="15" t="n">
        <v>1902075.3</v>
      </c>
      <c r="CH5" s="15" t="n">
        <v>3158785.15</v>
      </c>
      <c r="CI5" s="15" t="n">
        <v>1181476.62</v>
      </c>
      <c r="CJ5" s="15" t="n">
        <v>1267072.41</v>
      </c>
      <c r="CK5" s="15" t="n">
        <v>12532.19</v>
      </c>
      <c r="CL5" s="15" t="n">
        <v>1188464.69</v>
      </c>
      <c r="CM5" s="15" t="n">
        <v>2837094.4</v>
      </c>
      <c r="CN5" s="15" t="n">
        <v>348833.26</v>
      </c>
      <c r="CO5" s="15" t="n">
        <v>2060293.98</v>
      </c>
      <c r="CP5" s="15" t="n">
        <v>1300064.49</v>
      </c>
      <c r="CQ5" s="15" t="n">
        <v>343611.04</v>
      </c>
      <c r="CR5" s="15" t="n">
        <v>-31239.42</v>
      </c>
      <c r="CS5" s="15" t="n">
        <v>1763640.56</v>
      </c>
      <c r="CT5" s="15" t="n">
        <v>3651984.95</v>
      </c>
      <c r="CU5" s="15" t="n">
        <v>1362618.82</v>
      </c>
      <c r="CV5" s="15" t="n">
        <v>625470.79</v>
      </c>
      <c r="CW5" s="15" t="n">
        <v>366417.74</v>
      </c>
      <c r="CX5" s="15" t="n">
        <v>939450.5600000001</v>
      </c>
      <c r="CY5" s="15" t="n">
        <v>1938504.55</v>
      </c>
      <c r="CZ5" s="15" t="n">
        <v>2461735.08</v>
      </c>
      <c r="DA5" s="15" t="n">
        <v>1860745.96</v>
      </c>
      <c r="DB5" s="15" t="n">
        <v>199642.27</v>
      </c>
      <c r="DC5" s="15" t="n">
        <v>366032.14</v>
      </c>
      <c r="DD5" s="15" t="n">
        <v>690642.35</v>
      </c>
      <c r="DE5" s="15" t="n">
        <v>2334537.28</v>
      </c>
      <c r="DF5" s="15" t="n">
        <v>221833.62</v>
      </c>
      <c r="DG5" s="15" t="n">
        <v>885880.35</v>
      </c>
      <c r="DH5" s="15" t="n">
        <v>207369.6</v>
      </c>
      <c r="DI5" s="15" t="n">
        <v>45196.44</v>
      </c>
      <c r="DJ5" s="15" t="n">
        <v>945651.38</v>
      </c>
      <c r="DK5" s="15" t="n">
        <v>2605914.27</v>
      </c>
      <c r="DL5" s="15" t="n">
        <v>952635.97</v>
      </c>
      <c r="DM5" s="15" t="n">
        <v>2232306.9</v>
      </c>
      <c r="DN5" s="15" t="n">
        <v>668266.21</v>
      </c>
      <c r="DO5" s="15" t="n">
        <v>179704.7</v>
      </c>
      <c r="DP5" s="15" t="n">
        <v>522266.2</v>
      </c>
    </row>
    <row r="6">
      <c r="A6" s="4" t="inlineStr">
        <is>
          <t>川味底料</t>
        </is>
      </c>
      <c r="B6" s="15" t="n">
        <v>3196217.22</v>
      </c>
      <c r="C6" s="15" t="n">
        <v>1206254.47</v>
      </c>
      <c r="D6" s="15" t="n">
        <v>781115.03</v>
      </c>
      <c r="E6" s="15" t="n">
        <v>218217.03</v>
      </c>
      <c r="F6" s="15" t="n">
        <v>713134.13</v>
      </c>
      <c r="G6" s="15" t="n">
        <v>1977962.59</v>
      </c>
      <c r="H6" s="15" t="n">
        <v>658604.3199999999</v>
      </c>
      <c r="I6" s="15" t="n">
        <v>2048822.36</v>
      </c>
      <c r="J6" s="15" t="n">
        <v>1136102.35</v>
      </c>
      <c r="K6" s="15" t="n">
        <v>302475.72</v>
      </c>
      <c r="L6" s="15" t="n">
        <v>1128906.04</v>
      </c>
      <c r="M6" s="15" t="n">
        <v>2728377.68</v>
      </c>
      <c r="N6" s="15" t="n">
        <v>3636115.26</v>
      </c>
      <c r="O6" s="15" t="n">
        <v>2292328.57</v>
      </c>
      <c r="P6" s="15" t="n">
        <v>1358396.65</v>
      </c>
      <c r="Q6" s="15" t="n">
        <v>395777.71</v>
      </c>
      <c r="R6" s="15" t="n">
        <v>-136509.28</v>
      </c>
      <c r="S6" s="15" t="n">
        <v>2944130.82</v>
      </c>
      <c r="T6" s="15" t="n">
        <v>2831819.24</v>
      </c>
      <c r="U6" s="15" t="n">
        <v>1459582.36</v>
      </c>
      <c r="V6" s="15" t="n">
        <v>148627.3</v>
      </c>
      <c r="W6" s="15" t="n">
        <v>385432.86</v>
      </c>
      <c r="X6" s="15" t="n">
        <v>139204.41</v>
      </c>
      <c r="Y6" s="15" t="n">
        <v>2612879.39</v>
      </c>
      <c r="Z6" s="15" t="n">
        <v>370965.03</v>
      </c>
      <c r="AA6" s="15" t="n">
        <v>505965.6</v>
      </c>
      <c r="AB6" s="15" t="n">
        <v>929156.1899999999</v>
      </c>
      <c r="AC6" s="15" t="n">
        <v>71971.81</v>
      </c>
      <c r="AD6" s="15" t="n">
        <v>23286.02</v>
      </c>
      <c r="AE6" s="15" t="n">
        <v>1828117.9</v>
      </c>
      <c r="AF6" s="15" t="n">
        <v>3772688.89</v>
      </c>
      <c r="AG6" s="15" t="n">
        <v>1862965.47</v>
      </c>
      <c r="AH6" s="15" t="n">
        <v>436055.35</v>
      </c>
      <c r="AI6" s="15" t="n">
        <v>268964.32</v>
      </c>
      <c r="AJ6" s="15" t="n">
        <v>1123390.23</v>
      </c>
      <c r="AK6" s="15" t="n">
        <v>2656981.99</v>
      </c>
      <c r="AL6" s="15" t="n">
        <v>1953761.9</v>
      </c>
      <c r="AM6" s="15" t="n">
        <v>1638475.26</v>
      </c>
      <c r="AN6" s="15" t="n">
        <v>1498043.9</v>
      </c>
      <c r="AO6" s="15" t="n">
        <v>192704.38</v>
      </c>
      <c r="AP6" s="15" t="n">
        <v>333973.01</v>
      </c>
      <c r="AQ6" s="15" t="n">
        <v>1806585.27</v>
      </c>
      <c r="AR6" s="15" t="n">
        <v>1590598.89</v>
      </c>
      <c r="AS6" s="15" t="n">
        <v>1732850.54</v>
      </c>
      <c r="AT6" s="15" t="n">
        <v>419740.4</v>
      </c>
      <c r="AU6" s="15" t="n">
        <v>10706.78</v>
      </c>
      <c r="AV6" s="15" t="n">
        <v>383220.08</v>
      </c>
      <c r="AW6" s="15" t="n">
        <v>278167.72</v>
      </c>
      <c r="AX6" s="15" t="n">
        <v>3679105.33</v>
      </c>
      <c r="AY6" s="15" t="n">
        <v>2275951.8</v>
      </c>
      <c r="AZ6" s="15" t="n">
        <v>303199.93</v>
      </c>
      <c r="BA6" s="15" t="n">
        <v>170489.47</v>
      </c>
      <c r="BB6" s="15" t="n">
        <v>1167819.45</v>
      </c>
      <c r="BC6" s="15" t="n">
        <v>475782.55</v>
      </c>
      <c r="BD6" s="15" t="n">
        <v>208673.93</v>
      </c>
      <c r="BE6" s="15" t="n">
        <v>587907.88</v>
      </c>
      <c r="BF6" s="15" t="n">
        <v>110320.17</v>
      </c>
      <c r="BG6" s="15" t="n">
        <v>160225.24</v>
      </c>
      <c r="BH6" s="15" t="n">
        <v>1195431.66</v>
      </c>
      <c r="BI6" s="15" t="n">
        <v>1226196.29</v>
      </c>
      <c r="BJ6" s="15" t="n">
        <v>367853.59</v>
      </c>
      <c r="BK6" s="15" t="n">
        <v>795938.1</v>
      </c>
      <c r="BL6" s="15" t="n">
        <v>1083258.38</v>
      </c>
      <c r="BM6" s="15" t="n">
        <v>73863.19</v>
      </c>
      <c r="BN6" s="15" t="n">
        <v>316.34</v>
      </c>
      <c r="BO6" s="15" t="n">
        <v>1417565.49</v>
      </c>
      <c r="BP6" s="15" t="n">
        <v>3339332.56</v>
      </c>
      <c r="BQ6" s="15" t="n">
        <v>197287.05</v>
      </c>
      <c r="BR6" s="15" t="n">
        <v>145680.16</v>
      </c>
      <c r="BS6" s="15" t="n">
        <v>55604.01</v>
      </c>
      <c r="BT6" s="15" t="n">
        <v>832616.14</v>
      </c>
      <c r="BU6" s="15" t="n">
        <v>2771872.04</v>
      </c>
      <c r="BV6" s="15" t="n">
        <v>2864985.96</v>
      </c>
      <c r="BW6" s="15" t="n">
        <v>1882356.63</v>
      </c>
      <c r="BX6" s="15" t="n">
        <v>1401685.73</v>
      </c>
      <c r="BY6" s="15" t="n">
        <v>248915.81</v>
      </c>
      <c r="BZ6" s="15" t="n">
        <v>667832.75</v>
      </c>
      <c r="CA6" s="15" t="n">
        <v>759100.6800000001</v>
      </c>
      <c r="CB6" s="15" t="n">
        <v>312406.17</v>
      </c>
      <c r="CC6" s="15" t="n">
        <v>811332.48</v>
      </c>
      <c r="CD6" s="15" t="n">
        <v>940606.95</v>
      </c>
      <c r="CE6" s="15" t="n">
        <v>300251.67</v>
      </c>
      <c r="CF6" s="15" t="n">
        <v>885821.21</v>
      </c>
      <c r="CG6" s="15" t="n">
        <v>1885417.52</v>
      </c>
      <c r="CH6" s="15" t="n">
        <v>3667879.35</v>
      </c>
      <c r="CI6" s="15" t="n">
        <v>188103.04</v>
      </c>
      <c r="CJ6" s="15" t="n">
        <v>1264240.24</v>
      </c>
      <c r="CK6" s="15" t="n">
        <v>94695.39999999999</v>
      </c>
      <c r="CL6" s="15" t="n">
        <v>915369.47</v>
      </c>
      <c r="CM6" s="15" t="n">
        <v>2622957.56</v>
      </c>
      <c r="CN6" s="15" t="n">
        <v>1416107.06</v>
      </c>
      <c r="CO6" s="15" t="n">
        <v>1060476.75</v>
      </c>
      <c r="CP6" s="15" t="n">
        <v>1058438.95</v>
      </c>
      <c r="CQ6" s="15" t="n">
        <v>205918.94</v>
      </c>
      <c r="CR6" s="15" t="n">
        <v>663209.4399999999</v>
      </c>
      <c r="CS6" s="15" t="n">
        <v>2717994.76</v>
      </c>
      <c r="CT6" s="15" t="n">
        <v>493385.51</v>
      </c>
      <c r="CU6" s="15" t="n">
        <v>95425.42</v>
      </c>
      <c r="CV6" s="15" t="n">
        <v>938959.4300000001</v>
      </c>
      <c r="CW6" s="15" t="n">
        <v>159666.01</v>
      </c>
      <c r="CX6" s="15" t="n">
        <v>-13477.1</v>
      </c>
      <c r="CY6" s="15" t="n">
        <v>2456172.21</v>
      </c>
      <c r="CZ6" s="15" t="n">
        <v>3451897.58</v>
      </c>
      <c r="DA6" s="15" t="n">
        <v>161842.16</v>
      </c>
      <c r="DB6" s="15" t="n">
        <v>472520.3</v>
      </c>
      <c r="DC6" s="15" t="n">
        <v>20089.88</v>
      </c>
      <c r="DD6" s="15" t="n">
        <v>62057.14</v>
      </c>
      <c r="DE6" s="15" t="n">
        <v>268160.47</v>
      </c>
      <c r="DF6" s="15" t="n">
        <v>3037774.77</v>
      </c>
      <c r="DG6" s="15" t="n">
        <v>2029673.89</v>
      </c>
      <c r="DH6" s="15" t="n">
        <v>1271488.73</v>
      </c>
      <c r="DI6" s="15" t="n">
        <v>10307.22</v>
      </c>
      <c r="DJ6" s="15" t="n">
        <v>6530.84</v>
      </c>
      <c r="DK6" s="15" t="n">
        <v>2528969.3</v>
      </c>
      <c r="DL6" s="15" t="n">
        <v>3121818.31</v>
      </c>
      <c r="DM6" s="15" t="n">
        <v>2262230.99</v>
      </c>
      <c r="DN6" s="15" t="n">
        <v>1425691.57</v>
      </c>
      <c r="DO6" s="15" t="n">
        <v>309322.3</v>
      </c>
      <c r="DP6" s="15" t="n">
        <v>184314.73</v>
      </c>
    </row>
    <row r="7">
      <c r="A7" s="4" t="inlineStr">
        <is>
          <t>调味汁</t>
        </is>
      </c>
      <c r="B7" s="15" t="n">
        <v>3008832.86</v>
      </c>
      <c r="C7" s="15" t="n">
        <v>1946706.1</v>
      </c>
      <c r="D7" s="15" t="n">
        <v>1346298.34</v>
      </c>
      <c r="E7" s="15" t="n">
        <v>351565.57</v>
      </c>
      <c r="F7" s="15" t="n">
        <v>793998.17</v>
      </c>
      <c r="G7" s="15" t="n">
        <v>2233459.48</v>
      </c>
      <c r="H7" s="15" t="n">
        <v>2038287.63</v>
      </c>
      <c r="I7" s="15" t="n">
        <v>288390.53</v>
      </c>
      <c r="J7" s="15" t="n">
        <v>76415.42999999999</v>
      </c>
      <c r="K7" s="15" t="n">
        <v>311572.82</v>
      </c>
      <c r="L7" s="15" t="n">
        <v>983461.11</v>
      </c>
      <c r="M7" s="15" t="n">
        <v>920677.23</v>
      </c>
      <c r="N7" s="15" t="n">
        <v>2290578.12</v>
      </c>
      <c r="O7" s="15" t="n">
        <v>668015.63</v>
      </c>
      <c r="P7" s="15" t="n">
        <v>912605.97</v>
      </c>
      <c r="Q7" s="15" t="n">
        <v>146139.59</v>
      </c>
      <c r="R7" s="15" t="n">
        <v>955508.65</v>
      </c>
      <c r="S7" s="15" t="n">
        <v>100236.08</v>
      </c>
      <c r="T7" s="15" t="n">
        <v>2746009.7</v>
      </c>
      <c r="U7" s="15" t="n">
        <v>2046363.19</v>
      </c>
      <c r="V7" s="15" t="n">
        <v>542548.89</v>
      </c>
      <c r="W7" s="15" t="n">
        <v>364203.21</v>
      </c>
      <c r="X7" s="15" t="n">
        <v>522043.06</v>
      </c>
      <c r="Y7" s="15" t="n">
        <v>1362212.77</v>
      </c>
      <c r="Z7" s="15" t="n">
        <v>596275.5</v>
      </c>
      <c r="AA7" s="15" t="n">
        <v>2269851.02</v>
      </c>
      <c r="AB7" s="15" t="n">
        <v>431444.73</v>
      </c>
      <c r="AC7" s="15" t="n">
        <v>164162.91</v>
      </c>
      <c r="AD7" s="15" t="n">
        <v>648004.58</v>
      </c>
      <c r="AE7" s="15" t="n">
        <v>755295.39</v>
      </c>
      <c r="AF7" s="15" t="n">
        <v>2503491.56</v>
      </c>
      <c r="AG7" s="15" t="n">
        <v>1333090.56</v>
      </c>
      <c r="AH7" s="15" t="n">
        <v>1335615.26</v>
      </c>
      <c r="AI7" s="15" t="n">
        <v>232027.45</v>
      </c>
      <c r="AJ7" s="15" t="n">
        <v>-104754.64</v>
      </c>
      <c r="AK7" s="15" t="n">
        <v>872748</v>
      </c>
      <c r="AL7" s="15" t="n">
        <v>2464883.32</v>
      </c>
      <c r="AM7" s="15" t="n">
        <v>692870.4399999999</v>
      </c>
      <c r="AN7" s="15" t="n">
        <v>499197.77</v>
      </c>
      <c r="AO7" s="15" t="n">
        <v>268740.99</v>
      </c>
      <c r="AP7" s="15" t="n">
        <v>734778.34</v>
      </c>
      <c r="AQ7" s="15" t="n">
        <v>974556.04</v>
      </c>
      <c r="AR7" s="15" t="n">
        <v>1487619.91</v>
      </c>
      <c r="AS7" s="15" t="n">
        <v>2235154.71</v>
      </c>
      <c r="AT7" s="15" t="n">
        <v>1594951.63</v>
      </c>
      <c r="AU7" s="15" t="n">
        <v>181680.54</v>
      </c>
      <c r="AV7" s="15" t="n">
        <v>426266.69</v>
      </c>
      <c r="AW7" s="15" t="n">
        <v>1055590.85</v>
      </c>
      <c r="AX7" s="15" t="n">
        <v>826895.59</v>
      </c>
      <c r="AY7" s="15" t="n">
        <v>1838097.12</v>
      </c>
      <c r="AZ7" s="15" t="n">
        <v>861307.97</v>
      </c>
      <c r="BA7" s="15" t="n">
        <v>186022.63</v>
      </c>
      <c r="BB7" s="15" t="n">
        <v>863739.03</v>
      </c>
      <c r="BC7" s="15" t="n">
        <v>1960714.58</v>
      </c>
      <c r="BD7" s="15" t="n">
        <v>3522297.93</v>
      </c>
      <c r="BE7" s="15" t="n">
        <v>1944704.8</v>
      </c>
      <c r="BF7" s="15" t="n">
        <v>325277.73</v>
      </c>
      <c r="BG7" s="15" t="n">
        <v>45524.68</v>
      </c>
      <c r="BH7" s="15" t="n">
        <v>1115890.64</v>
      </c>
      <c r="BI7" s="15" t="n">
        <v>3097112.96</v>
      </c>
      <c r="BJ7" s="15" t="n">
        <v>2021846.73</v>
      </c>
      <c r="BK7" s="15" t="n">
        <v>1281474.39</v>
      </c>
      <c r="BL7" s="15" t="n">
        <v>1013943.36</v>
      </c>
      <c r="BM7" s="15" t="n">
        <v>56397.41</v>
      </c>
      <c r="BN7" s="15" t="n">
        <v>1185350.76</v>
      </c>
      <c r="BO7" s="15" t="n">
        <v>2172320.47</v>
      </c>
      <c r="BP7" s="15" t="n">
        <v>1551273.42</v>
      </c>
      <c r="BQ7" s="15" t="n">
        <v>1268106.22</v>
      </c>
      <c r="BR7" s="15" t="n">
        <v>938601.29</v>
      </c>
      <c r="BS7" s="15" t="n">
        <v>13615.07</v>
      </c>
      <c r="BT7" s="15" t="n">
        <v>1153878.35</v>
      </c>
      <c r="BU7" s="15" t="n">
        <v>3080612.49</v>
      </c>
      <c r="BV7" s="15" t="n">
        <v>1598688.38</v>
      </c>
      <c r="BW7" s="15" t="n">
        <v>1479780.73</v>
      </c>
      <c r="BX7" s="15" t="n">
        <v>722448.77</v>
      </c>
      <c r="BY7" s="15" t="n">
        <v>160129.12</v>
      </c>
      <c r="BZ7" s="15" t="n">
        <v>4505.19</v>
      </c>
      <c r="CA7" s="15" t="n">
        <v>1287760.28</v>
      </c>
      <c r="CB7" s="15" t="n">
        <v>617453.74</v>
      </c>
      <c r="CC7" s="15" t="n">
        <v>1739465.17</v>
      </c>
      <c r="CD7" s="15" t="n">
        <v>648043.71</v>
      </c>
      <c r="CE7" s="15" t="n">
        <v>11088.17</v>
      </c>
      <c r="CF7" s="15" t="n">
        <v>97911.73</v>
      </c>
      <c r="CG7" s="15" t="n">
        <v>1935452.26</v>
      </c>
      <c r="CH7" s="15" t="n">
        <v>579700.87</v>
      </c>
      <c r="CI7" s="15" t="n">
        <v>1948213</v>
      </c>
      <c r="CJ7" s="15" t="n">
        <v>649632.6800000001</v>
      </c>
      <c r="CK7" s="15" t="n">
        <v>222969.52</v>
      </c>
      <c r="CL7" s="15" t="n">
        <v>1087785.75</v>
      </c>
      <c r="CM7" s="15" t="n">
        <v>3193483.05</v>
      </c>
      <c r="CN7" s="15" t="n">
        <v>2726480.91</v>
      </c>
      <c r="CO7" s="15" t="n">
        <v>1184290.84</v>
      </c>
      <c r="CP7" s="15" t="n">
        <v>88820.92</v>
      </c>
      <c r="CQ7" s="15" t="n">
        <v>163166.94</v>
      </c>
      <c r="CR7" s="15" t="n">
        <v>354731.33</v>
      </c>
      <c r="CS7" s="15" t="n">
        <v>2695690.88</v>
      </c>
      <c r="CT7" s="15" t="n">
        <v>3004365.16</v>
      </c>
      <c r="CU7" s="15" t="n">
        <v>1980215.16</v>
      </c>
      <c r="CV7" s="15" t="n">
        <v>483838.19</v>
      </c>
      <c r="CW7" s="15" t="n">
        <v>69989.74000000001</v>
      </c>
      <c r="CX7" s="15" t="n">
        <v>1059710.49</v>
      </c>
      <c r="CY7" s="15" t="n">
        <v>2641352.45</v>
      </c>
      <c r="CZ7" s="15" t="n">
        <v>2029182.17</v>
      </c>
      <c r="DA7" s="15" t="n">
        <v>358785.93</v>
      </c>
      <c r="DB7" s="15" t="n">
        <v>153391.32</v>
      </c>
      <c r="DC7" s="15" t="n">
        <v>375622.13</v>
      </c>
      <c r="DD7" s="15" t="n">
        <v>278313.58</v>
      </c>
      <c r="DE7" s="15" t="n">
        <v>921747.46</v>
      </c>
      <c r="DF7" s="15" t="n">
        <v>3847213.92</v>
      </c>
      <c r="DG7" s="15" t="n">
        <v>848156.92</v>
      </c>
      <c r="DH7" s="15" t="n">
        <v>557048.61</v>
      </c>
      <c r="DI7" s="15" t="n">
        <v>299166.45</v>
      </c>
      <c r="DJ7" s="15" t="n">
        <v>970353.5600000001</v>
      </c>
      <c r="DK7" s="15" t="n">
        <v>66156.50999999999</v>
      </c>
      <c r="DL7" s="15" t="n">
        <v>1338434.02</v>
      </c>
      <c r="DM7" s="15" t="n">
        <v>2016429.73</v>
      </c>
      <c r="DN7" s="15" t="n">
        <v>1342894.17</v>
      </c>
      <c r="DO7" s="15" t="n">
        <v>129088.72</v>
      </c>
      <c r="DP7" s="15" t="n">
        <v>371051.36</v>
      </c>
    </row>
    <row r="8">
      <c r="A8" s="4" t="inlineStr">
        <is>
          <t>复合调味粉</t>
        </is>
      </c>
      <c r="B8" s="15" t="n">
        <v>325073.91</v>
      </c>
      <c r="C8" s="15" t="n">
        <v>470778.6</v>
      </c>
      <c r="D8" s="15" t="n">
        <v>589353.41</v>
      </c>
      <c r="E8" s="15" t="n">
        <v>340896.15</v>
      </c>
      <c r="F8" s="15" t="n">
        <v>301691.71</v>
      </c>
      <c r="G8" s="15" t="n">
        <v>535023.33</v>
      </c>
      <c r="H8" s="15" t="n">
        <v>2533674.71</v>
      </c>
      <c r="I8" s="15" t="n">
        <v>2184069.16</v>
      </c>
      <c r="J8" s="15" t="n">
        <v>1436997.01</v>
      </c>
      <c r="K8" s="15" t="n">
        <v>137539.52</v>
      </c>
      <c r="L8" s="15" t="n">
        <v>883857.2</v>
      </c>
      <c r="M8" s="15" t="n">
        <v>654878.26</v>
      </c>
      <c r="N8" s="15" t="n">
        <v>546585.9300000001</v>
      </c>
      <c r="O8" s="15" t="n">
        <v>688202.88</v>
      </c>
      <c r="P8" s="15" t="n">
        <v>1470970.64</v>
      </c>
      <c r="Q8" s="15" t="n">
        <v>14530.04</v>
      </c>
      <c r="R8" s="15" t="n">
        <v>673162.6</v>
      </c>
      <c r="S8" s="15" t="n">
        <v>2664750.75</v>
      </c>
      <c r="T8" s="15" t="n">
        <v>981347.3</v>
      </c>
      <c r="U8" s="15" t="n">
        <v>1609449.63</v>
      </c>
      <c r="V8" s="15" t="n">
        <v>399645.43</v>
      </c>
      <c r="W8" s="15" t="n">
        <v>57735.15</v>
      </c>
      <c r="X8" s="15" t="n">
        <v>816246.71</v>
      </c>
      <c r="Y8" s="15" t="n">
        <v>451545.48</v>
      </c>
      <c r="Z8" s="15" t="n">
        <v>2449763.7</v>
      </c>
      <c r="AA8" s="15" t="n">
        <v>2125266.54</v>
      </c>
      <c r="AB8" s="15" t="n">
        <v>1475429.18</v>
      </c>
      <c r="AC8" s="15" t="n">
        <v>234831.67</v>
      </c>
      <c r="AD8" s="15" t="n">
        <v>1086327.37</v>
      </c>
      <c r="AE8" s="15" t="n">
        <v>2852236.1</v>
      </c>
      <c r="AF8" s="15" t="n">
        <v>966785.5</v>
      </c>
      <c r="AG8" s="15" t="n">
        <v>304374.72</v>
      </c>
      <c r="AH8" s="15" t="n">
        <v>1305986.64</v>
      </c>
      <c r="AI8" s="15" t="n">
        <v>364239.17</v>
      </c>
      <c r="AJ8" s="15" t="n">
        <v>711318.3199999999</v>
      </c>
      <c r="AK8" s="15" t="n">
        <v>299528.76</v>
      </c>
      <c r="AL8" s="15" t="n">
        <v>3459508.8</v>
      </c>
      <c r="AM8" s="15" t="n">
        <v>1947111.91</v>
      </c>
      <c r="AN8" s="15" t="n">
        <v>868585.5600000001</v>
      </c>
      <c r="AO8" s="15" t="n">
        <v>317687.09</v>
      </c>
      <c r="AP8" s="15" t="n">
        <v>536311.4300000001</v>
      </c>
      <c r="AQ8" s="15" t="n">
        <v>895790.08</v>
      </c>
      <c r="AR8" s="15" t="n">
        <v>3635180.4</v>
      </c>
      <c r="AS8" s="15" t="n">
        <v>2066296.27</v>
      </c>
      <c r="AT8" s="15" t="n">
        <v>1094567.66</v>
      </c>
      <c r="AU8" s="15" t="n">
        <v>256988.65</v>
      </c>
      <c r="AV8" s="15" t="n">
        <v>1031293.17</v>
      </c>
      <c r="AW8" s="15" t="n">
        <v>1574653.35</v>
      </c>
      <c r="AX8" s="15" t="n">
        <v>3067271.66</v>
      </c>
      <c r="AY8" s="15" t="n">
        <v>403458.77</v>
      </c>
      <c r="AZ8" s="15" t="n">
        <v>1400211.38</v>
      </c>
      <c r="BA8" s="15" t="n">
        <v>25691.91</v>
      </c>
      <c r="BB8" s="15" t="n">
        <v>42078.99</v>
      </c>
      <c r="BC8" s="15" t="n">
        <v>2974114.76</v>
      </c>
      <c r="BD8" s="15" t="n">
        <v>1754169.65</v>
      </c>
      <c r="BE8" s="15" t="n">
        <v>1296685.45</v>
      </c>
      <c r="BF8" s="15" t="n">
        <v>377288.25</v>
      </c>
      <c r="BG8" s="15" t="n">
        <v>93068.22</v>
      </c>
      <c r="BH8" s="15" t="n">
        <v>686883.99</v>
      </c>
      <c r="BI8" s="15" t="n">
        <v>1838504.16</v>
      </c>
      <c r="BJ8" s="15" t="n">
        <v>2751306.49</v>
      </c>
      <c r="BK8" s="15" t="n">
        <v>1802217.56</v>
      </c>
      <c r="BL8" s="15" t="n">
        <v>144003.61</v>
      </c>
      <c r="BM8" s="15" t="n">
        <v>50747.32</v>
      </c>
      <c r="BN8" s="15" t="n">
        <v>-138930.08</v>
      </c>
      <c r="BO8" s="15" t="n">
        <v>197702.31</v>
      </c>
      <c r="BP8" s="15" t="n">
        <v>2749780.08</v>
      </c>
      <c r="BQ8" s="15" t="n">
        <v>948501.63</v>
      </c>
      <c r="BR8" s="15" t="n">
        <v>1380640.34</v>
      </c>
      <c r="BS8" s="15" t="n">
        <v>71748.94</v>
      </c>
      <c r="BT8" s="15" t="n">
        <v>395423.87</v>
      </c>
      <c r="BU8" s="15" t="n">
        <v>3179238.13</v>
      </c>
      <c r="BV8" s="15" t="n">
        <v>2115727.69</v>
      </c>
      <c r="BW8" s="15" t="n">
        <v>1498130.43</v>
      </c>
      <c r="BX8" s="15" t="n">
        <v>1291963.64</v>
      </c>
      <c r="BY8" s="15" t="n">
        <v>325821.2</v>
      </c>
      <c r="BZ8" s="15" t="n">
        <v>763824.46</v>
      </c>
      <c r="CA8" s="15" t="n">
        <v>1198046.25</v>
      </c>
      <c r="CB8" s="15" t="n">
        <v>1936007.83</v>
      </c>
      <c r="CC8" s="15" t="n">
        <v>2335093.66</v>
      </c>
      <c r="CD8" s="15" t="n">
        <v>1245662.19</v>
      </c>
      <c r="CE8" s="15" t="n">
        <v>349409.73</v>
      </c>
      <c r="CF8" s="15" t="n">
        <v>1018904.82</v>
      </c>
      <c r="CG8" s="15" t="n">
        <v>1371748.09</v>
      </c>
      <c r="CH8" s="15" t="n">
        <v>3087598.82</v>
      </c>
      <c r="CI8" s="15" t="n">
        <v>754794.05</v>
      </c>
      <c r="CJ8" s="15" t="n">
        <v>843922.6800000001</v>
      </c>
      <c r="CK8" s="15" t="n">
        <v>217009.09</v>
      </c>
      <c r="CL8" s="15" t="n">
        <v>105773.48</v>
      </c>
      <c r="CM8" s="15" t="n">
        <v>2438564.79</v>
      </c>
      <c r="CN8" s="15" t="n">
        <v>2016442.39</v>
      </c>
      <c r="CO8" s="15" t="n">
        <v>1521448.66</v>
      </c>
      <c r="CP8" s="15" t="n">
        <v>514274.47</v>
      </c>
      <c r="CQ8" s="15" t="n">
        <v>123807.64</v>
      </c>
      <c r="CR8" s="15" t="n">
        <v>92524</v>
      </c>
      <c r="CS8" s="15" t="n">
        <v>2069141.39</v>
      </c>
      <c r="CT8" s="15" t="n">
        <v>874188.48</v>
      </c>
      <c r="CU8" s="15" t="n">
        <v>322608.01</v>
      </c>
      <c r="CV8" s="15" t="n">
        <v>1440073.53</v>
      </c>
      <c r="CW8" s="15" t="n">
        <v>388238.92</v>
      </c>
      <c r="CX8" s="15" t="n">
        <v>764206.13</v>
      </c>
      <c r="CY8" s="15" t="n">
        <v>2438664.05</v>
      </c>
      <c r="CZ8" s="15" t="n">
        <v>2249871.28</v>
      </c>
      <c r="DA8" s="15" t="n">
        <v>826791.1899999999</v>
      </c>
      <c r="DB8" s="15" t="n">
        <v>1576089.32</v>
      </c>
      <c r="DC8" s="15" t="n">
        <v>106692.01</v>
      </c>
      <c r="DD8" s="15" t="n">
        <v>337111.78</v>
      </c>
      <c r="DE8" s="15" t="n">
        <v>1801403.36</v>
      </c>
      <c r="DF8" s="15" t="n">
        <v>2146888.05</v>
      </c>
      <c r="DG8" s="15" t="n">
        <v>1249364.95</v>
      </c>
      <c r="DH8" s="15" t="n">
        <v>763215.6899999999</v>
      </c>
      <c r="DI8" s="15" t="n">
        <v>10789.22</v>
      </c>
      <c r="DJ8" s="15" t="n">
        <v>196314.27</v>
      </c>
      <c r="DK8" s="15" t="n">
        <v>1308082.9</v>
      </c>
      <c r="DL8" s="15" t="n">
        <v>1785780.85</v>
      </c>
      <c r="DM8" s="15" t="n">
        <v>2200272.15</v>
      </c>
      <c r="DN8" s="15" t="n">
        <v>1138408.63</v>
      </c>
      <c r="DO8" s="15" t="n">
        <v>216652.55</v>
      </c>
      <c r="DP8" s="15" t="n">
        <v>574856.47</v>
      </c>
    </row>
    <row r="9">
      <c r="A9" s="4" t="inlineStr">
        <is>
          <t>团餐</t>
        </is>
      </c>
      <c r="B9" s="15" t="n">
        <v>3881886.04</v>
      </c>
      <c r="C9" s="15" t="n">
        <v>751784.4300000001</v>
      </c>
      <c r="D9" s="15" t="n">
        <v>1135522.49</v>
      </c>
      <c r="E9" s="15" t="n">
        <v>332495.89</v>
      </c>
      <c r="F9" s="15" t="n">
        <v>447574.7</v>
      </c>
      <c r="G9" s="15" t="n">
        <v>2331199.2</v>
      </c>
      <c r="H9" s="15" t="n">
        <v>587177.15</v>
      </c>
      <c r="I9" s="15" t="n">
        <v>1519808.15</v>
      </c>
      <c r="J9" s="15" t="n">
        <v>512435.01</v>
      </c>
      <c r="K9" s="15" t="n">
        <v>36324.04</v>
      </c>
      <c r="L9" s="15" t="n">
        <v>985125.3199999999</v>
      </c>
      <c r="M9" s="15" t="n">
        <v>738704.55</v>
      </c>
      <c r="N9" s="15" t="n">
        <v>3652318.54</v>
      </c>
      <c r="O9" s="15" t="n">
        <v>1354407.42</v>
      </c>
      <c r="P9" s="15" t="n">
        <v>973016.76</v>
      </c>
      <c r="Q9" s="15" t="n">
        <v>48267.4</v>
      </c>
      <c r="R9" s="15" t="n">
        <v>896904.4</v>
      </c>
      <c r="S9" s="15" t="n">
        <v>2288515.08</v>
      </c>
      <c r="T9" s="15" t="n">
        <v>1632839.17</v>
      </c>
      <c r="U9" s="15" t="n">
        <v>272102.76</v>
      </c>
      <c r="V9" s="15" t="n">
        <v>1053266.19</v>
      </c>
      <c r="W9" s="15" t="n">
        <v>196459.76</v>
      </c>
      <c r="X9" s="15" t="n">
        <v>241926.59</v>
      </c>
      <c r="Y9" s="15" t="n">
        <v>2881626.73</v>
      </c>
      <c r="Z9" s="15" t="n">
        <v>402222.1</v>
      </c>
      <c r="AA9" s="15" t="n">
        <v>1906908.52</v>
      </c>
      <c r="AB9" s="15" t="n">
        <v>433111.65</v>
      </c>
      <c r="AC9" s="15" t="n">
        <v>9486.719999999999</v>
      </c>
      <c r="AD9" s="15" t="n">
        <v>953892.55</v>
      </c>
      <c r="AE9" s="15" t="n">
        <v>111746.42</v>
      </c>
      <c r="AF9" s="15" t="n">
        <v>1599743.69</v>
      </c>
      <c r="AG9" s="15" t="n">
        <v>700357.66</v>
      </c>
      <c r="AH9" s="15" t="n">
        <v>469270.92</v>
      </c>
      <c r="AI9" s="15" t="n">
        <v>63795.95</v>
      </c>
      <c r="AJ9" s="15" t="n">
        <v>912297.01</v>
      </c>
      <c r="AK9" s="15" t="n">
        <v>1937767.38</v>
      </c>
      <c r="AL9" s="15" t="n">
        <v>3730984.77</v>
      </c>
      <c r="AM9" s="15" t="n">
        <v>877144.02</v>
      </c>
      <c r="AN9" s="15" t="n">
        <v>746795.53</v>
      </c>
      <c r="AO9" s="15" t="n">
        <v>114318.61</v>
      </c>
      <c r="AP9" s="15" t="n">
        <v>118448.7</v>
      </c>
      <c r="AQ9" s="15" t="n">
        <v>280783.95</v>
      </c>
      <c r="AR9" s="15" t="n">
        <v>3199130.78</v>
      </c>
      <c r="AS9" s="15" t="n">
        <v>2047679.44</v>
      </c>
      <c r="AT9" s="15" t="n">
        <v>169148.54</v>
      </c>
      <c r="AU9" s="15" t="n">
        <v>56012.9</v>
      </c>
      <c r="AV9" s="15" t="n">
        <v>997758.88</v>
      </c>
      <c r="AW9" s="15" t="n">
        <v>775187.24</v>
      </c>
      <c r="AX9" s="15" t="n">
        <v>3289256.29</v>
      </c>
      <c r="AY9" s="15" t="n">
        <v>2134609.74</v>
      </c>
      <c r="AZ9" s="15" t="n">
        <v>1260217.75</v>
      </c>
      <c r="BA9" s="15" t="n">
        <v>373672.06</v>
      </c>
      <c r="BB9" s="15" t="n">
        <v>63893.62</v>
      </c>
      <c r="BC9" s="15" t="n">
        <v>1419178.63</v>
      </c>
      <c r="BD9" s="15" t="n">
        <v>2491835.33</v>
      </c>
      <c r="BE9" s="15" t="n">
        <v>115009.46</v>
      </c>
      <c r="BF9" s="15" t="n">
        <v>55838.47</v>
      </c>
      <c r="BG9" s="15" t="n">
        <v>25917.58</v>
      </c>
      <c r="BH9" s="15" t="n">
        <v>120189.69</v>
      </c>
      <c r="BI9" s="15" t="n">
        <v>2049654.73</v>
      </c>
      <c r="BJ9" s="15" t="n">
        <v>967043.53</v>
      </c>
      <c r="BK9" s="15" t="n">
        <v>757193.6899999999</v>
      </c>
      <c r="BL9" s="15" t="n">
        <v>965846.13</v>
      </c>
      <c r="BM9" s="15" t="n">
        <v>150804.26</v>
      </c>
      <c r="BN9" s="15" t="n">
        <v>807557.49</v>
      </c>
      <c r="BO9" s="15" t="n">
        <v>2262385.96</v>
      </c>
      <c r="BP9" s="15" t="n">
        <v>3269793.93</v>
      </c>
      <c r="BQ9" s="15" t="n">
        <v>1734245.6</v>
      </c>
      <c r="BR9" s="15" t="n">
        <v>1009007.85</v>
      </c>
      <c r="BS9" s="15" t="n">
        <v>295595.4</v>
      </c>
      <c r="BT9" s="15" t="n">
        <v>551950.38</v>
      </c>
      <c r="BU9" s="15" t="n">
        <v>353516.44</v>
      </c>
      <c r="BV9" s="15" t="n">
        <v>3735758.57</v>
      </c>
      <c r="BW9" s="15" t="n">
        <v>1251601.6</v>
      </c>
      <c r="BX9" s="15" t="n">
        <v>101040.76</v>
      </c>
      <c r="BY9" s="15" t="n">
        <v>286537.44</v>
      </c>
      <c r="BZ9" s="15" t="n">
        <v>1105324.62</v>
      </c>
      <c r="CA9" s="15" t="n">
        <v>2831992.58</v>
      </c>
      <c r="CB9" s="15" t="n">
        <v>533166.1899999999</v>
      </c>
      <c r="CC9" s="15" t="n">
        <v>1394961.15</v>
      </c>
      <c r="CD9" s="15" t="n">
        <v>259059.08</v>
      </c>
      <c r="CE9" s="15" t="n">
        <v>245945.74</v>
      </c>
      <c r="CF9" s="15" t="n">
        <v>135596.52</v>
      </c>
      <c r="CG9" s="15" t="n">
        <v>1434761.09</v>
      </c>
      <c r="CH9" s="15" t="n">
        <v>3679781.9</v>
      </c>
      <c r="CI9" s="15" t="n">
        <v>1259207.26</v>
      </c>
      <c r="CJ9" s="15" t="n">
        <v>793814.02</v>
      </c>
      <c r="CK9" s="15" t="n">
        <v>121078.69</v>
      </c>
      <c r="CL9" s="15" t="n">
        <v>1019780.21</v>
      </c>
      <c r="CM9" s="15" t="n">
        <v>3051284.89</v>
      </c>
      <c r="CN9" s="15" t="n">
        <v>905771.91</v>
      </c>
      <c r="CO9" s="15" t="n">
        <v>324418.57</v>
      </c>
      <c r="CP9" s="15" t="n">
        <v>281128.54</v>
      </c>
      <c r="CQ9" s="15" t="n">
        <v>97811.82000000001</v>
      </c>
      <c r="CR9" s="15" t="n">
        <v>658831.45</v>
      </c>
      <c r="CS9" s="15" t="n">
        <v>892025.25</v>
      </c>
      <c r="CT9" s="15" t="n">
        <v>240552.36</v>
      </c>
      <c r="CU9" s="15" t="n">
        <v>2117359.16</v>
      </c>
      <c r="CV9" s="15" t="n">
        <v>37827.64</v>
      </c>
      <c r="CW9" s="15" t="n">
        <v>184583.83</v>
      </c>
      <c r="CX9" s="15" t="n">
        <v>772636.76</v>
      </c>
      <c r="CY9" s="15" t="n">
        <v>3139037.56</v>
      </c>
      <c r="CZ9" s="15" t="n">
        <v>2948796.47</v>
      </c>
      <c r="DA9" s="15" t="n">
        <v>2113946.39</v>
      </c>
      <c r="DB9" s="15" t="n">
        <v>1406577.4</v>
      </c>
      <c r="DC9" s="15" t="n">
        <v>213941.28</v>
      </c>
      <c r="DD9" s="15" t="n">
        <v>924675.9</v>
      </c>
      <c r="DE9" s="15" t="n">
        <v>1806284.93</v>
      </c>
      <c r="DF9" s="15" t="n">
        <v>1293843.51</v>
      </c>
      <c r="DG9" s="15" t="n">
        <v>1157200.01</v>
      </c>
      <c r="DH9" s="15" t="n">
        <v>1375868.23</v>
      </c>
      <c r="DI9" s="15" t="n">
        <v>108288.62</v>
      </c>
      <c r="DJ9" s="15" t="n">
        <v>464297.93</v>
      </c>
      <c r="DK9" s="15" t="n">
        <v>757620.7</v>
      </c>
      <c r="DL9" s="15" t="n">
        <v>1589184.06</v>
      </c>
      <c r="DM9" s="15" t="n">
        <v>2069845.77</v>
      </c>
      <c r="DN9" s="15" t="n">
        <v>1571511.74</v>
      </c>
      <c r="DO9" s="15" t="n">
        <v>146474.88</v>
      </c>
      <c r="DP9" s="15" t="n">
        <v>-142970.47</v>
      </c>
    </row>
    <row r="10">
      <c r="A10" s="4" t="inlineStr">
        <is>
          <t>预制菜</t>
        </is>
      </c>
      <c r="B10" s="15" t="n">
        <v>2715064.05</v>
      </c>
      <c r="C10" s="15" t="n">
        <v>1104708.37</v>
      </c>
      <c r="D10" s="15" t="n">
        <v>1540370.38</v>
      </c>
      <c r="E10" s="15" t="n">
        <v>62585.92</v>
      </c>
      <c r="F10" s="15" t="n">
        <v>1002537.95</v>
      </c>
      <c r="G10" s="15" t="n">
        <v>1787621.76</v>
      </c>
      <c r="H10" s="15" t="n">
        <v>686248.02</v>
      </c>
      <c r="I10" s="15" t="n">
        <v>2083552.69</v>
      </c>
      <c r="J10" s="15" t="n">
        <v>302680.87</v>
      </c>
      <c r="K10" s="15" t="n">
        <v>277476.54</v>
      </c>
      <c r="L10" s="15" t="n">
        <v>572721.86</v>
      </c>
      <c r="M10" s="15" t="n">
        <v>443212.15</v>
      </c>
      <c r="N10" s="15" t="n">
        <v>3329654.69</v>
      </c>
      <c r="O10" s="15" t="n">
        <v>547862.6800000001</v>
      </c>
      <c r="P10" s="15" t="n">
        <v>1372534.94</v>
      </c>
      <c r="Q10" s="15" t="n">
        <v>170812.54</v>
      </c>
      <c r="R10" s="15" t="n">
        <v>1143406.1</v>
      </c>
      <c r="S10" s="15" t="n">
        <v>581543.61</v>
      </c>
      <c r="T10" s="15" t="n">
        <v>2257940.23</v>
      </c>
      <c r="U10" s="15" t="n">
        <v>663257.63</v>
      </c>
      <c r="V10" s="15" t="n">
        <v>713536.49</v>
      </c>
      <c r="W10" s="15" t="n">
        <v>175251.38</v>
      </c>
      <c r="X10" s="15" t="n">
        <v>803308.29</v>
      </c>
      <c r="Y10" s="15" t="n">
        <v>739788.33</v>
      </c>
      <c r="Z10" s="15" t="n">
        <v>887482.65</v>
      </c>
      <c r="AA10" s="15" t="n">
        <v>2048346.65</v>
      </c>
      <c r="AB10" s="15" t="n">
        <v>1451595.57</v>
      </c>
      <c r="AC10" s="15" t="n">
        <v>290993.63</v>
      </c>
      <c r="AD10" s="15" t="n">
        <v>329808.34</v>
      </c>
      <c r="AE10" s="15" t="n">
        <v>1902415.75</v>
      </c>
      <c r="AF10" s="15" t="n">
        <v>3367026.76</v>
      </c>
      <c r="AG10" s="15" t="n">
        <v>1388452.34</v>
      </c>
      <c r="AH10" s="15" t="n">
        <v>1065015.82</v>
      </c>
      <c r="AI10" s="15" t="n">
        <v>22380.13</v>
      </c>
      <c r="AJ10" s="15" t="n">
        <v>387122.99</v>
      </c>
      <c r="AK10" s="15" t="n">
        <v>2134176.75</v>
      </c>
      <c r="AL10" s="15" t="n">
        <v>1636602.95</v>
      </c>
      <c r="AM10" s="15" t="n">
        <v>2135269.02</v>
      </c>
      <c r="AN10" s="15" t="n">
        <v>876239.65</v>
      </c>
      <c r="AO10" s="15" t="n">
        <v>395506.53</v>
      </c>
      <c r="AP10" s="15" t="n">
        <v>-31479.01</v>
      </c>
      <c r="AQ10" s="15" t="n">
        <v>698678.01</v>
      </c>
      <c r="AR10" s="15" t="n">
        <v>2641452.78</v>
      </c>
      <c r="AS10" s="15" t="n">
        <v>670395.41</v>
      </c>
      <c r="AT10" s="15" t="n">
        <v>1597594.34</v>
      </c>
      <c r="AU10" s="15" t="n">
        <v>212252.04</v>
      </c>
      <c r="AV10" s="15" t="n">
        <v>828725.73</v>
      </c>
      <c r="AW10" s="15" t="n">
        <v>1877479.94</v>
      </c>
      <c r="AX10" s="15" t="n">
        <v>3998691.31</v>
      </c>
      <c r="AY10" s="15" t="n">
        <v>263378.16</v>
      </c>
      <c r="AZ10" s="15" t="n">
        <v>1547073.29</v>
      </c>
      <c r="BA10" s="15" t="n">
        <v>265866.94</v>
      </c>
      <c r="BB10" s="15" t="n">
        <v>1174767.83</v>
      </c>
      <c r="BC10" s="15" t="n">
        <v>2567586.42</v>
      </c>
      <c r="BD10" s="15" t="n">
        <v>1457817.9</v>
      </c>
      <c r="BE10" s="15" t="n">
        <v>410255.61</v>
      </c>
      <c r="BF10" s="15" t="n">
        <v>430039.04</v>
      </c>
      <c r="BG10" s="15" t="n">
        <v>54393.87</v>
      </c>
      <c r="BH10" s="15" t="n">
        <v>1027168.72</v>
      </c>
      <c r="BI10" s="15" t="n">
        <v>2413997.6</v>
      </c>
      <c r="BJ10" s="15" t="n">
        <v>1913315.57</v>
      </c>
      <c r="BK10" s="15" t="n">
        <v>1652556.36</v>
      </c>
      <c r="BL10" s="15" t="n">
        <v>766562.11</v>
      </c>
      <c r="BM10" s="15" t="n">
        <v>285348.09</v>
      </c>
      <c r="BN10" s="15" t="n">
        <v>257424.42</v>
      </c>
      <c r="BO10" s="15" t="n">
        <v>2291567.73</v>
      </c>
      <c r="BP10" s="15" t="n">
        <v>3756830.89</v>
      </c>
      <c r="BQ10" s="15" t="n">
        <v>1904397.37</v>
      </c>
      <c r="BR10" s="15" t="n">
        <v>415833.71</v>
      </c>
      <c r="BS10" s="15" t="n">
        <v>380278.68</v>
      </c>
      <c r="BT10" s="15" t="n">
        <v>-31007.44</v>
      </c>
      <c r="BU10" s="15" t="n">
        <v>2225636.73</v>
      </c>
      <c r="BV10" s="15" t="n">
        <v>2928316.69</v>
      </c>
      <c r="BW10" s="15" t="n">
        <v>1410711.65</v>
      </c>
      <c r="BX10" s="15" t="n">
        <v>1482334.66</v>
      </c>
      <c r="BY10" s="15" t="n">
        <v>297340.32</v>
      </c>
      <c r="BZ10" s="15" t="n">
        <v>955564.14</v>
      </c>
      <c r="CA10" s="15" t="n">
        <v>2593154.14</v>
      </c>
      <c r="CB10" s="15" t="n">
        <v>2862220.52</v>
      </c>
      <c r="CC10" s="15" t="n">
        <v>1395028.38</v>
      </c>
      <c r="CD10" s="15" t="n">
        <v>424686.21</v>
      </c>
      <c r="CE10" s="15" t="n">
        <v>36714.59</v>
      </c>
      <c r="CF10" s="15" t="n">
        <v>175571.75</v>
      </c>
      <c r="CG10" s="15" t="n">
        <v>1863462.79</v>
      </c>
      <c r="CH10" s="15" t="n">
        <v>853547.58</v>
      </c>
      <c r="CI10" s="15" t="n">
        <v>293551.82</v>
      </c>
      <c r="CJ10" s="15" t="n">
        <v>1224690.81</v>
      </c>
      <c r="CK10" s="15" t="n">
        <v>168764.36</v>
      </c>
      <c r="CL10" s="15" t="n">
        <v>1077042.33</v>
      </c>
      <c r="CM10" s="15" t="n">
        <v>1299198.42</v>
      </c>
      <c r="CN10" s="15" t="n">
        <v>2338706.21</v>
      </c>
      <c r="CO10" s="15" t="n">
        <v>464929.85</v>
      </c>
      <c r="CP10" s="15" t="n">
        <v>649202.5699999999</v>
      </c>
      <c r="CQ10" s="15" t="n">
        <v>175646.53</v>
      </c>
      <c r="CR10" s="15" t="n">
        <v>509624.42</v>
      </c>
      <c r="CS10" s="15" t="n">
        <v>1594731.82</v>
      </c>
      <c r="CT10" s="15" t="n">
        <v>2306387.65</v>
      </c>
      <c r="CU10" s="15" t="n">
        <v>896789.85</v>
      </c>
      <c r="CV10" s="15" t="n">
        <v>901455.0600000001</v>
      </c>
      <c r="CW10" s="15" t="n">
        <v>36185.82</v>
      </c>
      <c r="CX10" s="15" t="n">
        <v>973490.83</v>
      </c>
      <c r="CY10" s="15" t="n">
        <v>1031764.61</v>
      </c>
      <c r="CZ10" s="15" t="n">
        <v>1983262.99</v>
      </c>
      <c r="DA10" s="15" t="n">
        <v>2396283.27</v>
      </c>
      <c r="DB10" s="15" t="n">
        <v>131590.42</v>
      </c>
      <c r="DC10" s="15" t="n">
        <v>143650.03</v>
      </c>
      <c r="DD10" s="15" t="n">
        <v>893224.48</v>
      </c>
      <c r="DE10" s="15" t="n">
        <v>3187068.53</v>
      </c>
      <c r="DF10" s="15" t="n">
        <v>172068.4</v>
      </c>
      <c r="DG10" s="15" t="n">
        <v>1336251.09</v>
      </c>
      <c r="DH10" s="15" t="n">
        <v>878361.41</v>
      </c>
      <c r="DI10" s="15" t="n">
        <v>124729.81</v>
      </c>
      <c r="DJ10" s="15" t="n">
        <v>428000.11</v>
      </c>
      <c r="DK10" s="15" t="n">
        <v>1604995.45</v>
      </c>
      <c r="DL10" s="15" t="n">
        <v>590687.02</v>
      </c>
      <c r="DM10" s="15" t="n">
        <v>519538.38</v>
      </c>
      <c r="DN10" s="15" t="n">
        <v>977380.46</v>
      </c>
      <c r="DO10" s="15" t="n">
        <v>274394.13</v>
      </c>
      <c r="DP10" s="15" t="n">
        <v>506411.57</v>
      </c>
    </row>
    <row r="11">
      <c r="A11" s="4" t="inlineStr">
        <is>
          <t>其他产品A</t>
        </is>
      </c>
      <c r="B11" s="15" t="n">
        <v>1671685.85</v>
      </c>
      <c r="C11" s="15" t="n">
        <v>902527.34</v>
      </c>
      <c r="D11" s="15" t="n">
        <v>59668.36</v>
      </c>
      <c r="E11" s="15" t="n">
        <v>44838.93</v>
      </c>
      <c r="F11" s="15" t="n">
        <v>-48483.34</v>
      </c>
      <c r="G11" s="15" t="n">
        <v>1976300.06</v>
      </c>
      <c r="H11" s="15" t="n">
        <v>1390504.13</v>
      </c>
      <c r="I11" s="15" t="n">
        <v>1284422.45</v>
      </c>
      <c r="J11" s="15" t="n">
        <v>16352.6</v>
      </c>
      <c r="K11" s="15" t="n">
        <v>118959.07</v>
      </c>
      <c r="L11" s="15" t="n">
        <v>859161.92</v>
      </c>
      <c r="M11" s="15" t="n">
        <v>1358221.4</v>
      </c>
      <c r="N11" s="15" t="n">
        <v>1064367.87</v>
      </c>
      <c r="O11" s="15" t="n">
        <v>1502652.23</v>
      </c>
      <c r="P11" s="15" t="n">
        <v>1216894.84</v>
      </c>
      <c r="Q11" s="15" t="n">
        <v>110527.02</v>
      </c>
      <c r="R11" s="15" t="n">
        <v>635635.47</v>
      </c>
      <c r="S11" s="15" t="n">
        <v>104035.03</v>
      </c>
      <c r="T11" s="15" t="n">
        <v>89940.28999999999</v>
      </c>
      <c r="U11" s="15" t="n">
        <v>1755839.49</v>
      </c>
      <c r="V11" s="15" t="n">
        <v>1522005.38</v>
      </c>
      <c r="W11" s="15" t="n">
        <v>46121.53</v>
      </c>
      <c r="X11" s="15" t="n">
        <v>1109926.02</v>
      </c>
      <c r="Y11" s="15" t="n">
        <v>2501730.07</v>
      </c>
      <c r="Z11" s="15" t="n">
        <v>3637128.61</v>
      </c>
      <c r="AA11" s="15" t="n">
        <v>636210</v>
      </c>
      <c r="AB11" s="15" t="n">
        <v>745066.55</v>
      </c>
      <c r="AC11" s="15" t="n">
        <v>245395.24</v>
      </c>
      <c r="AD11" s="15" t="n">
        <v>264137.99</v>
      </c>
      <c r="AE11" s="15" t="n">
        <v>2036044.01</v>
      </c>
      <c r="AF11" s="15" t="n">
        <v>3218868.82</v>
      </c>
      <c r="AG11" s="15" t="n">
        <v>1465754.41</v>
      </c>
      <c r="AH11" s="15" t="n">
        <v>1529860.6</v>
      </c>
      <c r="AI11" s="15" t="n">
        <v>142309.8</v>
      </c>
      <c r="AJ11" s="15" t="n">
        <v>1071801.23</v>
      </c>
      <c r="AK11" s="15" t="n">
        <v>767002.6</v>
      </c>
      <c r="AL11" s="15" t="n">
        <v>2673003.77</v>
      </c>
      <c r="AM11" s="15" t="n">
        <v>110942.39</v>
      </c>
      <c r="AN11" s="15" t="n">
        <v>735435.97</v>
      </c>
      <c r="AO11" s="15" t="n">
        <v>375933.65</v>
      </c>
      <c r="AP11" s="15" t="n">
        <v>358010.48</v>
      </c>
      <c r="AQ11" s="15" t="n">
        <v>2153537.88</v>
      </c>
      <c r="AR11" s="15" t="n">
        <v>1597449.61</v>
      </c>
      <c r="AS11" s="15" t="n">
        <v>474905.02</v>
      </c>
      <c r="AT11" s="15" t="n">
        <v>73925.48</v>
      </c>
      <c r="AU11" s="15" t="n">
        <v>272829.13</v>
      </c>
      <c r="AV11" s="15" t="n">
        <v>713.1900000000001</v>
      </c>
      <c r="AW11" s="15" t="n">
        <v>2575821.51</v>
      </c>
      <c r="AX11" s="15" t="n">
        <v>3065767.76</v>
      </c>
      <c r="AY11" s="15" t="n">
        <v>1125378.83</v>
      </c>
      <c r="AZ11" s="15" t="n">
        <v>700839.87</v>
      </c>
      <c r="BA11" s="15" t="n">
        <v>95698.63</v>
      </c>
      <c r="BB11" s="15" t="n">
        <v>75893.39</v>
      </c>
      <c r="BC11" s="15" t="n">
        <v>1204981.62</v>
      </c>
      <c r="BD11" s="15" t="n">
        <v>3209879.47</v>
      </c>
      <c r="BE11" s="15" t="n">
        <v>1383027.71</v>
      </c>
      <c r="BF11" s="15" t="n">
        <v>711109.4300000001</v>
      </c>
      <c r="BG11" s="15" t="n">
        <v>70026.75999999999</v>
      </c>
      <c r="BH11" s="15" t="n">
        <v>203062.05</v>
      </c>
      <c r="BI11" s="15" t="n">
        <v>1202593.95</v>
      </c>
      <c r="BJ11" s="15" t="n">
        <v>3937980.78</v>
      </c>
      <c r="BK11" s="15" t="n">
        <v>291569.16</v>
      </c>
      <c r="BL11" s="15" t="n">
        <v>1353292.25</v>
      </c>
      <c r="BM11" s="15" t="n">
        <v>261076.85</v>
      </c>
      <c r="BN11" s="15" t="n">
        <v>332200.17</v>
      </c>
      <c r="BO11" s="15" t="n">
        <v>2202827.61</v>
      </c>
      <c r="BP11" s="15" t="n">
        <v>2502805.02</v>
      </c>
      <c r="BQ11" s="15" t="n">
        <v>417160.04</v>
      </c>
      <c r="BR11" s="15" t="n">
        <v>1404286.81</v>
      </c>
      <c r="BS11" s="15" t="n">
        <v>191026.8</v>
      </c>
      <c r="BT11" s="15" t="n">
        <v>1221.19</v>
      </c>
      <c r="BU11" s="15" t="n">
        <v>2200527.06</v>
      </c>
      <c r="BV11" s="15" t="n">
        <v>1288357.5</v>
      </c>
      <c r="BW11" s="15" t="n">
        <v>1502891.89</v>
      </c>
      <c r="BX11" s="15" t="n">
        <v>1336322.33</v>
      </c>
      <c r="BY11" s="15" t="n">
        <v>190885.56</v>
      </c>
      <c r="BZ11" s="15" t="n">
        <v>518827</v>
      </c>
      <c r="CA11" s="15" t="n">
        <v>2025098.83</v>
      </c>
      <c r="CB11" s="15" t="n">
        <v>796918.15</v>
      </c>
      <c r="CC11" s="15" t="n">
        <v>2015902.01</v>
      </c>
      <c r="CD11" s="15" t="n">
        <v>671314.73</v>
      </c>
      <c r="CE11" s="15" t="n">
        <v>328325.26</v>
      </c>
      <c r="CF11" s="15" t="n">
        <v>637284.48</v>
      </c>
      <c r="CG11" s="15" t="n">
        <v>1657014.11</v>
      </c>
      <c r="CH11" s="15" t="n">
        <v>1672699.55</v>
      </c>
      <c r="CI11" s="15" t="n">
        <v>1345891.65</v>
      </c>
      <c r="CJ11" s="15" t="n">
        <v>865088.54</v>
      </c>
      <c r="CK11" s="15" t="n">
        <v>259213.57</v>
      </c>
      <c r="CL11" s="15" t="n">
        <v>588403.9399999999</v>
      </c>
      <c r="CM11" s="15" t="n">
        <v>2429562.34</v>
      </c>
      <c r="CN11" s="15" t="n">
        <v>216938.91</v>
      </c>
      <c r="CO11" s="15" t="n">
        <v>1826553.44</v>
      </c>
      <c r="CP11" s="15" t="n">
        <v>559347.48</v>
      </c>
      <c r="CQ11" s="15" t="n">
        <v>245140.49</v>
      </c>
      <c r="CR11" s="15" t="n">
        <v>112634.52</v>
      </c>
      <c r="CS11" s="15" t="n">
        <v>1151467.28</v>
      </c>
      <c r="CT11" s="15" t="n">
        <v>1563728.76</v>
      </c>
      <c r="CU11" s="15" t="n">
        <v>2325268.82</v>
      </c>
      <c r="CV11" s="15" t="n">
        <v>1381396.01</v>
      </c>
      <c r="CW11" s="15" t="n">
        <v>328600.4</v>
      </c>
      <c r="CX11" s="15" t="n">
        <v>969605.5600000001</v>
      </c>
      <c r="CY11" s="15" t="n">
        <v>983923.64</v>
      </c>
      <c r="CZ11" s="15" t="n">
        <v>913149.5</v>
      </c>
      <c r="DA11" s="15" t="n">
        <v>1687017.28</v>
      </c>
      <c r="DB11" s="15" t="n">
        <v>324162.95</v>
      </c>
      <c r="DC11" s="15" t="n">
        <v>343314.37</v>
      </c>
      <c r="DD11" s="15" t="n">
        <v>212377.05</v>
      </c>
      <c r="DE11" s="15" t="n">
        <v>2835308.53</v>
      </c>
      <c r="DF11" s="15" t="n">
        <v>280156.57</v>
      </c>
      <c r="DG11" s="15" t="n">
        <v>948060.5699999999</v>
      </c>
      <c r="DH11" s="15" t="n">
        <v>254203.05</v>
      </c>
      <c r="DI11" s="15" t="n">
        <v>163080.43</v>
      </c>
      <c r="DJ11" s="15" t="n">
        <v>510200.72</v>
      </c>
      <c r="DK11" s="15" t="n">
        <v>1394595.66</v>
      </c>
      <c r="DL11" s="15" t="n">
        <v>3223536.95</v>
      </c>
      <c r="DM11" s="15" t="n">
        <v>2104835.08</v>
      </c>
      <c r="DN11" s="15" t="n">
        <v>957732.36</v>
      </c>
      <c r="DO11" s="15" t="n">
        <v>324922.3</v>
      </c>
      <c r="DP11" s="15" t="n">
        <v>925954.8</v>
      </c>
    </row>
    <row r="12">
      <c r="A12" s="4" t="inlineStr">
        <is>
          <t>其他产品B</t>
        </is>
      </c>
      <c r="B12" s="15" t="n">
        <v>2962579.39</v>
      </c>
      <c r="C12" s="15" t="n">
        <v>1266906.58</v>
      </c>
      <c r="D12" s="15" t="n">
        <v>1054823.07</v>
      </c>
      <c r="E12" s="15" t="n">
        <v>159800.43</v>
      </c>
      <c r="F12" s="15" t="n">
        <v>681867.87</v>
      </c>
      <c r="G12" s="15" t="n">
        <v>2633214.35</v>
      </c>
      <c r="H12" s="15" t="n">
        <v>2561411.91</v>
      </c>
      <c r="I12" s="15" t="n">
        <v>2335195.25</v>
      </c>
      <c r="J12" s="15" t="n">
        <v>1195417.19</v>
      </c>
      <c r="K12" s="15" t="n">
        <v>144757.23</v>
      </c>
      <c r="L12" s="15" t="n">
        <v>985064.64</v>
      </c>
      <c r="M12" s="15" t="n">
        <v>2601489.75</v>
      </c>
      <c r="N12" s="15" t="n">
        <v>1015364.55</v>
      </c>
      <c r="O12" s="15" t="n">
        <v>2055828.94</v>
      </c>
      <c r="P12" s="15" t="n">
        <v>1452885.05</v>
      </c>
      <c r="Q12" s="15" t="n">
        <v>346505.47</v>
      </c>
      <c r="R12" s="15" t="n">
        <v>720973.29</v>
      </c>
      <c r="S12" s="15" t="n">
        <v>2312201.89</v>
      </c>
      <c r="T12" s="15" t="n">
        <v>588457.09</v>
      </c>
      <c r="U12" s="15" t="n">
        <v>103314.1</v>
      </c>
      <c r="V12" s="15" t="n">
        <v>593439.05</v>
      </c>
      <c r="W12" s="15" t="n">
        <v>181531.95</v>
      </c>
      <c r="X12" s="15" t="n">
        <v>70728.17</v>
      </c>
      <c r="Y12" s="15" t="n">
        <v>2094414.09</v>
      </c>
      <c r="Z12" s="15" t="n">
        <v>2271900.13</v>
      </c>
      <c r="AA12" s="15" t="n">
        <v>689845.9</v>
      </c>
      <c r="AB12" s="15" t="n">
        <v>1333491.4</v>
      </c>
      <c r="AC12" s="15" t="n">
        <v>213493.58</v>
      </c>
      <c r="AD12" s="15" t="n">
        <v>381774.74</v>
      </c>
      <c r="AE12" s="15" t="n">
        <v>2818960.21</v>
      </c>
      <c r="AF12" s="15" t="n">
        <v>2595396.43</v>
      </c>
      <c r="AG12" s="15" t="n">
        <v>656458.3</v>
      </c>
      <c r="AH12" s="15" t="n">
        <v>1406006.35</v>
      </c>
      <c r="AI12" s="15" t="n">
        <v>100913.16</v>
      </c>
      <c r="AJ12" s="15" t="n">
        <v>934432.16</v>
      </c>
      <c r="AK12" s="15" t="n">
        <v>1159710.97</v>
      </c>
      <c r="AL12" s="15" t="n">
        <v>2251545.32</v>
      </c>
      <c r="AM12" s="15" t="n">
        <v>2263228.87</v>
      </c>
      <c r="AN12" s="15" t="n">
        <v>1240197.96</v>
      </c>
      <c r="AO12" s="15" t="n">
        <v>196959.46</v>
      </c>
      <c r="AP12" s="15" t="n">
        <v>-150083.72</v>
      </c>
      <c r="AQ12" s="15" t="n">
        <v>783938.01</v>
      </c>
      <c r="AR12" s="15" t="n">
        <v>926375.77</v>
      </c>
      <c r="AS12" s="15" t="n">
        <v>1763542.1</v>
      </c>
      <c r="AT12" s="15" t="n">
        <v>605047.5699999999</v>
      </c>
      <c r="AU12" s="15" t="n">
        <v>165942.12</v>
      </c>
      <c r="AV12" s="15" t="n">
        <v>96344.94</v>
      </c>
      <c r="AW12" s="15" t="n">
        <v>2326986.43</v>
      </c>
      <c r="AX12" s="15" t="n">
        <v>553793.27</v>
      </c>
      <c r="AY12" s="15" t="n">
        <v>1005456.24</v>
      </c>
      <c r="AZ12" s="15" t="n">
        <v>617563.38</v>
      </c>
      <c r="BA12" s="15" t="n">
        <v>390599.01</v>
      </c>
      <c r="BB12" s="15" t="n">
        <v>553811.86</v>
      </c>
      <c r="BC12" s="15" t="n">
        <v>2248623.64</v>
      </c>
      <c r="BD12" s="15" t="n">
        <v>1164649.38</v>
      </c>
      <c r="BE12" s="15" t="n">
        <v>1884449.08</v>
      </c>
      <c r="BF12" s="15" t="n">
        <v>767954.22</v>
      </c>
      <c r="BG12" s="15" t="n">
        <v>187770.44</v>
      </c>
      <c r="BH12" s="15" t="n">
        <v>-84706.89999999999</v>
      </c>
      <c r="BI12" s="15" t="n">
        <v>2581992.37</v>
      </c>
      <c r="BJ12" s="15" t="n">
        <v>1157358.77</v>
      </c>
      <c r="BK12" s="15" t="n">
        <v>875311.64</v>
      </c>
      <c r="BL12" s="15" t="n">
        <v>1159189.78</v>
      </c>
      <c r="BM12" s="15" t="n">
        <v>159438.94</v>
      </c>
      <c r="BN12" s="15" t="n">
        <v>80281.96000000001</v>
      </c>
      <c r="BO12" s="15" t="n">
        <v>3166868.88</v>
      </c>
      <c r="BP12" s="15" t="n">
        <v>1089665.89</v>
      </c>
      <c r="BQ12" s="15" t="n">
        <v>116946.74</v>
      </c>
      <c r="BR12" s="15" t="n">
        <v>179721.87</v>
      </c>
      <c r="BS12" s="15" t="n">
        <v>322448.91</v>
      </c>
      <c r="BT12" s="15" t="n">
        <v>1036119.36</v>
      </c>
      <c r="BU12" s="15" t="n">
        <v>1342269.05</v>
      </c>
      <c r="BV12" s="15" t="n">
        <v>2104779.12</v>
      </c>
      <c r="BW12" s="15" t="n">
        <v>2092709.55</v>
      </c>
      <c r="BX12" s="15" t="n">
        <v>731897.73</v>
      </c>
      <c r="BY12" s="15" t="n">
        <v>235918.95</v>
      </c>
      <c r="BZ12" s="15" t="n">
        <v>120126.61</v>
      </c>
      <c r="CA12" s="15" t="n">
        <v>2857713.93</v>
      </c>
      <c r="CB12" s="15" t="n">
        <v>3704139.06</v>
      </c>
      <c r="CC12" s="15" t="n">
        <v>1147040.45</v>
      </c>
      <c r="CD12" s="15" t="n">
        <v>1041986.59</v>
      </c>
      <c r="CE12" s="15" t="n">
        <v>112459.33</v>
      </c>
      <c r="CF12" s="15" t="n">
        <v>1177491.59</v>
      </c>
      <c r="CG12" s="15" t="n">
        <v>2537308.73</v>
      </c>
      <c r="CH12" s="15" t="n">
        <v>3611157.5</v>
      </c>
      <c r="CI12" s="15" t="n">
        <v>2079584.68</v>
      </c>
      <c r="CJ12" s="15" t="n">
        <v>1196978.11</v>
      </c>
      <c r="CK12" s="15" t="n">
        <v>105074.89</v>
      </c>
      <c r="CL12" s="15" t="n">
        <v>997039.8</v>
      </c>
      <c r="CM12" s="15" t="n">
        <v>3048353.57</v>
      </c>
      <c r="CN12" s="15" t="n">
        <v>3621441.5</v>
      </c>
      <c r="CO12" s="15" t="n">
        <v>510323.27</v>
      </c>
      <c r="CP12" s="15" t="n">
        <v>1257523.97</v>
      </c>
      <c r="CQ12" s="15" t="n">
        <v>250777.81</v>
      </c>
      <c r="CR12" s="15" t="n">
        <v>199660.59</v>
      </c>
      <c r="CS12" s="15" t="n">
        <v>1116674.71</v>
      </c>
      <c r="CT12" s="15" t="n">
        <v>654815.49</v>
      </c>
      <c r="CU12" s="15" t="n">
        <v>174268.85</v>
      </c>
      <c r="CV12" s="15" t="n">
        <v>1528604.57</v>
      </c>
      <c r="CW12" s="15" t="n">
        <v>233621.9</v>
      </c>
      <c r="CX12" s="15" t="n">
        <v>952700</v>
      </c>
      <c r="CY12" s="15" t="n">
        <v>282942.35</v>
      </c>
      <c r="CZ12" s="15" t="n">
        <v>3518333.05</v>
      </c>
      <c r="DA12" s="15" t="n">
        <v>97740.81</v>
      </c>
      <c r="DB12" s="15" t="n">
        <v>1011203.94</v>
      </c>
      <c r="DC12" s="15" t="n">
        <v>178994.57</v>
      </c>
      <c r="DD12" s="15" t="n">
        <v>496796.67</v>
      </c>
      <c r="DE12" s="15" t="n">
        <v>1736491.27</v>
      </c>
      <c r="DF12" s="15" t="n">
        <v>2753681.34</v>
      </c>
      <c r="DG12" s="15" t="n">
        <v>1450555.2</v>
      </c>
      <c r="DH12" s="15" t="n">
        <v>198135.74</v>
      </c>
      <c r="DI12" s="15" t="n">
        <v>125219.64</v>
      </c>
      <c r="DJ12" s="15" t="n">
        <v>544137.6899999999</v>
      </c>
      <c r="DK12" s="15" t="n">
        <v>1920195.59</v>
      </c>
      <c r="DL12" s="15" t="n">
        <v>1889016.74</v>
      </c>
      <c r="DM12" s="15" t="n">
        <v>1378718.02</v>
      </c>
      <c r="DN12" s="15" t="n">
        <v>759422.9300000001</v>
      </c>
      <c r="DO12" s="15" t="n">
        <v>211200.9</v>
      </c>
      <c r="DP12" s="15" t="n">
        <v>1194349.15</v>
      </c>
    </row>
    <row r="13">
      <c r="A13" s="4" t="inlineStr">
        <is>
          <t>其他产品C</t>
        </is>
      </c>
      <c r="B13" s="15" t="n">
        <v>3463124.97</v>
      </c>
      <c r="C13" s="15" t="n">
        <v>99104.13</v>
      </c>
      <c r="D13" s="15" t="n">
        <v>154116.97</v>
      </c>
      <c r="E13" s="15" t="n">
        <v>106631.57</v>
      </c>
      <c r="F13" s="15" t="n">
        <v>1049647.21</v>
      </c>
      <c r="G13" s="15" t="n">
        <v>1466379.1</v>
      </c>
      <c r="H13" s="15" t="n">
        <v>2648778.96</v>
      </c>
      <c r="I13" s="15" t="n">
        <v>682079.52</v>
      </c>
      <c r="J13" s="15" t="n">
        <v>1515224.9</v>
      </c>
      <c r="K13" s="15" t="n">
        <v>215017.13</v>
      </c>
      <c r="L13" s="15" t="n">
        <v>126107.94</v>
      </c>
      <c r="M13" s="15" t="n">
        <v>1134609.95</v>
      </c>
      <c r="N13" s="15" t="n">
        <v>3787681.38</v>
      </c>
      <c r="O13" s="15" t="n">
        <v>2191341.78</v>
      </c>
      <c r="P13" s="15" t="n">
        <v>1075191.4</v>
      </c>
      <c r="Q13" s="15" t="n">
        <v>309265.33</v>
      </c>
      <c r="R13" s="15" t="n">
        <v>773310.84</v>
      </c>
      <c r="S13" s="15" t="n">
        <v>1349428.77</v>
      </c>
      <c r="T13" s="15" t="n">
        <v>808059.59</v>
      </c>
      <c r="U13" s="15" t="n">
        <v>1147188.8</v>
      </c>
      <c r="V13" s="15" t="n">
        <v>1166299.48</v>
      </c>
      <c r="W13" s="15" t="n">
        <v>345401.22</v>
      </c>
      <c r="X13" s="15" t="n">
        <v>479704.82</v>
      </c>
      <c r="Y13" s="15" t="n">
        <v>1420988.46</v>
      </c>
      <c r="Z13" s="15" t="n">
        <v>1924145.48</v>
      </c>
      <c r="AA13" s="15" t="n">
        <v>1179042.38</v>
      </c>
      <c r="AB13" s="15" t="n">
        <v>1024230.14</v>
      </c>
      <c r="AC13" s="15" t="n">
        <v>366406.59</v>
      </c>
      <c r="AD13" s="15" t="n">
        <v>576782.05</v>
      </c>
      <c r="AE13" s="15" t="n">
        <v>3019155.91</v>
      </c>
      <c r="AF13" s="15" t="n">
        <v>3770443.49</v>
      </c>
      <c r="AG13" s="15" t="n">
        <v>1458527.85</v>
      </c>
      <c r="AH13" s="15" t="n">
        <v>394822.16</v>
      </c>
      <c r="AI13" s="15" t="n">
        <v>289761.54</v>
      </c>
      <c r="AJ13" s="15" t="n">
        <v>1094519.11</v>
      </c>
      <c r="AK13" s="15" t="n">
        <v>2769412.67</v>
      </c>
      <c r="AL13" s="15" t="n">
        <v>2314342.56</v>
      </c>
      <c r="AM13" s="15" t="n">
        <v>347588.33</v>
      </c>
      <c r="AN13" s="15" t="n">
        <v>795303.0699999999</v>
      </c>
      <c r="AO13" s="15" t="n">
        <v>107393.01</v>
      </c>
      <c r="AP13" s="15" t="n">
        <v>653581.46</v>
      </c>
      <c r="AQ13" s="15" t="n">
        <v>1908751.04</v>
      </c>
      <c r="AR13" s="15" t="n">
        <v>3864338.84</v>
      </c>
      <c r="AS13" s="15" t="n">
        <v>2305810.54</v>
      </c>
      <c r="AT13" s="15" t="n">
        <v>178287.2</v>
      </c>
      <c r="AU13" s="15" t="n">
        <v>296676.38</v>
      </c>
      <c r="AV13" s="15" t="n">
        <v>121657.92</v>
      </c>
      <c r="AW13" s="15" t="n">
        <v>2928345.56</v>
      </c>
      <c r="AX13" s="15" t="n">
        <v>2033059.23</v>
      </c>
      <c r="AY13" s="15" t="n">
        <v>2247529.46</v>
      </c>
      <c r="AZ13" s="15" t="n">
        <v>722296.51</v>
      </c>
      <c r="BA13" s="15" t="n">
        <v>139110.72</v>
      </c>
      <c r="BB13" s="15" t="n">
        <v>783056.0699999999</v>
      </c>
      <c r="BC13" s="15" t="n">
        <v>2505380.55</v>
      </c>
      <c r="BD13" s="15" t="n">
        <v>125894.49</v>
      </c>
      <c r="BE13" s="15" t="n">
        <v>1409289.67</v>
      </c>
      <c r="BF13" s="15" t="n">
        <v>1217455.51</v>
      </c>
      <c r="BG13" s="15" t="n">
        <v>254163.65</v>
      </c>
      <c r="BH13" s="15" t="n">
        <v>865216.3100000001</v>
      </c>
      <c r="BI13" s="15" t="n">
        <v>2713989.8</v>
      </c>
      <c r="BJ13" s="15" t="n">
        <v>1504391.54</v>
      </c>
      <c r="BK13" s="15" t="n">
        <v>2132924.97</v>
      </c>
      <c r="BL13" s="15" t="n">
        <v>1312773.07</v>
      </c>
      <c r="BM13" s="15" t="n">
        <v>112792.63</v>
      </c>
      <c r="BN13" s="15" t="n">
        <v>514502.84</v>
      </c>
      <c r="BO13" s="15" t="n">
        <v>3092177.82</v>
      </c>
      <c r="BP13" s="15" t="n">
        <v>2148624.37</v>
      </c>
      <c r="BQ13" s="15" t="n">
        <v>1838699.52</v>
      </c>
      <c r="BR13" s="15" t="n">
        <v>1094276.88</v>
      </c>
      <c r="BS13" s="15" t="n">
        <v>126145.16</v>
      </c>
      <c r="BT13" s="15" t="n">
        <v>562034.97</v>
      </c>
      <c r="BU13" s="15" t="n">
        <v>907284.87</v>
      </c>
      <c r="BV13" s="15" t="n">
        <v>3878422.11</v>
      </c>
      <c r="BW13" s="15" t="n">
        <v>1942608.01</v>
      </c>
      <c r="BX13" s="15" t="n">
        <v>377148.88</v>
      </c>
      <c r="BY13" s="15" t="n">
        <v>210877.49</v>
      </c>
      <c r="BZ13" s="15" t="n">
        <v>885527.26</v>
      </c>
      <c r="CA13" s="15" t="n">
        <v>1514212.26</v>
      </c>
      <c r="CB13" s="15" t="n">
        <v>1776809.28</v>
      </c>
      <c r="CC13" s="15" t="n">
        <v>2084994.57</v>
      </c>
      <c r="CD13" s="15" t="n">
        <v>1061335.69</v>
      </c>
      <c r="CE13" s="15" t="n">
        <v>278519.17</v>
      </c>
      <c r="CF13" s="15" t="n">
        <v>-150155.13</v>
      </c>
      <c r="CG13" s="15" t="n">
        <v>976745.35</v>
      </c>
      <c r="CH13" s="15" t="n">
        <v>1108294.93</v>
      </c>
      <c r="CI13" s="15" t="n">
        <v>352104.68</v>
      </c>
      <c r="CJ13" s="15" t="n">
        <v>308569.2</v>
      </c>
      <c r="CK13" s="15" t="n">
        <v>30640.25</v>
      </c>
      <c r="CL13" s="15" t="n">
        <v>-146548.38</v>
      </c>
      <c r="CM13" s="15" t="n">
        <v>433057.3</v>
      </c>
      <c r="CN13" s="15" t="n">
        <v>1850610.05</v>
      </c>
      <c r="CO13" s="15" t="n">
        <v>2092205.45</v>
      </c>
      <c r="CP13" s="15" t="n">
        <v>817583.3199999999</v>
      </c>
      <c r="CQ13" s="15" t="n">
        <v>318409.38</v>
      </c>
      <c r="CR13" s="15" t="n">
        <v>908790.09</v>
      </c>
      <c r="CS13" s="15" t="n">
        <v>2584053.94</v>
      </c>
      <c r="CT13" s="15" t="n">
        <v>1084809.02</v>
      </c>
      <c r="CU13" s="15" t="n">
        <v>1786967.98</v>
      </c>
      <c r="CV13" s="15" t="n">
        <v>147008.03</v>
      </c>
      <c r="CW13" s="15" t="n">
        <v>201039.57</v>
      </c>
      <c r="CX13" s="15" t="n">
        <v>546190.08</v>
      </c>
      <c r="CY13" s="15" t="n">
        <v>2403809.24</v>
      </c>
      <c r="CZ13" s="15" t="n">
        <v>2050097.04</v>
      </c>
      <c r="DA13" s="15" t="n">
        <v>675936.9399999999</v>
      </c>
      <c r="DB13" s="15" t="n">
        <v>429570.44</v>
      </c>
      <c r="DC13" s="15" t="n">
        <v>112723.28</v>
      </c>
      <c r="DD13" s="15" t="n">
        <v>-103361.41</v>
      </c>
      <c r="DE13" s="15" t="n">
        <v>1826332.38</v>
      </c>
      <c r="DF13" s="15" t="n">
        <v>2324340.97</v>
      </c>
      <c r="DG13" s="15" t="n">
        <v>789940.16</v>
      </c>
      <c r="DH13" s="15" t="n">
        <v>1192015.96</v>
      </c>
      <c r="DI13" s="15" t="n">
        <v>92519.92999999999</v>
      </c>
      <c r="DJ13" s="15" t="n">
        <v>111868.05</v>
      </c>
      <c r="DK13" s="15" t="n">
        <v>647892.97</v>
      </c>
      <c r="DL13" s="15" t="n">
        <v>2532417.11</v>
      </c>
      <c r="DM13" s="15" t="n">
        <v>1132666.29</v>
      </c>
      <c r="DN13" s="15" t="n">
        <v>1421744.18</v>
      </c>
      <c r="DO13" s="15" t="n">
        <v>178799.81</v>
      </c>
      <c r="DP13" s="15" t="n">
        <v>988848.66</v>
      </c>
    </row>
    <row r="14">
      <c r="A14" s="4" t="inlineStr">
        <is>
          <t>中式汤底</t>
        </is>
      </c>
      <c r="B14" s="15" t="n">
        <v>3313407.28</v>
      </c>
      <c r="C14" s="15" t="n">
        <v>411419.48</v>
      </c>
      <c r="D14" s="15" t="n">
        <v>996993.03</v>
      </c>
      <c r="E14" s="15" t="n">
        <v>314245.26</v>
      </c>
      <c r="F14" s="15" t="n">
        <v>8909.17</v>
      </c>
      <c r="G14" s="15" t="n">
        <v>1197987.13</v>
      </c>
      <c r="H14" s="15" t="n">
        <v>890352.74</v>
      </c>
      <c r="I14" s="15" t="n">
        <v>2193214.29</v>
      </c>
      <c r="J14" s="15" t="n">
        <v>75818.42</v>
      </c>
      <c r="K14" s="15" t="n">
        <v>59088.81</v>
      </c>
      <c r="L14" s="15" t="n">
        <v>1128710.17</v>
      </c>
      <c r="M14" s="15" t="n">
        <v>2128731.31</v>
      </c>
      <c r="N14" s="15" t="n">
        <v>1656645.36</v>
      </c>
      <c r="O14" s="15" t="n">
        <v>508600.72</v>
      </c>
      <c r="P14" s="15" t="n">
        <v>49787.97</v>
      </c>
      <c r="Q14" s="15" t="n">
        <v>243355.7</v>
      </c>
      <c r="R14" s="15" t="n">
        <v>1052484.72</v>
      </c>
      <c r="S14" s="15" t="n">
        <v>2918558.1</v>
      </c>
      <c r="T14" s="15" t="n">
        <v>1484208.48</v>
      </c>
      <c r="U14" s="15" t="n">
        <v>2316096.67</v>
      </c>
      <c r="V14" s="15" t="n">
        <v>574556.77</v>
      </c>
      <c r="W14" s="15" t="n">
        <v>387868.83</v>
      </c>
      <c r="X14" s="15" t="n">
        <v>1170721.25</v>
      </c>
      <c r="Y14" s="15" t="n">
        <v>156046.65</v>
      </c>
      <c r="Z14" s="15" t="n">
        <v>2421189.12</v>
      </c>
      <c r="AA14" s="15" t="n">
        <v>1443132.55</v>
      </c>
      <c r="AB14" s="15" t="n">
        <v>1288341.48</v>
      </c>
      <c r="AC14" s="15" t="n">
        <v>115869.97</v>
      </c>
      <c r="AD14" s="15" t="n">
        <v>920996.21</v>
      </c>
      <c r="AE14" s="15" t="n">
        <v>252540.67</v>
      </c>
      <c r="AF14" s="15" t="n">
        <v>785602.21</v>
      </c>
      <c r="AG14" s="15" t="n">
        <v>1136767.15</v>
      </c>
      <c r="AH14" s="15" t="n">
        <v>1480236.03</v>
      </c>
      <c r="AI14" s="15" t="n">
        <v>18096.36</v>
      </c>
      <c r="AJ14" s="15" t="n">
        <v>38518.51</v>
      </c>
      <c r="AK14" s="15" t="n">
        <v>3120608.64</v>
      </c>
      <c r="AL14" s="15" t="n">
        <v>2468291.21</v>
      </c>
      <c r="AM14" s="15" t="n">
        <v>553684.3199999999</v>
      </c>
      <c r="AN14" s="15" t="n">
        <v>900547.09</v>
      </c>
      <c r="AO14" s="15" t="n">
        <v>369183.09</v>
      </c>
      <c r="AP14" s="15" t="n">
        <v>-154044.35</v>
      </c>
      <c r="AQ14" s="15" t="n">
        <v>980358.6899999999</v>
      </c>
      <c r="AR14" s="15" t="n">
        <v>865873.42</v>
      </c>
      <c r="AS14" s="15" t="n">
        <v>1610436.53</v>
      </c>
      <c r="AT14" s="15" t="n">
        <v>858212.9</v>
      </c>
      <c r="AU14" s="15" t="n">
        <v>282315.06</v>
      </c>
      <c r="AV14" s="15" t="n">
        <v>870966.38</v>
      </c>
      <c r="AW14" s="15" t="n">
        <v>2236833.56</v>
      </c>
      <c r="AX14" s="15" t="n">
        <v>1587277.05</v>
      </c>
      <c r="AY14" s="15" t="n">
        <v>1264404.67</v>
      </c>
      <c r="AZ14" s="15" t="n">
        <v>1295472.4</v>
      </c>
      <c r="BA14" s="15" t="n">
        <v>29742.87</v>
      </c>
      <c r="BB14" s="15" t="n">
        <v>558549.88</v>
      </c>
      <c r="BC14" s="15" t="n">
        <v>454262.29</v>
      </c>
      <c r="BD14" s="15" t="n">
        <v>2797023.55</v>
      </c>
      <c r="BE14" s="15" t="n">
        <v>1380679.55</v>
      </c>
      <c r="BF14" s="15" t="n">
        <v>1457515.42</v>
      </c>
      <c r="BG14" s="15" t="n">
        <v>29918.97</v>
      </c>
      <c r="BH14" s="15" t="n">
        <v>1146601.14</v>
      </c>
      <c r="BI14" s="15" t="n">
        <v>996400.9300000001</v>
      </c>
      <c r="BJ14" s="15" t="n">
        <v>1208509.11</v>
      </c>
      <c r="BK14" s="15" t="n">
        <v>1102372.1</v>
      </c>
      <c r="BL14" s="15" t="n">
        <v>1465709.84</v>
      </c>
      <c r="BM14" s="15" t="n">
        <v>148694.91</v>
      </c>
      <c r="BN14" s="15" t="n">
        <v>868822.5600000001</v>
      </c>
      <c r="BO14" s="15" t="n">
        <v>1586256.65</v>
      </c>
      <c r="BP14" s="15" t="n">
        <v>1832517.91</v>
      </c>
      <c r="BQ14" s="15" t="n">
        <v>529156.95</v>
      </c>
      <c r="BR14" s="15" t="n">
        <v>1301176.11</v>
      </c>
      <c r="BS14" s="15" t="n">
        <v>376939.48</v>
      </c>
      <c r="BT14" s="15" t="n">
        <v>44490.86</v>
      </c>
      <c r="BU14" s="15" t="n">
        <v>2670102.87</v>
      </c>
      <c r="BV14" s="15" t="n">
        <v>1371672.16</v>
      </c>
      <c r="BW14" s="15" t="n">
        <v>1647146.23</v>
      </c>
      <c r="BX14" s="15" t="n">
        <v>390936.24</v>
      </c>
      <c r="BY14" s="15" t="n">
        <v>333307.95</v>
      </c>
      <c r="BZ14" s="15" t="n">
        <v>349656.92</v>
      </c>
      <c r="CA14" s="15" t="n">
        <v>329448.96</v>
      </c>
      <c r="CB14" s="15" t="n">
        <v>694711.05</v>
      </c>
      <c r="CC14" s="15" t="n">
        <v>389838.86</v>
      </c>
      <c r="CD14" s="15" t="n">
        <v>1090730.17</v>
      </c>
      <c r="CE14" s="15" t="n">
        <v>307757.99</v>
      </c>
      <c r="CF14" s="15" t="n">
        <v>1023662.1</v>
      </c>
      <c r="CG14" s="15" t="n">
        <v>1433148.72</v>
      </c>
      <c r="CH14" s="15" t="n">
        <v>1155992.23</v>
      </c>
      <c r="CI14" s="15" t="n">
        <v>357297.71</v>
      </c>
      <c r="CJ14" s="15" t="n">
        <v>578376.72</v>
      </c>
      <c r="CK14" s="15" t="n">
        <v>383022.17</v>
      </c>
      <c r="CL14" s="15" t="n">
        <v>526042.85</v>
      </c>
      <c r="CM14" s="15" t="n">
        <v>643112.27</v>
      </c>
      <c r="CN14" s="15" t="n">
        <v>1500359.07</v>
      </c>
      <c r="CO14" s="15" t="n">
        <v>1568618.05</v>
      </c>
      <c r="CP14" s="15" t="n">
        <v>1101928.83</v>
      </c>
      <c r="CQ14" s="15" t="n">
        <v>311410.05</v>
      </c>
      <c r="CR14" s="15" t="n">
        <v>905481.77</v>
      </c>
      <c r="CS14" s="15" t="n">
        <v>2138098.28</v>
      </c>
      <c r="CT14" s="15" t="n">
        <v>390721.93</v>
      </c>
      <c r="CU14" s="15" t="n">
        <v>2177180.23</v>
      </c>
      <c r="CV14" s="15" t="n">
        <v>953329.83</v>
      </c>
      <c r="CW14" s="15" t="n">
        <v>103521.92</v>
      </c>
      <c r="CX14" s="15" t="n">
        <v>1114129.93</v>
      </c>
      <c r="CY14" s="15" t="n">
        <v>452655.45</v>
      </c>
      <c r="CZ14" s="15" t="n">
        <v>1739029.9</v>
      </c>
      <c r="DA14" s="15" t="n">
        <v>1757244.87</v>
      </c>
      <c r="DB14" s="15" t="n">
        <v>1331621.35</v>
      </c>
      <c r="DC14" s="15" t="n">
        <v>136711.16</v>
      </c>
      <c r="DD14" s="15" t="n">
        <v>252530.69</v>
      </c>
      <c r="DE14" s="15" t="n">
        <v>2390100.59</v>
      </c>
      <c r="DF14" s="15" t="n">
        <v>1857651.91</v>
      </c>
      <c r="DG14" s="15" t="n">
        <v>290994.76</v>
      </c>
      <c r="DH14" s="15" t="n">
        <v>1281944.25</v>
      </c>
      <c r="DI14" s="15" t="n">
        <v>13838.04</v>
      </c>
      <c r="DJ14" s="15" t="n">
        <v>803706.0600000001</v>
      </c>
      <c r="DK14" s="15" t="n">
        <v>986520.85</v>
      </c>
      <c r="DL14" s="15" t="n">
        <v>2253273.55</v>
      </c>
      <c r="DM14" s="15" t="n">
        <v>1424398.9</v>
      </c>
      <c r="DN14" s="15" t="n">
        <v>198363.82</v>
      </c>
      <c r="DO14" s="15" t="n">
        <v>287494.93</v>
      </c>
      <c r="DP14" s="15" t="n">
        <v>282462.65</v>
      </c>
    </row>
    <row r="15">
      <c r="A15" s="4" t="inlineStr">
        <is>
          <t>酱料</t>
        </is>
      </c>
      <c r="B15" s="15" t="n">
        <v>199359.96</v>
      </c>
      <c r="C15" s="15" t="n">
        <v>1393599.44</v>
      </c>
      <c r="D15" s="15" t="n">
        <v>1052580.81</v>
      </c>
      <c r="E15" s="15" t="n">
        <v>120937.88</v>
      </c>
      <c r="F15" s="15" t="n">
        <v>808109.72</v>
      </c>
      <c r="G15" s="15" t="n">
        <v>192798.86</v>
      </c>
      <c r="H15" s="15" t="n">
        <v>3676404.14</v>
      </c>
      <c r="I15" s="15" t="n">
        <v>110944.66</v>
      </c>
      <c r="J15" s="15" t="n">
        <v>1493518</v>
      </c>
      <c r="K15" s="15" t="n">
        <v>169885.54</v>
      </c>
      <c r="L15" s="15" t="n">
        <v>1105181.95</v>
      </c>
      <c r="M15" s="15" t="n">
        <v>1151156.37</v>
      </c>
      <c r="N15" s="15" t="n">
        <v>1461003.35</v>
      </c>
      <c r="O15" s="15" t="n">
        <v>1689152.95</v>
      </c>
      <c r="P15" s="15" t="n">
        <v>1241366.57</v>
      </c>
      <c r="Q15" s="15" t="n">
        <v>90449.39</v>
      </c>
      <c r="R15" s="15" t="n">
        <v>1010882.08</v>
      </c>
      <c r="S15" s="15" t="n">
        <v>1658039.79</v>
      </c>
      <c r="T15" s="15" t="n">
        <v>384987.79</v>
      </c>
      <c r="U15" s="15" t="n">
        <v>193831.16</v>
      </c>
      <c r="V15" s="15" t="n">
        <v>1214505.52</v>
      </c>
      <c r="W15" s="15" t="n">
        <v>60568.89</v>
      </c>
      <c r="X15" s="15" t="n">
        <v>47459.03</v>
      </c>
      <c r="Y15" s="15" t="n">
        <v>1439572.81</v>
      </c>
      <c r="Z15" s="15" t="n">
        <v>1372562.71</v>
      </c>
      <c r="AA15" s="15" t="n">
        <v>1099410.16</v>
      </c>
      <c r="AB15" s="15" t="n">
        <v>1340801.02</v>
      </c>
      <c r="AC15" s="15" t="n">
        <v>254013.48</v>
      </c>
      <c r="AD15" s="15" t="n">
        <v>1109929.57</v>
      </c>
      <c r="AE15" s="15" t="n">
        <v>915453.47</v>
      </c>
      <c r="AF15" s="15" t="n">
        <v>2331741.75</v>
      </c>
      <c r="AG15" s="15" t="n">
        <v>471171.05</v>
      </c>
      <c r="AH15" s="15" t="n">
        <v>465653</v>
      </c>
      <c r="AI15" s="15" t="n">
        <v>285551.44</v>
      </c>
      <c r="AJ15" s="15" t="n">
        <v>11619.8</v>
      </c>
      <c r="AK15" s="15" t="n">
        <v>1676889.94</v>
      </c>
      <c r="AL15" s="15" t="n">
        <v>661668.27</v>
      </c>
      <c r="AM15" s="15" t="n">
        <v>726453.36</v>
      </c>
      <c r="AN15" s="15" t="n">
        <v>945482.7</v>
      </c>
      <c r="AO15" s="15" t="n">
        <v>326076.78</v>
      </c>
      <c r="AP15" s="15" t="n">
        <v>496237.4</v>
      </c>
      <c r="AQ15" s="15" t="n">
        <v>1537722.95</v>
      </c>
      <c r="AR15" s="15" t="n">
        <v>231066.92</v>
      </c>
      <c r="AS15" s="15" t="n">
        <v>1208617.48</v>
      </c>
      <c r="AT15" s="15" t="n">
        <v>1141740.63</v>
      </c>
      <c r="AU15" s="15" t="n">
        <v>350673.01</v>
      </c>
      <c r="AV15" s="15" t="n">
        <v>1054081.94</v>
      </c>
      <c r="AW15" s="15" t="n">
        <v>1945115.23</v>
      </c>
      <c r="AX15" s="15" t="n">
        <v>1194097.27</v>
      </c>
      <c r="AY15" s="15" t="n">
        <v>2005164.56</v>
      </c>
      <c r="AZ15" s="15" t="n">
        <v>917597.96</v>
      </c>
      <c r="BA15" s="15" t="n">
        <v>296986.95</v>
      </c>
      <c r="BB15" s="15" t="n">
        <v>468109.37</v>
      </c>
      <c r="BC15" s="15" t="n">
        <v>895515.48</v>
      </c>
      <c r="BD15" s="15" t="n">
        <v>2900941.02</v>
      </c>
      <c r="BE15" s="15" t="n">
        <v>2147422.17</v>
      </c>
      <c r="BF15" s="15" t="n">
        <v>707220.99</v>
      </c>
      <c r="BG15" s="15" t="n">
        <v>59968.16</v>
      </c>
      <c r="BH15" s="15" t="n">
        <v>761732.39</v>
      </c>
      <c r="BI15" s="15" t="n">
        <v>1133122.41</v>
      </c>
      <c r="BJ15" s="15" t="n">
        <v>1733352.2</v>
      </c>
      <c r="BK15" s="15" t="n">
        <v>2036508.53</v>
      </c>
      <c r="BL15" s="15" t="n">
        <v>201981.97</v>
      </c>
      <c r="BM15" s="15" t="n">
        <v>137317.71</v>
      </c>
      <c r="BN15" s="15" t="n">
        <v>637127.77</v>
      </c>
      <c r="BO15" s="15" t="n">
        <v>1141235.05</v>
      </c>
      <c r="BP15" s="15" t="n">
        <v>197099.06</v>
      </c>
      <c r="BQ15" s="15" t="n">
        <v>444914.13</v>
      </c>
      <c r="BR15" s="15" t="n">
        <v>729438.58</v>
      </c>
      <c r="BS15" s="15" t="n">
        <v>183126.58</v>
      </c>
      <c r="BT15" s="15" t="n">
        <v>688728.77</v>
      </c>
      <c r="BU15" s="15" t="n">
        <v>2545312.31</v>
      </c>
      <c r="BV15" s="15" t="n">
        <v>1552368.08</v>
      </c>
      <c r="BW15" s="15" t="n">
        <v>339471.39</v>
      </c>
      <c r="BX15" s="15" t="n">
        <v>261305.59</v>
      </c>
      <c r="BY15" s="15" t="n">
        <v>312116.81</v>
      </c>
      <c r="BZ15" s="15" t="n">
        <v>48139.16</v>
      </c>
      <c r="CA15" s="15" t="n">
        <v>526639.34</v>
      </c>
      <c r="CB15" s="15" t="n">
        <v>1972087.83</v>
      </c>
      <c r="CC15" s="15" t="n">
        <v>895771.02</v>
      </c>
      <c r="CD15" s="15" t="n">
        <v>1291546.56</v>
      </c>
      <c r="CE15" s="15" t="n">
        <v>377230.21</v>
      </c>
      <c r="CF15" s="15" t="n">
        <v>951168.75</v>
      </c>
      <c r="CG15" s="15" t="n">
        <v>3038294.08</v>
      </c>
      <c r="CH15" s="15" t="n">
        <v>2798248.62</v>
      </c>
      <c r="CI15" s="15" t="n">
        <v>523005.84</v>
      </c>
      <c r="CJ15" s="15" t="n">
        <v>179498.85</v>
      </c>
      <c r="CK15" s="15" t="n">
        <v>363309.6</v>
      </c>
      <c r="CL15" s="15" t="n">
        <v>706278.52</v>
      </c>
      <c r="CM15" s="15" t="n">
        <v>218997.78</v>
      </c>
      <c r="CN15" s="15" t="n">
        <v>1408820.52</v>
      </c>
      <c r="CO15" s="15" t="n">
        <v>2306819.12</v>
      </c>
      <c r="CP15" s="15" t="n">
        <v>548841.74</v>
      </c>
      <c r="CQ15" s="15" t="n">
        <v>102338.58</v>
      </c>
      <c r="CR15" s="15" t="n">
        <v>234114.47</v>
      </c>
      <c r="CS15" s="15" t="n">
        <v>1179307.13</v>
      </c>
      <c r="CT15" s="15" t="n">
        <v>3856629.61</v>
      </c>
      <c r="CU15" s="15" t="n">
        <v>2135941.37</v>
      </c>
      <c r="CV15" s="15" t="n">
        <v>591832.36</v>
      </c>
      <c r="CW15" s="15" t="n">
        <v>178575.47</v>
      </c>
      <c r="CX15" s="15" t="n">
        <v>94778.82000000001</v>
      </c>
      <c r="CY15" s="15" t="n">
        <v>449809.59</v>
      </c>
      <c r="CZ15" s="15" t="n">
        <v>3969042.68</v>
      </c>
      <c r="DA15" s="15" t="n">
        <v>2297244.51</v>
      </c>
      <c r="DB15" s="15" t="n">
        <v>1067082.04</v>
      </c>
      <c r="DC15" s="15" t="n">
        <v>87786.63</v>
      </c>
      <c r="DD15" s="15" t="n">
        <v>920291.51</v>
      </c>
      <c r="DE15" s="15" t="n">
        <v>2973557.24</v>
      </c>
      <c r="DF15" s="15" t="n">
        <v>1975925.07</v>
      </c>
      <c r="DG15" s="15" t="n">
        <v>2330709.54</v>
      </c>
      <c r="DH15" s="15" t="n">
        <v>1226635.11</v>
      </c>
      <c r="DI15" s="15" t="n">
        <v>170586.4</v>
      </c>
      <c r="DJ15" s="15" t="n">
        <v>-86602.82000000001</v>
      </c>
      <c r="DK15" s="15" t="n">
        <v>2636687.17</v>
      </c>
      <c r="DL15" s="15" t="n">
        <v>2482024.91</v>
      </c>
      <c r="DM15" s="15" t="n">
        <v>1832292.08</v>
      </c>
      <c r="DN15" s="15" t="n">
        <v>493611.18</v>
      </c>
      <c r="DO15" s="15" t="n">
        <v>322984.89</v>
      </c>
      <c r="DP15" s="15" t="n">
        <v>629519.6800000001</v>
      </c>
    </row>
    <row r="16">
      <c r="A16" s="4" t="inlineStr">
        <is>
          <t>川味底料</t>
        </is>
      </c>
      <c r="B16" s="15" t="n">
        <v>197479.63</v>
      </c>
      <c r="C16" s="15" t="n">
        <v>1029666.41</v>
      </c>
      <c r="D16" s="15" t="n">
        <v>1152582.35</v>
      </c>
      <c r="E16" s="15" t="n">
        <v>123131.62</v>
      </c>
      <c r="F16" s="15" t="n">
        <v>-51937.52</v>
      </c>
      <c r="G16" s="15" t="n">
        <v>342459.33</v>
      </c>
      <c r="H16" s="15" t="n">
        <v>3650013.35</v>
      </c>
      <c r="I16" s="15" t="n">
        <v>1648518.45</v>
      </c>
      <c r="J16" s="15" t="n">
        <v>901702.1899999999</v>
      </c>
      <c r="K16" s="15" t="n">
        <v>308255.82</v>
      </c>
      <c r="L16" s="15" t="n">
        <v>-32853.98</v>
      </c>
      <c r="M16" s="15" t="n">
        <v>2316266.68</v>
      </c>
      <c r="N16" s="15" t="n">
        <v>1870623.18</v>
      </c>
      <c r="O16" s="15" t="n">
        <v>592519.97</v>
      </c>
      <c r="P16" s="15" t="n">
        <v>635294.96</v>
      </c>
      <c r="Q16" s="15" t="n">
        <v>158416.49</v>
      </c>
      <c r="R16" s="15" t="n">
        <v>-97132.84</v>
      </c>
      <c r="S16" s="15" t="n">
        <v>3005973.94</v>
      </c>
      <c r="T16" s="15" t="n">
        <v>2752066.21</v>
      </c>
      <c r="U16" s="15" t="n">
        <v>618524.26</v>
      </c>
      <c r="V16" s="15" t="n">
        <v>124610.34</v>
      </c>
      <c r="W16" s="15" t="n">
        <v>274548.42</v>
      </c>
      <c r="X16" s="15" t="n">
        <v>-110976.33</v>
      </c>
      <c r="Y16" s="15" t="n">
        <v>1869563.68</v>
      </c>
      <c r="Z16" s="15" t="n">
        <v>3856989.45</v>
      </c>
      <c r="AA16" s="15" t="n">
        <v>1265520.58</v>
      </c>
      <c r="AB16" s="15" t="n">
        <v>817791.3</v>
      </c>
      <c r="AC16" s="15" t="n">
        <v>145302.16</v>
      </c>
      <c r="AD16" s="15" t="n">
        <v>763734.8</v>
      </c>
      <c r="AE16" s="15" t="n">
        <v>3135770.85</v>
      </c>
      <c r="AF16" s="15" t="n">
        <v>210974.77</v>
      </c>
      <c r="AG16" s="15" t="n">
        <v>922486.65</v>
      </c>
      <c r="AH16" s="15" t="n">
        <v>1223755.2</v>
      </c>
      <c r="AI16" s="15" t="n">
        <v>85186.19</v>
      </c>
      <c r="AJ16" s="15" t="n">
        <v>-53540.71</v>
      </c>
      <c r="AK16" s="15" t="n">
        <v>402772.25</v>
      </c>
      <c r="AL16" s="15" t="n">
        <v>3377578.55</v>
      </c>
      <c r="AM16" s="15" t="n">
        <v>455393.55</v>
      </c>
      <c r="AN16" s="15" t="n">
        <v>272233.23</v>
      </c>
      <c r="AO16" s="15" t="n">
        <v>119733.9</v>
      </c>
      <c r="AP16" s="15" t="n">
        <v>-115149.5</v>
      </c>
      <c r="AQ16" s="15" t="n">
        <v>2284797.52</v>
      </c>
      <c r="AR16" s="15" t="n">
        <v>2769011.89</v>
      </c>
      <c r="AS16" s="15" t="n">
        <v>1773351.29</v>
      </c>
      <c r="AT16" s="15" t="n">
        <v>1136861.93</v>
      </c>
      <c r="AU16" s="15" t="n">
        <v>376648.96</v>
      </c>
      <c r="AV16" s="15" t="n">
        <v>429463.56</v>
      </c>
      <c r="AW16" s="15" t="n">
        <v>1631291.98</v>
      </c>
      <c r="AX16" s="15" t="n">
        <v>246854.44</v>
      </c>
      <c r="AY16" s="15" t="n">
        <v>2187489.87</v>
      </c>
      <c r="AZ16" s="15" t="n">
        <v>1070452.07</v>
      </c>
      <c r="BA16" s="15" t="n">
        <v>356673.7</v>
      </c>
      <c r="BB16" s="15" t="n">
        <v>578946.75</v>
      </c>
      <c r="BC16" s="15" t="n">
        <v>2059378.81</v>
      </c>
      <c r="BD16" s="15" t="n">
        <v>2113539.07</v>
      </c>
      <c r="BE16" s="15" t="n">
        <v>2267434.18</v>
      </c>
      <c r="BF16" s="15" t="n">
        <v>1590944.2</v>
      </c>
      <c r="BG16" s="15" t="n">
        <v>32611.3</v>
      </c>
      <c r="BH16" s="15" t="n">
        <v>563922.26</v>
      </c>
      <c r="BI16" s="15" t="n">
        <v>726495.83</v>
      </c>
      <c r="BJ16" s="15" t="n">
        <v>1244844.46</v>
      </c>
      <c r="BK16" s="15" t="n">
        <v>2288495.44</v>
      </c>
      <c r="BL16" s="15" t="n">
        <v>728474.78</v>
      </c>
      <c r="BM16" s="15" t="n">
        <v>46941.16</v>
      </c>
      <c r="BN16" s="15" t="n">
        <v>868052.5699999999</v>
      </c>
      <c r="BO16" s="15" t="n">
        <v>2487892.26</v>
      </c>
      <c r="BP16" s="15" t="n">
        <v>1774525.51</v>
      </c>
      <c r="BQ16" s="15" t="n">
        <v>632391.6899999999</v>
      </c>
      <c r="BR16" s="15" t="n">
        <v>1413040.76</v>
      </c>
      <c r="BS16" s="15" t="n">
        <v>353225.8</v>
      </c>
      <c r="BT16" s="15" t="n">
        <v>933963.27</v>
      </c>
      <c r="BU16" s="15" t="n">
        <v>2381968.87</v>
      </c>
      <c r="BV16" s="15" t="n">
        <v>2211216.22</v>
      </c>
      <c r="BW16" s="15" t="n">
        <v>751195.4300000001</v>
      </c>
      <c r="BX16" s="15" t="n">
        <v>1123785.44</v>
      </c>
      <c r="BY16" s="15" t="n">
        <v>80752.92</v>
      </c>
      <c r="BZ16" s="15" t="n">
        <v>93433.16</v>
      </c>
      <c r="CA16" s="15" t="n">
        <v>2465940.26</v>
      </c>
      <c r="CB16" s="15" t="n">
        <v>1785062.05</v>
      </c>
      <c r="CC16" s="15" t="n">
        <v>1178687.89</v>
      </c>
      <c r="CD16" s="15" t="n">
        <v>251856.49</v>
      </c>
      <c r="CE16" s="15" t="n">
        <v>327939.45</v>
      </c>
      <c r="CF16" s="15" t="n">
        <v>257457.55</v>
      </c>
      <c r="CG16" s="15" t="n">
        <v>2724041.61</v>
      </c>
      <c r="CH16" s="15" t="n">
        <v>1090016.15</v>
      </c>
      <c r="CI16" s="15" t="n">
        <v>1572670.23</v>
      </c>
      <c r="CJ16" s="15" t="n">
        <v>323493.04</v>
      </c>
      <c r="CK16" s="15" t="n">
        <v>276215.81</v>
      </c>
      <c r="CL16" s="15" t="n">
        <v>66377.14</v>
      </c>
      <c r="CM16" s="15" t="n">
        <v>1616021.14</v>
      </c>
      <c r="CN16" s="15" t="n">
        <v>3296089.36</v>
      </c>
      <c r="CO16" s="15" t="n">
        <v>1004005.86</v>
      </c>
      <c r="CP16" s="15" t="n">
        <v>716671.79</v>
      </c>
      <c r="CQ16" s="15" t="n">
        <v>315679.07</v>
      </c>
      <c r="CR16" s="15" t="n">
        <v>285075.99</v>
      </c>
      <c r="CS16" s="15" t="n">
        <v>355410.82</v>
      </c>
      <c r="CT16" s="15" t="n">
        <v>2796781.71</v>
      </c>
      <c r="CU16" s="15" t="n">
        <v>1163721.78</v>
      </c>
      <c r="CV16" s="15" t="n">
        <v>1322465.48</v>
      </c>
      <c r="CW16" s="15" t="n">
        <v>126522.26</v>
      </c>
      <c r="CX16" s="15" t="n">
        <v>668762.13</v>
      </c>
      <c r="CY16" s="15" t="n">
        <v>593246.21</v>
      </c>
      <c r="CZ16" s="15" t="n">
        <v>1601627.83</v>
      </c>
      <c r="DA16" s="15" t="n">
        <v>1096672.56</v>
      </c>
      <c r="DB16" s="15" t="n">
        <v>155886.35</v>
      </c>
      <c r="DC16" s="15" t="n">
        <v>373447.5</v>
      </c>
      <c r="DD16" s="15" t="n">
        <v>189851.65</v>
      </c>
      <c r="DE16" s="15" t="n">
        <v>2621243.24</v>
      </c>
      <c r="DF16" s="15" t="n">
        <v>931528.48</v>
      </c>
      <c r="DG16" s="15" t="n">
        <v>1913534.76</v>
      </c>
      <c r="DH16" s="15" t="n">
        <v>992701.55</v>
      </c>
      <c r="DI16" s="15" t="n">
        <v>139304.1</v>
      </c>
      <c r="DJ16" s="15" t="n">
        <v>-35082.01</v>
      </c>
      <c r="DK16" s="15" t="n">
        <v>1089586.33</v>
      </c>
      <c r="DL16" s="15" t="n">
        <v>3247698.01</v>
      </c>
      <c r="DM16" s="15" t="n">
        <v>996738.85</v>
      </c>
      <c r="DN16" s="15" t="n">
        <v>1051293.66</v>
      </c>
      <c r="DO16" s="15" t="n">
        <v>84825.81</v>
      </c>
      <c r="DP16" s="15" t="n">
        <v>219642.29</v>
      </c>
    </row>
    <row r="17">
      <c r="A17" s="4" t="inlineStr">
        <is>
          <t>调味汁</t>
        </is>
      </c>
      <c r="B17" s="15" t="n">
        <v>3770869.64</v>
      </c>
      <c r="C17" s="15" t="n">
        <v>1521775.59</v>
      </c>
      <c r="D17" s="15" t="n">
        <v>1270906.19</v>
      </c>
      <c r="E17" s="15" t="n">
        <v>236667.71</v>
      </c>
      <c r="F17" s="15" t="n">
        <v>-144891.5</v>
      </c>
      <c r="G17" s="15" t="n">
        <v>1806108.59</v>
      </c>
      <c r="H17" s="15" t="n">
        <v>2296157.29</v>
      </c>
      <c r="I17" s="15" t="n">
        <v>930073.78</v>
      </c>
      <c r="J17" s="15" t="n">
        <v>1228825.11</v>
      </c>
      <c r="K17" s="15" t="n">
        <v>238946.76</v>
      </c>
      <c r="L17" s="15" t="n">
        <v>371043.09</v>
      </c>
      <c r="M17" s="15" t="n">
        <v>2157819.16</v>
      </c>
      <c r="N17" s="15" t="n">
        <v>3246658.47</v>
      </c>
      <c r="O17" s="15" t="n">
        <v>198237.37</v>
      </c>
      <c r="P17" s="15" t="n">
        <v>1437441.12</v>
      </c>
      <c r="Q17" s="15" t="n">
        <v>267224.98</v>
      </c>
      <c r="R17" s="15" t="n">
        <v>571373.3</v>
      </c>
      <c r="S17" s="15" t="n">
        <v>2697556.94</v>
      </c>
      <c r="T17" s="15" t="n">
        <v>2340030.93</v>
      </c>
      <c r="U17" s="15" t="n">
        <v>1907657.49</v>
      </c>
      <c r="V17" s="15" t="n">
        <v>400901.28</v>
      </c>
      <c r="W17" s="15" t="n">
        <v>310667.5</v>
      </c>
      <c r="X17" s="15" t="n">
        <v>696996.61</v>
      </c>
      <c r="Y17" s="15" t="n">
        <v>2826891.94</v>
      </c>
      <c r="Z17" s="15" t="n">
        <v>614697.38</v>
      </c>
      <c r="AA17" s="15" t="n">
        <v>950482.79</v>
      </c>
      <c r="AB17" s="15" t="n">
        <v>793182.22</v>
      </c>
      <c r="AC17" s="15" t="n">
        <v>80809.62</v>
      </c>
      <c r="AD17" s="15" t="n">
        <v>-88664.57000000001</v>
      </c>
      <c r="AE17" s="15" t="n">
        <v>1530739.81</v>
      </c>
      <c r="AF17" s="15" t="n">
        <v>983182.89</v>
      </c>
      <c r="AG17" s="15" t="n">
        <v>1710870.03</v>
      </c>
      <c r="AH17" s="15" t="n">
        <v>1241284.07</v>
      </c>
      <c r="AI17" s="15" t="n">
        <v>28867.63</v>
      </c>
      <c r="AJ17" s="15" t="n">
        <v>366056.32</v>
      </c>
      <c r="AK17" s="15" t="n">
        <v>2297768.28</v>
      </c>
      <c r="AL17" s="15" t="n">
        <v>878710.29</v>
      </c>
      <c r="AM17" s="15" t="n">
        <v>1020960.62</v>
      </c>
      <c r="AN17" s="15" t="n">
        <v>1473149.35</v>
      </c>
      <c r="AO17" s="15" t="n">
        <v>285082.89</v>
      </c>
      <c r="AP17" s="15" t="n">
        <v>1185527.82</v>
      </c>
      <c r="AQ17" s="15" t="n">
        <v>3086041.65</v>
      </c>
      <c r="AR17" s="15" t="n">
        <v>2023427.76</v>
      </c>
      <c r="AS17" s="15" t="n">
        <v>623316.9300000001</v>
      </c>
      <c r="AT17" s="15" t="n">
        <v>1486335.82</v>
      </c>
      <c r="AU17" s="15" t="n">
        <v>316591.65</v>
      </c>
      <c r="AV17" s="15" t="n">
        <v>285886.88</v>
      </c>
      <c r="AW17" s="15" t="n">
        <v>1271492.23</v>
      </c>
      <c r="AX17" s="15" t="n">
        <v>3216325.14</v>
      </c>
      <c r="AY17" s="15" t="n">
        <v>2140041.16</v>
      </c>
      <c r="AZ17" s="15" t="n">
        <v>1086434.76</v>
      </c>
      <c r="BA17" s="15" t="n">
        <v>184147.42</v>
      </c>
      <c r="BB17" s="15" t="n">
        <v>383176.49</v>
      </c>
      <c r="BC17" s="15" t="n">
        <v>2633782.55</v>
      </c>
      <c r="BD17" s="15" t="n">
        <v>3670937</v>
      </c>
      <c r="BE17" s="15" t="n">
        <v>2355071.82</v>
      </c>
      <c r="BF17" s="15" t="n">
        <v>1323868.73</v>
      </c>
      <c r="BG17" s="15" t="n">
        <v>188466.91</v>
      </c>
      <c r="BH17" s="15" t="n">
        <v>364107.31</v>
      </c>
      <c r="BI17" s="15" t="n">
        <v>2187076.3</v>
      </c>
      <c r="BJ17" s="15" t="n">
        <v>292117.99</v>
      </c>
      <c r="BK17" s="15" t="n">
        <v>877225.1899999999</v>
      </c>
      <c r="BL17" s="15" t="n">
        <v>122292.51</v>
      </c>
      <c r="BM17" s="15" t="n">
        <v>296026.18</v>
      </c>
      <c r="BN17" s="15" t="n">
        <v>1086527.04</v>
      </c>
      <c r="BO17" s="15" t="n">
        <v>2062263.44</v>
      </c>
      <c r="BP17" s="15" t="n">
        <v>1957591.85</v>
      </c>
      <c r="BQ17" s="15" t="n">
        <v>1046069.03</v>
      </c>
      <c r="BR17" s="15" t="n">
        <v>1028409.82</v>
      </c>
      <c r="BS17" s="15" t="n">
        <v>376730.55</v>
      </c>
      <c r="BT17" s="15" t="n">
        <v>198996.01</v>
      </c>
      <c r="BU17" s="15" t="n">
        <v>3100009.29</v>
      </c>
      <c r="BV17" s="15" t="n">
        <v>3668714.71</v>
      </c>
      <c r="BW17" s="15" t="n">
        <v>437511.94</v>
      </c>
      <c r="BX17" s="15" t="n">
        <v>73690.81</v>
      </c>
      <c r="BY17" s="15" t="n">
        <v>169146.05</v>
      </c>
      <c r="BZ17" s="15" t="n">
        <v>187289.67</v>
      </c>
      <c r="CA17" s="15" t="n">
        <v>1426256.63</v>
      </c>
      <c r="CB17" s="15" t="n">
        <v>836100.98</v>
      </c>
      <c r="CC17" s="15" t="n">
        <v>639082.04</v>
      </c>
      <c r="CD17" s="15" t="n">
        <v>417060.58</v>
      </c>
      <c r="CE17" s="15" t="n">
        <v>24585.9</v>
      </c>
      <c r="CF17" s="15" t="n">
        <v>236901.49</v>
      </c>
      <c r="CG17" s="15" t="n">
        <v>339278.5</v>
      </c>
      <c r="CH17" s="15" t="n">
        <v>2765190.5</v>
      </c>
      <c r="CI17" s="15" t="n">
        <v>1062402.96</v>
      </c>
      <c r="CJ17" s="15" t="n">
        <v>412095.04</v>
      </c>
      <c r="CK17" s="15" t="n">
        <v>288420.67</v>
      </c>
      <c r="CL17" s="15" t="n">
        <v>1017024.06</v>
      </c>
      <c r="CM17" s="15" t="n">
        <v>494535.3</v>
      </c>
      <c r="CN17" s="15" t="n">
        <v>1058276.37</v>
      </c>
      <c r="CO17" s="15" t="n">
        <v>242797.54</v>
      </c>
      <c r="CP17" s="15" t="n">
        <v>925911.17</v>
      </c>
      <c r="CQ17" s="15" t="n">
        <v>232086.47</v>
      </c>
      <c r="CR17" s="15" t="n">
        <v>557646.5600000001</v>
      </c>
      <c r="CS17" s="15" t="n">
        <v>2167220.71</v>
      </c>
      <c r="CT17" s="15" t="n">
        <v>2656996.89</v>
      </c>
      <c r="CU17" s="15" t="n">
        <v>1940105.32</v>
      </c>
      <c r="CV17" s="15" t="n">
        <v>663615.1</v>
      </c>
      <c r="CW17" s="15" t="n">
        <v>253921.01</v>
      </c>
      <c r="CX17" s="15" t="n">
        <v>160188.11</v>
      </c>
      <c r="CY17" s="15" t="n">
        <v>1056853.98</v>
      </c>
      <c r="CZ17" s="15" t="n">
        <v>3420692.89</v>
      </c>
      <c r="DA17" s="15" t="n">
        <v>799474.6</v>
      </c>
      <c r="DB17" s="15" t="n">
        <v>876782.11</v>
      </c>
      <c r="DC17" s="15" t="n">
        <v>253355.92</v>
      </c>
      <c r="DD17" s="15" t="n">
        <v>1184891.65</v>
      </c>
      <c r="DE17" s="15" t="n">
        <v>2925415.29</v>
      </c>
      <c r="DF17" s="15" t="n">
        <v>3345186.22</v>
      </c>
      <c r="DG17" s="15" t="n">
        <v>1716914.39</v>
      </c>
      <c r="DH17" s="15" t="n">
        <v>809115.5699999999</v>
      </c>
      <c r="DI17" s="15" t="n">
        <v>372218.33</v>
      </c>
      <c r="DJ17" s="15" t="n">
        <v>1062698.18</v>
      </c>
      <c r="DK17" s="15" t="n">
        <v>1352132.7</v>
      </c>
      <c r="DL17" s="15" t="n">
        <v>3980804.79</v>
      </c>
      <c r="DM17" s="15" t="n">
        <v>485864.26</v>
      </c>
      <c r="DN17" s="15" t="n">
        <v>792110.11</v>
      </c>
      <c r="DO17" s="15" t="n">
        <v>239689.19</v>
      </c>
      <c r="DP17" s="15" t="n">
        <v>814663.7</v>
      </c>
    </row>
    <row r="18">
      <c r="A18" s="4" t="inlineStr">
        <is>
          <t>复合调味粉</t>
        </is>
      </c>
      <c r="B18" s="15" t="n">
        <v>3135308.52</v>
      </c>
      <c r="C18" s="15" t="n">
        <v>351070.99</v>
      </c>
      <c r="D18" s="15" t="n">
        <v>339857.1</v>
      </c>
      <c r="E18" s="15" t="n">
        <v>45549.11</v>
      </c>
      <c r="F18" s="15" t="n">
        <v>387007.96</v>
      </c>
      <c r="G18" s="15" t="n">
        <v>2949410.92</v>
      </c>
      <c r="H18" s="15" t="n">
        <v>2996420.72</v>
      </c>
      <c r="I18" s="15" t="n">
        <v>1236716.73</v>
      </c>
      <c r="J18" s="15" t="n">
        <v>1553339.75</v>
      </c>
      <c r="K18" s="15" t="n">
        <v>296778</v>
      </c>
      <c r="L18" s="15" t="n">
        <v>507849.14</v>
      </c>
      <c r="M18" s="15" t="n">
        <v>183670.76</v>
      </c>
      <c r="N18" s="15" t="n">
        <v>672317.09</v>
      </c>
      <c r="O18" s="15" t="n">
        <v>1466582.61</v>
      </c>
      <c r="P18" s="15" t="n">
        <v>853531.84</v>
      </c>
      <c r="Q18" s="15" t="n">
        <v>145032.12</v>
      </c>
      <c r="R18" s="15" t="n">
        <v>1064245.46</v>
      </c>
      <c r="S18" s="15" t="n">
        <v>2115928.24</v>
      </c>
      <c r="T18" s="15" t="n">
        <v>3347157.84</v>
      </c>
      <c r="U18" s="15" t="n">
        <v>742950.39</v>
      </c>
      <c r="V18" s="15" t="n">
        <v>1333703.32</v>
      </c>
      <c r="W18" s="15" t="n">
        <v>167320.25</v>
      </c>
      <c r="X18" s="15" t="n">
        <v>680663.04</v>
      </c>
      <c r="Y18" s="15" t="n">
        <v>129635.22</v>
      </c>
      <c r="Z18" s="15" t="n">
        <v>3401199.21</v>
      </c>
      <c r="AA18" s="15" t="n">
        <v>1160687.77</v>
      </c>
      <c r="AB18" s="15" t="n">
        <v>1130012.13</v>
      </c>
      <c r="AC18" s="15" t="n">
        <v>145728.09</v>
      </c>
      <c r="AD18" s="15" t="n">
        <v>683793.8100000001</v>
      </c>
      <c r="AE18" s="15" t="n">
        <v>364060.37</v>
      </c>
      <c r="AF18" s="15" t="n">
        <v>523211.83</v>
      </c>
      <c r="AG18" s="15" t="n">
        <v>729919.62</v>
      </c>
      <c r="AH18" s="15" t="n">
        <v>517383.55</v>
      </c>
      <c r="AI18" s="15" t="n">
        <v>392203.9</v>
      </c>
      <c r="AJ18" s="15" t="n">
        <v>957418.25</v>
      </c>
      <c r="AK18" s="15" t="n">
        <v>204327.28</v>
      </c>
      <c r="AL18" s="15" t="n">
        <v>3773331.14</v>
      </c>
      <c r="AM18" s="15" t="n">
        <v>62674.32</v>
      </c>
      <c r="AN18" s="15" t="n">
        <v>782624.33</v>
      </c>
      <c r="AO18" s="15" t="n">
        <v>294776.72</v>
      </c>
      <c r="AP18" s="15" t="n">
        <v>849136.41</v>
      </c>
      <c r="AQ18" s="15" t="n">
        <v>1212655.31</v>
      </c>
      <c r="AR18" s="15" t="n">
        <v>945635.15</v>
      </c>
      <c r="AS18" s="15" t="n">
        <v>1054906.98</v>
      </c>
      <c r="AT18" s="15" t="n">
        <v>33169.8</v>
      </c>
      <c r="AU18" s="15" t="n">
        <v>302458.88</v>
      </c>
      <c r="AV18" s="15" t="n">
        <v>1060086.81</v>
      </c>
      <c r="AW18" s="15" t="n">
        <v>3132130.55</v>
      </c>
      <c r="AX18" s="15" t="n">
        <v>506241.05</v>
      </c>
      <c r="AY18" s="15" t="n">
        <v>1341034.72</v>
      </c>
      <c r="AZ18" s="15" t="n">
        <v>737946.62</v>
      </c>
      <c r="BA18" s="15" t="n">
        <v>140947.67</v>
      </c>
      <c r="BB18" s="15" t="n">
        <v>1112772.96</v>
      </c>
      <c r="BC18" s="15" t="n">
        <v>2645260.68</v>
      </c>
      <c r="BD18" s="15" t="n">
        <v>512105.87</v>
      </c>
      <c r="BE18" s="15" t="n">
        <v>2396101.62</v>
      </c>
      <c r="BF18" s="15" t="n">
        <v>394903.52</v>
      </c>
      <c r="BG18" s="15" t="n">
        <v>335074.14</v>
      </c>
      <c r="BH18" s="15" t="n">
        <v>-100531.07</v>
      </c>
      <c r="BI18" s="15" t="n">
        <v>834920.15</v>
      </c>
      <c r="BJ18" s="15" t="n">
        <v>2469589.36</v>
      </c>
      <c r="BK18" s="15" t="n">
        <v>1091040.75</v>
      </c>
      <c r="BL18" s="15" t="n">
        <v>410274.62</v>
      </c>
      <c r="BM18" s="15" t="n">
        <v>42099.53</v>
      </c>
      <c r="BN18" s="15" t="n">
        <v>402724.16</v>
      </c>
      <c r="BO18" s="15" t="n">
        <v>1353628.38</v>
      </c>
      <c r="BP18" s="15" t="n">
        <v>1640722.31</v>
      </c>
      <c r="BQ18" s="15" t="n">
        <v>149690.47</v>
      </c>
      <c r="BR18" s="15" t="n">
        <v>367115.4</v>
      </c>
      <c r="BS18" s="15" t="n">
        <v>165468.82</v>
      </c>
      <c r="BT18" s="15" t="n">
        <v>1069886.32</v>
      </c>
      <c r="BU18" s="15" t="n">
        <v>3099716.36</v>
      </c>
      <c r="BV18" s="15" t="n">
        <v>1411830.12</v>
      </c>
      <c r="BW18" s="15" t="n">
        <v>100145.39</v>
      </c>
      <c r="BX18" s="15" t="n">
        <v>1224330.51</v>
      </c>
      <c r="BY18" s="15" t="n">
        <v>106214.31</v>
      </c>
      <c r="BZ18" s="15" t="n">
        <v>283174.01</v>
      </c>
      <c r="CA18" s="15" t="n">
        <v>1125134.92</v>
      </c>
      <c r="CB18" s="15" t="n">
        <v>1730266.67</v>
      </c>
      <c r="CC18" s="15" t="n">
        <v>2259295.24</v>
      </c>
      <c r="CD18" s="15" t="n">
        <v>1432487.89</v>
      </c>
      <c r="CE18" s="15" t="n">
        <v>272385.25</v>
      </c>
      <c r="CF18" s="15" t="n">
        <v>391048.2</v>
      </c>
      <c r="CG18" s="15" t="n">
        <v>2860205.41</v>
      </c>
      <c r="CH18" s="15" t="n">
        <v>3009767.76</v>
      </c>
      <c r="CI18" s="15" t="n">
        <v>386625.43</v>
      </c>
      <c r="CJ18" s="15" t="n">
        <v>1162852.8</v>
      </c>
      <c r="CK18" s="15" t="n">
        <v>52191.97</v>
      </c>
      <c r="CL18" s="15" t="n">
        <v>-149523.06</v>
      </c>
      <c r="CM18" s="15" t="n">
        <v>3075075.49</v>
      </c>
      <c r="CN18" s="15" t="n">
        <v>3621408.06</v>
      </c>
      <c r="CO18" s="15" t="n">
        <v>2036518.92</v>
      </c>
      <c r="CP18" s="15" t="n">
        <v>1469327.89</v>
      </c>
      <c r="CQ18" s="15" t="n">
        <v>369934.88</v>
      </c>
      <c r="CR18" s="15" t="n">
        <v>587808.4300000001</v>
      </c>
      <c r="CS18" s="15" t="n">
        <v>194674.89</v>
      </c>
      <c r="CT18" s="15" t="n">
        <v>2349865.42</v>
      </c>
      <c r="CU18" s="15" t="n">
        <v>798774.39</v>
      </c>
      <c r="CV18" s="15" t="n">
        <v>1531781.09</v>
      </c>
      <c r="CW18" s="15" t="n">
        <v>310859.75</v>
      </c>
      <c r="CX18" s="15" t="n">
        <v>1161200.9</v>
      </c>
      <c r="CY18" s="15" t="n">
        <v>325006.43</v>
      </c>
      <c r="CZ18" s="15" t="n">
        <v>2128396.13</v>
      </c>
      <c r="DA18" s="15" t="n">
        <v>2045770.23</v>
      </c>
      <c r="DB18" s="15" t="n">
        <v>734565.75</v>
      </c>
      <c r="DC18" s="15" t="n">
        <v>277757.17</v>
      </c>
      <c r="DD18" s="15" t="n">
        <v>115548.83</v>
      </c>
      <c r="DE18" s="15" t="n">
        <v>629195.8100000001</v>
      </c>
      <c r="DF18" s="15" t="n">
        <v>1024437.6</v>
      </c>
      <c r="DG18" s="15" t="n">
        <v>1928278.49</v>
      </c>
      <c r="DH18" s="15" t="n">
        <v>313195.33</v>
      </c>
      <c r="DI18" s="15" t="n">
        <v>322957.44</v>
      </c>
      <c r="DJ18" s="15" t="n">
        <v>873927.33</v>
      </c>
      <c r="DK18" s="15" t="n">
        <v>2946119.99</v>
      </c>
      <c r="DL18" s="15" t="n">
        <v>145456.19</v>
      </c>
      <c r="DM18" s="15" t="n">
        <v>2082571.66</v>
      </c>
      <c r="DN18" s="15" t="n">
        <v>447867.06</v>
      </c>
      <c r="DO18" s="15" t="n">
        <v>118495.43</v>
      </c>
      <c r="DP18" s="15" t="n">
        <v>632555.8199999999</v>
      </c>
    </row>
    <row r="19">
      <c r="A19" s="4" t="inlineStr">
        <is>
          <t>团餐</t>
        </is>
      </c>
      <c r="B19" s="15" t="n">
        <v>1333113.32</v>
      </c>
      <c r="C19" s="15" t="n">
        <v>240630.34</v>
      </c>
      <c r="D19" s="15" t="n">
        <v>1395076.03</v>
      </c>
      <c r="E19" s="15" t="n">
        <v>137692.05</v>
      </c>
      <c r="F19" s="15" t="n">
        <v>952071.29</v>
      </c>
      <c r="G19" s="15" t="n">
        <v>2875061.73</v>
      </c>
      <c r="H19" s="15" t="n">
        <v>2360192.18</v>
      </c>
      <c r="I19" s="15" t="n">
        <v>490988.55</v>
      </c>
      <c r="J19" s="15" t="n">
        <v>1379326.89</v>
      </c>
      <c r="K19" s="15" t="n">
        <v>284855.38</v>
      </c>
      <c r="L19" s="15" t="n">
        <v>148994.9</v>
      </c>
      <c r="M19" s="15" t="n">
        <v>527832.14</v>
      </c>
      <c r="N19" s="15" t="n">
        <v>772419.28</v>
      </c>
      <c r="O19" s="15" t="n">
        <v>1655366.52</v>
      </c>
      <c r="P19" s="15" t="n">
        <v>669027.53</v>
      </c>
      <c r="Q19" s="15" t="n">
        <v>215101.68</v>
      </c>
      <c r="R19" s="15" t="n">
        <v>294686.1</v>
      </c>
      <c r="S19" s="15" t="n">
        <v>2976883.11</v>
      </c>
      <c r="T19" s="15" t="n">
        <v>1377197.06</v>
      </c>
      <c r="U19" s="15" t="n">
        <v>307587.45</v>
      </c>
      <c r="V19" s="15" t="n">
        <v>54886.93</v>
      </c>
      <c r="W19" s="15" t="n">
        <v>290531.7</v>
      </c>
      <c r="X19" s="15" t="n">
        <v>254238.54</v>
      </c>
      <c r="Y19" s="15" t="n">
        <v>2749024.37</v>
      </c>
      <c r="Z19" s="15" t="n">
        <v>2637586.69</v>
      </c>
      <c r="AA19" s="15" t="n">
        <v>200393.72</v>
      </c>
      <c r="AB19" s="15" t="n">
        <v>1140790.26</v>
      </c>
      <c r="AC19" s="15" t="n">
        <v>221394.24</v>
      </c>
      <c r="AD19" s="15" t="n">
        <v>-115423.07</v>
      </c>
      <c r="AE19" s="15" t="n">
        <v>1055173.25</v>
      </c>
      <c r="AF19" s="15" t="n">
        <v>275622.05</v>
      </c>
      <c r="AG19" s="15" t="n">
        <v>568633.01</v>
      </c>
      <c r="AH19" s="15" t="n">
        <v>466542.17</v>
      </c>
      <c r="AI19" s="15" t="n">
        <v>311678.25</v>
      </c>
      <c r="AJ19" s="15" t="n">
        <v>823830.79</v>
      </c>
      <c r="AK19" s="15" t="n">
        <v>767312.1</v>
      </c>
      <c r="AL19" s="15" t="n">
        <v>1713258.62</v>
      </c>
      <c r="AM19" s="15" t="n">
        <v>1844817.36</v>
      </c>
      <c r="AN19" s="15" t="n">
        <v>26316.89</v>
      </c>
      <c r="AO19" s="15" t="n">
        <v>196941.62</v>
      </c>
      <c r="AP19" s="15" t="n">
        <v>890254.63</v>
      </c>
      <c r="AQ19" s="15" t="n">
        <v>2258894.73</v>
      </c>
      <c r="AR19" s="15" t="n">
        <v>838550.52</v>
      </c>
      <c r="AS19" s="15" t="n">
        <v>1695710.61</v>
      </c>
      <c r="AT19" s="15" t="n">
        <v>99849.35000000001</v>
      </c>
      <c r="AU19" s="15" t="n">
        <v>234434.45</v>
      </c>
      <c r="AV19" s="15" t="n">
        <v>574752.61</v>
      </c>
      <c r="AW19" s="15" t="n">
        <v>947751</v>
      </c>
      <c r="AX19" s="15" t="n">
        <v>1670032.09</v>
      </c>
      <c r="AY19" s="15" t="n">
        <v>2378488.27</v>
      </c>
      <c r="AZ19" s="15" t="n">
        <v>385527</v>
      </c>
      <c r="BA19" s="15" t="n">
        <v>372197.85</v>
      </c>
      <c r="BB19" s="15" t="n">
        <v>-115113.42</v>
      </c>
      <c r="BC19" s="15" t="n">
        <v>2092238.39</v>
      </c>
      <c r="BD19" s="15" t="n">
        <v>455897.12</v>
      </c>
      <c r="BE19" s="15" t="n">
        <v>1135616.79</v>
      </c>
      <c r="BF19" s="15" t="n">
        <v>1328271.69</v>
      </c>
      <c r="BG19" s="15" t="n">
        <v>300702.84</v>
      </c>
      <c r="BH19" s="15" t="n">
        <v>439537.14</v>
      </c>
      <c r="BI19" s="15" t="n">
        <v>413096.79</v>
      </c>
      <c r="BJ19" s="15" t="n">
        <v>801029.77</v>
      </c>
      <c r="BK19" s="15" t="n">
        <v>1703252.17</v>
      </c>
      <c r="BL19" s="15" t="n">
        <v>1400137.11</v>
      </c>
      <c r="BM19" s="15" t="n">
        <v>74489.86</v>
      </c>
      <c r="BN19" s="15" t="n">
        <v>1061990.82</v>
      </c>
      <c r="BO19" s="15" t="n">
        <v>2681538.39</v>
      </c>
      <c r="BP19" s="15" t="n">
        <v>957981.1</v>
      </c>
      <c r="BQ19" s="15" t="n">
        <v>547022.66</v>
      </c>
      <c r="BR19" s="15" t="n">
        <v>1459279.98</v>
      </c>
      <c r="BS19" s="15" t="n">
        <v>329344.55</v>
      </c>
      <c r="BT19" s="15" t="n">
        <v>852996.0699999999</v>
      </c>
      <c r="BU19" s="15" t="n">
        <v>354188.4</v>
      </c>
      <c r="BV19" s="15" t="n">
        <v>2596419.71</v>
      </c>
      <c r="BW19" s="15" t="n">
        <v>2039790.86</v>
      </c>
      <c r="BX19" s="15" t="n">
        <v>608593.4399999999</v>
      </c>
      <c r="BY19" s="15" t="n">
        <v>215440.96</v>
      </c>
      <c r="BZ19" s="15" t="n">
        <v>457458.15</v>
      </c>
      <c r="CA19" s="15" t="n">
        <v>1961688.07</v>
      </c>
      <c r="CB19" s="15" t="n">
        <v>1549904.91</v>
      </c>
      <c r="CC19" s="15" t="n">
        <v>882033.24</v>
      </c>
      <c r="CD19" s="15" t="n">
        <v>165519.7</v>
      </c>
      <c r="CE19" s="15" t="n">
        <v>381121.18</v>
      </c>
      <c r="CF19" s="15" t="n">
        <v>161986.36</v>
      </c>
      <c r="CG19" s="15" t="n">
        <v>2226028.01</v>
      </c>
      <c r="CH19" s="15" t="n">
        <v>2286193.38</v>
      </c>
      <c r="CI19" s="15" t="n">
        <v>119798.58</v>
      </c>
      <c r="CJ19" s="15" t="n">
        <v>1127088.72</v>
      </c>
      <c r="CK19" s="15" t="n">
        <v>392564.44</v>
      </c>
      <c r="CL19" s="15" t="n">
        <v>772458.5</v>
      </c>
      <c r="CM19" s="15" t="n">
        <v>2325397.4</v>
      </c>
      <c r="CN19" s="15" t="n">
        <v>3578521.45</v>
      </c>
      <c r="CO19" s="15" t="n">
        <v>1434884.85</v>
      </c>
      <c r="CP19" s="15" t="n">
        <v>1242731.88</v>
      </c>
      <c r="CQ19" s="15" t="n">
        <v>245777.64</v>
      </c>
      <c r="CR19" s="15" t="n">
        <v>585546.87</v>
      </c>
      <c r="CS19" s="15" t="n">
        <v>839685.6</v>
      </c>
      <c r="CT19" s="15" t="n">
        <v>2629803.34</v>
      </c>
      <c r="CU19" s="15" t="n">
        <v>1196072.58</v>
      </c>
      <c r="CV19" s="15" t="n">
        <v>351621.65</v>
      </c>
      <c r="CW19" s="15" t="n">
        <v>356630.88</v>
      </c>
      <c r="CX19" s="15" t="n">
        <v>231030.48</v>
      </c>
      <c r="CY19" s="15" t="n">
        <v>1630644.15</v>
      </c>
      <c r="CZ19" s="15" t="n">
        <v>2114998.14</v>
      </c>
      <c r="DA19" s="15" t="n">
        <v>1725887.97</v>
      </c>
      <c r="DB19" s="15" t="n">
        <v>424196.8</v>
      </c>
      <c r="DC19" s="15" t="n">
        <v>125591.18</v>
      </c>
      <c r="DD19" s="15" t="n">
        <v>364561.64</v>
      </c>
      <c r="DE19" s="15" t="n">
        <v>2272394.28</v>
      </c>
      <c r="DF19" s="15" t="n">
        <v>3221618.77</v>
      </c>
      <c r="DG19" s="15" t="n">
        <v>744227.95</v>
      </c>
      <c r="DH19" s="15" t="n">
        <v>1588541.72</v>
      </c>
      <c r="DI19" s="15" t="n">
        <v>147137.76</v>
      </c>
      <c r="DJ19" s="15" t="n">
        <v>42969.2</v>
      </c>
      <c r="DK19" s="15" t="n">
        <v>2384799.34</v>
      </c>
      <c r="DL19" s="15" t="n">
        <v>2318060.81</v>
      </c>
      <c r="DM19" s="15" t="n">
        <v>2238642.72</v>
      </c>
      <c r="DN19" s="15" t="n">
        <v>599875.59</v>
      </c>
      <c r="DO19" s="15" t="n">
        <v>16410.07</v>
      </c>
      <c r="DP19" s="15" t="n">
        <v>516549.65</v>
      </c>
    </row>
    <row r="20">
      <c r="A20" s="4" t="inlineStr">
        <is>
          <t>预制菜</t>
        </is>
      </c>
      <c r="B20" s="15" t="n">
        <v>3766748.17</v>
      </c>
      <c r="C20" s="15" t="n">
        <v>946928.66</v>
      </c>
      <c r="D20" s="15" t="n">
        <v>599975.17</v>
      </c>
      <c r="E20" s="15" t="n">
        <v>234007.33</v>
      </c>
      <c r="F20" s="15" t="n">
        <v>373062.33</v>
      </c>
      <c r="G20" s="15" t="n">
        <v>2790276.81</v>
      </c>
      <c r="H20" s="15" t="n">
        <v>1918377.52</v>
      </c>
      <c r="I20" s="15" t="n">
        <v>2119491.59</v>
      </c>
      <c r="J20" s="15" t="n">
        <v>523415.26</v>
      </c>
      <c r="K20" s="15" t="n">
        <v>65704.32000000001</v>
      </c>
      <c r="L20" s="15" t="n">
        <v>1120837.12</v>
      </c>
      <c r="M20" s="15" t="n">
        <v>635654.54</v>
      </c>
      <c r="N20" s="15" t="n">
        <v>513785.03</v>
      </c>
      <c r="O20" s="15" t="n">
        <v>1604172.68</v>
      </c>
      <c r="P20" s="15" t="n">
        <v>269622.45</v>
      </c>
      <c r="Q20" s="15" t="n">
        <v>18219.18</v>
      </c>
      <c r="R20" s="15" t="n">
        <v>14991.76</v>
      </c>
      <c r="S20" s="15" t="n">
        <v>2987761.82</v>
      </c>
      <c r="T20" s="15" t="n">
        <v>2555793.42</v>
      </c>
      <c r="U20" s="15" t="n">
        <v>948874.77</v>
      </c>
      <c r="V20" s="15" t="n">
        <v>1187553.11</v>
      </c>
      <c r="W20" s="15" t="n">
        <v>384107.07</v>
      </c>
      <c r="X20" s="15" t="n">
        <v>4942.23</v>
      </c>
      <c r="Y20" s="15" t="n">
        <v>1431640.96</v>
      </c>
      <c r="Z20" s="15" t="n">
        <v>3454104.62</v>
      </c>
      <c r="AA20" s="15" t="n">
        <v>94963.25</v>
      </c>
      <c r="AB20" s="15" t="n">
        <v>202183.55</v>
      </c>
      <c r="AC20" s="15" t="n">
        <v>396024.86</v>
      </c>
      <c r="AD20" s="15" t="n">
        <v>1045165.57</v>
      </c>
      <c r="AE20" s="15" t="n">
        <v>2535003.2</v>
      </c>
      <c r="AF20" s="15" t="n">
        <v>1789140.78</v>
      </c>
      <c r="AG20" s="15" t="n">
        <v>55591.71</v>
      </c>
      <c r="AH20" s="15" t="n">
        <v>1044575.26</v>
      </c>
      <c r="AI20" s="15" t="n">
        <v>239110.37</v>
      </c>
      <c r="AJ20" s="15" t="n">
        <v>988271.04</v>
      </c>
      <c r="AK20" s="15" t="n">
        <v>74938.89</v>
      </c>
      <c r="AL20" s="15" t="n">
        <v>2258528.84</v>
      </c>
      <c r="AM20" s="15" t="n">
        <v>1585456.55</v>
      </c>
      <c r="AN20" s="15" t="n">
        <v>93550.48</v>
      </c>
      <c r="AO20" s="15" t="n">
        <v>349964.07</v>
      </c>
      <c r="AP20" s="15" t="n">
        <v>1192742.6</v>
      </c>
      <c r="AQ20" s="15" t="n">
        <v>1630727.23</v>
      </c>
      <c r="AR20" s="15" t="n">
        <v>1672368.04</v>
      </c>
      <c r="AS20" s="15" t="n">
        <v>443344.01</v>
      </c>
      <c r="AT20" s="15" t="n">
        <v>54211.16</v>
      </c>
      <c r="AU20" s="15" t="n">
        <v>372194.15</v>
      </c>
      <c r="AV20" s="15" t="n">
        <v>931082.2</v>
      </c>
      <c r="AW20" s="15" t="n">
        <v>2155644.34</v>
      </c>
      <c r="AX20" s="15" t="n">
        <v>2133620.61</v>
      </c>
      <c r="AY20" s="15" t="n">
        <v>1141536.82</v>
      </c>
      <c r="AZ20" s="15" t="n">
        <v>793660.84</v>
      </c>
      <c r="BA20" s="15" t="n">
        <v>202339.46</v>
      </c>
      <c r="BB20" s="15" t="n">
        <v>-92336.60000000001</v>
      </c>
      <c r="BC20" s="15" t="n">
        <v>934334.77</v>
      </c>
      <c r="BD20" s="15" t="n">
        <v>2387584.75</v>
      </c>
      <c r="BE20" s="15" t="n">
        <v>363477.67</v>
      </c>
      <c r="BF20" s="15" t="n">
        <v>626944.3199999999</v>
      </c>
      <c r="BG20" s="15" t="n">
        <v>58741.33</v>
      </c>
      <c r="BH20" s="15" t="n">
        <v>1144033.3</v>
      </c>
      <c r="BI20" s="15" t="n">
        <v>393848.31</v>
      </c>
      <c r="BJ20" s="15" t="n">
        <v>1396538.09</v>
      </c>
      <c r="BK20" s="15" t="n">
        <v>1570871.89</v>
      </c>
      <c r="BL20" s="15" t="n">
        <v>1240286.76</v>
      </c>
      <c r="BM20" s="15" t="n">
        <v>243160.01</v>
      </c>
      <c r="BN20" s="15" t="n">
        <v>385675.81</v>
      </c>
      <c r="BO20" s="15" t="n">
        <v>1425068.28</v>
      </c>
      <c r="BP20" s="15" t="n">
        <v>3859430.68</v>
      </c>
      <c r="BQ20" s="15" t="n">
        <v>1105454.83</v>
      </c>
      <c r="BR20" s="15" t="n">
        <v>1023012.02</v>
      </c>
      <c r="BS20" s="15" t="n">
        <v>385007.99</v>
      </c>
      <c r="BT20" s="15" t="n">
        <v>332343.09</v>
      </c>
      <c r="BU20" s="15" t="n">
        <v>2244661.63</v>
      </c>
      <c r="BV20" s="15" t="n">
        <v>2286688.52</v>
      </c>
      <c r="BW20" s="15" t="n">
        <v>311585.28</v>
      </c>
      <c r="BX20" s="15" t="n">
        <v>955062.1</v>
      </c>
      <c r="BY20" s="15" t="n">
        <v>73557.53999999999</v>
      </c>
      <c r="BZ20" s="15" t="n">
        <v>-109790.38</v>
      </c>
      <c r="CA20" s="15" t="n">
        <v>2777645.7</v>
      </c>
      <c r="CB20" s="15" t="n">
        <v>3614188.74</v>
      </c>
      <c r="CC20" s="15" t="n">
        <v>330537.41</v>
      </c>
      <c r="CD20" s="15" t="n">
        <v>340169.22</v>
      </c>
      <c r="CE20" s="15" t="n">
        <v>165297.14</v>
      </c>
      <c r="CF20" s="15" t="n">
        <v>1003456.62</v>
      </c>
      <c r="CG20" s="15" t="n">
        <v>2351188.02</v>
      </c>
      <c r="CH20" s="15" t="n">
        <v>2310220.06</v>
      </c>
      <c r="CI20" s="15" t="n">
        <v>1785016.36</v>
      </c>
      <c r="CJ20" s="15" t="n">
        <v>743948.85</v>
      </c>
      <c r="CK20" s="15" t="n">
        <v>118665.16</v>
      </c>
      <c r="CL20" s="15" t="n">
        <v>561679.6899999999</v>
      </c>
      <c r="CM20" s="15" t="n">
        <v>2165806.97</v>
      </c>
      <c r="CN20" s="15" t="n">
        <v>764855.52</v>
      </c>
      <c r="CO20" s="15" t="n">
        <v>153566.65</v>
      </c>
      <c r="CP20" s="15" t="n">
        <v>801646.74</v>
      </c>
      <c r="CQ20" s="15" t="n">
        <v>49489.53</v>
      </c>
      <c r="CR20" s="15" t="n">
        <v>475086.8</v>
      </c>
      <c r="CS20" s="15" t="n">
        <v>897184.49</v>
      </c>
      <c r="CT20" s="15" t="n">
        <v>3257056.47</v>
      </c>
      <c r="CU20" s="15" t="n">
        <v>1282661.74</v>
      </c>
      <c r="CV20" s="15" t="n">
        <v>1028116.09</v>
      </c>
      <c r="CW20" s="15" t="n">
        <v>82141.60000000001</v>
      </c>
      <c r="CX20" s="15" t="n">
        <v>576222.25</v>
      </c>
      <c r="CY20" s="15" t="n">
        <v>1791925.74</v>
      </c>
      <c r="CZ20" s="15" t="n">
        <v>2944825.65</v>
      </c>
      <c r="DA20" s="15" t="n">
        <v>1200631.42</v>
      </c>
      <c r="DB20" s="15" t="n">
        <v>802673.85</v>
      </c>
      <c r="DC20" s="15" t="n">
        <v>207760.07</v>
      </c>
      <c r="DD20" s="15" t="n">
        <v>1123666.35</v>
      </c>
      <c r="DE20" s="15" t="n">
        <v>948831.71</v>
      </c>
      <c r="DF20" s="15" t="n">
        <v>1848417.19</v>
      </c>
      <c r="DG20" s="15" t="n">
        <v>609558.97</v>
      </c>
      <c r="DH20" s="15" t="n">
        <v>1383493.18</v>
      </c>
      <c r="DI20" s="15" t="n">
        <v>248773.75</v>
      </c>
      <c r="DJ20" s="15" t="n">
        <v>687213.9399999999</v>
      </c>
      <c r="DK20" s="15" t="n">
        <v>2190503.11</v>
      </c>
      <c r="DL20" s="15" t="n">
        <v>1385722.14</v>
      </c>
      <c r="DM20" s="15" t="n">
        <v>1341755.49</v>
      </c>
      <c r="DN20" s="15" t="n">
        <v>358397.68</v>
      </c>
      <c r="DO20" s="15" t="n">
        <v>100197.06</v>
      </c>
      <c r="DP20" s="15" t="n">
        <v>365814.88</v>
      </c>
    </row>
    <row r="21">
      <c r="A21" s="4" t="inlineStr">
        <is>
          <t>其他产品A</t>
        </is>
      </c>
      <c r="B21" s="15" t="n">
        <v>2348460.44</v>
      </c>
      <c r="C21" s="15" t="n">
        <v>1152677.43</v>
      </c>
      <c r="D21" s="15" t="n">
        <v>212726.05</v>
      </c>
      <c r="E21" s="15" t="n">
        <v>145461.83</v>
      </c>
      <c r="F21" s="15" t="n">
        <v>891308.9300000001</v>
      </c>
      <c r="G21" s="15" t="n">
        <v>2705620.25</v>
      </c>
      <c r="H21" s="15" t="n">
        <v>2477605.47</v>
      </c>
      <c r="I21" s="15" t="n">
        <v>192840.87</v>
      </c>
      <c r="J21" s="15" t="n">
        <v>617866.38</v>
      </c>
      <c r="K21" s="15" t="n">
        <v>107635.7</v>
      </c>
      <c r="L21" s="15" t="n">
        <v>710960.36</v>
      </c>
      <c r="M21" s="15" t="n">
        <v>450006.2</v>
      </c>
      <c r="N21" s="15" t="n">
        <v>1575572.66</v>
      </c>
      <c r="O21" s="15" t="n">
        <v>1202602.68</v>
      </c>
      <c r="P21" s="15" t="n">
        <v>930491.78</v>
      </c>
      <c r="Q21" s="15" t="n">
        <v>230890.14</v>
      </c>
      <c r="R21" s="15" t="n">
        <v>1148543.58</v>
      </c>
      <c r="S21" s="15" t="n">
        <v>1867814.7</v>
      </c>
      <c r="T21" s="15" t="n">
        <v>906409.96</v>
      </c>
      <c r="U21" s="15" t="n">
        <v>610070.36</v>
      </c>
      <c r="V21" s="15" t="n">
        <v>75513.60000000001</v>
      </c>
      <c r="W21" s="15" t="n">
        <v>253828.53</v>
      </c>
      <c r="X21" s="15" t="n">
        <v>173629.33</v>
      </c>
      <c r="Y21" s="15" t="n">
        <v>1804834.53</v>
      </c>
      <c r="Z21" s="15" t="n">
        <v>2262700.61</v>
      </c>
      <c r="AA21" s="15" t="n">
        <v>141152.26</v>
      </c>
      <c r="AB21" s="15" t="n">
        <v>1031968.26</v>
      </c>
      <c r="AC21" s="15" t="n">
        <v>215904.8</v>
      </c>
      <c r="AD21" s="15" t="n">
        <v>541215.45</v>
      </c>
      <c r="AE21" s="15" t="n">
        <v>2378505.07</v>
      </c>
      <c r="AF21" s="15" t="n">
        <v>3149075.05</v>
      </c>
      <c r="AG21" s="15" t="n">
        <v>927438.78</v>
      </c>
      <c r="AH21" s="15" t="n">
        <v>388908.03</v>
      </c>
      <c r="AI21" s="15" t="n">
        <v>338496.24</v>
      </c>
      <c r="AJ21" s="15" t="n">
        <v>81992.99000000001</v>
      </c>
      <c r="AK21" s="15" t="n">
        <v>2226416.06</v>
      </c>
      <c r="AL21" s="15" t="n">
        <v>288792.08</v>
      </c>
      <c r="AM21" s="15" t="n">
        <v>1455020.3</v>
      </c>
      <c r="AN21" s="15" t="n">
        <v>454397.03</v>
      </c>
      <c r="AO21" s="15" t="n">
        <v>223153.35</v>
      </c>
      <c r="AP21" s="15" t="n">
        <v>507705.18</v>
      </c>
      <c r="AQ21" s="15" t="n">
        <v>1569450.87</v>
      </c>
      <c r="AR21" s="15" t="n">
        <v>565649.14</v>
      </c>
      <c r="AS21" s="15" t="n">
        <v>486169.5</v>
      </c>
      <c r="AT21" s="15" t="n">
        <v>265707.46</v>
      </c>
      <c r="AU21" s="15" t="n">
        <v>239628.99</v>
      </c>
      <c r="AV21" s="15" t="n">
        <v>743656.53</v>
      </c>
      <c r="AW21" s="15" t="n">
        <v>681691.22</v>
      </c>
      <c r="AX21" s="15" t="n">
        <v>3004353.68</v>
      </c>
      <c r="AY21" s="15" t="n">
        <v>335462.63</v>
      </c>
      <c r="AZ21" s="15" t="n">
        <v>381521.1</v>
      </c>
      <c r="BA21" s="15" t="n">
        <v>389633.36</v>
      </c>
      <c r="BB21" s="15" t="n">
        <v>928875.24</v>
      </c>
      <c r="BC21" s="15" t="n">
        <v>495027.19</v>
      </c>
      <c r="BD21" s="15" t="n">
        <v>946430.96</v>
      </c>
      <c r="BE21" s="15" t="n">
        <v>1084047.05</v>
      </c>
      <c r="BF21" s="15" t="n">
        <v>744782.63</v>
      </c>
      <c r="BG21" s="15" t="n">
        <v>177148.57</v>
      </c>
      <c r="BH21" s="15" t="n">
        <v>1071705.01</v>
      </c>
      <c r="BI21" s="15" t="n">
        <v>89322.84</v>
      </c>
      <c r="BJ21" s="15" t="n">
        <v>1037636.71</v>
      </c>
      <c r="BK21" s="15" t="n">
        <v>1579205.24</v>
      </c>
      <c r="BL21" s="15" t="n">
        <v>1102085.59</v>
      </c>
      <c r="BM21" s="15" t="n">
        <v>325957.53</v>
      </c>
      <c r="BN21" s="15" t="n">
        <v>437552.83</v>
      </c>
      <c r="BO21" s="15" t="n">
        <v>2687257.04</v>
      </c>
      <c r="BP21" s="15" t="n">
        <v>2605147.3</v>
      </c>
      <c r="BQ21" s="15" t="n">
        <v>178491.15</v>
      </c>
      <c r="BR21" s="15" t="n">
        <v>531840.33</v>
      </c>
      <c r="BS21" s="15" t="n">
        <v>197083.37</v>
      </c>
      <c r="BT21" s="15" t="n">
        <v>737826.76</v>
      </c>
      <c r="BU21" s="15" t="n">
        <v>2336880.42</v>
      </c>
      <c r="BV21" s="15" t="n">
        <v>3141420.82</v>
      </c>
      <c r="BW21" s="15" t="n">
        <v>1371103.29</v>
      </c>
      <c r="BX21" s="15" t="n">
        <v>742549.34</v>
      </c>
      <c r="BY21" s="15" t="n">
        <v>87905.28</v>
      </c>
      <c r="BZ21" s="15" t="n">
        <v>1083894.5</v>
      </c>
      <c r="CA21" s="15" t="n">
        <v>2162979.15</v>
      </c>
      <c r="CB21" s="15" t="n">
        <v>909797.01</v>
      </c>
      <c r="CC21" s="15" t="n">
        <v>1555018.22</v>
      </c>
      <c r="CD21" s="15" t="n">
        <v>342931.02</v>
      </c>
      <c r="CE21" s="15" t="n">
        <v>105072.95</v>
      </c>
      <c r="CF21" s="15" t="n">
        <v>1097989.73</v>
      </c>
      <c r="CG21" s="15" t="n">
        <v>303877.08</v>
      </c>
      <c r="CH21" s="15" t="n">
        <v>2784541.85</v>
      </c>
      <c r="CI21" s="15" t="n">
        <v>1212131.11</v>
      </c>
      <c r="CJ21" s="15" t="n">
        <v>66145.63</v>
      </c>
      <c r="CK21" s="15" t="n">
        <v>238343.31</v>
      </c>
      <c r="CL21" s="15" t="n">
        <v>1063906.95</v>
      </c>
      <c r="CM21" s="15" t="n">
        <v>1504763.89</v>
      </c>
      <c r="CN21" s="15" t="n">
        <v>276642.22</v>
      </c>
      <c r="CO21" s="15" t="n">
        <v>686977.03</v>
      </c>
      <c r="CP21" s="15" t="n">
        <v>70868.87</v>
      </c>
      <c r="CQ21" s="15" t="n">
        <v>316589.33</v>
      </c>
      <c r="CR21" s="15" t="n">
        <v>357527.74</v>
      </c>
      <c r="CS21" s="15" t="n">
        <v>2264937.26</v>
      </c>
      <c r="CT21" s="15" t="n">
        <v>1542786.68</v>
      </c>
      <c r="CU21" s="15" t="n">
        <v>1561869.67</v>
      </c>
      <c r="CV21" s="15" t="n">
        <v>1587029.14</v>
      </c>
      <c r="CW21" s="15" t="n">
        <v>81089.7</v>
      </c>
      <c r="CX21" s="15" t="n">
        <v>672063.39</v>
      </c>
      <c r="CY21" s="15" t="n">
        <v>682040.1800000001</v>
      </c>
      <c r="CZ21" s="15" t="n">
        <v>2340342.19</v>
      </c>
      <c r="DA21" s="15" t="n">
        <v>1005115</v>
      </c>
      <c r="DB21" s="15" t="n">
        <v>614066.8</v>
      </c>
      <c r="DC21" s="15" t="n">
        <v>332099.19</v>
      </c>
      <c r="DD21" s="15" t="n">
        <v>466432.16</v>
      </c>
      <c r="DE21" s="15" t="n">
        <v>78939.42999999999</v>
      </c>
      <c r="DF21" s="15" t="n">
        <v>2121748.47</v>
      </c>
      <c r="DG21" s="15" t="n">
        <v>789875.74</v>
      </c>
      <c r="DH21" s="15" t="n">
        <v>42251.17</v>
      </c>
      <c r="DI21" s="15" t="n">
        <v>232470.98</v>
      </c>
      <c r="DJ21" s="15" t="n">
        <v>210295.5</v>
      </c>
      <c r="DK21" s="15" t="n">
        <v>2491297.63</v>
      </c>
      <c r="DL21" s="15" t="n">
        <v>2350502.1</v>
      </c>
      <c r="DM21" s="15" t="n">
        <v>2202125.32</v>
      </c>
      <c r="DN21" s="15" t="n">
        <v>437379.58</v>
      </c>
      <c r="DO21" s="15" t="n">
        <v>49612.81</v>
      </c>
      <c r="DP21" s="15" t="n">
        <v>908755.16</v>
      </c>
    </row>
    <row r="22">
      <c r="A22" s="4" t="inlineStr">
        <is>
          <t>其他产品B</t>
        </is>
      </c>
      <c r="B22" s="15" t="n">
        <v>344438.85</v>
      </c>
      <c r="C22" s="15" t="n">
        <v>753228.28</v>
      </c>
      <c r="D22" s="15" t="n">
        <v>1375242.21</v>
      </c>
      <c r="E22" s="15" t="n">
        <v>313572.55</v>
      </c>
      <c r="F22" s="15" t="n">
        <v>646486.25</v>
      </c>
      <c r="G22" s="15" t="n">
        <v>880747.84</v>
      </c>
      <c r="H22" s="15" t="n">
        <v>836369.45</v>
      </c>
      <c r="I22" s="15" t="n">
        <v>702808.8100000001</v>
      </c>
      <c r="J22" s="15" t="n">
        <v>941905.5</v>
      </c>
      <c r="K22" s="15" t="n">
        <v>52974.98</v>
      </c>
      <c r="L22" s="15" t="n">
        <v>1142504.75</v>
      </c>
      <c r="M22" s="15" t="n">
        <v>398938.04</v>
      </c>
      <c r="N22" s="15" t="n">
        <v>2136320.25</v>
      </c>
      <c r="O22" s="15" t="n">
        <v>215000.48</v>
      </c>
      <c r="P22" s="15" t="n">
        <v>880384.85</v>
      </c>
      <c r="Q22" s="15" t="n">
        <v>259026.85</v>
      </c>
      <c r="R22" s="15" t="n">
        <v>405296.15</v>
      </c>
      <c r="S22" s="15" t="n">
        <v>2866487.72</v>
      </c>
      <c r="T22" s="15" t="n">
        <v>2520010.89</v>
      </c>
      <c r="U22" s="15" t="n">
        <v>315244.42</v>
      </c>
      <c r="V22" s="15" t="n">
        <v>1535666.17</v>
      </c>
      <c r="W22" s="15" t="n">
        <v>306963.05</v>
      </c>
      <c r="X22" s="15" t="n">
        <v>1013217.21</v>
      </c>
      <c r="Y22" s="15" t="n">
        <v>1902397.39</v>
      </c>
      <c r="Z22" s="15" t="n">
        <v>1529266.83</v>
      </c>
      <c r="AA22" s="15" t="n">
        <v>2332099.19</v>
      </c>
      <c r="AB22" s="15" t="n">
        <v>524399.88</v>
      </c>
      <c r="AC22" s="15" t="n">
        <v>215238.39</v>
      </c>
      <c r="AD22" s="15" t="n">
        <v>923341.45</v>
      </c>
      <c r="AE22" s="15" t="n">
        <v>2847949.34</v>
      </c>
      <c r="AF22" s="15" t="n">
        <v>384050.48</v>
      </c>
      <c r="AG22" s="15" t="n">
        <v>257686.72</v>
      </c>
      <c r="AH22" s="15" t="n">
        <v>1151157.07</v>
      </c>
      <c r="AI22" s="15" t="n">
        <v>22732.82</v>
      </c>
      <c r="AJ22" s="15" t="n">
        <v>96566.94</v>
      </c>
      <c r="AK22" s="15" t="n">
        <v>1500462.26</v>
      </c>
      <c r="AL22" s="15" t="n">
        <v>1630836.66</v>
      </c>
      <c r="AM22" s="15" t="n">
        <v>1560396.4</v>
      </c>
      <c r="AN22" s="15" t="n">
        <v>1395108.76</v>
      </c>
      <c r="AO22" s="15" t="n">
        <v>336149.51</v>
      </c>
      <c r="AP22" s="15" t="n">
        <v>229357.6</v>
      </c>
      <c r="AQ22" s="15" t="n">
        <v>2989954.28</v>
      </c>
      <c r="AR22" s="15" t="n">
        <v>2773495.21</v>
      </c>
      <c r="AS22" s="15" t="n">
        <v>951987.12</v>
      </c>
      <c r="AT22" s="15" t="n">
        <v>494190.49</v>
      </c>
      <c r="AU22" s="15" t="n">
        <v>376796.53</v>
      </c>
      <c r="AV22" s="15" t="n">
        <v>1075684.41</v>
      </c>
      <c r="AW22" s="15" t="n">
        <v>954098.23</v>
      </c>
      <c r="AX22" s="15" t="n">
        <v>3957439.48</v>
      </c>
      <c r="AY22" s="15" t="n">
        <v>55635.75</v>
      </c>
      <c r="AZ22" s="15" t="n">
        <v>297744.03</v>
      </c>
      <c r="BA22" s="15" t="n">
        <v>56388.73</v>
      </c>
      <c r="BB22" s="15" t="n">
        <v>153500.23</v>
      </c>
      <c r="BC22" s="15" t="n">
        <v>2287576.97</v>
      </c>
      <c r="BD22" s="15" t="n">
        <v>3188743.1</v>
      </c>
      <c r="BE22" s="15" t="n">
        <v>1513257.24</v>
      </c>
      <c r="BF22" s="15" t="n">
        <v>1118094.22</v>
      </c>
      <c r="BG22" s="15" t="n">
        <v>64481.72</v>
      </c>
      <c r="BH22" s="15" t="n">
        <v>179943.66</v>
      </c>
      <c r="BI22" s="15" t="n">
        <v>956163.11</v>
      </c>
      <c r="BJ22" s="15" t="n">
        <v>2001550.4</v>
      </c>
      <c r="BK22" s="15" t="n">
        <v>2070946.9</v>
      </c>
      <c r="BL22" s="15" t="n">
        <v>1205186.77</v>
      </c>
      <c r="BM22" s="15" t="n">
        <v>104479.07</v>
      </c>
      <c r="BN22" s="15" t="n">
        <v>241341.22</v>
      </c>
      <c r="BO22" s="15" t="n">
        <v>930147.01</v>
      </c>
      <c r="BP22" s="15" t="n">
        <v>1581457.58</v>
      </c>
      <c r="BQ22" s="15" t="n">
        <v>193962.59</v>
      </c>
      <c r="BR22" s="15" t="n">
        <v>1523462.61</v>
      </c>
      <c r="BS22" s="15" t="n">
        <v>252695.22</v>
      </c>
      <c r="BT22" s="15" t="n">
        <v>303108.42</v>
      </c>
      <c r="BU22" s="15" t="n">
        <v>2968508.59</v>
      </c>
      <c r="BV22" s="15" t="n">
        <v>1931354.95</v>
      </c>
      <c r="BW22" s="15" t="n">
        <v>164629.49</v>
      </c>
      <c r="BX22" s="15" t="n">
        <v>1064593.95</v>
      </c>
      <c r="BY22" s="15" t="n">
        <v>171511.27</v>
      </c>
      <c r="BZ22" s="15" t="n">
        <v>922704.54</v>
      </c>
      <c r="CA22" s="15" t="n">
        <v>847483.65</v>
      </c>
      <c r="CB22" s="15" t="n">
        <v>2317067.34</v>
      </c>
      <c r="CC22" s="15" t="n">
        <v>2054804.04</v>
      </c>
      <c r="CD22" s="15" t="n">
        <v>137954.92</v>
      </c>
      <c r="CE22" s="15" t="n">
        <v>181066.78</v>
      </c>
      <c r="CF22" s="15" t="n">
        <v>1193489.2</v>
      </c>
      <c r="CG22" s="15" t="n">
        <v>1185027.11</v>
      </c>
      <c r="CH22" s="15" t="n">
        <v>1613437</v>
      </c>
      <c r="CI22" s="15" t="n">
        <v>841322.6</v>
      </c>
      <c r="CJ22" s="15" t="n">
        <v>134100.86</v>
      </c>
      <c r="CK22" s="15" t="n">
        <v>255903.49</v>
      </c>
      <c r="CL22" s="15" t="n">
        <v>843869.4399999999</v>
      </c>
      <c r="CM22" s="15" t="n">
        <v>2385307.18</v>
      </c>
      <c r="CN22" s="15" t="n">
        <v>81783.86</v>
      </c>
      <c r="CO22" s="15" t="n">
        <v>448914.83</v>
      </c>
      <c r="CP22" s="15" t="n">
        <v>477047.25</v>
      </c>
      <c r="CQ22" s="15" t="n">
        <v>49824.07</v>
      </c>
      <c r="CR22" s="15" t="n">
        <v>299617.29</v>
      </c>
      <c r="CS22" s="15" t="n">
        <v>275288.05</v>
      </c>
      <c r="CT22" s="15" t="n">
        <v>2097213.72</v>
      </c>
      <c r="CU22" s="15" t="n">
        <v>2177609.13</v>
      </c>
      <c r="CV22" s="15" t="n">
        <v>550496.97</v>
      </c>
      <c r="CW22" s="15" t="n">
        <v>107212.4</v>
      </c>
      <c r="CX22" s="15" t="n">
        <v>968801.48</v>
      </c>
      <c r="CY22" s="15" t="n">
        <v>1722259.05</v>
      </c>
      <c r="CZ22" s="15" t="n">
        <v>3820735.73</v>
      </c>
      <c r="DA22" s="15" t="n">
        <v>837745.3199999999</v>
      </c>
      <c r="DB22" s="15" t="n">
        <v>209004.72</v>
      </c>
      <c r="DC22" s="15" t="n">
        <v>93586.11</v>
      </c>
      <c r="DD22" s="15" t="n">
        <v>108000.04</v>
      </c>
      <c r="DE22" s="15" t="n">
        <v>1293518.2</v>
      </c>
      <c r="DF22" s="15" t="n">
        <v>2944811.45</v>
      </c>
      <c r="DG22" s="15" t="n">
        <v>77007.3</v>
      </c>
      <c r="DH22" s="15" t="n">
        <v>836335.54</v>
      </c>
      <c r="DI22" s="15" t="n">
        <v>392365.37</v>
      </c>
      <c r="DJ22" s="15" t="n">
        <v>652303.89</v>
      </c>
      <c r="DK22" s="15" t="n">
        <v>2952329.03</v>
      </c>
      <c r="DL22" s="15" t="n">
        <v>1368657.56</v>
      </c>
      <c r="DM22" s="15" t="n">
        <v>1061934.2</v>
      </c>
      <c r="DN22" s="15" t="n">
        <v>1218284.29</v>
      </c>
      <c r="DO22" s="15" t="n">
        <v>133241.83</v>
      </c>
      <c r="DP22" s="15" t="n">
        <v>-1460.95</v>
      </c>
    </row>
    <row r="23">
      <c r="A23" s="4" t="inlineStr">
        <is>
          <t>其他产品C</t>
        </is>
      </c>
      <c r="B23" s="15" t="n">
        <v>2615444.29</v>
      </c>
      <c r="C23" s="15" t="n">
        <v>280621.99</v>
      </c>
      <c r="D23" s="15" t="n">
        <v>607165.16</v>
      </c>
      <c r="E23" s="15" t="n">
        <v>193590.03</v>
      </c>
      <c r="F23" s="15" t="n">
        <v>71792.16</v>
      </c>
      <c r="G23" s="15" t="n">
        <v>250731.53</v>
      </c>
      <c r="H23" s="15" t="n">
        <v>1370437.92</v>
      </c>
      <c r="I23" s="15" t="n">
        <v>1783127.93</v>
      </c>
      <c r="J23" s="15" t="n">
        <v>497564.1</v>
      </c>
      <c r="K23" s="15" t="n">
        <v>77886.33</v>
      </c>
      <c r="L23" s="15" t="n">
        <v>-43523.68</v>
      </c>
      <c r="M23" s="15" t="n">
        <v>1898234.9</v>
      </c>
      <c r="N23" s="15" t="n">
        <v>535281.4399999999</v>
      </c>
      <c r="O23" s="15" t="n">
        <v>1660469.37</v>
      </c>
      <c r="P23" s="15" t="n">
        <v>1046249.21</v>
      </c>
      <c r="Q23" s="15" t="n">
        <v>70732.7</v>
      </c>
      <c r="R23" s="15" t="n">
        <v>632739.6899999999</v>
      </c>
      <c r="S23" s="15" t="n">
        <v>1969447.01</v>
      </c>
      <c r="T23" s="15" t="n">
        <v>2054806.5</v>
      </c>
      <c r="U23" s="15" t="n">
        <v>730534.34</v>
      </c>
      <c r="V23" s="15" t="n">
        <v>466242.03</v>
      </c>
      <c r="W23" s="15" t="n">
        <v>302423.22</v>
      </c>
      <c r="X23" s="15" t="n">
        <v>134302.79</v>
      </c>
      <c r="Y23" s="15" t="n">
        <v>1673487.42</v>
      </c>
      <c r="Z23" s="15" t="n">
        <v>1498322.73</v>
      </c>
      <c r="AA23" s="15" t="n">
        <v>1702096.59</v>
      </c>
      <c r="AB23" s="15" t="n">
        <v>1443628.31</v>
      </c>
      <c r="AC23" s="15" t="n">
        <v>235783.71</v>
      </c>
      <c r="AD23" s="15" t="n">
        <v>629463.35</v>
      </c>
      <c r="AE23" s="15" t="n">
        <v>956222.64</v>
      </c>
      <c r="AF23" s="15" t="n">
        <v>740161.09</v>
      </c>
      <c r="AG23" s="15" t="n">
        <v>804044.36</v>
      </c>
      <c r="AH23" s="15" t="n">
        <v>25062.98</v>
      </c>
      <c r="AI23" s="15" t="n">
        <v>55316.87</v>
      </c>
      <c r="AJ23" s="15" t="n">
        <v>60714.33</v>
      </c>
      <c r="AK23" s="15" t="n">
        <v>2292449.09</v>
      </c>
      <c r="AL23" s="15" t="n">
        <v>503644.73</v>
      </c>
      <c r="AM23" s="15" t="n">
        <v>758235.25</v>
      </c>
      <c r="AN23" s="15" t="n">
        <v>84046.23</v>
      </c>
      <c r="AO23" s="15" t="n">
        <v>28243.32</v>
      </c>
      <c r="AP23" s="15" t="n">
        <v>1066952.98</v>
      </c>
      <c r="AQ23" s="15" t="n">
        <v>2091744.24</v>
      </c>
      <c r="AR23" s="15" t="n">
        <v>2831216.28</v>
      </c>
      <c r="AS23" s="15" t="n">
        <v>1073095.21</v>
      </c>
      <c r="AT23" s="15" t="n">
        <v>1567833.18</v>
      </c>
      <c r="AU23" s="15" t="n">
        <v>209287.99</v>
      </c>
      <c r="AV23" s="15" t="n">
        <v>547977.88</v>
      </c>
      <c r="AW23" s="15" t="n">
        <v>1328578.11</v>
      </c>
      <c r="AX23" s="15" t="n">
        <v>2527025.96</v>
      </c>
      <c r="AY23" s="15" t="n">
        <v>1326921.47</v>
      </c>
      <c r="AZ23" s="15" t="n">
        <v>1110594.22</v>
      </c>
      <c r="BA23" s="15" t="n">
        <v>65575.21000000001</v>
      </c>
      <c r="BB23" s="15" t="n">
        <v>93800.17</v>
      </c>
      <c r="BC23" s="15" t="n">
        <v>2570573.18</v>
      </c>
      <c r="BD23" s="15" t="n">
        <v>568527.08</v>
      </c>
      <c r="BE23" s="15" t="n">
        <v>1605198.79</v>
      </c>
      <c r="BF23" s="15" t="n">
        <v>739986.42</v>
      </c>
      <c r="BG23" s="15" t="n">
        <v>269865.71</v>
      </c>
      <c r="BH23" s="15" t="n">
        <v>1131216.29</v>
      </c>
      <c r="BI23" s="15" t="n">
        <v>3048362.82</v>
      </c>
      <c r="BJ23" s="15" t="n">
        <v>3659512.25</v>
      </c>
      <c r="BK23" s="15" t="n">
        <v>782226.66</v>
      </c>
      <c r="BL23" s="15" t="n">
        <v>448607.3</v>
      </c>
      <c r="BM23" s="15" t="n">
        <v>258591.63</v>
      </c>
      <c r="BN23" s="15" t="n">
        <v>8305.559999999999</v>
      </c>
      <c r="BO23" s="15" t="n">
        <v>2914180.44</v>
      </c>
      <c r="BP23" s="15" t="n">
        <v>1308350.9</v>
      </c>
      <c r="BQ23" s="15" t="n">
        <v>1919949.17</v>
      </c>
      <c r="BR23" s="15" t="n">
        <v>1155407.72</v>
      </c>
      <c r="BS23" s="15" t="n">
        <v>227420.61</v>
      </c>
      <c r="BT23" s="15" t="n">
        <v>-125406.47</v>
      </c>
      <c r="BU23" s="15" t="n">
        <v>362243.7</v>
      </c>
      <c r="BV23" s="15" t="n">
        <v>827497.34</v>
      </c>
      <c r="BW23" s="15" t="n">
        <v>1264883.35</v>
      </c>
      <c r="BX23" s="15" t="n">
        <v>1414147.65</v>
      </c>
      <c r="BY23" s="15" t="n">
        <v>93349.49000000001</v>
      </c>
      <c r="BZ23" s="15" t="n">
        <v>328653.34</v>
      </c>
      <c r="CA23" s="15" t="n">
        <v>2663183.72</v>
      </c>
      <c r="CB23" s="15" t="n">
        <v>2171791.36</v>
      </c>
      <c r="CC23" s="15" t="n">
        <v>449781.36</v>
      </c>
      <c r="CD23" s="15" t="n">
        <v>1543996.67</v>
      </c>
      <c r="CE23" s="15" t="n">
        <v>121609.33</v>
      </c>
      <c r="CF23" s="15" t="n">
        <v>578676.28</v>
      </c>
      <c r="CG23" s="15" t="n">
        <v>2993294.23</v>
      </c>
      <c r="CH23" s="15" t="n">
        <v>3893556.15</v>
      </c>
      <c r="CI23" s="15" t="n">
        <v>1758529.77</v>
      </c>
      <c r="CJ23" s="15" t="n">
        <v>249721.53</v>
      </c>
      <c r="CK23" s="15" t="n">
        <v>292798.84</v>
      </c>
      <c r="CL23" s="15" t="n">
        <v>839295.5</v>
      </c>
      <c r="CM23" s="15" t="n">
        <v>853638.5</v>
      </c>
      <c r="CN23" s="15" t="n">
        <v>762689.05</v>
      </c>
      <c r="CO23" s="15" t="n">
        <v>972490.4399999999</v>
      </c>
      <c r="CP23" s="15" t="n">
        <v>1336471.22</v>
      </c>
      <c r="CQ23" s="15" t="n">
        <v>254854.91</v>
      </c>
      <c r="CR23" s="15" t="n">
        <v>1198737.99</v>
      </c>
      <c r="CS23" s="15" t="n">
        <v>559796.5600000001</v>
      </c>
      <c r="CT23" s="15" t="n">
        <v>3980364.92</v>
      </c>
      <c r="CU23" s="15" t="n">
        <v>784492.87</v>
      </c>
      <c r="CV23" s="15" t="n">
        <v>1500673.29</v>
      </c>
      <c r="CW23" s="15" t="n">
        <v>387269.85</v>
      </c>
      <c r="CX23" s="15" t="n">
        <v>1038362.64</v>
      </c>
      <c r="CY23" s="15" t="n">
        <v>562391.9</v>
      </c>
      <c r="CZ23" s="15" t="n">
        <v>2184633.67</v>
      </c>
      <c r="DA23" s="15" t="n">
        <v>1085258.84</v>
      </c>
      <c r="DB23" s="15" t="n">
        <v>78337.63</v>
      </c>
      <c r="DC23" s="15" t="n">
        <v>183689.91</v>
      </c>
      <c r="DD23" s="15" t="n">
        <v>363416.61</v>
      </c>
      <c r="DE23" s="15" t="n">
        <v>1039097.73</v>
      </c>
      <c r="DF23" s="15" t="n">
        <v>607692.97</v>
      </c>
      <c r="DG23" s="15" t="n">
        <v>2208817.97</v>
      </c>
      <c r="DH23" s="15" t="n">
        <v>329478.41</v>
      </c>
      <c r="DI23" s="15" t="n">
        <v>397199.28</v>
      </c>
      <c r="DJ23" s="15" t="n">
        <v>1109771.34</v>
      </c>
      <c r="DK23" s="15" t="n">
        <v>2135883.04</v>
      </c>
      <c r="DL23" s="15" t="n">
        <v>3025073.82</v>
      </c>
      <c r="DM23" s="15" t="n">
        <v>1208696.23</v>
      </c>
      <c r="DN23" s="15" t="n">
        <v>1134429.46</v>
      </c>
      <c r="DO23" s="15" t="n">
        <v>360710.26</v>
      </c>
      <c r="DP23" s="15" t="n">
        <v>803326.47</v>
      </c>
    </row>
    <row r="24">
      <c r="A24" s="4" t="inlineStr">
        <is>
          <t>中式汤底</t>
        </is>
      </c>
      <c r="B24" s="15" t="n">
        <v>3647023.71</v>
      </c>
      <c r="C24" s="15" t="n">
        <v>759207</v>
      </c>
      <c r="D24" s="15" t="n">
        <v>1554604.29</v>
      </c>
      <c r="E24" s="15" t="n">
        <v>282713.61</v>
      </c>
      <c r="F24" s="15" t="n">
        <v>1058138.64</v>
      </c>
      <c r="G24" s="15" t="n">
        <v>1629512.34</v>
      </c>
      <c r="H24" s="15" t="n">
        <v>3463971.64</v>
      </c>
      <c r="I24" s="15" t="n">
        <v>224491.17</v>
      </c>
      <c r="J24" s="15" t="n">
        <v>726932.97</v>
      </c>
      <c r="K24" s="15" t="n">
        <v>140512.19</v>
      </c>
      <c r="L24" s="15" t="n">
        <v>919148.72</v>
      </c>
      <c r="M24" s="15" t="n">
        <v>2707139.18</v>
      </c>
      <c r="N24" s="15" t="n">
        <v>282895.42</v>
      </c>
      <c r="O24" s="15" t="n">
        <v>615071.85</v>
      </c>
      <c r="P24" s="15" t="n">
        <v>362362.08</v>
      </c>
      <c r="Q24" s="15" t="n">
        <v>22031.86</v>
      </c>
      <c r="R24" s="15" t="n">
        <v>916273.59</v>
      </c>
      <c r="S24" s="15" t="n">
        <v>2743629.02</v>
      </c>
      <c r="T24" s="15" t="n">
        <v>153186.57</v>
      </c>
      <c r="U24" s="15" t="n">
        <v>1631399.91</v>
      </c>
      <c r="V24" s="15" t="n">
        <v>1289371.8</v>
      </c>
      <c r="W24" s="15" t="n">
        <v>242551.88</v>
      </c>
      <c r="X24" s="15" t="n">
        <v>1013603.51</v>
      </c>
      <c r="Y24" s="15" t="n">
        <v>3095035.26</v>
      </c>
      <c r="Z24" s="15" t="n">
        <v>646992.25</v>
      </c>
      <c r="AA24" s="15" t="n">
        <v>1925551.75</v>
      </c>
      <c r="AB24" s="15" t="n">
        <v>1290053.84</v>
      </c>
      <c r="AC24" s="15" t="n">
        <v>61927.11</v>
      </c>
      <c r="AD24" s="15" t="n">
        <v>216052.66</v>
      </c>
      <c r="AE24" s="15" t="n">
        <v>1419569.16</v>
      </c>
      <c r="AF24" s="15" t="n">
        <v>1214211.56</v>
      </c>
      <c r="AG24" s="15" t="n">
        <v>200248.43</v>
      </c>
      <c r="AH24" s="15" t="n">
        <v>1195987.17</v>
      </c>
      <c r="AI24" s="15" t="n">
        <v>269239.17</v>
      </c>
      <c r="AJ24" s="15" t="n">
        <v>563315.36</v>
      </c>
      <c r="AK24" s="15" t="n">
        <v>2167979.66</v>
      </c>
      <c r="AL24" s="15" t="n">
        <v>2406629.02</v>
      </c>
      <c r="AM24" s="15" t="n">
        <v>1189651.63</v>
      </c>
      <c r="AN24" s="15" t="n">
        <v>1352901.09</v>
      </c>
      <c r="AO24" s="15" t="n">
        <v>302962.65</v>
      </c>
      <c r="AP24" s="15" t="n">
        <v>1136763.39</v>
      </c>
      <c r="AQ24" s="15" t="n">
        <v>2289234.94</v>
      </c>
      <c r="AR24" s="15" t="n">
        <v>997019.52</v>
      </c>
      <c r="AS24" s="15" t="n">
        <v>1343735.48</v>
      </c>
      <c r="AT24" s="15" t="n">
        <v>1123716.61</v>
      </c>
      <c r="AU24" s="15" t="n">
        <v>94055.92999999999</v>
      </c>
      <c r="AV24" s="15" t="n">
        <v>734287.46</v>
      </c>
      <c r="AW24" s="15" t="n">
        <v>2588285.15</v>
      </c>
      <c r="AX24" s="15" t="n">
        <v>743497.1899999999</v>
      </c>
      <c r="AY24" s="15" t="n">
        <v>2230434.11</v>
      </c>
      <c r="AZ24" s="15" t="n">
        <v>929268.16</v>
      </c>
      <c r="BA24" s="15" t="n">
        <v>363871.58</v>
      </c>
      <c r="BB24" s="15" t="n">
        <v>721421.71</v>
      </c>
      <c r="BC24" s="15" t="n">
        <v>3106692.55</v>
      </c>
      <c r="BD24" s="15" t="n">
        <v>2536108.61</v>
      </c>
      <c r="BE24" s="15" t="n">
        <v>1875659.95</v>
      </c>
      <c r="BF24" s="15" t="n">
        <v>743721.28</v>
      </c>
      <c r="BG24" s="15" t="n">
        <v>263156.7</v>
      </c>
      <c r="BH24" s="15" t="n">
        <v>541723.0699999999</v>
      </c>
      <c r="BI24" s="15" t="n">
        <v>1563334.31</v>
      </c>
      <c r="BJ24" s="15" t="n">
        <v>3936491.65</v>
      </c>
      <c r="BK24" s="15" t="n">
        <v>2208580.43</v>
      </c>
      <c r="BL24" s="15" t="n">
        <v>450328.39</v>
      </c>
      <c r="BM24" s="15" t="n">
        <v>263079.69</v>
      </c>
      <c r="BN24" s="15" t="n">
        <v>155858.81</v>
      </c>
      <c r="BO24" s="15" t="n">
        <v>2898276.36</v>
      </c>
      <c r="BP24" s="15" t="n">
        <v>1869904.39</v>
      </c>
      <c r="BQ24" s="15" t="n">
        <v>1577831.91</v>
      </c>
      <c r="BR24" s="15" t="n">
        <v>141252.01</v>
      </c>
      <c r="BS24" s="15" t="n">
        <v>248764.84</v>
      </c>
      <c r="BT24" s="15" t="n">
        <v>339413.39</v>
      </c>
      <c r="BU24" s="15" t="n">
        <v>801790</v>
      </c>
      <c r="BV24" s="15" t="n">
        <v>3296825.09</v>
      </c>
      <c r="BW24" s="15" t="n">
        <v>1754299.52</v>
      </c>
      <c r="BX24" s="15" t="n">
        <v>1095800.37</v>
      </c>
      <c r="BY24" s="15" t="n">
        <v>240522.96</v>
      </c>
      <c r="BZ24" s="15" t="n">
        <v>757268.47</v>
      </c>
      <c r="CA24" s="15" t="n">
        <v>2104910.9</v>
      </c>
      <c r="CB24" s="15" t="n">
        <v>1329494.06</v>
      </c>
      <c r="CC24" s="15" t="n">
        <v>782909.29</v>
      </c>
      <c r="CD24" s="15" t="n">
        <v>756645.5600000001</v>
      </c>
      <c r="CE24" s="15" t="n">
        <v>30355.12</v>
      </c>
      <c r="CF24" s="15" t="n">
        <v>-150702.3</v>
      </c>
      <c r="CG24" s="15" t="n">
        <v>1535671.3</v>
      </c>
      <c r="CH24" s="15" t="n">
        <v>3430321.28</v>
      </c>
      <c r="CI24" s="15" t="n">
        <v>1589598.15</v>
      </c>
      <c r="CJ24" s="15" t="n">
        <v>801059.27</v>
      </c>
      <c r="CK24" s="15" t="n">
        <v>154982.85</v>
      </c>
      <c r="CL24" s="15" t="n">
        <v>823571.39</v>
      </c>
      <c r="CM24" s="15" t="n">
        <v>1793750.55</v>
      </c>
      <c r="CN24" s="15" t="n">
        <v>3115360.3</v>
      </c>
      <c r="CO24" s="15" t="n">
        <v>747797.62</v>
      </c>
      <c r="CP24" s="15" t="n">
        <v>463563.36</v>
      </c>
      <c r="CQ24" s="15" t="n">
        <v>234524.52</v>
      </c>
      <c r="CR24" s="15" t="n">
        <v>672260.12</v>
      </c>
      <c r="CS24" s="15" t="n">
        <v>2926990.42</v>
      </c>
      <c r="CT24" s="15" t="n">
        <v>855453.49</v>
      </c>
      <c r="CU24" s="15" t="n">
        <v>862975.3</v>
      </c>
      <c r="CV24" s="15" t="n">
        <v>614569.5</v>
      </c>
      <c r="CW24" s="15" t="n">
        <v>171130.25</v>
      </c>
      <c r="CX24" s="15" t="n">
        <v>1143140.78</v>
      </c>
      <c r="CY24" s="15" t="n">
        <v>456770.71</v>
      </c>
      <c r="CZ24" s="15" t="n">
        <v>357115.46</v>
      </c>
      <c r="DA24" s="15" t="n">
        <v>1334153.69</v>
      </c>
      <c r="DB24" s="15" t="n">
        <v>34191.84</v>
      </c>
      <c r="DC24" s="15" t="n">
        <v>135539.17</v>
      </c>
      <c r="DD24" s="15" t="n">
        <v>627169.35</v>
      </c>
      <c r="DE24" s="15" t="n">
        <v>292800.41</v>
      </c>
      <c r="DF24" s="15" t="n">
        <v>3142078.02</v>
      </c>
      <c r="DG24" s="15" t="n">
        <v>652945.65</v>
      </c>
      <c r="DH24" s="15" t="n">
        <v>458686.23</v>
      </c>
      <c r="DI24" s="15" t="n">
        <v>148726.29</v>
      </c>
      <c r="DJ24" s="15" t="n">
        <v>857623.49</v>
      </c>
      <c r="DK24" s="15" t="n">
        <v>574802.1800000001</v>
      </c>
      <c r="DL24" s="15" t="n">
        <v>1533486.23</v>
      </c>
      <c r="DM24" s="15" t="n">
        <v>830771.23</v>
      </c>
      <c r="DN24" s="15" t="n">
        <v>175701.45</v>
      </c>
      <c r="DO24" s="15" t="n">
        <v>328315.63</v>
      </c>
      <c r="DP24" s="15" t="n">
        <v>961276.13</v>
      </c>
    </row>
    <row r="25">
      <c r="A25" s="4" t="inlineStr">
        <is>
          <t>酱料</t>
        </is>
      </c>
      <c r="B25" s="15" t="n">
        <v>2855289.57</v>
      </c>
      <c r="C25" s="15" t="n">
        <v>1794350.63</v>
      </c>
      <c r="D25" s="15" t="n">
        <v>985936.5600000001</v>
      </c>
      <c r="E25" s="15" t="n">
        <v>145599.35</v>
      </c>
      <c r="F25" s="15" t="n">
        <v>-29076.31</v>
      </c>
      <c r="G25" s="15" t="n">
        <v>1360643.56</v>
      </c>
      <c r="H25" s="15" t="n">
        <v>2665032.93</v>
      </c>
      <c r="I25" s="15" t="n">
        <v>881518.84</v>
      </c>
      <c r="J25" s="15" t="n">
        <v>1474418.85</v>
      </c>
      <c r="K25" s="15" t="n">
        <v>283967.74</v>
      </c>
      <c r="L25" s="15" t="n">
        <v>1086754.34</v>
      </c>
      <c r="M25" s="15" t="n">
        <v>145252.78</v>
      </c>
      <c r="N25" s="15" t="n">
        <v>1690026.38</v>
      </c>
      <c r="O25" s="15" t="n">
        <v>773880.01</v>
      </c>
      <c r="P25" s="15" t="n">
        <v>185891.37</v>
      </c>
      <c r="Q25" s="15" t="n">
        <v>98313.87</v>
      </c>
      <c r="R25" s="15" t="n">
        <v>1010364.75</v>
      </c>
      <c r="S25" s="15" t="n">
        <v>2985792.14</v>
      </c>
      <c r="T25" s="15" t="n">
        <v>979163.35</v>
      </c>
      <c r="U25" s="15" t="n">
        <v>1826840.69</v>
      </c>
      <c r="V25" s="15" t="n">
        <v>1178869.25</v>
      </c>
      <c r="W25" s="15" t="n">
        <v>11848.04</v>
      </c>
      <c r="X25" s="15" t="n">
        <v>1000762.82</v>
      </c>
      <c r="Y25" s="15" t="n">
        <v>2365744.6</v>
      </c>
      <c r="Z25" s="15" t="n">
        <v>1067090.61</v>
      </c>
      <c r="AA25" s="15" t="n">
        <v>1203387.8</v>
      </c>
      <c r="AB25" s="15" t="n">
        <v>802658.04</v>
      </c>
      <c r="AC25" s="15" t="n">
        <v>369258.97</v>
      </c>
      <c r="AD25" s="15" t="n">
        <v>33613.04</v>
      </c>
      <c r="AE25" s="15" t="n">
        <v>808040.75</v>
      </c>
      <c r="AF25" s="15" t="n">
        <v>606488.11</v>
      </c>
      <c r="AG25" s="15" t="n">
        <v>2085238.03</v>
      </c>
      <c r="AH25" s="15" t="n">
        <v>787193.26</v>
      </c>
      <c r="AI25" s="15" t="n">
        <v>204912.66</v>
      </c>
      <c r="AJ25" s="15" t="n">
        <v>941383.54</v>
      </c>
      <c r="AK25" s="15" t="n">
        <v>2787224.55</v>
      </c>
      <c r="AL25" s="15" t="n">
        <v>3834530.24</v>
      </c>
      <c r="AM25" s="15" t="n">
        <v>2383646.31</v>
      </c>
      <c r="AN25" s="15" t="n">
        <v>330775.7</v>
      </c>
      <c r="AO25" s="15" t="n">
        <v>382690.89</v>
      </c>
      <c r="AP25" s="15" t="n">
        <v>762664.4</v>
      </c>
      <c r="AQ25" s="15" t="n">
        <v>742879.15</v>
      </c>
      <c r="AR25" s="15" t="n">
        <v>3316102.94</v>
      </c>
      <c r="AS25" s="15" t="n">
        <v>311510.74</v>
      </c>
      <c r="AT25" s="15" t="n">
        <v>833271.91</v>
      </c>
      <c r="AU25" s="15" t="n">
        <v>181008.54</v>
      </c>
      <c r="AV25" s="15" t="n">
        <v>1046106.46</v>
      </c>
      <c r="AW25" s="15" t="n">
        <v>2802365.63</v>
      </c>
      <c r="AX25" s="15" t="n">
        <v>3278750.13</v>
      </c>
      <c r="AY25" s="15" t="n">
        <v>1585834.4</v>
      </c>
      <c r="AZ25" s="15" t="n">
        <v>919201.15</v>
      </c>
      <c r="BA25" s="15" t="n">
        <v>98183.28999999999</v>
      </c>
      <c r="BB25" s="15" t="n">
        <v>1124566.19</v>
      </c>
      <c r="BC25" s="15" t="n">
        <v>1027402.53</v>
      </c>
      <c r="BD25" s="15" t="n">
        <v>1817031.54</v>
      </c>
      <c r="BE25" s="15" t="n">
        <v>1652041.4</v>
      </c>
      <c r="BF25" s="15" t="n">
        <v>1202617.7</v>
      </c>
      <c r="BG25" s="15" t="n">
        <v>351911.77</v>
      </c>
      <c r="BH25" s="15" t="n">
        <v>1137736.14</v>
      </c>
      <c r="BI25" s="15" t="n">
        <v>440336.4</v>
      </c>
      <c r="BJ25" s="15" t="n">
        <v>3620379.14</v>
      </c>
      <c r="BK25" s="15" t="n">
        <v>1085786.64</v>
      </c>
      <c r="BL25" s="15" t="n">
        <v>518403.24</v>
      </c>
      <c r="BM25" s="15" t="n">
        <v>235886.92</v>
      </c>
      <c r="BN25" s="15" t="n">
        <v>172068.9</v>
      </c>
      <c r="BO25" s="15" t="n">
        <v>2750389.21</v>
      </c>
      <c r="BP25" s="15" t="n">
        <v>3573299.28</v>
      </c>
      <c r="BQ25" s="15" t="n">
        <v>559460.01</v>
      </c>
      <c r="BR25" s="15" t="n">
        <v>154884.38</v>
      </c>
      <c r="BS25" s="15" t="n">
        <v>245679.61</v>
      </c>
      <c r="BT25" s="15" t="n">
        <v>1137401.09</v>
      </c>
      <c r="BU25" s="15" t="n">
        <v>812266.9399999999</v>
      </c>
      <c r="BV25" s="15" t="n">
        <v>3953056.93</v>
      </c>
      <c r="BW25" s="15" t="n">
        <v>2159309.52</v>
      </c>
      <c r="BX25" s="15" t="n">
        <v>1594157.58</v>
      </c>
      <c r="BY25" s="15" t="n">
        <v>205516.49</v>
      </c>
      <c r="BZ25" s="15" t="n">
        <v>60284.54</v>
      </c>
      <c r="CA25" s="15" t="n">
        <v>818953.78</v>
      </c>
      <c r="CB25" s="15" t="n">
        <v>3280332.2</v>
      </c>
      <c r="CC25" s="15" t="n">
        <v>1769671.74</v>
      </c>
      <c r="CD25" s="15" t="n">
        <v>545577.54</v>
      </c>
      <c r="CE25" s="15" t="n">
        <v>388664.17</v>
      </c>
      <c r="CF25" s="15" t="n">
        <v>1048523.39</v>
      </c>
      <c r="CG25" s="15" t="n">
        <v>2175569.54</v>
      </c>
      <c r="CH25" s="15" t="n">
        <v>183279.99</v>
      </c>
      <c r="CI25" s="15" t="n">
        <v>600429.28</v>
      </c>
      <c r="CJ25" s="15" t="n">
        <v>1485602.28</v>
      </c>
      <c r="CK25" s="15" t="n">
        <v>45445.72</v>
      </c>
      <c r="CL25" s="15" t="n">
        <v>929586.4399999999</v>
      </c>
      <c r="CM25" s="15" t="n">
        <v>827472.47</v>
      </c>
      <c r="CN25" s="15" t="n">
        <v>1716528.35</v>
      </c>
      <c r="CO25" s="15" t="n">
        <v>1334877.16</v>
      </c>
      <c r="CP25" s="15" t="n">
        <v>605601.28</v>
      </c>
      <c r="CQ25" s="15" t="n">
        <v>44330.38</v>
      </c>
      <c r="CR25" s="15" t="n">
        <v>-109089.04</v>
      </c>
      <c r="CS25" s="15" t="n">
        <v>203653.57</v>
      </c>
      <c r="CT25" s="15" t="n">
        <v>345471.34</v>
      </c>
      <c r="CU25" s="15" t="n">
        <v>408011.08</v>
      </c>
      <c r="CV25" s="15" t="n">
        <v>136071.53</v>
      </c>
      <c r="CW25" s="15" t="n">
        <v>107108.22</v>
      </c>
      <c r="CX25" s="15" t="n">
        <v>579803.78</v>
      </c>
      <c r="CY25" s="15" t="n">
        <v>1468110.64</v>
      </c>
      <c r="CZ25" s="15" t="n">
        <v>608086.61</v>
      </c>
      <c r="DA25" s="15" t="n">
        <v>663731.6</v>
      </c>
      <c r="DB25" s="15" t="n">
        <v>685488.23</v>
      </c>
      <c r="DC25" s="15" t="n">
        <v>174447.85</v>
      </c>
      <c r="DD25" s="15" t="n">
        <v>588207.8</v>
      </c>
      <c r="DE25" s="15" t="n">
        <v>1735358.94</v>
      </c>
      <c r="DF25" s="15" t="n">
        <v>2594795.58</v>
      </c>
      <c r="DG25" s="15" t="n">
        <v>1535253.94</v>
      </c>
      <c r="DH25" s="15" t="n">
        <v>307007.36</v>
      </c>
      <c r="DI25" s="15" t="n">
        <v>33178.5</v>
      </c>
      <c r="DJ25" s="15" t="n">
        <v>612305.9300000001</v>
      </c>
      <c r="DK25" s="15" t="n">
        <v>1863883.15</v>
      </c>
      <c r="DL25" s="15" t="n">
        <v>3458565.67</v>
      </c>
      <c r="DM25" s="15" t="n">
        <v>2056693.43</v>
      </c>
      <c r="DN25" s="15" t="n">
        <v>348045.13</v>
      </c>
      <c r="DO25" s="15" t="n">
        <v>58316.8</v>
      </c>
      <c r="DP25" s="15" t="n">
        <v>-131984.19</v>
      </c>
    </row>
    <row r="26">
      <c r="A26" s="4" t="inlineStr">
        <is>
          <t>川味底料</t>
        </is>
      </c>
      <c r="B26" s="15" t="n">
        <v>815815.02</v>
      </c>
      <c r="C26" s="15" t="n">
        <v>780384.15</v>
      </c>
      <c r="D26" s="15" t="n">
        <v>800991.67</v>
      </c>
      <c r="E26" s="15" t="n">
        <v>91513.7</v>
      </c>
      <c r="F26" s="15" t="n">
        <v>118705.87</v>
      </c>
      <c r="G26" s="15" t="n">
        <v>1021845.29</v>
      </c>
      <c r="H26" s="15" t="n">
        <v>489536.16</v>
      </c>
      <c r="I26" s="15" t="n">
        <v>1015515.11</v>
      </c>
      <c r="J26" s="15" t="n">
        <v>121087.89</v>
      </c>
      <c r="K26" s="15" t="n">
        <v>25633.91</v>
      </c>
      <c r="L26" s="15" t="n">
        <v>-131697.46</v>
      </c>
      <c r="M26" s="15" t="n">
        <v>2709076.37</v>
      </c>
      <c r="N26" s="15" t="n">
        <v>87621.61</v>
      </c>
      <c r="O26" s="15" t="n">
        <v>76193.24000000001</v>
      </c>
      <c r="P26" s="15" t="n">
        <v>478996.78</v>
      </c>
      <c r="Q26" s="15" t="n">
        <v>86116.85000000001</v>
      </c>
      <c r="R26" s="15" t="n">
        <v>158801.56</v>
      </c>
      <c r="S26" s="15" t="n">
        <v>1212989.34</v>
      </c>
      <c r="T26" s="15" t="n">
        <v>3843368.28</v>
      </c>
      <c r="U26" s="15" t="n">
        <v>1118665.67</v>
      </c>
      <c r="V26" s="15" t="n">
        <v>496682.97</v>
      </c>
      <c r="W26" s="15" t="n">
        <v>26551.45</v>
      </c>
      <c r="X26" s="15" t="n">
        <v>482407.32</v>
      </c>
      <c r="Y26" s="15" t="n">
        <v>3124019.41</v>
      </c>
      <c r="Z26" s="15" t="n">
        <v>655225.54</v>
      </c>
      <c r="AA26" s="15" t="n">
        <v>1649617.45</v>
      </c>
      <c r="AB26" s="15" t="n">
        <v>1091560.17</v>
      </c>
      <c r="AC26" s="15" t="n">
        <v>241944.04</v>
      </c>
      <c r="AD26" s="15" t="n">
        <v>325983.37</v>
      </c>
      <c r="AE26" s="15" t="n">
        <v>2431744.47</v>
      </c>
      <c r="AF26" s="15" t="n">
        <v>3982466.65</v>
      </c>
      <c r="AG26" s="15" t="n">
        <v>1139922.78</v>
      </c>
      <c r="AH26" s="15" t="n">
        <v>1056587.58</v>
      </c>
      <c r="AI26" s="15" t="n">
        <v>199735.56</v>
      </c>
      <c r="AJ26" s="15" t="n">
        <v>921078.8199999999</v>
      </c>
      <c r="AK26" s="15" t="n">
        <v>304704.19</v>
      </c>
      <c r="AL26" s="15" t="n">
        <v>2129119.7</v>
      </c>
      <c r="AM26" s="15" t="n">
        <v>1845569.38</v>
      </c>
      <c r="AN26" s="15" t="n">
        <v>1427696.14</v>
      </c>
      <c r="AO26" s="15" t="n">
        <v>227246.49</v>
      </c>
      <c r="AP26" s="15" t="n">
        <v>631594.47</v>
      </c>
      <c r="AQ26" s="15" t="n">
        <v>1622018.48</v>
      </c>
      <c r="AR26" s="15" t="n">
        <v>2250605.43</v>
      </c>
      <c r="AS26" s="15" t="n">
        <v>2044830.12</v>
      </c>
      <c r="AT26" s="15" t="n">
        <v>735065.1</v>
      </c>
      <c r="AU26" s="15" t="n">
        <v>174019.58</v>
      </c>
      <c r="AV26" s="15" t="n">
        <v>840347.9399999999</v>
      </c>
      <c r="AW26" s="15" t="n">
        <v>2942298.27</v>
      </c>
      <c r="AX26" s="15" t="n">
        <v>3469891.37</v>
      </c>
      <c r="AY26" s="15" t="n">
        <v>560118.77</v>
      </c>
      <c r="AZ26" s="15" t="n">
        <v>776926.64</v>
      </c>
      <c r="BA26" s="15" t="n">
        <v>265262.46</v>
      </c>
      <c r="BB26" s="15" t="n">
        <v>15158.05</v>
      </c>
      <c r="BC26" s="15" t="n">
        <v>732228.74</v>
      </c>
      <c r="BD26" s="15" t="n">
        <v>2185215.59</v>
      </c>
      <c r="BE26" s="15" t="n">
        <v>1301689.11</v>
      </c>
      <c r="BF26" s="15" t="n">
        <v>924837</v>
      </c>
      <c r="BG26" s="15" t="n">
        <v>248971.85</v>
      </c>
      <c r="BH26" s="15" t="n">
        <v>714783.35</v>
      </c>
      <c r="BI26" s="15" t="n">
        <v>2572427.91</v>
      </c>
      <c r="BJ26" s="15" t="n">
        <v>243541.4</v>
      </c>
      <c r="BK26" s="15" t="n">
        <v>1239708.7</v>
      </c>
      <c r="BL26" s="15" t="n">
        <v>372122.27</v>
      </c>
      <c r="BM26" s="15" t="n">
        <v>115765.01</v>
      </c>
      <c r="BN26" s="15" t="n">
        <v>-1003.65</v>
      </c>
      <c r="BO26" s="15" t="n">
        <v>857134.14</v>
      </c>
      <c r="BP26" s="15" t="n">
        <v>1419003.74</v>
      </c>
      <c r="BQ26" s="15" t="n">
        <v>1227037.33</v>
      </c>
      <c r="BR26" s="15" t="n">
        <v>1488158.07</v>
      </c>
      <c r="BS26" s="15" t="n">
        <v>324927.22</v>
      </c>
      <c r="BT26" s="15" t="n">
        <v>-45087.7</v>
      </c>
      <c r="BU26" s="15" t="n">
        <v>2373803.68</v>
      </c>
      <c r="BV26" s="15" t="n">
        <v>1868480.33</v>
      </c>
      <c r="BW26" s="15" t="n">
        <v>1751298.73</v>
      </c>
      <c r="BX26" s="15" t="n">
        <v>460390.17</v>
      </c>
      <c r="BY26" s="15" t="n">
        <v>219111.97</v>
      </c>
      <c r="BZ26" s="15" t="n">
        <v>1062406.55</v>
      </c>
      <c r="CA26" s="15" t="n">
        <v>160027.68</v>
      </c>
      <c r="CB26" s="15" t="n">
        <v>3850414.36</v>
      </c>
      <c r="CC26" s="15" t="n">
        <v>1409194.02</v>
      </c>
      <c r="CD26" s="15" t="n">
        <v>653939.74</v>
      </c>
      <c r="CE26" s="15" t="n">
        <v>130185.78</v>
      </c>
      <c r="CF26" s="15" t="n">
        <v>761176.6800000001</v>
      </c>
      <c r="CG26" s="15" t="n">
        <v>841649.8</v>
      </c>
      <c r="CH26" s="15" t="n">
        <v>2564031.94</v>
      </c>
      <c r="CI26" s="15" t="n">
        <v>299530.81</v>
      </c>
      <c r="CJ26" s="15" t="n">
        <v>1404174.47</v>
      </c>
      <c r="CK26" s="15" t="n">
        <v>323504.27</v>
      </c>
      <c r="CL26" s="15" t="n">
        <v>533598.33</v>
      </c>
      <c r="CM26" s="15" t="n">
        <v>2007744.31</v>
      </c>
      <c r="CN26" s="15" t="n">
        <v>3636116.83</v>
      </c>
      <c r="CO26" s="15" t="n">
        <v>297413.3</v>
      </c>
      <c r="CP26" s="15" t="n">
        <v>1575383.7</v>
      </c>
      <c r="CQ26" s="15" t="n">
        <v>257923.55</v>
      </c>
      <c r="CR26" s="15" t="n">
        <v>164259.33</v>
      </c>
      <c r="CS26" s="15" t="n">
        <v>1291109.34</v>
      </c>
      <c r="CT26" s="15" t="n">
        <v>629619.74</v>
      </c>
      <c r="CU26" s="15" t="n">
        <v>898711.6</v>
      </c>
      <c r="CV26" s="15" t="n">
        <v>457821.44</v>
      </c>
      <c r="CW26" s="15" t="n">
        <v>127821.25</v>
      </c>
      <c r="CX26" s="15" t="n">
        <v>100050.33</v>
      </c>
      <c r="CY26" s="15" t="n">
        <v>802647.99</v>
      </c>
      <c r="CZ26" s="15" t="n">
        <v>796185.0699999999</v>
      </c>
      <c r="DA26" s="15" t="n">
        <v>238865.24</v>
      </c>
      <c r="DB26" s="15" t="n">
        <v>908648.64</v>
      </c>
      <c r="DC26" s="15" t="n">
        <v>106651.71</v>
      </c>
      <c r="DD26" s="15" t="n">
        <v>1122691.25</v>
      </c>
      <c r="DE26" s="15" t="n">
        <v>778706.25</v>
      </c>
      <c r="DF26" s="15" t="n">
        <v>1310932.61</v>
      </c>
      <c r="DG26" s="15" t="n">
        <v>1036960.89</v>
      </c>
      <c r="DH26" s="15" t="n">
        <v>738441.2</v>
      </c>
      <c r="DI26" s="15" t="n">
        <v>62986.83</v>
      </c>
      <c r="DJ26" s="15" t="n">
        <v>-85821.89999999999</v>
      </c>
      <c r="DK26" s="15" t="n">
        <v>1532465.97</v>
      </c>
      <c r="DL26" s="15" t="n">
        <v>2568758.92</v>
      </c>
      <c r="DM26" s="15" t="n">
        <v>1853696.86</v>
      </c>
      <c r="DN26" s="15" t="n">
        <v>328396.2</v>
      </c>
      <c r="DO26" s="15" t="n">
        <v>227097.46</v>
      </c>
      <c r="DP26" s="15" t="n">
        <v>219582.78</v>
      </c>
    </row>
    <row r="27">
      <c r="A27" s="4" t="inlineStr">
        <is>
          <t>调味汁</t>
        </is>
      </c>
      <c r="B27" s="15" t="n">
        <v>296265.69</v>
      </c>
      <c r="C27" s="15" t="n">
        <v>2153809.43</v>
      </c>
      <c r="D27" s="15" t="n">
        <v>584721.53</v>
      </c>
      <c r="E27" s="15" t="n">
        <v>262361.31</v>
      </c>
      <c r="F27" s="15" t="n">
        <v>817824.3100000001</v>
      </c>
      <c r="G27" s="15" t="n">
        <v>2434068.46</v>
      </c>
      <c r="H27" s="15" t="n">
        <v>2721177.22</v>
      </c>
      <c r="I27" s="15" t="n">
        <v>675937.12</v>
      </c>
      <c r="J27" s="15" t="n">
        <v>1500160.36</v>
      </c>
      <c r="K27" s="15" t="n">
        <v>340972.35</v>
      </c>
      <c r="L27" s="15" t="n">
        <v>452238.8</v>
      </c>
      <c r="M27" s="15" t="n">
        <v>3008906.49</v>
      </c>
      <c r="N27" s="15" t="n">
        <v>2103302.46</v>
      </c>
      <c r="O27" s="15" t="n">
        <v>1443868.44</v>
      </c>
      <c r="P27" s="15" t="n">
        <v>670476.6800000001</v>
      </c>
      <c r="Q27" s="15" t="n">
        <v>191449.76</v>
      </c>
      <c r="R27" s="15" t="n">
        <v>1156052.9</v>
      </c>
      <c r="S27" s="15" t="n">
        <v>2806517.67</v>
      </c>
      <c r="T27" s="15" t="n">
        <v>2189142.78</v>
      </c>
      <c r="U27" s="15" t="n">
        <v>1935465.01</v>
      </c>
      <c r="V27" s="15" t="n">
        <v>1484571.77</v>
      </c>
      <c r="W27" s="15" t="n">
        <v>72579.03999999999</v>
      </c>
      <c r="X27" s="15" t="n">
        <v>813497.91</v>
      </c>
      <c r="Y27" s="15" t="n">
        <v>2353023.26</v>
      </c>
      <c r="Z27" s="15" t="n">
        <v>3901821.91</v>
      </c>
      <c r="AA27" s="15" t="n">
        <v>1927382.34</v>
      </c>
      <c r="AB27" s="15" t="n">
        <v>1223461.03</v>
      </c>
      <c r="AC27" s="15" t="n">
        <v>20263.17</v>
      </c>
      <c r="AD27" s="15" t="n">
        <v>-107369.12</v>
      </c>
      <c r="AE27" s="15" t="n">
        <v>2508907.15</v>
      </c>
      <c r="AF27" s="15" t="n">
        <v>2742214.4</v>
      </c>
      <c r="AG27" s="15" t="n">
        <v>69518.10000000001</v>
      </c>
      <c r="AH27" s="15" t="n">
        <v>455135.19</v>
      </c>
      <c r="AI27" s="15" t="n">
        <v>309459.17</v>
      </c>
      <c r="AJ27" s="15" t="n">
        <v>681228.48</v>
      </c>
      <c r="AK27" s="15" t="n">
        <v>1614720.53</v>
      </c>
      <c r="AL27" s="15" t="n">
        <v>3882017.4</v>
      </c>
      <c r="AM27" s="15" t="n">
        <v>2369816.12</v>
      </c>
      <c r="AN27" s="15" t="n">
        <v>1255149.16</v>
      </c>
      <c r="AO27" s="15" t="n">
        <v>123657.7</v>
      </c>
      <c r="AP27" s="15" t="n">
        <v>-16315.98</v>
      </c>
      <c r="AQ27" s="15" t="n">
        <v>1455107.95</v>
      </c>
      <c r="AR27" s="15" t="n">
        <v>2701172.77</v>
      </c>
      <c r="AS27" s="15" t="n">
        <v>1311999.75</v>
      </c>
      <c r="AT27" s="15" t="n">
        <v>40748.63</v>
      </c>
      <c r="AU27" s="15" t="n">
        <v>377885.6</v>
      </c>
      <c r="AV27" s="15" t="n">
        <v>-31101.43</v>
      </c>
      <c r="AW27" s="15" t="n">
        <v>2847899.96</v>
      </c>
      <c r="AX27" s="15" t="n">
        <v>3814052.07</v>
      </c>
      <c r="AY27" s="15" t="n">
        <v>2366063.41</v>
      </c>
      <c r="AZ27" s="15" t="n">
        <v>890291.6</v>
      </c>
      <c r="BA27" s="15" t="n">
        <v>168271.1</v>
      </c>
      <c r="BB27" s="15" t="n">
        <v>-48726.54</v>
      </c>
      <c r="BC27" s="15" t="n">
        <v>1376223.19</v>
      </c>
      <c r="BD27" s="15" t="n">
        <v>3808061.62</v>
      </c>
      <c r="BE27" s="15" t="n">
        <v>398294.83</v>
      </c>
      <c r="BF27" s="15" t="n">
        <v>702511.4300000001</v>
      </c>
      <c r="BG27" s="15" t="n">
        <v>309679.64</v>
      </c>
      <c r="BH27" s="15" t="n">
        <v>248841.86</v>
      </c>
      <c r="BI27" s="15" t="n">
        <v>3034472.29</v>
      </c>
      <c r="BJ27" s="15" t="n">
        <v>2030455.24</v>
      </c>
      <c r="BK27" s="15" t="n">
        <v>1684296.11</v>
      </c>
      <c r="BL27" s="15" t="n">
        <v>907714.3199999999</v>
      </c>
      <c r="BM27" s="15" t="n">
        <v>170455.81</v>
      </c>
      <c r="BN27" s="15" t="n">
        <v>-48256.64</v>
      </c>
      <c r="BO27" s="15" t="n">
        <v>2589120.97</v>
      </c>
      <c r="BP27" s="15" t="n">
        <v>3920275.31</v>
      </c>
      <c r="BQ27" s="15" t="n">
        <v>1228893.75</v>
      </c>
      <c r="BR27" s="15" t="n">
        <v>754462.72</v>
      </c>
      <c r="BS27" s="15" t="n">
        <v>13401.66</v>
      </c>
      <c r="BT27" s="15" t="n">
        <v>169375</v>
      </c>
      <c r="BU27" s="15" t="n">
        <v>1087275.65</v>
      </c>
      <c r="BV27" s="15" t="n">
        <v>3124107.73</v>
      </c>
      <c r="BW27" s="15" t="n">
        <v>1677790.51</v>
      </c>
      <c r="BX27" s="15" t="n">
        <v>1060827.74</v>
      </c>
      <c r="BY27" s="15" t="n">
        <v>95858.50999999999</v>
      </c>
      <c r="BZ27" s="15" t="n">
        <v>866415.84</v>
      </c>
      <c r="CA27" s="15" t="n">
        <v>1517789.47</v>
      </c>
      <c r="CB27" s="15" t="n">
        <v>607646.87</v>
      </c>
      <c r="CC27" s="15" t="n">
        <v>2023932.71</v>
      </c>
      <c r="CD27" s="15" t="n">
        <v>1060500.72</v>
      </c>
      <c r="CE27" s="15" t="n">
        <v>310889.7</v>
      </c>
      <c r="CF27" s="15" t="n">
        <v>610160.77</v>
      </c>
      <c r="CG27" s="15" t="n">
        <v>1988137.94</v>
      </c>
      <c r="CH27" s="15" t="n">
        <v>1972907.65</v>
      </c>
      <c r="CI27" s="15" t="n">
        <v>2146318.26</v>
      </c>
      <c r="CJ27" s="15" t="n">
        <v>967539.27</v>
      </c>
      <c r="CK27" s="15" t="n">
        <v>325862.91</v>
      </c>
      <c r="CL27" s="15" t="n">
        <v>-78615.03</v>
      </c>
      <c r="CM27" s="15" t="n">
        <v>734444.26</v>
      </c>
      <c r="CN27" s="15" t="n">
        <v>3121131.08</v>
      </c>
      <c r="CO27" s="15" t="n">
        <v>661359.4300000001</v>
      </c>
      <c r="CP27" s="15" t="n">
        <v>1537442</v>
      </c>
      <c r="CQ27" s="15" t="n">
        <v>209263.15</v>
      </c>
      <c r="CR27" s="15" t="n">
        <v>-22502.87</v>
      </c>
      <c r="CS27" s="15" t="n">
        <v>1519221.52</v>
      </c>
      <c r="CT27" s="15" t="n">
        <v>2527364.38</v>
      </c>
      <c r="CU27" s="15" t="n">
        <v>2113880.24</v>
      </c>
      <c r="CV27" s="15" t="n">
        <v>808334.46</v>
      </c>
      <c r="CW27" s="15" t="n">
        <v>239236.66</v>
      </c>
      <c r="CX27" s="15" t="n">
        <v>34115.76</v>
      </c>
      <c r="CY27" s="15" t="n">
        <v>1330766.21</v>
      </c>
      <c r="CZ27" s="15" t="n">
        <v>2328552.67</v>
      </c>
      <c r="DA27" s="15" t="n">
        <v>715097.29</v>
      </c>
      <c r="DB27" s="15" t="n">
        <v>51372.7</v>
      </c>
      <c r="DC27" s="15" t="n">
        <v>343188.67</v>
      </c>
      <c r="DD27" s="15" t="n">
        <v>4848.29</v>
      </c>
      <c r="DE27" s="15" t="n">
        <v>2977630.24</v>
      </c>
      <c r="DF27" s="15" t="n">
        <v>2745941.51</v>
      </c>
      <c r="DG27" s="15" t="n">
        <v>187209.83</v>
      </c>
      <c r="DH27" s="15" t="n">
        <v>826465.61</v>
      </c>
      <c r="DI27" s="15" t="n">
        <v>308979.09</v>
      </c>
      <c r="DJ27" s="15" t="n">
        <v>232240.77</v>
      </c>
      <c r="DK27" s="15" t="n">
        <v>490180.48</v>
      </c>
      <c r="DL27" s="15" t="n">
        <v>408252.34</v>
      </c>
      <c r="DM27" s="15" t="n">
        <v>669605.17</v>
      </c>
      <c r="DN27" s="15" t="n">
        <v>581920.6</v>
      </c>
      <c r="DO27" s="15" t="n">
        <v>156550.53</v>
      </c>
      <c r="DP27" s="15" t="n">
        <v>345356.38</v>
      </c>
    </row>
    <row r="28">
      <c r="A28" s="4" t="inlineStr">
        <is>
          <t>复合调味粉</t>
        </is>
      </c>
      <c r="B28" s="15" t="n">
        <v>2079609.87</v>
      </c>
      <c r="C28" s="15" t="n">
        <v>341290.71</v>
      </c>
      <c r="D28" s="15" t="n">
        <v>750526.8100000001</v>
      </c>
      <c r="E28" s="15" t="n">
        <v>241113.53</v>
      </c>
      <c r="F28" s="15" t="n">
        <v>1060649.83</v>
      </c>
      <c r="G28" s="15" t="n">
        <v>1552438.25</v>
      </c>
      <c r="H28" s="15" t="n">
        <v>164569.88</v>
      </c>
      <c r="I28" s="15" t="n">
        <v>685926.4399999999</v>
      </c>
      <c r="J28" s="15" t="n">
        <v>1447189.03</v>
      </c>
      <c r="K28" s="15" t="n">
        <v>188435.31</v>
      </c>
      <c r="L28" s="15" t="n">
        <v>109022.22</v>
      </c>
      <c r="M28" s="15" t="n">
        <v>2707258.8</v>
      </c>
      <c r="N28" s="15" t="n">
        <v>1468070.93</v>
      </c>
      <c r="O28" s="15" t="n">
        <v>944895.23</v>
      </c>
      <c r="P28" s="15" t="n">
        <v>1097286.72</v>
      </c>
      <c r="Q28" s="15" t="n">
        <v>124039.07</v>
      </c>
      <c r="R28" s="15" t="n">
        <v>1162606.66</v>
      </c>
      <c r="S28" s="15" t="n">
        <v>2553819.81</v>
      </c>
      <c r="T28" s="15" t="n">
        <v>3145613.85</v>
      </c>
      <c r="U28" s="15" t="n">
        <v>825579.92</v>
      </c>
      <c r="V28" s="15" t="n">
        <v>617828.96</v>
      </c>
      <c r="W28" s="15" t="n">
        <v>131559.35</v>
      </c>
      <c r="X28" s="15" t="n">
        <v>1030461.33</v>
      </c>
      <c r="Y28" s="15" t="n">
        <v>2170620.25</v>
      </c>
      <c r="Z28" s="15" t="n">
        <v>885578.98</v>
      </c>
      <c r="AA28" s="15" t="n">
        <v>219788.89</v>
      </c>
      <c r="AB28" s="15" t="n">
        <v>549106.48</v>
      </c>
      <c r="AC28" s="15" t="n">
        <v>50814.52</v>
      </c>
      <c r="AD28" s="15" t="n">
        <v>-69612.39999999999</v>
      </c>
      <c r="AE28" s="15" t="n">
        <v>1920112.57</v>
      </c>
      <c r="AF28" s="15" t="n">
        <v>3687015.96</v>
      </c>
      <c r="AG28" s="15" t="n">
        <v>111548.69</v>
      </c>
      <c r="AH28" s="15" t="n">
        <v>233813.68</v>
      </c>
      <c r="AI28" s="15" t="n">
        <v>156638.87</v>
      </c>
      <c r="AJ28" s="15" t="n">
        <v>504768.29</v>
      </c>
      <c r="AK28" s="15" t="n">
        <v>841246.9</v>
      </c>
      <c r="AL28" s="15" t="n">
        <v>1655884.1</v>
      </c>
      <c r="AM28" s="15" t="n">
        <v>1419351.44</v>
      </c>
      <c r="AN28" s="15" t="n">
        <v>99568.78999999999</v>
      </c>
      <c r="AO28" s="15" t="n">
        <v>20955.04</v>
      </c>
      <c r="AP28" s="15" t="n">
        <v>1024754.82</v>
      </c>
      <c r="AQ28" s="15" t="n">
        <v>617617.5600000001</v>
      </c>
      <c r="AR28" s="15" t="n">
        <v>3912861.55</v>
      </c>
      <c r="AS28" s="15" t="n">
        <v>775454.73</v>
      </c>
      <c r="AT28" s="15" t="n">
        <v>275697.08</v>
      </c>
      <c r="AU28" s="15" t="n">
        <v>346926.81</v>
      </c>
      <c r="AV28" s="15" t="n">
        <v>906479.05</v>
      </c>
      <c r="AW28" s="15" t="n">
        <v>1436749.12</v>
      </c>
      <c r="AX28" s="15" t="n">
        <v>3946424.85</v>
      </c>
      <c r="AY28" s="15" t="n">
        <v>622697.13</v>
      </c>
      <c r="AZ28" s="15" t="n">
        <v>1210526.61</v>
      </c>
      <c r="BA28" s="15" t="n">
        <v>327990.44</v>
      </c>
      <c r="BB28" s="15" t="n">
        <v>602331.88</v>
      </c>
      <c r="BC28" s="15" t="n">
        <v>2164413.54</v>
      </c>
      <c r="BD28" s="15" t="n">
        <v>1318574.66</v>
      </c>
      <c r="BE28" s="15" t="n">
        <v>1046236.09</v>
      </c>
      <c r="BF28" s="15" t="n">
        <v>211930.6</v>
      </c>
      <c r="BG28" s="15" t="n">
        <v>168468.01</v>
      </c>
      <c r="BH28" s="15" t="n">
        <v>1150116.1</v>
      </c>
      <c r="BI28" s="15" t="n">
        <v>1044533.42</v>
      </c>
      <c r="BJ28" s="15" t="n">
        <v>3076634.2</v>
      </c>
      <c r="BK28" s="15" t="n">
        <v>1390698.99</v>
      </c>
      <c r="BL28" s="15" t="n">
        <v>983997.6899999999</v>
      </c>
      <c r="BM28" s="15" t="n">
        <v>113892.79</v>
      </c>
      <c r="BN28" s="15" t="n">
        <v>32669.93</v>
      </c>
      <c r="BO28" s="15" t="n">
        <v>2548045.05</v>
      </c>
      <c r="BP28" s="15" t="n">
        <v>414262.84</v>
      </c>
      <c r="BQ28" s="15" t="n">
        <v>695298.98</v>
      </c>
      <c r="BR28" s="15" t="n">
        <v>1326017.25</v>
      </c>
      <c r="BS28" s="15" t="n">
        <v>131316.76</v>
      </c>
      <c r="BT28" s="15" t="n">
        <v>436480.12</v>
      </c>
      <c r="BU28" s="15" t="n">
        <v>2491198.15</v>
      </c>
      <c r="BV28" s="15" t="n">
        <v>3521342.38</v>
      </c>
      <c r="BW28" s="15" t="n">
        <v>1307061.18</v>
      </c>
      <c r="BX28" s="15" t="n">
        <v>260290.47</v>
      </c>
      <c r="BY28" s="15" t="n">
        <v>215747.36</v>
      </c>
      <c r="BZ28" s="15" t="n">
        <v>818977.84</v>
      </c>
      <c r="CA28" s="15" t="n">
        <v>2023579.88</v>
      </c>
      <c r="CB28" s="15" t="n">
        <v>315303.21</v>
      </c>
      <c r="CC28" s="15" t="n">
        <v>298408.94</v>
      </c>
      <c r="CD28" s="15" t="n">
        <v>1364798.78</v>
      </c>
      <c r="CE28" s="15" t="n">
        <v>235567.57</v>
      </c>
      <c r="CF28" s="15" t="n">
        <v>998854.71</v>
      </c>
      <c r="CG28" s="15" t="n">
        <v>1039122.83</v>
      </c>
      <c r="CH28" s="15" t="n">
        <v>203085.82</v>
      </c>
      <c r="CI28" s="15" t="n">
        <v>1927417.95</v>
      </c>
      <c r="CJ28" s="15" t="n">
        <v>227569.19</v>
      </c>
      <c r="CK28" s="15" t="n">
        <v>144156.27</v>
      </c>
      <c r="CL28" s="15" t="n">
        <v>343795.84</v>
      </c>
      <c r="CM28" s="15" t="n">
        <v>785248.23</v>
      </c>
      <c r="CN28" s="15" t="n">
        <v>1443426.64</v>
      </c>
      <c r="CO28" s="15" t="n">
        <v>179626.08</v>
      </c>
      <c r="CP28" s="15" t="n">
        <v>342706.64</v>
      </c>
      <c r="CQ28" s="15" t="n">
        <v>270507.94</v>
      </c>
      <c r="CR28" s="15" t="n">
        <v>1108812.87</v>
      </c>
      <c r="CS28" s="15" t="n">
        <v>1109101.49</v>
      </c>
      <c r="CT28" s="15" t="n">
        <v>2607770.68</v>
      </c>
      <c r="CU28" s="15" t="n">
        <v>1242776.99</v>
      </c>
      <c r="CV28" s="15" t="n">
        <v>63931.57</v>
      </c>
      <c r="CW28" s="15" t="n">
        <v>18983.2</v>
      </c>
      <c r="CX28" s="15" t="n">
        <v>935976.4300000001</v>
      </c>
      <c r="CY28" s="15" t="n">
        <v>1055453.46</v>
      </c>
      <c r="CZ28" s="15" t="n">
        <v>3501605.02</v>
      </c>
      <c r="DA28" s="15" t="n">
        <v>1732200.04</v>
      </c>
      <c r="DB28" s="15" t="n">
        <v>821432.74</v>
      </c>
      <c r="DC28" s="15" t="n">
        <v>237676.45</v>
      </c>
      <c r="DD28" s="15" t="n">
        <v>1040226.74</v>
      </c>
      <c r="DE28" s="15" t="n">
        <v>2041097.84</v>
      </c>
      <c r="DF28" s="15" t="n">
        <v>1848174.31</v>
      </c>
      <c r="DG28" s="15" t="n">
        <v>546197.3</v>
      </c>
      <c r="DH28" s="15" t="n">
        <v>426647.32</v>
      </c>
      <c r="DI28" s="15" t="n">
        <v>317653.56</v>
      </c>
      <c r="DJ28" s="15" t="n">
        <v>240778.89</v>
      </c>
      <c r="DK28" s="15" t="n">
        <v>476414.84</v>
      </c>
      <c r="DL28" s="15" t="n">
        <v>788869.71</v>
      </c>
      <c r="DM28" s="15" t="n">
        <v>1703206.31</v>
      </c>
      <c r="DN28" s="15" t="n">
        <v>765803.89</v>
      </c>
      <c r="DO28" s="15" t="n">
        <v>199553.53</v>
      </c>
      <c r="DP28" s="15" t="n">
        <v>184232.33</v>
      </c>
    </row>
    <row r="29">
      <c r="A29" s="4" t="inlineStr">
        <is>
          <t>团餐</t>
        </is>
      </c>
      <c r="B29" s="15" t="n">
        <v>3132131.48</v>
      </c>
      <c r="C29" s="15" t="n">
        <v>691207.84</v>
      </c>
      <c r="D29" s="15" t="n">
        <v>634581.0600000001</v>
      </c>
      <c r="E29" s="15" t="n">
        <v>319374.88</v>
      </c>
      <c r="F29" s="15" t="n">
        <v>173583.56</v>
      </c>
      <c r="G29" s="15" t="n">
        <v>1023989.62</v>
      </c>
      <c r="H29" s="15" t="n">
        <v>1186661.83</v>
      </c>
      <c r="I29" s="15" t="n">
        <v>172349.52</v>
      </c>
      <c r="J29" s="15" t="n">
        <v>704661.49</v>
      </c>
      <c r="K29" s="15" t="n">
        <v>159520.58</v>
      </c>
      <c r="L29" s="15" t="n">
        <v>563618.95</v>
      </c>
      <c r="M29" s="15" t="n">
        <v>1666603.01</v>
      </c>
      <c r="N29" s="15" t="n">
        <v>612009.62</v>
      </c>
      <c r="O29" s="15" t="n">
        <v>748076.0699999999</v>
      </c>
      <c r="P29" s="15" t="n">
        <v>704074.15</v>
      </c>
      <c r="Q29" s="15" t="n">
        <v>384430.57</v>
      </c>
      <c r="R29" s="15" t="n">
        <v>753370.1</v>
      </c>
      <c r="S29" s="15" t="n">
        <v>1205988.33</v>
      </c>
      <c r="T29" s="15" t="n">
        <v>1510825</v>
      </c>
      <c r="U29" s="15" t="n">
        <v>536963.61</v>
      </c>
      <c r="V29" s="15" t="n">
        <v>748817.05</v>
      </c>
      <c r="W29" s="15" t="n">
        <v>97325.02</v>
      </c>
      <c r="X29" s="15" t="n">
        <v>1044915.96</v>
      </c>
      <c r="Y29" s="15" t="n">
        <v>3192283.9</v>
      </c>
      <c r="Z29" s="15" t="n">
        <v>1458414.05</v>
      </c>
      <c r="AA29" s="15" t="n">
        <v>1580533.12</v>
      </c>
      <c r="AB29" s="15" t="n">
        <v>475761.57</v>
      </c>
      <c r="AC29" s="15" t="n">
        <v>323349.22</v>
      </c>
      <c r="AD29" s="15" t="n">
        <v>-131851.12</v>
      </c>
      <c r="AE29" s="15" t="n">
        <v>379719.45</v>
      </c>
      <c r="AF29" s="15" t="n">
        <v>555430.98</v>
      </c>
      <c r="AG29" s="15" t="n">
        <v>2131761.39</v>
      </c>
      <c r="AH29" s="15" t="n">
        <v>418595.3</v>
      </c>
      <c r="AI29" s="15" t="n">
        <v>191373.08</v>
      </c>
      <c r="AJ29" s="15" t="n">
        <v>1009203.1</v>
      </c>
      <c r="AK29" s="15" t="n">
        <v>858289.76</v>
      </c>
      <c r="AL29" s="15" t="n">
        <v>3912830.87</v>
      </c>
      <c r="AM29" s="15" t="n">
        <v>1767638.85</v>
      </c>
      <c r="AN29" s="15" t="n">
        <v>971234.76</v>
      </c>
      <c r="AO29" s="15" t="n">
        <v>25061.18</v>
      </c>
      <c r="AP29" s="15" t="n">
        <v>867705.87</v>
      </c>
      <c r="AQ29" s="15" t="n">
        <v>253560.45</v>
      </c>
      <c r="AR29" s="15" t="n">
        <v>3348737.52</v>
      </c>
      <c r="AS29" s="15" t="n">
        <v>1493295.29</v>
      </c>
      <c r="AT29" s="15" t="n">
        <v>1578186.69</v>
      </c>
      <c r="AU29" s="15" t="n">
        <v>95240.67999999999</v>
      </c>
      <c r="AV29" s="15" t="n">
        <v>985673.89</v>
      </c>
      <c r="AW29" s="15" t="n">
        <v>2394590.89</v>
      </c>
      <c r="AX29" s="15" t="n">
        <v>1917440.1</v>
      </c>
      <c r="AY29" s="15" t="n">
        <v>1083727.23</v>
      </c>
      <c r="AZ29" s="15" t="n">
        <v>243025.12</v>
      </c>
      <c r="BA29" s="15" t="n">
        <v>381262.07</v>
      </c>
      <c r="BB29" s="15" t="n">
        <v>330373.76</v>
      </c>
      <c r="BC29" s="15" t="n">
        <v>3005805.93</v>
      </c>
      <c r="BD29" s="15" t="n">
        <v>3192532.81</v>
      </c>
      <c r="BE29" s="15" t="n">
        <v>1710068</v>
      </c>
      <c r="BF29" s="15" t="n">
        <v>485891.61</v>
      </c>
      <c r="BG29" s="15" t="n">
        <v>56755.08</v>
      </c>
      <c r="BH29" s="15" t="n">
        <v>376168.93</v>
      </c>
      <c r="BI29" s="15" t="n">
        <v>242036.04</v>
      </c>
      <c r="BJ29" s="15" t="n">
        <v>596249.24</v>
      </c>
      <c r="BK29" s="15" t="n">
        <v>186103.37</v>
      </c>
      <c r="BL29" s="15" t="n">
        <v>1323167.37</v>
      </c>
      <c r="BM29" s="15" t="n">
        <v>301811.6</v>
      </c>
      <c r="BN29" s="15" t="n">
        <v>1170800.04</v>
      </c>
      <c r="BO29" s="15" t="n">
        <v>2500629.75</v>
      </c>
      <c r="BP29" s="15" t="n">
        <v>1244815.95</v>
      </c>
      <c r="BQ29" s="15" t="n">
        <v>1633216.39</v>
      </c>
      <c r="BR29" s="15" t="n">
        <v>962418.91</v>
      </c>
      <c r="BS29" s="15" t="n">
        <v>374293.42</v>
      </c>
      <c r="BT29" s="15" t="n">
        <v>191773.06</v>
      </c>
      <c r="BU29" s="15" t="n">
        <v>902684.24</v>
      </c>
      <c r="BV29" s="15" t="n">
        <v>685854.88</v>
      </c>
      <c r="BW29" s="15" t="n">
        <v>1357618.99</v>
      </c>
      <c r="BX29" s="15" t="n">
        <v>582260.33</v>
      </c>
      <c r="BY29" s="15" t="n">
        <v>276786.19</v>
      </c>
      <c r="BZ29" s="15" t="n">
        <v>170204.91</v>
      </c>
      <c r="CA29" s="15" t="n">
        <v>348765.65</v>
      </c>
      <c r="CB29" s="15" t="n">
        <v>3416560.23</v>
      </c>
      <c r="CC29" s="15" t="n">
        <v>1439279.35</v>
      </c>
      <c r="CD29" s="15" t="n">
        <v>435119</v>
      </c>
      <c r="CE29" s="15" t="n">
        <v>170342.67</v>
      </c>
      <c r="CF29" s="15" t="n">
        <v>197086.27</v>
      </c>
      <c r="CG29" s="15" t="n">
        <v>2969366.21</v>
      </c>
      <c r="CH29" s="15" t="n">
        <v>1280673.29</v>
      </c>
      <c r="CI29" s="15" t="n">
        <v>1691223.1</v>
      </c>
      <c r="CJ29" s="15" t="n">
        <v>1435027.97</v>
      </c>
      <c r="CK29" s="15" t="n">
        <v>286811.74</v>
      </c>
      <c r="CL29" s="15" t="n">
        <v>321493.23</v>
      </c>
      <c r="CM29" s="15" t="n">
        <v>1495329.27</v>
      </c>
      <c r="CN29" s="15" t="n">
        <v>2067729.98</v>
      </c>
      <c r="CO29" s="15" t="n">
        <v>320772.36</v>
      </c>
      <c r="CP29" s="15" t="n">
        <v>726622.5699999999</v>
      </c>
      <c r="CQ29" s="15" t="n">
        <v>83673.89999999999</v>
      </c>
      <c r="CR29" s="15" t="n">
        <v>-11495.32</v>
      </c>
      <c r="CS29" s="15" t="n">
        <v>2289401.42</v>
      </c>
      <c r="CT29" s="15" t="n">
        <v>1208555.73</v>
      </c>
      <c r="CU29" s="15" t="n">
        <v>1759974.23</v>
      </c>
      <c r="CV29" s="15" t="n">
        <v>1059456.03</v>
      </c>
      <c r="CW29" s="15" t="n">
        <v>64341.16</v>
      </c>
      <c r="CX29" s="15" t="n">
        <v>831912.59</v>
      </c>
      <c r="CY29" s="15" t="n">
        <v>1723206.28</v>
      </c>
      <c r="CZ29" s="15" t="n">
        <v>600273.21</v>
      </c>
      <c r="DA29" s="15" t="n">
        <v>389194.64</v>
      </c>
      <c r="DB29" s="15" t="n">
        <v>1097515.78</v>
      </c>
      <c r="DC29" s="15" t="n">
        <v>361676.12</v>
      </c>
      <c r="DD29" s="15" t="n">
        <v>59505.89</v>
      </c>
      <c r="DE29" s="15" t="n">
        <v>1944663.3</v>
      </c>
      <c r="DF29" s="15" t="n">
        <v>897980.71</v>
      </c>
      <c r="DG29" s="15" t="n">
        <v>2076592.94</v>
      </c>
      <c r="DH29" s="15" t="n">
        <v>1464134.27</v>
      </c>
      <c r="DI29" s="15" t="n">
        <v>194512.43</v>
      </c>
      <c r="DJ29" s="15" t="n">
        <v>-20787.63</v>
      </c>
      <c r="DK29" s="15" t="n">
        <v>1345542.09</v>
      </c>
      <c r="DL29" s="15" t="n">
        <v>3277549.01</v>
      </c>
      <c r="DM29" s="15" t="n">
        <v>1719077.39</v>
      </c>
      <c r="DN29" s="15" t="n">
        <v>1230049.77</v>
      </c>
      <c r="DO29" s="15" t="n">
        <v>116494.97</v>
      </c>
      <c r="DP29" s="15" t="n">
        <v>-105008.5</v>
      </c>
    </row>
    <row r="30">
      <c r="A30" s="4" t="inlineStr">
        <is>
          <t>预制菜</t>
        </is>
      </c>
      <c r="B30" s="15" t="n">
        <v>2935331.7</v>
      </c>
      <c r="C30" s="15" t="n">
        <v>963959.8</v>
      </c>
      <c r="D30" s="15" t="n">
        <v>1067427.55</v>
      </c>
      <c r="E30" s="15" t="n">
        <v>46925.25</v>
      </c>
      <c r="F30" s="15" t="n">
        <v>62183.96</v>
      </c>
      <c r="G30" s="15" t="n">
        <v>1248696.51</v>
      </c>
      <c r="H30" s="15" t="n">
        <v>2058192.68</v>
      </c>
      <c r="I30" s="15" t="n">
        <v>2298868.11</v>
      </c>
      <c r="J30" s="15" t="n">
        <v>1544281.07</v>
      </c>
      <c r="K30" s="15" t="n">
        <v>145284.29</v>
      </c>
      <c r="L30" s="15" t="n">
        <v>1115303.7</v>
      </c>
      <c r="M30" s="15" t="n">
        <v>2282248.01</v>
      </c>
      <c r="N30" s="15" t="n">
        <v>3234255.37</v>
      </c>
      <c r="O30" s="15" t="n">
        <v>1299021.74</v>
      </c>
      <c r="P30" s="15" t="n">
        <v>971312.03</v>
      </c>
      <c r="Q30" s="15" t="n">
        <v>22841.53</v>
      </c>
      <c r="R30" s="15" t="n">
        <v>893925.09</v>
      </c>
      <c r="S30" s="15" t="n">
        <v>979566.51</v>
      </c>
      <c r="T30" s="15" t="n">
        <v>2574809.18</v>
      </c>
      <c r="U30" s="15" t="n">
        <v>1430182.28</v>
      </c>
      <c r="V30" s="15" t="n">
        <v>284817.69</v>
      </c>
      <c r="W30" s="15" t="n">
        <v>378953.92</v>
      </c>
      <c r="X30" s="15" t="n">
        <v>555208.74</v>
      </c>
      <c r="Y30" s="15" t="n">
        <v>2316172.15</v>
      </c>
      <c r="Z30" s="15" t="n">
        <v>608540.88</v>
      </c>
      <c r="AA30" s="15" t="n">
        <v>1882192.46</v>
      </c>
      <c r="AB30" s="15" t="n">
        <v>1441473.09</v>
      </c>
      <c r="AC30" s="15" t="n">
        <v>200224.31</v>
      </c>
      <c r="AD30" s="15" t="n">
        <v>920641.7</v>
      </c>
      <c r="AE30" s="15" t="n">
        <v>636509.39</v>
      </c>
      <c r="AF30" s="15" t="n">
        <v>2529804.7</v>
      </c>
      <c r="AG30" s="15" t="n">
        <v>796748.79</v>
      </c>
      <c r="AH30" s="15" t="n">
        <v>435751.72</v>
      </c>
      <c r="AI30" s="15" t="n">
        <v>364976.24</v>
      </c>
      <c r="AJ30" s="15" t="n">
        <v>151761.99</v>
      </c>
      <c r="AK30" s="15" t="n">
        <v>2067123.56</v>
      </c>
      <c r="AL30" s="15" t="n">
        <v>3530561.49</v>
      </c>
      <c r="AM30" s="15" t="n">
        <v>503173.9</v>
      </c>
      <c r="AN30" s="15" t="n">
        <v>1263458.47</v>
      </c>
      <c r="AO30" s="15" t="n">
        <v>288457.02</v>
      </c>
      <c r="AP30" s="15" t="n">
        <v>547240.28</v>
      </c>
      <c r="AQ30" s="15" t="n">
        <v>741214.8100000001</v>
      </c>
      <c r="AR30" s="15" t="n">
        <v>1719464.01</v>
      </c>
      <c r="AS30" s="15" t="n">
        <v>1803019.68</v>
      </c>
      <c r="AT30" s="15" t="n">
        <v>312377.32</v>
      </c>
      <c r="AU30" s="15" t="n">
        <v>331349.75</v>
      </c>
      <c r="AV30" s="15" t="n">
        <v>308809.11</v>
      </c>
      <c r="AW30" s="15" t="n">
        <v>192777.71</v>
      </c>
      <c r="AX30" s="15" t="n">
        <v>620777.4</v>
      </c>
      <c r="AY30" s="15" t="n">
        <v>51328.49</v>
      </c>
      <c r="AZ30" s="15" t="n">
        <v>714579.8100000001</v>
      </c>
      <c r="BA30" s="15" t="n">
        <v>72732.53999999999</v>
      </c>
      <c r="BB30" s="15" t="n">
        <v>190145.16</v>
      </c>
      <c r="BC30" s="15" t="n">
        <v>2867690.03</v>
      </c>
      <c r="BD30" s="15" t="n">
        <v>2536430.21</v>
      </c>
      <c r="BE30" s="15" t="n">
        <v>2291241.94</v>
      </c>
      <c r="BF30" s="15" t="n">
        <v>1119902.56</v>
      </c>
      <c r="BG30" s="15" t="n">
        <v>159063.54</v>
      </c>
      <c r="BH30" s="15" t="n">
        <v>1033003.52</v>
      </c>
      <c r="BI30" s="15" t="n">
        <v>2154090.52</v>
      </c>
      <c r="BJ30" s="15" t="n">
        <v>1580018.12</v>
      </c>
      <c r="BK30" s="15" t="n">
        <v>1906253.6</v>
      </c>
      <c r="BL30" s="15" t="n">
        <v>1332804.18</v>
      </c>
      <c r="BM30" s="15" t="n">
        <v>92897.82000000001</v>
      </c>
      <c r="BN30" s="15" t="n">
        <v>515536.95</v>
      </c>
      <c r="BO30" s="15" t="n">
        <v>1196698.75</v>
      </c>
      <c r="BP30" s="15" t="n">
        <v>1477376.68</v>
      </c>
      <c r="BQ30" s="15" t="n">
        <v>632769.23</v>
      </c>
      <c r="BR30" s="15" t="n">
        <v>1551833.7</v>
      </c>
      <c r="BS30" s="15" t="n">
        <v>147589.76</v>
      </c>
      <c r="BT30" s="15" t="n">
        <v>-154150.07</v>
      </c>
      <c r="BU30" s="15" t="n">
        <v>1844604.41</v>
      </c>
      <c r="BV30" s="15" t="n">
        <v>842618.01</v>
      </c>
      <c r="BW30" s="15" t="n">
        <v>1355979.62</v>
      </c>
      <c r="BX30" s="15" t="n">
        <v>367618.43</v>
      </c>
      <c r="BY30" s="15" t="n">
        <v>268784.14</v>
      </c>
      <c r="BZ30" s="15" t="n">
        <v>612948.5600000001</v>
      </c>
      <c r="CA30" s="15" t="n">
        <v>1197197.62</v>
      </c>
      <c r="CB30" s="15" t="n">
        <v>1947133.44</v>
      </c>
      <c r="CC30" s="15" t="n">
        <v>540961.54</v>
      </c>
      <c r="CD30" s="15" t="n">
        <v>384975.09</v>
      </c>
      <c r="CE30" s="15" t="n">
        <v>184122.52</v>
      </c>
      <c r="CF30" s="15" t="n">
        <v>968258.1899999999</v>
      </c>
      <c r="CG30" s="15" t="n">
        <v>778177.9399999999</v>
      </c>
      <c r="CH30" s="15" t="n">
        <v>3931029.32</v>
      </c>
      <c r="CI30" s="15" t="n">
        <v>1488131.42</v>
      </c>
      <c r="CJ30" s="15" t="n">
        <v>1582424.01</v>
      </c>
      <c r="CK30" s="15" t="n">
        <v>356522.61</v>
      </c>
      <c r="CL30" s="15" t="n">
        <v>214213.66</v>
      </c>
      <c r="CM30" s="15" t="n">
        <v>332551.28</v>
      </c>
      <c r="CN30" s="15" t="n">
        <v>1300456.28</v>
      </c>
      <c r="CO30" s="15" t="n">
        <v>847410.7</v>
      </c>
      <c r="CP30" s="15" t="n">
        <v>1431657.97</v>
      </c>
      <c r="CQ30" s="15" t="n">
        <v>308739.7</v>
      </c>
      <c r="CR30" s="15" t="n">
        <v>770734.84</v>
      </c>
      <c r="CS30" s="15" t="n">
        <v>1487331.66</v>
      </c>
      <c r="CT30" s="15" t="n">
        <v>3656799.86</v>
      </c>
      <c r="CU30" s="15" t="n">
        <v>925574.23</v>
      </c>
      <c r="CV30" s="15" t="n">
        <v>1028019.43</v>
      </c>
      <c r="CW30" s="15" t="n">
        <v>358887.75</v>
      </c>
      <c r="CX30" s="15" t="n">
        <v>-123551.52</v>
      </c>
      <c r="CY30" s="15" t="n">
        <v>532448.23</v>
      </c>
      <c r="CZ30" s="15" t="n">
        <v>2212913.82</v>
      </c>
      <c r="DA30" s="15" t="n">
        <v>91599.75999999999</v>
      </c>
      <c r="DB30" s="15" t="n">
        <v>978272.95</v>
      </c>
      <c r="DC30" s="15" t="n">
        <v>193050.98</v>
      </c>
      <c r="DD30" s="15" t="n">
        <v>75037.27</v>
      </c>
      <c r="DE30" s="15" t="n">
        <v>1822590.55</v>
      </c>
      <c r="DF30" s="15" t="n">
        <v>2542762.13</v>
      </c>
      <c r="DG30" s="15" t="n">
        <v>248840.82</v>
      </c>
      <c r="DH30" s="15" t="n">
        <v>264089.4</v>
      </c>
      <c r="DI30" s="15" t="n">
        <v>303244.35</v>
      </c>
      <c r="DJ30" s="15" t="n">
        <v>550527.49</v>
      </c>
      <c r="DK30" s="15" t="n">
        <v>2714766.04</v>
      </c>
      <c r="DL30" s="15" t="n">
        <v>3903879.61</v>
      </c>
      <c r="DM30" s="15" t="n">
        <v>864542.89</v>
      </c>
      <c r="DN30" s="15" t="n">
        <v>404572.32</v>
      </c>
      <c r="DO30" s="15" t="n">
        <v>398418.71</v>
      </c>
      <c r="DP30" s="15" t="n">
        <v>791559.76</v>
      </c>
    </row>
    <row r="31">
      <c r="A31" s="4" t="inlineStr">
        <is>
          <t>其他产品A</t>
        </is>
      </c>
      <c r="B31" s="15" t="n">
        <v>2315320.3</v>
      </c>
      <c r="C31" s="15" t="n">
        <v>1864745.33</v>
      </c>
      <c r="D31" s="15" t="n">
        <v>224145.34</v>
      </c>
      <c r="E31" s="15" t="n">
        <v>90204.36</v>
      </c>
      <c r="F31" s="15" t="n">
        <v>945489.25</v>
      </c>
      <c r="G31" s="15" t="n">
        <v>2606327.15</v>
      </c>
      <c r="H31" s="15" t="n">
        <v>3635177.3</v>
      </c>
      <c r="I31" s="15" t="n">
        <v>2149912.06</v>
      </c>
      <c r="J31" s="15" t="n">
        <v>833493.49</v>
      </c>
      <c r="K31" s="15" t="n">
        <v>190107.02</v>
      </c>
      <c r="L31" s="15" t="n">
        <v>317060.31</v>
      </c>
      <c r="M31" s="15" t="n">
        <v>1507325.26</v>
      </c>
      <c r="N31" s="15" t="n">
        <v>1826280.65</v>
      </c>
      <c r="O31" s="15" t="n">
        <v>1508721.46</v>
      </c>
      <c r="P31" s="15" t="n">
        <v>329158</v>
      </c>
      <c r="Q31" s="15" t="n">
        <v>85071.97</v>
      </c>
      <c r="R31" s="15" t="n">
        <v>953909.83</v>
      </c>
      <c r="S31" s="15" t="n">
        <v>1791303.54</v>
      </c>
      <c r="T31" s="15" t="n">
        <v>2190641.45</v>
      </c>
      <c r="U31" s="15" t="n">
        <v>1916348.18</v>
      </c>
      <c r="V31" s="15" t="n">
        <v>1384139.03</v>
      </c>
      <c r="W31" s="15" t="n">
        <v>355307.85</v>
      </c>
      <c r="X31" s="15" t="n">
        <v>224892.8</v>
      </c>
      <c r="Y31" s="15" t="n">
        <v>274229.89</v>
      </c>
      <c r="Z31" s="15" t="n">
        <v>1397983.23</v>
      </c>
      <c r="AA31" s="15" t="n">
        <v>446193.63</v>
      </c>
      <c r="AB31" s="15" t="n">
        <v>1275747.62</v>
      </c>
      <c r="AC31" s="15" t="n">
        <v>117632.93</v>
      </c>
      <c r="AD31" s="15" t="n">
        <v>1127670.95</v>
      </c>
      <c r="AE31" s="15" t="n">
        <v>2989119.89</v>
      </c>
      <c r="AF31" s="15" t="n">
        <v>264550.97</v>
      </c>
      <c r="AG31" s="15" t="n">
        <v>1255133.14</v>
      </c>
      <c r="AH31" s="15" t="n">
        <v>881275.1800000001</v>
      </c>
      <c r="AI31" s="15" t="n">
        <v>201500.96</v>
      </c>
      <c r="AJ31" s="15" t="n">
        <v>315386.07</v>
      </c>
      <c r="AK31" s="15" t="n">
        <v>2261294.44</v>
      </c>
      <c r="AL31" s="15" t="n">
        <v>1979609.43</v>
      </c>
      <c r="AM31" s="15" t="n">
        <v>849267.9</v>
      </c>
      <c r="AN31" s="15" t="n">
        <v>873276.25</v>
      </c>
      <c r="AO31" s="15" t="n">
        <v>380201.26</v>
      </c>
      <c r="AP31" s="15" t="n">
        <v>-153355.03</v>
      </c>
      <c r="AQ31" s="15" t="n">
        <v>1126412.6</v>
      </c>
      <c r="AR31" s="15" t="n">
        <v>3031982.99</v>
      </c>
      <c r="AS31" s="15" t="n">
        <v>762210.14</v>
      </c>
      <c r="AT31" s="15" t="n">
        <v>84261.10000000001</v>
      </c>
      <c r="AU31" s="15" t="n">
        <v>250496.3</v>
      </c>
      <c r="AV31" s="15" t="n">
        <v>1075875.24</v>
      </c>
      <c r="AW31" s="15" t="n">
        <v>615859.22</v>
      </c>
      <c r="AX31" s="15" t="n">
        <v>1052581.97</v>
      </c>
      <c r="AY31" s="15" t="n">
        <v>1017733.09</v>
      </c>
      <c r="AZ31" s="15" t="n">
        <v>477368.03</v>
      </c>
      <c r="BA31" s="15" t="n">
        <v>162191.67</v>
      </c>
      <c r="BB31" s="15" t="n">
        <v>445625.72</v>
      </c>
      <c r="BC31" s="15" t="n">
        <v>1637346.98</v>
      </c>
      <c r="BD31" s="15" t="n">
        <v>3825305.18</v>
      </c>
      <c r="BE31" s="15" t="n">
        <v>293511.15</v>
      </c>
      <c r="BF31" s="15" t="n">
        <v>1459454.87</v>
      </c>
      <c r="BG31" s="15" t="n">
        <v>120908.78</v>
      </c>
      <c r="BH31" s="15" t="n">
        <v>778126.22</v>
      </c>
      <c r="BI31" s="15" t="n">
        <v>187433.32</v>
      </c>
      <c r="BJ31" s="15" t="n">
        <v>3189461.24</v>
      </c>
      <c r="BK31" s="15" t="n">
        <v>2209154.44</v>
      </c>
      <c r="BL31" s="15" t="n">
        <v>1047660.76</v>
      </c>
      <c r="BM31" s="15" t="n">
        <v>113992.97</v>
      </c>
      <c r="BN31" s="15" t="n">
        <v>740496.77</v>
      </c>
      <c r="BO31" s="15" t="n">
        <v>2928123.03</v>
      </c>
      <c r="BP31" s="15" t="n">
        <v>2753357.71</v>
      </c>
      <c r="BQ31" s="15" t="n">
        <v>1667998.34</v>
      </c>
      <c r="BR31" s="15" t="n">
        <v>1452157.27</v>
      </c>
      <c r="BS31" s="15" t="n">
        <v>65324.74</v>
      </c>
      <c r="BT31" s="15" t="n">
        <v>502311.76</v>
      </c>
      <c r="BU31" s="15" t="n">
        <v>1274703.16</v>
      </c>
      <c r="BV31" s="15" t="n">
        <v>2676604.24</v>
      </c>
      <c r="BW31" s="15" t="n">
        <v>2233165.33</v>
      </c>
      <c r="BX31" s="15" t="n">
        <v>973962.24</v>
      </c>
      <c r="BY31" s="15" t="n">
        <v>86866.5</v>
      </c>
      <c r="BZ31" s="15" t="n">
        <v>620632.26</v>
      </c>
      <c r="CA31" s="15" t="n">
        <v>962574.77</v>
      </c>
      <c r="CB31" s="15" t="n">
        <v>1748919.82</v>
      </c>
      <c r="CC31" s="15" t="n">
        <v>2114984.57</v>
      </c>
      <c r="CD31" s="15" t="n">
        <v>1516876.22</v>
      </c>
      <c r="CE31" s="15" t="n">
        <v>302845.5</v>
      </c>
      <c r="CF31" s="15" t="n">
        <v>353616.66</v>
      </c>
      <c r="CG31" s="15" t="n">
        <v>868100.74</v>
      </c>
      <c r="CH31" s="15" t="n">
        <v>211368.09</v>
      </c>
      <c r="CI31" s="15" t="n">
        <v>1355506.83</v>
      </c>
      <c r="CJ31" s="15" t="n">
        <v>1091194.5</v>
      </c>
      <c r="CK31" s="15" t="n">
        <v>271430.14</v>
      </c>
      <c r="CL31" s="15" t="n">
        <v>785167.1800000001</v>
      </c>
      <c r="CM31" s="15" t="n">
        <v>1831574.49</v>
      </c>
      <c r="CN31" s="15" t="n">
        <v>2964241.3</v>
      </c>
      <c r="CO31" s="15" t="n">
        <v>2082218.99</v>
      </c>
      <c r="CP31" s="15" t="n">
        <v>1119213.75</v>
      </c>
      <c r="CQ31" s="15" t="n">
        <v>335684.37</v>
      </c>
      <c r="CR31" s="15" t="n">
        <v>329466.89</v>
      </c>
      <c r="CS31" s="15" t="n">
        <v>1050790.91</v>
      </c>
      <c r="CT31" s="15" t="n">
        <v>1141273.67</v>
      </c>
      <c r="CU31" s="15" t="n">
        <v>225285.11</v>
      </c>
      <c r="CV31" s="15" t="n">
        <v>1206278.57</v>
      </c>
      <c r="CW31" s="15" t="n">
        <v>29403.74</v>
      </c>
      <c r="CX31" s="15" t="n">
        <v>718056</v>
      </c>
      <c r="CY31" s="15" t="n">
        <v>3003185.32</v>
      </c>
      <c r="CZ31" s="15" t="n">
        <v>1874302.56</v>
      </c>
      <c r="DA31" s="15" t="n">
        <v>403707.54</v>
      </c>
      <c r="DB31" s="15" t="n">
        <v>695205.6800000001</v>
      </c>
      <c r="DC31" s="15" t="n">
        <v>380250.06</v>
      </c>
      <c r="DD31" s="15" t="n">
        <v>525445.05</v>
      </c>
      <c r="DE31" s="15" t="n">
        <v>2023417.47</v>
      </c>
      <c r="DF31" s="15" t="n">
        <v>2640225.55</v>
      </c>
      <c r="DG31" s="15" t="n">
        <v>1106439.13</v>
      </c>
      <c r="DH31" s="15" t="n">
        <v>984061.85</v>
      </c>
      <c r="DI31" s="15" t="n">
        <v>132276.19</v>
      </c>
      <c r="DJ31" s="15" t="n">
        <v>458139.13</v>
      </c>
      <c r="DK31" s="15" t="n">
        <v>228279.04</v>
      </c>
      <c r="DL31" s="15" t="n">
        <v>3870699.91</v>
      </c>
      <c r="DM31" s="15" t="n">
        <v>703595.66</v>
      </c>
      <c r="DN31" s="15" t="n">
        <v>353013.6</v>
      </c>
      <c r="DO31" s="15" t="n">
        <v>338656.05</v>
      </c>
      <c r="DP31" s="15" t="n">
        <v>426377.74</v>
      </c>
    </row>
    <row r="32">
      <c r="A32" s="4" t="inlineStr">
        <is>
          <t>其他产品B</t>
        </is>
      </c>
      <c r="B32" s="15" t="n">
        <v>1122601.76</v>
      </c>
      <c r="C32" s="15" t="n">
        <v>1637454.81</v>
      </c>
      <c r="D32" s="15" t="n">
        <v>962655.5699999999</v>
      </c>
      <c r="E32" s="15" t="n">
        <v>399350.2</v>
      </c>
      <c r="F32" s="15" t="n">
        <v>1099770.95</v>
      </c>
      <c r="G32" s="15" t="n">
        <v>875221.23</v>
      </c>
      <c r="H32" s="15" t="n">
        <v>1047643.35</v>
      </c>
      <c r="I32" s="15" t="n">
        <v>2250644.59</v>
      </c>
      <c r="J32" s="15" t="n">
        <v>881785.61</v>
      </c>
      <c r="K32" s="15" t="n">
        <v>113999.63</v>
      </c>
      <c r="L32" s="15" t="n">
        <v>-156269.58</v>
      </c>
      <c r="M32" s="15" t="n">
        <v>187174.35</v>
      </c>
      <c r="N32" s="15" t="n">
        <v>2542803.41</v>
      </c>
      <c r="O32" s="15" t="n">
        <v>520531.03</v>
      </c>
      <c r="P32" s="15" t="n">
        <v>561783.95</v>
      </c>
      <c r="Q32" s="15" t="n">
        <v>322305.89</v>
      </c>
      <c r="R32" s="15" t="n">
        <v>979683.8100000001</v>
      </c>
      <c r="S32" s="15" t="n">
        <v>1234574.42</v>
      </c>
      <c r="T32" s="15" t="n">
        <v>3162563.27</v>
      </c>
      <c r="U32" s="15" t="n">
        <v>467677.33</v>
      </c>
      <c r="V32" s="15" t="n">
        <v>700461.4399999999</v>
      </c>
      <c r="W32" s="15" t="n">
        <v>281318.93</v>
      </c>
      <c r="X32" s="15" t="n">
        <v>641704.84</v>
      </c>
      <c r="Y32" s="15" t="n">
        <v>2437486.8</v>
      </c>
      <c r="Z32" s="15" t="n">
        <v>3348023.07</v>
      </c>
      <c r="AA32" s="15" t="n">
        <v>1867167.46</v>
      </c>
      <c r="AB32" s="15" t="n">
        <v>1505710.9</v>
      </c>
      <c r="AC32" s="15" t="n">
        <v>94465.77</v>
      </c>
      <c r="AD32" s="15" t="n">
        <v>1157877.85</v>
      </c>
      <c r="AE32" s="15" t="n">
        <v>2338429.02</v>
      </c>
      <c r="AF32" s="15" t="n">
        <v>1920921.98</v>
      </c>
      <c r="AG32" s="15" t="n">
        <v>538022.26</v>
      </c>
      <c r="AH32" s="15" t="n">
        <v>558186.59</v>
      </c>
      <c r="AI32" s="15" t="n">
        <v>202556.03</v>
      </c>
      <c r="AJ32" s="15" t="n">
        <v>31737.35</v>
      </c>
      <c r="AK32" s="15" t="n">
        <v>1285133.86</v>
      </c>
      <c r="AL32" s="15" t="n">
        <v>1976367.67</v>
      </c>
      <c r="AM32" s="15" t="n">
        <v>482158.67</v>
      </c>
      <c r="AN32" s="15" t="n">
        <v>130626.77</v>
      </c>
      <c r="AO32" s="15" t="n">
        <v>342232.91</v>
      </c>
      <c r="AP32" s="15" t="n">
        <v>-153390.86</v>
      </c>
      <c r="AQ32" s="15" t="n">
        <v>1796848.91</v>
      </c>
      <c r="AR32" s="15" t="n">
        <v>1418340.84</v>
      </c>
      <c r="AS32" s="15" t="n">
        <v>1599689.02</v>
      </c>
      <c r="AT32" s="15" t="n">
        <v>1382235.99</v>
      </c>
      <c r="AU32" s="15" t="n">
        <v>144779.15</v>
      </c>
      <c r="AV32" s="15" t="n">
        <v>638289.78</v>
      </c>
      <c r="AW32" s="15" t="n">
        <v>1216198.34</v>
      </c>
      <c r="AX32" s="15" t="n">
        <v>636097.09</v>
      </c>
      <c r="AY32" s="15" t="n">
        <v>765206.25</v>
      </c>
      <c r="AZ32" s="15" t="n">
        <v>555224.05</v>
      </c>
      <c r="BA32" s="15" t="n">
        <v>160237.11</v>
      </c>
      <c r="BB32" s="15" t="n">
        <v>-133179.5</v>
      </c>
      <c r="BC32" s="15" t="n">
        <v>1883926.83</v>
      </c>
      <c r="BD32" s="15" t="n">
        <v>3155163.28</v>
      </c>
      <c r="BE32" s="15" t="n">
        <v>2056783.19</v>
      </c>
      <c r="BF32" s="15" t="n">
        <v>1402731.35</v>
      </c>
      <c r="BG32" s="15" t="n">
        <v>138788.61</v>
      </c>
      <c r="BH32" s="15" t="n">
        <v>507903.31</v>
      </c>
      <c r="BI32" s="15" t="n">
        <v>1750203.55</v>
      </c>
      <c r="BJ32" s="15" t="n">
        <v>1676476.34</v>
      </c>
      <c r="BK32" s="15" t="n">
        <v>1472721.5</v>
      </c>
      <c r="BL32" s="15" t="n">
        <v>1121289.03</v>
      </c>
      <c r="BM32" s="15" t="n">
        <v>88571.42999999999</v>
      </c>
      <c r="BN32" s="15" t="n">
        <v>114971.1</v>
      </c>
      <c r="BO32" s="15" t="n">
        <v>2917888.64</v>
      </c>
      <c r="BP32" s="15" t="n">
        <v>366845.2</v>
      </c>
      <c r="BQ32" s="15" t="n">
        <v>2188826.27</v>
      </c>
      <c r="BR32" s="15" t="n">
        <v>405489.46</v>
      </c>
      <c r="BS32" s="15" t="n">
        <v>257654.05</v>
      </c>
      <c r="BT32" s="15" t="n">
        <v>300193.82</v>
      </c>
      <c r="BU32" s="15" t="n">
        <v>656854.97</v>
      </c>
      <c r="BV32" s="15" t="n">
        <v>2386162.67</v>
      </c>
      <c r="BW32" s="15" t="n">
        <v>808113</v>
      </c>
      <c r="BX32" s="15" t="n">
        <v>1175925.68</v>
      </c>
      <c r="BY32" s="15" t="n">
        <v>218153.36</v>
      </c>
      <c r="BZ32" s="15" t="n">
        <v>678484.13</v>
      </c>
      <c r="CA32" s="15" t="n">
        <v>2195393.63</v>
      </c>
      <c r="CB32" s="15" t="n">
        <v>3992024.46</v>
      </c>
      <c r="CC32" s="15" t="n">
        <v>1091837.44</v>
      </c>
      <c r="CD32" s="15" t="n">
        <v>1156681.59</v>
      </c>
      <c r="CE32" s="15" t="n">
        <v>180946.75</v>
      </c>
      <c r="CF32" s="15" t="n">
        <v>1152779.14</v>
      </c>
      <c r="CG32" s="15" t="n">
        <v>2373247.02</v>
      </c>
      <c r="CH32" s="15" t="n">
        <v>3220971.1</v>
      </c>
      <c r="CI32" s="15" t="n">
        <v>1050399.36</v>
      </c>
      <c r="CJ32" s="15" t="n">
        <v>55432.08</v>
      </c>
      <c r="CK32" s="15" t="n">
        <v>114763.46</v>
      </c>
      <c r="CL32" s="15" t="n">
        <v>353165.02</v>
      </c>
      <c r="CM32" s="15" t="n">
        <v>2671788.9</v>
      </c>
      <c r="CN32" s="15" t="n">
        <v>3165743.5</v>
      </c>
      <c r="CO32" s="15" t="n">
        <v>630168.35</v>
      </c>
      <c r="CP32" s="15" t="n">
        <v>721101.3199999999</v>
      </c>
      <c r="CQ32" s="15" t="n">
        <v>397203.4</v>
      </c>
      <c r="CR32" s="15" t="n">
        <v>906150.34</v>
      </c>
      <c r="CS32" s="15" t="n">
        <v>2363489.7</v>
      </c>
      <c r="CT32" s="15" t="n">
        <v>391031.88</v>
      </c>
      <c r="CU32" s="15" t="n">
        <v>2088794.06</v>
      </c>
      <c r="CV32" s="15" t="n">
        <v>789310.17</v>
      </c>
      <c r="CW32" s="15" t="n">
        <v>129077.88</v>
      </c>
      <c r="CX32" s="15" t="n">
        <v>1132081.83</v>
      </c>
      <c r="CY32" s="15" t="n">
        <v>681714.4</v>
      </c>
      <c r="CZ32" s="15" t="n">
        <v>2274491.83</v>
      </c>
      <c r="DA32" s="15" t="n">
        <v>241918.07</v>
      </c>
      <c r="DB32" s="15" t="n">
        <v>1169482.72</v>
      </c>
      <c r="DC32" s="15" t="n">
        <v>331762.82</v>
      </c>
      <c r="DD32" s="15" t="n">
        <v>1068384.68</v>
      </c>
      <c r="DE32" s="15" t="n">
        <v>811501.91</v>
      </c>
      <c r="DF32" s="15" t="n">
        <v>3648866.63</v>
      </c>
      <c r="DG32" s="15" t="n">
        <v>1126231.19</v>
      </c>
      <c r="DH32" s="15" t="n">
        <v>311350.34</v>
      </c>
      <c r="DI32" s="15" t="n">
        <v>39099.62</v>
      </c>
      <c r="DJ32" s="15" t="n">
        <v>326590.85</v>
      </c>
      <c r="DK32" s="15" t="n">
        <v>1563037.39</v>
      </c>
      <c r="DL32" s="15" t="n">
        <v>1999987.6</v>
      </c>
      <c r="DM32" s="15" t="n">
        <v>756071.4399999999</v>
      </c>
      <c r="DN32" s="15" t="n">
        <v>25838.71</v>
      </c>
      <c r="DO32" s="15" t="n">
        <v>135413.5</v>
      </c>
      <c r="DP32" s="15" t="n">
        <v>1162240.48</v>
      </c>
    </row>
    <row r="33">
      <c r="A33" s="4" t="inlineStr">
        <is>
          <t>其他产品C</t>
        </is>
      </c>
      <c r="B33" s="15" t="n">
        <v>3346693.01</v>
      </c>
      <c r="C33" s="15" t="n">
        <v>1076122.07</v>
      </c>
      <c r="D33" s="15" t="n">
        <v>209151.53</v>
      </c>
      <c r="E33" s="15" t="n">
        <v>66502.36</v>
      </c>
      <c r="F33" s="15" t="n">
        <v>874025.59</v>
      </c>
      <c r="G33" s="15" t="n">
        <v>2335822.36</v>
      </c>
      <c r="H33" s="15" t="n">
        <v>1285816.21</v>
      </c>
      <c r="I33" s="15" t="n">
        <v>692574.5</v>
      </c>
      <c r="J33" s="15" t="n">
        <v>790628</v>
      </c>
      <c r="K33" s="15" t="n">
        <v>149726.69</v>
      </c>
      <c r="L33" s="15" t="n">
        <v>158058.55</v>
      </c>
      <c r="M33" s="15" t="n">
        <v>263198.21</v>
      </c>
      <c r="N33" s="15" t="n">
        <v>506602.07</v>
      </c>
      <c r="O33" s="15" t="n">
        <v>1774398.95</v>
      </c>
      <c r="P33" s="15" t="n">
        <v>812931.3100000001</v>
      </c>
      <c r="Q33" s="15" t="n">
        <v>192289.37</v>
      </c>
      <c r="R33" s="15" t="n">
        <v>408840.23</v>
      </c>
      <c r="S33" s="15" t="n">
        <v>2286803.19</v>
      </c>
      <c r="T33" s="15" t="n">
        <v>2769313.58</v>
      </c>
      <c r="U33" s="15" t="n">
        <v>452603.25</v>
      </c>
      <c r="V33" s="15" t="n">
        <v>1018660.75</v>
      </c>
      <c r="W33" s="15" t="n">
        <v>61450.36</v>
      </c>
      <c r="X33" s="15" t="n">
        <v>810709.67</v>
      </c>
      <c r="Y33" s="15" t="n">
        <v>1871094.32</v>
      </c>
      <c r="Z33" s="15" t="n">
        <v>2374106.3</v>
      </c>
      <c r="AA33" s="15" t="n">
        <v>1931963.03</v>
      </c>
      <c r="AB33" s="15" t="n">
        <v>1436932.86</v>
      </c>
      <c r="AC33" s="15" t="n">
        <v>328337.73</v>
      </c>
      <c r="AD33" s="15" t="n">
        <v>56532.49</v>
      </c>
      <c r="AE33" s="15" t="n">
        <v>1048839.66</v>
      </c>
      <c r="AF33" s="15" t="n">
        <v>3159083.47</v>
      </c>
      <c r="AG33" s="15" t="n">
        <v>81630.11</v>
      </c>
      <c r="AH33" s="15" t="n">
        <v>1122703.71</v>
      </c>
      <c r="AI33" s="15" t="n">
        <v>56186.06</v>
      </c>
      <c r="AJ33" s="15" t="n">
        <v>1011185.34</v>
      </c>
      <c r="AK33" s="15" t="n">
        <v>498687.86</v>
      </c>
      <c r="AL33" s="15" t="n">
        <v>2808477.2</v>
      </c>
      <c r="AM33" s="15" t="n">
        <v>728829.51</v>
      </c>
      <c r="AN33" s="15" t="n">
        <v>448597.32</v>
      </c>
      <c r="AO33" s="15" t="n">
        <v>208490.88</v>
      </c>
      <c r="AP33" s="15" t="n">
        <v>1095273.93</v>
      </c>
      <c r="AQ33" s="15" t="n">
        <v>1165069.74</v>
      </c>
      <c r="AR33" s="15" t="n">
        <v>1857246.95</v>
      </c>
      <c r="AS33" s="15" t="n">
        <v>1918001.49</v>
      </c>
      <c r="AT33" s="15" t="n">
        <v>128576.76</v>
      </c>
      <c r="AU33" s="15" t="n">
        <v>333378.71</v>
      </c>
      <c r="AV33" s="15" t="n">
        <v>746785.1800000001</v>
      </c>
      <c r="AW33" s="15" t="n">
        <v>410411.92</v>
      </c>
      <c r="AX33" s="15" t="n">
        <v>3806410.77</v>
      </c>
      <c r="AY33" s="15" t="n">
        <v>1576573.06</v>
      </c>
      <c r="AZ33" s="15" t="n">
        <v>617714.89</v>
      </c>
      <c r="BA33" s="15" t="n">
        <v>10770</v>
      </c>
      <c r="BB33" s="15" t="n">
        <v>269284.99</v>
      </c>
      <c r="BC33" s="15" t="n">
        <v>1782704.44</v>
      </c>
      <c r="BD33" s="15" t="n">
        <v>3364273.83</v>
      </c>
      <c r="BE33" s="15" t="n">
        <v>1404469.57</v>
      </c>
      <c r="BF33" s="15" t="n">
        <v>1428837.84</v>
      </c>
      <c r="BG33" s="15" t="n">
        <v>165532.8</v>
      </c>
      <c r="BH33" s="15" t="n">
        <v>953558.09</v>
      </c>
      <c r="BI33" s="15" t="n">
        <v>1036525.94</v>
      </c>
      <c r="BJ33" s="15" t="n">
        <v>1805471.05</v>
      </c>
      <c r="BK33" s="15" t="n">
        <v>990379.65</v>
      </c>
      <c r="BL33" s="15" t="n">
        <v>1474270.25</v>
      </c>
      <c r="BM33" s="15" t="n">
        <v>329141.19</v>
      </c>
      <c r="BN33" s="15" t="n">
        <v>1126710.14</v>
      </c>
      <c r="BO33" s="15" t="n">
        <v>2421756.02</v>
      </c>
      <c r="BP33" s="15" t="n">
        <v>1646034.32</v>
      </c>
      <c r="BQ33" s="15" t="n">
        <v>923985.35</v>
      </c>
      <c r="BR33" s="15" t="n">
        <v>766553.3</v>
      </c>
      <c r="BS33" s="15" t="n">
        <v>177745.25</v>
      </c>
      <c r="BT33" s="15" t="n">
        <v>385184.17</v>
      </c>
      <c r="BU33" s="15" t="n">
        <v>853356</v>
      </c>
      <c r="BV33" s="15" t="n">
        <v>3892845.4</v>
      </c>
      <c r="BW33" s="15" t="n">
        <v>158235.73</v>
      </c>
      <c r="BX33" s="15" t="n">
        <v>574817.15</v>
      </c>
      <c r="BY33" s="15" t="n">
        <v>11300.89</v>
      </c>
      <c r="BZ33" s="15" t="n">
        <v>752851.41</v>
      </c>
      <c r="CA33" s="15" t="n">
        <v>2975229.09</v>
      </c>
      <c r="CB33" s="15" t="n">
        <v>3411483.37</v>
      </c>
      <c r="CC33" s="15" t="n">
        <v>376523.41</v>
      </c>
      <c r="CD33" s="15" t="n">
        <v>706291.89</v>
      </c>
      <c r="CE33" s="15" t="n">
        <v>137176.65</v>
      </c>
      <c r="CF33" s="15" t="n">
        <v>276091.18</v>
      </c>
      <c r="CG33" s="15" t="n">
        <v>644302.51</v>
      </c>
      <c r="CH33" s="15" t="n">
        <v>2004764.86</v>
      </c>
      <c r="CI33" s="15" t="n">
        <v>193878.22</v>
      </c>
      <c r="CJ33" s="15" t="n">
        <v>923990.51</v>
      </c>
      <c r="CK33" s="15" t="n">
        <v>218616.24</v>
      </c>
      <c r="CL33" s="15" t="n">
        <v>513346.75</v>
      </c>
      <c r="CM33" s="15" t="n">
        <v>485352.32</v>
      </c>
      <c r="CN33" s="15" t="n">
        <v>2268581.77</v>
      </c>
      <c r="CO33" s="15" t="n">
        <v>1194954.15</v>
      </c>
      <c r="CP33" s="15" t="n">
        <v>243448.59</v>
      </c>
      <c r="CQ33" s="15" t="n">
        <v>149352.39</v>
      </c>
      <c r="CR33" s="15" t="n">
        <v>846944.85</v>
      </c>
      <c r="CS33" s="15" t="n">
        <v>508506.65</v>
      </c>
      <c r="CT33" s="15" t="n">
        <v>99391.81</v>
      </c>
      <c r="CU33" s="15" t="n">
        <v>229115.73</v>
      </c>
      <c r="CV33" s="15" t="n">
        <v>1124533.22</v>
      </c>
      <c r="CW33" s="15" t="n">
        <v>149831.63</v>
      </c>
      <c r="CX33" s="15" t="n">
        <v>-104794.47</v>
      </c>
      <c r="CY33" s="15" t="n">
        <v>2856329.46</v>
      </c>
      <c r="CZ33" s="15" t="n">
        <v>747057.4300000001</v>
      </c>
      <c r="DA33" s="15" t="n">
        <v>1992796.76</v>
      </c>
      <c r="DB33" s="15" t="n">
        <v>756382.51</v>
      </c>
      <c r="DC33" s="15" t="n">
        <v>274339.92</v>
      </c>
      <c r="DD33" s="15" t="n">
        <v>717682.49</v>
      </c>
      <c r="DE33" s="15" t="n">
        <v>1418107.72</v>
      </c>
      <c r="DF33" s="15" t="n">
        <v>2767438.74</v>
      </c>
      <c r="DG33" s="15" t="n">
        <v>129616.87</v>
      </c>
      <c r="DH33" s="15" t="n">
        <v>617767.22</v>
      </c>
      <c r="DI33" s="15" t="n">
        <v>195749.46</v>
      </c>
      <c r="DJ33" s="15" t="n">
        <v>255194.31</v>
      </c>
      <c r="DK33" s="15" t="n">
        <v>2763595.36</v>
      </c>
      <c r="DL33" s="15" t="n">
        <v>1772625.78</v>
      </c>
      <c r="DM33" s="15" t="n">
        <v>1421935.51</v>
      </c>
      <c r="DN33" s="15" t="n">
        <v>405274.26</v>
      </c>
      <c r="DO33" s="15" t="n">
        <v>321639.36</v>
      </c>
      <c r="DP33" s="15" t="n">
        <v>-40700.67</v>
      </c>
    </row>
    <row r="34">
      <c r="A34" s="4" t="inlineStr">
        <is>
          <t>中式汤底</t>
        </is>
      </c>
      <c r="B34" s="15" t="n">
        <v>1048913.09</v>
      </c>
      <c r="C34" s="15" t="n">
        <v>504242.49</v>
      </c>
      <c r="D34" s="15" t="n">
        <v>877673.51</v>
      </c>
      <c r="E34" s="15" t="n">
        <v>82448.05</v>
      </c>
      <c r="F34" s="15" t="n">
        <v>610672.01</v>
      </c>
      <c r="G34" s="15" t="n">
        <v>2879360.49</v>
      </c>
      <c r="H34" s="15" t="n">
        <v>1027912.61</v>
      </c>
      <c r="I34" s="15" t="n">
        <v>94612.41</v>
      </c>
      <c r="J34" s="15" t="n">
        <v>141104.25</v>
      </c>
      <c r="K34" s="15" t="n">
        <v>369337.81</v>
      </c>
      <c r="L34" s="15" t="n">
        <v>929321.0600000001</v>
      </c>
      <c r="M34" s="15" t="n">
        <v>1658060.88</v>
      </c>
      <c r="N34" s="15" t="n">
        <v>2700848.92</v>
      </c>
      <c r="O34" s="15" t="n">
        <v>989937.61</v>
      </c>
      <c r="P34" s="15" t="n">
        <v>414521.64</v>
      </c>
      <c r="Q34" s="15" t="n">
        <v>216456.61</v>
      </c>
      <c r="R34" s="15" t="n">
        <v>306667.88</v>
      </c>
      <c r="S34" s="15" t="n">
        <v>1626206.77</v>
      </c>
      <c r="T34" s="15" t="n">
        <v>1536400.25</v>
      </c>
      <c r="U34" s="15" t="n">
        <v>1686237.51</v>
      </c>
      <c r="V34" s="15" t="n">
        <v>579078.98</v>
      </c>
      <c r="W34" s="15" t="n">
        <v>231249.17</v>
      </c>
      <c r="X34" s="15" t="n">
        <v>-18094.91</v>
      </c>
      <c r="Y34" s="15" t="n">
        <v>298634.68</v>
      </c>
      <c r="Z34" s="15" t="n">
        <v>836000.73</v>
      </c>
      <c r="AA34" s="15" t="n">
        <v>1479457.27</v>
      </c>
      <c r="AB34" s="15" t="n">
        <v>1499261.79</v>
      </c>
      <c r="AC34" s="15" t="n">
        <v>143805.31</v>
      </c>
      <c r="AD34" s="15" t="n">
        <v>802215.42</v>
      </c>
      <c r="AE34" s="15" t="n">
        <v>1705013.76</v>
      </c>
      <c r="AF34" s="15" t="n">
        <v>1324134.46</v>
      </c>
      <c r="AG34" s="15" t="n">
        <v>2252904.4</v>
      </c>
      <c r="AH34" s="15" t="n">
        <v>1532911.09</v>
      </c>
      <c r="AI34" s="15" t="n">
        <v>352840.4</v>
      </c>
      <c r="AJ34" s="15" t="n">
        <v>111617.66</v>
      </c>
      <c r="AK34" s="15" t="n">
        <v>1637240.53</v>
      </c>
      <c r="AL34" s="15" t="n">
        <v>2873467.15</v>
      </c>
      <c r="AM34" s="15" t="n">
        <v>257309.84</v>
      </c>
      <c r="AN34" s="15" t="n">
        <v>398592.86</v>
      </c>
      <c r="AO34" s="15" t="n">
        <v>144846.22</v>
      </c>
      <c r="AP34" s="15" t="n">
        <v>380486.72</v>
      </c>
      <c r="AQ34" s="15" t="n">
        <v>1394334.98</v>
      </c>
      <c r="AR34" s="15" t="n">
        <v>2501102.01</v>
      </c>
      <c r="AS34" s="15" t="n">
        <v>2337382.24</v>
      </c>
      <c r="AT34" s="15" t="n">
        <v>407949.45</v>
      </c>
      <c r="AU34" s="15" t="n">
        <v>394907.12</v>
      </c>
      <c r="AV34" s="15" t="n">
        <v>938724.16</v>
      </c>
      <c r="AW34" s="15" t="n">
        <v>1765622.23</v>
      </c>
      <c r="AX34" s="15" t="n">
        <v>3238006.38</v>
      </c>
      <c r="AY34" s="15" t="n">
        <v>883903.6800000001</v>
      </c>
      <c r="AZ34" s="15" t="n">
        <v>1418197.53</v>
      </c>
      <c r="BA34" s="15" t="n">
        <v>218581.7</v>
      </c>
      <c r="BB34" s="15" t="n">
        <v>743440.54</v>
      </c>
      <c r="BC34" s="15" t="n">
        <v>278162.93</v>
      </c>
      <c r="BD34" s="15" t="n">
        <v>2641039.21</v>
      </c>
      <c r="BE34" s="15" t="n">
        <v>2219892.44</v>
      </c>
      <c r="BF34" s="15" t="n">
        <v>534000.88</v>
      </c>
      <c r="BG34" s="15" t="n">
        <v>275546.56</v>
      </c>
      <c r="BH34" s="15" t="n">
        <v>1069382.71</v>
      </c>
      <c r="BI34" s="15" t="n">
        <v>2235681.88</v>
      </c>
      <c r="BJ34" s="15" t="n">
        <v>2432022.83</v>
      </c>
      <c r="BK34" s="15" t="n">
        <v>1811934.49</v>
      </c>
      <c r="BL34" s="15" t="n">
        <v>1589206.61</v>
      </c>
      <c r="BM34" s="15" t="n">
        <v>311766.08</v>
      </c>
      <c r="BN34" s="15" t="n">
        <v>1085933.13</v>
      </c>
      <c r="BO34" s="15" t="n">
        <v>1419269.39</v>
      </c>
      <c r="BP34" s="15" t="n">
        <v>1113848.98</v>
      </c>
      <c r="BQ34" s="15" t="n">
        <v>1046584.45</v>
      </c>
      <c r="BR34" s="15" t="n">
        <v>970767.5600000001</v>
      </c>
      <c r="BS34" s="15" t="n">
        <v>256457.68</v>
      </c>
      <c r="BT34" s="15" t="n">
        <v>412430.97</v>
      </c>
      <c r="BU34" s="15" t="n">
        <v>3039994.68</v>
      </c>
      <c r="BV34" s="15" t="n">
        <v>2400291.78</v>
      </c>
      <c r="BW34" s="15" t="n">
        <v>973122.4300000001</v>
      </c>
      <c r="BX34" s="15" t="n">
        <v>1418355.3</v>
      </c>
      <c r="BY34" s="15" t="n">
        <v>374856.71</v>
      </c>
      <c r="BZ34" s="15" t="n">
        <v>226181.86</v>
      </c>
      <c r="CA34" s="15" t="n">
        <v>1417542.11</v>
      </c>
      <c r="CB34" s="15" t="n">
        <v>3451223.02</v>
      </c>
      <c r="CC34" s="15" t="n">
        <v>2015471.39</v>
      </c>
      <c r="CD34" s="15" t="n">
        <v>784630.27</v>
      </c>
      <c r="CE34" s="15" t="n">
        <v>239223.05</v>
      </c>
      <c r="CF34" s="15" t="n">
        <v>100085.46</v>
      </c>
      <c r="CG34" s="15" t="n">
        <v>1573628</v>
      </c>
      <c r="CH34" s="15" t="n">
        <v>2929392.43</v>
      </c>
      <c r="CI34" s="15" t="n">
        <v>1473789.11</v>
      </c>
      <c r="CJ34" s="15" t="n">
        <v>1578779.61</v>
      </c>
      <c r="CK34" s="15" t="n">
        <v>43458.7</v>
      </c>
      <c r="CL34" s="15" t="n">
        <v>1033706.99</v>
      </c>
      <c r="CM34" s="15" t="n">
        <v>475180.34</v>
      </c>
      <c r="CN34" s="15" t="n">
        <v>3953152.96</v>
      </c>
      <c r="CO34" s="15" t="n">
        <v>1968983.41</v>
      </c>
      <c r="CP34" s="15" t="n">
        <v>799213.87</v>
      </c>
      <c r="CQ34" s="15" t="n">
        <v>38214.7</v>
      </c>
      <c r="CR34" s="15" t="n">
        <v>872242.88</v>
      </c>
      <c r="CS34" s="15" t="n">
        <v>2195461.77</v>
      </c>
      <c r="CT34" s="15" t="n">
        <v>3987487.52</v>
      </c>
      <c r="CU34" s="15" t="n">
        <v>783724.5</v>
      </c>
      <c r="CV34" s="15" t="n">
        <v>1156952.02</v>
      </c>
      <c r="CW34" s="15" t="n">
        <v>273030.07</v>
      </c>
      <c r="CX34" s="15" t="n">
        <v>13001.28</v>
      </c>
      <c r="CY34" s="15" t="n">
        <v>92312.97</v>
      </c>
      <c r="CZ34" s="15" t="n">
        <v>2196903.85</v>
      </c>
      <c r="DA34" s="15" t="n">
        <v>1601281.35</v>
      </c>
      <c r="DB34" s="15" t="n">
        <v>267611.18</v>
      </c>
      <c r="DC34" s="15" t="n">
        <v>366721.93</v>
      </c>
      <c r="DD34" s="15" t="n">
        <v>8912.040000000001</v>
      </c>
      <c r="DE34" s="15" t="n">
        <v>2762388.32</v>
      </c>
      <c r="DF34" s="15" t="n">
        <v>1512095.56</v>
      </c>
      <c r="DG34" s="15" t="n">
        <v>224944.53</v>
      </c>
      <c r="DH34" s="15" t="n">
        <v>81681.63</v>
      </c>
      <c r="DI34" s="15" t="n">
        <v>115414.36</v>
      </c>
      <c r="DJ34" s="15" t="n">
        <v>318506.33</v>
      </c>
      <c r="DK34" s="15" t="n">
        <v>2561854.49</v>
      </c>
      <c r="DL34" s="15" t="n">
        <v>752365.73</v>
      </c>
      <c r="DM34" s="15" t="n">
        <v>764762.5600000001</v>
      </c>
      <c r="DN34" s="15" t="n">
        <v>1578177.59</v>
      </c>
      <c r="DO34" s="15" t="n">
        <v>114099.48</v>
      </c>
      <c r="DP34" s="15" t="n">
        <v>776534.03</v>
      </c>
    </row>
    <row r="35">
      <c r="A35" s="4" t="inlineStr">
        <is>
          <t>酱料</t>
        </is>
      </c>
      <c r="B35" s="15" t="n">
        <v>669977.08</v>
      </c>
      <c r="C35" s="15" t="n">
        <v>268736.33</v>
      </c>
      <c r="D35" s="15" t="n">
        <v>549145.42</v>
      </c>
      <c r="E35" s="15" t="n">
        <v>167949.45</v>
      </c>
      <c r="F35" s="15" t="n">
        <v>699750.76</v>
      </c>
      <c r="G35" s="15" t="n">
        <v>803536.9399999999</v>
      </c>
      <c r="H35" s="15" t="n">
        <v>911579.34</v>
      </c>
      <c r="I35" s="15" t="n">
        <v>1642922.64</v>
      </c>
      <c r="J35" s="15" t="n">
        <v>73767.77</v>
      </c>
      <c r="K35" s="15" t="n">
        <v>69018.28</v>
      </c>
      <c r="L35" s="15" t="n">
        <v>96510.39</v>
      </c>
      <c r="M35" s="15" t="n">
        <v>476310.47</v>
      </c>
      <c r="N35" s="15" t="n">
        <v>582648.8100000001</v>
      </c>
      <c r="O35" s="15" t="n">
        <v>613849.6899999999</v>
      </c>
      <c r="P35" s="15" t="n">
        <v>868920.63</v>
      </c>
      <c r="Q35" s="15" t="n">
        <v>382128.53</v>
      </c>
      <c r="R35" s="15" t="n">
        <v>-140288.84</v>
      </c>
      <c r="S35" s="15" t="n">
        <v>232259.73</v>
      </c>
      <c r="T35" s="15" t="n">
        <v>2018502.7</v>
      </c>
      <c r="U35" s="15" t="n">
        <v>785044.46</v>
      </c>
      <c r="V35" s="15" t="n">
        <v>1370521.16</v>
      </c>
      <c r="W35" s="15" t="n">
        <v>304633.28</v>
      </c>
      <c r="X35" s="15" t="n">
        <v>979930.4399999999</v>
      </c>
      <c r="Y35" s="15" t="n">
        <v>269551.52</v>
      </c>
      <c r="Z35" s="15" t="n">
        <v>1152725.31</v>
      </c>
      <c r="AA35" s="15" t="n">
        <v>423437.92</v>
      </c>
      <c r="AB35" s="15" t="n">
        <v>239571.03</v>
      </c>
      <c r="AC35" s="15" t="n">
        <v>118968.32</v>
      </c>
      <c r="AD35" s="15" t="n">
        <v>244635.07</v>
      </c>
      <c r="AE35" s="15" t="n">
        <v>2425481.8</v>
      </c>
      <c r="AF35" s="15" t="n">
        <v>1438378.73</v>
      </c>
      <c r="AG35" s="15" t="n">
        <v>1195444.77</v>
      </c>
      <c r="AH35" s="15" t="n">
        <v>600610.95</v>
      </c>
      <c r="AI35" s="15" t="n">
        <v>305907.02</v>
      </c>
      <c r="AJ35" s="15" t="n">
        <v>854056.53</v>
      </c>
      <c r="AK35" s="15" t="n">
        <v>729955.4</v>
      </c>
      <c r="AL35" s="15" t="n">
        <v>3479108.38</v>
      </c>
      <c r="AM35" s="15" t="n">
        <v>2262786.61</v>
      </c>
      <c r="AN35" s="15" t="n">
        <v>832538.35</v>
      </c>
      <c r="AO35" s="15" t="n">
        <v>343147.72</v>
      </c>
      <c r="AP35" s="15" t="n">
        <v>709925.4</v>
      </c>
      <c r="AQ35" s="15" t="n">
        <v>2829860.58</v>
      </c>
      <c r="AR35" s="15" t="n">
        <v>2463757.56</v>
      </c>
      <c r="AS35" s="15" t="n">
        <v>1143163.22</v>
      </c>
      <c r="AT35" s="15" t="n">
        <v>237306.78</v>
      </c>
      <c r="AU35" s="15" t="n">
        <v>113773.26</v>
      </c>
      <c r="AV35" s="15" t="n">
        <v>251100.68</v>
      </c>
      <c r="AW35" s="15" t="n">
        <v>2534336.43</v>
      </c>
      <c r="AX35" s="15" t="n">
        <v>417272.85</v>
      </c>
      <c r="AY35" s="15" t="n">
        <v>2181966.53</v>
      </c>
      <c r="AZ35" s="15" t="n">
        <v>35047.03</v>
      </c>
      <c r="BA35" s="15" t="n">
        <v>197812.86</v>
      </c>
      <c r="BB35" s="15" t="n">
        <v>750213.49</v>
      </c>
      <c r="BC35" s="15" t="n">
        <v>609319.8199999999</v>
      </c>
      <c r="BD35" s="15" t="n">
        <v>2736499.22</v>
      </c>
      <c r="BE35" s="15" t="n">
        <v>1700525.26</v>
      </c>
      <c r="BF35" s="15" t="n">
        <v>398577.43</v>
      </c>
      <c r="BG35" s="15" t="n">
        <v>372017.44</v>
      </c>
      <c r="BH35" s="15" t="n">
        <v>868827.61</v>
      </c>
      <c r="BI35" s="15" t="n">
        <v>1597388.47</v>
      </c>
      <c r="BJ35" s="15" t="n">
        <v>2548031.16</v>
      </c>
      <c r="BK35" s="15" t="n">
        <v>566878.71</v>
      </c>
      <c r="BL35" s="15" t="n">
        <v>706885.63</v>
      </c>
      <c r="BM35" s="15" t="n">
        <v>142513.84</v>
      </c>
      <c r="BN35" s="15" t="n">
        <v>439536.99</v>
      </c>
      <c r="BO35" s="15" t="n">
        <v>267437.31</v>
      </c>
      <c r="BP35" s="15" t="n">
        <v>578913.27</v>
      </c>
      <c r="BQ35" s="15" t="n">
        <v>887588.38</v>
      </c>
      <c r="BR35" s="15" t="n">
        <v>1516069.55</v>
      </c>
      <c r="BS35" s="15" t="n">
        <v>140320.87</v>
      </c>
      <c r="BT35" s="15" t="n">
        <v>261579.12</v>
      </c>
      <c r="BU35" s="15" t="n">
        <v>2970295.05</v>
      </c>
      <c r="BV35" s="15" t="n">
        <v>1209354.16</v>
      </c>
      <c r="BW35" s="15" t="n">
        <v>2253257.32</v>
      </c>
      <c r="BX35" s="15" t="n">
        <v>300683.57</v>
      </c>
      <c r="BY35" s="15" t="n">
        <v>160736.48</v>
      </c>
      <c r="BZ35" s="15" t="n">
        <v>422067.33</v>
      </c>
      <c r="CA35" s="15" t="n">
        <v>1128940.56</v>
      </c>
      <c r="CB35" s="15" t="n">
        <v>2758697.88</v>
      </c>
      <c r="CC35" s="15" t="n">
        <v>1412389.86</v>
      </c>
      <c r="CD35" s="15" t="n">
        <v>1281041.25</v>
      </c>
      <c r="CE35" s="15" t="n">
        <v>234223.49</v>
      </c>
      <c r="CF35" s="15" t="n">
        <v>1023147.99</v>
      </c>
      <c r="CG35" s="15" t="n">
        <v>1968230.86</v>
      </c>
      <c r="CH35" s="15" t="n">
        <v>782589.8100000001</v>
      </c>
      <c r="CI35" s="15" t="n">
        <v>1712752.09</v>
      </c>
      <c r="CJ35" s="15" t="n">
        <v>1334313.73</v>
      </c>
      <c r="CK35" s="15" t="n">
        <v>384994.06</v>
      </c>
      <c r="CL35" s="15" t="n">
        <v>310214.23</v>
      </c>
      <c r="CM35" s="15" t="n">
        <v>2992200.7</v>
      </c>
      <c r="CN35" s="15" t="n">
        <v>465029.96</v>
      </c>
      <c r="CO35" s="15" t="n">
        <v>2128819.7</v>
      </c>
      <c r="CP35" s="15" t="n">
        <v>1331522.31</v>
      </c>
      <c r="CQ35" s="15" t="n">
        <v>95252.71000000001</v>
      </c>
      <c r="CR35" s="15" t="n">
        <v>179402.85</v>
      </c>
      <c r="CS35" s="15" t="n">
        <v>222490.88</v>
      </c>
      <c r="CT35" s="15" t="n">
        <v>697782.2</v>
      </c>
      <c r="CU35" s="15" t="n">
        <v>1503253.22</v>
      </c>
      <c r="CV35" s="15" t="n">
        <v>1189514.03</v>
      </c>
      <c r="CW35" s="15" t="n">
        <v>389193.68</v>
      </c>
      <c r="CX35" s="15" t="n">
        <v>715886.33</v>
      </c>
      <c r="CY35" s="15" t="n">
        <v>1100643.78</v>
      </c>
      <c r="CZ35" s="15" t="n">
        <v>789267.4300000001</v>
      </c>
      <c r="DA35" s="15" t="n">
        <v>725426.54</v>
      </c>
      <c r="DB35" s="15" t="n">
        <v>723197.58</v>
      </c>
      <c r="DC35" s="15" t="n">
        <v>82065.98</v>
      </c>
      <c r="DD35" s="15" t="n">
        <v>798603.99</v>
      </c>
      <c r="DE35" s="15" t="n">
        <v>2673884.47</v>
      </c>
      <c r="DF35" s="15" t="n">
        <v>353893.41</v>
      </c>
      <c r="DG35" s="15" t="n">
        <v>357517.27</v>
      </c>
      <c r="DH35" s="15" t="n">
        <v>1385951.31</v>
      </c>
      <c r="DI35" s="15" t="n">
        <v>346903.62</v>
      </c>
      <c r="DJ35" s="15" t="n">
        <v>140624.32</v>
      </c>
      <c r="DK35" s="15" t="n">
        <v>2945854.86</v>
      </c>
      <c r="DL35" s="15" t="n">
        <v>2779531.14</v>
      </c>
      <c r="DM35" s="15" t="n">
        <v>305878.56</v>
      </c>
      <c r="DN35" s="15" t="n">
        <v>1578452.83</v>
      </c>
      <c r="DO35" s="15" t="n">
        <v>143881.86</v>
      </c>
      <c r="DP35" s="15" t="n">
        <v>169691.75</v>
      </c>
    </row>
    <row r="36">
      <c r="A36" s="4" t="inlineStr">
        <is>
          <t>川味底料</t>
        </is>
      </c>
      <c r="B36" s="15" t="n">
        <v>2811524.72</v>
      </c>
      <c r="C36" s="15" t="n">
        <v>900909.49</v>
      </c>
      <c r="D36" s="15" t="n">
        <v>747743.89</v>
      </c>
      <c r="E36" s="15" t="n">
        <v>368673.63</v>
      </c>
      <c r="F36" s="15" t="n">
        <v>1130551.6</v>
      </c>
      <c r="G36" s="15" t="n">
        <v>2579201.17</v>
      </c>
      <c r="H36" s="15" t="n">
        <v>410361.09</v>
      </c>
      <c r="I36" s="15" t="n">
        <v>1787057.94</v>
      </c>
      <c r="J36" s="15" t="n">
        <v>683533.1</v>
      </c>
      <c r="K36" s="15" t="n">
        <v>271949.47</v>
      </c>
      <c r="L36" s="15" t="n">
        <v>1176912.86</v>
      </c>
      <c r="M36" s="15" t="n">
        <v>169358.41</v>
      </c>
      <c r="N36" s="15" t="n">
        <v>3710464.86</v>
      </c>
      <c r="O36" s="15" t="n">
        <v>969034.48</v>
      </c>
      <c r="P36" s="15" t="n">
        <v>1051056.28</v>
      </c>
      <c r="Q36" s="15" t="n">
        <v>271806.04</v>
      </c>
      <c r="R36" s="15" t="n">
        <v>653334.39</v>
      </c>
      <c r="S36" s="15" t="n">
        <v>207811.17</v>
      </c>
      <c r="T36" s="15" t="n">
        <v>2891194.37</v>
      </c>
      <c r="U36" s="15" t="n">
        <v>2009944.87</v>
      </c>
      <c r="V36" s="15" t="n">
        <v>316310.17</v>
      </c>
      <c r="W36" s="15" t="n">
        <v>106464.75</v>
      </c>
      <c r="X36" s="15" t="n">
        <v>133203.16</v>
      </c>
      <c r="Y36" s="15" t="n">
        <v>901455.23</v>
      </c>
      <c r="Z36" s="15" t="n">
        <v>1063841.89</v>
      </c>
      <c r="AA36" s="15" t="n">
        <v>1985370.99</v>
      </c>
      <c r="AB36" s="15" t="n">
        <v>1202017.95</v>
      </c>
      <c r="AC36" s="15" t="n">
        <v>228863.44</v>
      </c>
      <c r="AD36" s="15" t="n">
        <v>920359.67</v>
      </c>
      <c r="AE36" s="15" t="n">
        <v>1908719</v>
      </c>
      <c r="AF36" s="15" t="n">
        <v>1071299.74</v>
      </c>
      <c r="AG36" s="15" t="n">
        <v>415641.41</v>
      </c>
      <c r="AH36" s="15" t="n">
        <v>1220073.49</v>
      </c>
      <c r="AI36" s="15" t="n">
        <v>369922.81</v>
      </c>
      <c r="AJ36" s="15" t="n">
        <v>-149860.52</v>
      </c>
      <c r="AK36" s="15" t="n">
        <v>240790.11</v>
      </c>
      <c r="AL36" s="15" t="n">
        <v>2546665.25</v>
      </c>
      <c r="AM36" s="15" t="n">
        <v>436432.8</v>
      </c>
      <c r="AN36" s="15" t="n">
        <v>1424478.31</v>
      </c>
      <c r="AO36" s="15" t="n">
        <v>181043.19</v>
      </c>
      <c r="AP36" s="15" t="n">
        <v>816212.25</v>
      </c>
      <c r="AQ36" s="15" t="n">
        <v>813430.3100000001</v>
      </c>
      <c r="AR36" s="15" t="n">
        <v>696265.4</v>
      </c>
      <c r="AS36" s="15" t="n">
        <v>1244256.25</v>
      </c>
      <c r="AT36" s="15" t="n">
        <v>1357930.75</v>
      </c>
      <c r="AU36" s="15" t="n">
        <v>206850.21</v>
      </c>
      <c r="AV36" s="15" t="n">
        <v>1040202.25</v>
      </c>
      <c r="AW36" s="15" t="n">
        <v>1462773.16</v>
      </c>
      <c r="AX36" s="15" t="n">
        <v>2217839.01</v>
      </c>
      <c r="AY36" s="15" t="n">
        <v>1620674.82</v>
      </c>
      <c r="AZ36" s="15" t="n">
        <v>184574.94</v>
      </c>
      <c r="BA36" s="15" t="n">
        <v>243821.24</v>
      </c>
      <c r="BB36" s="15" t="n">
        <v>136887.04</v>
      </c>
      <c r="BC36" s="15" t="n">
        <v>1758716.42</v>
      </c>
      <c r="BD36" s="15" t="n">
        <v>1538761.34</v>
      </c>
      <c r="BE36" s="15" t="n">
        <v>140885.86</v>
      </c>
      <c r="BF36" s="15" t="n">
        <v>85059.14</v>
      </c>
      <c r="BG36" s="15" t="n">
        <v>25007.89</v>
      </c>
      <c r="BH36" s="15" t="n">
        <v>-78403.97</v>
      </c>
      <c r="BI36" s="15" t="n">
        <v>1390514.24</v>
      </c>
      <c r="BJ36" s="15" t="n">
        <v>2565814.22</v>
      </c>
      <c r="BK36" s="15" t="n">
        <v>378481.02</v>
      </c>
      <c r="BL36" s="15" t="n">
        <v>830934.6800000001</v>
      </c>
      <c r="BM36" s="15" t="n">
        <v>345302.98</v>
      </c>
      <c r="BN36" s="15" t="n">
        <v>717728.67</v>
      </c>
      <c r="BO36" s="15" t="n">
        <v>1556247.87</v>
      </c>
      <c r="BP36" s="15" t="n">
        <v>1828102.1</v>
      </c>
      <c r="BQ36" s="15" t="n">
        <v>825819.59</v>
      </c>
      <c r="BR36" s="15" t="n">
        <v>653539.77</v>
      </c>
      <c r="BS36" s="15" t="n">
        <v>224199.31</v>
      </c>
      <c r="BT36" s="15" t="n">
        <v>4009.92</v>
      </c>
      <c r="BU36" s="15" t="n">
        <v>583630.5</v>
      </c>
      <c r="BV36" s="15" t="n">
        <v>2659634.66</v>
      </c>
      <c r="BW36" s="15" t="n">
        <v>2315156.31</v>
      </c>
      <c r="BX36" s="15" t="n">
        <v>1052288.47</v>
      </c>
      <c r="BY36" s="15" t="n">
        <v>102601.06</v>
      </c>
      <c r="BZ36" s="15" t="n">
        <v>212936.06</v>
      </c>
      <c r="CA36" s="15" t="n">
        <v>1384749.54</v>
      </c>
      <c r="CB36" s="15" t="n">
        <v>929064.65</v>
      </c>
      <c r="CC36" s="15" t="n">
        <v>480322.3</v>
      </c>
      <c r="CD36" s="15" t="n">
        <v>470674.62</v>
      </c>
      <c r="CE36" s="15" t="n">
        <v>156388.1</v>
      </c>
      <c r="CF36" s="15" t="n">
        <v>721969.83</v>
      </c>
      <c r="CG36" s="15" t="n">
        <v>3112625.68</v>
      </c>
      <c r="CH36" s="15" t="n">
        <v>2706998.98</v>
      </c>
      <c r="CI36" s="15" t="n">
        <v>2060537.44</v>
      </c>
      <c r="CJ36" s="15" t="n">
        <v>852925.3</v>
      </c>
      <c r="CK36" s="15" t="n">
        <v>375803.59</v>
      </c>
      <c r="CL36" s="15" t="n">
        <v>888865.48</v>
      </c>
      <c r="CM36" s="15" t="n">
        <v>1112003.43</v>
      </c>
      <c r="CN36" s="15" t="n">
        <v>3014372.78</v>
      </c>
      <c r="CO36" s="15" t="n">
        <v>1776360.01</v>
      </c>
      <c r="CP36" s="15" t="n">
        <v>543308.72</v>
      </c>
      <c r="CQ36" s="15" t="n">
        <v>190491.44</v>
      </c>
      <c r="CR36" s="15" t="n">
        <v>513309.27</v>
      </c>
      <c r="CS36" s="15" t="n">
        <v>1047393.68</v>
      </c>
      <c r="CT36" s="15" t="n">
        <v>3953396.39</v>
      </c>
      <c r="CU36" s="15" t="n">
        <v>207900.8</v>
      </c>
      <c r="CV36" s="15" t="n">
        <v>1583106.76</v>
      </c>
      <c r="CW36" s="15" t="n">
        <v>151648.75</v>
      </c>
      <c r="CX36" s="15" t="n">
        <v>911146.9</v>
      </c>
      <c r="CY36" s="15" t="n">
        <v>2708054.6</v>
      </c>
      <c r="CZ36" s="15" t="n">
        <v>2038814.32</v>
      </c>
      <c r="DA36" s="15" t="n">
        <v>1386009.05</v>
      </c>
      <c r="DB36" s="15" t="n">
        <v>628381.99</v>
      </c>
      <c r="DC36" s="15" t="n">
        <v>283825.17</v>
      </c>
      <c r="DD36" s="15" t="n">
        <v>610194.9399999999</v>
      </c>
      <c r="DE36" s="15" t="n">
        <v>2927541.58</v>
      </c>
      <c r="DF36" s="15" t="n">
        <v>1680881.36</v>
      </c>
      <c r="DG36" s="15" t="n">
        <v>1903890.66</v>
      </c>
      <c r="DH36" s="15" t="n">
        <v>35969.57</v>
      </c>
      <c r="DI36" s="15" t="n">
        <v>315971.3</v>
      </c>
      <c r="DJ36" s="15" t="n">
        <v>711169.26</v>
      </c>
      <c r="DK36" s="15" t="n">
        <v>2475992.4</v>
      </c>
      <c r="DL36" s="15" t="n">
        <v>3719094.25</v>
      </c>
      <c r="DM36" s="15" t="n">
        <v>1706957.58</v>
      </c>
      <c r="DN36" s="15" t="n">
        <v>725162.05</v>
      </c>
      <c r="DO36" s="15" t="n">
        <v>131392.48</v>
      </c>
      <c r="DP36" s="15" t="n">
        <v>87980.10000000001</v>
      </c>
    </row>
    <row r="37">
      <c r="A37" s="4" t="inlineStr">
        <is>
          <t>调味汁</t>
        </is>
      </c>
      <c r="B37" s="15" t="n">
        <v>3384589.55</v>
      </c>
      <c r="C37" s="15" t="n">
        <v>1780867.65</v>
      </c>
      <c r="D37" s="15" t="n">
        <v>833085.9399999999</v>
      </c>
      <c r="E37" s="15" t="n">
        <v>257871.63</v>
      </c>
      <c r="F37" s="15" t="n">
        <v>-39945.05</v>
      </c>
      <c r="G37" s="15" t="n">
        <v>1832558.66</v>
      </c>
      <c r="H37" s="15" t="n">
        <v>801325.42</v>
      </c>
      <c r="I37" s="15" t="n">
        <v>2134933.68</v>
      </c>
      <c r="J37" s="15" t="n">
        <v>532491.23</v>
      </c>
      <c r="K37" s="15" t="n">
        <v>295082.25</v>
      </c>
      <c r="L37" s="15" t="n">
        <v>300375.6</v>
      </c>
      <c r="M37" s="15" t="n">
        <v>1569145.64</v>
      </c>
      <c r="N37" s="15" t="n">
        <v>2384463.98</v>
      </c>
      <c r="O37" s="15" t="n">
        <v>914161.95</v>
      </c>
      <c r="P37" s="15" t="n">
        <v>1157022.12</v>
      </c>
      <c r="Q37" s="15" t="n">
        <v>185638.38</v>
      </c>
      <c r="R37" s="15" t="n">
        <v>17427.99</v>
      </c>
      <c r="S37" s="15" t="n">
        <v>1583934.21</v>
      </c>
      <c r="T37" s="15" t="n">
        <v>1699793.82</v>
      </c>
      <c r="U37" s="15" t="n">
        <v>690133.16</v>
      </c>
      <c r="V37" s="15" t="n">
        <v>467028.46</v>
      </c>
      <c r="W37" s="15" t="n">
        <v>374799.79</v>
      </c>
      <c r="X37" s="15" t="n">
        <v>257363.53</v>
      </c>
      <c r="Y37" s="15" t="n">
        <v>244061.74</v>
      </c>
      <c r="Z37" s="15" t="n">
        <v>2505804.14</v>
      </c>
      <c r="AA37" s="15" t="n">
        <v>1157824.29</v>
      </c>
      <c r="AB37" s="15" t="n">
        <v>879475.26</v>
      </c>
      <c r="AC37" s="15" t="n">
        <v>94506.25999999999</v>
      </c>
      <c r="AD37" s="15" t="n">
        <v>501898.11</v>
      </c>
      <c r="AE37" s="15" t="n">
        <v>625149.1</v>
      </c>
      <c r="AF37" s="15" t="n">
        <v>2273493.78</v>
      </c>
      <c r="AG37" s="15" t="n">
        <v>334614.14</v>
      </c>
      <c r="AH37" s="15" t="n">
        <v>997974.89</v>
      </c>
      <c r="AI37" s="15" t="n">
        <v>86523.89999999999</v>
      </c>
      <c r="AJ37" s="15" t="n">
        <v>708188.96</v>
      </c>
      <c r="AK37" s="15" t="n">
        <v>530024.9300000001</v>
      </c>
      <c r="AL37" s="15" t="n">
        <v>3578568.54</v>
      </c>
      <c r="AM37" s="15" t="n">
        <v>1626599.47</v>
      </c>
      <c r="AN37" s="15" t="n">
        <v>976079.54</v>
      </c>
      <c r="AO37" s="15" t="n">
        <v>73148.67</v>
      </c>
      <c r="AP37" s="15" t="n">
        <v>707627.46</v>
      </c>
      <c r="AQ37" s="15" t="n">
        <v>167291.45</v>
      </c>
      <c r="AR37" s="15" t="n">
        <v>2887892.68</v>
      </c>
      <c r="AS37" s="15" t="n">
        <v>1632561.31</v>
      </c>
      <c r="AT37" s="15" t="n">
        <v>1511598.85</v>
      </c>
      <c r="AU37" s="15" t="n">
        <v>127799.9</v>
      </c>
      <c r="AV37" s="15" t="n">
        <v>376007.36</v>
      </c>
      <c r="AW37" s="15" t="n">
        <v>481359.59</v>
      </c>
      <c r="AX37" s="15" t="n">
        <v>1100375.55</v>
      </c>
      <c r="AY37" s="15" t="n">
        <v>1131955.16</v>
      </c>
      <c r="AZ37" s="15" t="n">
        <v>701108.35</v>
      </c>
      <c r="BA37" s="15" t="n">
        <v>261393.24</v>
      </c>
      <c r="BB37" s="15" t="n">
        <v>644640.99</v>
      </c>
      <c r="BC37" s="15" t="n">
        <v>1093929.72</v>
      </c>
      <c r="BD37" s="15" t="n">
        <v>2445552.83</v>
      </c>
      <c r="BE37" s="15" t="n">
        <v>2214539.62</v>
      </c>
      <c r="BF37" s="15" t="n">
        <v>757054.9399999999</v>
      </c>
      <c r="BG37" s="15" t="n">
        <v>374062.08</v>
      </c>
      <c r="BH37" s="15" t="n">
        <v>736553.96</v>
      </c>
      <c r="BI37" s="15" t="n">
        <v>2122065.94</v>
      </c>
      <c r="BJ37" s="15" t="n">
        <v>3025975.38</v>
      </c>
      <c r="BK37" s="15" t="n">
        <v>995560.67</v>
      </c>
      <c r="BL37" s="15" t="n">
        <v>1104268.29</v>
      </c>
      <c r="BM37" s="15" t="n">
        <v>17426.52</v>
      </c>
      <c r="BN37" s="15" t="n">
        <v>1133202.28</v>
      </c>
      <c r="BO37" s="15" t="n">
        <v>1438514.11</v>
      </c>
      <c r="BP37" s="15" t="n">
        <v>690849.88</v>
      </c>
      <c r="BQ37" s="15" t="n">
        <v>761710.35</v>
      </c>
      <c r="BR37" s="15" t="n">
        <v>698611.51</v>
      </c>
      <c r="BS37" s="15" t="n">
        <v>161715.73</v>
      </c>
      <c r="BT37" s="15" t="n">
        <v>666290.0600000001</v>
      </c>
      <c r="BU37" s="15" t="n">
        <v>2221044.29</v>
      </c>
      <c r="BV37" s="15" t="n">
        <v>950165.61</v>
      </c>
      <c r="BW37" s="15" t="n">
        <v>2233678.06</v>
      </c>
      <c r="BX37" s="15" t="n">
        <v>1314216.27</v>
      </c>
      <c r="BY37" s="15" t="n">
        <v>274562.86</v>
      </c>
      <c r="BZ37" s="15" t="n">
        <v>608491.84</v>
      </c>
      <c r="CA37" s="15" t="n">
        <v>1033954.66</v>
      </c>
      <c r="CB37" s="15" t="n">
        <v>2110718.75</v>
      </c>
      <c r="CC37" s="15" t="n">
        <v>1237074.75</v>
      </c>
      <c r="CD37" s="15" t="n">
        <v>1408013.5</v>
      </c>
      <c r="CE37" s="15" t="n">
        <v>299414.02</v>
      </c>
      <c r="CF37" s="15" t="n">
        <v>1071373.74</v>
      </c>
      <c r="CG37" s="15" t="n">
        <v>115430.3</v>
      </c>
      <c r="CH37" s="15" t="n">
        <v>1361758.7</v>
      </c>
      <c r="CI37" s="15" t="n">
        <v>1410469.83</v>
      </c>
      <c r="CJ37" s="15" t="n">
        <v>545369.4399999999</v>
      </c>
      <c r="CK37" s="15" t="n">
        <v>256218.97</v>
      </c>
      <c r="CL37" s="15" t="n">
        <v>64627.61</v>
      </c>
      <c r="CM37" s="15" t="n">
        <v>1559006.9</v>
      </c>
      <c r="CN37" s="15" t="n">
        <v>802699.5</v>
      </c>
      <c r="CO37" s="15" t="n">
        <v>942519.13</v>
      </c>
      <c r="CP37" s="15" t="n">
        <v>1205237.41</v>
      </c>
      <c r="CQ37" s="15" t="n">
        <v>65366.4</v>
      </c>
      <c r="CR37" s="15" t="n">
        <v>937783.89</v>
      </c>
      <c r="CS37" s="15" t="n">
        <v>2504000.55</v>
      </c>
      <c r="CT37" s="15" t="n">
        <v>1363386.13</v>
      </c>
      <c r="CU37" s="15" t="n">
        <v>1775328.99</v>
      </c>
      <c r="CV37" s="15" t="n">
        <v>267601.94</v>
      </c>
      <c r="CW37" s="15" t="n">
        <v>104058.66</v>
      </c>
      <c r="CX37" s="15" t="n">
        <v>1125851.74</v>
      </c>
      <c r="CY37" s="15" t="n">
        <v>2315146.45</v>
      </c>
      <c r="CZ37" s="15" t="n">
        <v>3537319.15</v>
      </c>
      <c r="DA37" s="15" t="n">
        <v>2216101.64</v>
      </c>
      <c r="DB37" s="15" t="n">
        <v>1314939.63</v>
      </c>
      <c r="DC37" s="15" t="n">
        <v>245449.49</v>
      </c>
      <c r="DD37" s="15" t="n">
        <v>65279.78</v>
      </c>
      <c r="DE37" s="15" t="n">
        <v>3077518.06</v>
      </c>
      <c r="DF37" s="15" t="n">
        <v>2932409.9</v>
      </c>
      <c r="DG37" s="15" t="n">
        <v>684173.49</v>
      </c>
      <c r="DH37" s="15" t="n">
        <v>296107.8</v>
      </c>
      <c r="DI37" s="15" t="n">
        <v>314135.29</v>
      </c>
      <c r="DJ37" s="15" t="n">
        <v>764714.52</v>
      </c>
      <c r="DK37" s="15" t="n">
        <v>858396.8199999999</v>
      </c>
      <c r="DL37" s="15" t="n">
        <v>1065509.79</v>
      </c>
      <c r="DM37" s="15" t="n">
        <v>2112589.69</v>
      </c>
      <c r="DN37" s="15" t="n">
        <v>697791.01</v>
      </c>
      <c r="DO37" s="15" t="n">
        <v>163920.97</v>
      </c>
      <c r="DP37" s="15" t="n">
        <v>-97476.92999999999</v>
      </c>
    </row>
    <row r="38">
      <c r="A38" s="4" t="inlineStr">
        <is>
          <t>复合调味粉</t>
        </is>
      </c>
      <c r="B38" s="15" t="n">
        <v>472510</v>
      </c>
      <c r="C38" s="15" t="n">
        <v>2297485.78</v>
      </c>
      <c r="D38" s="15" t="n">
        <v>965600.61</v>
      </c>
      <c r="E38" s="15" t="n">
        <v>299509.31</v>
      </c>
      <c r="F38" s="15" t="n">
        <v>-41769.58</v>
      </c>
      <c r="G38" s="15" t="n">
        <v>215146.57</v>
      </c>
      <c r="H38" s="15" t="n">
        <v>1563439.32</v>
      </c>
      <c r="I38" s="15" t="n">
        <v>1255050.93</v>
      </c>
      <c r="J38" s="15" t="n">
        <v>283389.29</v>
      </c>
      <c r="K38" s="15" t="n">
        <v>326992.16</v>
      </c>
      <c r="L38" s="15" t="n">
        <v>365114.19</v>
      </c>
      <c r="M38" s="15" t="n">
        <v>2380948.93</v>
      </c>
      <c r="N38" s="15" t="n">
        <v>2118217.49</v>
      </c>
      <c r="O38" s="15" t="n">
        <v>1275220.79</v>
      </c>
      <c r="P38" s="15" t="n">
        <v>761866.5</v>
      </c>
      <c r="Q38" s="15" t="n">
        <v>392098.54</v>
      </c>
      <c r="R38" s="15" t="n">
        <v>1155077.94</v>
      </c>
      <c r="S38" s="15" t="n">
        <v>916487.55</v>
      </c>
      <c r="T38" s="15" t="n">
        <v>1062274.22</v>
      </c>
      <c r="U38" s="15" t="n">
        <v>2151001.99</v>
      </c>
      <c r="V38" s="15" t="n">
        <v>419637.51</v>
      </c>
      <c r="W38" s="15" t="n">
        <v>15450.49</v>
      </c>
      <c r="X38" s="15" t="n">
        <v>174300.97</v>
      </c>
      <c r="Y38" s="15" t="n">
        <v>2996602.14</v>
      </c>
      <c r="Z38" s="15" t="n">
        <v>3056207.1</v>
      </c>
      <c r="AA38" s="15" t="n">
        <v>1637565.21</v>
      </c>
      <c r="AB38" s="15" t="n">
        <v>1002362.3</v>
      </c>
      <c r="AC38" s="15" t="n">
        <v>40686.82</v>
      </c>
      <c r="AD38" s="15" t="n">
        <v>1141623.89</v>
      </c>
      <c r="AE38" s="15" t="n">
        <v>2013284.82</v>
      </c>
      <c r="AF38" s="15" t="n">
        <v>1350116.82</v>
      </c>
      <c r="AG38" s="15" t="n">
        <v>1929604.87</v>
      </c>
      <c r="AH38" s="15" t="n">
        <v>379603.91</v>
      </c>
      <c r="AI38" s="15" t="n">
        <v>125480.71</v>
      </c>
      <c r="AJ38" s="15" t="n">
        <v>-96012.03</v>
      </c>
      <c r="AK38" s="15" t="n">
        <v>1824695.37</v>
      </c>
      <c r="AL38" s="15" t="n">
        <v>2197710.77</v>
      </c>
      <c r="AM38" s="15" t="n">
        <v>1683588.43</v>
      </c>
      <c r="AN38" s="15" t="n">
        <v>388771.16</v>
      </c>
      <c r="AO38" s="15" t="n">
        <v>47786.75</v>
      </c>
      <c r="AP38" s="15" t="n">
        <v>176700.59</v>
      </c>
      <c r="AQ38" s="15" t="n">
        <v>150739.58</v>
      </c>
      <c r="AR38" s="15" t="n">
        <v>1628564.75</v>
      </c>
      <c r="AS38" s="15" t="n">
        <v>1791306.14</v>
      </c>
      <c r="AT38" s="15" t="n">
        <v>440282.59</v>
      </c>
      <c r="AU38" s="15" t="n">
        <v>172964.59</v>
      </c>
      <c r="AV38" s="15" t="n">
        <v>-67360.86</v>
      </c>
      <c r="AW38" s="15" t="n">
        <v>488049.93</v>
      </c>
      <c r="AX38" s="15" t="n">
        <v>3343709.1</v>
      </c>
      <c r="AY38" s="15" t="n">
        <v>2208150.9</v>
      </c>
      <c r="AZ38" s="15" t="n">
        <v>798431.99</v>
      </c>
      <c r="BA38" s="15" t="n">
        <v>201583.25</v>
      </c>
      <c r="BB38" s="15" t="n">
        <v>1158443.48</v>
      </c>
      <c r="BC38" s="15" t="n">
        <v>840794.34</v>
      </c>
      <c r="BD38" s="15" t="n">
        <v>3881347.56</v>
      </c>
      <c r="BE38" s="15" t="n">
        <v>1344032.8</v>
      </c>
      <c r="BF38" s="15" t="n">
        <v>19735.87</v>
      </c>
      <c r="BG38" s="15" t="n">
        <v>312151.08</v>
      </c>
      <c r="BH38" s="15" t="n">
        <v>1032254.56</v>
      </c>
      <c r="BI38" s="15" t="n">
        <v>565581.15</v>
      </c>
      <c r="BJ38" s="15" t="n">
        <v>3215210.28</v>
      </c>
      <c r="BK38" s="15" t="n">
        <v>228583.92</v>
      </c>
      <c r="BL38" s="15" t="n">
        <v>356657.08</v>
      </c>
      <c r="BM38" s="15" t="n">
        <v>204460.29</v>
      </c>
      <c r="BN38" s="15" t="n">
        <v>339206.43</v>
      </c>
      <c r="BO38" s="15" t="n">
        <v>161464.96</v>
      </c>
      <c r="BP38" s="15" t="n">
        <v>2538557.21</v>
      </c>
      <c r="BQ38" s="15" t="n">
        <v>613562.5600000001</v>
      </c>
      <c r="BR38" s="15" t="n">
        <v>173459.37</v>
      </c>
      <c r="BS38" s="15" t="n">
        <v>67545.78</v>
      </c>
      <c r="BT38" s="15" t="n">
        <v>-60453.22</v>
      </c>
      <c r="BU38" s="15" t="n">
        <v>675041.42</v>
      </c>
      <c r="BV38" s="15" t="n">
        <v>3269659.59</v>
      </c>
      <c r="BW38" s="15" t="n">
        <v>976988.2</v>
      </c>
      <c r="BX38" s="15" t="n">
        <v>1219618.76</v>
      </c>
      <c r="BY38" s="15" t="n">
        <v>93005.55</v>
      </c>
      <c r="BZ38" s="15" t="n">
        <v>-69467.61</v>
      </c>
      <c r="CA38" s="15" t="n">
        <v>2472521.13</v>
      </c>
      <c r="CB38" s="15" t="n">
        <v>2407096.53</v>
      </c>
      <c r="CC38" s="15" t="n">
        <v>465322.78</v>
      </c>
      <c r="CD38" s="15" t="n">
        <v>282051.08</v>
      </c>
      <c r="CE38" s="15" t="n">
        <v>25836.61</v>
      </c>
      <c r="CF38" s="15" t="n">
        <v>172392.54</v>
      </c>
      <c r="CG38" s="15" t="n">
        <v>1786492.33</v>
      </c>
      <c r="CH38" s="15" t="n">
        <v>3667345.93</v>
      </c>
      <c r="CI38" s="15" t="n">
        <v>1186148.16</v>
      </c>
      <c r="CJ38" s="15" t="n">
        <v>71383.49000000001</v>
      </c>
      <c r="CK38" s="15" t="n">
        <v>52059.59</v>
      </c>
      <c r="CL38" s="15" t="n">
        <v>686498.1899999999</v>
      </c>
      <c r="CM38" s="15" t="n">
        <v>1959383.33</v>
      </c>
      <c r="CN38" s="15" t="n">
        <v>3598457.8</v>
      </c>
      <c r="CO38" s="15" t="n">
        <v>2279060.88</v>
      </c>
      <c r="CP38" s="15" t="n">
        <v>170730.19</v>
      </c>
      <c r="CQ38" s="15" t="n">
        <v>311127.04</v>
      </c>
      <c r="CR38" s="15" t="n">
        <v>500902.68</v>
      </c>
      <c r="CS38" s="15" t="n">
        <v>1068147.57</v>
      </c>
      <c r="CT38" s="15" t="n">
        <v>3623870.93</v>
      </c>
      <c r="CU38" s="15" t="n">
        <v>1688491.51</v>
      </c>
      <c r="CV38" s="15" t="n">
        <v>37766.11</v>
      </c>
      <c r="CW38" s="15" t="n">
        <v>282069.25</v>
      </c>
      <c r="CX38" s="15" t="n">
        <v>778755.6</v>
      </c>
      <c r="CY38" s="15" t="n">
        <v>2121712.51</v>
      </c>
      <c r="CZ38" s="15" t="n">
        <v>2584308.66</v>
      </c>
      <c r="DA38" s="15" t="n">
        <v>1816272.08</v>
      </c>
      <c r="DB38" s="15" t="n">
        <v>141425.04</v>
      </c>
      <c r="DC38" s="15" t="n">
        <v>189462.11</v>
      </c>
      <c r="DD38" s="15" t="n">
        <v>1021594.47</v>
      </c>
      <c r="DE38" s="15" t="n">
        <v>2707319.42</v>
      </c>
      <c r="DF38" s="15" t="n">
        <v>3543613.22</v>
      </c>
      <c r="DG38" s="15" t="n">
        <v>1978589.16</v>
      </c>
      <c r="DH38" s="15" t="n">
        <v>291875.57</v>
      </c>
      <c r="DI38" s="15" t="n">
        <v>123258.15</v>
      </c>
      <c r="DJ38" s="15" t="n">
        <v>260114.11</v>
      </c>
      <c r="DK38" s="15" t="n">
        <v>811804.22</v>
      </c>
      <c r="DL38" s="15" t="n">
        <v>3965456.02</v>
      </c>
      <c r="DM38" s="15" t="n">
        <v>1892339.56</v>
      </c>
      <c r="DN38" s="15" t="n">
        <v>824335.8</v>
      </c>
      <c r="DO38" s="15" t="n">
        <v>313021.99</v>
      </c>
      <c r="DP38" s="15" t="n">
        <v>-5323.77</v>
      </c>
    </row>
    <row r="39">
      <c r="A39" s="4" t="inlineStr">
        <is>
          <t>团餐</t>
        </is>
      </c>
      <c r="B39" s="15" t="n">
        <v>3659529.86</v>
      </c>
      <c r="C39" s="15" t="n">
        <v>783273.2</v>
      </c>
      <c r="D39" s="15" t="n">
        <v>1154551.76</v>
      </c>
      <c r="E39" s="15" t="n">
        <v>127342.42</v>
      </c>
      <c r="F39" s="15" t="n">
        <v>681576.79</v>
      </c>
      <c r="G39" s="15" t="n">
        <v>420144.77</v>
      </c>
      <c r="H39" s="15" t="n">
        <v>3907365.28</v>
      </c>
      <c r="I39" s="15" t="n">
        <v>185785.76</v>
      </c>
      <c r="J39" s="15" t="n">
        <v>1149401.78</v>
      </c>
      <c r="K39" s="15" t="n">
        <v>224560.23</v>
      </c>
      <c r="L39" s="15" t="n">
        <v>-145319.06</v>
      </c>
      <c r="M39" s="15" t="n">
        <v>1577536.14</v>
      </c>
      <c r="N39" s="15" t="n">
        <v>2169511.67</v>
      </c>
      <c r="O39" s="15" t="n">
        <v>486355.19</v>
      </c>
      <c r="P39" s="15" t="n">
        <v>68555.13</v>
      </c>
      <c r="Q39" s="15" t="n">
        <v>107770.1</v>
      </c>
      <c r="R39" s="15" t="n">
        <v>-96641.64</v>
      </c>
      <c r="S39" s="15" t="n">
        <v>808534.86</v>
      </c>
      <c r="T39" s="15" t="n">
        <v>3965753.65</v>
      </c>
      <c r="U39" s="15" t="n">
        <v>1739072</v>
      </c>
      <c r="V39" s="15" t="n">
        <v>31317.72</v>
      </c>
      <c r="W39" s="15" t="n">
        <v>348871.49</v>
      </c>
      <c r="X39" s="15" t="n">
        <v>1109005.12</v>
      </c>
      <c r="Y39" s="15" t="n">
        <v>697802.76</v>
      </c>
      <c r="Z39" s="15" t="n">
        <v>2538229.91</v>
      </c>
      <c r="AA39" s="15" t="n">
        <v>1383704.55</v>
      </c>
      <c r="AB39" s="15" t="n">
        <v>196626.83</v>
      </c>
      <c r="AC39" s="15" t="n">
        <v>336251.21</v>
      </c>
      <c r="AD39" s="15" t="n">
        <v>68114.49000000001</v>
      </c>
      <c r="AE39" s="15" t="n">
        <v>1257058.4</v>
      </c>
      <c r="AF39" s="15" t="n">
        <v>2750551.89</v>
      </c>
      <c r="AG39" s="15" t="n">
        <v>106816.84</v>
      </c>
      <c r="AH39" s="15" t="n">
        <v>1380015.69</v>
      </c>
      <c r="AI39" s="15" t="n">
        <v>349210.37</v>
      </c>
      <c r="AJ39" s="15" t="n">
        <v>131985.16</v>
      </c>
      <c r="AK39" s="15" t="n">
        <v>895976.49</v>
      </c>
      <c r="AL39" s="15" t="n">
        <v>378232.98</v>
      </c>
      <c r="AM39" s="15" t="n">
        <v>597042.1800000001</v>
      </c>
      <c r="AN39" s="15" t="n">
        <v>1098253.87</v>
      </c>
      <c r="AO39" s="15" t="n">
        <v>303619.24</v>
      </c>
      <c r="AP39" s="15" t="n">
        <v>94187.05</v>
      </c>
      <c r="AQ39" s="15" t="n">
        <v>1477922.72</v>
      </c>
      <c r="AR39" s="15" t="n">
        <v>707895.11</v>
      </c>
      <c r="AS39" s="15" t="n">
        <v>395050.39</v>
      </c>
      <c r="AT39" s="15" t="n">
        <v>1392409.29</v>
      </c>
      <c r="AU39" s="15" t="n">
        <v>354549.87</v>
      </c>
      <c r="AV39" s="15" t="n">
        <v>-39969.35</v>
      </c>
      <c r="AW39" s="15" t="n">
        <v>414301.1</v>
      </c>
      <c r="AX39" s="15" t="n">
        <v>1791679.61</v>
      </c>
      <c r="AY39" s="15" t="n">
        <v>1374526.84</v>
      </c>
      <c r="AZ39" s="15" t="n">
        <v>1165265.89</v>
      </c>
      <c r="BA39" s="15" t="n">
        <v>72924.73</v>
      </c>
      <c r="BB39" s="15" t="n">
        <v>1138212.81</v>
      </c>
      <c r="BC39" s="15" t="n">
        <v>2400673.44</v>
      </c>
      <c r="BD39" s="15" t="n">
        <v>736463.97</v>
      </c>
      <c r="BE39" s="15" t="n">
        <v>956530.29</v>
      </c>
      <c r="BF39" s="15" t="n">
        <v>1092539.07</v>
      </c>
      <c r="BG39" s="15" t="n">
        <v>47793.47</v>
      </c>
      <c r="BH39" s="15" t="n">
        <v>870142.59</v>
      </c>
      <c r="BI39" s="15" t="n">
        <v>1321195.26</v>
      </c>
      <c r="BJ39" s="15" t="n">
        <v>2061703.74</v>
      </c>
      <c r="BK39" s="15" t="n">
        <v>313634.33</v>
      </c>
      <c r="BL39" s="15" t="n">
        <v>701882.12</v>
      </c>
      <c r="BM39" s="15" t="n">
        <v>369818.83</v>
      </c>
      <c r="BN39" s="15" t="n">
        <v>920745.0699999999</v>
      </c>
      <c r="BO39" s="15" t="n">
        <v>2390818.92</v>
      </c>
      <c r="BP39" s="15" t="n">
        <v>1692823.27</v>
      </c>
      <c r="BQ39" s="15" t="n">
        <v>367164.97</v>
      </c>
      <c r="BR39" s="15" t="n">
        <v>962919.5600000001</v>
      </c>
      <c r="BS39" s="15" t="n">
        <v>78371.21000000001</v>
      </c>
      <c r="BT39" s="15" t="n">
        <v>-29643.07</v>
      </c>
      <c r="BU39" s="15" t="n">
        <v>656083.1899999999</v>
      </c>
      <c r="BV39" s="15" t="n">
        <v>1636149.66</v>
      </c>
      <c r="BW39" s="15" t="n">
        <v>651498.64</v>
      </c>
      <c r="BX39" s="15" t="n">
        <v>284147.5</v>
      </c>
      <c r="BY39" s="15" t="n">
        <v>181430</v>
      </c>
      <c r="BZ39" s="15" t="n">
        <v>900410.5600000001</v>
      </c>
      <c r="CA39" s="15" t="n">
        <v>599102.23</v>
      </c>
      <c r="CB39" s="15" t="n">
        <v>239919.83</v>
      </c>
      <c r="CC39" s="15" t="n">
        <v>1396571.65</v>
      </c>
      <c r="CD39" s="15" t="n">
        <v>148532.27</v>
      </c>
      <c r="CE39" s="15" t="n">
        <v>276821.63</v>
      </c>
      <c r="CF39" s="15" t="n">
        <v>1106254.15</v>
      </c>
      <c r="CG39" s="15" t="n">
        <v>1123995.15</v>
      </c>
      <c r="CH39" s="15" t="n">
        <v>2591608.59</v>
      </c>
      <c r="CI39" s="15" t="n">
        <v>102462.8</v>
      </c>
      <c r="CJ39" s="15" t="n">
        <v>1513551.35</v>
      </c>
      <c r="CK39" s="15" t="n">
        <v>12674.85</v>
      </c>
      <c r="CL39" s="15" t="n">
        <v>917039.59</v>
      </c>
      <c r="CM39" s="15" t="n">
        <v>307365.14</v>
      </c>
      <c r="CN39" s="15" t="n">
        <v>2125871.04</v>
      </c>
      <c r="CO39" s="15" t="n">
        <v>1880928.47</v>
      </c>
      <c r="CP39" s="15" t="n">
        <v>112067.42</v>
      </c>
      <c r="CQ39" s="15" t="n">
        <v>142345.28</v>
      </c>
      <c r="CR39" s="15" t="n">
        <v>448407.85</v>
      </c>
      <c r="CS39" s="15" t="n">
        <v>2558266.35</v>
      </c>
      <c r="CT39" s="15" t="n">
        <v>90304.87</v>
      </c>
      <c r="CU39" s="15" t="n">
        <v>658244.76</v>
      </c>
      <c r="CV39" s="15" t="n">
        <v>522737.47</v>
      </c>
      <c r="CW39" s="15" t="n">
        <v>222717.42</v>
      </c>
      <c r="CX39" s="15" t="n">
        <v>401490.2</v>
      </c>
      <c r="CY39" s="15" t="n">
        <v>1598721.7</v>
      </c>
      <c r="CZ39" s="15" t="n">
        <v>324156.21</v>
      </c>
      <c r="DA39" s="15" t="n">
        <v>1886485.77</v>
      </c>
      <c r="DB39" s="15" t="n">
        <v>814664.88</v>
      </c>
      <c r="DC39" s="15" t="n">
        <v>178976.26</v>
      </c>
      <c r="DD39" s="15" t="n">
        <v>669561.4300000001</v>
      </c>
      <c r="DE39" s="15" t="n">
        <v>219266.63</v>
      </c>
      <c r="DF39" s="15" t="n">
        <v>107194.39</v>
      </c>
      <c r="DG39" s="15" t="n">
        <v>1588679.7</v>
      </c>
      <c r="DH39" s="15" t="n">
        <v>375919.35</v>
      </c>
      <c r="DI39" s="15" t="n">
        <v>17289.01</v>
      </c>
      <c r="DJ39" s="15" t="n">
        <v>451328.26</v>
      </c>
      <c r="DK39" s="15" t="n">
        <v>918878.88</v>
      </c>
      <c r="DL39" s="15" t="n">
        <v>1232932.31</v>
      </c>
      <c r="DM39" s="15" t="n">
        <v>142873.83</v>
      </c>
      <c r="DN39" s="15" t="n">
        <v>1495082.06</v>
      </c>
      <c r="DO39" s="15" t="n">
        <v>99058.72</v>
      </c>
      <c r="DP39" s="15" t="n">
        <v>285635.39</v>
      </c>
    </row>
    <row r="40">
      <c r="A40" s="4" t="inlineStr">
        <is>
          <t>预制菜</t>
        </is>
      </c>
      <c r="B40" s="15" t="n">
        <v>3591528.3</v>
      </c>
      <c r="C40" s="15" t="n">
        <v>246063.67</v>
      </c>
      <c r="D40" s="15" t="n">
        <v>1445987.67</v>
      </c>
      <c r="E40" s="15" t="n">
        <v>181211.46</v>
      </c>
      <c r="F40" s="15" t="n">
        <v>458204.9</v>
      </c>
      <c r="G40" s="15" t="n">
        <v>1929741.21</v>
      </c>
      <c r="H40" s="15" t="n">
        <v>1815348.28</v>
      </c>
      <c r="I40" s="15" t="n">
        <v>2235000.99</v>
      </c>
      <c r="J40" s="15" t="n">
        <v>233871.86</v>
      </c>
      <c r="K40" s="15" t="n">
        <v>81460.11</v>
      </c>
      <c r="L40" s="15" t="n">
        <v>-124913.73</v>
      </c>
      <c r="M40" s="15" t="n">
        <v>2719410.56</v>
      </c>
      <c r="N40" s="15" t="n">
        <v>2224802.5</v>
      </c>
      <c r="O40" s="15" t="n">
        <v>603679.13</v>
      </c>
      <c r="P40" s="15" t="n">
        <v>33237.36</v>
      </c>
      <c r="Q40" s="15" t="n">
        <v>50312.5</v>
      </c>
      <c r="R40" s="15" t="n">
        <v>861912.8199999999</v>
      </c>
      <c r="S40" s="15" t="n">
        <v>262229.49</v>
      </c>
      <c r="T40" s="15" t="n">
        <v>837647.9</v>
      </c>
      <c r="U40" s="15" t="n">
        <v>113123.09</v>
      </c>
      <c r="V40" s="15" t="n">
        <v>1434299.59</v>
      </c>
      <c r="W40" s="15" t="n">
        <v>341134.1</v>
      </c>
      <c r="X40" s="15" t="n">
        <v>566462.34</v>
      </c>
      <c r="Y40" s="15" t="n">
        <v>292915.45</v>
      </c>
      <c r="Z40" s="15" t="n">
        <v>2502367.81</v>
      </c>
      <c r="AA40" s="15" t="n">
        <v>140998.68</v>
      </c>
      <c r="AB40" s="15" t="n">
        <v>62680.81</v>
      </c>
      <c r="AC40" s="15" t="n">
        <v>126716.75</v>
      </c>
      <c r="AD40" s="15" t="n">
        <v>385672.46</v>
      </c>
      <c r="AE40" s="15" t="n">
        <v>265381.25</v>
      </c>
      <c r="AF40" s="15" t="n">
        <v>2723679.62</v>
      </c>
      <c r="AG40" s="15" t="n">
        <v>1548662.64</v>
      </c>
      <c r="AH40" s="15" t="n">
        <v>1333763.31</v>
      </c>
      <c r="AI40" s="15" t="n">
        <v>343497.51</v>
      </c>
      <c r="AJ40" s="15" t="n">
        <v>485481.38</v>
      </c>
      <c r="AK40" s="15" t="n">
        <v>307478.72</v>
      </c>
      <c r="AL40" s="15" t="n">
        <v>427764.69</v>
      </c>
      <c r="AM40" s="15" t="n">
        <v>163304.11</v>
      </c>
      <c r="AN40" s="15" t="n">
        <v>638317.17</v>
      </c>
      <c r="AO40" s="15" t="n">
        <v>219981.51</v>
      </c>
      <c r="AP40" s="15" t="n">
        <v>1117258.08</v>
      </c>
      <c r="AQ40" s="15" t="n">
        <v>2754083.78</v>
      </c>
      <c r="AR40" s="15" t="n">
        <v>2301622.09</v>
      </c>
      <c r="AS40" s="15" t="n">
        <v>2193868.81</v>
      </c>
      <c r="AT40" s="15" t="n">
        <v>896942.64</v>
      </c>
      <c r="AU40" s="15" t="n">
        <v>381234.4</v>
      </c>
      <c r="AV40" s="15" t="n">
        <v>697827.1800000001</v>
      </c>
      <c r="AW40" s="15" t="n">
        <v>344875.4</v>
      </c>
      <c r="AX40" s="15" t="n">
        <v>3585398.22</v>
      </c>
      <c r="AY40" s="15" t="n">
        <v>1895327.39</v>
      </c>
      <c r="AZ40" s="15" t="n">
        <v>419312.43</v>
      </c>
      <c r="BA40" s="15" t="n">
        <v>29956.11</v>
      </c>
      <c r="BB40" s="15" t="n">
        <v>844055.48</v>
      </c>
      <c r="BC40" s="15" t="n">
        <v>1958661.33</v>
      </c>
      <c r="BD40" s="15" t="n">
        <v>1286989.88</v>
      </c>
      <c r="BE40" s="15" t="n">
        <v>748337.62</v>
      </c>
      <c r="BF40" s="15" t="n">
        <v>1100628.15</v>
      </c>
      <c r="BG40" s="15" t="n">
        <v>376493.2</v>
      </c>
      <c r="BH40" s="15" t="n">
        <v>577675.87</v>
      </c>
      <c r="BI40" s="15" t="n">
        <v>2126372.05</v>
      </c>
      <c r="BJ40" s="15" t="n">
        <v>552243.71</v>
      </c>
      <c r="BK40" s="15" t="n">
        <v>194860.79</v>
      </c>
      <c r="BL40" s="15" t="n">
        <v>212886.51</v>
      </c>
      <c r="BM40" s="15" t="n">
        <v>398743.39</v>
      </c>
      <c r="BN40" s="15" t="n">
        <v>1130409.99</v>
      </c>
      <c r="BO40" s="15" t="n">
        <v>924439.15</v>
      </c>
      <c r="BP40" s="15" t="n">
        <v>3642439.75</v>
      </c>
      <c r="BQ40" s="15" t="n">
        <v>1691344.76</v>
      </c>
      <c r="BR40" s="15" t="n">
        <v>807758.53</v>
      </c>
      <c r="BS40" s="15" t="n">
        <v>280519.42</v>
      </c>
      <c r="BT40" s="15" t="n">
        <v>472022.06</v>
      </c>
      <c r="BU40" s="15" t="n">
        <v>1368867.32</v>
      </c>
      <c r="BV40" s="15" t="n">
        <v>359208.57</v>
      </c>
      <c r="BW40" s="15" t="n">
        <v>2071923.55</v>
      </c>
      <c r="BX40" s="15" t="n">
        <v>220726.15</v>
      </c>
      <c r="BY40" s="15" t="n">
        <v>229281.78</v>
      </c>
      <c r="BZ40" s="15" t="n">
        <v>843399.16</v>
      </c>
      <c r="CA40" s="15" t="n">
        <v>366414.78</v>
      </c>
      <c r="CB40" s="15" t="n">
        <v>232921.3</v>
      </c>
      <c r="CC40" s="15" t="n">
        <v>408511.13</v>
      </c>
      <c r="CD40" s="15" t="n">
        <v>165778.91</v>
      </c>
      <c r="CE40" s="15" t="n">
        <v>173488.91</v>
      </c>
      <c r="CF40" s="15" t="n">
        <v>290304.39</v>
      </c>
      <c r="CG40" s="15" t="n">
        <v>2986708.32</v>
      </c>
      <c r="CH40" s="15" t="n">
        <v>1974030.2</v>
      </c>
      <c r="CI40" s="15" t="n">
        <v>2276825.37</v>
      </c>
      <c r="CJ40" s="15" t="n">
        <v>1217277.7</v>
      </c>
      <c r="CK40" s="15" t="n">
        <v>23727.8</v>
      </c>
      <c r="CL40" s="15" t="n">
        <v>1042661.66</v>
      </c>
      <c r="CM40" s="15" t="n">
        <v>2150947.37</v>
      </c>
      <c r="CN40" s="15" t="n">
        <v>2256065.78</v>
      </c>
      <c r="CO40" s="15" t="n">
        <v>639722.1800000001</v>
      </c>
      <c r="CP40" s="15" t="n">
        <v>1576518.68</v>
      </c>
      <c r="CQ40" s="15" t="n">
        <v>383242.82</v>
      </c>
      <c r="CR40" s="15" t="n">
        <v>255253.81</v>
      </c>
      <c r="CS40" s="15" t="n">
        <v>1647057.75</v>
      </c>
      <c r="CT40" s="15" t="n">
        <v>715678.11</v>
      </c>
      <c r="CU40" s="15" t="n">
        <v>1130975.63</v>
      </c>
      <c r="CV40" s="15" t="n">
        <v>231400.06</v>
      </c>
      <c r="CW40" s="15" t="n">
        <v>345918.79</v>
      </c>
      <c r="CX40" s="15" t="n">
        <v>830798.53</v>
      </c>
      <c r="CY40" s="15" t="n">
        <v>250023.45</v>
      </c>
      <c r="CZ40" s="15" t="n">
        <v>3676232.06</v>
      </c>
      <c r="DA40" s="15" t="n">
        <v>1544133.01</v>
      </c>
      <c r="DB40" s="15" t="n">
        <v>1036623.24</v>
      </c>
      <c r="DC40" s="15" t="n">
        <v>79573.77</v>
      </c>
      <c r="DD40" s="15" t="n">
        <v>204171.3</v>
      </c>
      <c r="DE40" s="15" t="n">
        <v>1832793.23</v>
      </c>
      <c r="DF40" s="15" t="n">
        <v>1939261.27</v>
      </c>
      <c r="DG40" s="15" t="n">
        <v>602414.4300000001</v>
      </c>
      <c r="DH40" s="15" t="n">
        <v>1138665.65</v>
      </c>
      <c r="DI40" s="15" t="n">
        <v>203549.55</v>
      </c>
      <c r="DJ40" s="15" t="n">
        <v>1170719.33</v>
      </c>
      <c r="DK40" s="15" t="n">
        <v>3066145.37</v>
      </c>
      <c r="DL40" s="15" t="n">
        <v>2508044.7</v>
      </c>
      <c r="DM40" s="15" t="n">
        <v>2109310.48</v>
      </c>
      <c r="DN40" s="15" t="n">
        <v>317236.23</v>
      </c>
      <c r="DO40" s="15" t="n">
        <v>254419.27</v>
      </c>
      <c r="DP40" s="15" t="n">
        <v>301652.38</v>
      </c>
    </row>
    <row r="41">
      <c r="A41" s="4" t="inlineStr">
        <is>
          <t>其他产品A</t>
        </is>
      </c>
      <c r="B41" s="15" t="n">
        <v>1932583.29</v>
      </c>
      <c r="C41" s="15" t="n">
        <v>1657853.77</v>
      </c>
      <c r="D41" s="15" t="n">
        <v>41179.7</v>
      </c>
      <c r="E41" s="15" t="n">
        <v>282410.87</v>
      </c>
      <c r="F41" s="15" t="n">
        <v>186713.04</v>
      </c>
      <c r="G41" s="15" t="n">
        <v>2868461.5</v>
      </c>
      <c r="H41" s="15" t="n">
        <v>2480635.03</v>
      </c>
      <c r="I41" s="15" t="n">
        <v>1401167.24</v>
      </c>
      <c r="J41" s="15" t="n">
        <v>651000.09</v>
      </c>
      <c r="K41" s="15" t="n">
        <v>174085.69</v>
      </c>
      <c r="L41" s="15" t="n">
        <v>810859.66</v>
      </c>
      <c r="M41" s="15" t="n">
        <v>2572518.01</v>
      </c>
      <c r="N41" s="15" t="n">
        <v>1288672.4</v>
      </c>
      <c r="O41" s="15" t="n">
        <v>951460.1899999999</v>
      </c>
      <c r="P41" s="15" t="n">
        <v>861405.3</v>
      </c>
      <c r="Q41" s="15" t="n">
        <v>112494.32</v>
      </c>
      <c r="R41" s="15" t="n">
        <v>761167.59</v>
      </c>
      <c r="S41" s="15" t="n">
        <v>843176.6800000001</v>
      </c>
      <c r="T41" s="15" t="n">
        <v>2264368.08</v>
      </c>
      <c r="U41" s="15" t="n">
        <v>798511.73</v>
      </c>
      <c r="V41" s="15" t="n">
        <v>1217932.47</v>
      </c>
      <c r="W41" s="15" t="n">
        <v>320057.23</v>
      </c>
      <c r="X41" s="15" t="n">
        <v>311652.59</v>
      </c>
      <c r="Y41" s="15" t="n">
        <v>2290913.47</v>
      </c>
      <c r="Z41" s="15" t="n">
        <v>2443017.2</v>
      </c>
      <c r="AA41" s="15" t="n">
        <v>1348829.28</v>
      </c>
      <c r="AB41" s="15" t="n">
        <v>891725.52</v>
      </c>
      <c r="AC41" s="15" t="n">
        <v>267313.27</v>
      </c>
      <c r="AD41" s="15" t="n">
        <v>391155.2</v>
      </c>
      <c r="AE41" s="15" t="n">
        <v>2538410.72</v>
      </c>
      <c r="AF41" s="15" t="n">
        <v>689641.92</v>
      </c>
      <c r="AG41" s="15" t="n">
        <v>633479.55</v>
      </c>
      <c r="AH41" s="15" t="n">
        <v>1557722.33</v>
      </c>
      <c r="AI41" s="15" t="n">
        <v>347676.17</v>
      </c>
      <c r="AJ41" s="15" t="n">
        <v>969392.83</v>
      </c>
      <c r="AK41" s="15" t="n">
        <v>2751199.5</v>
      </c>
      <c r="AL41" s="15" t="n">
        <v>3588220.22</v>
      </c>
      <c r="AM41" s="15" t="n">
        <v>2256708.25</v>
      </c>
      <c r="AN41" s="15" t="n">
        <v>1015137.65</v>
      </c>
      <c r="AO41" s="15" t="n">
        <v>30156.2</v>
      </c>
      <c r="AP41" s="15" t="n">
        <v>-18069.73</v>
      </c>
      <c r="AQ41" s="15" t="n">
        <v>1394061.57</v>
      </c>
      <c r="AR41" s="15" t="n">
        <v>1043705.42</v>
      </c>
      <c r="AS41" s="15" t="n">
        <v>1881488.51</v>
      </c>
      <c r="AT41" s="15" t="n">
        <v>200838.39</v>
      </c>
      <c r="AU41" s="15" t="n">
        <v>278933.35</v>
      </c>
      <c r="AV41" s="15" t="n">
        <v>21141.86</v>
      </c>
      <c r="AW41" s="15" t="n">
        <v>1238115.46</v>
      </c>
      <c r="AX41" s="15" t="n">
        <v>2783676.66</v>
      </c>
      <c r="AY41" s="15" t="n">
        <v>648761.87</v>
      </c>
      <c r="AZ41" s="15" t="n">
        <v>1107431.78</v>
      </c>
      <c r="BA41" s="15" t="n">
        <v>142600.48</v>
      </c>
      <c r="BB41" s="15" t="n">
        <v>1162317.44</v>
      </c>
      <c r="BC41" s="15" t="n">
        <v>1367328.95</v>
      </c>
      <c r="BD41" s="15" t="n">
        <v>1652514.03</v>
      </c>
      <c r="BE41" s="15" t="n">
        <v>1928920.24</v>
      </c>
      <c r="BF41" s="15" t="n">
        <v>852635.63</v>
      </c>
      <c r="BG41" s="15" t="n">
        <v>172479.32</v>
      </c>
      <c r="BH41" s="15" t="n">
        <v>1046176.13</v>
      </c>
      <c r="BI41" s="15" t="n">
        <v>675389.14</v>
      </c>
      <c r="BJ41" s="15" t="n">
        <v>1880730.73</v>
      </c>
      <c r="BK41" s="15" t="n">
        <v>714350.6899999999</v>
      </c>
      <c r="BL41" s="15" t="n">
        <v>437889.7</v>
      </c>
      <c r="BM41" s="15" t="n">
        <v>150323.35</v>
      </c>
      <c r="BN41" s="15" t="n">
        <v>814578.39</v>
      </c>
      <c r="BO41" s="15" t="n">
        <v>2385256.3</v>
      </c>
      <c r="BP41" s="15" t="n">
        <v>3545392.8</v>
      </c>
      <c r="BQ41" s="15" t="n">
        <v>2266631.09</v>
      </c>
      <c r="BR41" s="15" t="n">
        <v>338163.06</v>
      </c>
      <c r="BS41" s="15" t="n">
        <v>349535.02</v>
      </c>
      <c r="BT41" s="15" t="n">
        <v>1110260.85</v>
      </c>
      <c r="BU41" s="15" t="n">
        <v>327589.33</v>
      </c>
      <c r="BV41" s="15" t="n">
        <v>492591.38</v>
      </c>
      <c r="BW41" s="15" t="n">
        <v>846583.88</v>
      </c>
      <c r="BX41" s="15" t="n">
        <v>1424823.18</v>
      </c>
      <c r="BY41" s="15" t="n">
        <v>111870.85</v>
      </c>
      <c r="BZ41" s="15" t="n">
        <v>1188612.3</v>
      </c>
      <c r="CA41" s="15" t="n">
        <v>1106562.66</v>
      </c>
      <c r="CB41" s="15" t="n">
        <v>2594856.46</v>
      </c>
      <c r="CC41" s="15" t="n">
        <v>440079.74</v>
      </c>
      <c r="CD41" s="15" t="n">
        <v>1303714.7</v>
      </c>
      <c r="CE41" s="15" t="n">
        <v>255656.37</v>
      </c>
      <c r="CF41" s="15" t="n">
        <v>562810.9</v>
      </c>
      <c r="CG41" s="15" t="n">
        <v>1002550.29</v>
      </c>
      <c r="CH41" s="15" t="n">
        <v>3436670.36</v>
      </c>
      <c r="CI41" s="15" t="n">
        <v>1854983.77</v>
      </c>
      <c r="CJ41" s="15" t="n">
        <v>615647.61</v>
      </c>
      <c r="CK41" s="15" t="n">
        <v>206221.5</v>
      </c>
      <c r="CL41" s="15" t="n">
        <v>1062954.69</v>
      </c>
      <c r="CM41" s="15" t="n">
        <v>297927.88</v>
      </c>
      <c r="CN41" s="15" t="n">
        <v>2526238.53</v>
      </c>
      <c r="CO41" s="15" t="n">
        <v>337334.56</v>
      </c>
      <c r="CP41" s="15" t="n">
        <v>1457202.42</v>
      </c>
      <c r="CQ41" s="15" t="n">
        <v>115059.41</v>
      </c>
      <c r="CR41" s="15" t="n">
        <v>507922.12</v>
      </c>
      <c r="CS41" s="15" t="n">
        <v>1978373.63</v>
      </c>
      <c r="CT41" s="15" t="n">
        <v>3616135.79</v>
      </c>
      <c r="CU41" s="15" t="n">
        <v>1601795.96</v>
      </c>
      <c r="CV41" s="15" t="n">
        <v>472625.03</v>
      </c>
      <c r="CW41" s="15" t="n">
        <v>237961.25</v>
      </c>
      <c r="CX41" s="15" t="n">
        <v>1034681.41</v>
      </c>
      <c r="CY41" s="15" t="n">
        <v>3170826.4</v>
      </c>
      <c r="CZ41" s="15" t="n">
        <v>760235.41</v>
      </c>
      <c r="DA41" s="15" t="n">
        <v>1085060.58</v>
      </c>
      <c r="DB41" s="15" t="n">
        <v>339607.16</v>
      </c>
      <c r="DC41" s="15" t="n">
        <v>92047.81</v>
      </c>
      <c r="DD41" s="15" t="n">
        <v>1074084.37</v>
      </c>
      <c r="DE41" s="15" t="n">
        <v>2003055</v>
      </c>
      <c r="DF41" s="15" t="n">
        <v>3538037.54</v>
      </c>
      <c r="DG41" s="15" t="n">
        <v>929193.71</v>
      </c>
      <c r="DH41" s="15" t="n">
        <v>1037913.27</v>
      </c>
      <c r="DI41" s="15" t="n">
        <v>326297</v>
      </c>
      <c r="DJ41" s="15" t="n">
        <v>329781.7</v>
      </c>
      <c r="DK41" s="15" t="n">
        <v>2742354.55</v>
      </c>
      <c r="DL41" s="15" t="n">
        <v>319728.75</v>
      </c>
      <c r="DM41" s="15" t="n">
        <v>791430.51</v>
      </c>
      <c r="DN41" s="15" t="n">
        <v>204859.32</v>
      </c>
      <c r="DO41" s="15" t="n">
        <v>152484.9</v>
      </c>
      <c r="DP41" s="15" t="n">
        <v>1123662.88</v>
      </c>
    </row>
    <row r="42">
      <c r="A42" s="4" t="inlineStr">
        <is>
          <t>其他产品B</t>
        </is>
      </c>
      <c r="B42" s="15" t="n">
        <v>375154.06</v>
      </c>
      <c r="C42" s="15" t="n">
        <v>1292283.83</v>
      </c>
      <c r="D42" s="15" t="n">
        <v>1372905.31</v>
      </c>
      <c r="E42" s="15" t="n">
        <v>196201.95</v>
      </c>
      <c r="F42" s="15" t="n">
        <v>613616.96</v>
      </c>
      <c r="G42" s="15" t="n">
        <v>2940970.61</v>
      </c>
      <c r="H42" s="15" t="n">
        <v>3598924.5</v>
      </c>
      <c r="I42" s="15" t="n">
        <v>162581.6</v>
      </c>
      <c r="J42" s="15" t="n">
        <v>1533251.25</v>
      </c>
      <c r="K42" s="15" t="n">
        <v>326604.67</v>
      </c>
      <c r="L42" s="15" t="n">
        <v>598478.96</v>
      </c>
      <c r="M42" s="15" t="n">
        <v>879596.4300000001</v>
      </c>
      <c r="N42" s="15" t="n">
        <v>2981388.93</v>
      </c>
      <c r="O42" s="15" t="n">
        <v>2394454.36</v>
      </c>
      <c r="P42" s="15" t="n">
        <v>56726.34</v>
      </c>
      <c r="Q42" s="15" t="n">
        <v>205243.48</v>
      </c>
      <c r="R42" s="15" t="n">
        <v>30827.09</v>
      </c>
      <c r="S42" s="15" t="n">
        <v>1332518.15</v>
      </c>
      <c r="T42" s="15" t="n">
        <v>1255451.46</v>
      </c>
      <c r="U42" s="15" t="n">
        <v>2282733.79</v>
      </c>
      <c r="V42" s="15" t="n">
        <v>1192573.72</v>
      </c>
      <c r="W42" s="15" t="n">
        <v>217748.49</v>
      </c>
      <c r="X42" s="15" t="n">
        <v>765554.1</v>
      </c>
      <c r="Y42" s="15" t="n">
        <v>3132510.1</v>
      </c>
      <c r="Z42" s="15" t="n">
        <v>3763897.46</v>
      </c>
      <c r="AA42" s="15" t="n">
        <v>773682.58</v>
      </c>
      <c r="AB42" s="15" t="n">
        <v>1195727</v>
      </c>
      <c r="AC42" s="15" t="n">
        <v>395212.12</v>
      </c>
      <c r="AD42" s="15" t="n">
        <v>704537.41</v>
      </c>
      <c r="AE42" s="15" t="n">
        <v>2951993.12</v>
      </c>
      <c r="AF42" s="15" t="n">
        <v>2557065.06</v>
      </c>
      <c r="AG42" s="15" t="n">
        <v>79155.25999999999</v>
      </c>
      <c r="AH42" s="15" t="n">
        <v>682417.89</v>
      </c>
      <c r="AI42" s="15" t="n">
        <v>299430.83</v>
      </c>
      <c r="AJ42" s="15" t="n">
        <v>369388.8</v>
      </c>
      <c r="AK42" s="15" t="n">
        <v>2338834.96</v>
      </c>
      <c r="AL42" s="15" t="n">
        <v>1560269.94</v>
      </c>
      <c r="AM42" s="15" t="n">
        <v>2082289.2</v>
      </c>
      <c r="AN42" s="15" t="n">
        <v>1008622.41</v>
      </c>
      <c r="AO42" s="15" t="n">
        <v>102999.46</v>
      </c>
      <c r="AP42" s="15" t="n">
        <v>446388.51</v>
      </c>
      <c r="AQ42" s="15" t="n">
        <v>1034628.14</v>
      </c>
      <c r="AR42" s="15" t="n">
        <v>481564.21</v>
      </c>
      <c r="AS42" s="15" t="n">
        <v>1957943.3</v>
      </c>
      <c r="AT42" s="15" t="n">
        <v>1281583.75</v>
      </c>
      <c r="AU42" s="15" t="n">
        <v>319954.11</v>
      </c>
      <c r="AV42" s="15" t="n">
        <v>545666.9</v>
      </c>
      <c r="AW42" s="15" t="n">
        <v>1604041.01</v>
      </c>
      <c r="AX42" s="15" t="n">
        <v>3826548.39</v>
      </c>
      <c r="AY42" s="15" t="n">
        <v>1526998.7</v>
      </c>
      <c r="AZ42" s="15" t="n">
        <v>627039.86</v>
      </c>
      <c r="BA42" s="15" t="n">
        <v>11510.05</v>
      </c>
      <c r="BB42" s="15" t="n">
        <v>-54563.85</v>
      </c>
      <c r="BC42" s="15" t="n">
        <v>2487322.88</v>
      </c>
      <c r="BD42" s="15" t="n">
        <v>1796061.07</v>
      </c>
      <c r="BE42" s="15" t="n">
        <v>871191.23</v>
      </c>
      <c r="BF42" s="15" t="n">
        <v>30238.13</v>
      </c>
      <c r="BG42" s="15" t="n">
        <v>50132.59</v>
      </c>
      <c r="BH42" s="15" t="n">
        <v>63978.32</v>
      </c>
      <c r="BI42" s="15" t="n">
        <v>70979.03999999999</v>
      </c>
      <c r="BJ42" s="15" t="n">
        <v>2930417.02</v>
      </c>
      <c r="BK42" s="15" t="n">
        <v>497257.45</v>
      </c>
      <c r="BL42" s="15" t="n">
        <v>673858.78</v>
      </c>
      <c r="BM42" s="15" t="n">
        <v>8645.91</v>
      </c>
      <c r="BN42" s="15" t="n">
        <v>185874.39</v>
      </c>
      <c r="BO42" s="15" t="n">
        <v>229277.29</v>
      </c>
      <c r="BP42" s="15" t="n">
        <v>3648628.76</v>
      </c>
      <c r="BQ42" s="15" t="n">
        <v>1178365.98</v>
      </c>
      <c r="BR42" s="15" t="n">
        <v>899748.2</v>
      </c>
      <c r="BS42" s="15" t="n">
        <v>326051.26</v>
      </c>
      <c r="BT42" s="15" t="n">
        <v>575941.61</v>
      </c>
      <c r="BU42" s="15" t="n">
        <v>2538939.22</v>
      </c>
      <c r="BV42" s="15" t="n">
        <v>3851981.45</v>
      </c>
      <c r="BW42" s="15" t="n">
        <v>1250900.87</v>
      </c>
      <c r="BX42" s="15" t="n">
        <v>375307.69</v>
      </c>
      <c r="BY42" s="15" t="n">
        <v>60396.39</v>
      </c>
      <c r="BZ42" s="15" t="n">
        <v>1098684.39</v>
      </c>
      <c r="CA42" s="15" t="n">
        <v>252404.35</v>
      </c>
      <c r="CB42" s="15" t="n">
        <v>1613153.95</v>
      </c>
      <c r="CC42" s="15" t="n">
        <v>236038.54</v>
      </c>
      <c r="CD42" s="15" t="n">
        <v>1200092.02</v>
      </c>
      <c r="CE42" s="15" t="n">
        <v>249902.91</v>
      </c>
      <c r="CF42" s="15" t="n">
        <v>241685.23</v>
      </c>
      <c r="CG42" s="15" t="n">
        <v>1230358.87</v>
      </c>
      <c r="CH42" s="15" t="n">
        <v>3413830.49</v>
      </c>
      <c r="CI42" s="15" t="n">
        <v>1502658.39</v>
      </c>
      <c r="CJ42" s="15" t="n">
        <v>1224370.13</v>
      </c>
      <c r="CK42" s="15" t="n">
        <v>250211.5</v>
      </c>
      <c r="CL42" s="15" t="n">
        <v>947603.01</v>
      </c>
      <c r="CM42" s="15" t="n">
        <v>2423689.64</v>
      </c>
      <c r="CN42" s="15" t="n">
        <v>1854421.79</v>
      </c>
      <c r="CO42" s="15" t="n">
        <v>2106226.66</v>
      </c>
      <c r="CP42" s="15" t="n">
        <v>275659.84</v>
      </c>
      <c r="CQ42" s="15" t="n">
        <v>373122.59</v>
      </c>
      <c r="CR42" s="15" t="n">
        <v>720370.58</v>
      </c>
      <c r="CS42" s="15" t="n">
        <v>960637.5600000001</v>
      </c>
      <c r="CT42" s="15" t="n">
        <v>1170797.1</v>
      </c>
      <c r="CU42" s="15" t="n">
        <v>682302.52</v>
      </c>
      <c r="CV42" s="15" t="n">
        <v>423702.92</v>
      </c>
      <c r="CW42" s="15" t="n">
        <v>13425.47</v>
      </c>
      <c r="CX42" s="15" t="n">
        <v>486932.46</v>
      </c>
      <c r="CY42" s="15" t="n">
        <v>2705103.15</v>
      </c>
      <c r="CZ42" s="15" t="n">
        <v>744753.22</v>
      </c>
      <c r="DA42" s="15" t="n">
        <v>1707469.07</v>
      </c>
      <c r="DB42" s="15" t="n">
        <v>860684.09</v>
      </c>
      <c r="DC42" s="15" t="n">
        <v>173870.1</v>
      </c>
      <c r="DD42" s="15" t="n">
        <v>817027.9300000001</v>
      </c>
      <c r="DE42" s="15" t="n">
        <v>1174033.69</v>
      </c>
      <c r="DF42" s="15" t="n">
        <v>1523399.13</v>
      </c>
      <c r="DG42" s="15" t="n">
        <v>1268262.36</v>
      </c>
      <c r="DH42" s="15" t="n">
        <v>1483745.41</v>
      </c>
      <c r="DI42" s="15" t="n">
        <v>134246.5</v>
      </c>
      <c r="DJ42" s="15" t="n">
        <v>654605.0600000001</v>
      </c>
      <c r="DK42" s="15" t="n">
        <v>2783352.16</v>
      </c>
      <c r="DL42" s="15" t="n">
        <v>1151181.39</v>
      </c>
      <c r="DM42" s="15" t="n">
        <v>2341872.61</v>
      </c>
      <c r="DN42" s="15" t="n">
        <v>1060961.79</v>
      </c>
      <c r="DO42" s="15" t="n">
        <v>281431.43</v>
      </c>
      <c r="DP42" s="15" t="n">
        <v>130142.51</v>
      </c>
    </row>
    <row r="43">
      <c r="A43" s="4" t="inlineStr">
        <is>
          <t>其他产品C</t>
        </is>
      </c>
      <c r="B43" s="15" t="n">
        <v>3033805.04</v>
      </c>
      <c r="C43" s="15" t="n">
        <v>1199957.09</v>
      </c>
      <c r="D43" s="15" t="n">
        <v>1227581.37</v>
      </c>
      <c r="E43" s="15" t="n">
        <v>205506.46</v>
      </c>
      <c r="F43" s="15" t="n">
        <v>646525.42</v>
      </c>
      <c r="G43" s="15" t="n">
        <v>154049.5</v>
      </c>
      <c r="H43" s="15" t="n">
        <v>1312415.08</v>
      </c>
      <c r="I43" s="15" t="n">
        <v>1171927.77</v>
      </c>
      <c r="J43" s="15" t="n">
        <v>759258.55</v>
      </c>
      <c r="K43" s="15" t="n">
        <v>329751.49</v>
      </c>
      <c r="L43" s="15" t="n">
        <v>712184.85</v>
      </c>
      <c r="M43" s="15" t="n">
        <v>2725264.92</v>
      </c>
      <c r="N43" s="15" t="n">
        <v>899184.09</v>
      </c>
      <c r="O43" s="15" t="n">
        <v>1091295.69</v>
      </c>
      <c r="P43" s="15" t="n">
        <v>41136.62</v>
      </c>
      <c r="Q43" s="15" t="n">
        <v>130258.12</v>
      </c>
      <c r="R43" s="15" t="n">
        <v>690999.15</v>
      </c>
      <c r="S43" s="15" t="n">
        <v>190572.7</v>
      </c>
      <c r="T43" s="15" t="n">
        <v>2379589.9</v>
      </c>
      <c r="U43" s="15" t="n">
        <v>1471534.34</v>
      </c>
      <c r="V43" s="15" t="n">
        <v>1171945.05</v>
      </c>
      <c r="W43" s="15" t="n">
        <v>217910.28</v>
      </c>
      <c r="X43" s="15" t="n">
        <v>270384.26</v>
      </c>
      <c r="Y43" s="15" t="n">
        <v>2484618.03</v>
      </c>
      <c r="Z43" s="15" t="n">
        <v>3283847.07</v>
      </c>
      <c r="AA43" s="15" t="n">
        <v>588690.5699999999</v>
      </c>
      <c r="AB43" s="15" t="n">
        <v>104188.9</v>
      </c>
      <c r="AC43" s="15" t="n">
        <v>100661.71</v>
      </c>
      <c r="AD43" s="15" t="n">
        <v>1163394.95</v>
      </c>
      <c r="AE43" s="15" t="n">
        <v>1423928.48</v>
      </c>
      <c r="AF43" s="15" t="n">
        <v>179633.23</v>
      </c>
      <c r="AG43" s="15" t="n">
        <v>361681.23</v>
      </c>
      <c r="AH43" s="15" t="n">
        <v>579214.4300000001</v>
      </c>
      <c r="AI43" s="15" t="n">
        <v>224203.16</v>
      </c>
      <c r="AJ43" s="15" t="n">
        <v>397348.21</v>
      </c>
      <c r="AK43" s="15" t="n">
        <v>2048225.55</v>
      </c>
      <c r="AL43" s="15" t="n">
        <v>1581622.03</v>
      </c>
      <c r="AM43" s="15" t="n">
        <v>1733648.48</v>
      </c>
      <c r="AN43" s="15" t="n">
        <v>1369677.96</v>
      </c>
      <c r="AO43" s="15" t="n">
        <v>172304.37</v>
      </c>
      <c r="AP43" s="15" t="n">
        <v>325827.84</v>
      </c>
      <c r="AQ43" s="15" t="n">
        <v>2185545.55</v>
      </c>
      <c r="AR43" s="15" t="n">
        <v>3636230.78</v>
      </c>
      <c r="AS43" s="15" t="n">
        <v>971855.72</v>
      </c>
      <c r="AT43" s="15" t="n">
        <v>1452298.91</v>
      </c>
      <c r="AU43" s="15" t="n">
        <v>136048.12</v>
      </c>
      <c r="AV43" s="15" t="n">
        <v>-48632.86</v>
      </c>
      <c r="AW43" s="15" t="n">
        <v>601551.5600000001</v>
      </c>
      <c r="AX43" s="15" t="n">
        <v>303206.6</v>
      </c>
      <c r="AY43" s="15" t="n">
        <v>1224961.29</v>
      </c>
      <c r="AZ43" s="15" t="n">
        <v>221176.49</v>
      </c>
      <c r="BA43" s="15" t="n">
        <v>72756.28</v>
      </c>
      <c r="BB43" s="15" t="n">
        <v>26018.02</v>
      </c>
      <c r="BC43" s="15" t="n">
        <v>1038673.43</v>
      </c>
      <c r="BD43" s="15" t="n">
        <v>2649169.03</v>
      </c>
      <c r="BE43" s="15" t="n">
        <v>2199789.09</v>
      </c>
      <c r="BF43" s="15" t="n">
        <v>849812.8</v>
      </c>
      <c r="BG43" s="15" t="n">
        <v>351568.06</v>
      </c>
      <c r="BH43" s="15" t="n">
        <v>17691.84</v>
      </c>
      <c r="BI43" s="15" t="n">
        <v>933998.6800000001</v>
      </c>
      <c r="BJ43" s="15" t="n">
        <v>2363117.04</v>
      </c>
      <c r="BK43" s="15" t="n">
        <v>191202.22</v>
      </c>
      <c r="BL43" s="15" t="n">
        <v>568879.16</v>
      </c>
      <c r="BM43" s="15" t="n">
        <v>316181.78</v>
      </c>
      <c r="BN43" s="15" t="n">
        <v>701155.38</v>
      </c>
      <c r="BO43" s="15" t="n">
        <v>1072695.41</v>
      </c>
      <c r="BP43" s="15" t="n">
        <v>1544124.03</v>
      </c>
      <c r="BQ43" s="15" t="n">
        <v>839133.16</v>
      </c>
      <c r="BR43" s="15" t="n">
        <v>1284947.43</v>
      </c>
      <c r="BS43" s="15" t="n">
        <v>259236.63</v>
      </c>
      <c r="BT43" s="15" t="n">
        <v>480056.12</v>
      </c>
      <c r="BU43" s="15" t="n">
        <v>1485099.72</v>
      </c>
      <c r="BV43" s="15" t="n">
        <v>2941192.79</v>
      </c>
      <c r="BW43" s="15" t="n">
        <v>1437349.24</v>
      </c>
      <c r="BX43" s="15" t="n">
        <v>76298.67999999999</v>
      </c>
      <c r="BY43" s="15" t="n">
        <v>183326.8</v>
      </c>
      <c r="BZ43" s="15" t="n">
        <v>1056532.84</v>
      </c>
      <c r="CA43" s="15" t="n">
        <v>2952720.38</v>
      </c>
      <c r="CB43" s="15" t="n">
        <v>3712021.92</v>
      </c>
      <c r="CC43" s="15" t="n">
        <v>1867133.44</v>
      </c>
      <c r="CD43" s="15" t="n">
        <v>527226.1899999999</v>
      </c>
      <c r="CE43" s="15" t="n">
        <v>359252.16</v>
      </c>
      <c r="CF43" s="15" t="n">
        <v>500743.36</v>
      </c>
      <c r="CG43" s="15" t="n">
        <v>2760063.35</v>
      </c>
      <c r="CH43" s="15" t="n">
        <v>2275712.84</v>
      </c>
      <c r="CI43" s="15" t="n">
        <v>1810787.63</v>
      </c>
      <c r="CJ43" s="15" t="n">
        <v>1167167.24</v>
      </c>
      <c r="CK43" s="15" t="n">
        <v>293148.8</v>
      </c>
      <c r="CL43" s="15" t="n">
        <v>859880.35</v>
      </c>
      <c r="CM43" s="15" t="n">
        <v>1099689.13</v>
      </c>
      <c r="CN43" s="15" t="n">
        <v>748216.4399999999</v>
      </c>
      <c r="CO43" s="15" t="n">
        <v>2266329.91</v>
      </c>
      <c r="CP43" s="15" t="n">
        <v>1502126.78</v>
      </c>
      <c r="CQ43" s="15" t="n">
        <v>299832.36</v>
      </c>
      <c r="CR43" s="15" t="n">
        <v>968051.67</v>
      </c>
      <c r="CS43" s="15" t="n">
        <v>1378952.07</v>
      </c>
      <c r="CT43" s="15" t="n">
        <v>3188988.81</v>
      </c>
      <c r="CU43" s="15" t="n">
        <v>2037091.13</v>
      </c>
      <c r="CV43" s="15" t="n">
        <v>97383.5</v>
      </c>
      <c r="CW43" s="15" t="n">
        <v>266591.28</v>
      </c>
      <c r="CX43" s="15" t="n">
        <v>935391.2</v>
      </c>
      <c r="CY43" s="15" t="n">
        <v>2487683.56</v>
      </c>
      <c r="CZ43" s="15" t="n">
        <v>3420232.53</v>
      </c>
      <c r="DA43" s="15" t="n">
        <v>2051710.98</v>
      </c>
      <c r="DB43" s="15" t="n">
        <v>948957.77</v>
      </c>
      <c r="DC43" s="15" t="n">
        <v>256738.18</v>
      </c>
      <c r="DD43" s="15" t="n">
        <v>78211.96000000001</v>
      </c>
      <c r="DE43" s="15" t="n">
        <v>922483.26</v>
      </c>
      <c r="DF43" s="15" t="n">
        <v>2767757.74</v>
      </c>
      <c r="DG43" s="15" t="n">
        <v>2041332.54</v>
      </c>
      <c r="DH43" s="15" t="n">
        <v>694117.89</v>
      </c>
      <c r="DI43" s="15" t="n">
        <v>351929.14</v>
      </c>
      <c r="DJ43" s="15" t="n">
        <v>124274.78</v>
      </c>
      <c r="DK43" s="15" t="n">
        <v>2021406.82</v>
      </c>
      <c r="DL43" s="15" t="n">
        <v>2025696</v>
      </c>
      <c r="DM43" s="15" t="n">
        <v>1644169.71</v>
      </c>
      <c r="DN43" s="15" t="n">
        <v>942324.4</v>
      </c>
      <c r="DO43" s="15" t="n">
        <v>374743.51</v>
      </c>
      <c r="DP43" s="15" t="n">
        <v>678522.4</v>
      </c>
    </row>
    <row r="44">
      <c r="A44" s="4" t="inlineStr">
        <is>
          <t>中式汤底</t>
        </is>
      </c>
      <c r="B44" s="15" t="n">
        <v>637459.84</v>
      </c>
      <c r="C44" s="15" t="n">
        <v>1976481.61</v>
      </c>
      <c r="D44" s="15" t="n">
        <v>1069001.14</v>
      </c>
      <c r="E44" s="15" t="n">
        <v>141052.28</v>
      </c>
      <c r="F44" s="15" t="n">
        <v>-108255.49</v>
      </c>
      <c r="G44" s="15" t="n">
        <v>66889.62</v>
      </c>
      <c r="H44" s="15" t="n">
        <v>2276260.93</v>
      </c>
      <c r="I44" s="15" t="n">
        <v>1834598.33</v>
      </c>
      <c r="J44" s="15" t="n">
        <v>558502.05</v>
      </c>
      <c r="K44" s="15" t="n">
        <v>288083.48</v>
      </c>
      <c r="L44" s="15" t="n">
        <v>1120228.99</v>
      </c>
      <c r="M44" s="15" t="n">
        <v>951075.7</v>
      </c>
      <c r="N44" s="15" t="n">
        <v>1706214.63</v>
      </c>
      <c r="O44" s="15" t="n">
        <v>1787999.47</v>
      </c>
      <c r="P44" s="15" t="n">
        <v>760140.33</v>
      </c>
      <c r="Q44" s="15" t="n">
        <v>133504.11</v>
      </c>
      <c r="R44" s="15" t="n">
        <v>978532.96</v>
      </c>
      <c r="S44" s="15" t="n">
        <v>1767969.99</v>
      </c>
      <c r="T44" s="15" t="n">
        <v>351227.31</v>
      </c>
      <c r="U44" s="15" t="n">
        <v>2383984.05</v>
      </c>
      <c r="V44" s="15" t="n">
        <v>1086332.45</v>
      </c>
      <c r="W44" s="15" t="n">
        <v>246442.55</v>
      </c>
      <c r="X44" s="15" t="n">
        <v>495621.13</v>
      </c>
      <c r="Y44" s="15" t="n">
        <v>2276237.44</v>
      </c>
      <c r="Z44" s="15" t="n">
        <v>1388140.9</v>
      </c>
      <c r="AA44" s="15" t="n">
        <v>1494543.53</v>
      </c>
      <c r="AB44" s="15" t="n">
        <v>676893.27</v>
      </c>
      <c r="AC44" s="15" t="n">
        <v>130418.82</v>
      </c>
      <c r="AD44" s="15" t="n">
        <v>823301.97</v>
      </c>
      <c r="AE44" s="15" t="n">
        <v>2409217.12</v>
      </c>
      <c r="AF44" s="15" t="n">
        <v>165320.97</v>
      </c>
      <c r="AG44" s="15" t="n">
        <v>188063.45</v>
      </c>
      <c r="AH44" s="15" t="n">
        <v>577000.6800000001</v>
      </c>
      <c r="AI44" s="15" t="n">
        <v>16789.43</v>
      </c>
      <c r="AJ44" s="15" t="n">
        <v>915220.75</v>
      </c>
      <c r="AK44" s="15" t="n">
        <v>705290.41</v>
      </c>
      <c r="AL44" s="15" t="n">
        <v>3549764.33</v>
      </c>
      <c r="AM44" s="15" t="n">
        <v>227292.01</v>
      </c>
      <c r="AN44" s="15" t="n">
        <v>851100.75</v>
      </c>
      <c r="AO44" s="15" t="n">
        <v>203286.59</v>
      </c>
      <c r="AP44" s="15" t="n">
        <v>514595.73</v>
      </c>
      <c r="AQ44" s="15" t="n">
        <v>1471510.7</v>
      </c>
      <c r="AR44" s="15" t="n">
        <v>2123415.32</v>
      </c>
      <c r="AS44" s="15" t="n">
        <v>1578462.85</v>
      </c>
      <c r="AT44" s="15" t="n">
        <v>1444663.56</v>
      </c>
      <c r="AU44" s="15" t="n">
        <v>398667.21</v>
      </c>
      <c r="AV44" s="15" t="n">
        <v>1054618.03</v>
      </c>
      <c r="AW44" s="15" t="n">
        <v>655430.28</v>
      </c>
      <c r="AX44" s="15" t="n">
        <v>936567.26</v>
      </c>
      <c r="AY44" s="15" t="n">
        <v>1241848.78</v>
      </c>
      <c r="AZ44" s="15" t="n">
        <v>470378.95</v>
      </c>
      <c r="BA44" s="15" t="n">
        <v>287064.17</v>
      </c>
      <c r="BB44" s="15" t="n">
        <v>673640.66</v>
      </c>
      <c r="BC44" s="15" t="n">
        <v>1572300.36</v>
      </c>
      <c r="BD44" s="15" t="n">
        <v>3233437.42</v>
      </c>
      <c r="BE44" s="15" t="n">
        <v>1942300.47</v>
      </c>
      <c r="BF44" s="15" t="n">
        <v>92459.21000000001</v>
      </c>
      <c r="BG44" s="15" t="n">
        <v>104121.87</v>
      </c>
      <c r="BH44" s="15" t="n">
        <v>1180165.39</v>
      </c>
      <c r="BI44" s="15" t="n">
        <v>2378321.24</v>
      </c>
      <c r="BJ44" s="15" t="n">
        <v>2735309.23</v>
      </c>
      <c r="BK44" s="15" t="n">
        <v>191837.3</v>
      </c>
      <c r="BL44" s="15" t="n">
        <v>1307279.83</v>
      </c>
      <c r="BM44" s="15" t="n">
        <v>122415.18</v>
      </c>
      <c r="BN44" s="15" t="n">
        <v>-41901.4</v>
      </c>
      <c r="BO44" s="15" t="n">
        <v>2102729.33</v>
      </c>
      <c r="BP44" s="15" t="n">
        <v>1059219.97</v>
      </c>
      <c r="BQ44" s="15" t="n">
        <v>1583130.47</v>
      </c>
      <c r="BR44" s="15" t="n">
        <v>1386190.08</v>
      </c>
      <c r="BS44" s="15" t="n">
        <v>29254.84</v>
      </c>
      <c r="BT44" s="15" t="n">
        <v>85798.73</v>
      </c>
      <c r="BU44" s="15" t="n">
        <v>113840.73</v>
      </c>
      <c r="BV44" s="15" t="n">
        <v>2451175.06</v>
      </c>
      <c r="BW44" s="15" t="n">
        <v>516557.28</v>
      </c>
      <c r="BX44" s="15" t="n">
        <v>368468.7</v>
      </c>
      <c r="BY44" s="15" t="n">
        <v>364952.89</v>
      </c>
      <c r="BZ44" s="15" t="n">
        <v>574790.74</v>
      </c>
      <c r="CA44" s="15" t="n">
        <v>2356921.64</v>
      </c>
      <c r="CB44" s="15" t="n">
        <v>2761881.65</v>
      </c>
      <c r="CC44" s="15" t="n">
        <v>205146.7</v>
      </c>
      <c r="CD44" s="15" t="n">
        <v>935277.36</v>
      </c>
      <c r="CE44" s="15" t="n">
        <v>372481.48</v>
      </c>
      <c r="CF44" s="15" t="n">
        <v>500311.13</v>
      </c>
      <c r="CG44" s="15" t="n">
        <v>3126118.61</v>
      </c>
      <c r="CH44" s="15" t="n">
        <v>3732662.82</v>
      </c>
      <c r="CI44" s="15" t="n">
        <v>1220873.55</v>
      </c>
      <c r="CJ44" s="15" t="n">
        <v>740973.41</v>
      </c>
      <c r="CK44" s="15" t="n">
        <v>189800.69</v>
      </c>
      <c r="CL44" s="15" t="n">
        <v>166628.62</v>
      </c>
      <c r="CM44" s="15" t="n">
        <v>1368694.52</v>
      </c>
      <c r="CN44" s="15" t="n">
        <v>3079759.14</v>
      </c>
      <c r="CO44" s="15" t="n">
        <v>1120841.87</v>
      </c>
      <c r="CP44" s="15" t="n">
        <v>508864.64</v>
      </c>
      <c r="CQ44" s="15" t="n">
        <v>144648.81</v>
      </c>
      <c r="CR44" s="15" t="n">
        <v>289920.89</v>
      </c>
      <c r="CS44" s="15" t="n">
        <v>2841320.72</v>
      </c>
      <c r="CT44" s="15" t="n">
        <v>895467.09</v>
      </c>
      <c r="CU44" s="15" t="n">
        <v>2163657.76</v>
      </c>
      <c r="CV44" s="15" t="n">
        <v>814754.59</v>
      </c>
      <c r="CW44" s="15" t="n">
        <v>248445.19</v>
      </c>
      <c r="CX44" s="15" t="n">
        <v>936054.79</v>
      </c>
      <c r="CY44" s="15" t="n">
        <v>2246059.41</v>
      </c>
      <c r="CZ44" s="15" t="n">
        <v>872006.05</v>
      </c>
      <c r="DA44" s="15" t="n">
        <v>1862610.19</v>
      </c>
      <c r="DB44" s="15" t="n">
        <v>1159516.22</v>
      </c>
      <c r="DC44" s="15" t="n">
        <v>50288.44</v>
      </c>
      <c r="DD44" s="15" t="n">
        <v>-91290.21000000001</v>
      </c>
      <c r="DE44" s="15" t="n">
        <v>1261383.42</v>
      </c>
      <c r="DF44" s="15" t="n">
        <v>880929.5600000001</v>
      </c>
      <c r="DG44" s="15" t="n">
        <v>789195.5</v>
      </c>
      <c r="DH44" s="15" t="n">
        <v>341390.88</v>
      </c>
      <c r="DI44" s="15" t="n">
        <v>330453.42</v>
      </c>
      <c r="DJ44" s="15" t="n">
        <v>570804.47</v>
      </c>
      <c r="DK44" s="15" t="n">
        <v>2358245.85</v>
      </c>
      <c r="DL44" s="15" t="n">
        <v>610353</v>
      </c>
      <c r="DM44" s="15" t="n">
        <v>1673578.89</v>
      </c>
      <c r="DN44" s="15" t="n">
        <v>314730.14</v>
      </c>
      <c r="DO44" s="15" t="n">
        <v>378909.09</v>
      </c>
      <c r="DP44" s="15" t="n">
        <v>-48146.81</v>
      </c>
    </row>
    <row r="45">
      <c r="A45" s="4" t="inlineStr">
        <is>
          <t>酱料</t>
        </is>
      </c>
      <c r="B45" s="15" t="n">
        <v>1511675.9</v>
      </c>
      <c r="C45" s="15" t="n">
        <v>1800726.96</v>
      </c>
      <c r="D45" s="15" t="n">
        <v>126615.52</v>
      </c>
      <c r="E45" s="15" t="n">
        <v>389731.45</v>
      </c>
      <c r="F45" s="15" t="n">
        <v>547229.26</v>
      </c>
      <c r="G45" s="15" t="n">
        <v>1118828.65</v>
      </c>
      <c r="H45" s="15" t="n">
        <v>3159026.31</v>
      </c>
      <c r="I45" s="15" t="n">
        <v>1140527.66</v>
      </c>
      <c r="J45" s="15" t="n">
        <v>242917.77</v>
      </c>
      <c r="K45" s="15" t="n">
        <v>106156.43</v>
      </c>
      <c r="L45" s="15" t="n">
        <v>427743.93</v>
      </c>
      <c r="M45" s="15" t="n">
        <v>2573680.26</v>
      </c>
      <c r="N45" s="15" t="n">
        <v>1736537.89</v>
      </c>
      <c r="O45" s="15" t="n">
        <v>954712.95</v>
      </c>
      <c r="P45" s="15" t="n">
        <v>461802.27</v>
      </c>
      <c r="Q45" s="15" t="n">
        <v>49600.46</v>
      </c>
      <c r="R45" s="15" t="n">
        <v>699849.14</v>
      </c>
      <c r="S45" s="15" t="n">
        <v>450656.46</v>
      </c>
      <c r="T45" s="15" t="n">
        <v>3313603.52</v>
      </c>
      <c r="U45" s="15" t="n">
        <v>767029.12</v>
      </c>
      <c r="V45" s="15" t="n">
        <v>819159.24</v>
      </c>
      <c r="W45" s="15" t="n">
        <v>179295.94</v>
      </c>
      <c r="X45" s="15" t="n">
        <v>-13987.1</v>
      </c>
      <c r="Y45" s="15" t="n">
        <v>3000114.93</v>
      </c>
      <c r="Z45" s="15" t="n">
        <v>3916033.75</v>
      </c>
      <c r="AA45" s="15" t="n">
        <v>2304000.07</v>
      </c>
      <c r="AB45" s="15" t="n">
        <v>906979.52</v>
      </c>
      <c r="AC45" s="15" t="n">
        <v>103915.91</v>
      </c>
      <c r="AD45" s="15" t="n">
        <v>1184694.19</v>
      </c>
      <c r="AE45" s="15" t="n">
        <v>2136590.36</v>
      </c>
      <c r="AF45" s="15" t="n">
        <v>1856410.39</v>
      </c>
      <c r="AG45" s="15" t="n">
        <v>2114820.64</v>
      </c>
      <c r="AH45" s="15" t="n">
        <v>1428100.61</v>
      </c>
      <c r="AI45" s="15" t="n">
        <v>185815.78</v>
      </c>
      <c r="AJ45" s="15" t="n">
        <v>-85836.78</v>
      </c>
      <c r="AK45" s="15" t="n">
        <v>1892702.89</v>
      </c>
      <c r="AL45" s="15" t="n">
        <v>290425.97</v>
      </c>
      <c r="AM45" s="15" t="n">
        <v>1381079.64</v>
      </c>
      <c r="AN45" s="15" t="n">
        <v>1322883.81</v>
      </c>
      <c r="AO45" s="15" t="n">
        <v>367944.86</v>
      </c>
      <c r="AP45" s="15" t="n">
        <v>309032.19</v>
      </c>
      <c r="AQ45" s="15" t="n">
        <v>2154759.54</v>
      </c>
      <c r="AR45" s="15" t="n">
        <v>698117.83</v>
      </c>
      <c r="AS45" s="15" t="n">
        <v>1789719.49</v>
      </c>
      <c r="AT45" s="15" t="n">
        <v>1243573.51</v>
      </c>
      <c r="AU45" s="15" t="n">
        <v>149599.98</v>
      </c>
      <c r="AV45" s="15" t="n">
        <v>683205.41</v>
      </c>
      <c r="AW45" s="15" t="n">
        <v>1487589.21</v>
      </c>
      <c r="AX45" s="15" t="n">
        <v>3092168.77</v>
      </c>
      <c r="AY45" s="15" t="n">
        <v>426220.49</v>
      </c>
      <c r="AZ45" s="15" t="n">
        <v>881177.6</v>
      </c>
      <c r="BA45" s="15" t="n">
        <v>218509.07</v>
      </c>
      <c r="BB45" s="15" t="n">
        <v>561781.6</v>
      </c>
      <c r="BC45" s="15" t="n">
        <v>2467776.99</v>
      </c>
      <c r="BD45" s="15" t="n">
        <v>2442137.09</v>
      </c>
      <c r="BE45" s="15" t="n">
        <v>247055.28</v>
      </c>
      <c r="BF45" s="15" t="n">
        <v>1077116.74</v>
      </c>
      <c r="BG45" s="15" t="n">
        <v>332281.68</v>
      </c>
      <c r="BH45" s="15" t="n">
        <v>641677.51</v>
      </c>
      <c r="BI45" s="15" t="n">
        <v>3077264.11</v>
      </c>
      <c r="BJ45" s="15" t="n">
        <v>3334193.25</v>
      </c>
      <c r="BK45" s="15" t="n">
        <v>890572.25</v>
      </c>
      <c r="BL45" s="15" t="n">
        <v>146759.44</v>
      </c>
      <c r="BM45" s="15" t="n">
        <v>274049.74</v>
      </c>
      <c r="BN45" s="15" t="n">
        <v>293986.35</v>
      </c>
      <c r="BO45" s="15" t="n">
        <v>1890335.47</v>
      </c>
      <c r="BP45" s="15" t="n">
        <v>3016629.18</v>
      </c>
      <c r="BQ45" s="15" t="n">
        <v>1695319.49</v>
      </c>
      <c r="BR45" s="15" t="n">
        <v>453656.84</v>
      </c>
      <c r="BS45" s="15" t="n">
        <v>335794.67</v>
      </c>
      <c r="BT45" s="15" t="n">
        <v>375273.88</v>
      </c>
      <c r="BU45" s="15" t="n">
        <v>3199288.31</v>
      </c>
      <c r="BV45" s="15" t="n">
        <v>3993872.18</v>
      </c>
      <c r="BW45" s="15" t="n">
        <v>1065378.73</v>
      </c>
      <c r="BX45" s="15" t="n">
        <v>1231649.13</v>
      </c>
      <c r="BY45" s="15" t="n">
        <v>64596.82</v>
      </c>
      <c r="BZ45" s="15" t="n">
        <v>961546.3199999999</v>
      </c>
      <c r="CA45" s="15" t="n">
        <v>82518.23</v>
      </c>
      <c r="CB45" s="15" t="n">
        <v>1090683.94</v>
      </c>
      <c r="CC45" s="15" t="n">
        <v>2325993.74</v>
      </c>
      <c r="CD45" s="15" t="n">
        <v>285082.03</v>
      </c>
      <c r="CE45" s="15" t="n">
        <v>350224.78</v>
      </c>
      <c r="CF45" s="15" t="n">
        <v>1170478.78</v>
      </c>
      <c r="CG45" s="15" t="n">
        <v>2820096</v>
      </c>
      <c r="CH45" s="15" t="n">
        <v>2970662.44</v>
      </c>
      <c r="CI45" s="15" t="n">
        <v>931601.4</v>
      </c>
      <c r="CJ45" s="15" t="n">
        <v>868738.39</v>
      </c>
      <c r="CK45" s="15" t="n">
        <v>137451.62</v>
      </c>
      <c r="CL45" s="15" t="n">
        <v>511446.28</v>
      </c>
      <c r="CM45" s="15" t="n">
        <v>93276.06</v>
      </c>
      <c r="CN45" s="15" t="n">
        <v>350975.84</v>
      </c>
      <c r="CO45" s="15" t="n">
        <v>1430793.6</v>
      </c>
      <c r="CP45" s="15" t="n">
        <v>1223154.44</v>
      </c>
      <c r="CQ45" s="15" t="n">
        <v>242853.59</v>
      </c>
      <c r="CR45" s="15" t="n">
        <v>311443.85</v>
      </c>
      <c r="CS45" s="15" t="n">
        <v>205282.86</v>
      </c>
      <c r="CT45" s="15" t="n">
        <v>3581697.95</v>
      </c>
      <c r="CU45" s="15" t="n">
        <v>756566.25</v>
      </c>
      <c r="CV45" s="15" t="n">
        <v>731060.22</v>
      </c>
      <c r="CW45" s="15" t="n">
        <v>25047.29</v>
      </c>
      <c r="CX45" s="15" t="n">
        <v>1109313.16</v>
      </c>
      <c r="CY45" s="15" t="n">
        <v>2193563.69</v>
      </c>
      <c r="CZ45" s="15" t="n">
        <v>975758.98</v>
      </c>
      <c r="DA45" s="15" t="n">
        <v>1200697.67</v>
      </c>
      <c r="DB45" s="15" t="n">
        <v>1217892.32</v>
      </c>
      <c r="DC45" s="15" t="n">
        <v>381597.67</v>
      </c>
      <c r="DD45" s="15" t="n">
        <v>1069028.8</v>
      </c>
      <c r="DE45" s="15" t="n">
        <v>2393746.11</v>
      </c>
      <c r="DF45" s="15" t="n">
        <v>3637739.71</v>
      </c>
      <c r="DG45" s="15" t="n">
        <v>1688940.51</v>
      </c>
      <c r="DH45" s="15" t="n">
        <v>106756.46</v>
      </c>
      <c r="DI45" s="15" t="n">
        <v>278947.38</v>
      </c>
      <c r="DJ45" s="15" t="n">
        <v>745802.64</v>
      </c>
      <c r="DK45" s="15" t="n">
        <v>1511032.59</v>
      </c>
      <c r="DL45" s="15" t="n">
        <v>3609211.29</v>
      </c>
      <c r="DM45" s="15" t="n">
        <v>124326.98</v>
      </c>
      <c r="DN45" s="15" t="n">
        <v>1022229.24</v>
      </c>
      <c r="DO45" s="15" t="n">
        <v>102594.88</v>
      </c>
      <c r="DP45" s="15" t="n">
        <v>793432.72</v>
      </c>
    </row>
    <row r="46">
      <c r="A46" s="4" t="inlineStr">
        <is>
          <t>川味底料</t>
        </is>
      </c>
      <c r="B46" s="15" t="n">
        <v>1739562.05</v>
      </c>
      <c r="C46" s="15" t="n">
        <v>1630709.75</v>
      </c>
      <c r="D46" s="15" t="n">
        <v>183659.87</v>
      </c>
      <c r="E46" s="15" t="n">
        <v>46315.7</v>
      </c>
      <c r="F46" s="15" t="n">
        <v>742526.76</v>
      </c>
      <c r="G46" s="15" t="n">
        <v>103441.01</v>
      </c>
      <c r="H46" s="15" t="n">
        <v>1990322.95</v>
      </c>
      <c r="I46" s="15" t="n">
        <v>1501730.92</v>
      </c>
      <c r="J46" s="15" t="n">
        <v>1286196.15</v>
      </c>
      <c r="K46" s="15" t="n">
        <v>300336.32</v>
      </c>
      <c r="L46" s="15" t="n">
        <v>364064.01</v>
      </c>
      <c r="M46" s="15" t="n">
        <v>905058.23</v>
      </c>
      <c r="N46" s="15" t="n">
        <v>1967211.34</v>
      </c>
      <c r="O46" s="15" t="n">
        <v>2030810.55</v>
      </c>
      <c r="P46" s="15" t="n">
        <v>788668.4300000001</v>
      </c>
      <c r="Q46" s="15" t="n">
        <v>121123.86</v>
      </c>
      <c r="R46" s="15" t="n">
        <v>83687.82000000001</v>
      </c>
      <c r="S46" s="15" t="n">
        <v>1640899.75</v>
      </c>
      <c r="T46" s="15" t="n">
        <v>3692630.22</v>
      </c>
      <c r="U46" s="15" t="n">
        <v>2103586</v>
      </c>
      <c r="V46" s="15" t="n">
        <v>1392819.17</v>
      </c>
      <c r="W46" s="15" t="n">
        <v>306030.04</v>
      </c>
      <c r="X46" s="15" t="n">
        <v>866042.6800000001</v>
      </c>
      <c r="Y46" s="15" t="n">
        <v>1600282.14</v>
      </c>
      <c r="Z46" s="15" t="n">
        <v>3604523.15</v>
      </c>
      <c r="AA46" s="15" t="n">
        <v>844035.08</v>
      </c>
      <c r="AB46" s="15" t="n">
        <v>159050.66</v>
      </c>
      <c r="AC46" s="15" t="n">
        <v>147182.29</v>
      </c>
      <c r="AD46" s="15" t="n">
        <v>-88968.05</v>
      </c>
      <c r="AE46" s="15" t="n">
        <v>2909197.64</v>
      </c>
      <c r="AF46" s="15" t="n">
        <v>1613745.17</v>
      </c>
      <c r="AG46" s="15" t="n">
        <v>2248382.85</v>
      </c>
      <c r="AH46" s="15" t="n">
        <v>127254.41</v>
      </c>
      <c r="AI46" s="15" t="n">
        <v>148560.96</v>
      </c>
      <c r="AJ46" s="15" t="n">
        <v>476610.6</v>
      </c>
      <c r="AK46" s="15" t="n">
        <v>2235895.32</v>
      </c>
      <c r="AL46" s="15" t="n">
        <v>1510038.22</v>
      </c>
      <c r="AM46" s="15" t="n">
        <v>1026149.48</v>
      </c>
      <c r="AN46" s="15" t="n">
        <v>675577.76</v>
      </c>
      <c r="AO46" s="15" t="n">
        <v>344964.84</v>
      </c>
      <c r="AP46" s="15" t="n">
        <v>403832.87</v>
      </c>
      <c r="AQ46" s="15" t="n">
        <v>3155354.93</v>
      </c>
      <c r="AR46" s="15" t="n">
        <v>3574627.19</v>
      </c>
      <c r="AS46" s="15" t="n">
        <v>2353791.79</v>
      </c>
      <c r="AT46" s="15" t="n">
        <v>912026.28</v>
      </c>
      <c r="AU46" s="15" t="n">
        <v>172866.5</v>
      </c>
      <c r="AV46" s="15" t="n">
        <v>854925.71</v>
      </c>
      <c r="AW46" s="15" t="n">
        <v>1280798.21</v>
      </c>
      <c r="AX46" s="15" t="n">
        <v>1676742.14</v>
      </c>
      <c r="AY46" s="15" t="n">
        <v>81283.14</v>
      </c>
      <c r="AZ46" s="15" t="n">
        <v>916780.04</v>
      </c>
      <c r="BA46" s="15" t="n">
        <v>153234.36</v>
      </c>
      <c r="BB46" s="15" t="n">
        <v>2409.23</v>
      </c>
      <c r="BC46" s="15" t="n">
        <v>1360173.59</v>
      </c>
      <c r="BD46" s="15" t="n">
        <v>3465385.02</v>
      </c>
      <c r="BE46" s="15" t="n">
        <v>216759.07</v>
      </c>
      <c r="BF46" s="15" t="n">
        <v>343967.53</v>
      </c>
      <c r="BG46" s="15" t="n">
        <v>139014.71</v>
      </c>
      <c r="BH46" s="15" t="n">
        <v>1178451.58</v>
      </c>
      <c r="BI46" s="15" t="n">
        <v>651578.38</v>
      </c>
      <c r="BJ46" s="15" t="n">
        <v>1102332.48</v>
      </c>
      <c r="BK46" s="15" t="n">
        <v>921650.75</v>
      </c>
      <c r="BL46" s="15" t="n">
        <v>134229.27</v>
      </c>
      <c r="BM46" s="15" t="n">
        <v>66247.55</v>
      </c>
      <c r="BN46" s="15" t="n">
        <v>377100.06</v>
      </c>
      <c r="BO46" s="15" t="n">
        <v>1331228.94</v>
      </c>
      <c r="BP46" s="15" t="n">
        <v>2406358.91</v>
      </c>
      <c r="BQ46" s="15" t="n">
        <v>239744.9</v>
      </c>
      <c r="BR46" s="15" t="n">
        <v>246193.75</v>
      </c>
      <c r="BS46" s="15" t="n">
        <v>285936.91</v>
      </c>
      <c r="BT46" s="15" t="n">
        <v>1068815.43</v>
      </c>
      <c r="BU46" s="15" t="n">
        <v>1478491.2</v>
      </c>
      <c r="BV46" s="15" t="n">
        <v>2977176.73</v>
      </c>
      <c r="BW46" s="15" t="n">
        <v>781565.41</v>
      </c>
      <c r="BX46" s="15" t="n">
        <v>1345778.45</v>
      </c>
      <c r="BY46" s="15" t="n">
        <v>282289.79</v>
      </c>
      <c r="BZ46" s="15" t="n">
        <v>367452.52</v>
      </c>
      <c r="CA46" s="15" t="n">
        <v>1588359.67</v>
      </c>
      <c r="CB46" s="15" t="n">
        <v>1272356.34</v>
      </c>
      <c r="CC46" s="15" t="n">
        <v>1181040.48</v>
      </c>
      <c r="CD46" s="15" t="n">
        <v>1209804.21</v>
      </c>
      <c r="CE46" s="15" t="n">
        <v>206927.36</v>
      </c>
      <c r="CF46" s="15" t="n">
        <v>664863</v>
      </c>
      <c r="CG46" s="15" t="n">
        <v>1344593.46</v>
      </c>
      <c r="CH46" s="15" t="n">
        <v>856931.95</v>
      </c>
      <c r="CI46" s="15" t="n">
        <v>1392529.07</v>
      </c>
      <c r="CJ46" s="15" t="n">
        <v>1488667.32</v>
      </c>
      <c r="CK46" s="15" t="n">
        <v>30914.41</v>
      </c>
      <c r="CL46" s="15" t="n">
        <v>60369.41</v>
      </c>
      <c r="CM46" s="15" t="n">
        <v>2030191.94</v>
      </c>
      <c r="CN46" s="15" t="n">
        <v>1098693.43</v>
      </c>
      <c r="CO46" s="15" t="n">
        <v>529844.12</v>
      </c>
      <c r="CP46" s="15" t="n">
        <v>919994.38</v>
      </c>
      <c r="CQ46" s="15" t="n">
        <v>333665.03</v>
      </c>
      <c r="CR46" s="15" t="n">
        <v>89155.33</v>
      </c>
      <c r="CS46" s="15" t="n">
        <v>2453374.13</v>
      </c>
      <c r="CT46" s="15" t="n">
        <v>3269718.14</v>
      </c>
      <c r="CU46" s="15" t="n">
        <v>1769134.07</v>
      </c>
      <c r="CV46" s="15" t="n">
        <v>684378.74</v>
      </c>
      <c r="CW46" s="15" t="n">
        <v>60193.67</v>
      </c>
      <c r="CX46" s="15" t="n">
        <v>-154118.83</v>
      </c>
      <c r="CY46" s="15" t="n">
        <v>441892.34</v>
      </c>
      <c r="CZ46" s="15" t="n">
        <v>1972093.26</v>
      </c>
      <c r="DA46" s="15" t="n">
        <v>1001422.04</v>
      </c>
      <c r="DB46" s="15" t="n">
        <v>1468075.5</v>
      </c>
      <c r="DC46" s="15" t="n">
        <v>308331.21</v>
      </c>
      <c r="DD46" s="15" t="n">
        <v>-9589.09</v>
      </c>
      <c r="DE46" s="15" t="n">
        <v>1288460.93</v>
      </c>
      <c r="DF46" s="15" t="n">
        <v>3894264.23</v>
      </c>
      <c r="DG46" s="15" t="n">
        <v>1819398.91</v>
      </c>
      <c r="DH46" s="15" t="n">
        <v>159315.25</v>
      </c>
      <c r="DI46" s="15" t="n">
        <v>331594.17</v>
      </c>
      <c r="DJ46" s="15" t="n">
        <v>1012671.76</v>
      </c>
      <c r="DK46" s="15" t="n">
        <v>828296.52</v>
      </c>
      <c r="DL46" s="15" t="n">
        <v>3985085.51</v>
      </c>
      <c r="DM46" s="15" t="n">
        <v>1580529.32</v>
      </c>
      <c r="DN46" s="15" t="n">
        <v>1341578.09</v>
      </c>
      <c r="DO46" s="15" t="n">
        <v>150225.74</v>
      </c>
      <c r="DP46" s="15" t="n">
        <v>310421.97</v>
      </c>
    </row>
    <row r="47">
      <c r="A47" s="4" t="inlineStr">
        <is>
          <t>调味汁</t>
        </is>
      </c>
      <c r="B47" s="15" t="n">
        <v>3264231.39</v>
      </c>
      <c r="C47" s="15" t="n">
        <v>58421.71</v>
      </c>
      <c r="D47" s="15" t="n">
        <v>1264377.03</v>
      </c>
      <c r="E47" s="15" t="n">
        <v>76120.49000000001</v>
      </c>
      <c r="F47" s="15" t="n">
        <v>-143583.64</v>
      </c>
      <c r="G47" s="15" t="n">
        <v>655333.96</v>
      </c>
      <c r="H47" s="15" t="n">
        <v>1715340.66</v>
      </c>
      <c r="I47" s="15" t="n">
        <v>532712.15</v>
      </c>
      <c r="J47" s="15" t="n">
        <v>1183261.41</v>
      </c>
      <c r="K47" s="15" t="n">
        <v>200210.18</v>
      </c>
      <c r="L47" s="15" t="n">
        <v>348250.29</v>
      </c>
      <c r="M47" s="15" t="n">
        <v>2009391.69</v>
      </c>
      <c r="N47" s="15" t="n">
        <v>1214178.65</v>
      </c>
      <c r="O47" s="15" t="n">
        <v>1850457.88</v>
      </c>
      <c r="P47" s="15" t="n">
        <v>841006.26</v>
      </c>
      <c r="Q47" s="15" t="n">
        <v>321751.97</v>
      </c>
      <c r="R47" s="15" t="n">
        <v>-157460.64</v>
      </c>
      <c r="S47" s="15" t="n">
        <v>998429.59</v>
      </c>
      <c r="T47" s="15" t="n">
        <v>112927.27</v>
      </c>
      <c r="U47" s="15" t="n">
        <v>2339654.52</v>
      </c>
      <c r="V47" s="15" t="n">
        <v>71970.21000000001</v>
      </c>
      <c r="W47" s="15" t="n">
        <v>343216.83</v>
      </c>
      <c r="X47" s="15" t="n">
        <v>56712.28</v>
      </c>
      <c r="Y47" s="15" t="n">
        <v>701358.8199999999</v>
      </c>
      <c r="Z47" s="15" t="n">
        <v>934566.22</v>
      </c>
      <c r="AA47" s="15" t="n">
        <v>347788.25</v>
      </c>
      <c r="AB47" s="15" t="n">
        <v>1230911.27</v>
      </c>
      <c r="AC47" s="15" t="n">
        <v>76252.97</v>
      </c>
      <c r="AD47" s="15" t="n">
        <v>444505.36</v>
      </c>
      <c r="AE47" s="15" t="n">
        <v>2776242.91</v>
      </c>
      <c r="AF47" s="15" t="n">
        <v>3948876.64</v>
      </c>
      <c r="AG47" s="15" t="n">
        <v>534908</v>
      </c>
      <c r="AH47" s="15" t="n">
        <v>1273384.11</v>
      </c>
      <c r="AI47" s="15" t="n">
        <v>57911.3</v>
      </c>
      <c r="AJ47" s="15" t="n">
        <v>825493.42</v>
      </c>
      <c r="AK47" s="15" t="n">
        <v>2532177.92</v>
      </c>
      <c r="AL47" s="15" t="n">
        <v>3369086.86</v>
      </c>
      <c r="AM47" s="15" t="n">
        <v>238191.16</v>
      </c>
      <c r="AN47" s="15" t="n">
        <v>897954.3199999999</v>
      </c>
      <c r="AO47" s="15" t="n">
        <v>278676.74</v>
      </c>
      <c r="AP47" s="15" t="n">
        <v>45695.76</v>
      </c>
      <c r="AQ47" s="15" t="n">
        <v>3091311.77</v>
      </c>
      <c r="AR47" s="15" t="n">
        <v>3352434.07</v>
      </c>
      <c r="AS47" s="15" t="n">
        <v>1318180.62</v>
      </c>
      <c r="AT47" s="15" t="n">
        <v>1103784.01</v>
      </c>
      <c r="AU47" s="15" t="n">
        <v>176272.85</v>
      </c>
      <c r="AV47" s="15" t="n">
        <v>961018.0600000001</v>
      </c>
      <c r="AW47" s="15" t="n">
        <v>2270391.22</v>
      </c>
      <c r="AX47" s="15" t="n">
        <v>2364151.24</v>
      </c>
      <c r="AY47" s="15" t="n">
        <v>1237114.24</v>
      </c>
      <c r="AZ47" s="15" t="n">
        <v>1576189.61</v>
      </c>
      <c r="BA47" s="15" t="n">
        <v>386900.76</v>
      </c>
      <c r="BB47" s="15" t="n">
        <v>739390.23</v>
      </c>
      <c r="BC47" s="15" t="n">
        <v>1827002.7</v>
      </c>
      <c r="BD47" s="15" t="n">
        <v>863493.25</v>
      </c>
      <c r="BE47" s="15" t="n">
        <v>1575477.88</v>
      </c>
      <c r="BF47" s="15" t="n">
        <v>1068767.31</v>
      </c>
      <c r="BG47" s="15" t="n">
        <v>33117.38</v>
      </c>
      <c r="BH47" s="15" t="n">
        <v>-19954.37</v>
      </c>
      <c r="BI47" s="15" t="n">
        <v>2120780.93</v>
      </c>
      <c r="BJ47" s="15" t="n">
        <v>721230.49</v>
      </c>
      <c r="BK47" s="15" t="n">
        <v>1840479.34</v>
      </c>
      <c r="BL47" s="15" t="n">
        <v>755146.25</v>
      </c>
      <c r="BM47" s="15" t="n">
        <v>319706.16</v>
      </c>
      <c r="BN47" s="15" t="n">
        <v>-119172.77</v>
      </c>
      <c r="BO47" s="15" t="n">
        <v>3009508.71</v>
      </c>
      <c r="BP47" s="15" t="n">
        <v>2579187.64</v>
      </c>
      <c r="BQ47" s="15" t="n">
        <v>1045009.86</v>
      </c>
      <c r="BR47" s="15" t="n">
        <v>638898.4300000001</v>
      </c>
      <c r="BS47" s="15" t="n">
        <v>161774.9</v>
      </c>
      <c r="BT47" s="15" t="n">
        <v>819257.15</v>
      </c>
      <c r="BU47" s="15" t="n">
        <v>1997897.68</v>
      </c>
      <c r="BV47" s="15" t="n">
        <v>1962232.6</v>
      </c>
      <c r="BW47" s="15" t="n">
        <v>1240742.1</v>
      </c>
      <c r="BX47" s="15" t="n">
        <v>1045669.73</v>
      </c>
      <c r="BY47" s="15" t="n">
        <v>70079.24000000001</v>
      </c>
      <c r="BZ47" s="15" t="n">
        <v>1134253.55</v>
      </c>
      <c r="CA47" s="15" t="n">
        <v>1087493.93</v>
      </c>
      <c r="CB47" s="15" t="n">
        <v>2100452.59</v>
      </c>
      <c r="CC47" s="15" t="n">
        <v>838947.74</v>
      </c>
      <c r="CD47" s="15" t="n">
        <v>320911.57</v>
      </c>
      <c r="CE47" s="15" t="n">
        <v>391053.68</v>
      </c>
      <c r="CF47" s="15" t="n">
        <v>508216.43</v>
      </c>
      <c r="CG47" s="15" t="n">
        <v>218442.87</v>
      </c>
      <c r="CH47" s="15" t="n">
        <v>758287.6800000001</v>
      </c>
      <c r="CI47" s="15" t="n">
        <v>1609777.46</v>
      </c>
      <c r="CJ47" s="15" t="n">
        <v>456477.67</v>
      </c>
      <c r="CK47" s="15" t="n">
        <v>397324.36</v>
      </c>
      <c r="CL47" s="15" t="n">
        <v>972340.04</v>
      </c>
      <c r="CM47" s="15" t="n">
        <v>1602420.83</v>
      </c>
      <c r="CN47" s="15" t="n">
        <v>937333.97</v>
      </c>
      <c r="CO47" s="15" t="n">
        <v>1536679.17</v>
      </c>
      <c r="CP47" s="15" t="n">
        <v>329529.65</v>
      </c>
      <c r="CQ47" s="15" t="n">
        <v>298968.3</v>
      </c>
      <c r="CR47" s="15" t="n">
        <v>737804.48</v>
      </c>
      <c r="CS47" s="15" t="n">
        <v>551022.0699999999</v>
      </c>
      <c r="CT47" s="15" t="n">
        <v>1063659.33</v>
      </c>
      <c r="CU47" s="15" t="n">
        <v>854618.1800000001</v>
      </c>
      <c r="CV47" s="15" t="n">
        <v>1355151.76</v>
      </c>
      <c r="CW47" s="15" t="n">
        <v>183699.79</v>
      </c>
      <c r="CX47" s="15" t="n">
        <v>776581.42</v>
      </c>
      <c r="CY47" s="15" t="n">
        <v>1364031.66</v>
      </c>
      <c r="CZ47" s="15" t="n">
        <v>3335431.96</v>
      </c>
      <c r="DA47" s="15" t="n">
        <v>1416975.63</v>
      </c>
      <c r="DB47" s="15" t="n">
        <v>558208.9</v>
      </c>
      <c r="DC47" s="15" t="n">
        <v>326810.3</v>
      </c>
      <c r="DD47" s="15" t="n">
        <v>966533.09</v>
      </c>
      <c r="DE47" s="15" t="n">
        <v>2358239.83</v>
      </c>
      <c r="DF47" s="15" t="n">
        <v>293697.25</v>
      </c>
      <c r="DG47" s="15" t="n">
        <v>995405.24</v>
      </c>
      <c r="DH47" s="15" t="n">
        <v>736363.3</v>
      </c>
      <c r="DI47" s="15" t="n">
        <v>32142.35</v>
      </c>
      <c r="DJ47" s="15" t="n">
        <v>913973.47</v>
      </c>
      <c r="DK47" s="15" t="n">
        <v>458514.02</v>
      </c>
      <c r="DL47" s="15" t="n">
        <v>3443844.24</v>
      </c>
      <c r="DM47" s="15" t="n">
        <v>984135.95</v>
      </c>
      <c r="DN47" s="15" t="n">
        <v>256392.17</v>
      </c>
      <c r="DO47" s="15" t="n">
        <v>340892.38</v>
      </c>
      <c r="DP47" s="15" t="n">
        <v>686716.04</v>
      </c>
    </row>
    <row r="48">
      <c r="A48" s="4" t="inlineStr">
        <is>
          <t>复合调味粉</t>
        </is>
      </c>
      <c r="B48" s="15" t="n">
        <v>3198294.08</v>
      </c>
      <c r="C48" s="15" t="n">
        <v>1467743.54</v>
      </c>
      <c r="D48" s="15" t="n">
        <v>808787.8</v>
      </c>
      <c r="E48" s="15" t="n">
        <v>70709.64</v>
      </c>
      <c r="F48" s="15" t="n">
        <v>823589.9300000001</v>
      </c>
      <c r="G48" s="15" t="n">
        <v>3062644.04</v>
      </c>
      <c r="H48" s="15" t="n">
        <v>1012798.73</v>
      </c>
      <c r="I48" s="15" t="n">
        <v>1230550.19</v>
      </c>
      <c r="J48" s="15" t="n">
        <v>284089.31</v>
      </c>
      <c r="K48" s="15" t="n">
        <v>9559.27</v>
      </c>
      <c r="L48" s="15" t="n">
        <v>809737.15</v>
      </c>
      <c r="M48" s="15" t="n">
        <v>1092627.24</v>
      </c>
      <c r="N48" s="15" t="n">
        <v>1164025.5</v>
      </c>
      <c r="O48" s="15" t="n">
        <v>1145925.39</v>
      </c>
      <c r="P48" s="15" t="n">
        <v>802696.35</v>
      </c>
      <c r="Q48" s="15" t="n">
        <v>113152.73</v>
      </c>
      <c r="R48" s="15" t="n">
        <v>-38615.05</v>
      </c>
      <c r="S48" s="15" t="n">
        <v>1318270.57</v>
      </c>
      <c r="T48" s="15" t="n">
        <v>412801.12</v>
      </c>
      <c r="U48" s="15" t="n">
        <v>2063942.48</v>
      </c>
      <c r="V48" s="15" t="n">
        <v>713694.13</v>
      </c>
      <c r="W48" s="15" t="n">
        <v>336944.83</v>
      </c>
      <c r="X48" s="15" t="n">
        <v>27225.87</v>
      </c>
      <c r="Y48" s="15" t="n">
        <v>2893380.95</v>
      </c>
      <c r="Z48" s="15" t="n">
        <v>732772.04</v>
      </c>
      <c r="AA48" s="15" t="n">
        <v>362880.24</v>
      </c>
      <c r="AB48" s="15" t="n">
        <v>1515543.09</v>
      </c>
      <c r="AC48" s="15" t="n">
        <v>302342.55</v>
      </c>
      <c r="AD48" s="15" t="n">
        <v>-12411.67</v>
      </c>
      <c r="AE48" s="15" t="n">
        <v>1843670.07</v>
      </c>
      <c r="AF48" s="15" t="n">
        <v>1364934.92</v>
      </c>
      <c r="AG48" s="15" t="n">
        <v>680437.71</v>
      </c>
      <c r="AH48" s="15" t="n">
        <v>1487480.24</v>
      </c>
      <c r="AI48" s="15" t="n">
        <v>269232.68</v>
      </c>
      <c r="AJ48" s="15" t="n">
        <v>-127770.8</v>
      </c>
      <c r="AK48" s="15" t="n">
        <v>2752862.87</v>
      </c>
      <c r="AL48" s="15" t="n">
        <v>593677.75</v>
      </c>
      <c r="AM48" s="15" t="n">
        <v>765174.77</v>
      </c>
      <c r="AN48" s="15" t="n">
        <v>1371669.22</v>
      </c>
      <c r="AO48" s="15" t="n">
        <v>235517.27</v>
      </c>
      <c r="AP48" s="15" t="n">
        <v>243243.53</v>
      </c>
      <c r="AQ48" s="15" t="n">
        <v>2167951.7</v>
      </c>
      <c r="AR48" s="15" t="n">
        <v>2999148.52</v>
      </c>
      <c r="AS48" s="15" t="n">
        <v>650171.27</v>
      </c>
      <c r="AT48" s="15" t="n">
        <v>1375665.12</v>
      </c>
      <c r="AU48" s="15" t="n">
        <v>187543.21</v>
      </c>
      <c r="AV48" s="15" t="n">
        <v>973771.84</v>
      </c>
      <c r="AW48" s="15" t="n">
        <v>3158454.83</v>
      </c>
      <c r="AX48" s="15" t="n">
        <v>3464689.57</v>
      </c>
      <c r="AY48" s="15" t="n">
        <v>228690.57</v>
      </c>
      <c r="AZ48" s="15" t="n">
        <v>1412154.4</v>
      </c>
      <c r="BA48" s="15" t="n">
        <v>368074.33</v>
      </c>
      <c r="BB48" s="15" t="n">
        <v>569035.8100000001</v>
      </c>
      <c r="BC48" s="15" t="n">
        <v>1434210.53</v>
      </c>
      <c r="BD48" s="15" t="n">
        <v>2531309.04</v>
      </c>
      <c r="BE48" s="15" t="n">
        <v>86703.98</v>
      </c>
      <c r="BF48" s="15" t="n">
        <v>1183092.72</v>
      </c>
      <c r="BG48" s="15" t="n">
        <v>353583.77</v>
      </c>
      <c r="BH48" s="15" t="n">
        <v>-113811.31</v>
      </c>
      <c r="BI48" s="15" t="n">
        <v>2870070.41</v>
      </c>
      <c r="BJ48" s="15" t="n">
        <v>3415195.93</v>
      </c>
      <c r="BK48" s="15" t="n">
        <v>1688377.85</v>
      </c>
      <c r="BL48" s="15" t="n">
        <v>957431.24</v>
      </c>
      <c r="BM48" s="15" t="n">
        <v>290343.08</v>
      </c>
      <c r="BN48" s="15" t="n">
        <v>852947.4399999999</v>
      </c>
      <c r="BO48" s="15" t="n">
        <v>1680822.27</v>
      </c>
      <c r="BP48" s="15" t="n">
        <v>635256.52</v>
      </c>
      <c r="BQ48" s="15" t="n">
        <v>537891.16</v>
      </c>
      <c r="BR48" s="15" t="n">
        <v>1119994.1</v>
      </c>
      <c r="BS48" s="15" t="n">
        <v>389405.8</v>
      </c>
      <c r="BT48" s="15" t="n">
        <v>906653.09</v>
      </c>
      <c r="BU48" s="15" t="n">
        <v>1207365.54</v>
      </c>
      <c r="BV48" s="15" t="n">
        <v>3748413.92</v>
      </c>
      <c r="BW48" s="15" t="n">
        <v>1438391.21</v>
      </c>
      <c r="BX48" s="15" t="n">
        <v>314218.71</v>
      </c>
      <c r="BY48" s="15" t="n">
        <v>324370.08</v>
      </c>
      <c r="BZ48" s="15" t="n">
        <v>1096208.13</v>
      </c>
      <c r="CA48" s="15" t="n">
        <v>1880287.92</v>
      </c>
      <c r="CB48" s="15" t="n">
        <v>1196325.76</v>
      </c>
      <c r="CC48" s="15" t="n">
        <v>410759.04</v>
      </c>
      <c r="CD48" s="15" t="n">
        <v>744124.5600000001</v>
      </c>
      <c r="CE48" s="15" t="n">
        <v>170706.8</v>
      </c>
      <c r="CF48" s="15" t="n">
        <v>-15736.97</v>
      </c>
      <c r="CG48" s="15" t="n">
        <v>2494403.81</v>
      </c>
      <c r="CH48" s="15" t="n">
        <v>2711710.59</v>
      </c>
      <c r="CI48" s="15" t="n">
        <v>1011761.63</v>
      </c>
      <c r="CJ48" s="15" t="n">
        <v>1133469.61</v>
      </c>
      <c r="CK48" s="15" t="n">
        <v>201147.26</v>
      </c>
      <c r="CL48" s="15" t="n">
        <v>-103440.12</v>
      </c>
      <c r="CM48" s="15" t="n">
        <v>2999466.33</v>
      </c>
      <c r="CN48" s="15" t="n">
        <v>612383.62</v>
      </c>
      <c r="CO48" s="15" t="n">
        <v>1621349.88</v>
      </c>
      <c r="CP48" s="15" t="n">
        <v>62043.37</v>
      </c>
      <c r="CQ48" s="15" t="n">
        <v>344303.18</v>
      </c>
      <c r="CR48" s="15" t="n">
        <v>143952.74</v>
      </c>
      <c r="CS48" s="15" t="n">
        <v>2051868.55</v>
      </c>
      <c r="CT48" s="15" t="n">
        <v>921483.3199999999</v>
      </c>
      <c r="CU48" s="15" t="n">
        <v>2258453.18</v>
      </c>
      <c r="CV48" s="15" t="n">
        <v>174713.43</v>
      </c>
      <c r="CW48" s="15" t="n">
        <v>34143.05</v>
      </c>
      <c r="CX48" s="15" t="n">
        <v>-144487.08</v>
      </c>
      <c r="CY48" s="15" t="n">
        <v>2927031.34</v>
      </c>
      <c r="CZ48" s="15" t="n">
        <v>2501797.41</v>
      </c>
      <c r="DA48" s="15" t="n">
        <v>979434.4</v>
      </c>
      <c r="DB48" s="15" t="n">
        <v>771149.45</v>
      </c>
      <c r="DC48" s="15" t="n">
        <v>391572.63</v>
      </c>
      <c r="DD48" s="15" t="n">
        <v>442310.53</v>
      </c>
      <c r="DE48" s="15" t="n">
        <v>3025193.41</v>
      </c>
      <c r="DF48" s="15" t="n">
        <v>861417.03</v>
      </c>
      <c r="DG48" s="15" t="n">
        <v>1091813.53</v>
      </c>
      <c r="DH48" s="15" t="n">
        <v>483657.14</v>
      </c>
      <c r="DI48" s="15" t="n">
        <v>106086.56</v>
      </c>
      <c r="DJ48" s="15" t="n">
        <v>144352.75</v>
      </c>
      <c r="DK48" s="15" t="n">
        <v>2873282.95</v>
      </c>
      <c r="DL48" s="15" t="n">
        <v>1497461.16</v>
      </c>
      <c r="DM48" s="15" t="n">
        <v>1184046.85</v>
      </c>
      <c r="DN48" s="15" t="n">
        <v>744641</v>
      </c>
      <c r="DO48" s="15" t="n">
        <v>47451.06</v>
      </c>
      <c r="DP48" s="15" t="n">
        <v>695340.12</v>
      </c>
    </row>
    <row r="49">
      <c r="A49" s="4" t="inlineStr">
        <is>
          <t>团餐</t>
        </is>
      </c>
      <c r="B49" s="15" t="n">
        <v>89840.63</v>
      </c>
      <c r="C49" s="15" t="n">
        <v>1002046.15</v>
      </c>
      <c r="D49" s="15" t="n">
        <v>1373670.68</v>
      </c>
      <c r="E49" s="15" t="n">
        <v>200230.38</v>
      </c>
      <c r="F49" s="15" t="n">
        <v>230323.23</v>
      </c>
      <c r="G49" s="15" t="n">
        <v>2767182.59</v>
      </c>
      <c r="H49" s="15" t="n">
        <v>839643.89</v>
      </c>
      <c r="I49" s="15" t="n">
        <v>1007706.29</v>
      </c>
      <c r="J49" s="15" t="n">
        <v>773652.87</v>
      </c>
      <c r="K49" s="15" t="n">
        <v>132517.53</v>
      </c>
      <c r="L49" s="15" t="n">
        <v>371887.13</v>
      </c>
      <c r="M49" s="15" t="n">
        <v>1477054.57</v>
      </c>
      <c r="N49" s="15" t="n">
        <v>2436063.66</v>
      </c>
      <c r="O49" s="15" t="n">
        <v>226504.22</v>
      </c>
      <c r="P49" s="15" t="n">
        <v>413992.01</v>
      </c>
      <c r="Q49" s="15" t="n">
        <v>242020.99</v>
      </c>
      <c r="R49" s="15" t="n">
        <v>642867.27</v>
      </c>
      <c r="S49" s="15" t="n">
        <v>2393092.58</v>
      </c>
      <c r="T49" s="15" t="n">
        <v>1419539.75</v>
      </c>
      <c r="U49" s="15" t="n">
        <v>2371148.97</v>
      </c>
      <c r="V49" s="15" t="n">
        <v>1432516.65</v>
      </c>
      <c r="W49" s="15" t="n">
        <v>264290.55</v>
      </c>
      <c r="X49" s="15" t="n">
        <v>513409.77</v>
      </c>
      <c r="Y49" s="15" t="n">
        <v>3096263.33</v>
      </c>
      <c r="Z49" s="15" t="n">
        <v>2897232.46</v>
      </c>
      <c r="AA49" s="15" t="n">
        <v>165784.04</v>
      </c>
      <c r="AB49" s="15" t="n">
        <v>576398.34</v>
      </c>
      <c r="AC49" s="15" t="n">
        <v>387497.71</v>
      </c>
      <c r="AD49" s="15" t="n">
        <v>423106.84</v>
      </c>
      <c r="AE49" s="15" t="n">
        <v>454469.48</v>
      </c>
      <c r="AF49" s="15" t="n">
        <v>3411352.77</v>
      </c>
      <c r="AG49" s="15" t="n">
        <v>825373.29</v>
      </c>
      <c r="AH49" s="15" t="n">
        <v>1569936.37</v>
      </c>
      <c r="AI49" s="15" t="n">
        <v>61546.58</v>
      </c>
      <c r="AJ49" s="15" t="n">
        <v>642123.83</v>
      </c>
      <c r="AK49" s="15" t="n">
        <v>616241.4300000001</v>
      </c>
      <c r="AL49" s="15" t="n">
        <v>3369351.28</v>
      </c>
      <c r="AM49" s="15" t="n">
        <v>1034836.03</v>
      </c>
      <c r="AN49" s="15" t="n">
        <v>516918.75</v>
      </c>
      <c r="AO49" s="15" t="n">
        <v>393899.99</v>
      </c>
      <c r="AP49" s="15" t="n">
        <v>897202.92</v>
      </c>
      <c r="AQ49" s="15" t="n">
        <v>2869422.27</v>
      </c>
      <c r="AR49" s="15" t="n">
        <v>2770769.09</v>
      </c>
      <c r="AS49" s="15" t="n">
        <v>1373471.07</v>
      </c>
      <c r="AT49" s="15" t="n">
        <v>832838.0699999999</v>
      </c>
      <c r="AU49" s="15" t="n">
        <v>127895.18</v>
      </c>
      <c r="AV49" s="15" t="n">
        <v>995205.88</v>
      </c>
      <c r="AW49" s="15" t="n">
        <v>2508764.47</v>
      </c>
      <c r="AX49" s="15" t="n">
        <v>1593533.13</v>
      </c>
      <c r="AY49" s="15" t="n">
        <v>2004823.58</v>
      </c>
      <c r="AZ49" s="15" t="n">
        <v>979699.95</v>
      </c>
      <c r="BA49" s="15" t="n">
        <v>191003.54</v>
      </c>
      <c r="BB49" s="15" t="n">
        <v>837309.22</v>
      </c>
      <c r="BC49" s="15" t="n">
        <v>192216.32</v>
      </c>
      <c r="BD49" s="15" t="n">
        <v>355731.1</v>
      </c>
      <c r="BE49" s="15" t="n">
        <v>1411941.21</v>
      </c>
      <c r="BF49" s="15" t="n">
        <v>104063.42</v>
      </c>
      <c r="BG49" s="15" t="n">
        <v>356476.33</v>
      </c>
      <c r="BH49" s="15" t="n">
        <v>-112505.88</v>
      </c>
      <c r="BI49" s="15" t="n">
        <v>721415.04</v>
      </c>
      <c r="BJ49" s="15" t="n">
        <v>2065354.23</v>
      </c>
      <c r="BK49" s="15" t="n">
        <v>801171.5699999999</v>
      </c>
      <c r="BL49" s="15" t="n">
        <v>637701.4399999999</v>
      </c>
      <c r="BM49" s="15" t="n">
        <v>367728.52</v>
      </c>
      <c r="BN49" s="15" t="n">
        <v>804367.77</v>
      </c>
      <c r="BO49" s="15" t="n">
        <v>2042201.78</v>
      </c>
      <c r="BP49" s="15" t="n">
        <v>2935579.33</v>
      </c>
      <c r="BQ49" s="15" t="n">
        <v>713750.64</v>
      </c>
      <c r="BR49" s="15" t="n">
        <v>1353766.16</v>
      </c>
      <c r="BS49" s="15" t="n">
        <v>303269.09</v>
      </c>
      <c r="BT49" s="15" t="n">
        <v>155488.88</v>
      </c>
      <c r="BU49" s="15" t="n">
        <v>1863240.8</v>
      </c>
      <c r="BV49" s="15" t="n">
        <v>3880113.73</v>
      </c>
      <c r="BW49" s="15" t="n">
        <v>1352118.7</v>
      </c>
      <c r="BX49" s="15" t="n">
        <v>453650.34</v>
      </c>
      <c r="BY49" s="15" t="n">
        <v>90581.8</v>
      </c>
      <c r="BZ49" s="15" t="n">
        <v>621152.84</v>
      </c>
      <c r="CA49" s="15" t="n">
        <v>1061112.75</v>
      </c>
      <c r="CB49" s="15" t="n">
        <v>2334942.25</v>
      </c>
      <c r="CC49" s="15" t="n">
        <v>1218851.1</v>
      </c>
      <c r="CD49" s="15" t="n">
        <v>845502.46</v>
      </c>
      <c r="CE49" s="15" t="n">
        <v>64233.02</v>
      </c>
      <c r="CF49" s="15" t="n">
        <v>113533.86</v>
      </c>
      <c r="CG49" s="15" t="n">
        <v>105622.04</v>
      </c>
      <c r="CH49" s="15" t="n">
        <v>1231668.74</v>
      </c>
      <c r="CI49" s="15" t="n">
        <v>2241274.42</v>
      </c>
      <c r="CJ49" s="15" t="n">
        <v>873837.49</v>
      </c>
      <c r="CK49" s="15" t="n">
        <v>107222.69</v>
      </c>
      <c r="CL49" s="15" t="n">
        <v>918412.52</v>
      </c>
      <c r="CM49" s="15" t="n">
        <v>613249.75</v>
      </c>
      <c r="CN49" s="15" t="n">
        <v>2550614.17</v>
      </c>
      <c r="CO49" s="15" t="n">
        <v>291583.95</v>
      </c>
      <c r="CP49" s="15" t="n">
        <v>1546896.49</v>
      </c>
      <c r="CQ49" s="15" t="n">
        <v>236506.44</v>
      </c>
      <c r="CR49" s="15" t="n">
        <v>-103084.53</v>
      </c>
      <c r="CS49" s="15" t="n">
        <v>2433863.01</v>
      </c>
      <c r="CT49" s="15" t="n">
        <v>2436561.74</v>
      </c>
      <c r="CU49" s="15" t="n">
        <v>2070294.01</v>
      </c>
      <c r="CV49" s="15" t="n">
        <v>38810.38</v>
      </c>
      <c r="CW49" s="15" t="n">
        <v>123172.29</v>
      </c>
      <c r="CX49" s="15" t="n">
        <v>740090.87</v>
      </c>
      <c r="CY49" s="15" t="n">
        <v>950506.83</v>
      </c>
      <c r="CZ49" s="15" t="n">
        <v>3316710.97</v>
      </c>
      <c r="DA49" s="15" t="n">
        <v>785383.87</v>
      </c>
      <c r="DB49" s="15" t="n">
        <v>726393.48</v>
      </c>
      <c r="DC49" s="15" t="n">
        <v>252943.32</v>
      </c>
      <c r="DD49" s="15" t="n">
        <v>955791.77</v>
      </c>
      <c r="DE49" s="15" t="n">
        <v>177998.05</v>
      </c>
      <c r="DF49" s="15" t="n">
        <v>2758306.31</v>
      </c>
      <c r="DG49" s="15" t="n">
        <v>1836302.37</v>
      </c>
      <c r="DH49" s="15" t="n">
        <v>237003.03</v>
      </c>
      <c r="DI49" s="15" t="n">
        <v>226666.25</v>
      </c>
      <c r="DJ49" s="15" t="n">
        <v>805206.35</v>
      </c>
      <c r="DK49" s="15" t="n">
        <v>2194539.94</v>
      </c>
      <c r="DL49" s="15" t="n">
        <v>3950046.68</v>
      </c>
      <c r="DM49" s="15" t="n">
        <v>963372.27</v>
      </c>
      <c r="DN49" s="15" t="n">
        <v>697446.22</v>
      </c>
      <c r="DO49" s="15" t="n">
        <v>397547.83</v>
      </c>
      <c r="DP49" s="15" t="n">
        <v>366649.84</v>
      </c>
    </row>
    <row r="50">
      <c r="A50" s="4" t="inlineStr">
        <is>
          <t>预制菜</t>
        </is>
      </c>
      <c r="B50" s="15" t="n">
        <v>728049.14</v>
      </c>
      <c r="C50" s="15" t="n">
        <v>1760051.02</v>
      </c>
      <c r="D50" s="15" t="n">
        <v>930345.96</v>
      </c>
      <c r="E50" s="15" t="n">
        <v>133511.04</v>
      </c>
      <c r="F50" s="15" t="n">
        <v>1193680.76</v>
      </c>
      <c r="G50" s="15" t="n">
        <v>286761.59</v>
      </c>
      <c r="H50" s="15" t="n">
        <v>871889.0600000001</v>
      </c>
      <c r="I50" s="15" t="n">
        <v>2280017.96</v>
      </c>
      <c r="J50" s="15" t="n">
        <v>506631.9</v>
      </c>
      <c r="K50" s="15" t="n">
        <v>261884.95</v>
      </c>
      <c r="L50" s="15" t="n">
        <v>607278.03</v>
      </c>
      <c r="M50" s="15" t="n">
        <v>2629580.99</v>
      </c>
      <c r="N50" s="15" t="n">
        <v>1923907.67</v>
      </c>
      <c r="O50" s="15" t="n">
        <v>560424.3</v>
      </c>
      <c r="P50" s="15" t="n">
        <v>746438.63</v>
      </c>
      <c r="Q50" s="15" t="n">
        <v>121757.06</v>
      </c>
      <c r="R50" s="15" t="n">
        <v>791621.2</v>
      </c>
      <c r="S50" s="15" t="n">
        <v>673714.89</v>
      </c>
      <c r="T50" s="15" t="n">
        <v>2149945.89</v>
      </c>
      <c r="U50" s="15" t="n">
        <v>1248774.67</v>
      </c>
      <c r="V50" s="15" t="n">
        <v>661427.79</v>
      </c>
      <c r="W50" s="15" t="n">
        <v>71143.34</v>
      </c>
      <c r="X50" s="15" t="n">
        <v>868469.29</v>
      </c>
      <c r="Y50" s="15" t="n">
        <v>2147901.16</v>
      </c>
      <c r="Z50" s="15" t="n">
        <v>2563865.02</v>
      </c>
      <c r="AA50" s="15" t="n">
        <v>2100349.65</v>
      </c>
      <c r="AB50" s="15" t="n">
        <v>1313208.66</v>
      </c>
      <c r="AC50" s="15" t="n">
        <v>284612.44</v>
      </c>
      <c r="AD50" s="15" t="n">
        <v>85290.32000000001</v>
      </c>
      <c r="AE50" s="15" t="n">
        <v>2422618.69</v>
      </c>
      <c r="AF50" s="15" t="n">
        <v>1030034.93</v>
      </c>
      <c r="AG50" s="15" t="n">
        <v>440417.36</v>
      </c>
      <c r="AH50" s="15" t="n">
        <v>22993.13</v>
      </c>
      <c r="AI50" s="15" t="n">
        <v>55984.08</v>
      </c>
      <c r="AJ50" s="15" t="n">
        <v>1109430.58</v>
      </c>
      <c r="AK50" s="15" t="n">
        <v>1817778.04</v>
      </c>
      <c r="AL50" s="15" t="n">
        <v>2239651.13</v>
      </c>
      <c r="AM50" s="15" t="n">
        <v>323700.85</v>
      </c>
      <c r="AN50" s="15" t="n">
        <v>369648.52</v>
      </c>
      <c r="AO50" s="15" t="n">
        <v>347911.81</v>
      </c>
      <c r="AP50" s="15" t="n">
        <v>-54356.51</v>
      </c>
      <c r="AQ50" s="15" t="n">
        <v>1537618.86</v>
      </c>
      <c r="AR50" s="15" t="n">
        <v>1706648.53</v>
      </c>
      <c r="AS50" s="15" t="n">
        <v>850314.73</v>
      </c>
      <c r="AT50" s="15" t="n">
        <v>1329466.01</v>
      </c>
      <c r="AU50" s="15" t="n">
        <v>167148.74</v>
      </c>
      <c r="AV50" s="15" t="n">
        <v>455154.64</v>
      </c>
      <c r="AW50" s="15" t="n">
        <v>288148.53</v>
      </c>
      <c r="AX50" s="15" t="n">
        <v>615453.23</v>
      </c>
      <c r="AY50" s="15" t="n">
        <v>1704620.41</v>
      </c>
      <c r="AZ50" s="15" t="n">
        <v>1400184.3</v>
      </c>
      <c r="BA50" s="15" t="n">
        <v>268638.03</v>
      </c>
      <c r="BB50" s="15" t="n">
        <v>591633.58</v>
      </c>
      <c r="BC50" s="15" t="n">
        <v>486650.46</v>
      </c>
      <c r="BD50" s="15" t="n">
        <v>210808.22</v>
      </c>
      <c r="BE50" s="15" t="n">
        <v>583477.1</v>
      </c>
      <c r="BF50" s="15" t="n">
        <v>1476237.91</v>
      </c>
      <c r="BG50" s="15" t="n">
        <v>216021.11</v>
      </c>
      <c r="BH50" s="15" t="n">
        <v>1176289.65</v>
      </c>
      <c r="BI50" s="15" t="n">
        <v>1456104.86</v>
      </c>
      <c r="BJ50" s="15" t="n">
        <v>3231002.27</v>
      </c>
      <c r="BK50" s="15" t="n">
        <v>682607.38</v>
      </c>
      <c r="BL50" s="15" t="n">
        <v>582314.38</v>
      </c>
      <c r="BM50" s="15" t="n">
        <v>252704.34</v>
      </c>
      <c r="BN50" s="15" t="n">
        <v>1075079.16</v>
      </c>
      <c r="BO50" s="15" t="n">
        <v>811080.15</v>
      </c>
      <c r="BP50" s="15" t="n">
        <v>3356965.6</v>
      </c>
      <c r="BQ50" s="15" t="n">
        <v>540071.8</v>
      </c>
      <c r="BR50" s="15" t="n">
        <v>36527.96</v>
      </c>
      <c r="BS50" s="15" t="n">
        <v>179659.23</v>
      </c>
      <c r="BT50" s="15" t="n">
        <v>560615.63</v>
      </c>
      <c r="BU50" s="15" t="n">
        <v>411356.59</v>
      </c>
      <c r="BV50" s="15" t="n">
        <v>3497901.44</v>
      </c>
      <c r="BW50" s="15" t="n">
        <v>447246.55</v>
      </c>
      <c r="BX50" s="15" t="n">
        <v>1219242.49</v>
      </c>
      <c r="BY50" s="15" t="n">
        <v>193082.37</v>
      </c>
      <c r="BZ50" s="15" t="n">
        <v>1103189.06</v>
      </c>
      <c r="CA50" s="15" t="n">
        <v>1249423.89</v>
      </c>
      <c r="CB50" s="15" t="n">
        <v>1419086.37</v>
      </c>
      <c r="CC50" s="15" t="n">
        <v>2118805.73</v>
      </c>
      <c r="CD50" s="15" t="n">
        <v>117604.65</v>
      </c>
      <c r="CE50" s="15" t="n">
        <v>369984.01</v>
      </c>
      <c r="CF50" s="15" t="n">
        <v>223253.32</v>
      </c>
      <c r="CG50" s="15" t="n">
        <v>2703030.62</v>
      </c>
      <c r="CH50" s="15" t="n">
        <v>1948369.51</v>
      </c>
      <c r="CI50" s="15" t="n">
        <v>656612.0600000001</v>
      </c>
      <c r="CJ50" s="15" t="n">
        <v>591765.54</v>
      </c>
      <c r="CK50" s="15" t="n">
        <v>280198.54</v>
      </c>
      <c r="CL50" s="15" t="n">
        <v>260477.9</v>
      </c>
      <c r="CM50" s="15" t="n">
        <v>781765.97</v>
      </c>
      <c r="CN50" s="15" t="n">
        <v>1477084.77</v>
      </c>
      <c r="CO50" s="15" t="n">
        <v>465945.9</v>
      </c>
      <c r="CP50" s="15" t="n">
        <v>718349.45</v>
      </c>
      <c r="CQ50" s="15" t="n">
        <v>125775.76</v>
      </c>
      <c r="CR50" s="15" t="n">
        <v>937196.37</v>
      </c>
      <c r="CS50" s="15" t="n">
        <v>2189965.94</v>
      </c>
      <c r="CT50" s="15" t="n">
        <v>3800607.67</v>
      </c>
      <c r="CU50" s="15" t="n">
        <v>1266825.22</v>
      </c>
      <c r="CV50" s="15" t="n">
        <v>247607.06</v>
      </c>
      <c r="CW50" s="15" t="n">
        <v>343579.1</v>
      </c>
      <c r="CX50" s="15" t="n">
        <v>29714.46</v>
      </c>
      <c r="CY50" s="15" t="n">
        <v>1378802.4</v>
      </c>
      <c r="CZ50" s="15" t="n">
        <v>3387044.23</v>
      </c>
      <c r="DA50" s="15" t="n">
        <v>1467534.81</v>
      </c>
      <c r="DB50" s="15" t="n">
        <v>1547951.74</v>
      </c>
      <c r="DC50" s="15" t="n">
        <v>285220.89</v>
      </c>
      <c r="DD50" s="15" t="n">
        <v>950265.89</v>
      </c>
      <c r="DE50" s="15" t="n">
        <v>1209581.8</v>
      </c>
      <c r="DF50" s="15" t="n">
        <v>488575.5</v>
      </c>
      <c r="DG50" s="15" t="n">
        <v>2224756.67</v>
      </c>
      <c r="DH50" s="15" t="n">
        <v>1313192.39</v>
      </c>
      <c r="DI50" s="15" t="n">
        <v>131352.33</v>
      </c>
      <c r="DJ50" s="15" t="n">
        <v>428581.63</v>
      </c>
      <c r="DK50" s="15" t="n">
        <v>2864933.22</v>
      </c>
      <c r="DL50" s="15" t="n">
        <v>3166398.13</v>
      </c>
      <c r="DM50" s="15" t="n">
        <v>1326185.25</v>
      </c>
      <c r="DN50" s="15" t="n">
        <v>561401.1</v>
      </c>
      <c r="DO50" s="15" t="n">
        <v>133348.66</v>
      </c>
      <c r="DP50" s="15" t="n">
        <v>421841.95</v>
      </c>
    </row>
    <row r="51">
      <c r="A51" s="4" t="inlineStr">
        <is>
          <t>其他产品A</t>
        </is>
      </c>
      <c r="B51" s="15" t="n">
        <v>2965232.02</v>
      </c>
      <c r="C51" s="15" t="n">
        <v>1210935.66</v>
      </c>
      <c r="D51" s="15" t="n">
        <v>74730.31</v>
      </c>
      <c r="E51" s="15" t="n">
        <v>152361.58</v>
      </c>
      <c r="F51" s="15" t="n">
        <v>738985.51</v>
      </c>
      <c r="G51" s="15" t="n">
        <v>2418842.21</v>
      </c>
      <c r="H51" s="15" t="n">
        <v>3397969.22</v>
      </c>
      <c r="I51" s="15" t="n">
        <v>1299399.47</v>
      </c>
      <c r="J51" s="15" t="n">
        <v>1553359.28</v>
      </c>
      <c r="K51" s="15" t="n">
        <v>221481.69</v>
      </c>
      <c r="L51" s="15" t="n">
        <v>525446.6</v>
      </c>
      <c r="M51" s="15" t="n">
        <v>721050.51</v>
      </c>
      <c r="N51" s="15" t="n">
        <v>345426.75</v>
      </c>
      <c r="O51" s="15" t="n">
        <v>1418963.5</v>
      </c>
      <c r="P51" s="15" t="n">
        <v>426536.18</v>
      </c>
      <c r="Q51" s="15" t="n">
        <v>134855.48</v>
      </c>
      <c r="R51" s="15" t="n">
        <v>-77675.91</v>
      </c>
      <c r="S51" s="15" t="n">
        <v>2445485.2</v>
      </c>
      <c r="T51" s="15" t="n">
        <v>1334550.05</v>
      </c>
      <c r="U51" s="15" t="n">
        <v>2289622.87</v>
      </c>
      <c r="V51" s="15" t="n">
        <v>97767.10000000001</v>
      </c>
      <c r="W51" s="15" t="n">
        <v>369322.03</v>
      </c>
      <c r="X51" s="15" t="n">
        <v>246905.51</v>
      </c>
      <c r="Y51" s="15" t="n">
        <v>2402031.1</v>
      </c>
      <c r="Z51" s="15" t="n">
        <v>1428882.08</v>
      </c>
      <c r="AA51" s="15" t="n">
        <v>524869.23</v>
      </c>
      <c r="AB51" s="15" t="n">
        <v>397815.1</v>
      </c>
      <c r="AC51" s="15" t="n">
        <v>88974.95</v>
      </c>
      <c r="AD51" s="15" t="n">
        <v>575052.97</v>
      </c>
      <c r="AE51" s="15" t="n">
        <v>536688.89</v>
      </c>
      <c r="AF51" s="15" t="n">
        <v>1258560.99</v>
      </c>
      <c r="AG51" s="15" t="n">
        <v>2333129.76</v>
      </c>
      <c r="AH51" s="15" t="n">
        <v>585551.78</v>
      </c>
      <c r="AI51" s="15" t="n">
        <v>117327.41</v>
      </c>
      <c r="AJ51" s="15" t="n">
        <v>276591.71</v>
      </c>
      <c r="AK51" s="15" t="n">
        <v>232078.74</v>
      </c>
      <c r="AL51" s="15" t="n">
        <v>382350.88</v>
      </c>
      <c r="AM51" s="15" t="n">
        <v>2079129.39</v>
      </c>
      <c r="AN51" s="15" t="n">
        <v>1400082.92</v>
      </c>
      <c r="AO51" s="15" t="n">
        <v>291207.21</v>
      </c>
      <c r="AP51" s="15" t="n">
        <v>1000392.7</v>
      </c>
      <c r="AQ51" s="15" t="n">
        <v>3007346.48</v>
      </c>
      <c r="AR51" s="15" t="n">
        <v>2580834.34</v>
      </c>
      <c r="AS51" s="15" t="n">
        <v>994511.84</v>
      </c>
      <c r="AT51" s="15" t="n">
        <v>864096.53</v>
      </c>
      <c r="AU51" s="15" t="n">
        <v>10962.05</v>
      </c>
      <c r="AV51" s="15" t="n">
        <v>710177.24</v>
      </c>
      <c r="AW51" s="15" t="n">
        <v>2585652.3</v>
      </c>
      <c r="AX51" s="15" t="n">
        <v>3849135.98</v>
      </c>
      <c r="AY51" s="15" t="n">
        <v>2389110.78</v>
      </c>
      <c r="AZ51" s="15" t="n">
        <v>1186553.21</v>
      </c>
      <c r="BA51" s="15" t="n">
        <v>363934.82</v>
      </c>
      <c r="BB51" s="15" t="n">
        <v>471022.68</v>
      </c>
      <c r="BC51" s="15" t="n">
        <v>1247953.11</v>
      </c>
      <c r="BD51" s="15" t="n">
        <v>2687162.81</v>
      </c>
      <c r="BE51" s="15" t="n">
        <v>1805981.39</v>
      </c>
      <c r="BF51" s="15" t="n">
        <v>633259</v>
      </c>
      <c r="BG51" s="15" t="n">
        <v>70996.27</v>
      </c>
      <c r="BH51" s="15" t="n">
        <v>1104355.16</v>
      </c>
      <c r="BI51" s="15" t="n">
        <v>1667276.55</v>
      </c>
      <c r="BJ51" s="15" t="n">
        <v>2557193.92</v>
      </c>
      <c r="BK51" s="15" t="n">
        <v>1412173.19</v>
      </c>
      <c r="BL51" s="15" t="n">
        <v>748905.78</v>
      </c>
      <c r="BM51" s="15" t="n">
        <v>296447.92</v>
      </c>
      <c r="BN51" s="15" t="n">
        <v>494706.07</v>
      </c>
      <c r="BO51" s="15" t="n">
        <v>2332391.28</v>
      </c>
      <c r="BP51" s="15" t="n">
        <v>785063.92</v>
      </c>
      <c r="BQ51" s="15" t="n">
        <v>2146612.9</v>
      </c>
      <c r="BR51" s="15" t="n">
        <v>357510.31</v>
      </c>
      <c r="BS51" s="15" t="n">
        <v>192002.03</v>
      </c>
      <c r="BT51" s="15" t="n">
        <v>124400.16</v>
      </c>
      <c r="BU51" s="15" t="n">
        <v>1809212.97</v>
      </c>
      <c r="BV51" s="15" t="n">
        <v>2633693.82</v>
      </c>
      <c r="BW51" s="15" t="n">
        <v>704464.85</v>
      </c>
      <c r="BX51" s="15" t="n">
        <v>903461.95</v>
      </c>
      <c r="BY51" s="15" t="n">
        <v>182008.96</v>
      </c>
      <c r="BZ51" s="15" t="n">
        <v>1023554.88</v>
      </c>
      <c r="CA51" s="15" t="n">
        <v>645479.74</v>
      </c>
      <c r="CB51" s="15" t="n">
        <v>2144308.96</v>
      </c>
      <c r="CC51" s="15" t="n">
        <v>1390515.99</v>
      </c>
      <c r="CD51" s="15" t="n">
        <v>1390617.8</v>
      </c>
      <c r="CE51" s="15" t="n">
        <v>367858.61</v>
      </c>
      <c r="CF51" s="15" t="n">
        <v>923274.67</v>
      </c>
      <c r="CG51" s="15" t="n">
        <v>550133.35</v>
      </c>
      <c r="CH51" s="15" t="n">
        <v>2917703.72</v>
      </c>
      <c r="CI51" s="15" t="n">
        <v>2285745.67</v>
      </c>
      <c r="CJ51" s="15" t="n">
        <v>158997.82</v>
      </c>
      <c r="CK51" s="15" t="n">
        <v>319320.74</v>
      </c>
      <c r="CL51" s="15" t="n">
        <v>1149696.21</v>
      </c>
      <c r="CM51" s="15" t="n">
        <v>2990387.21</v>
      </c>
      <c r="CN51" s="15" t="n">
        <v>2830655.34</v>
      </c>
      <c r="CO51" s="15" t="n">
        <v>376099.12</v>
      </c>
      <c r="CP51" s="15" t="n">
        <v>1209809.88</v>
      </c>
      <c r="CQ51" s="15" t="n">
        <v>8382.74</v>
      </c>
      <c r="CR51" s="15" t="n">
        <v>1117090.43</v>
      </c>
      <c r="CS51" s="15" t="n">
        <v>3196410.92</v>
      </c>
      <c r="CT51" s="15" t="n">
        <v>1615689.65</v>
      </c>
      <c r="CU51" s="15" t="n">
        <v>867713.3</v>
      </c>
      <c r="CV51" s="15" t="n">
        <v>1101361.73</v>
      </c>
      <c r="CW51" s="15" t="n">
        <v>106276.69</v>
      </c>
      <c r="CX51" s="15" t="n">
        <v>835988.6</v>
      </c>
      <c r="CY51" s="15" t="n">
        <v>2922263.3</v>
      </c>
      <c r="CZ51" s="15" t="n">
        <v>1493280.66</v>
      </c>
      <c r="DA51" s="15" t="n">
        <v>851739.52</v>
      </c>
      <c r="DB51" s="15" t="n">
        <v>456676.34</v>
      </c>
      <c r="DC51" s="15" t="n">
        <v>338578.47</v>
      </c>
      <c r="DD51" s="15" t="n">
        <v>673565.95</v>
      </c>
      <c r="DE51" s="15" t="n">
        <v>1062181.25</v>
      </c>
      <c r="DF51" s="15" t="n">
        <v>3598360.62</v>
      </c>
      <c r="DG51" s="15" t="n">
        <v>2136145.55</v>
      </c>
      <c r="DH51" s="15" t="n">
        <v>1467479.14</v>
      </c>
      <c r="DI51" s="15" t="n">
        <v>41530.97</v>
      </c>
      <c r="DJ51" s="15" t="n">
        <v>881518.73</v>
      </c>
      <c r="DK51" s="15" t="n">
        <v>224456.45</v>
      </c>
      <c r="DL51" s="15" t="n">
        <v>990390.24</v>
      </c>
      <c r="DM51" s="15" t="n">
        <v>994296.79</v>
      </c>
      <c r="DN51" s="15" t="n">
        <v>60336.28</v>
      </c>
      <c r="DO51" s="15" t="n">
        <v>362594.94</v>
      </c>
      <c r="DP51" s="15" t="n">
        <v>55578.18</v>
      </c>
    </row>
    <row r="52">
      <c r="A52" s="4" t="inlineStr">
        <is>
          <t>其他产品B</t>
        </is>
      </c>
      <c r="B52" s="15" t="n">
        <v>670597.3199999999</v>
      </c>
      <c r="C52" s="15" t="n">
        <v>1164831.78</v>
      </c>
      <c r="D52" s="15" t="n">
        <v>532991.4399999999</v>
      </c>
      <c r="E52" s="15" t="n">
        <v>126683.72</v>
      </c>
      <c r="F52" s="15" t="n">
        <v>672827.58</v>
      </c>
      <c r="G52" s="15" t="n">
        <v>1030990.92</v>
      </c>
      <c r="H52" s="15" t="n">
        <v>1831366.59</v>
      </c>
      <c r="I52" s="15" t="n">
        <v>1960938.49</v>
      </c>
      <c r="J52" s="15" t="n">
        <v>881915.09</v>
      </c>
      <c r="K52" s="15" t="n">
        <v>157078.91</v>
      </c>
      <c r="L52" s="15" t="n">
        <v>442519.22</v>
      </c>
      <c r="M52" s="15" t="n">
        <v>1401918.98</v>
      </c>
      <c r="N52" s="15" t="n">
        <v>3189366.65</v>
      </c>
      <c r="O52" s="15" t="n">
        <v>1422069.7</v>
      </c>
      <c r="P52" s="15" t="n">
        <v>707711.05</v>
      </c>
      <c r="Q52" s="15" t="n">
        <v>62598.43</v>
      </c>
      <c r="R52" s="15" t="n">
        <v>104790.58</v>
      </c>
      <c r="S52" s="15" t="n">
        <v>2508388.67</v>
      </c>
      <c r="T52" s="15" t="n">
        <v>3191524.26</v>
      </c>
      <c r="U52" s="15" t="n">
        <v>188373.4</v>
      </c>
      <c r="V52" s="15" t="n">
        <v>677836.8199999999</v>
      </c>
      <c r="W52" s="15" t="n">
        <v>341370.13</v>
      </c>
      <c r="X52" s="15" t="n">
        <v>394584.9</v>
      </c>
      <c r="Y52" s="15" t="n">
        <v>1745669.99</v>
      </c>
      <c r="Z52" s="15" t="n">
        <v>1592863.87</v>
      </c>
      <c r="AA52" s="15" t="n">
        <v>2306897.51</v>
      </c>
      <c r="AB52" s="15" t="n">
        <v>349158.04</v>
      </c>
      <c r="AC52" s="15" t="n">
        <v>179795.55</v>
      </c>
      <c r="AD52" s="15" t="n">
        <v>-91267.14</v>
      </c>
      <c r="AE52" s="15" t="n">
        <v>2196741.4</v>
      </c>
      <c r="AF52" s="15" t="n">
        <v>3310101.73</v>
      </c>
      <c r="AG52" s="15" t="n">
        <v>2266302.56</v>
      </c>
      <c r="AH52" s="15" t="n">
        <v>292944.94</v>
      </c>
      <c r="AI52" s="15" t="n">
        <v>15951.61</v>
      </c>
      <c r="AJ52" s="15" t="n">
        <v>71197.92999999999</v>
      </c>
      <c r="AK52" s="15" t="n">
        <v>1197665.91</v>
      </c>
      <c r="AL52" s="15" t="n">
        <v>1802299.76</v>
      </c>
      <c r="AM52" s="15" t="n">
        <v>1272604.7</v>
      </c>
      <c r="AN52" s="15" t="n">
        <v>1269616.11</v>
      </c>
      <c r="AO52" s="15" t="n">
        <v>258829.22</v>
      </c>
      <c r="AP52" s="15" t="n">
        <v>377281.95</v>
      </c>
      <c r="AQ52" s="15" t="n">
        <v>2989601.35</v>
      </c>
      <c r="AR52" s="15" t="n">
        <v>2684368.29</v>
      </c>
      <c r="AS52" s="15" t="n">
        <v>972175.2</v>
      </c>
      <c r="AT52" s="15" t="n">
        <v>139606.04</v>
      </c>
      <c r="AU52" s="15" t="n">
        <v>87324.10000000001</v>
      </c>
      <c r="AV52" s="15" t="n">
        <v>-137633.09</v>
      </c>
      <c r="AW52" s="15" t="n">
        <v>1801686.34</v>
      </c>
      <c r="AX52" s="15" t="n">
        <v>1598784.03</v>
      </c>
      <c r="AY52" s="15" t="n">
        <v>290556.59</v>
      </c>
      <c r="AZ52" s="15" t="n">
        <v>265792.66</v>
      </c>
      <c r="BA52" s="15" t="n">
        <v>162499.56</v>
      </c>
      <c r="BB52" s="15" t="n">
        <v>1053338.56</v>
      </c>
      <c r="BC52" s="15" t="n">
        <v>1676372.88</v>
      </c>
      <c r="BD52" s="15" t="n">
        <v>135983.47</v>
      </c>
      <c r="BE52" s="15" t="n">
        <v>2269892.3</v>
      </c>
      <c r="BF52" s="15" t="n">
        <v>1126381.99</v>
      </c>
      <c r="BG52" s="15" t="n">
        <v>166848.45</v>
      </c>
      <c r="BH52" s="15" t="n">
        <v>667784.53</v>
      </c>
      <c r="BI52" s="15" t="n">
        <v>1680817.09</v>
      </c>
      <c r="BJ52" s="15" t="n">
        <v>3254969.76</v>
      </c>
      <c r="BK52" s="15" t="n">
        <v>1889356.05</v>
      </c>
      <c r="BL52" s="15" t="n">
        <v>1073304.65</v>
      </c>
      <c r="BM52" s="15" t="n">
        <v>118264.78</v>
      </c>
      <c r="BN52" s="15" t="n">
        <v>-50198.89</v>
      </c>
      <c r="BO52" s="15" t="n">
        <v>347196.12</v>
      </c>
      <c r="BP52" s="15" t="n">
        <v>3243496.5</v>
      </c>
      <c r="BQ52" s="15" t="n">
        <v>611403.4399999999</v>
      </c>
      <c r="BR52" s="15" t="n">
        <v>1367521.84</v>
      </c>
      <c r="BS52" s="15" t="n">
        <v>285286.85</v>
      </c>
      <c r="BT52" s="15" t="n">
        <v>1007488.77</v>
      </c>
      <c r="BU52" s="15" t="n">
        <v>2195890.9</v>
      </c>
      <c r="BV52" s="15" t="n">
        <v>976653.08</v>
      </c>
      <c r="BW52" s="15" t="n">
        <v>271480.65</v>
      </c>
      <c r="BX52" s="15" t="n">
        <v>1145914.11</v>
      </c>
      <c r="BY52" s="15" t="n">
        <v>278352.06</v>
      </c>
      <c r="BZ52" s="15" t="n">
        <v>367937.28</v>
      </c>
      <c r="CA52" s="15" t="n">
        <v>800547.58</v>
      </c>
      <c r="CB52" s="15" t="n">
        <v>1551354.13</v>
      </c>
      <c r="CC52" s="15" t="n">
        <v>468828.55</v>
      </c>
      <c r="CD52" s="15" t="n">
        <v>1206752.42</v>
      </c>
      <c r="CE52" s="15" t="n">
        <v>64321.51</v>
      </c>
      <c r="CF52" s="15" t="n">
        <v>212805.3</v>
      </c>
      <c r="CG52" s="15" t="n">
        <v>2689100.95</v>
      </c>
      <c r="CH52" s="15" t="n">
        <v>1279626.06</v>
      </c>
      <c r="CI52" s="15" t="n">
        <v>730325.29</v>
      </c>
      <c r="CJ52" s="15" t="n">
        <v>20214.31</v>
      </c>
      <c r="CK52" s="15" t="n">
        <v>257179.1</v>
      </c>
      <c r="CL52" s="15" t="n">
        <v>457052.14</v>
      </c>
      <c r="CM52" s="15" t="n">
        <v>2929639.46</v>
      </c>
      <c r="CN52" s="15" t="n">
        <v>3425863.29</v>
      </c>
      <c r="CO52" s="15" t="n">
        <v>937908.53</v>
      </c>
      <c r="CP52" s="15" t="n">
        <v>273940.65</v>
      </c>
      <c r="CQ52" s="15" t="n">
        <v>233375.38</v>
      </c>
      <c r="CR52" s="15" t="n">
        <v>-56704.53</v>
      </c>
      <c r="CS52" s="15" t="n">
        <v>2690508.95</v>
      </c>
      <c r="CT52" s="15" t="n">
        <v>2564711.02</v>
      </c>
      <c r="CU52" s="15" t="n">
        <v>1250930.67</v>
      </c>
      <c r="CV52" s="15" t="n">
        <v>850845.15</v>
      </c>
      <c r="CW52" s="15" t="n">
        <v>39281.14</v>
      </c>
      <c r="CX52" s="15" t="n">
        <v>360403.66</v>
      </c>
      <c r="CY52" s="15" t="n">
        <v>3144897.28</v>
      </c>
      <c r="CZ52" s="15" t="n">
        <v>1705122.32</v>
      </c>
      <c r="DA52" s="15" t="n">
        <v>150922.29</v>
      </c>
      <c r="DB52" s="15" t="n">
        <v>1061161.77</v>
      </c>
      <c r="DC52" s="15" t="n">
        <v>31572.6</v>
      </c>
      <c r="DD52" s="15" t="n">
        <v>1018174.89</v>
      </c>
      <c r="DE52" s="15" t="n">
        <v>2858207.92</v>
      </c>
      <c r="DF52" s="15" t="n">
        <v>1241081.43</v>
      </c>
      <c r="DG52" s="15" t="n">
        <v>1438356.13</v>
      </c>
      <c r="DH52" s="15" t="n">
        <v>1025233.38</v>
      </c>
      <c r="DI52" s="15" t="n">
        <v>181341.44</v>
      </c>
      <c r="DJ52" s="15" t="n">
        <v>672977.11</v>
      </c>
      <c r="DK52" s="15" t="n">
        <v>1116129.44</v>
      </c>
      <c r="DL52" s="15" t="n">
        <v>2083560.45</v>
      </c>
      <c r="DM52" s="15" t="n">
        <v>1539644.47</v>
      </c>
      <c r="DN52" s="15" t="n">
        <v>183828.44</v>
      </c>
      <c r="DO52" s="15" t="n">
        <v>330547.98</v>
      </c>
      <c r="DP52" s="15" t="n">
        <v>356439.43</v>
      </c>
    </row>
    <row r="53">
      <c r="A53" s="4" t="inlineStr">
        <is>
          <t>其他产品C</t>
        </is>
      </c>
      <c r="B53" s="15" t="n">
        <v>3296939.11</v>
      </c>
      <c r="C53" s="15" t="n">
        <v>2168386</v>
      </c>
      <c r="D53" s="15" t="n">
        <v>455490.74</v>
      </c>
      <c r="E53" s="15" t="n">
        <v>386046.3</v>
      </c>
      <c r="F53" s="15" t="n">
        <v>406321.93</v>
      </c>
      <c r="G53" s="15" t="n">
        <v>2028661.64</v>
      </c>
      <c r="H53" s="15" t="n">
        <v>2219100.58</v>
      </c>
      <c r="I53" s="15" t="n">
        <v>725117.87</v>
      </c>
      <c r="J53" s="15" t="n">
        <v>1579013.93</v>
      </c>
      <c r="K53" s="15" t="n">
        <v>350467.03</v>
      </c>
      <c r="L53" s="15" t="n">
        <v>140354.47</v>
      </c>
      <c r="M53" s="15" t="n">
        <v>2659701.63</v>
      </c>
      <c r="N53" s="15" t="n">
        <v>3643976.29</v>
      </c>
      <c r="O53" s="15" t="n">
        <v>1060708.81</v>
      </c>
      <c r="P53" s="15" t="n">
        <v>104669.67</v>
      </c>
      <c r="Q53" s="15" t="n">
        <v>77658.36</v>
      </c>
      <c r="R53" s="15" t="n">
        <v>769280.87</v>
      </c>
      <c r="S53" s="15" t="n">
        <v>543420.0600000001</v>
      </c>
      <c r="T53" s="15" t="n">
        <v>908920.66</v>
      </c>
      <c r="U53" s="15" t="n">
        <v>1282404.48</v>
      </c>
      <c r="V53" s="15" t="n">
        <v>324946.77</v>
      </c>
      <c r="W53" s="15" t="n">
        <v>112302.09</v>
      </c>
      <c r="X53" s="15" t="n">
        <v>185771.66</v>
      </c>
      <c r="Y53" s="15" t="n">
        <v>2683998.05</v>
      </c>
      <c r="Z53" s="15" t="n">
        <v>1886786.89</v>
      </c>
      <c r="AA53" s="15" t="n">
        <v>1930194.79</v>
      </c>
      <c r="AB53" s="15" t="n">
        <v>1033306.74</v>
      </c>
      <c r="AC53" s="15" t="n">
        <v>14002.18</v>
      </c>
      <c r="AD53" s="15" t="n">
        <v>471114.46</v>
      </c>
      <c r="AE53" s="15" t="n">
        <v>601938.17</v>
      </c>
      <c r="AF53" s="15" t="n">
        <v>2101974.33</v>
      </c>
      <c r="AG53" s="15" t="n">
        <v>104396.77</v>
      </c>
      <c r="AH53" s="15" t="n">
        <v>402310.49</v>
      </c>
      <c r="AI53" s="15" t="n">
        <v>266241.63</v>
      </c>
      <c r="AJ53" s="15" t="n">
        <v>1187038.58</v>
      </c>
      <c r="AK53" s="15" t="n">
        <v>2066944.32</v>
      </c>
      <c r="AL53" s="15" t="n">
        <v>3016193.99</v>
      </c>
      <c r="AM53" s="15" t="n">
        <v>2024934.88</v>
      </c>
      <c r="AN53" s="15" t="n">
        <v>703014.23</v>
      </c>
      <c r="AO53" s="15" t="n">
        <v>44960.08</v>
      </c>
      <c r="AP53" s="15" t="n">
        <v>575608.05</v>
      </c>
      <c r="AQ53" s="15" t="n">
        <v>797776.86</v>
      </c>
      <c r="AR53" s="15" t="n">
        <v>951711.27</v>
      </c>
      <c r="AS53" s="15" t="n">
        <v>516519.55</v>
      </c>
      <c r="AT53" s="15" t="n">
        <v>209341.16</v>
      </c>
      <c r="AU53" s="15" t="n">
        <v>307472.06</v>
      </c>
      <c r="AV53" s="15" t="n">
        <v>186425.25</v>
      </c>
      <c r="AW53" s="15" t="n">
        <v>1866920.91</v>
      </c>
      <c r="AX53" s="15" t="n">
        <v>1321814.41</v>
      </c>
      <c r="AY53" s="15" t="n">
        <v>648860</v>
      </c>
      <c r="AZ53" s="15" t="n">
        <v>1299639.26</v>
      </c>
      <c r="BA53" s="15" t="n">
        <v>74916.2</v>
      </c>
      <c r="BB53" s="15" t="n">
        <v>1089989.86</v>
      </c>
      <c r="BC53" s="15" t="n">
        <v>2780924.44</v>
      </c>
      <c r="BD53" s="15" t="n">
        <v>2804401.17</v>
      </c>
      <c r="BE53" s="15" t="n">
        <v>736446.38</v>
      </c>
      <c r="BF53" s="15" t="n">
        <v>1217363.97</v>
      </c>
      <c r="BG53" s="15" t="n">
        <v>77687.07000000001</v>
      </c>
      <c r="BH53" s="15" t="n">
        <v>-152130.3</v>
      </c>
      <c r="BI53" s="15" t="n">
        <v>2519496.74</v>
      </c>
      <c r="BJ53" s="15" t="n">
        <v>2069969.58</v>
      </c>
      <c r="BK53" s="15" t="n">
        <v>1627305.96</v>
      </c>
      <c r="BL53" s="15" t="n">
        <v>885416.78</v>
      </c>
      <c r="BM53" s="15" t="n">
        <v>147762.86</v>
      </c>
      <c r="BN53" s="15" t="n">
        <v>728862.62</v>
      </c>
      <c r="BO53" s="15" t="n">
        <v>213143.96</v>
      </c>
      <c r="BP53" s="15" t="n">
        <v>2379118.71</v>
      </c>
      <c r="BQ53" s="15" t="n">
        <v>2398607.29</v>
      </c>
      <c r="BR53" s="15" t="n">
        <v>577076.78</v>
      </c>
      <c r="BS53" s="15" t="n">
        <v>51379.76</v>
      </c>
      <c r="BT53" s="15" t="n">
        <v>439062.88</v>
      </c>
      <c r="BU53" s="15" t="n">
        <v>1294804.8</v>
      </c>
      <c r="BV53" s="15" t="n">
        <v>94054.88</v>
      </c>
      <c r="BW53" s="15" t="n">
        <v>2334589.3</v>
      </c>
      <c r="BX53" s="15" t="n">
        <v>266149.55</v>
      </c>
      <c r="BY53" s="15" t="n">
        <v>246052.71</v>
      </c>
      <c r="BZ53" s="15" t="n">
        <v>66092.59</v>
      </c>
      <c r="CA53" s="15" t="n">
        <v>3089802.64</v>
      </c>
      <c r="CB53" s="15" t="n">
        <v>3416067.14</v>
      </c>
      <c r="CC53" s="15" t="n">
        <v>1833740.83</v>
      </c>
      <c r="CD53" s="15" t="n">
        <v>771926.74</v>
      </c>
      <c r="CE53" s="15" t="n">
        <v>97365.44</v>
      </c>
      <c r="CF53" s="15" t="n">
        <v>808939.34</v>
      </c>
      <c r="CG53" s="15" t="n">
        <v>937556.25</v>
      </c>
      <c r="CH53" s="15" t="n">
        <v>3678711.79</v>
      </c>
      <c r="CI53" s="15" t="n">
        <v>197011.75</v>
      </c>
      <c r="CJ53" s="15" t="n">
        <v>1421643.37</v>
      </c>
      <c r="CK53" s="15" t="n">
        <v>123775.78</v>
      </c>
      <c r="CL53" s="15" t="n">
        <v>-86319.35000000001</v>
      </c>
      <c r="CM53" s="15" t="n">
        <v>2630300.91</v>
      </c>
      <c r="CN53" s="15" t="n">
        <v>2776956.81</v>
      </c>
      <c r="CO53" s="15" t="n">
        <v>444936.92</v>
      </c>
      <c r="CP53" s="15" t="n">
        <v>88590.75</v>
      </c>
      <c r="CQ53" s="15" t="n">
        <v>304221.16</v>
      </c>
      <c r="CR53" s="15" t="n">
        <v>501427.74</v>
      </c>
      <c r="CS53" s="15" t="n">
        <v>1946710.41</v>
      </c>
      <c r="CT53" s="15" t="n">
        <v>3271208.56</v>
      </c>
      <c r="CU53" s="15" t="n">
        <v>1902145.47</v>
      </c>
      <c r="CV53" s="15" t="n">
        <v>395698.35</v>
      </c>
      <c r="CW53" s="15" t="n">
        <v>98298.69</v>
      </c>
      <c r="CX53" s="15" t="n">
        <v>1145984.62</v>
      </c>
      <c r="CY53" s="15" t="n">
        <v>991276.97</v>
      </c>
      <c r="CZ53" s="15" t="n">
        <v>3054035.91</v>
      </c>
      <c r="DA53" s="15" t="n">
        <v>2239164.92</v>
      </c>
      <c r="DB53" s="15" t="n">
        <v>1557090.71</v>
      </c>
      <c r="DC53" s="15" t="n">
        <v>274234.78</v>
      </c>
      <c r="DD53" s="15" t="n">
        <v>155477.21</v>
      </c>
      <c r="DE53" s="15" t="n">
        <v>2078436.28</v>
      </c>
      <c r="DF53" s="15" t="n">
        <v>1470737.94</v>
      </c>
      <c r="DG53" s="15" t="n">
        <v>543064.74</v>
      </c>
      <c r="DH53" s="15" t="n">
        <v>941106.6800000001</v>
      </c>
      <c r="DI53" s="15" t="n">
        <v>112278.73</v>
      </c>
      <c r="DJ53" s="15" t="n">
        <v>986448.37</v>
      </c>
      <c r="DK53" s="15" t="n">
        <v>1826878.24</v>
      </c>
      <c r="DL53" s="15" t="n">
        <v>1476940.64</v>
      </c>
      <c r="DM53" s="15" t="n">
        <v>1281730.1</v>
      </c>
      <c r="DN53" s="15" t="n">
        <v>318666.47</v>
      </c>
      <c r="DO53" s="15" t="n">
        <v>394253.19</v>
      </c>
      <c r="DP53" s="15" t="n">
        <v>550922.13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中式汤底</t>
        </is>
      </c>
      <c r="B2" s="15" t="n">
        <v>1039282.48</v>
      </c>
      <c r="C2" s="25" t="n">
        <v>0.3731</v>
      </c>
      <c r="D2" s="4" t="inlineStr"/>
      <c r="E2" s="3" t="inlineStr">
        <is>
          <t>1月</t>
        </is>
      </c>
      <c r="F2" s="4" t="n">
        <v>82.3</v>
      </c>
    </row>
    <row r="3">
      <c r="A3" s="4" t="inlineStr">
        <is>
          <t>酱料</t>
        </is>
      </c>
      <c r="B3" s="15" t="n">
        <v>1062362.63</v>
      </c>
      <c r="C3" s="25" t="n">
        <v>0.3767</v>
      </c>
      <c r="D3" s="4" t="inlineStr">
        <is>
          <t>正常</t>
        </is>
      </c>
      <c r="E3" s="3" t="inlineStr">
        <is>
          <t>2月</t>
        </is>
      </c>
      <c r="F3" s="4" t="n">
        <v>80.59999999999999</v>
      </c>
    </row>
    <row r="4">
      <c r="A4" s="4" t="inlineStr">
        <is>
          <t>川味底料</t>
        </is>
      </c>
      <c r="B4" s="15" t="n">
        <v>1306935.67</v>
      </c>
      <c r="C4" s="25" t="n">
        <v>0.1631</v>
      </c>
      <c r="D4" s="4" t="inlineStr">
        <is>
          <t>正常</t>
        </is>
      </c>
      <c r="E4" s="3" t="inlineStr">
        <is>
          <t>3月</t>
        </is>
      </c>
      <c r="F4" s="4" t="n">
        <v>90.2</v>
      </c>
    </row>
    <row r="5">
      <c r="A5" s="4" t="inlineStr">
        <is>
          <t>调味汁</t>
        </is>
      </c>
      <c r="B5" s="15" t="n">
        <v>464915.91</v>
      </c>
      <c r="C5" s="25" t="n">
        <v>0.3086</v>
      </c>
      <c r="D5" s="4" t="inlineStr">
        <is>
          <t>新产品</t>
        </is>
      </c>
      <c r="E5" s="3" t="inlineStr">
        <is>
          <t>4月</t>
        </is>
      </c>
      <c r="F5" s="4" t="n">
        <v>86.40000000000001</v>
      </c>
    </row>
    <row r="6">
      <c r="A6" s="4" t="inlineStr">
        <is>
          <t>复合调味粉</t>
        </is>
      </c>
      <c r="B6" s="15" t="n">
        <v>561944.66</v>
      </c>
      <c r="C6" s="25" t="n">
        <v>0.0319</v>
      </c>
      <c r="D6" s="4" t="n"/>
      <c r="E6" s="3" t="inlineStr">
        <is>
          <t>5月</t>
        </is>
      </c>
      <c r="F6" s="4" t="n">
        <v>64.7</v>
      </c>
    </row>
    <row r="7">
      <c r="A7" s="4" t="inlineStr">
        <is>
          <t>团餐</t>
        </is>
      </c>
      <c r="B7" s="15" t="n">
        <v>235401.43</v>
      </c>
      <c r="C7" s="4" t="inlineStr">
        <is>
          <t>N/A</t>
        </is>
      </c>
      <c r="D7" s="4" t="inlineStr">
        <is>
          <t>低于预期</t>
        </is>
      </c>
      <c r="E7" s="3" t="inlineStr">
        <is>
          <t>6月</t>
        </is>
      </c>
      <c r="F7" s="4" t="n">
        <v>78.7</v>
      </c>
    </row>
    <row r="8">
      <c r="A8" s="4" t="inlineStr">
        <is>
          <t>预制菜</t>
        </is>
      </c>
      <c r="B8" s="15" t="n">
        <v>305816.9</v>
      </c>
      <c r="C8" s="25" t="n">
        <v>0.0455</v>
      </c>
      <c r="D8" s="4" t="inlineStr">
        <is>
          <t>正常</t>
        </is>
      </c>
      <c r="E8" s="3" t="inlineStr">
        <is>
          <t>7月</t>
        </is>
      </c>
      <c r="F8" s="4" t="n">
        <v>79.3</v>
      </c>
    </row>
    <row r="9">
      <c r="A9" s="4" t="inlineStr">
        <is>
          <t>中式汤底</t>
        </is>
      </c>
      <c r="B9" s="15" t="n">
        <v>490746.86</v>
      </c>
      <c r="C9" s="25" t="n">
        <v>0.2223</v>
      </c>
      <c r="D9" s="4" t="inlineStr">
        <is>
          <t>低于预期</t>
        </is>
      </c>
      <c r="E9" s="3" t="inlineStr">
        <is>
          <t>8月</t>
        </is>
      </c>
      <c r="F9" s="4" t="n">
        <v>82.7</v>
      </c>
    </row>
    <row r="10">
      <c r="A10" s="4" t="inlineStr">
        <is>
          <t>酱料</t>
        </is>
      </c>
      <c r="B10" s="15" t="n">
        <v>1119231.42</v>
      </c>
      <c r="C10" s="25" t="n">
        <v>0.2228</v>
      </c>
      <c r="D10" s="4" t="inlineStr">
        <is>
          <t>新产品</t>
        </is>
      </c>
      <c r="E10" s="3" t="inlineStr">
        <is>
          <t>9月</t>
        </is>
      </c>
      <c r="F10" s="4" t="n">
        <v>97.59999999999999</v>
      </c>
    </row>
    <row r="11">
      <c r="A11" s="4" t="inlineStr">
        <is>
          <t>川味底料</t>
        </is>
      </c>
      <c r="B11" s="15" t="n">
        <v>1372411.66</v>
      </c>
      <c r="C11" s="25" t="n">
        <v>0.0243</v>
      </c>
      <c r="D11" s="4" t="inlineStr">
        <is>
          <t>低于预期</t>
        </is>
      </c>
      <c r="E11" s="3" t="inlineStr">
        <is>
          <t>10月</t>
        </is>
      </c>
      <c r="F11" s="4" t="n">
        <v>88.40000000000001</v>
      </c>
    </row>
    <row r="12">
      <c r="A12" s="4" t="inlineStr">
        <is>
          <t>调味汁</t>
        </is>
      </c>
      <c r="B12" s="15" t="n">
        <v>596209.87</v>
      </c>
      <c r="C12" s="4" t="inlineStr">
        <is>
          <t>—</t>
        </is>
      </c>
      <c r="D12" s="4" t="inlineStr">
        <is>
          <t>促销期</t>
        </is>
      </c>
      <c r="E12" s="3" t="inlineStr">
        <is>
          <t>11月</t>
        </is>
      </c>
      <c r="F12" s="4" t="n">
        <v>87.2</v>
      </c>
    </row>
    <row r="13">
      <c r="A13" s="4" t="inlineStr">
        <is>
          <t>复合调味粉</t>
        </is>
      </c>
      <c r="B13" s="15" t="n">
        <v>826434.8199999999</v>
      </c>
      <c r="C13" s="25" t="n">
        <v>0.1391</v>
      </c>
      <c r="D13" s="4" t="inlineStr">
        <is>
          <t>促销期</t>
        </is>
      </c>
      <c r="E13" s="3" t="inlineStr">
        <is>
          <t>12月</t>
        </is>
      </c>
      <c r="F13" s="4" t="n">
        <v>75.8</v>
      </c>
    </row>
    <row r="14">
      <c r="A14" s="4" t="inlineStr">
        <is>
          <t>团餐</t>
        </is>
      </c>
      <c r="B14" s="15" t="n">
        <v>1091765.18</v>
      </c>
      <c r="C14" s="25" t="n">
        <v>0.2293</v>
      </c>
      <c r="D14" s="4" t="inlineStr">
        <is>
          <t>低于预期</t>
        </is>
      </c>
      <c r="E14" s="3" t="inlineStr">
        <is>
          <t>1月</t>
        </is>
      </c>
      <c r="F14" s="4" t="n">
        <v>79.2</v>
      </c>
    </row>
    <row r="15">
      <c r="A15" s="4" t="inlineStr">
        <is>
          <t>预制菜</t>
        </is>
      </c>
      <c r="B15" s="15" t="n">
        <v>1257943.51</v>
      </c>
      <c r="C15" s="25" t="n">
        <v>0.2775</v>
      </c>
      <c r="D15" s="4" t="inlineStr">
        <is>
          <t>季节性波动</t>
        </is>
      </c>
      <c r="E15" s="3" t="inlineStr">
        <is>
          <t>2月</t>
        </is>
      </c>
      <c r="F15" s="4" t="n">
        <v>75.09999999999999</v>
      </c>
    </row>
    <row r="16">
      <c r="A16" s="4" t="inlineStr">
        <is>
          <t>中式汤底</t>
        </is>
      </c>
      <c r="B16" s="4" t="inlineStr">
        <is>
          <t>实际净利</t>
        </is>
      </c>
      <c r="C16" s="25" t="n">
        <v>0.0221</v>
      </c>
      <c r="D16" s="4" t="inlineStr">
        <is>
          <t>超预期</t>
        </is>
      </c>
      <c r="E16" s="3" t="inlineStr">
        <is>
          <t>3月</t>
        </is>
      </c>
      <c r="F16" s="4" t="n">
        <v>68.8</v>
      </c>
    </row>
    <row r="17">
      <c r="A17" s="4" t="inlineStr">
        <is>
          <t>酱料</t>
        </is>
      </c>
      <c r="B17" s="15" t="n">
        <v>630375.0699999999</v>
      </c>
      <c r="C17" s="25" t="n">
        <v>0.045</v>
      </c>
      <c r="D17" s="4" t="inlineStr"/>
      <c r="E17" s="3" t="inlineStr">
        <is>
          <t>4月</t>
        </is>
      </c>
      <c r="F17" s="4" t="n">
        <v>94</v>
      </c>
    </row>
    <row r="18">
      <c r="A18" s="4" t="inlineStr">
        <is>
          <t>川味底料</t>
        </is>
      </c>
      <c r="B18" s="15" t="n">
        <v>1280087.71</v>
      </c>
      <c r="C18" s="25" t="n">
        <v>0.1332</v>
      </c>
      <c r="D18" s="4" t="inlineStr">
        <is>
          <t>超预期</t>
        </is>
      </c>
      <c r="E18" s="3" t="inlineStr">
        <is>
          <t>5月</t>
        </is>
      </c>
      <c r="F18" s="4" t="n">
        <v>60.3</v>
      </c>
    </row>
    <row r="19">
      <c r="A19" s="4" t="inlineStr">
        <is>
          <t>调味汁</t>
        </is>
      </c>
      <c r="B19" s="15" t="n">
        <v>204773.12</v>
      </c>
      <c r="C19" s="25" t="n">
        <v>0.0207</v>
      </c>
      <c r="D19" s="4" t="inlineStr">
        <is>
          <t>季节性波动</t>
        </is>
      </c>
      <c r="E19" s="3" t="inlineStr">
        <is>
          <t>6月</t>
        </is>
      </c>
      <c r="F19" s="4" t="n">
        <v>80.7</v>
      </c>
    </row>
    <row r="20">
      <c r="A20" s="4" t="inlineStr">
        <is>
          <t>复合调味粉</t>
        </is>
      </c>
      <c r="B20" s="15" t="n">
        <v>368701.25</v>
      </c>
      <c r="C20" s="25" t="n">
        <v>0.2949</v>
      </c>
      <c r="D20" s="4" t="n"/>
      <c r="E20" s="3" t="inlineStr">
        <is>
          <t>7月</t>
        </is>
      </c>
      <c r="F20" s="4" t="n">
        <v>93.59999999999999</v>
      </c>
    </row>
    <row r="21">
      <c r="A21" s="4" t="inlineStr">
        <is>
          <t>团餐</t>
        </is>
      </c>
      <c r="B21" s="15" t="n">
        <v>247103.64</v>
      </c>
      <c r="C21" s="25" t="n">
        <v>0.2494</v>
      </c>
      <c r="D21" s="4" t="inlineStr"/>
      <c r="E21" s="3" t="inlineStr">
        <is>
          <t>8月</t>
        </is>
      </c>
      <c r="F21" s="4" t="n">
        <v>60.2</v>
      </c>
    </row>
    <row r="22">
      <c r="A22" s="4" t="inlineStr">
        <is>
          <t>预制菜</t>
        </is>
      </c>
      <c r="B22" s="15" t="n">
        <v>376874.24</v>
      </c>
      <c r="C22" s="4" t="inlineStr">
        <is>
          <t>N/A</t>
        </is>
      </c>
      <c r="D22" s="4" t="inlineStr">
        <is>
          <t>低于预期</t>
        </is>
      </c>
      <c r="E22" s="3" t="inlineStr">
        <is>
          <t>9月</t>
        </is>
      </c>
      <c r="F22" s="4" t="n">
        <v>90.90000000000001</v>
      </c>
    </row>
    <row r="23">
      <c r="A23" s="4" t="inlineStr">
        <is>
          <t>中式汤底</t>
        </is>
      </c>
      <c r="B23" s="15" t="n">
        <v>222468.06</v>
      </c>
      <c r="C23" s="25" t="n">
        <v>0.0278</v>
      </c>
      <c r="D23" s="4" t="inlineStr">
        <is>
          <t>季节性波动</t>
        </is>
      </c>
      <c r="E23" s="3" t="inlineStr">
        <is>
          <t>10月</t>
        </is>
      </c>
      <c r="F23" s="4" t="n">
        <v>84.3</v>
      </c>
    </row>
    <row r="24">
      <c r="A24" s="4" t="inlineStr">
        <is>
          <t>酱料</t>
        </is>
      </c>
      <c r="B24" s="15" t="n">
        <v>1145340.49</v>
      </c>
      <c r="C24" s="25" t="n">
        <v>0.2278</v>
      </c>
      <c r="D24" s="4" t="inlineStr">
        <is>
          <t>新产品</t>
        </is>
      </c>
      <c r="E24" s="3" t="inlineStr">
        <is>
          <t>11月</t>
        </is>
      </c>
      <c r="F24" s="4" t="n">
        <v>74.90000000000001</v>
      </c>
    </row>
    <row r="25">
      <c r="A25" s="4" t="inlineStr">
        <is>
          <t>川味底料</t>
        </is>
      </c>
      <c r="B25" s="15" t="n">
        <v>1116307.79</v>
      </c>
      <c r="C25" s="25" t="n">
        <v>0.2051</v>
      </c>
      <c r="D25" s="4" t="inlineStr">
        <is>
          <t>促销期</t>
        </is>
      </c>
      <c r="E25" s="3" t="inlineStr">
        <is>
          <t>12月</t>
        </is>
      </c>
      <c r="F25" s="4" t="n">
        <v>71.59999999999999</v>
      </c>
    </row>
    <row r="26">
      <c r="A26" s="4" t="inlineStr">
        <is>
          <t>调味汁</t>
        </is>
      </c>
      <c r="B26" s="15" t="n">
        <v>911914.51</v>
      </c>
      <c r="C26" s="25" t="n">
        <v>0.0421</v>
      </c>
      <c r="D26" s="4" t="inlineStr">
        <is>
          <t>需关注</t>
        </is>
      </c>
      <c r="E26" s="3" t="inlineStr">
        <is>
          <t>1月</t>
        </is>
      </c>
      <c r="F26" s="4" t="n">
        <v>77.09999999999999</v>
      </c>
    </row>
    <row r="27">
      <c r="A27" s="4" t="inlineStr">
        <is>
          <t>复合调味粉</t>
        </is>
      </c>
      <c r="B27" s="15" t="n">
        <v>664597.23</v>
      </c>
      <c r="C27" s="25" t="n">
        <v>0.245</v>
      </c>
      <c r="D27" s="4" t="inlineStr">
        <is>
          <t>新产品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团餐</t>
        </is>
      </c>
      <c r="B28" s="15" t="n">
        <v>531554.3</v>
      </c>
      <c r="C28" s="25" t="n">
        <v>0.1325</v>
      </c>
      <c r="D28" s="4" t="inlineStr">
        <is>
          <t>促销期</t>
        </is>
      </c>
      <c r="E28" s="3" t="inlineStr">
        <is>
          <t>3月</t>
        </is>
      </c>
      <c r="F28" s="4" t="n">
        <v>62.7</v>
      </c>
    </row>
    <row r="29">
      <c r="A29" s="4" t="inlineStr">
        <is>
          <t>预制菜</t>
        </is>
      </c>
      <c r="B29" s="4" t="inlineStr">
        <is>
          <t>实际净利</t>
        </is>
      </c>
      <c r="C29" s="25" t="n">
        <v>0.1655</v>
      </c>
      <c r="D29" s="4" t="inlineStr">
        <is>
          <t>新产品</t>
        </is>
      </c>
      <c r="E29" s="3" t="inlineStr">
        <is>
          <t>4月</t>
        </is>
      </c>
      <c r="F29" s="4" t="n">
        <v>75.40000000000001</v>
      </c>
    </row>
    <row r="30">
      <c r="A30" s="4" t="inlineStr">
        <is>
          <t>中式汤底</t>
        </is>
      </c>
      <c r="B30" s="15" t="n">
        <v>457505.79</v>
      </c>
      <c r="C30" s="25" t="n">
        <v>0.2822</v>
      </c>
      <c r="D30" s="4" t="inlineStr">
        <is>
          <t>促销期</t>
        </is>
      </c>
      <c r="E30" s="3" t="inlineStr">
        <is>
          <t>5月</t>
        </is>
      </c>
      <c r="F30" s="4" t="n">
        <v>69.2</v>
      </c>
    </row>
    <row r="31">
      <c r="A31" s="4" t="inlineStr">
        <is>
          <t>酱料</t>
        </is>
      </c>
      <c r="B31" s="15" t="n">
        <v>996711.27</v>
      </c>
      <c r="C31" s="25" t="n">
        <v>0.0249</v>
      </c>
      <c r="D31" s="4" t="n"/>
      <c r="E31" s="3" t="inlineStr">
        <is>
          <t>6月</t>
        </is>
      </c>
      <c r="F31" s="4" t="n">
        <v>69.59999999999999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930732.27</v>
      </c>
      <c r="C2" s="15" t="n">
        <v>1797953.49</v>
      </c>
      <c r="D2" s="15" t="n">
        <v>2127335.16</v>
      </c>
      <c r="E2" s="15" t="n">
        <v>1001345.19</v>
      </c>
      <c r="F2" s="15" t="n">
        <v>1290851.22</v>
      </c>
      <c r="G2" s="15" t="n">
        <v>1326533.7</v>
      </c>
      <c r="H2" s="15" t="n">
        <v>882084.11</v>
      </c>
      <c r="I2" s="15" t="n">
        <v>499549.81</v>
      </c>
      <c r="J2" s="15" t="n">
        <v>1949442.59</v>
      </c>
      <c r="K2" s="15" t="n">
        <v>2021103.32</v>
      </c>
      <c r="L2" s="15" t="n">
        <v>2120820.49</v>
      </c>
      <c r="M2" s="15" t="n">
        <v>753449.02</v>
      </c>
      <c r="N2" s="16" t="n">
        <v>6974579.63</v>
      </c>
      <c r="O2" s="15" t="n">
        <v>0</v>
      </c>
    </row>
    <row r="3">
      <c r="A3" s="4" t="inlineStr">
        <is>
          <t>营业成本</t>
        </is>
      </c>
      <c r="B3" s="15" t="n">
        <v>-82148.53999999999</v>
      </c>
      <c r="C3" s="15" t="n">
        <v>-865999.92</v>
      </c>
      <c r="D3" s="15" t="n">
        <v>-732719.96</v>
      </c>
      <c r="E3" s="15" t="n">
        <v>-513837.58</v>
      </c>
      <c r="F3" s="15" t="n">
        <v>-388281.57</v>
      </c>
      <c r="G3" s="15" t="n">
        <v>-476391.04</v>
      </c>
      <c r="H3" s="15" t="n">
        <v>-368107.51</v>
      </c>
      <c r="I3" s="15" t="n">
        <v>-759260.09</v>
      </c>
      <c r="J3" s="15" t="n">
        <v>-496296.09</v>
      </c>
      <c r="K3" s="15" t="n">
        <v>-525477.38</v>
      </c>
      <c r="L3" s="15" t="n">
        <v>-1502367.47</v>
      </c>
      <c r="M3" s="15" t="n">
        <v>-374710.45</v>
      </c>
      <c r="N3" s="16" t="n">
        <v>3825470.24</v>
      </c>
      <c r="O3" s="15" t="n">
        <v>0</v>
      </c>
    </row>
    <row r="4">
      <c r="A4" s="6" t="inlineStr">
        <is>
          <t>毛利</t>
        </is>
      </c>
      <c r="B4" s="15" t="n">
        <v>1494269.48</v>
      </c>
      <c r="C4" s="15" t="n">
        <v>298294.12</v>
      </c>
      <c r="D4" s="15" t="n">
        <v>2236355.32</v>
      </c>
      <c r="E4" s="15" t="n">
        <v>1618910.68</v>
      </c>
      <c r="F4" s="15" t="n">
        <v>1874090.79</v>
      </c>
      <c r="G4" s="15" t="n">
        <v>661897.9</v>
      </c>
      <c r="H4" s="15" t="n">
        <v>876045.53</v>
      </c>
      <c r="I4" s="15" t="n">
        <v>556977.96</v>
      </c>
      <c r="J4" s="15" t="n">
        <v>2161079.42</v>
      </c>
      <c r="K4" s="15" t="n">
        <v>1336128.67</v>
      </c>
      <c r="L4" s="15" t="n">
        <v>2049490.49</v>
      </c>
      <c r="M4" s="15" t="n">
        <v>1426892.7</v>
      </c>
      <c r="N4" s="16" t="n">
        <v>7411098.52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-798630.72</v>
      </c>
      <c r="C6" s="15" t="n">
        <v>-134352.96</v>
      </c>
      <c r="D6" s="15" t="n">
        <v>-1277028.7</v>
      </c>
      <c r="E6" s="15" t="n">
        <v>-434216.11</v>
      </c>
      <c r="F6" s="15" t="n">
        <v>-181337.78</v>
      </c>
      <c r="G6" s="15" t="n">
        <v>-706807.41</v>
      </c>
      <c r="H6" s="15" t="n">
        <v>-78611.27</v>
      </c>
      <c r="I6" s="15" t="n">
        <v>-937979.63</v>
      </c>
      <c r="J6" s="15" t="n">
        <v>-706570.35</v>
      </c>
      <c r="K6" s="15" t="n">
        <v>-1114153.15</v>
      </c>
      <c r="L6" s="15" t="n">
        <v>-794352.89</v>
      </c>
      <c r="M6" s="15" t="n">
        <v>-536013.4</v>
      </c>
      <c r="N6" s="16" t="n">
        <v>4247884.46</v>
      </c>
      <c r="O6" s="15" t="n">
        <v>0</v>
      </c>
    </row>
    <row r="7">
      <c r="A7" s="4" t="inlineStr">
        <is>
          <t>销售费用</t>
        </is>
      </c>
      <c r="B7" s="15" t="n">
        <v>-193566.35</v>
      </c>
      <c r="C7" s="15" t="n">
        <v>-118539.87</v>
      </c>
      <c r="D7" s="15" t="n">
        <v>-73568.69</v>
      </c>
      <c r="E7" s="15" t="n">
        <v>-677900.11</v>
      </c>
      <c r="F7" s="15" t="n">
        <v>-869262.96</v>
      </c>
      <c r="G7" s="15" t="n">
        <v>-397896.91</v>
      </c>
      <c r="H7" s="15" t="n">
        <v>-137451.21</v>
      </c>
      <c r="I7" s="15" t="n">
        <v>-251442.34</v>
      </c>
      <c r="J7" s="15" t="n">
        <v>-979411.67</v>
      </c>
      <c r="K7" s="15" t="n">
        <v>-264018.1</v>
      </c>
      <c r="L7" s="15" t="n">
        <v>-439009.74</v>
      </c>
      <c r="M7" s="15" t="n">
        <v>-601172.95</v>
      </c>
      <c r="N7" s="16" t="n">
        <v>5274170.19</v>
      </c>
      <c r="O7" s="15" t="n">
        <v>0</v>
      </c>
    </row>
    <row r="8">
      <c r="A8" s="4" t="inlineStr">
        <is>
          <t>财务费用</t>
        </is>
      </c>
      <c r="B8" s="15" t="n">
        <v>-470760.55</v>
      </c>
      <c r="C8" s="15" t="n">
        <v>-444914.03</v>
      </c>
      <c r="D8" s="15" t="n">
        <v>-1165924.73</v>
      </c>
      <c r="E8" s="15" t="n">
        <v>-585616.34</v>
      </c>
      <c r="F8" s="15" t="n">
        <v>-475259.15</v>
      </c>
      <c r="G8" s="15" t="n">
        <v>-600276.38</v>
      </c>
      <c r="H8" s="15" t="n">
        <v>-1546775.13</v>
      </c>
      <c r="I8" s="15" t="n">
        <v>-496870.24</v>
      </c>
      <c r="J8" s="15" t="n">
        <v>-248415.65</v>
      </c>
      <c r="K8" s="15" t="n">
        <v>-481279.2</v>
      </c>
      <c r="L8" s="15" t="n">
        <v>-524730.1899999999</v>
      </c>
      <c r="M8" s="15" t="n">
        <v>-468366.96</v>
      </c>
      <c r="N8" s="16" t="n">
        <v>3467052.36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1226124.03</v>
      </c>
      <c r="C10" s="15" t="n">
        <v>1223875.67</v>
      </c>
      <c r="D10" s="15" t="n">
        <v>365957.17</v>
      </c>
      <c r="E10" s="15" t="n">
        <v>1823192.41</v>
      </c>
      <c r="F10" s="15" t="n">
        <v>2016293.32</v>
      </c>
      <c r="G10" s="15" t="n">
        <v>672224.12</v>
      </c>
      <c r="H10" s="15" t="n">
        <v>1727168.39</v>
      </c>
      <c r="I10" s="15" t="n">
        <v>2045956.11</v>
      </c>
      <c r="J10" s="15" t="n">
        <v>708681.41</v>
      </c>
      <c r="K10" s="15" t="n">
        <v>788587.74</v>
      </c>
      <c r="L10" s="15" t="n">
        <v>91084.82000000001</v>
      </c>
      <c r="M10" s="15" t="n">
        <v>1811523.04</v>
      </c>
      <c r="N10" s="16" t="n">
        <v>2465137.29</v>
      </c>
      <c r="O10" s="15" t="n">
        <v>0</v>
      </c>
    </row>
    <row r="11">
      <c r="A11" s="4" t="inlineStr">
        <is>
          <t>所得税</t>
        </is>
      </c>
      <c r="B11" s="15" t="n">
        <v>-681441.1899999999</v>
      </c>
      <c r="C11" s="15" t="n">
        <v>-49302.1</v>
      </c>
      <c r="D11" s="15" t="n">
        <v>-386875.9</v>
      </c>
      <c r="E11" s="15" t="n">
        <v>-562622.39</v>
      </c>
      <c r="F11" s="15" t="n">
        <v>-772661.73</v>
      </c>
      <c r="G11" s="15" t="n">
        <v>-1048603.39</v>
      </c>
      <c r="H11" s="15" t="n">
        <v>-670195.0600000001</v>
      </c>
      <c r="I11" s="15" t="n">
        <v>-278512.95</v>
      </c>
      <c r="J11" s="15" t="n">
        <v>-909374.48</v>
      </c>
      <c r="K11" s="15" t="n">
        <v>-570599.22</v>
      </c>
      <c r="L11" s="15" t="n">
        <v>-276541.6</v>
      </c>
      <c r="M11" s="15" t="n">
        <v>-557748.0699999999</v>
      </c>
      <c r="N11" s="16" t="n">
        <v>5804980.72</v>
      </c>
      <c r="O11" s="15" t="n">
        <v>0</v>
      </c>
    </row>
    <row r="12">
      <c r="A12" s="6" t="inlineStr">
        <is>
          <t>净利润</t>
        </is>
      </c>
      <c r="B12" s="15" t="n">
        <v>1415677.82</v>
      </c>
      <c r="C12" s="15" t="n">
        <v>1798775.54</v>
      </c>
      <c r="D12" s="15" t="n">
        <v>426148.42</v>
      </c>
      <c r="E12" s="15" t="n">
        <v>2084004.21</v>
      </c>
      <c r="F12" s="15" t="n">
        <v>346585.2</v>
      </c>
      <c r="G12" s="15" t="n">
        <v>2058255.53</v>
      </c>
      <c r="H12" s="15" t="n">
        <v>2213705.09</v>
      </c>
      <c r="I12" s="15" t="n">
        <v>1194622.12</v>
      </c>
      <c r="J12" s="15" t="n">
        <v>532182.36</v>
      </c>
      <c r="K12" s="15" t="n">
        <v>1033630.51</v>
      </c>
      <c r="L12" s="15" t="n">
        <v>1544081.61</v>
      </c>
      <c r="M12" s="15" t="n">
        <v>2114734.34</v>
      </c>
      <c r="N12" s="16" t="n">
        <v>7937587.4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1113224.63</v>
      </c>
      <c r="C16" s="15" t="n">
        <v>2259984.56</v>
      </c>
      <c r="D16" s="15" t="n">
        <v>1260251.6</v>
      </c>
      <c r="E16" s="15" t="n">
        <v>2019083.73</v>
      </c>
      <c r="F16" s="15" t="n">
        <v>2020251.5</v>
      </c>
      <c r="G16" s="15" t="n">
        <v>1709211.68</v>
      </c>
      <c r="H16" s="15" t="n">
        <v>2260847.06</v>
      </c>
      <c r="I16" s="15" t="n">
        <v>2324667.55</v>
      </c>
      <c r="J16" s="15" t="n">
        <v>644659.13</v>
      </c>
      <c r="K16" s="15" t="n">
        <v>1627034.02</v>
      </c>
      <c r="L16" s="15" t="n">
        <v>2190704.04</v>
      </c>
      <c r="M16" s="15" t="n">
        <v>2191799.97</v>
      </c>
      <c r="N16" s="16" t="n">
        <v>6780257.7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中式汤底</t>
        </is>
      </c>
      <c r="B4" s="15" t="n">
        <v>1327200.39</v>
      </c>
      <c r="C4" s="15" t="n">
        <v>915938.16</v>
      </c>
      <c r="D4" s="15" t="n">
        <v>528972.97</v>
      </c>
      <c r="E4" s="25" t="n">
        <v>0.4408</v>
      </c>
      <c r="F4" s="15" t="n">
        <v>2321531.79</v>
      </c>
      <c r="G4" s="15" t="n">
        <v>1350112.52</v>
      </c>
      <c r="H4" s="15" t="n">
        <v>869636.22</v>
      </c>
      <c r="I4" s="25" t="n">
        <v>0.3983</v>
      </c>
      <c r="J4" s="15" t="n">
        <v>1390617.49</v>
      </c>
      <c r="K4" s="15" t="n">
        <v>777839.49</v>
      </c>
      <c r="L4" s="15" t="n">
        <v>592147.87</v>
      </c>
      <c r="M4" s="25" t="n">
        <v>0.4251</v>
      </c>
      <c r="N4" s="15" t="n">
        <v>1859573.06</v>
      </c>
      <c r="O4" s="15" t="n">
        <v>1174881.52</v>
      </c>
      <c r="P4" s="15" t="n">
        <v>689215.13</v>
      </c>
      <c r="Q4" s="25" t="n">
        <v>0.3236</v>
      </c>
      <c r="R4" s="27" t="n">
        <v>-0.1092</v>
      </c>
      <c r="S4" s="27" t="n">
        <v>-0.0183</v>
      </c>
    </row>
    <row r="5">
      <c r="A5" s="4" t="inlineStr">
        <is>
          <t>酱料</t>
        </is>
      </c>
      <c r="B5" s="15" t="n">
        <v>1809708.27</v>
      </c>
      <c r="C5" s="15" t="n">
        <v>1161296.74</v>
      </c>
      <c r="D5" s="15" t="n">
        <v>608253.86</v>
      </c>
      <c r="E5" s="25" t="n">
        <v>0.3519</v>
      </c>
      <c r="F5" s="15" t="n">
        <v>3036920.21</v>
      </c>
      <c r="G5" s="15" t="n">
        <v>1684588.44</v>
      </c>
      <c r="H5" s="15" t="n">
        <v>1187976.73</v>
      </c>
      <c r="I5" s="25" t="n">
        <v>0.3279</v>
      </c>
      <c r="J5" s="15" t="n">
        <v>1540591.89</v>
      </c>
      <c r="K5" s="15" t="n">
        <v>1041154.96</v>
      </c>
      <c r="L5" s="15" t="n">
        <v>543187.8199999999</v>
      </c>
      <c r="M5" s="25" t="n">
        <v>0.3798</v>
      </c>
      <c r="N5" s="15" t="n">
        <v>3052765.09</v>
      </c>
      <c r="O5" s="15" t="n">
        <v>1961007.76</v>
      </c>
      <c r="P5" s="15" t="n">
        <v>1291018.38</v>
      </c>
      <c r="Q5" s="25" t="n">
        <v>0.4162</v>
      </c>
      <c r="R5" s="27" t="n">
        <v>-0.0523</v>
      </c>
      <c r="S5" s="27" t="n">
        <v>0.3785</v>
      </c>
    </row>
    <row r="6">
      <c r="A6" s="4" t="inlineStr">
        <is>
          <t>川味底料</t>
        </is>
      </c>
      <c r="B6" s="15" t="n">
        <v>1681513.65</v>
      </c>
      <c r="C6" s="15" t="n">
        <v>1082018.1</v>
      </c>
      <c r="D6" s="15" t="n">
        <v>456924.43</v>
      </c>
      <c r="E6" s="25" t="n">
        <v>0.2394</v>
      </c>
      <c r="F6" s="15" t="n">
        <v>559899.52</v>
      </c>
      <c r="G6" s="15" t="n">
        <v>381109.23</v>
      </c>
      <c r="H6" s="15" t="n">
        <v>175578.52</v>
      </c>
      <c r="I6" s="25" t="n">
        <v>0.309</v>
      </c>
      <c r="J6" s="15" t="n">
        <v>1613048.57</v>
      </c>
      <c r="K6" s="15" t="n">
        <v>894094.27</v>
      </c>
      <c r="L6" s="15" t="n">
        <v>502075.98</v>
      </c>
      <c r="M6" s="25" t="n">
        <v>0.2269</v>
      </c>
      <c r="N6" s="15" t="n">
        <v>483224.27</v>
      </c>
      <c r="O6" s="15" t="n">
        <v>334394.02</v>
      </c>
      <c r="P6" s="15" t="n">
        <v>149515.71</v>
      </c>
      <c r="Q6" s="25" t="n">
        <v>0.2082</v>
      </c>
      <c r="R6" s="27" t="n">
        <v>-0.0648</v>
      </c>
      <c r="S6" s="27" t="n">
        <v>0.3505</v>
      </c>
    </row>
    <row r="7">
      <c r="A7" s="4" t="inlineStr">
        <is>
          <t>调味汁</t>
        </is>
      </c>
      <c r="B7" s="15" t="n">
        <v>1542185.3</v>
      </c>
      <c r="C7" s="15" t="n">
        <v>849514.1899999999</v>
      </c>
      <c r="D7" s="15" t="n">
        <v>621712.96</v>
      </c>
      <c r="E7" s="25" t="n">
        <v>0.3587</v>
      </c>
      <c r="F7" s="15" t="n">
        <v>3004794.01</v>
      </c>
      <c r="G7" s="15" t="n">
        <v>1819532.68</v>
      </c>
      <c r="H7" s="15" t="n">
        <v>975229.99</v>
      </c>
      <c r="I7" s="25" t="n">
        <v>0.363</v>
      </c>
      <c r="J7" s="15" t="n">
        <v>1845196.21</v>
      </c>
      <c r="K7" s="15" t="n">
        <v>1270087.7</v>
      </c>
      <c r="L7" s="15" t="n">
        <v>678340.77</v>
      </c>
      <c r="M7" s="25" t="n">
        <v>0.3413</v>
      </c>
      <c r="N7" s="15" t="n">
        <v>2980572.34</v>
      </c>
      <c r="O7" s="15" t="n">
        <v>1771207.88</v>
      </c>
      <c r="P7" s="15" t="n">
        <v>1207928.46</v>
      </c>
      <c r="Q7" s="25" t="n">
        <v>0.2417</v>
      </c>
      <c r="R7" s="27" t="n">
        <v>0.0613</v>
      </c>
      <c r="S7" s="27" t="n">
        <v>0.4731</v>
      </c>
    </row>
    <row r="8">
      <c r="A8" s="4" t="inlineStr">
        <is>
          <t>复合调味粉</t>
        </is>
      </c>
      <c r="B8" s="15" t="n">
        <v>2620967.09</v>
      </c>
      <c r="C8" s="15" t="n">
        <v>1919920.62</v>
      </c>
      <c r="D8" s="15" t="n">
        <v>885839.17</v>
      </c>
      <c r="E8" s="25" t="n">
        <v>0.2742</v>
      </c>
      <c r="F8" s="15" t="n">
        <v>1459020.67</v>
      </c>
      <c r="G8" s="15" t="n">
        <v>899412.85</v>
      </c>
      <c r="H8" s="15" t="n">
        <v>547923.62</v>
      </c>
      <c r="I8" s="25" t="n">
        <v>0.3022</v>
      </c>
      <c r="J8" s="15" t="n">
        <v>2138738.26</v>
      </c>
      <c r="K8" s="15" t="n">
        <v>1311176.1</v>
      </c>
      <c r="L8" s="15" t="n">
        <v>949526.0600000001</v>
      </c>
      <c r="M8" s="25" t="n">
        <v>0.2028</v>
      </c>
      <c r="N8" s="15" t="n">
        <v>1443091.06</v>
      </c>
      <c r="O8" s="15" t="n">
        <v>1005855.59</v>
      </c>
      <c r="P8" s="15" t="n">
        <v>457288.38</v>
      </c>
      <c r="Q8" s="25" t="n">
        <v>0.4454</v>
      </c>
      <c r="R8" s="27" t="n">
        <v>-0.1221</v>
      </c>
      <c r="S8" s="27" t="n">
        <v>-0.2933</v>
      </c>
    </row>
    <row r="9">
      <c r="A9" s="4" t="inlineStr">
        <is>
          <t>团餐</t>
        </is>
      </c>
      <c r="B9" s="15" t="n">
        <v>3289900.35</v>
      </c>
      <c r="C9" s="15" t="n">
        <v>1923496.09</v>
      </c>
      <c r="D9" s="15" t="n">
        <v>866120.89</v>
      </c>
      <c r="E9" s="25" t="n">
        <v>0.3403</v>
      </c>
      <c r="F9" s="15" t="n">
        <v>1559341.69</v>
      </c>
      <c r="G9" s="15" t="n">
        <v>1043730.3</v>
      </c>
      <c r="H9" s="15" t="n">
        <v>429050.99</v>
      </c>
      <c r="I9" s="25" t="n">
        <v>0.2616</v>
      </c>
      <c r="J9" s="15" t="n">
        <v>2840347.58</v>
      </c>
      <c r="K9" s="15" t="n">
        <v>1806964.13</v>
      </c>
      <c r="L9" s="15" t="n">
        <v>1258278.62</v>
      </c>
      <c r="M9" s="25" t="n">
        <v>0.362</v>
      </c>
      <c r="N9" s="15" t="n">
        <v>1900347.16</v>
      </c>
      <c r="O9" s="15" t="n">
        <v>1172410.13</v>
      </c>
      <c r="P9" s="15" t="n">
        <v>723713.59</v>
      </c>
      <c r="Q9" s="25" t="n">
        <v>0.2916</v>
      </c>
      <c r="R9" s="27" t="n">
        <v>-0.0224</v>
      </c>
      <c r="S9" s="27" t="n">
        <v>0.0861</v>
      </c>
    </row>
    <row r="10">
      <c r="A10" s="4" t="inlineStr">
        <is>
          <t>预制菜</t>
        </is>
      </c>
      <c r="B10" s="15" t="n">
        <v>2669774.97</v>
      </c>
      <c r="C10" s="15" t="n">
        <v>1931913.56</v>
      </c>
      <c r="D10" s="15" t="n">
        <v>918423.74</v>
      </c>
      <c r="E10" s="25" t="n">
        <v>0.205</v>
      </c>
      <c r="F10" s="15" t="n">
        <v>1451488.72</v>
      </c>
      <c r="G10" s="15" t="n">
        <v>817518.3199999999</v>
      </c>
      <c r="H10" s="15" t="n">
        <v>364734.53</v>
      </c>
      <c r="I10" s="25" t="n">
        <v>0.3058</v>
      </c>
      <c r="J10" s="15" t="n">
        <v>2470161.29</v>
      </c>
      <c r="K10" s="15" t="n">
        <v>1437388.63</v>
      </c>
      <c r="L10" s="15" t="n">
        <v>1014070.51</v>
      </c>
      <c r="M10" s="25" t="n">
        <v>0.2672</v>
      </c>
      <c r="N10" s="15" t="n">
        <v>1490927.44</v>
      </c>
      <c r="O10" s="15" t="n">
        <v>1047613.35</v>
      </c>
      <c r="P10" s="15" t="n">
        <v>552623.86</v>
      </c>
      <c r="Q10" s="25" t="n">
        <v>0.3708</v>
      </c>
      <c r="R10" s="27" t="n">
        <v>-0.0389</v>
      </c>
      <c r="S10" s="27" t="n">
        <v>-0.2384</v>
      </c>
    </row>
    <row r="11">
      <c r="A11" s="4" t="inlineStr">
        <is>
          <t>江苏分部</t>
        </is>
      </c>
      <c r="B11" s="15" t="n">
        <v>795012.8100000001</v>
      </c>
      <c r="C11" s="15" t="n">
        <v>547125.9300000001</v>
      </c>
      <c r="D11" s="15" t="n">
        <v>331071.36</v>
      </c>
      <c r="E11" s="25" t="n">
        <v>0.3801</v>
      </c>
      <c r="F11" s="15" t="n">
        <v>1099678.93</v>
      </c>
      <c r="G11" s="15" t="n">
        <v>620725.15</v>
      </c>
      <c r="H11" s="15" t="n">
        <v>372049.96</v>
      </c>
      <c r="I11" s="25" t="n">
        <v>0.2681</v>
      </c>
      <c r="J11" s="15" t="n">
        <v>740041.64</v>
      </c>
      <c r="K11" s="15" t="n">
        <v>521639.64</v>
      </c>
      <c r="L11" s="15" t="n">
        <v>250791.75</v>
      </c>
      <c r="M11" s="25" t="n">
        <v>0.4199</v>
      </c>
      <c r="N11" s="15" t="n">
        <v>1160193.14</v>
      </c>
      <c r="O11" s="15" t="n">
        <v>790856.3199999999</v>
      </c>
      <c r="P11" s="15" t="n">
        <v>464945.42</v>
      </c>
      <c r="Q11" s="25" t="n">
        <v>0.392</v>
      </c>
      <c r="R11" s="27" t="n">
        <v>0.0029</v>
      </c>
      <c r="S11" s="27" t="n">
        <v>0.4587</v>
      </c>
    </row>
    <row r="12">
      <c r="A12" s="4" t="inlineStr">
        <is>
          <t>浙江分部</t>
        </is>
      </c>
      <c r="B12" s="15" t="n">
        <v>2034638.17</v>
      </c>
      <c r="C12" s="15" t="n">
        <v>1360265.45</v>
      </c>
      <c r="D12" s="15" t="n">
        <v>560492.65</v>
      </c>
      <c r="E12" s="25" t="n">
        <v>0.2824</v>
      </c>
      <c r="F12" s="15" t="n">
        <v>2583812.48</v>
      </c>
      <c r="G12" s="15" t="n">
        <v>1759258.21</v>
      </c>
      <c r="H12" s="15" t="n">
        <v>651507.3</v>
      </c>
      <c r="I12" s="25" t="n">
        <v>0.2105</v>
      </c>
      <c r="J12" s="15" t="n">
        <v>1739580.7</v>
      </c>
      <c r="K12" s="15" t="n">
        <v>998776.16</v>
      </c>
      <c r="L12" s="15" t="n">
        <v>777217.2</v>
      </c>
      <c r="M12" s="25" t="n">
        <v>0.2542</v>
      </c>
      <c r="N12" s="15" t="n">
        <v>2085401.56</v>
      </c>
      <c r="O12" s="15" t="n">
        <v>1444098.19</v>
      </c>
      <c r="P12" s="15" t="n">
        <v>927936.05</v>
      </c>
      <c r="Q12" s="25" t="n">
        <v>0.4485</v>
      </c>
      <c r="R12" s="27" t="n">
        <v>-0.1718</v>
      </c>
      <c r="S12" s="27" t="n">
        <v>0.1423</v>
      </c>
    </row>
    <row r="13">
      <c r="A13" s="4" t="inlineStr">
        <is>
          <t>上海分部</t>
        </is>
      </c>
      <c r="B13" s="15" t="n">
        <v>2607689.71</v>
      </c>
      <c r="C13" s="15" t="n">
        <v>1469948.01</v>
      </c>
      <c r="D13" s="15" t="n">
        <v>959143.67</v>
      </c>
      <c r="E13" s="25" t="n">
        <v>0.3037</v>
      </c>
      <c r="F13" s="15" t="n">
        <v>3341640.9</v>
      </c>
      <c r="G13" s="15" t="n">
        <v>2040713.83</v>
      </c>
      <c r="H13" s="15" t="n">
        <v>1489008.2</v>
      </c>
      <c r="I13" s="25" t="n">
        <v>0.2343</v>
      </c>
      <c r="J13" s="15" t="n">
        <v>3025778.22</v>
      </c>
      <c r="K13" s="15" t="n">
        <v>2049281.7</v>
      </c>
      <c r="L13" s="15" t="n">
        <v>1264313.38</v>
      </c>
      <c r="M13" s="25" t="n">
        <v>0.439</v>
      </c>
      <c r="N13" s="15" t="n">
        <v>2736864.86</v>
      </c>
      <c r="O13" s="15" t="n">
        <v>1664348.91</v>
      </c>
      <c r="P13" s="15" t="n">
        <v>996128.77</v>
      </c>
      <c r="Q13" s="25" t="n">
        <v>0.312</v>
      </c>
      <c r="R13" s="27" t="n">
        <v>-0.0314</v>
      </c>
      <c r="S13" s="27" t="n">
        <v>0.0376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中式汤底</t>
        </is>
      </c>
      <c r="B3" s="15" t="n">
        <v>166225.44</v>
      </c>
      <c r="C3" s="15" t="n">
        <v>277574.06</v>
      </c>
      <c r="D3" s="15" t="n">
        <v>117064.59</v>
      </c>
      <c r="E3" s="15" t="n">
        <v>358439.85</v>
      </c>
      <c r="F3" s="15" t="n">
        <v>377253.69</v>
      </c>
      <c r="G3" s="15" t="n">
        <v>304691.91</v>
      </c>
      <c r="H3" s="15" t="n">
        <v>438777.52</v>
      </c>
      <c r="I3" s="15" t="n">
        <v>228442.54</v>
      </c>
      <c r="J3" s="15" t="n">
        <v>121411.68</v>
      </c>
      <c r="K3" s="15" t="n">
        <v>255666.72</v>
      </c>
      <c r="L3" s="15" t="n">
        <v>413926.59</v>
      </c>
      <c r="M3" s="15" t="n">
        <v>329852.31</v>
      </c>
      <c r="N3" s="15">
        <f>SUM(B3:M3)</f>
        <v/>
      </c>
    </row>
    <row r="4">
      <c r="A4" s="4" t="inlineStr">
        <is>
          <t>酱料</t>
        </is>
      </c>
      <c r="B4" s="15" t="n">
        <v>420613.02</v>
      </c>
      <c r="C4" s="15" t="n">
        <v>402539.58</v>
      </c>
      <c r="D4" s="15" t="n">
        <v>168556.92</v>
      </c>
      <c r="E4" s="15" t="n">
        <v>455654.13</v>
      </c>
      <c r="F4" s="15" t="n">
        <v>375971.25</v>
      </c>
      <c r="G4" s="15" t="n">
        <v>319468.23</v>
      </c>
      <c r="H4" s="15" t="n">
        <v>431255.79</v>
      </c>
      <c r="I4" s="15" t="n">
        <v>224956.78</v>
      </c>
      <c r="J4" s="15" t="n">
        <v>437890.79</v>
      </c>
      <c r="K4" s="15" t="n">
        <v>116885.95</v>
      </c>
      <c r="L4" s="15" t="n">
        <v>160111.15</v>
      </c>
      <c r="M4" s="15" t="n">
        <v>85565.73</v>
      </c>
      <c r="N4" s="15">
        <f>SUM(B4:M4)</f>
        <v/>
      </c>
    </row>
    <row r="5">
      <c r="A5" s="4" t="inlineStr">
        <is>
          <t>川味底料</t>
        </is>
      </c>
      <c r="B5" s="15" t="n">
        <v>429542.97</v>
      </c>
      <c r="C5" s="15" t="n">
        <v>385289.19</v>
      </c>
      <c r="D5" s="15" t="n">
        <v>216249.89</v>
      </c>
      <c r="E5" s="15" t="n">
        <v>485878.25</v>
      </c>
      <c r="F5" s="15" t="n">
        <v>209278.2</v>
      </c>
      <c r="G5" s="15" t="n">
        <v>371945.27</v>
      </c>
      <c r="H5" s="15" t="n">
        <v>442266.33</v>
      </c>
      <c r="I5" s="15" t="n">
        <v>391555.63</v>
      </c>
      <c r="J5" s="15" t="n">
        <v>225834.4</v>
      </c>
      <c r="K5" s="15" t="n">
        <v>270935.89</v>
      </c>
      <c r="L5" s="15" t="n">
        <v>437279.45</v>
      </c>
      <c r="M5" s="15" t="n">
        <v>280530.83</v>
      </c>
      <c r="N5" s="15">
        <f>SUM(B5:M5)</f>
        <v/>
      </c>
    </row>
    <row r="6">
      <c r="A6" s="4" t="inlineStr">
        <is>
          <t>调味汁</t>
        </is>
      </c>
      <c r="B6" s="15" t="n">
        <v>93447.98</v>
      </c>
      <c r="C6" s="15" t="n">
        <v>60214.82</v>
      </c>
      <c r="D6" s="15" t="n">
        <v>490988.06</v>
      </c>
      <c r="E6" s="15" t="n">
        <v>330629.76</v>
      </c>
      <c r="F6" s="15" t="n">
        <v>432214.09</v>
      </c>
      <c r="G6" s="15" t="n">
        <v>186442.85</v>
      </c>
      <c r="H6" s="15" t="n">
        <v>467202.95</v>
      </c>
      <c r="I6" s="15" t="n">
        <v>306414.33</v>
      </c>
      <c r="J6" s="15" t="n">
        <v>389210.72</v>
      </c>
      <c r="K6" s="15" t="n">
        <v>180815.78</v>
      </c>
      <c r="L6" s="15" t="n">
        <v>95192.14</v>
      </c>
      <c r="M6" s="15" t="n">
        <v>171801.51</v>
      </c>
      <c r="N6" s="15">
        <f>SUM(B6:M6)</f>
        <v/>
      </c>
    </row>
    <row r="7">
      <c r="A7" s="4" t="inlineStr">
        <is>
          <t>复合调味粉</t>
        </is>
      </c>
      <c r="B7" s="15" t="n">
        <v>67759.12</v>
      </c>
      <c r="C7" s="15" t="n">
        <v>223528.66</v>
      </c>
      <c r="D7" s="15" t="n">
        <v>444037.17</v>
      </c>
      <c r="E7" s="15" t="n">
        <v>367899.12</v>
      </c>
      <c r="F7" s="15" t="n">
        <v>303592.55</v>
      </c>
      <c r="G7" s="15" t="n">
        <v>195332.87</v>
      </c>
      <c r="H7" s="15" t="n">
        <v>407438.06</v>
      </c>
      <c r="I7" s="15" t="n">
        <v>108582.6</v>
      </c>
      <c r="J7" s="15" t="n">
        <v>107185.17</v>
      </c>
      <c r="K7" s="15" t="n">
        <v>151749.44</v>
      </c>
      <c r="L7" s="15" t="n">
        <v>262293.67</v>
      </c>
      <c r="M7" s="15" t="n">
        <v>116486.96</v>
      </c>
      <c r="N7" s="15">
        <f>SUM(B7:M7)</f>
        <v/>
      </c>
    </row>
    <row r="8">
      <c r="A8" s="4" t="inlineStr">
        <is>
          <t>团餐</t>
        </is>
      </c>
      <c r="B8" s="15" t="n">
        <v>172047.14</v>
      </c>
      <c r="C8" s="15" t="n">
        <v>377360.57</v>
      </c>
      <c r="D8" s="15" t="n">
        <v>491937.55</v>
      </c>
      <c r="E8" s="15" t="n">
        <v>462856.62</v>
      </c>
      <c r="F8" s="15" t="n">
        <v>223496.66</v>
      </c>
      <c r="G8" s="15" t="n">
        <v>92311.32000000001</v>
      </c>
      <c r="H8" s="15" t="n">
        <v>133857.16</v>
      </c>
      <c r="I8" s="15" t="n">
        <v>94431.78999999999</v>
      </c>
      <c r="J8" s="15" t="n">
        <v>147906.59</v>
      </c>
      <c r="K8" s="15" t="n">
        <v>439883.19</v>
      </c>
      <c r="L8" s="15" t="n">
        <v>213833.53</v>
      </c>
      <c r="M8" s="15" t="n">
        <v>427901.95</v>
      </c>
      <c r="N8" s="15">
        <f>SUM(B8:M8)</f>
        <v/>
      </c>
    </row>
    <row r="9">
      <c r="A9" s="4" t="inlineStr">
        <is>
          <t>预制菜</t>
        </is>
      </c>
      <c r="B9" s="15" t="n">
        <v>400675.89</v>
      </c>
      <c r="C9" s="15" t="n">
        <v>270503.35</v>
      </c>
      <c r="D9" s="15" t="n">
        <v>194267.7</v>
      </c>
      <c r="E9" s="15" t="n">
        <v>228587.35</v>
      </c>
      <c r="F9" s="15" t="n">
        <v>276793.42</v>
      </c>
      <c r="G9" s="15" t="n">
        <v>55994.5</v>
      </c>
      <c r="H9" s="15" t="n">
        <v>195310.41</v>
      </c>
      <c r="I9" s="15" t="n">
        <v>276799.68</v>
      </c>
      <c r="J9" s="15" t="n">
        <v>309473.93</v>
      </c>
      <c r="K9" s="15" t="n">
        <v>190531.43</v>
      </c>
      <c r="L9" s="15" t="n">
        <v>483963.63</v>
      </c>
      <c r="M9" s="15" t="n">
        <v>283135.18</v>
      </c>
      <c r="N9" s="15">
        <f>SUM(B9:M9)</f>
        <v/>
      </c>
    </row>
    <row r="10">
      <c r="A10" s="6" t="inlineStr">
        <is>
          <t>月度合计</t>
        </is>
      </c>
      <c r="B10" s="15">
        <f>SUM(B3:B9)</f>
        <v/>
      </c>
      <c r="C10" s="15">
        <f>SUM(C3:C9)</f>
        <v/>
      </c>
      <c r="D10" s="15">
        <f>SUM(D3:D9)</f>
        <v/>
      </c>
      <c r="E10" s="15">
        <f>SUM(E3:E9)</f>
        <v/>
      </c>
      <c r="F10" s="15">
        <f>SUM(F3:F9)</f>
        <v/>
      </c>
      <c r="G10" s="15">
        <f>SUM(G3:G9)</f>
        <v/>
      </c>
      <c r="H10" s="15">
        <f>SUM(H3:H9)</f>
        <v/>
      </c>
      <c r="I10" s="15">
        <f>SUM(I3:I9)</f>
        <v/>
      </c>
      <c r="J10" s="15">
        <f>SUM(J3:J9)</f>
        <v/>
      </c>
      <c r="K10" s="15">
        <f>SUM(K3:K9)</f>
        <v/>
      </c>
      <c r="L10" s="15">
        <f>SUM(L3:L9)</f>
        <v/>
      </c>
      <c r="M10" s="15">
        <f>SUM(M3:M9)</f>
        <v/>
      </c>
      <c r="N10" s="15">
        <f>SUM(N3:N9)</f>
        <v/>
      </c>
    </row>
    <row r="11">
      <c r="A11" s="6" t="inlineStr">
        <is>
          <t>月度平均</t>
        </is>
      </c>
      <c r="B11" s="15">
        <f>AVERAGE(B3:B9)</f>
        <v/>
      </c>
      <c r="C11" s="15">
        <f>AVERAGE(C3:C9)</f>
        <v/>
      </c>
      <c r="D11" s="15">
        <f>AVERAGE(D3:D9)</f>
        <v/>
      </c>
      <c r="E11" s="15">
        <f>AVERAGE(E3:E9)</f>
        <v/>
      </c>
      <c r="F11" s="15">
        <f>AVERAGE(F3:F9)</f>
        <v/>
      </c>
      <c r="G11" s="15">
        <f>AVERAGE(G3:G9)</f>
        <v/>
      </c>
      <c r="H11" s="15">
        <f>AVERAGE(H3:H9)</f>
        <v/>
      </c>
      <c r="I11" s="15">
        <f>AVERAGE(I3:I9)</f>
        <v/>
      </c>
      <c r="J11" s="15">
        <f>AVERAGE(J3:J9)</f>
        <v/>
      </c>
      <c r="K11" s="15">
        <f>AVERAGE(K3:K9)</f>
        <v/>
      </c>
      <c r="L11" s="15">
        <f>AVERAGE(L3:L9)</f>
        <v/>
      </c>
      <c r="M11" s="15">
        <f>AVERAGE(M3:M9)</f>
        <v/>
      </c>
      <c r="N11" s="15">
        <f>AVERAGE(N3:N9)</f>
        <v/>
      </c>
    </row>
    <row r="12">
      <c r="A12" s="6" t="inlineStr">
        <is>
          <t>达标状态</t>
        </is>
      </c>
      <c r="B12" s="4">
        <f>IF(B10&gt;1000000,"达标","未达标")</f>
        <v/>
      </c>
      <c r="C12" s="4">
        <f>IF(C10&gt;1000000,"达标","未达标")</f>
        <v/>
      </c>
      <c r="D12" s="4">
        <f>IF(D10&gt;1000000,"达标","未达标")</f>
        <v/>
      </c>
      <c r="E12" s="4">
        <f>IF(E10&gt;1000000,"达标","未达标")</f>
        <v/>
      </c>
      <c r="F12" s="4">
        <f>IF(F10&gt;1000000,"达标","未达标")</f>
        <v/>
      </c>
      <c r="G12" s="4">
        <f>IF(G10&gt;1000000,"达标","未达标")</f>
        <v/>
      </c>
      <c r="H12" s="4">
        <f>IF(H10&gt;1000000,"达标","未达标")</f>
        <v/>
      </c>
      <c r="I12" s="4">
        <f>IF(I10&gt;1000000,"达标","未达标")</f>
        <v/>
      </c>
      <c r="J12" s="4">
        <f>IF(J10&gt;1000000,"达标","未达标")</f>
        <v/>
      </c>
      <c r="K12" s="4">
        <f>IF(K10&gt;1000000,"达标","未达标")</f>
        <v/>
      </c>
      <c r="L12" s="4">
        <f>IF(L10&gt;1000000,"达标","未达标")</f>
        <v/>
      </c>
      <c r="M12" s="4">
        <f>IF(M10&gt;1000000,"达标","未达标")</f>
        <v/>
      </c>
    </row>
    <row r="13">
      <c r="A13" s="6" t="inlineStr">
        <is>
          <t>占年度比例</t>
        </is>
      </c>
      <c r="B13" s="25">
        <f>B10/N10</f>
        <v/>
      </c>
      <c r="C13" s="25">
        <f>C10/N10</f>
        <v/>
      </c>
      <c r="D13" s="25">
        <f>D10/N10</f>
        <v/>
      </c>
      <c r="E13" s="25">
        <f>E10/N10</f>
        <v/>
      </c>
      <c r="F13" s="25">
        <f>F10/N10</f>
        <v/>
      </c>
      <c r="G13" s="25">
        <f>G10/N10</f>
        <v/>
      </c>
      <c r="H13" s="25">
        <f>H10/N10</f>
        <v/>
      </c>
      <c r="I13" s="25">
        <f>I10/N10</f>
        <v/>
      </c>
      <c r="J13" s="25">
        <f>J10/N10</f>
        <v/>
      </c>
      <c r="K13" s="25">
        <f>K10/N10</f>
        <v/>
      </c>
      <c r="L13" s="25">
        <f>L10/N10</f>
        <v/>
      </c>
      <c r="M13" s="25">
        <f>M10/N10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10583</v>
      </c>
      <c r="C2" s="7" t="n">
        <v>12434.4</v>
      </c>
      <c r="D2" s="7" t="n">
        <v>14478.6</v>
      </c>
      <c r="E2" s="7" t="n">
        <v>13882.8</v>
      </c>
      <c r="F2" s="7" t="n">
        <v>12727.3</v>
      </c>
      <c r="G2" s="7" t="n">
        <v>11316.8</v>
      </c>
      <c r="H2" s="7" t="n">
        <v>3344.93</v>
      </c>
      <c r="I2" s="7" t="n">
        <v>3771.5</v>
      </c>
      <c r="J2" s="7" t="n">
        <v>2979.76</v>
      </c>
      <c r="K2" s="7" t="n">
        <v>3088.95</v>
      </c>
    </row>
    <row r="3">
      <c r="A3" s="4" t="inlineStr">
        <is>
          <t>营业成本(万元)</t>
        </is>
      </c>
      <c r="B3" s="7" t="n">
        <v>7652</v>
      </c>
      <c r="C3" s="7" t="n">
        <v>7823</v>
      </c>
      <c r="D3" s="7" t="n">
        <v>9639.4</v>
      </c>
      <c r="E3" s="7" t="n">
        <v>5624.9</v>
      </c>
      <c r="F3" s="7" t="n">
        <v>5859.9</v>
      </c>
      <c r="G3" s="7" t="n">
        <v>7166.9</v>
      </c>
      <c r="H3" s="7" t="n">
        <v>2233.95</v>
      </c>
      <c r="I3" s="7" t="n">
        <v>1939.39</v>
      </c>
      <c r="J3" s="7" t="n">
        <v>2127.74</v>
      </c>
      <c r="K3" s="7" t="n">
        <v>1579.31</v>
      </c>
    </row>
    <row r="4">
      <c r="A4" s="4" t="inlineStr">
        <is>
          <t>毛利(万元)</t>
        </is>
      </c>
      <c r="B4" s="7" t="n">
        <v>3149.2</v>
      </c>
      <c r="C4" s="7" t="n">
        <v>3142.7</v>
      </c>
      <c r="D4" s="7" t="n">
        <v>2588.4</v>
      </c>
      <c r="E4" s="7" t="n">
        <v>3111.4</v>
      </c>
      <c r="F4" s="7" t="n">
        <v>4746.1</v>
      </c>
      <c r="G4" s="7" t="n">
        <v>3244.4</v>
      </c>
      <c r="H4" s="7" t="n">
        <v>674.0599999999999</v>
      </c>
      <c r="I4" s="7" t="n">
        <v>1099.88</v>
      </c>
      <c r="J4" s="7" t="n">
        <v>687.5599999999999</v>
      </c>
      <c r="K4" s="7" t="n">
        <v>1073.48</v>
      </c>
    </row>
    <row r="5">
      <c r="A5" s="4" t="inlineStr">
        <is>
          <t>毛利率</t>
        </is>
      </c>
      <c r="B5" s="25" t="n">
        <v>0.2355</v>
      </c>
      <c r="C5" s="25" t="n">
        <v>0.3146</v>
      </c>
      <c r="D5" s="25" t="n">
        <v>0.3721</v>
      </c>
      <c r="E5" s="25" t="n">
        <v>0.2347</v>
      </c>
      <c r="F5" s="25" t="n">
        <v>0.3036</v>
      </c>
      <c r="G5" s="25" t="n">
        <v>0.259</v>
      </c>
      <c r="H5" s="25" t="n">
        <v>0.06</v>
      </c>
      <c r="I5" s="25" t="n">
        <v>0.07000000000000001</v>
      </c>
      <c r="J5" s="25" t="n">
        <v>0.07000000000000001</v>
      </c>
      <c r="K5" s="25" t="n">
        <v>0.06</v>
      </c>
    </row>
    <row r="6">
      <c r="A6" s="4" t="inlineStr">
        <is>
          <t>净利润(万元)</t>
        </is>
      </c>
      <c r="B6" s="7" t="n">
        <v>1670.5</v>
      </c>
      <c r="C6" s="7" t="n">
        <v>1099</v>
      </c>
      <c r="D6" s="7" t="n">
        <v>692.2</v>
      </c>
      <c r="E6" s="7" t="n">
        <v>732.3</v>
      </c>
      <c r="F6" s="7" t="n">
        <v>1205.1</v>
      </c>
      <c r="G6" s="7" t="n">
        <v>1342.1</v>
      </c>
      <c r="H6" s="7" t="n">
        <v>362.69</v>
      </c>
      <c r="I6" s="7" t="n">
        <v>380.72</v>
      </c>
      <c r="J6" s="7" t="n">
        <v>347.79</v>
      </c>
      <c r="K6" s="7" t="n">
        <v>427.93</v>
      </c>
    </row>
    <row r="7">
      <c r="A7" s="4" t="inlineStr">
        <is>
          <t>净利率</t>
        </is>
      </c>
      <c r="B7" s="25" t="n">
        <v>0.1029</v>
      </c>
      <c r="C7" s="25" t="n">
        <v>0.1203</v>
      </c>
      <c r="D7" s="25" t="n">
        <v>0.0713</v>
      </c>
      <c r="E7" s="25" t="n">
        <v>0.0707</v>
      </c>
      <c r="F7" s="25" t="n">
        <v>0.1488</v>
      </c>
      <c r="G7" s="25" t="n">
        <v>0.1302</v>
      </c>
      <c r="H7" s="25" t="n">
        <v>0.04</v>
      </c>
      <c r="I7" s="25" t="n">
        <v>0.03</v>
      </c>
      <c r="J7" s="25" t="n">
        <v>0.04</v>
      </c>
      <c r="K7" s="25" t="n">
        <v>0.04</v>
      </c>
    </row>
    <row r="8">
      <c r="A8" s="4" t="inlineStr">
        <is>
          <t>员工数</t>
        </is>
      </c>
      <c r="B8" s="7" t="n">
        <v>233</v>
      </c>
      <c r="C8" s="7" t="n">
        <v>364</v>
      </c>
      <c r="D8" s="7" t="n">
        <v>337</v>
      </c>
      <c r="E8" s="7" t="n">
        <v>726</v>
      </c>
      <c r="F8" s="7" t="n">
        <v>218</v>
      </c>
      <c r="G8" s="7" t="n">
        <v>290</v>
      </c>
      <c r="H8" s="7" t="n">
        <v>90.75</v>
      </c>
      <c r="I8" s="7" t="n">
        <v>86.03</v>
      </c>
      <c r="J8" s="7" t="n">
        <v>66.19</v>
      </c>
      <c r="K8" s="7" t="n">
        <v>98.59</v>
      </c>
    </row>
    <row r="9">
      <c r="A9" s="4" t="inlineStr">
        <is>
          <t>人均产值(万元)</t>
        </is>
      </c>
      <c r="B9" s="7" t="n">
        <v>36.5</v>
      </c>
      <c r="C9" s="7" t="n">
        <v>27.4</v>
      </c>
      <c r="D9" s="7" t="n">
        <v>31.9</v>
      </c>
      <c r="E9" s="7" t="n">
        <v>15.7</v>
      </c>
      <c r="F9" s="7" t="n">
        <v>18.2</v>
      </c>
      <c r="G9" s="7" t="n">
        <v>22.4</v>
      </c>
      <c r="H9" s="7" t="n">
        <v>7.61</v>
      </c>
      <c r="I9" s="7" t="n">
        <v>4.96</v>
      </c>
      <c r="J9" s="7" t="n">
        <v>5.57</v>
      </c>
      <c r="K9" s="7" t="n">
        <v>6.47</v>
      </c>
    </row>
    <row r="10">
      <c r="A10" s="4" t="inlineStr">
        <is>
          <t>研发费用(万元)</t>
        </is>
      </c>
      <c r="B10" s="7" t="n">
        <v>1801.3</v>
      </c>
      <c r="C10" s="7" t="n">
        <v>526.6</v>
      </c>
      <c r="D10" s="7" t="n">
        <v>1623.4</v>
      </c>
      <c r="E10" s="7" t="n">
        <v>1490.8</v>
      </c>
      <c r="F10" s="7" t="n">
        <v>1357.1</v>
      </c>
      <c r="G10" s="7" t="n">
        <v>901.2</v>
      </c>
      <c r="H10" s="7" t="n">
        <v>307.47</v>
      </c>
      <c r="I10" s="7" t="n">
        <v>197.77</v>
      </c>
      <c r="J10" s="7" t="n">
        <v>215.88</v>
      </c>
      <c r="K10" s="7" t="n">
        <v>228.92</v>
      </c>
    </row>
    <row r="11">
      <c r="A11" s="4" t="inlineStr">
        <is>
          <t>研发占比</t>
        </is>
      </c>
      <c r="B11" s="25" t="n">
        <v>0.0501</v>
      </c>
      <c r="C11" s="25" t="n">
        <v>0.06279999999999999</v>
      </c>
      <c r="D11" s="25" t="n">
        <v>0.0492</v>
      </c>
      <c r="E11" s="25" t="n">
        <v>0.0386</v>
      </c>
      <c r="F11" s="25" t="n">
        <v>0.1092</v>
      </c>
      <c r="G11" s="25" t="n">
        <v>0.0878</v>
      </c>
      <c r="H11" s="25" t="n">
        <v>0.03</v>
      </c>
      <c r="I11" s="25" t="n">
        <v>0.02</v>
      </c>
      <c r="J11" s="25" t="n">
        <v>0.03</v>
      </c>
      <c r="K11" s="25" t="n">
        <v>0.02</v>
      </c>
    </row>
    <row r="12">
      <c r="A12" s="4" t="inlineStr">
        <is>
          <t>资产总额(万元)</t>
        </is>
      </c>
      <c r="B12" s="7" t="n">
        <v>37860.7</v>
      </c>
      <c r="C12" s="7" t="n">
        <v>34851.4</v>
      </c>
      <c r="D12" s="7" t="n">
        <v>11226</v>
      </c>
      <c r="E12" s="7" t="n">
        <v>18678.5</v>
      </c>
      <c r="F12" s="7" t="n">
        <v>47991.2</v>
      </c>
      <c r="G12" s="7" t="n">
        <v>39438.2</v>
      </c>
      <c r="H12" s="7" t="n">
        <v>9379.91</v>
      </c>
      <c r="I12" s="7" t="n">
        <v>10525.47</v>
      </c>
      <c r="J12" s="7" t="n">
        <v>9893.530000000001</v>
      </c>
      <c r="K12" s="7" t="n">
        <v>8862.879999999999</v>
      </c>
    </row>
    <row r="13">
      <c r="A13" s="4" t="inlineStr">
        <is>
          <t>负债率</t>
        </is>
      </c>
      <c r="B13" s="25" t="n">
        <v>0.3495</v>
      </c>
      <c r="C13" s="25" t="n">
        <v>0.5114</v>
      </c>
      <c r="D13" s="25" t="n">
        <v>0.6352</v>
      </c>
      <c r="E13" s="25" t="n">
        <v>0.5994</v>
      </c>
      <c r="F13" s="25" t="n">
        <v>0.6865</v>
      </c>
      <c r="G13" s="25" t="n">
        <v>0.6427</v>
      </c>
      <c r="H13" s="25" t="n">
        <v>0.14</v>
      </c>
      <c r="I13" s="25" t="n">
        <v>0.21</v>
      </c>
      <c r="J13" s="25" t="n">
        <v>0.18</v>
      </c>
      <c r="K13" s="2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2026-02-20T00:52:05Z</dcterms:created>
  <dcterms:modified xmlns:dcterms="http://purl.org/dc/terms/" xmlns:xsi="http://www.w3.org/2001/XMLSchema-instance" xsi:type="dcterms:W3CDTF">2026-02-20T00:52:06Z</dcterms:modified>
</cp:coreProperties>
</file>