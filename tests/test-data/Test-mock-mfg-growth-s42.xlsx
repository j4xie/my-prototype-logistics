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索引" sheetId="1" state="visible" r:id="rId1"/>
    <sheet xmlns:r="http://schemas.openxmlformats.org/officeDocument/2006/relationships" name="收入及净利简表" sheetId="2" state="visible" r:id="rId2"/>
    <sheet xmlns:r="http://schemas.openxmlformats.org/officeDocument/2006/relationships" name="2025年华东事业部利润表" sheetId="3" state="visible" r:id="rId3"/>
    <sheet xmlns:r="http://schemas.openxmlformats.org/officeDocument/2006/relationships" name="2025年中心利润表" sheetId="4" state="visible" r:id="rId4"/>
    <sheet xmlns:r="http://schemas.openxmlformats.org/officeDocument/2006/relationships" name="2025年江苏区域利润表" sheetId="5" state="visible" r:id="rId5"/>
    <sheet xmlns:r="http://schemas.openxmlformats.org/officeDocument/2006/relationships" name="2025年浙江区域利润表" sheetId="6" state="visible" r:id="rId6"/>
    <sheet xmlns:r="http://schemas.openxmlformats.org/officeDocument/2006/relationships" name="2025年广东区域利润表" sheetId="7" state="visible" r:id="rId7"/>
    <sheet xmlns:r="http://schemas.openxmlformats.org/officeDocument/2006/relationships" name="2025年华中区域利润表" sheetId="8" state="visible" r:id="rId8"/>
    <sheet xmlns:r="http://schemas.openxmlformats.org/officeDocument/2006/relationships" name="2025年湖北省区利润表" sheetId="9" state="visible" r:id="rId9"/>
    <sheet xmlns:r="http://schemas.openxmlformats.org/officeDocument/2006/relationships" name="2025年湖南省区利润表" sheetId="10" state="visible" r:id="rId10"/>
    <sheet xmlns:r="http://schemas.openxmlformats.org/officeDocument/2006/relationships" name="24年返利明细" sheetId="11" state="visible" r:id="rId11"/>
    <sheet xmlns:r="http://schemas.openxmlformats.org/officeDocument/2006/relationships" name="资产负债表" sheetId="12" state="visible" r:id="rId12"/>
    <sheet xmlns:r="http://schemas.openxmlformats.org/officeDocument/2006/relationships" name="销售明细" sheetId="13" state="visible" r:id="rId13"/>
    <sheet xmlns:r="http://schemas.openxmlformats.org/officeDocument/2006/relationships" name="应收账款账龄" sheetId="14" state="visible" r:id="rId14"/>
    <sheet xmlns:r="http://schemas.openxmlformats.org/officeDocument/2006/relationships" name="库存台账" sheetId="15" state="visible" r:id="rId15"/>
    <sheet xmlns:r="http://schemas.openxmlformats.org/officeDocument/2006/relationships" name="月度经营分析" sheetId="16" state="visible" r:id="rId16"/>
    <sheet xmlns:r="http://schemas.openxmlformats.org/officeDocument/2006/relationships" name="费用预算执行" sheetId="17" state="visible" r:id="rId17"/>
    <sheet xmlns:r="http://schemas.openxmlformats.org/officeDocument/2006/relationships" name="现金流量表" sheetId="18" state="visible" r:id="rId18"/>
    <sheet xmlns:r="http://schemas.openxmlformats.org/officeDocument/2006/relationships" name="超宽数据表" sheetId="19" state="visible" r:id="rId19"/>
    <sheet xmlns:r="http://schemas.openxmlformats.org/officeDocument/2006/relationships" name="混合类型测试" sheetId="20" state="visible" r:id="rId20"/>
    <sheet xmlns:r="http://schemas.openxmlformats.org/officeDocument/2006/relationships" name="空值区域测试" sheetId="21" state="visible" r:id="rId21"/>
    <sheet xmlns:r="http://schemas.openxmlformats.org/officeDocument/2006/relationships" name="跨年对比(2024-2025)" sheetId="22" state="visible" r:id="rId22"/>
    <sheet xmlns:r="http://schemas.openxmlformats.org/officeDocument/2006/relationships" name="公式测试" sheetId="23" state="visible" r:id="rId23"/>
    <sheet xmlns:r="http://schemas.openxmlformats.org/officeDocument/2006/relationships" name="纯数字列名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yyyy-mm-dd h:mm:ss"/>
    <numFmt numFmtId="166" formatCode="0.0"/>
    <numFmt numFmtId="167" formatCode="yyyy-mm-dd"/>
    <numFmt numFmtId="168" formatCode="YYYY-MM-DD"/>
    <numFmt numFmtId="169" formatCode="0.0%"/>
    <numFmt numFmtId="170" formatCode="+0.0%;-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0"/>
    </font>
    <font>
      <b val="1"/>
      <sz val="16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0" borderId="1" pivotButton="0" quotePrefix="0" xfId="0"/>
    <xf numFmtId="164" fontId="0" fillId="0" borderId="1" pivotButton="0" quotePrefix="0" xfId="0"/>
    <xf numFmtId="164" fontId="2" fillId="0" borderId="1" pivotButton="0" quotePrefix="0" xfId="0"/>
    <xf numFmtId="0" fontId="3" fillId="0" borderId="0" applyAlignment="1" pivotButton="0" quotePrefix="0" xfId="0">
      <alignment horizontal="center" vertical="center" wrapText="1"/>
    </xf>
    <xf numFmtId="165" fontId="0" fillId="0" borderId="0" pivotButton="0" quotePrefix="0" xfId="0"/>
    <xf numFmtId="165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0" fillId="0" borderId="1" pivotButton="0" quotePrefix="0" xfId="0"/>
    <xf numFmtId="168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0" fontId="0" fillId="0" borderId="0" applyAlignment="1" pivotButton="0" quotePrefix="0" xfId="0">
      <alignment horizontal="center"/>
    </xf>
    <xf numFmtId="3" fontId="0" fillId="0" borderId="1" pivotButton="0" quotePrefix="0" xfId="0"/>
    <xf numFmtId="3" fontId="2" fillId="0" borderId="1" pivotButton="0" quotePrefix="0" xfId="0"/>
    <xf numFmtId="169" fontId="2" fillId="0" borderId="1" applyAlignment="1" pivotButton="0" quotePrefix="0" xfId="0">
      <alignment horizontal="center" vertical="center" wrapText="1"/>
    </xf>
    <xf numFmtId="169" fontId="0" fillId="0" borderId="1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textRotation="90"/>
    </xf>
    <xf numFmtId="3" fontId="4" fillId="0" borderId="1" pivotButton="0" quotePrefix="0" xfId="0"/>
    <xf numFmtId="169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7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60" customWidth="1" min="3" max="3"/>
  </cols>
  <sheetData>
    <row r="1">
      <c r="A1" s="1" t="inlineStr">
        <is>
          <t>华东事业部经营口径报表索引</t>
        </is>
      </c>
    </row>
    <row r="2">
      <c r="A2" s="2" t="inlineStr">
        <is>
          <t>序号</t>
        </is>
      </c>
      <c r="B2" s="2" t="inlineStr">
        <is>
          <t>索引</t>
        </is>
      </c>
      <c r="C2" s="2" t="inlineStr">
        <is>
          <t>报表编制说明</t>
        </is>
      </c>
    </row>
    <row r="3">
      <c r="A3" s="3" t="n">
        <v>1</v>
      </c>
      <c r="B3" s="4" t="inlineStr">
        <is>
          <t>收入及净利简表</t>
        </is>
      </c>
      <c r="C3" s="5" t="inlineStr">
        <is>
          <t>1、分部及区域的预算净利及实际净利，数据来源为本文件中分部利润表</t>
        </is>
      </c>
    </row>
    <row r="4">
      <c r="A4" s="3" t="n">
        <v>2</v>
      </c>
      <c r="B4" s="4" t="inlineStr">
        <is>
          <t>2025年华东事业部利润表</t>
        </is>
      </c>
      <c r="C4" s="5" t="inlineStr">
        <is>
          <t>编制规则同2025年华东事业部利润表</t>
        </is>
      </c>
    </row>
    <row r="5">
      <c r="A5" s="3" t="n">
        <v>3</v>
      </c>
      <c r="B5" s="4" t="inlineStr">
        <is>
          <t>2025年中心利润表</t>
        </is>
      </c>
      <c r="C5" s="5" t="inlineStr">
        <is>
          <t>编制规则同2025年华东事业部利润表</t>
        </is>
      </c>
    </row>
    <row r="6">
      <c r="A6" s="3" t="n">
        <v>4</v>
      </c>
      <c r="B6" s="4" t="inlineStr">
        <is>
          <t>2025年江苏区域利润表</t>
        </is>
      </c>
      <c r="C6" s="5" t="inlineStr">
        <is>
          <t>编制规则同2025年华东事业部利润表</t>
        </is>
      </c>
    </row>
    <row r="7">
      <c r="A7" s="3" t="n">
        <v>5</v>
      </c>
      <c r="B7" s="4" t="inlineStr">
        <is>
          <t>2025年浙江区域利润表</t>
        </is>
      </c>
      <c r="C7" s="5" t="inlineStr">
        <is>
          <t>编制规则同2025年华东事业部利润表</t>
        </is>
      </c>
    </row>
    <row r="8">
      <c r="A8" s="3" t="n">
        <v>6</v>
      </c>
      <c r="B8" s="4" t="inlineStr">
        <is>
          <t>2025年广东区域利润表</t>
        </is>
      </c>
      <c r="C8" s="5" t="inlineStr">
        <is>
          <t>编制规则同2025年华东事业部利润表</t>
        </is>
      </c>
    </row>
    <row r="9">
      <c r="A9" s="3" t="n">
        <v>7</v>
      </c>
      <c r="B9" s="4" t="inlineStr">
        <is>
          <t>2025年华中区域利润表</t>
        </is>
      </c>
      <c r="C9" s="5" t="inlineStr">
        <is>
          <t>编制规则同2025年华东事业部利润表</t>
        </is>
      </c>
    </row>
    <row r="10">
      <c r="A10" s="3" t="n">
        <v>8</v>
      </c>
      <c r="B10" s="4" t="inlineStr">
        <is>
          <t>2025年湖北省区利润表</t>
        </is>
      </c>
      <c r="C10" s="5" t="inlineStr">
        <is>
          <t>编制规则同2025年华东事业部利润表</t>
        </is>
      </c>
    </row>
    <row r="11">
      <c r="A11" s="3" t="n">
        <v>9</v>
      </c>
      <c r="B11" s="4" t="inlineStr">
        <is>
          <t>2025年湖南省区利润表</t>
        </is>
      </c>
      <c r="C11" s="5" t="inlineStr">
        <is>
          <t>编制规则同2025年华东事业部利润表</t>
        </is>
      </c>
    </row>
    <row r="12">
      <c r="A12" s="3" t="n">
        <v>10</v>
      </c>
      <c r="B12" s="4" t="inlineStr">
        <is>
          <t>24年返利明细</t>
        </is>
      </c>
      <c r="C12" s="5" t="inlineStr"/>
    </row>
    <row r="13">
      <c r="A13" s="3" t="n">
        <v>11</v>
      </c>
      <c r="B13" s="4" t="inlineStr">
        <is>
          <t>资产负债表</t>
        </is>
      </c>
      <c r="C13" s="5" t="inlineStr"/>
    </row>
    <row r="14">
      <c r="A14" s="3" t="n">
        <v>12</v>
      </c>
      <c r="B14" s="4" t="inlineStr">
        <is>
          <t>销售明细</t>
        </is>
      </c>
      <c r="C14" s="5" t="inlineStr"/>
    </row>
    <row r="15">
      <c r="A15" s="3" t="n">
        <v>13</v>
      </c>
      <c r="B15" s="4" t="inlineStr">
        <is>
          <t>应收账款账龄</t>
        </is>
      </c>
      <c r="C15" s="5" t="inlineStr"/>
    </row>
    <row r="16">
      <c r="A16" s="3" t="n">
        <v>14</v>
      </c>
      <c r="B16" s="4" t="inlineStr">
        <is>
          <t>库存台账</t>
        </is>
      </c>
      <c r="C16" s="5" t="inlineStr"/>
    </row>
    <row r="17">
      <c r="A17" s="3" t="n">
        <v>15</v>
      </c>
      <c r="B17" s="4" t="inlineStr">
        <is>
          <t>月度经营分析</t>
        </is>
      </c>
      <c r="C17" s="5" t="inlineStr"/>
    </row>
    <row r="18">
      <c r="A18" s="3" t="n">
        <v>16</v>
      </c>
      <c r="B18" s="4" t="inlineStr">
        <is>
          <t>费用预算执行</t>
        </is>
      </c>
      <c r="C18" s="5" t="inlineStr"/>
    </row>
    <row r="19">
      <c r="A19" s="3" t="n">
        <v>17</v>
      </c>
      <c r="B19" s="4" t="inlineStr">
        <is>
          <t>现金流量表</t>
        </is>
      </c>
      <c r="C19" s="5" t="inlineStr"/>
    </row>
    <row r="20">
      <c r="A20" s="3" t="n">
        <v>18</v>
      </c>
      <c r="B20" s="4" t="inlineStr">
        <is>
          <t>超宽数据表</t>
        </is>
      </c>
      <c r="C20" s="5" t="inlineStr"/>
    </row>
    <row r="21">
      <c r="A21" s="3" t="n">
        <v>19</v>
      </c>
      <c r="B21" s="4" t="inlineStr">
        <is>
          <t>混合类型测试</t>
        </is>
      </c>
      <c r="C21" s="5" t="inlineStr"/>
    </row>
    <row r="22">
      <c r="A22" s="3" t="n">
        <v>20</v>
      </c>
      <c r="B22" s="4" t="inlineStr">
        <is>
          <t>空值区域测试</t>
        </is>
      </c>
      <c r="C22" s="5" t="inlineStr"/>
    </row>
    <row r="23">
      <c r="A23" s="3" t="n">
        <v>21</v>
      </c>
      <c r="B23" s="4" t="inlineStr">
        <is>
          <t>跨年对比(2024-2025)</t>
        </is>
      </c>
      <c r="C23" s="5" t="inlineStr"/>
    </row>
    <row r="24">
      <c r="A24" s="3" t="n">
        <v>22</v>
      </c>
      <c r="B24" s="4" t="inlineStr">
        <is>
          <t>公式测试</t>
        </is>
      </c>
      <c r="C24" s="5" t="inlineStr"/>
    </row>
    <row r="25">
      <c r="A25" s="3" t="n">
        <v>23</v>
      </c>
      <c r="B25" s="4" t="inlineStr">
        <is>
          <t>纯数字列名</t>
        </is>
      </c>
      <c r="C25" s="5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1">
      <c r="A1" s="1" t="inlineStr">
        <is>
          <t>华东事业部2025年各分部及区域收入&amp;净利简表</t>
        </is>
      </c>
    </row>
    <row r="2">
      <c r="A2" s="2" t="inlineStr">
        <is>
          <t>区域</t>
        </is>
      </c>
      <c r="B2" s="2" t="inlineStr">
        <is>
          <t>1月</t>
        </is>
      </c>
      <c r="E2" s="2" t="inlineStr">
        <is>
          <t>2月</t>
        </is>
      </c>
      <c r="H2" s="2" t="inlineStr">
        <is>
          <t>3月</t>
        </is>
      </c>
      <c r="K2" s="2" t="inlineStr">
        <is>
          <t>4月</t>
        </is>
      </c>
      <c r="N2" s="2" t="inlineStr">
        <is>
          <t>5月</t>
        </is>
      </c>
      <c r="Q2" s="2" t="inlineStr">
        <is>
          <t>6月</t>
        </is>
      </c>
      <c r="T2" s="2" t="inlineStr">
        <is>
          <t>7月</t>
        </is>
      </c>
      <c r="W2" s="2" t="inlineStr">
        <is>
          <t>8月</t>
        </is>
      </c>
      <c r="Z2" s="2" t="inlineStr">
        <is>
          <t>9月</t>
        </is>
      </c>
      <c r="AC2" s="2" t="inlineStr">
        <is>
          <t>10月</t>
        </is>
      </c>
      <c r="AF2" s="2" t="inlineStr">
        <is>
          <t>11月</t>
        </is>
      </c>
      <c r="AI2" s="2" t="inlineStr">
        <is>
          <t>12月</t>
        </is>
      </c>
    </row>
    <row r="3">
      <c r="A3" s="4" t="n"/>
      <c r="B3" s="2" t="inlineStr">
        <is>
          <t>预算收入</t>
        </is>
      </c>
      <c r="C3" s="2" t="inlineStr">
        <is>
          <t>24年同期实际</t>
        </is>
      </c>
      <c r="D3" s="2" t="inlineStr">
        <is>
          <t>实际收入</t>
        </is>
      </c>
      <c r="E3" s="2" t="inlineStr">
        <is>
          <t>预算收入</t>
        </is>
      </c>
      <c r="F3" s="2" t="inlineStr">
        <is>
          <t>24年同期实际</t>
        </is>
      </c>
      <c r="G3" s="2" t="inlineStr">
        <is>
          <t>实际收入</t>
        </is>
      </c>
      <c r="H3" s="2" t="inlineStr">
        <is>
          <t>预算收入</t>
        </is>
      </c>
      <c r="I3" s="2" t="inlineStr">
        <is>
          <t>24年同期实际</t>
        </is>
      </c>
      <c r="J3" s="2" t="inlineStr">
        <is>
          <t>实际收入</t>
        </is>
      </c>
      <c r="K3" s="2" t="inlineStr">
        <is>
          <t>预算收入</t>
        </is>
      </c>
      <c r="L3" s="2" t="inlineStr">
        <is>
          <t>24年同期实际</t>
        </is>
      </c>
      <c r="M3" s="2" t="inlineStr">
        <is>
          <t>实际收入</t>
        </is>
      </c>
      <c r="N3" s="2" t="inlineStr">
        <is>
          <t>预算收入</t>
        </is>
      </c>
      <c r="O3" s="2" t="inlineStr">
        <is>
          <t>24年同期实际</t>
        </is>
      </c>
      <c r="P3" s="2" t="inlineStr">
        <is>
          <t>实际收入</t>
        </is>
      </c>
      <c r="Q3" s="2" t="inlineStr">
        <is>
          <t>预算收入</t>
        </is>
      </c>
      <c r="R3" s="2" t="inlineStr">
        <is>
          <t>24年同期实际</t>
        </is>
      </c>
      <c r="S3" s="2" t="inlineStr">
        <is>
          <t>实际收入</t>
        </is>
      </c>
      <c r="T3" s="2" t="inlineStr">
        <is>
          <t>预算收入</t>
        </is>
      </c>
      <c r="U3" s="2" t="inlineStr">
        <is>
          <t>24年同期实际</t>
        </is>
      </c>
      <c r="V3" s="2" t="inlineStr">
        <is>
          <t>实际收入</t>
        </is>
      </c>
      <c r="W3" s="2" t="inlineStr">
        <is>
          <t>预算收入</t>
        </is>
      </c>
      <c r="X3" s="2" t="inlineStr">
        <is>
          <t>24年同期实际</t>
        </is>
      </c>
      <c r="Y3" s="2" t="inlineStr">
        <is>
          <t>实际收入</t>
        </is>
      </c>
      <c r="Z3" s="2" t="inlineStr">
        <is>
          <t>预算收入</t>
        </is>
      </c>
      <c r="AA3" s="2" t="inlineStr">
        <is>
          <t>24年同期实际</t>
        </is>
      </c>
      <c r="AB3" s="2" t="inlineStr">
        <is>
          <t>实际收入</t>
        </is>
      </c>
      <c r="AC3" s="2" t="inlineStr">
        <is>
          <t>预算收入</t>
        </is>
      </c>
      <c r="AD3" s="2" t="inlineStr">
        <is>
          <t>24年同期实际</t>
        </is>
      </c>
      <c r="AE3" s="2" t="inlineStr">
        <is>
          <t>实际收入</t>
        </is>
      </c>
      <c r="AF3" s="2" t="inlineStr">
        <is>
          <t>预算收入</t>
        </is>
      </c>
      <c r="AG3" s="2" t="inlineStr">
        <is>
          <t>24年同期实际</t>
        </is>
      </c>
      <c r="AH3" s="2" t="inlineStr">
        <is>
          <t>实际收入</t>
        </is>
      </c>
      <c r="AI3" s="2" t="inlineStr">
        <is>
          <t>预算收入</t>
        </is>
      </c>
      <c r="AJ3" s="2" t="inlineStr">
        <is>
          <t>24年同期实际</t>
        </is>
      </c>
      <c r="AK3" s="2" t="inlineStr">
        <is>
          <t>实际收入</t>
        </is>
      </c>
    </row>
    <row r="4">
      <c r="A4" s="6" t="inlineStr">
        <is>
          <t>江苏区域</t>
        </is>
      </c>
      <c r="B4" s="7" t="n">
        <v>5867837.3</v>
      </c>
      <c r="C4" s="7" t="n">
        <v>2362215.7</v>
      </c>
      <c r="D4" s="7" t="n">
        <v>3508820.8</v>
      </c>
      <c r="E4" s="7" t="n">
        <v>5253563.8</v>
      </c>
      <c r="F4" s="7" t="n">
        <v>2762602</v>
      </c>
      <c r="G4" s="7" t="n">
        <v>3954280.1</v>
      </c>
      <c r="H4" s="7" t="n">
        <v>5236590.7</v>
      </c>
      <c r="I4" s="7" t="n">
        <v>4337926.4</v>
      </c>
      <c r="J4" s="7" t="n">
        <v>4813502.899999999</v>
      </c>
      <c r="K4" s="7" t="n">
        <v>4980683.2</v>
      </c>
      <c r="L4" s="7" t="n">
        <v>6112083.6</v>
      </c>
      <c r="M4" s="7" t="n">
        <v>6236135</v>
      </c>
      <c r="N4" s="7" t="n">
        <v>5941226</v>
      </c>
      <c r="O4" s="7" t="n">
        <v>6137026.9</v>
      </c>
      <c r="P4" s="7" t="n">
        <v>6614925.499999999</v>
      </c>
      <c r="Q4" s="7" t="n">
        <v>5251552.3</v>
      </c>
      <c r="R4" s="7" t="n">
        <v>4870932.9</v>
      </c>
      <c r="S4" s="7" t="n">
        <v>7073952.2</v>
      </c>
      <c r="T4" s="7" t="n">
        <v>6411657.4</v>
      </c>
      <c r="U4" s="7" t="n">
        <v>7523357.1</v>
      </c>
      <c r="V4" s="7" t="n">
        <v>7626899.5</v>
      </c>
      <c r="W4" s="7" t="n">
        <v>6333140.5</v>
      </c>
      <c r="X4" s="7" t="n">
        <v>5253289</v>
      </c>
      <c r="Y4" s="7" t="n">
        <v>6201801.8</v>
      </c>
      <c r="Z4" s="7" t="n">
        <v>4980450.4</v>
      </c>
      <c r="AA4" s="7" t="n">
        <v>5757894</v>
      </c>
      <c r="AB4" s="7" t="n">
        <v>5892098.899999999</v>
      </c>
      <c r="AC4" s="7" t="n">
        <v>5267094.4</v>
      </c>
      <c r="AD4" s="7" t="n">
        <v>6849643.7</v>
      </c>
      <c r="AE4" s="7" t="n">
        <v>6989870.5</v>
      </c>
      <c r="AF4" s="7" t="n">
        <v>6006178.2</v>
      </c>
      <c r="AG4" s="7" t="n">
        <v>4581316.3</v>
      </c>
      <c r="AH4" s="7" t="n">
        <v>5556797.5</v>
      </c>
      <c r="AI4" s="7" t="n">
        <v>5226334.5</v>
      </c>
      <c r="AJ4" s="7" t="n">
        <v>4383889.4</v>
      </c>
      <c r="AK4" s="7" t="n">
        <v>4127656.3</v>
      </c>
    </row>
    <row r="5">
      <c r="A5" s="6" t="inlineStr">
        <is>
          <t>浙江区域</t>
        </is>
      </c>
      <c r="B5" s="7" t="n">
        <v>11045190.8</v>
      </c>
      <c r="C5" s="7" t="n">
        <v>5732655.6</v>
      </c>
      <c r="D5" s="7" t="n">
        <v>6497798</v>
      </c>
      <c r="E5" s="7" t="n">
        <v>9756843.1</v>
      </c>
      <c r="F5" s="7" t="n">
        <v>5997765.5</v>
      </c>
      <c r="G5" s="7" t="n">
        <v>6536011.5</v>
      </c>
      <c r="H5" s="7" t="n">
        <v>10923829.1</v>
      </c>
      <c r="I5" s="7" t="n">
        <v>7716845.5</v>
      </c>
      <c r="J5" s="7" t="n">
        <v>8459033.6</v>
      </c>
      <c r="K5" s="7" t="n">
        <v>8538163.300000001</v>
      </c>
      <c r="L5" s="7" t="n">
        <v>10205646.9</v>
      </c>
      <c r="M5" s="7" t="n">
        <v>9888010</v>
      </c>
      <c r="N5" s="7" t="n">
        <v>11014065.8</v>
      </c>
      <c r="O5" s="7" t="n">
        <v>9770141.6</v>
      </c>
      <c r="P5" s="7" t="n">
        <v>10694011.1</v>
      </c>
      <c r="Q5" s="7" t="n">
        <v>8721240.199999999</v>
      </c>
      <c r="R5" s="7" t="n">
        <v>7763944.6</v>
      </c>
      <c r="S5" s="7" t="n">
        <v>11493988.8</v>
      </c>
      <c r="T5" s="7" t="n">
        <v>10991288.2</v>
      </c>
      <c r="U5" s="7" t="n">
        <v>8351513.7</v>
      </c>
      <c r="V5" s="7" t="n">
        <v>13169761.4</v>
      </c>
      <c r="W5" s="7" t="n">
        <v>8972863.1</v>
      </c>
      <c r="X5" s="7" t="n">
        <v>9827844.4</v>
      </c>
      <c r="Y5" s="7" t="n">
        <v>11969061.2</v>
      </c>
      <c r="Z5" s="7" t="n">
        <v>8518070.199999999</v>
      </c>
      <c r="AA5" s="7" t="n">
        <v>7303992.4</v>
      </c>
      <c r="AB5" s="7" t="n">
        <v>9720379.4</v>
      </c>
      <c r="AC5" s="7" t="n">
        <v>9462500.300000001</v>
      </c>
      <c r="AD5" s="7" t="n">
        <v>8091780</v>
      </c>
      <c r="AE5" s="7" t="n">
        <v>10974333.1</v>
      </c>
      <c r="AF5" s="7" t="n">
        <v>10313750.6</v>
      </c>
      <c r="AG5" s="7" t="n">
        <v>6064891</v>
      </c>
      <c r="AH5" s="7" t="n">
        <v>9656146.5</v>
      </c>
      <c r="AI5" s="7" t="n">
        <v>9112462.4</v>
      </c>
      <c r="AJ5" s="7" t="n">
        <v>5775229.4</v>
      </c>
      <c r="AK5" s="7" t="n">
        <v>6765190.2</v>
      </c>
    </row>
    <row r="6">
      <c r="A6" s="6" t="inlineStr">
        <is>
          <t>广东区域</t>
        </is>
      </c>
      <c r="B6" s="7" t="n">
        <v>2661127.3</v>
      </c>
      <c r="C6" s="7" t="n">
        <v>1436146.5</v>
      </c>
      <c r="D6" s="7" t="n">
        <v>1901667.2</v>
      </c>
      <c r="E6" s="7" t="n">
        <v>2927591.5</v>
      </c>
      <c r="F6" s="7" t="n">
        <v>1843051.8</v>
      </c>
      <c r="G6" s="7" t="n">
        <v>2231413.9</v>
      </c>
      <c r="H6" s="7" t="n">
        <v>3267691.3</v>
      </c>
      <c r="I6" s="7" t="n">
        <v>1756198</v>
      </c>
      <c r="J6" s="7" t="n">
        <v>2794513.4</v>
      </c>
      <c r="K6" s="7" t="n">
        <v>3529079.7</v>
      </c>
      <c r="L6" s="7" t="n">
        <v>3110947.9</v>
      </c>
      <c r="M6" s="7" t="n">
        <v>3062413.8</v>
      </c>
      <c r="N6" s="7" t="n">
        <v>3006426.4</v>
      </c>
      <c r="O6" s="7" t="n">
        <v>2273039.3</v>
      </c>
      <c r="P6" s="7" t="n">
        <v>3560717.7</v>
      </c>
      <c r="Q6" s="7" t="n">
        <v>3302751.6</v>
      </c>
      <c r="R6" s="7" t="n">
        <v>4215442.5</v>
      </c>
      <c r="S6" s="7" t="n">
        <v>4084236.3</v>
      </c>
      <c r="T6" s="7" t="n">
        <v>2707962.6</v>
      </c>
      <c r="U6" s="7" t="n">
        <v>4541682.8</v>
      </c>
      <c r="V6" s="7" t="n">
        <v>4419498.3</v>
      </c>
      <c r="W6" s="7" t="n">
        <v>3280040.2</v>
      </c>
      <c r="X6" s="7" t="n">
        <v>3006024.6</v>
      </c>
      <c r="Y6" s="7" t="n">
        <v>3312408.5</v>
      </c>
      <c r="Z6" s="7" t="n">
        <v>3221054.4</v>
      </c>
      <c r="AA6" s="7" t="n">
        <v>2628838.3</v>
      </c>
      <c r="AB6" s="7" t="n">
        <v>3079945.9</v>
      </c>
      <c r="AC6" s="7" t="n">
        <v>2732074.4</v>
      </c>
      <c r="AD6" s="7" t="n">
        <v>3090372.5</v>
      </c>
      <c r="AE6" s="7" t="n">
        <v>3717268.1</v>
      </c>
      <c r="AF6" s="7" t="n">
        <v>3356240.3</v>
      </c>
      <c r="AG6" s="7" t="n">
        <v>2544071</v>
      </c>
      <c r="AH6" s="7" t="n">
        <v>2900356</v>
      </c>
      <c r="AI6" s="7" t="n">
        <v>3428666.9</v>
      </c>
      <c r="AJ6" s="7" t="n">
        <v>2158123.6</v>
      </c>
      <c r="AK6" s="7" t="n">
        <v>2166989</v>
      </c>
    </row>
    <row r="7">
      <c r="A7" s="6" t="inlineStr">
        <is>
          <t>华中区域</t>
        </is>
      </c>
      <c r="B7" s="7" t="n">
        <v>9038651.6</v>
      </c>
      <c r="C7" s="7" t="n">
        <v>5768815.1</v>
      </c>
      <c r="D7" s="7" t="n">
        <v>5504918.2</v>
      </c>
      <c r="E7" s="7" t="n">
        <v>7950000.3</v>
      </c>
      <c r="F7" s="7" t="n">
        <v>4565874.3</v>
      </c>
      <c r="G7" s="7" t="n">
        <v>5535286.5</v>
      </c>
      <c r="H7" s="7" t="n">
        <v>8647849.699999999</v>
      </c>
      <c r="I7" s="7" t="n">
        <v>8338172.6</v>
      </c>
      <c r="J7" s="7" t="n">
        <v>8297449.1</v>
      </c>
      <c r="K7" s="7" t="n">
        <v>8608018.699999999</v>
      </c>
      <c r="L7" s="7" t="n">
        <v>8584773.300000001</v>
      </c>
      <c r="M7" s="7" t="n">
        <v>9271627.299999999</v>
      </c>
      <c r="N7" s="7" t="n">
        <v>9523624.9</v>
      </c>
      <c r="O7" s="7" t="n">
        <v>7761796.8</v>
      </c>
      <c r="P7" s="7" t="n">
        <v>10202642.5</v>
      </c>
      <c r="Q7" s="7" t="n">
        <v>10033585</v>
      </c>
      <c r="R7" s="7" t="n">
        <v>9458558.800000001</v>
      </c>
      <c r="S7" s="7" t="n">
        <v>11289561.9</v>
      </c>
      <c r="T7" s="7" t="n">
        <v>8598491.6</v>
      </c>
      <c r="U7" s="7" t="n">
        <v>8349836.3</v>
      </c>
      <c r="V7" s="7" t="n">
        <v>12362242.8</v>
      </c>
      <c r="W7" s="7" t="n">
        <v>9587615.199999999</v>
      </c>
      <c r="X7" s="7" t="n">
        <v>6406544.9</v>
      </c>
      <c r="Y7" s="7" t="n">
        <v>10154019.2</v>
      </c>
      <c r="Z7" s="7" t="n">
        <v>8485447</v>
      </c>
      <c r="AA7" s="7" t="n">
        <v>6420124.2</v>
      </c>
      <c r="AB7" s="7" t="n">
        <v>9850579.099999998</v>
      </c>
      <c r="AC7" s="7" t="n">
        <v>10271332.5</v>
      </c>
      <c r="AD7" s="7" t="n">
        <v>12341937.3</v>
      </c>
      <c r="AE7" s="7" t="n">
        <v>11759115.4</v>
      </c>
      <c r="AF7" s="7" t="n">
        <v>9913523.800000001</v>
      </c>
      <c r="AG7" s="7" t="n">
        <v>6443487.2</v>
      </c>
      <c r="AH7" s="7" t="n">
        <v>8349526.399999999</v>
      </c>
      <c r="AI7" s="7" t="n">
        <v>9197323.5</v>
      </c>
      <c r="AJ7" s="7" t="n">
        <v>5892986.7</v>
      </c>
      <c r="AK7" s="7" t="n">
        <v>6156755.8</v>
      </c>
    </row>
    <row r="8">
      <c r="A8" s="6" t="inlineStr">
        <is>
          <t>华东事总监费用</t>
        </is>
      </c>
      <c r="B8" s="7" t="n">
        <v>0</v>
      </c>
      <c r="C8" s="7" t="n">
        <v>34259.5</v>
      </c>
      <c r="D8" s="7" t="n">
        <v>40197.7</v>
      </c>
      <c r="E8" s="7" t="n">
        <v>0</v>
      </c>
      <c r="F8" s="7" t="n">
        <v>9987.200000000001</v>
      </c>
      <c r="G8" s="7" t="n">
        <v>14552.7</v>
      </c>
      <c r="H8" s="7" t="n">
        <v>0</v>
      </c>
      <c r="I8" s="7" t="n">
        <v>19686.8</v>
      </c>
      <c r="J8" s="7" t="n">
        <v>27196.5</v>
      </c>
      <c r="K8" s="7" t="n">
        <v>0</v>
      </c>
      <c r="L8" s="7" t="n">
        <v>17466.6</v>
      </c>
      <c r="M8" s="7" t="n">
        <v>21329.9</v>
      </c>
      <c r="N8" s="7" t="n">
        <v>0</v>
      </c>
      <c r="O8" s="7" t="n">
        <v>30443.7</v>
      </c>
      <c r="P8" s="7" t="n">
        <v>37139.5</v>
      </c>
      <c r="Q8" s="7" t="n">
        <v>0</v>
      </c>
      <c r="R8" s="7" t="n">
        <v>25380.6</v>
      </c>
      <c r="S8" s="7" t="n">
        <v>29465.3</v>
      </c>
      <c r="T8" s="7" t="n">
        <v>0</v>
      </c>
      <c r="U8" s="7" t="n">
        <v>24923</v>
      </c>
      <c r="V8" s="7" t="n">
        <v>36685.3</v>
      </c>
      <c r="W8" s="7" t="n">
        <v>0</v>
      </c>
      <c r="X8" s="7" t="n">
        <v>9293</v>
      </c>
      <c r="Y8" s="7" t="n">
        <v>11816.7</v>
      </c>
      <c r="Z8" s="7" t="n">
        <v>0</v>
      </c>
      <c r="AA8" s="7" t="n">
        <v>19137.1</v>
      </c>
      <c r="AB8" s="7" t="n">
        <v>25810.5</v>
      </c>
      <c r="AC8" s="7" t="n">
        <v>0</v>
      </c>
      <c r="AD8" s="7" t="n">
        <v>27327.4</v>
      </c>
      <c r="AE8" s="7" t="n">
        <v>33973</v>
      </c>
      <c r="AF8" s="7" t="n">
        <v>0</v>
      </c>
      <c r="AG8" s="7" t="n">
        <v>7928.4</v>
      </c>
      <c r="AH8" s="7" t="n">
        <v>10307.5</v>
      </c>
      <c r="AI8" s="7" t="n">
        <v>0</v>
      </c>
      <c r="AJ8" s="7" t="n">
        <v>19827.8</v>
      </c>
      <c r="AK8" s="7" t="n">
        <v>22056.8</v>
      </c>
    </row>
    <row r="9">
      <c r="A9" s="6" t="inlineStr">
        <is>
          <t>合计</t>
        </is>
      </c>
      <c r="B9" s="8" t="n">
        <v>28612807</v>
      </c>
      <c r="C9" s="8" t="n">
        <v>15334092.4</v>
      </c>
      <c r="D9" s="8" t="n">
        <v>17453401.9</v>
      </c>
      <c r="E9" s="8" t="n">
        <v>25887998.7</v>
      </c>
      <c r="F9" s="8" t="n">
        <v>15179280.8</v>
      </c>
      <c r="G9" s="8" t="n">
        <v>18271544.7</v>
      </c>
      <c r="H9" s="8" t="n">
        <v>28075960.8</v>
      </c>
      <c r="I9" s="8" t="n">
        <v>22168829.3</v>
      </c>
      <c r="J9" s="8" t="n">
        <v>24391695.5</v>
      </c>
      <c r="K9" s="8" t="n">
        <v>25655944.9</v>
      </c>
      <c r="L9" s="8" t="n">
        <v>28030918.3</v>
      </c>
      <c r="M9" s="8" t="n">
        <v>28479516</v>
      </c>
      <c r="N9" s="8" t="n">
        <v>29485343.1</v>
      </c>
      <c r="O9" s="8" t="n">
        <v>25972448.3</v>
      </c>
      <c r="P9" s="8" t="n">
        <v>31109436.3</v>
      </c>
      <c r="Q9" s="8" t="n">
        <v>27309129.1</v>
      </c>
      <c r="R9" s="8" t="n">
        <v>26334259.4</v>
      </c>
      <c r="S9" s="8" t="n">
        <v>33971204.5</v>
      </c>
      <c r="T9" s="8" t="n">
        <v>28709399.8</v>
      </c>
      <c r="U9" s="8" t="n">
        <v>28791312.9</v>
      </c>
      <c r="V9" s="8" t="n">
        <v>37615087.3</v>
      </c>
      <c r="W9" s="8" t="n">
        <v>28173659</v>
      </c>
      <c r="X9" s="8" t="n">
        <v>24502995.9</v>
      </c>
      <c r="Y9" s="8" t="n">
        <v>31649107.4</v>
      </c>
      <c r="Z9" s="8" t="n">
        <v>25205022</v>
      </c>
      <c r="AA9" s="8" t="n">
        <v>22129986</v>
      </c>
      <c r="AB9" s="8" t="n">
        <v>28568813.8</v>
      </c>
      <c r="AC9" s="8" t="n">
        <v>27733001.6</v>
      </c>
      <c r="AD9" s="8" t="n">
        <v>30401060.9</v>
      </c>
      <c r="AE9" s="8" t="n">
        <v>33474560.1</v>
      </c>
      <c r="AF9" s="8" t="n">
        <v>29589692.9</v>
      </c>
      <c r="AG9" s="8" t="n">
        <v>19641693.9</v>
      </c>
      <c r="AH9" s="8" t="n">
        <v>26473133.9</v>
      </c>
      <c r="AI9" s="8" t="n">
        <v>26964787.3</v>
      </c>
      <c r="AJ9" s="8" t="n">
        <v>18230056.9</v>
      </c>
      <c r="AK9" s="8" t="n">
        <v>19238648.1</v>
      </c>
    </row>
    <row r="11">
      <c r="A11" s="2" t="inlineStr">
        <is>
          <t>区域</t>
        </is>
      </c>
      <c r="B11" s="2" t="inlineStr">
        <is>
          <t>1月</t>
        </is>
      </c>
      <c r="E11" s="2" t="inlineStr">
        <is>
          <t>2月</t>
        </is>
      </c>
      <c r="H11" s="2" t="inlineStr">
        <is>
          <t>3月</t>
        </is>
      </c>
      <c r="K11" s="2" t="inlineStr">
        <is>
          <t>4月</t>
        </is>
      </c>
      <c r="N11" s="2" t="inlineStr">
        <is>
          <t>5月</t>
        </is>
      </c>
      <c r="Q11" s="2" t="inlineStr">
        <is>
          <t>6月</t>
        </is>
      </c>
      <c r="T11" s="2" t="inlineStr">
        <is>
          <t>7月</t>
        </is>
      </c>
      <c r="W11" s="2" t="inlineStr">
        <is>
          <t>8月</t>
        </is>
      </c>
      <c r="Z11" s="2" t="inlineStr">
        <is>
          <t>9月</t>
        </is>
      </c>
      <c r="AC11" s="2" t="inlineStr">
        <is>
          <t>10月</t>
        </is>
      </c>
      <c r="AF11" s="2" t="inlineStr">
        <is>
          <t>11月</t>
        </is>
      </c>
      <c r="AI11" s="2" t="inlineStr">
        <is>
          <t>12月</t>
        </is>
      </c>
    </row>
    <row r="12">
      <c r="A12" s="4" t="n"/>
      <c r="B12" s="2" t="inlineStr">
        <is>
          <t>预算净利</t>
        </is>
      </c>
      <c r="C12" s="2" t="inlineStr">
        <is>
          <t>24年同期实际</t>
        </is>
      </c>
      <c r="D12" s="2" t="inlineStr">
        <is>
          <t>实际净利</t>
        </is>
      </c>
      <c r="E12" s="2" t="inlineStr">
        <is>
          <t>预算净利</t>
        </is>
      </c>
      <c r="F12" s="2" t="inlineStr">
        <is>
          <t>24年同期实际</t>
        </is>
      </c>
      <c r="G12" s="2" t="inlineStr">
        <is>
          <t>实际净利</t>
        </is>
      </c>
      <c r="H12" s="2" t="inlineStr">
        <is>
          <t>预算净利</t>
        </is>
      </c>
      <c r="I12" s="2" t="inlineStr">
        <is>
          <t>24年同期实际</t>
        </is>
      </c>
      <c r="J12" s="2" t="inlineStr">
        <is>
          <t>实际净利</t>
        </is>
      </c>
      <c r="K12" s="2" t="inlineStr">
        <is>
          <t>预算净利</t>
        </is>
      </c>
      <c r="L12" s="2" t="inlineStr">
        <is>
          <t>24年同期实际</t>
        </is>
      </c>
      <c r="M12" s="2" t="inlineStr">
        <is>
          <t>实际净利</t>
        </is>
      </c>
      <c r="N12" s="2" t="inlineStr">
        <is>
          <t>预算净利</t>
        </is>
      </c>
      <c r="O12" s="2" t="inlineStr">
        <is>
          <t>24年同期实际</t>
        </is>
      </c>
      <c r="P12" s="2" t="inlineStr">
        <is>
          <t>实际净利</t>
        </is>
      </c>
      <c r="Q12" s="2" t="inlineStr">
        <is>
          <t>预算净利</t>
        </is>
      </c>
      <c r="R12" s="2" t="inlineStr">
        <is>
          <t>24年同期实际</t>
        </is>
      </c>
      <c r="S12" s="2" t="inlineStr">
        <is>
          <t>实际净利</t>
        </is>
      </c>
      <c r="T12" s="2" t="inlineStr">
        <is>
          <t>预算净利</t>
        </is>
      </c>
      <c r="U12" s="2" t="inlineStr">
        <is>
          <t>24年同期实际</t>
        </is>
      </c>
      <c r="V12" s="2" t="inlineStr">
        <is>
          <t>实际净利</t>
        </is>
      </c>
      <c r="W12" s="2" t="inlineStr">
        <is>
          <t>预算净利</t>
        </is>
      </c>
      <c r="X12" s="2" t="inlineStr">
        <is>
          <t>24年同期实际</t>
        </is>
      </c>
      <c r="Y12" s="2" t="inlineStr">
        <is>
          <t>实际净利</t>
        </is>
      </c>
      <c r="Z12" s="2" t="inlineStr">
        <is>
          <t>预算净利</t>
        </is>
      </c>
      <c r="AA12" s="2" t="inlineStr">
        <is>
          <t>24年同期实际</t>
        </is>
      </c>
      <c r="AB12" s="2" t="inlineStr">
        <is>
          <t>实际净利</t>
        </is>
      </c>
      <c r="AC12" s="2" t="inlineStr">
        <is>
          <t>预算净利</t>
        </is>
      </c>
      <c r="AD12" s="2" t="inlineStr">
        <is>
          <t>24年同期实际</t>
        </is>
      </c>
      <c r="AE12" s="2" t="inlineStr">
        <is>
          <t>实际净利</t>
        </is>
      </c>
      <c r="AF12" s="2" t="inlineStr">
        <is>
          <t>预算净利</t>
        </is>
      </c>
      <c r="AG12" s="2" t="inlineStr">
        <is>
          <t>24年同期实际</t>
        </is>
      </c>
      <c r="AH12" s="2" t="inlineStr">
        <is>
          <t>实际净利</t>
        </is>
      </c>
      <c r="AI12" s="2" t="inlineStr">
        <is>
          <t>预算净利</t>
        </is>
      </c>
      <c r="AJ12" s="2" t="inlineStr">
        <is>
          <t>24年同期实际</t>
        </is>
      </c>
      <c r="AK12" s="2" t="inlineStr">
        <is>
          <t>实际净利</t>
        </is>
      </c>
    </row>
    <row r="13">
      <c r="A13" s="6" t="inlineStr">
        <is>
          <t>江苏区域</t>
        </is>
      </c>
      <c r="B13" s="7" t="n">
        <v>438296.5</v>
      </c>
      <c r="C13" s="7" t="n">
        <v>150326.8</v>
      </c>
      <c r="D13" s="7" t="n">
        <v>116602.3</v>
      </c>
      <c r="E13" s="7" t="n">
        <v>512329.4</v>
      </c>
      <c r="F13" s="7" t="n">
        <v>515156.3</v>
      </c>
      <c r="G13" s="7" t="n">
        <v>449014.1</v>
      </c>
      <c r="H13" s="7" t="n">
        <v>301343.9</v>
      </c>
      <c r="I13" s="7" t="n">
        <v>210033.5</v>
      </c>
      <c r="J13" s="7" t="n">
        <v>371141.8</v>
      </c>
      <c r="K13" s="7" t="n">
        <v>373805.3</v>
      </c>
      <c r="L13" s="7" t="n">
        <v>249387.3</v>
      </c>
      <c r="M13" s="7" t="n">
        <v>419486.7</v>
      </c>
      <c r="N13" s="7" t="n">
        <v>358722.8</v>
      </c>
      <c r="O13" s="7" t="n">
        <v>767500.1</v>
      </c>
      <c r="P13" s="7" t="n">
        <v>651318.4</v>
      </c>
      <c r="Q13" s="7" t="n">
        <v>483151.6</v>
      </c>
      <c r="R13" s="7" t="n">
        <v>558860.5</v>
      </c>
      <c r="S13" s="7" t="n">
        <v>712698.6</v>
      </c>
      <c r="T13" s="7" t="n">
        <v>337130.8</v>
      </c>
      <c r="U13" s="7" t="n">
        <v>364381</v>
      </c>
      <c r="V13" s="7" t="n">
        <v>297761.7</v>
      </c>
      <c r="W13" s="7" t="n">
        <v>323208.6</v>
      </c>
      <c r="X13" s="7" t="n">
        <v>212982</v>
      </c>
      <c r="Y13" s="7" t="n">
        <v>184150.6</v>
      </c>
      <c r="Z13" s="7" t="n">
        <v>384760.7</v>
      </c>
      <c r="AA13" s="7" t="n">
        <v>522908.6</v>
      </c>
      <c r="AB13" s="7" t="n">
        <v>371821.6</v>
      </c>
      <c r="AC13" s="7" t="n">
        <v>378393.2</v>
      </c>
      <c r="AD13" s="7" t="n">
        <v>598576.1</v>
      </c>
      <c r="AE13" s="7" t="n">
        <v>435873.4</v>
      </c>
      <c r="AF13" s="7" t="n">
        <v>344250.3</v>
      </c>
      <c r="AG13" s="7" t="n">
        <v>308887.4</v>
      </c>
      <c r="AH13" s="7" t="n">
        <v>370652.1</v>
      </c>
      <c r="AI13" s="7" t="n">
        <v>337404.7</v>
      </c>
      <c r="AJ13" s="7" t="n">
        <v>415220.4</v>
      </c>
      <c r="AK13" s="7" t="n">
        <v>383490.6</v>
      </c>
    </row>
    <row r="14">
      <c r="A14" s="6" t="inlineStr">
        <is>
          <t>浙江区域</t>
        </is>
      </c>
      <c r="B14" s="7" t="n">
        <v>659873.8</v>
      </c>
      <c r="C14" s="7" t="n">
        <v>336017.5</v>
      </c>
      <c r="D14" s="7" t="n">
        <v>523858.2</v>
      </c>
      <c r="E14" s="7" t="n">
        <v>533041.3</v>
      </c>
      <c r="F14" s="7" t="n">
        <v>395155.5</v>
      </c>
      <c r="G14" s="7" t="n">
        <v>464986.9</v>
      </c>
      <c r="H14" s="7" t="n">
        <v>789192.7</v>
      </c>
      <c r="I14" s="7" t="n">
        <v>726537.4</v>
      </c>
      <c r="J14" s="7" t="n">
        <v>495018.8</v>
      </c>
      <c r="K14" s="7" t="n">
        <v>645209.2</v>
      </c>
      <c r="L14" s="7" t="n">
        <v>920302</v>
      </c>
      <c r="M14" s="7" t="n">
        <v>767891</v>
      </c>
      <c r="N14" s="7" t="n">
        <v>638190</v>
      </c>
      <c r="O14" s="7" t="n">
        <v>433742</v>
      </c>
      <c r="P14" s="7" t="n">
        <v>486280.8</v>
      </c>
      <c r="Q14" s="7" t="n">
        <v>868408.2</v>
      </c>
      <c r="R14" s="7" t="n">
        <v>1143832.8</v>
      </c>
      <c r="S14" s="7" t="n">
        <v>1044556.8</v>
      </c>
      <c r="T14" s="7" t="n">
        <v>813122.6</v>
      </c>
      <c r="U14" s="7" t="n">
        <v>381965.9</v>
      </c>
      <c r="V14" s="7" t="n">
        <v>265622.6</v>
      </c>
      <c r="W14" s="7" t="n">
        <v>632330.7</v>
      </c>
      <c r="X14" s="7" t="n">
        <v>1090675</v>
      </c>
      <c r="Y14" s="7" t="n">
        <v>1347207.8</v>
      </c>
      <c r="Z14" s="7" t="n">
        <v>636193.8</v>
      </c>
      <c r="AA14" s="7" t="n">
        <v>629283.4</v>
      </c>
      <c r="AB14" s="7" t="n">
        <v>717803.4</v>
      </c>
      <c r="AC14" s="7" t="n">
        <v>678913.4</v>
      </c>
      <c r="AD14" s="7" t="n">
        <v>1303303.8</v>
      </c>
      <c r="AE14" s="7" t="n">
        <v>1009013.1</v>
      </c>
      <c r="AF14" s="7" t="n">
        <v>676330.4</v>
      </c>
      <c r="AG14" s="7" t="n">
        <v>1194421.4</v>
      </c>
      <c r="AH14" s="7" t="n">
        <v>909560.8</v>
      </c>
      <c r="AI14" s="7" t="n">
        <v>630319</v>
      </c>
      <c r="AJ14" s="7" t="n">
        <v>689194.7</v>
      </c>
      <c r="AK14" s="7" t="n">
        <v>588996.7</v>
      </c>
    </row>
    <row r="15">
      <c r="A15" s="6" t="inlineStr">
        <is>
          <t>广东区域</t>
        </is>
      </c>
      <c r="B15" s="7" t="n">
        <v>288554.3</v>
      </c>
      <c r="C15" s="7" t="n">
        <v>202283.1</v>
      </c>
      <c r="D15" s="7" t="n">
        <v>152211.7</v>
      </c>
      <c r="E15" s="7" t="n">
        <v>244445.9</v>
      </c>
      <c r="F15" s="7" t="n">
        <v>88746.7</v>
      </c>
      <c r="G15" s="7" t="n">
        <v>71640.7</v>
      </c>
      <c r="H15" s="7" t="n">
        <v>270639.7</v>
      </c>
      <c r="I15" s="7" t="n">
        <v>392167</v>
      </c>
      <c r="J15" s="7" t="n">
        <v>330826.9</v>
      </c>
      <c r="K15" s="7" t="n">
        <v>254174</v>
      </c>
      <c r="L15" s="7" t="n">
        <v>308866</v>
      </c>
      <c r="M15" s="7" t="n">
        <v>300923.6</v>
      </c>
      <c r="N15" s="7" t="n">
        <v>217305.9</v>
      </c>
      <c r="O15" s="7" t="n">
        <v>223295.8</v>
      </c>
      <c r="P15" s="7" t="n">
        <v>194843.8</v>
      </c>
      <c r="Q15" s="7" t="n">
        <v>257766.5</v>
      </c>
      <c r="R15" s="7" t="n">
        <v>236987.1</v>
      </c>
      <c r="S15" s="7" t="n">
        <v>256644.4</v>
      </c>
      <c r="T15" s="7" t="n">
        <v>289189.9</v>
      </c>
      <c r="U15" s="7" t="n">
        <v>217321.8</v>
      </c>
      <c r="V15" s="7" t="n">
        <v>252163.7</v>
      </c>
      <c r="W15" s="7" t="n">
        <v>194871.4</v>
      </c>
      <c r="X15" s="7" t="n">
        <v>201712.5</v>
      </c>
      <c r="Y15" s="7" t="n">
        <v>233843.1</v>
      </c>
      <c r="Z15" s="7" t="n">
        <v>267858.2</v>
      </c>
      <c r="AA15" s="7" t="n">
        <v>113397.3</v>
      </c>
      <c r="AB15" s="7" t="n">
        <v>166696.3</v>
      </c>
      <c r="AC15" s="7" t="n">
        <v>231233.5</v>
      </c>
      <c r="AD15" s="7" t="n">
        <v>278646.1</v>
      </c>
      <c r="AE15" s="7" t="n">
        <v>390155.4</v>
      </c>
      <c r="AF15" s="7" t="n">
        <v>223817.7</v>
      </c>
      <c r="AG15" s="7" t="n">
        <v>429251.6</v>
      </c>
      <c r="AH15" s="7" t="n">
        <v>296512.4</v>
      </c>
      <c r="AI15" s="7" t="n">
        <v>217317.7</v>
      </c>
      <c r="AJ15" s="7" t="n">
        <v>65300.9</v>
      </c>
      <c r="AK15" s="7" t="n">
        <v>66209.89999999999</v>
      </c>
    </row>
    <row r="16">
      <c r="A16" s="6" t="inlineStr">
        <is>
          <t>华中区域</t>
        </is>
      </c>
      <c r="B16" s="7" t="n">
        <v>773988.2</v>
      </c>
      <c r="C16" s="7" t="n">
        <v>261901.5</v>
      </c>
      <c r="D16" s="7" t="n">
        <v>360476.3</v>
      </c>
      <c r="E16" s="7" t="n">
        <v>721251.1</v>
      </c>
      <c r="F16" s="7" t="n">
        <v>181578.6</v>
      </c>
      <c r="G16" s="7" t="n">
        <v>284800</v>
      </c>
      <c r="H16" s="7" t="n">
        <v>775415.9</v>
      </c>
      <c r="I16" s="7" t="n">
        <v>250595.7</v>
      </c>
      <c r="J16" s="7" t="n">
        <v>434183.8</v>
      </c>
      <c r="K16" s="7" t="n">
        <v>551470.3</v>
      </c>
      <c r="L16" s="7" t="n">
        <v>1458639.9</v>
      </c>
      <c r="M16" s="7" t="n">
        <v>1084951.7</v>
      </c>
      <c r="N16" s="7" t="n">
        <v>690587.5</v>
      </c>
      <c r="O16" s="7" t="n">
        <v>370554.1</v>
      </c>
      <c r="P16" s="7" t="n">
        <v>616418.2</v>
      </c>
      <c r="Q16" s="7" t="n">
        <v>842902.4</v>
      </c>
      <c r="R16" s="7" t="n">
        <v>1025275.5</v>
      </c>
      <c r="S16" s="7" t="n">
        <v>806747.9</v>
      </c>
      <c r="T16" s="7" t="n">
        <v>645872</v>
      </c>
      <c r="U16" s="7" t="n">
        <v>1960999.7</v>
      </c>
      <c r="V16" s="7" t="n">
        <v>1468781.8</v>
      </c>
      <c r="W16" s="7" t="n">
        <v>750567.4</v>
      </c>
      <c r="X16" s="7" t="n">
        <v>1205007.3</v>
      </c>
      <c r="Y16" s="7" t="n">
        <v>870870</v>
      </c>
      <c r="Z16" s="7" t="n">
        <v>518414.8</v>
      </c>
      <c r="AA16" s="7" t="n">
        <v>393361.1</v>
      </c>
      <c r="AB16" s="7" t="n">
        <v>731497.7</v>
      </c>
      <c r="AC16" s="7" t="n">
        <v>861204.2</v>
      </c>
      <c r="AD16" s="7" t="n">
        <v>603411.6</v>
      </c>
      <c r="AE16" s="7" t="n">
        <v>721124.9</v>
      </c>
      <c r="AF16" s="7" t="n">
        <v>714595.5</v>
      </c>
      <c r="AG16" s="7" t="n">
        <v>409793.7</v>
      </c>
      <c r="AH16" s="7" t="n">
        <v>323613.1</v>
      </c>
      <c r="AI16" s="7" t="n">
        <v>565854.1</v>
      </c>
      <c r="AJ16" s="7" t="n">
        <v>218263.3</v>
      </c>
      <c r="AK16" s="7" t="n">
        <v>345873.8</v>
      </c>
    </row>
    <row r="17">
      <c r="A17" s="6" t="inlineStr">
        <is>
          <t>华东事总监费用</t>
        </is>
      </c>
      <c r="B17" s="7" t="n">
        <v>-23635.8</v>
      </c>
      <c r="C17" s="7" t="n">
        <v>-35242.1</v>
      </c>
      <c r="D17" s="7" t="n">
        <v>-40197.7</v>
      </c>
      <c r="E17" s="7" t="n">
        <v>-23061.4</v>
      </c>
      <c r="F17" s="7" t="n">
        <v>-9637.5</v>
      </c>
      <c r="G17" s="7" t="n">
        <v>-14552.7</v>
      </c>
      <c r="H17" s="7" t="n">
        <v>-23979.6</v>
      </c>
      <c r="I17" s="7" t="n">
        <v>-36207.9</v>
      </c>
      <c r="J17" s="7" t="n">
        <v>-27196.5</v>
      </c>
      <c r="K17" s="7" t="n">
        <v>-24543.3</v>
      </c>
      <c r="L17" s="7" t="n">
        <v>-27112.4</v>
      </c>
      <c r="M17" s="7" t="n">
        <v>-21329.9</v>
      </c>
      <c r="N17" s="7" t="n">
        <v>-22056</v>
      </c>
      <c r="O17" s="7" t="n">
        <v>-48617.2</v>
      </c>
      <c r="P17" s="7" t="n">
        <v>-37139.5</v>
      </c>
      <c r="Q17" s="7" t="n">
        <v>-27795.3</v>
      </c>
      <c r="R17" s="7" t="n">
        <v>-19610.3</v>
      </c>
      <c r="S17" s="7" t="n">
        <v>-29465.3</v>
      </c>
      <c r="T17" s="7" t="n">
        <v>-23359.9</v>
      </c>
      <c r="U17" s="7" t="n">
        <v>-34398.8</v>
      </c>
      <c r="V17" s="7" t="n">
        <v>-36685.3</v>
      </c>
      <c r="W17" s="7" t="n">
        <v>-24947.6</v>
      </c>
      <c r="X17" s="7" t="n">
        <v>-10763.3</v>
      </c>
      <c r="Y17" s="7" t="n">
        <v>-11816.7</v>
      </c>
      <c r="Z17" s="7" t="n">
        <v>-27458.8</v>
      </c>
      <c r="AA17" s="7" t="n">
        <v>-30362.5</v>
      </c>
      <c r="AB17" s="7" t="n">
        <v>-25810.5</v>
      </c>
      <c r="AC17" s="7" t="n">
        <v>-25879.7</v>
      </c>
      <c r="AD17" s="7" t="n">
        <v>-25056.1</v>
      </c>
      <c r="AE17" s="7" t="n">
        <v>-33973</v>
      </c>
      <c r="AF17" s="7" t="n">
        <v>-28465.5</v>
      </c>
      <c r="AG17" s="7" t="n">
        <v>-9732.299999999999</v>
      </c>
      <c r="AH17" s="7" t="n">
        <v>-10307.5</v>
      </c>
      <c r="AI17" s="7" t="n">
        <v>-28254.7</v>
      </c>
      <c r="AJ17" s="7" t="n">
        <v>-17313</v>
      </c>
      <c r="AK17" s="7" t="n">
        <v>-22056.8</v>
      </c>
    </row>
    <row r="18">
      <c r="A18" s="6" t="inlineStr">
        <is>
          <t>合计</t>
        </is>
      </c>
      <c r="B18" s="8" t="n">
        <v>2137077</v>
      </c>
      <c r="C18" s="8" t="n">
        <v>915286.8</v>
      </c>
      <c r="D18" s="8" t="n">
        <v>1112950.8</v>
      </c>
      <c r="E18" s="8" t="n">
        <v>1988006.3</v>
      </c>
      <c r="F18" s="8" t="n">
        <v>1170999.6</v>
      </c>
      <c r="G18" s="8" t="n">
        <v>1255889</v>
      </c>
      <c r="H18" s="8" t="n">
        <v>2112612.6</v>
      </c>
      <c r="I18" s="8" t="n">
        <v>1543125.7</v>
      </c>
      <c r="J18" s="8" t="n">
        <v>1603974.8</v>
      </c>
      <c r="K18" s="8" t="n">
        <v>1800115.5</v>
      </c>
      <c r="L18" s="8" t="n">
        <v>2910082.8</v>
      </c>
      <c r="M18" s="8" t="n">
        <v>2551923.1</v>
      </c>
      <c r="N18" s="8" t="n">
        <v>1882750.2</v>
      </c>
      <c r="O18" s="8" t="n">
        <v>1746474.8</v>
      </c>
      <c r="P18" s="8" t="n">
        <v>1911721.7</v>
      </c>
      <c r="Q18" s="8" t="n">
        <v>2424433.4</v>
      </c>
      <c r="R18" s="8" t="n">
        <v>2945345.6</v>
      </c>
      <c r="S18" s="8" t="n">
        <v>2791182.4</v>
      </c>
      <c r="T18" s="8" t="n">
        <v>2061955.4</v>
      </c>
      <c r="U18" s="8" t="n">
        <v>2890269.6</v>
      </c>
      <c r="V18" s="8" t="n">
        <v>2247644.5</v>
      </c>
      <c r="W18" s="8" t="n">
        <v>1876030.5</v>
      </c>
      <c r="X18" s="8" t="n">
        <v>2699613.5</v>
      </c>
      <c r="Y18" s="8" t="n">
        <v>2624254.8</v>
      </c>
      <c r="Z18" s="8" t="n">
        <v>1779768.7</v>
      </c>
      <c r="AA18" s="8" t="n">
        <v>1628587.9</v>
      </c>
      <c r="AB18" s="8" t="n">
        <v>1962008.5</v>
      </c>
      <c r="AC18" s="8" t="n">
        <v>2123864.6</v>
      </c>
      <c r="AD18" s="8" t="n">
        <v>2758881.5</v>
      </c>
      <c r="AE18" s="8" t="n">
        <v>2522193.8</v>
      </c>
      <c r="AF18" s="8" t="n">
        <v>1930528.4</v>
      </c>
      <c r="AG18" s="8" t="n">
        <v>2332621.8</v>
      </c>
      <c r="AH18" s="8" t="n">
        <v>1890030.9</v>
      </c>
      <c r="AI18" s="8" t="n">
        <v>1722640.8</v>
      </c>
      <c r="AJ18" s="8" t="n">
        <v>1370666.3</v>
      </c>
      <c r="AK18" s="8" t="n">
        <v>1362514.2</v>
      </c>
    </row>
    <row r="19">
      <c r="A19" t="inlineStr">
        <is>
          <t>备注：</t>
        </is>
      </c>
    </row>
    <row r="20">
      <c r="A20" t="inlineStr">
        <is>
          <t>本表收入为扣除返利后收入，利润为分红前利润</t>
        </is>
      </c>
    </row>
    <row r="21">
      <c r="A21" t="inlineStr">
        <is>
          <t>编制说明：</t>
        </is>
      </c>
    </row>
  </sheetData>
  <mergeCells count="25">
    <mergeCell ref="B11:D11"/>
    <mergeCell ref="N2:P2"/>
    <mergeCell ref="AI11:AK11"/>
    <mergeCell ref="H2:J2"/>
    <mergeCell ref="H11:J11"/>
    <mergeCell ref="T11:V11"/>
    <mergeCell ref="T2:V2"/>
    <mergeCell ref="Z2:AB2"/>
    <mergeCell ref="E2:G2"/>
    <mergeCell ref="K2:M2"/>
    <mergeCell ref="AF11:AH11"/>
    <mergeCell ref="E11:G11"/>
    <mergeCell ref="AF2:AH2"/>
    <mergeCell ref="A1:AL1"/>
    <mergeCell ref="B2:D2"/>
    <mergeCell ref="W11:Y11"/>
    <mergeCell ref="Q2:S2"/>
    <mergeCell ref="W2:Y2"/>
    <mergeCell ref="AI2:AK2"/>
    <mergeCell ref="Q11:S11"/>
    <mergeCell ref="AC11:AE11"/>
    <mergeCell ref="AC2:AE2"/>
    <mergeCell ref="N11:P11"/>
    <mergeCell ref="Z11:AB11"/>
    <mergeCell ref="K11:M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精密重工华东事业部利润表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23997632.3</v>
      </c>
      <c r="D6" s="7" t="n">
        <v>17111376.3</v>
      </c>
      <c r="E6" s="7" t="n">
        <v>30520178.4</v>
      </c>
      <c r="F6" s="7" t="n">
        <v>18103097.2</v>
      </c>
      <c r="G6" s="7" t="n">
        <v>23751716.1</v>
      </c>
      <c r="H6" s="7" t="n">
        <v>24331488.5</v>
      </c>
      <c r="I6" s="7" t="n">
        <v>23557113</v>
      </c>
      <c r="J6" s="7" t="n">
        <v>28462411.2</v>
      </c>
      <c r="K6" s="7" t="n">
        <v>31010785.1</v>
      </c>
      <c r="L6" s="7" t="n">
        <v>30756997.1</v>
      </c>
      <c r="M6" s="7" t="n">
        <v>30523033.4</v>
      </c>
      <c r="N6" s="7" t="n">
        <v>33377887.4</v>
      </c>
      <c r="O6" s="7" t="n">
        <v>28157878.3</v>
      </c>
      <c r="P6" s="7" t="n">
        <v>36762867.8</v>
      </c>
      <c r="Q6" s="7" t="n">
        <v>28138389.8</v>
      </c>
      <c r="R6" s="7" t="n">
        <v>31493871.4</v>
      </c>
      <c r="S6" s="7" t="n">
        <v>29262520.9</v>
      </c>
      <c r="T6" s="7" t="n">
        <v>28215893</v>
      </c>
      <c r="U6" s="7" t="n">
        <v>26852316.5</v>
      </c>
      <c r="V6" s="7" t="n">
        <v>32818659.7</v>
      </c>
      <c r="W6" s="7" t="n">
        <v>24353605.3</v>
      </c>
      <c r="X6" s="7" t="n">
        <v>26008147.3</v>
      </c>
      <c r="Y6" s="7" t="n">
        <v>23574582.3</v>
      </c>
      <c r="Z6" s="7" t="n">
        <v>19241234.8</v>
      </c>
      <c r="AA6" s="8" t="n">
        <v>323699751.4</v>
      </c>
      <c r="AB6" s="8" t="n">
        <v>326683931.7</v>
      </c>
    </row>
    <row r="7">
      <c r="A7" s="4" t="inlineStr">
        <is>
          <t>数控机床</t>
        </is>
      </c>
      <c r="D7" s="7" t="n">
        <v>2269155.4</v>
      </c>
      <c r="F7" s="7" t="n">
        <v>2114815</v>
      </c>
      <c r="H7" s="7" t="n">
        <v>3171092.6</v>
      </c>
      <c r="J7" s="7" t="n">
        <v>3603954.2</v>
      </c>
      <c r="L7" s="7" t="n">
        <v>3213001.5</v>
      </c>
      <c r="N7" s="7" t="n">
        <v>3621110.5</v>
      </c>
      <c r="P7" s="7" t="n">
        <v>4175925.1</v>
      </c>
      <c r="R7" s="7" t="n">
        <v>4170299.6</v>
      </c>
      <c r="T7" s="7" t="n">
        <v>3568449.2</v>
      </c>
      <c r="V7" s="7" t="n">
        <v>4170047.2</v>
      </c>
      <c r="X7" s="7" t="n">
        <v>3402042.3</v>
      </c>
      <c r="Z7" s="7" t="n">
        <v>2615211.6</v>
      </c>
      <c r="AB7" s="7" t="n">
        <v>40095104.2</v>
      </c>
    </row>
    <row r="8">
      <c r="A8" s="4" t="inlineStr">
        <is>
          <t>精密轴承</t>
        </is>
      </c>
      <c r="D8" s="7" t="n">
        <v>2519164.8</v>
      </c>
      <c r="F8" s="7" t="n">
        <v>2631617</v>
      </c>
      <c r="H8" s="7" t="n">
        <v>3667756.4</v>
      </c>
      <c r="J8" s="7" t="n">
        <v>4176142.6</v>
      </c>
      <c r="L8" s="7" t="n">
        <v>4409977.6</v>
      </c>
      <c r="N8" s="7" t="n">
        <v>4983945.8</v>
      </c>
      <c r="P8" s="7" t="n">
        <v>5547149.699999999</v>
      </c>
      <c r="R8" s="7" t="n">
        <v>3961633.8</v>
      </c>
      <c r="T8" s="7" t="n">
        <v>4110174.1</v>
      </c>
      <c r="V8" s="7" t="n">
        <v>4941819.7</v>
      </c>
      <c r="X8" s="7" t="n">
        <v>3519811.3</v>
      </c>
      <c r="Z8" s="7" t="n">
        <v>2790749.7</v>
      </c>
      <c r="AB8" s="7" t="n">
        <v>47259942.5</v>
      </c>
    </row>
    <row r="9">
      <c r="A9" s="4" t="inlineStr">
        <is>
          <t>液压件</t>
        </is>
      </c>
      <c r="D9" s="7" t="n">
        <v>2985976</v>
      </c>
      <c r="F9" s="7" t="n">
        <v>3215224.2</v>
      </c>
      <c r="H9" s="7" t="n">
        <v>4069308.8</v>
      </c>
      <c r="J9" s="7" t="n">
        <v>4566240.5</v>
      </c>
      <c r="L9" s="7" t="n">
        <v>5399559.1</v>
      </c>
      <c r="N9" s="7" t="n">
        <v>6367849</v>
      </c>
      <c r="P9" s="7" t="n">
        <v>6067840.1</v>
      </c>
      <c r="R9" s="7" t="n">
        <v>5525232.699999999</v>
      </c>
      <c r="T9" s="7" t="n">
        <v>5047961.7</v>
      </c>
      <c r="V9" s="7" t="n">
        <v>5685780</v>
      </c>
      <c r="X9" s="7" t="n">
        <v>4250520.6</v>
      </c>
      <c r="Z9" s="7" t="n">
        <v>3533537.4</v>
      </c>
      <c r="AB9" s="7" t="n">
        <v>56715030.1</v>
      </c>
    </row>
    <row r="10">
      <c r="A10" s="4" t="inlineStr">
        <is>
          <t>气动元件</t>
        </is>
      </c>
      <c r="D10" s="7" t="n">
        <v>2362881.5</v>
      </c>
      <c r="F10" s="7" t="n">
        <v>2587545.7</v>
      </c>
      <c r="H10" s="7" t="n">
        <v>3538661.2</v>
      </c>
      <c r="J10" s="7" t="n">
        <v>4608468.899999999</v>
      </c>
      <c r="L10" s="7" t="n">
        <v>4403747.1</v>
      </c>
      <c r="N10" s="7" t="n">
        <v>5168861.800000001</v>
      </c>
      <c r="P10" s="7" t="n">
        <v>5000846.399999999</v>
      </c>
      <c r="R10" s="7" t="n">
        <v>4674303.2</v>
      </c>
      <c r="T10" s="7" t="n">
        <v>4423295.8</v>
      </c>
      <c r="V10" s="7" t="n">
        <v>4841267.8</v>
      </c>
      <c r="X10" s="7" t="n">
        <v>3807113.7</v>
      </c>
      <c r="Z10" s="7" t="n">
        <v>3072674.9</v>
      </c>
      <c r="AB10" s="7" t="n">
        <v>48489668</v>
      </c>
    </row>
    <row r="11">
      <c r="A11" s="4" t="inlineStr">
        <is>
          <t>模具</t>
        </is>
      </c>
      <c r="D11" s="7" t="n">
        <v>3942902.3</v>
      </c>
      <c r="F11" s="7" t="n">
        <v>3928103.1</v>
      </c>
      <c r="H11" s="7" t="n">
        <v>6014017.5</v>
      </c>
      <c r="J11" s="7" t="n">
        <v>6451527.4</v>
      </c>
      <c r="L11" s="7" t="n">
        <v>7813044.2</v>
      </c>
      <c r="N11" s="7" t="n">
        <v>7473134.600000001</v>
      </c>
      <c r="P11" s="7" t="n">
        <v>9944471.899999999</v>
      </c>
      <c r="R11" s="7" t="n">
        <v>7598717.000000001</v>
      </c>
      <c r="T11" s="7" t="n">
        <v>6623917.5</v>
      </c>
      <c r="V11" s="7" t="n">
        <v>7644273.1</v>
      </c>
      <c r="X11" s="7" t="n">
        <v>6648897.299999999</v>
      </c>
      <c r="Z11" s="7" t="n">
        <v>4211565.6</v>
      </c>
      <c r="AB11" s="7" t="n">
        <v>78294571.5</v>
      </c>
    </row>
    <row r="12">
      <c r="A12" s="4" t="inlineStr">
        <is>
          <t>工装夹具</t>
        </is>
      </c>
      <c r="D12" s="7" t="n">
        <v>3333124.2</v>
      </c>
      <c r="F12" s="7" t="n">
        <v>3779687</v>
      </c>
      <c r="H12" s="7" t="n">
        <v>3903662.5</v>
      </c>
      <c r="J12" s="7" t="n">
        <v>5051852.5</v>
      </c>
      <c r="L12" s="7" t="n">
        <v>5832967.299999999</v>
      </c>
      <c r="N12" s="7" t="n">
        <v>6326837.499999999</v>
      </c>
      <c r="P12" s="7" t="n">
        <v>6842168.8</v>
      </c>
      <c r="R12" s="7" t="n">
        <v>5707104.4</v>
      </c>
      <c r="T12" s="7" t="n">
        <v>4769205</v>
      </c>
      <c r="V12" s="7" t="n">
        <v>6157399.299999999</v>
      </c>
      <c r="X12" s="7" t="n">
        <v>4834441.2</v>
      </c>
      <c r="Z12" s="7" t="n">
        <v>2992852.1</v>
      </c>
      <c r="AB12" s="7" t="n">
        <v>59531301.8</v>
      </c>
    </row>
    <row r="13">
      <c r="A13" s="4" t="inlineStr">
        <is>
          <t>返利</t>
        </is>
      </c>
      <c r="D13" s="7" t="n">
        <v>-434820.4</v>
      </c>
      <c r="F13" s="7" t="n">
        <v>-346491.4</v>
      </c>
      <c r="H13" s="7" t="n">
        <v>-503863.3</v>
      </c>
      <c r="J13" s="7" t="n">
        <v>-460719.8</v>
      </c>
      <c r="L13" s="7" t="n">
        <v>-813239</v>
      </c>
      <c r="N13" s="7" t="n">
        <v>-657801.5</v>
      </c>
      <c r="P13" s="7" t="n">
        <v>-1003428.6</v>
      </c>
      <c r="R13" s="7" t="n">
        <v>-549122.7</v>
      </c>
      <c r="T13" s="7" t="n">
        <v>-826108.8</v>
      </c>
      <c r="V13" s="7" t="n">
        <v>-992810.8</v>
      </c>
      <c r="X13" s="7" t="n">
        <v>-508975.4</v>
      </c>
      <c r="Z13" s="7" t="n">
        <v>-300459.8</v>
      </c>
      <c r="AB13" s="7" t="n">
        <v>-7397841.5</v>
      </c>
    </row>
    <row r="14">
      <c r="A14" s="4" t="inlineStr">
        <is>
          <t>其他</t>
        </is>
      </c>
      <c r="D14" s="7" t="n">
        <v>132992.5</v>
      </c>
      <c r="F14" s="7" t="n">
        <v>192596.6</v>
      </c>
      <c r="H14" s="7" t="n">
        <v>470852.8</v>
      </c>
      <c r="J14" s="7" t="n">
        <v>464944.9</v>
      </c>
      <c r="L14" s="7" t="n">
        <v>497939.3</v>
      </c>
      <c r="N14" s="7" t="n">
        <v>93949.7</v>
      </c>
      <c r="P14" s="7" t="n">
        <v>187894.4</v>
      </c>
      <c r="R14" s="7" t="n">
        <v>405703.4</v>
      </c>
      <c r="T14" s="7" t="n">
        <v>498998.5</v>
      </c>
      <c r="V14" s="7" t="n">
        <v>370883.4</v>
      </c>
      <c r="X14" s="7" t="n">
        <v>54296.3</v>
      </c>
      <c r="Z14" s="7" t="n">
        <v>325103.3</v>
      </c>
      <c r="AB14" s="7" t="n">
        <v>3696155.1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17573254.3</v>
      </c>
      <c r="D15" s="7" t="n">
        <v>13053160.8</v>
      </c>
      <c r="E15" s="7" t="n">
        <v>20305198</v>
      </c>
      <c r="F15" s="7" t="n">
        <v>13339925.2</v>
      </c>
      <c r="G15" s="7" t="n">
        <v>18684423.9</v>
      </c>
      <c r="H15" s="7" t="n">
        <v>18205525.2</v>
      </c>
      <c r="I15" s="7" t="n">
        <v>23303596.6</v>
      </c>
      <c r="J15" s="7" t="n">
        <v>20731170</v>
      </c>
      <c r="K15" s="7" t="n">
        <v>19531460.5</v>
      </c>
      <c r="L15" s="7" t="n">
        <v>23294288.4</v>
      </c>
      <c r="M15" s="7" t="n">
        <v>17420634.8</v>
      </c>
      <c r="N15" s="7" t="n">
        <v>24674414.5</v>
      </c>
      <c r="O15" s="7" t="n">
        <v>22915801.2</v>
      </c>
      <c r="P15" s="7" t="n">
        <v>27665802.8</v>
      </c>
      <c r="Q15" s="7" t="n">
        <v>22357848</v>
      </c>
      <c r="R15" s="7" t="n">
        <v>23776802.6</v>
      </c>
      <c r="S15" s="7" t="n">
        <v>21205923.6</v>
      </c>
      <c r="T15" s="7" t="n">
        <v>20863815.8</v>
      </c>
      <c r="U15" s="7" t="n">
        <v>22066873.2</v>
      </c>
      <c r="V15" s="7" t="n">
        <v>24601869.4</v>
      </c>
      <c r="W15" s="7" t="n">
        <v>18086723.7</v>
      </c>
      <c r="X15" s="7" t="n">
        <v>19371764.1</v>
      </c>
      <c r="Y15" s="7" t="n">
        <v>18995523.3</v>
      </c>
      <c r="Z15" s="7" t="n">
        <v>13937207.7</v>
      </c>
      <c r="AA15" s="8" t="n">
        <v>242447261.1</v>
      </c>
      <c r="AB15" s="8" t="n">
        <v>243515746.5</v>
      </c>
    </row>
    <row r="16">
      <c r="A16" s="4" t="inlineStr">
        <is>
          <t>数控机床</t>
        </is>
      </c>
      <c r="D16" s="7" t="n">
        <v>1558131.4</v>
      </c>
      <c r="F16" s="7" t="n">
        <v>1460405.4</v>
      </c>
      <c r="H16" s="7" t="n">
        <v>2176641.6</v>
      </c>
      <c r="J16" s="7" t="n">
        <v>2468830.1</v>
      </c>
      <c r="L16" s="7" t="n">
        <v>2210641.6</v>
      </c>
      <c r="N16" s="7" t="n">
        <v>2491005.6</v>
      </c>
      <c r="P16" s="7" t="n">
        <v>2881180.2</v>
      </c>
      <c r="R16" s="7" t="n">
        <v>2858526.5</v>
      </c>
      <c r="T16" s="7" t="n">
        <v>2452418.8</v>
      </c>
      <c r="V16" s="7" t="n">
        <v>2869421.7</v>
      </c>
      <c r="X16" s="7" t="n">
        <v>2332882.4</v>
      </c>
      <c r="Z16" s="7" t="n">
        <v>1799595.5</v>
      </c>
      <c r="AB16" s="7" t="n">
        <v>27559680.8</v>
      </c>
    </row>
    <row r="17">
      <c r="A17" s="4" t="inlineStr">
        <is>
          <t>精密轴承</t>
        </is>
      </c>
      <c r="D17" s="7" t="n">
        <v>1872408.8</v>
      </c>
      <c r="F17" s="7" t="n">
        <v>1949930.6</v>
      </c>
      <c r="H17" s="7" t="n">
        <v>2706185.6</v>
      </c>
      <c r="J17" s="7" t="n">
        <v>3086078.7</v>
      </c>
      <c r="L17" s="7" t="n">
        <v>3259162.3</v>
      </c>
      <c r="N17" s="7" t="n">
        <v>3679525.6</v>
      </c>
      <c r="P17" s="7" t="n">
        <v>4106211</v>
      </c>
      <c r="R17" s="7" t="n">
        <v>2935384.5</v>
      </c>
      <c r="T17" s="7" t="n">
        <v>3055157.4</v>
      </c>
      <c r="V17" s="7" t="n">
        <v>3664452.7</v>
      </c>
      <c r="X17" s="7" t="n">
        <v>2610513.7</v>
      </c>
      <c r="Z17" s="7" t="n">
        <v>2067397</v>
      </c>
      <c r="AB17" s="7" t="n">
        <v>34992407.9</v>
      </c>
    </row>
    <row r="18">
      <c r="A18" s="4" t="inlineStr">
        <is>
          <t>液压件</t>
        </is>
      </c>
      <c r="D18" s="7" t="n">
        <v>2247801.7</v>
      </c>
      <c r="F18" s="7" t="n">
        <v>2398446.6</v>
      </c>
      <c r="H18" s="7" t="n">
        <v>3045833.8</v>
      </c>
      <c r="J18" s="7" t="n">
        <v>3408236.6</v>
      </c>
      <c r="L18" s="7" t="n">
        <v>4029691.6</v>
      </c>
      <c r="N18" s="7" t="n">
        <v>4778919.199999999</v>
      </c>
      <c r="P18" s="7" t="n">
        <v>4509826.4</v>
      </c>
      <c r="R18" s="7" t="n">
        <v>4161935.4</v>
      </c>
      <c r="T18" s="7" t="n">
        <v>3810991.7</v>
      </c>
      <c r="V18" s="7" t="n">
        <v>4253894.899999999</v>
      </c>
      <c r="X18" s="7" t="n">
        <v>3172979.7</v>
      </c>
      <c r="Z18" s="7" t="n">
        <v>2667610.9</v>
      </c>
      <c r="AB18" s="7" t="n">
        <v>42486168.5</v>
      </c>
    </row>
    <row r="19">
      <c r="A19" s="4" t="inlineStr">
        <is>
          <t>气动元件</t>
        </is>
      </c>
      <c r="D19" s="7" t="n">
        <v>1515663.9</v>
      </c>
      <c r="F19" s="7" t="n">
        <v>1659850.3</v>
      </c>
      <c r="H19" s="7" t="n">
        <v>2274592.7</v>
      </c>
      <c r="J19" s="7" t="n">
        <v>2941620</v>
      </c>
      <c r="L19" s="7" t="n">
        <v>2828658.8</v>
      </c>
      <c r="N19" s="7" t="n">
        <v>3310143.6</v>
      </c>
      <c r="P19" s="7" t="n">
        <v>3224623.7</v>
      </c>
      <c r="R19" s="7" t="n">
        <v>2999614.9</v>
      </c>
      <c r="T19" s="7" t="n">
        <v>2842087</v>
      </c>
      <c r="V19" s="7" t="n">
        <v>3098315.6</v>
      </c>
      <c r="X19" s="7" t="n">
        <v>2443320.8</v>
      </c>
      <c r="Z19" s="7" t="n">
        <v>1972723.7</v>
      </c>
      <c r="AB19" s="7" t="n">
        <v>31111215</v>
      </c>
    </row>
    <row r="20">
      <c r="A20" s="4" t="inlineStr">
        <is>
          <t>模具</t>
        </is>
      </c>
      <c r="D20" s="7" t="n">
        <v>2791745.2</v>
      </c>
      <c r="F20" s="7" t="n">
        <v>2781399.1</v>
      </c>
      <c r="H20" s="7" t="n">
        <v>4286375</v>
      </c>
      <c r="J20" s="7" t="n">
        <v>4574350.6</v>
      </c>
      <c r="L20" s="7" t="n">
        <v>5523892.3</v>
      </c>
      <c r="N20" s="7" t="n">
        <v>5291185.5</v>
      </c>
      <c r="P20" s="7" t="n">
        <v>7045426.900000001</v>
      </c>
      <c r="R20" s="7" t="n">
        <v>5405400.8</v>
      </c>
      <c r="T20" s="7" t="n">
        <v>4680616.8</v>
      </c>
      <c r="V20" s="7" t="n">
        <v>5390197.300000001</v>
      </c>
      <c r="X20" s="7" t="n">
        <v>4704781</v>
      </c>
      <c r="Z20" s="7" t="n">
        <v>2998635.7</v>
      </c>
      <c r="AB20" s="7" t="n">
        <v>55474006.2</v>
      </c>
    </row>
    <row r="21">
      <c r="A21" s="4" t="inlineStr">
        <is>
          <t>工装夹具</t>
        </is>
      </c>
      <c r="D21" s="7" t="n">
        <v>2274499.9</v>
      </c>
      <c r="F21" s="7" t="n">
        <v>2568621.6</v>
      </c>
      <c r="H21" s="7" t="n">
        <v>2670817.7</v>
      </c>
      <c r="J21" s="7" t="n">
        <v>3449995.9</v>
      </c>
      <c r="L21" s="7" t="n">
        <v>3976897.6</v>
      </c>
      <c r="N21" s="7" t="n">
        <v>4294762.1</v>
      </c>
      <c r="P21" s="7" t="n">
        <v>4653781</v>
      </c>
      <c r="R21" s="7" t="n">
        <v>3884936.1</v>
      </c>
      <c r="T21" s="7" t="n">
        <v>3261555.1</v>
      </c>
      <c r="V21" s="7" t="n">
        <v>4204195.9</v>
      </c>
      <c r="X21" s="7" t="n">
        <v>3300499.7</v>
      </c>
      <c r="Z21" s="7" t="n">
        <v>2031537.8</v>
      </c>
      <c r="AB21" s="7" t="n">
        <v>40572100.4</v>
      </c>
    </row>
    <row r="22">
      <c r="A22" s="4" t="inlineStr">
        <is>
          <t>其他</t>
        </is>
      </c>
      <c r="D22" s="7" t="n">
        <v>203461.7</v>
      </c>
      <c r="F22" s="7" t="n">
        <v>178454.1</v>
      </c>
      <c r="H22" s="7" t="n">
        <v>47634.9</v>
      </c>
      <c r="J22" s="7" t="n">
        <v>281214.2</v>
      </c>
      <c r="L22" s="7" t="n">
        <v>195849.9</v>
      </c>
      <c r="N22" s="7" t="n">
        <v>2504.4</v>
      </c>
      <c r="P22" s="7" t="n">
        <v>41864.6</v>
      </c>
      <c r="R22" s="7" t="n">
        <v>113864.6</v>
      </c>
      <c r="T22" s="7" t="n">
        <v>335702.4</v>
      </c>
      <c r="V22" s="7" t="n">
        <v>257723.7</v>
      </c>
      <c r="X22" s="7" t="n">
        <v>270021.9</v>
      </c>
      <c r="Z22" s="7" t="n">
        <v>142894.1</v>
      </c>
      <c r="AB22" s="7" t="n">
        <v>2071190.5</v>
      </c>
    </row>
    <row r="23">
      <c r="A23" s="4" t="inlineStr">
        <is>
          <t>运费</t>
        </is>
      </c>
      <c r="D23" s="7" t="n">
        <v>792909.9</v>
      </c>
      <c r="F23" s="7" t="n">
        <v>521271.6</v>
      </c>
      <c r="H23" s="7" t="n">
        <v>1045078.8</v>
      </c>
      <c r="J23" s="7" t="n">
        <v>802058.1</v>
      </c>
      <c r="L23" s="7" t="n">
        <v>1465344.2</v>
      </c>
      <c r="N23" s="7" t="n">
        <v>828872.9</v>
      </c>
      <c r="P23" s="7" t="n">
        <v>1244753.6</v>
      </c>
      <c r="R23" s="7" t="n">
        <v>1531004.4</v>
      </c>
      <c r="T23" s="7" t="n">
        <v>760989</v>
      </c>
      <c r="V23" s="7" t="n">
        <v>1121391.3</v>
      </c>
      <c r="X23" s="7" t="n">
        <v>806786.8</v>
      </c>
      <c r="Z23" s="7" t="n">
        <v>399707.1</v>
      </c>
      <c r="AB23" s="7" t="n">
        <v>11320167.7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6424378</v>
      </c>
      <c r="D24" s="7" t="n">
        <v>4058215.5</v>
      </c>
      <c r="E24" s="7" t="n">
        <v>10214980.4</v>
      </c>
      <c r="F24" s="7" t="n">
        <v>4763172</v>
      </c>
      <c r="G24" s="7" t="n">
        <v>5067292.2</v>
      </c>
      <c r="H24" s="7" t="n">
        <v>6125963.3</v>
      </c>
      <c r="I24" s="7" t="n">
        <v>253516.4</v>
      </c>
      <c r="J24" s="7" t="n">
        <v>7731241.2</v>
      </c>
      <c r="K24" s="7" t="n">
        <v>11479324.6</v>
      </c>
      <c r="L24" s="7" t="n">
        <v>7462708.7</v>
      </c>
      <c r="M24" s="7" t="n">
        <v>13102398.6</v>
      </c>
      <c r="N24" s="7" t="n">
        <v>8703472.9</v>
      </c>
      <c r="O24" s="7" t="n">
        <v>5242077.1</v>
      </c>
      <c r="P24" s="7" t="n">
        <v>9097065</v>
      </c>
      <c r="Q24" s="7" t="n">
        <v>5780541.8</v>
      </c>
      <c r="R24" s="7" t="n">
        <v>7717068.8</v>
      </c>
      <c r="S24" s="7" t="n">
        <v>8056597.3</v>
      </c>
      <c r="T24" s="7" t="n">
        <v>7352077.2</v>
      </c>
      <c r="U24" s="7" t="n">
        <v>4785443.3</v>
      </c>
      <c r="V24" s="7" t="n">
        <v>8216790.3</v>
      </c>
      <c r="W24" s="7" t="n">
        <v>6266881.6</v>
      </c>
      <c r="X24" s="7" t="n">
        <v>6636383.2</v>
      </c>
      <c r="Y24" s="7" t="n">
        <v>4579059</v>
      </c>
      <c r="Z24" s="7" t="n">
        <v>5304027.1</v>
      </c>
      <c r="AA24" s="8" t="n">
        <v>81252490.3</v>
      </c>
      <c r="AB24" s="8" t="n">
        <v>83168185.2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26.8</v>
      </c>
      <c r="D25" s="13" t="n">
        <v>23.7</v>
      </c>
      <c r="E25" s="13" t="n">
        <v>33.5</v>
      </c>
      <c r="F25" s="13" t="n">
        <v>26.3</v>
      </c>
      <c r="G25" s="13" t="n">
        <v>21.3</v>
      </c>
      <c r="H25" s="13" t="n">
        <v>25.2</v>
      </c>
      <c r="I25" s="13" t="n">
        <v>1.1</v>
      </c>
      <c r="J25" s="13" t="n">
        <v>27.2</v>
      </c>
      <c r="K25" s="13" t="n">
        <v>37</v>
      </c>
      <c r="L25" s="13" t="n">
        <v>24.3</v>
      </c>
      <c r="M25" s="13" t="n">
        <v>42.9</v>
      </c>
      <c r="N25" s="13" t="n">
        <v>26.1</v>
      </c>
      <c r="O25" s="13" t="n">
        <v>18.6</v>
      </c>
      <c r="P25" s="13" t="n">
        <v>24.7</v>
      </c>
      <c r="Q25" s="13" t="n">
        <v>20.5</v>
      </c>
      <c r="R25" s="13" t="n">
        <v>24.5</v>
      </c>
      <c r="S25" s="13" t="n">
        <v>27.5</v>
      </c>
      <c r="T25" s="13" t="n">
        <v>26.1</v>
      </c>
      <c r="U25" s="13" t="n">
        <v>17.8</v>
      </c>
      <c r="V25" s="13" t="n">
        <v>25</v>
      </c>
      <c r="W25" s="13" t="n">
        <v>25.7</v>
      </c>
      <c r="X25" s="13" t="n">
        <v>25.5</v>
      </c>
      <c r="Y25" s="13" t="n">
        <v>19.4</v>
      </c>
      <c r="Z25" s="13" t="n">
        <v>27.6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226279.7</v>
      </c>
      <c r="D26" s="7" t="n">
        <v>104582.5</v>
      </c>
      <c r="E26" s="7" t="n">
        <v>219042.2</v>
      </c>
      <c r="F26" s="7" t="n">
        <v>142670.8</v>
      </c>
      <c r="G26" s="7" t="n">
        <v>240061.4</v>
      </c>
      <c r="H26" s="7" t="n">
        <v>194932</v>
      </c>
      <c r="I26" s="7" t="n">
        <v>253715.7</v>
      </c>
      <c r="J26" s="7" t="n">
        <v>155902.7</v>
      </c>
      <c r="K26" s="7" t="n">
        <v>226178.6</v>
      </c>
      <c r="L26" s="7" t="n">
        <v>282910.7</v>
      </c>
      <c r="M26" s="7" t="n">
        <v>239129</v>
      </c>
      <c r="N26" s="7" t="n">
        <v>431876.2</v>
      </c>
      <c r="O26" s="7" t="n">
        <v>257362.5</v>
      </c>
      <c r="P26" s="7" t="n">
        <v>351862.4</v>
      </c>
      <c r="Q26" s="7" t="n">
        <v>214777.3</v>
      </c>
      <c r="R26" s="7" t="n">
        <v>192382.8</v>
      </c>
      <c r="S26" s="7" t="n">
        <v>280193.3</v>
      </c>
      <c r="T26" s="7" t="n">
        <v>396474.7</v>
      </c>
      <c r="U26" s="7" t="n">
        <v>213457.7</v>
      </c>
      <c r="V26" s="7" t="n">
        <v>359935.1</v>
      </c>
      <c r="W26" s="7" t="n">
        <v>247185.5</v>
      </c>
      <c r="X26" s="7" t="n">
        <v>134315.3</v>
      </c>
      <c r="Y26" s="7" t="n">
        <v>245807.2</v>
      </c>
      <c r="Z26" s="7" t="n">
        <v>195370.8</v>
      </c>
      <c r="AA26" s="8" t="n">
        <v>2863190.1</v>
      </c>
      <c r="AB26" s="8" t="n">
        <v>2943216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3947480</v>
      </c>
      <c r="D27" s="7" t="n">
        <v>3060081.3</v>
      </c>
      <c r="E27" s="7" t="n">
        <v>3907713.9</v>
      </c>
      <c r="F27" s="7" t="n">
        <v>2451434.4</v>
      </c>
      <c r="G27" s="7" t="n">
        <v>3466771.2</v>
      </c>
      <c r="H27" s="7" t="n">
        <v>2896551.1</v>
      </c>
      <c r="I27" s="7" t="n">
        <v>3151196.1</v>
      </c>
      <c r="J27" s="7" t="n">
        <v>3615110.7</v>
      </c>
      <c r="K27" s="7" t="n">
        <v>3700559.4</v>
      </c>
      <c r="L27" s="7" t="n">
        <v>4415692.2</v>
      </c>
      <c r="M27" s="7" t="n">
        <v>3993480.4</v>
      </c>
      <c r="N27" s="7" t="n">
        <v>5944733.3</v>
      </c>
      <c r="O27" s="7" t="n">
        <v>3294377.8</v>
      </c>
      <c r="P27" s="7" t="n">
        <v>3873520.5</v>
      </c>
      <c r="Q27" s="7" t="n">
        <v>3955847.6</v>
      </c>
      <c r="R27" s="7" t="n">
        <v>2570662.8</v>
      </c>
      <c r="S27" s="7" t="n">
        <v>3611432.3</v>
      </c>
      <c r="T27" s="7" t="n">
        <v>4482151.1</v>
      </c>
      <c r="U27" s="7" t="n">
        <v>3864133.3</v>
      </c>
      <c r="V27" s="7" t="n">
        <v>3757088.3</v>
      </c>
      <c r="W27" s="7" t="n">
        <v>3794429.6</v>
      </c>
      <c r="X27" s="7" t="n">
        <v>3986895.6</v>
      </c>
      <c r="Y27" s="7" t="n">
        <v>3991278</v>
      </c>
      <c r="Z27" s="7" t="n">
        <v>2748142.8</v>
      </c>
      <c r="AA27" s="8" t="n">
        <v>44678699.6</v>
      </c>
      <c r="AB27" s="8" t="n">
        <v>43802064.1</v>
      </c>
    </row>
    <row r="28">
      <c r="A28" s="4" t="inlineStr">
        <is>
          <t>职工薪酬</t>
        </is>
      </c>
      <c r="D28" s="7" t="n">
        <v>1723685.5</v>
      </c>
      <c r="F28" s="7" t="n">
        <v>1133892</v>
      </c>
      <c r="H28" s="7" t="n">
        <v>1380414.9</v>
      </c>
      <c r="J28" s="7" t="n">
        <v>2130502.3</v>
      </c>
      <c r="L28" s="7" t="n">
        <v>2540675.5</v>
      </c>
      <c r="N28" s="7" t="n">
        <v>3016729.9</v>
      </c>
      <c r="P28" s="7" t="n">
        <v>1735719.8</v>
      </c>
      <c r="R28" s="7" t="n">
        <v>1127235.3</v>
      </c>
      <c r="T28" s="7" t="n">
        <v>2727154</v>
      </c>
      <c r="V28" s="7" t="n">
        <v>2117195.5</v>
      </c>
      <c r="X28" s="7" t="n">
        <v>2439986.8</v>
      </c>
      <c r="Z28" s="7" t="n">
        <v>1284049.4</v>
      </c>
      <c r="AB28" s="7" t="n">
        <v>23357240.9</v>
      </c>
    </row>
    <row r="29">
      <c r="A29" s="4" t="inlineStr">
        <is>
          <t>工资</t>
        </is>
      </c>
      <c r="D29" s="7" t="n">
        <v>1057540.7</v>
      </c>
      <c r="F29" s="7" t="n">
        <v>599127.2</v>
      </c>
      <c r="H29" s="7" t="n">
        <v>794394.6</v>
      </c>
      <c r="J29" s="7" t="n">
        <v>1267282.4</v>
      </c>
      <c r="L29" s="7" t="n">
        <v>1615453.1</v>
      </c>
      <c r="N29" s="7" t="n">
        <v>1603570.7</v>
      </c>
      <c r="P29" s="7" t="n">
        <v>900227.5</v>
      </c>
      <c r="R29" s="7" t="n">
        <v>710128.8</v>
      </c>
      <c r="T29" s="7" t="n">
        <v>1658878.1</v>
      </c>
      <c r="V29" s="7" t="n">
        <v>1291669.6</v>
      </c>
      <c r="X29" s="7" t="n">
        <v>1479276.8</v>
      </c>
      <c r="Z29" s="7" t="n">
        <v>768369.9</v>
      </c>
      <c r="AB29" s="7" t="n">
        <v>13745919.4</v>
      </c>
    </row>
    <row r="30">
      <c r="A30" s="4" t="inlineStr">
        <is>
          <t>奖金及提成</t>
        </is>
      </c>
      <c r="D30" s="7" t="n">
        <v>392986.1</v>
      </c>
      <c r="F30" s="7" t="n">
        <v>244585</v>
      </c>
      <c r="H30" s="7" t="n">
        <v>289224.7</v>
      </c>
      <c r="J30" s="7" t="n">
        <v>453546.8</v>
      </c>
      <c r="L30" s="7" t="n">
        <v>446676.2</v>
      </c>
      <c r="N30" s="7" t="n">
        <v>701888</v>
      </c>
      <c r="P30" s="7" t="n">
        <v>440128.3</v>
      </c>
      <c r="R30" s="7" t="n">
        <v>192120.1</v>
      </c>
      <c r="T30" s="7" t="n">
        <v>475767.8</v>
      </c>
      <c r="V30" s="7" t="n">
        <v>448372.7</v>
      </c>
      <c r="X30" s="7" t="n">
        <v>409567.7</v>
      </c>
      <c r="Z30" s="7" t="n">
        <v>245334.1</v>
      </c>
      <c r="AB30" s="7" t="n">
        <v>4740197.5</v>
      </c>
    </row>
    <row r="31">
      <c r="A31" s="4" t="inlineStr">
        <is>
          <t>社保</t>
        </is>
      </c>
      <c r="D31" s="7" t="n">
        <v>183125.4</v>
      </c>
      <c r="F31" s="7" t="n">
        <v>215049.9</v>
      </c>
      <c r="H31" s="7" t="n">
        <v>204820.3</v>
      </c>
      <c r="J31" s="7" t="n">
        <v>307016.3</v>
      </c>
      <c r="L31" s="7" t="n">
        <v>337595.4</v>
      </c>
      <c r="N31" s="7" t="n">
        <v>529727.5</v>
      </c>
      <c r="P31" s="7" t="n">
        <v>282279.9</v>
      </c>
      <c r="R31" s="7" t="n">
        <v>149183.4</v>
      </c>
      <c r="T31" s="7" t="n">
        <v>438183.1</v>
      </c>
      <c r="V31" s="7" t="n">
        <v>273977.6</v>
      </c>
      <c r="X31" s="7" t="n">
        <v>414283.2</v>
      </c>
      <c r="Z31" s="7" t="n">
        <v>190112.8</v>
      </c>
      <c r="AB31" s="7" t="n">
        <v>3525354.8</v>
      </c>
    </row>
    <row r="32">
      <c r="A32" s="4" t="inlineStr">
        <is>
          <t>养老</t>
        </is>
      </c>
      <c r="D32" s="7" t="n">
        <v>24950.2</v>
      </c>
      <c r="F32" s="7" t="n">
        <v>11737.1</v>
      </c>
      <c r="H32" s="7" t="n">
        <v>20150.2</v>
      </c>
      <c r="J32" s="7" t="n">
        <v>21326.8</v>
      </c>
      <c r="L32" s="7" t="n">
        <v>33503.6</v>
      </c>
      <c r="N32" s="7" t="n">
        <v>42315.7</v>
      </c>
      <c r="P32" s="7" t="n">
        <v>31655.5</v>
      </c>
      <c r="R32" s="7" t="n">
        <v>12979.3</v>
      </c>
      <c r="T32" s="7" t="n">
        <v>30663.3</v>
      </c>
      <c r="V32" s="7" t="n">
        <v>28219.9</v>
      </c>
      <c r="X32" s="7" t="n">
        <v>18470</v>
      </c>
      <c r="Z32" s="7" t="n">
        <v>13074.9</v>
      </c>
      <c r="AB32" s="7" t="n">
        <v>289046.5</v>
      </c>
    </row>
    <row r="33">
      <c r="A33" s="4" t="inlineStr">
        <is>
          <t>医疗</t>
        </is>
      </c>
      <c r="D33" s="7" t="n">
        <v>14368.9</v>
      </c>
      <c r="F33" s="7" t="n">
        <v>11635</v>
      </c>
      <c r="H33" s="7" t="n">
        <v>15383.6</v>
      </c>
      <c r="J33" s="7" t="n">
        <v>19618.9</v>
      </c>
      <c r="L33" s="7" t="n">
        <v>24964.1</v>
      </c>
      <c r="N33" s="7" t="n">
        <v>38520.5</v>
      </c>
      <c r="P33" s="7" t="n">
        <v>18255.9</v>
      </c>
      <c r="R33" s="7" t="n">
        <v>15194.8</v>
      </c>
      <c r="T33" s="7" t="n">
        <v>23896.3</v>
      </c>
      <c r="V33" s="7" t="n">
        <v>19519</v>
      </c>
      <c r="X33" s="7" t="n">
        <v>19108</v>
      </c>
      <c r="Z33" s="7" t="n">
        <v>15288.3</v>
      </c>
      <c r="AB33" s="7" t="n">
        <v>235753.3</v>
      </c>
    </row>
    <row r="34">
      <c r="A34" s="4" t="inlineStr">
        <is>
          <t>工伤</t>
        </is>
      </c>
      <c r="D34" s="7" t="n">
        <v>3847.1</v>
      </c>
      <c r="F34" s="7" t="n">
        <v>4579.9</v>
      </c>
      <c r="H34" s="7" t="n">
        <v>4738.3</v>
      </c>
      <c r="J34" s="7" t="n">
        <v>5516</v>
      </c>
      <c r="L34" s="7" t="n">
        <v>7495</v>
      </c>
      <c r="N34" s="7" t="n">
        <v>8339.5</v>
      </c>
      <c r="P34" s="7" t="n">
        <v>5428.3</v>
      </c>
      <c r="R34" s="7" t="n">
        <v>4072</v>
      </c>
      <c r="T34" s="7" t="n">
        <v>9521.299999999999</v>
      </c>
      <c r="V34" s="7" t="n">
        <v>5358.4</v>
      </c>
      <c r="X34" s="7" t="n">
        <v>8156.4</v>
      </c>
      <c r="Z34" s="7" t="n">
        <v>4474.4</v>
      </c>
      <c r="AB34" s="7" t="n">
        <v>71526.60000000001</v>
      </c>
    </row>
    <row r="35">
      <c r="A35" s="4" t="inlineStr">
        <is>
          <t>失业</t>
        </is>
      </c>
      <c r="D35" s="7" t="n">
        <v>2981.8</v>
      </c>
      <c r="F35" s="7" t="n">
        <v>1914.7</v>
      </c>
      <c r="H35" s="7" t="n">
        <v>2886.5</v>
      </c>
      <c r="J35" s="7" t="n">
        <v>2811.5</v>
      </c>
      <c r="L35" s="7" t="n">
        <v>2672.8</v>
      </c>
      <c r="N35" s="7" t="n">
        <v>5302.5</v>
      </c>
      <c r="P35" s="7" t="n">
        <v>3760.8</v>
      </c>
      <c r="R35" s="7" t="n">
        <v>1843.5</v>
      </c>
      <c r="T35" s="7" t="n">
        <v>3274.5</v>
      </c>
      <c r="V35" s="7" t="n">
        <v>2232.7</v>
      </c>
      <c r="X35" s="7" t="n">
        <v>3287.3</v>
      </c>
      <c r="Z35" s="7" t="n">
        <v>2728.9</v>
      </c>
      <c r="AB35" s="7" t="n">
        <v>35697.5</v>
      </c>
    </row>
    <row r="36">
      <c r="A36" s="4" t="inlineStr">
        <is>
          <t>生育</t>
        </is>
      </c>
      <c r="D36" s="7" t="n">
        <v>19254.6</v>
      </c>
      <c r="F36" s="7" t="n">
        <v>17194.5</v>
      </c>
      <c r="H36" s="7" t="n">
        <v>17506.6</v>
      </c>
      <c r="J36" s="7" t="n">
        <v>23738.5</v>
      </c>
      <c r="L36" s="7" t="n">
        <v>24781</v>
      </c>
      <c r="N36" s="7" t="n">
        <v>25648</v>
      </c>
      <c r="P36" s="7" t="n">
        <v>17745</v>
      </c>
      <c r="R36" s="7" t="n">
        <v>11241.7</v>
      </c>
      <c r="T36" s="7" t="n">
        <v>29382</v>
      </c>
      <c r="V36" s="7" t="n">
        <v>15013.1</v>
      </c>
      <c r="X36" s="7" t="n">
        <v>22979.1</v>
      </c>
      <c r="Z36" s="7" t="n">
        <v>14135.4</v>
      </c>
      <c r="AB36" s="7" t="n">
        <v>238619.5</v>
      </c>
    </row>
    <row r="37">
      <c r="A37" s="4" t="inlineStr">
        <is>
          <t>公积金</t>
        </is>
      </c>
      <c r="D37" s="7" t="n">
        <v>16626.1</v>
      </c>
      <c r="F37" s="7" t="n">
        <v>13786.6</v>
      </c>
      <c r="H37" s="7" t="n">
        <v>11474.8</v>
      </c>
      <c r="J37" s="7" t="n">
        <v>16871.4</v>
      </c>
      <c r="L37" s="7" t="n">
        <v>30245.8</v>
      </c>
      <c r="N37" s="7" t="n">
        <v>35442.3</v>
      </c>
      <c r="P37" s="7" t="n">
        <v>20727.8</v>
      </c>
      <c r="R37" s="7" t="n">
        <v>15735</v>
      </c>
      <c r="T37" s="7" t="n">
        <v>28203</v>
      </c>
      <c r="V37" s="7" t="n">
        <v>14735.8</v>
      </c>
      <c r="X37" s="7" t="n">
        <v>26965.6</v>
      </c>
      <c r="Z37" s="7" t="n">
        <v>15719.3</v>
      </c>
      <c r="AB37" s="7" t="n">
        <v>246533.5</v>
      </c>
    </row>
    <row r="38">
      <c r="A38" s="4" t="inlineStr">
        <is>
          <t>工会经费</t>
        </is>
      </c>
      <c r="D38" s="7" t="n">
        <v>10005</v>
      </c>
      <c r="F38" s="7" t="n">
        <v>6558.5</v>
      </c>
      <c r="H38" s="7" t="n">
        <v>10484.9</v>
      </c>
      <c r="J38" s="7" t="n">
        <v>12460.7</v>
      </c>
      <c r="L38" s="7" t="n">
        <v>14122</v>
      </c>
      <c r="N38" s="7" t="n">
        <v>14193.7</v>
      </c>
      <c r="P38" s="7" t="n">
        <v>14626.9</v>
      </c>
      <c r="R38" s="7" t="n">
        <v>7278.5</v>
      </c>
      <c r="T38" s="7" t="n">
        <v>16484.3</v>
      </c>
      <c r="V38" s="7" t="n">
        <v>8128.7</v>
      </c>
      <c r="X38" s="7" t="n">
        <v>9111.1</v>
      </c>
      <c r="Z38" s="7" t="n">
        <v>6420.6</v>
      </c>
      <c r="AB38" s="7" t="n">
        <v>129874.9</v>
      </c>
    </row>
    <row r="39">
      <c r="A39" s="4" t="inlineStr">
        <is>
          <t>职工教育经费</t>
        </is>
      </c>
      <c r="D39" s="7" t="n">
        <v>2952.5</v>
      </c>
      <c r="F39" s="7" t="n">
        <v>2979.3</v>
      </c>
      <c r="H39" s="7" t="n">
        <v>2838.5</v>
      </c>
      <c r="J39" s="7" t="n">
        <v>4935.9</v>
      </c>
      <c r="L39" s="7" t="n">
        <v>5897.4</v>
      </c>
      <c r="N39" s="7" t="n">
        <v>7750.9</v>
      </c>
      <c r="P39" s="7" t="n">
        <v>3556.5</v>
      </c>
      <c r="R39" s="7" t="n">
        <v>3000.5</v>
      </c>
      <c r="T39" s="7" t="n">
        <v>4987.1</v>
      </c>
      <c r="V39" s="7" t="n">
        <v>3144.3</v>
      </c>
      <c r="X39" s="7" t="n">
        <v>3795.5</v>
      </c>
      <c r="Z39" s="7" t="n">
        <v>3026.8</v>
      </c>
      <c r="AB39" s="7" t="n">
        <v>48865.2</v>
      </c>
    </row>
    <row r="40">
      <c r="A40" s="4" t="inlineStr">
        <is>
          <t>福利费</t>
        </is>
      </c>
      <c r="D40" s="7" t="n">
        <v>60449.7</v>
      </c>
      <c r="F40" s="7" t="n">
        <v>51805.5</v>
      </c>
      <c r="H40" s="7" t="n">
        <v>67177.10000000001</v>
      </c>
      <c r="J40" s="7" t="n">
        <v>68388.8</v>
      </c>
      <c r="L40" s="7" t="n">
        <v>90685.60000000001</v>
      </c>
      <c r="N40" s="7" t="n">
        <v>124156.8</v>
      </c>
      <c r="P40" s="7" t="n">
        <v>74172.89999999999</v>
      </c>
      <c r="R40" s="7" t="n">
        <v>49789</v>
      </c>
      <c r="T40" s="7" t="n">
        <v>104650.6</v>
      </c>
      <c r="V40" s="7" t="n">
        <v>77166.8</v>
      </c>
      <c r="X40" s="7" t="n">
        <v>96986.89999999999</v>
      </c>
      <c r="Z40" s="7" t="n">
        <v>55065.9</v>
      </c>
      <c r="AB40" s="7" t="n">
        <v>920495.6</v>
      </c>
    </row>
    <row r="41">
      <c r="A41" s="4" t="inlineStr">
        <is>
          <t>职工房租</t>
        </is>
      </c>
      <c r="D41" s="7" t="n">
        <v>13464.4</v>
      </c>
      <c r="F41" s="7" t="n">
        <v>11246.4</v>
      </c>
      <c r="H41" s="7" t="n">
        <v>14135.1</v>
      </c>
      <c r="J41" s="7" t="n">
        <v>14445</v>
      </c>
      <c r="L41" s="7" t="n">
        <v>20122.5</v>
      </c>
      <c r="N41" s="7" t="n">
        <v>24975.6</v>
      </c>
      <c r="P41" s="7" t="n">
        <v>17536.1</v>
      </c>
      <c r="R41" s="7" t="n">
        <v>9448.299999999999</v>
      </c>
      <c r="T41" s="7" t="n">
        <v>24018.6</v>
      </c>
      <c r="V41" s="7" t="n">
        <v>15641.6</v>
      </c>
      <c r="X41" s="7" t="n">
        <v>19835.6</v>
      </c>
      <c r="Z41" s="7" t="n">
        <v>12842.4</v>
      </c>
      <c r="AB41" s="7" t="n">
        <v>197711.6</v>
      </c>
    </row>
    <row r="42">
      <c r="A42" s="4" t="inlineStr">
        <is>
          <t>水电物业费</t>
        </is>
      </c>
      <c r="D42" s="7" t="n">
        <v>4439.2</v>
      </c>
      <c r="F42" s="7" t="n">
        <v>3518.7</v>
      </c>
      <c r="H42" s="7" t="n">
        <v>5444.7</v>
      </c>
      <c r="J42" s="7" t="n">
        <v>6984.2</v>
      </c>
      <c r="L42" s="7" t="n">
        <v>7082.9</v>
      </c>
      <c r="N42" s="7" t="n">
        <v>12336.5</v>
      </c>
      <c r="P42" s="7" t="n">
        <v>6705.3</v>
      </c>
      <c r="R42" s="7" t="n">
        <v>5670.7</v>
      </c>
      <c r="T42" s="7" t="n">
        <v>9970.299999999999</v>
      </c>
      <c r="V42" s="7" t="n">
        <v>8914</v>
      </c>
      <c r="X42" s="7" t="n">
        <v>9993.9</v>
      </c>
      <c r="Z42" s="7" t="n">
        <v>4172.5</v>
      </c>
      <c r="AB42" s="7" t="n">
        <v>85232.89999999999</v>
      </c>
    </row>
    <row r="43">
      <c r="A43" s="4" t="inlineStr">
        <is>
          <t>员工餐</t>
        </is>
      </c>
      <c r="D43" s="7" t="n">
        <v>7710.3</v>
      </c>
      <c r="F43" s="7" t="n">
        <v>5310</v>
      </c>
      <c r="H43" s="7" t="n">
        <v>6896.4</v>
      </c>
      <c r="J43" s="7" t="n">
        <v>7558.4</v>
      </c>
      <c r="L43" s="7" t="n">
        <v>9106.4</v>
      </c>
      <c r="N43" s="7" t="n">
        <v>10950.1</v>
      </c>
      <c r="P43" s="7" t="n">
        <v>8227.1</v>
      </c>
      <c r="R43" s="7" t="n">
        <v>5812</v>
      </c>
      <c r="T43" s="7" t="n">
        <v>11644.5</v>
      </c>
      <c r="V43" s="7" t="n">
        <v>7750.1</v>
      </c>
      <c r="X43" s="7" t="n">
        <v>11810.5</v>
      </c>
      <c r="Z43" s="7" t="n">
        <v>5314</v>
      </c>
      <c r="AB43" s="7" t="n">
        <v>98089.8</v>
      </c>
    </row>
    <row r="44">
      <c r="A44" s="4" t="inlineStr">
        <is>
          <t>节日礼品</t>
        </is>
      </c>
      <c r="D44" s="7" t="n">
        <v>6876.6</v>
      </c>
      <c r="F44" s="7" t="n">
        <v>4672.1</v>
      </c>
      <c r="H44" s="7" t="n">
        <v>7201.1</v>
      </c>
      <c r="J44" s="7" t="n">
        <v>7754</v>
      </c>
      <c r="L44" s="7" t="n">
        <v>9564.799999999999</v>
      </c>
      <c r="N44" s="7" t="n">
        <v>12754.6</v>
      </c>
      <c r="P44" s="7" t="n">
        <v>7361.5</v>
      </c>
      <c r="R44" s="7" t="n">
        <v>3940.4</v>
      </c>
      <c r="T44" s="7" t="n">
        <v>12194.6</v>
      </c>
      <c r="V44" s="7" t="n">
        <v>8093.3</v>
      </c>
      <c r="X44" s="7" t="n">
        <v>10957.3</v>
      </c>
      <c r="Z44" s="7" t="n">
        <v>4892.1</v>
      </c>
      <c r="AB44" s="7" t="n">
        <v>96262.39999999999</v>
      </c>
    </row>
    <row r="45">
      <c r="A45" s="4" t="inlineStr">
        <is>
          <t>生日礼品</t>
        </is>
      </c>
      <c r="D45" s="7" t="n">
        <v>5171.6</v>
      </c>
      <c r="F45" s="7" t="n">
        <v>5655.4</v>
      </c>
      <c r="H45" s="7" t="n">
        <v>8240.5</v>
      </c>
      <c r="J45" s="7" t="n">
        <v>9139.9</v>
      </c>
      <c r="L45" s="7" t="n">
        <v>10037.9</v>
      </c>
      <c r="N45" s="7" t="n">
        <v>14059.3</v>
      </c>
      <c r="P45" s="7" t="n">
        <v>10830.7</v>
      </c>
      <c r="R45" s="7" t="n">
        <v>5702.2</v>
      </c>
      <c r="T45" s="7" t="n">
        <v>12752.1</v>
      </c>
      <c r="V45" s="7" t="n">
        <v>9880.9</v>
      </c>
      <c r="X45" s="7" t="n">
        <v>10686.5</v>
      </c>
      <c r="Z45" s="7" t="n">
        <v>5847.9</v>
      </c>
      <c r="AB45" s="7" t="n">
        <v>108004.9</v>
      </c>
    </row>
    <row r="46">
      <c r="A46" s="4" t="inlineStr">
        <is>
          <t>体检</t>
        </is>
      </c>
      <c r="D46" s="7" t="n">
        <v>8377.1</v>
      </c>
      <c r="F46" s="7" t="n">
        <v>5259.6</v>
      </c>
      <c r="H46" s="7" t="n">
        <v>7851.5</v>
      </c>
      <c r="J46" s="7" t="n">
        <v>7066.2</v>
      </c>
      <c r="L46" s="7" t="n">
        <v>11628.6</v>
      </c>
      <c r="N46" s="7" t="n">
        <v>18092.7</v>
      </c>
      <c r="P46" s="7" t="n">
        <v>8830</v>
      </c>
      <c r="R46" s="7" t="n">
        <v>8734.1</v>
      </c>
      <c r="T46" s="7" t="n">
        <v>13047.9</v>
      </c>
      <c r="V46" s="7" t="n">
        <v>7611.8</v>
      </c>
      <c r="X46" s="7" t="n">
        <v>13457.9</v>
      </c>
      <c r="Z46" s="7" t="n">
        <v>6759.2</v>
      </c>
      <c r="AB46" s="7" t="n">
        <v>116716.6</v>
      </c>
    </row>
    <row r="47">
      <c r="A47" s="4" t="inlineStr">
        <is>
          <t>其他福利支出</t>
        </is>
      </c>
      <c r="D47" s="7" t="n">
        <v>14410.5</v>
      </c>
      <c r="F47" s="7" t="n">
        <v>16143.3</v>
      </c>
      <c r="H47" s="7" t="n">
        <v>17407.8</v>
      </c>
      <c r="J47" s="7" t="n">
        <v>15441.1</v>
      </c>
      <c r="L47" s="7" t="n">
        <v>23142.5</v>
      </c>
      <c r="N47" s="7" t="n">
        <v>30988</v>
      </c>
      <c r="P47" s="7" t="n">
        <v>14682.2</v>
      </c>
      <c r="R47" s="7" t="n">
        <v>10481.3</v>
      </c>
      <c r="T47" s="7" t="n">
        <v>21022.6</v>
      </c>
      <c r="V47" s="7" t="n">
        <v>19275.1</v>
      </c>
      <c r="X47" s="7" t="n">
        <v>20245.2</v>
      </c>
      <c r="Z47" s="7" t="n">
        <v>15237.8</v>
      </c>
      <c r="AB47" s="7" t="n">
        <v>218477.4</v>
      </c>
    </row>
    <row r="48">
      <c r="A48" s="4" t="inlineStr">
        <is>
          <t>招聘费</t>
        </is>
      </c>
      <c r="D48" s="7" t="n">
        <v>9276.5</v>
      </c>
      <c r="F48" s="7" t="n">
        <v>8848.9</v>
      </c>
      <c r="H48" s="7" t="n">
        <v>7808.7</v>
      </c>
      <c r="J48" s="7" t="n">
        <v>15817.7</v>
      </c>
      <c r="L48" s="7" t="n">
        <v>17070</v>
      </c>
      <c r="N48" s="7" t="n">
        <v>17674.7</v>
      </c>
      <c r="P48" s="7" t="n">
        <v>11808.4</v>
      </c>
      <c r="R48" s="7" t="n">
        <v>10401.4</v>
      </c>
      <c r="T48" s="7" t="n">
        <v>15445.3</v>
      </c>
      <c r="V48" s="7" t="n">
        <v>14291</v>
      </c>
      <c r="X48" s="7" t="n">
        <v>11858.2</v>
      </c>
      <c r="Z48" s="7" t="n">
        <v>11049.7</v>
      </c>
      <c r="AB48" s="7" t="n">
        <v>151350.5</v>
      </c>
    </row>
    <row r="49">
      <c r="A49" s="4" t="inlineStr">
        <is>
          <t>办公费</t>
        </is>
      </c>
      <c r="D49" s="7" t="n">
        <v>84551.39999999999</v>
      </c>
      <c r="F49" s="7" t="n">
        <v>81212.39999999999</v>
      </c>
      <c r="H49" s="7" t="n">
        <v>111917.4</v>
      </c>
      <c r="J49" s="7" t="n">
        <v>113900</v>
      </c>
      <c r="L49" s="7" t="n">
        <v>156057.6</v>
      </c>
      <c r="N49" s="7" t="n">
        <v>202452.9</v>
      </c>
      <c r="P49" s="7" t="n">
        <v>129316.7</v>
      </c>
      <c r="R49" s="7" t="n">
        <v>55216.9</v>
      </c>
      <c r="T49" s="7" t="n">
        <v>132414.5</v>
      </c>
      <c r="V49" s="7" t="n">
        <v>144299.5</v>
      </c>
      <c r="X49" s="7" t="n">
        <v>139909.2</v>
      </c>
      <c r="Z49" s="7" t="n">
        <v>96105.10000000001</v>
      </c>
      <c r="AB49" s="7" t="n">
        <v>1447353.6</v>
      </c>
    </row>
    <row r="50">
      <c r="A50" s="4" t="inlineStr">
        <is>
          <t>市内交通费</t>
        </is>
      </c>
      <c r="D50" s="7" t="n">
        <v>13130.6</v>
      </c>
      <c r="F50" s="7" t="n">
        <v>9750.799999999999</v>
      </c>
      <c r="H50" s="7" t="n">
        <v>8802.5</v>
      </c>
      <c r="J50" s="7" t="n">
        <v>14753.3</v>
      </c>
      <c r="L50" s="7" t="n">
        <v>17927.2</v>
      </c>
      <c r="N50" s="7" t="n">
        <v>27126.6</v>
      </c>
      <c r="P50" s="7" t="n">
        <v>11571.3</v>
      </c>
      <c r="R50" s="7" t="n">
        <v>10792.9</v>
      </c>
      <c r="T50" s="7" t="n">
        <v>12205.7</v>
      </c>
      <c r="V50" s="7" t="n">
        <v>18058</v>
      </c>
      <c r="X50" s="7" t="n">
        <v>11566.7</v>
      </c>
      <c r="Z50" s="7" t="n">
        <v>7404.8</v>
      </c>
      <c r="AB50" s="7" t="n">
        <v>163090.4</v>
      </c>
    </row>
    <row r="51">
      <c r="A51" s="4" t="inlineStr">
        <is>
          <t>差旅费</t>
        </is>
      </c>
      <c r="D51" s="7" t="n">
        <v>163080.7</v>
      </c>
      <c r="F51" s="7" t="n">
        <v>116324.3</v>
      </c>
      <c r="H51" s="7" t="n">
        <v>193657.6</v>
      </c>
      <c r="J51" s="7" t="n">
        <v>205242.8</v>
      </c>
      <c r="L51" s="7" t="n">
        <v>308652.5</v>
      </c>
      <c r="N51" s="7" t="n">
        <v>446679.9</v>
      </c>
      <c r="P51" s="7" t="n">
        <v>284399.4</v>
      </c>
      <c r="R51" s="7" t="n">
        <v>176065.1</v>
      </c>
      <c r="T51" s="7" t="n">
        <v>198299.9</v>
      </c>
      <c r="V51" s="7" t="n">
        <v>176474.1</v>
      </c>
      <c r="X51" s="7" t="n">
        <v>197209</v>
      </c>
      <c r="Z51" s="7" t="n">
        <v>147580.2</v>
      </c>
      <c r="AB51" s="7" t="n">
        <v>2613665.5</v>
      </c>
    </row>
    <row r="52">
      <c r="A52" s="4" t="inlineStr">
        <is>
          <t>交通费</t>
        </is>
      </c>
      <c r="D52" s="7" t="n">
        <v>13491.4</v>
      </c>
      <c r="F52" s="7" t="n">
        <v>9455.700000000001</v>
      </c>
      <c r="H52" s="7" t="n">
        <v>10111.7</v>
      </c>
      <c r="J52" s="7" t="n">
        <v>19580.4</v>
      </c>
      <c r="L52" s="7" t="n">
        <v>17361</v>
      </c>
      <c r="N52" s="7" t="n">
        <v>23557.9</v>
      </c>
      <c r="P52" s="7" t="n">
        <v>19565.7</v>
      </c>
      <c r="R52" s="7" t="n">
        <v>12642.7</v>
      </c>
      <c r="T52" s="7" t="n">
        <v>21137.2</v>
      </c>
      <c r="V52" s="7" t="n">
        <v>18207.4</v>
      </c>
      <c r="X52" s="7" t="n">
        <v>18456.4</v>
      </c>
      <c r="Z52" s="7" t="n">
        <v>9730.299999999999</v>
      </c>
      <c r="AB52" s="7" t="n">
        <v>193297.8</v>
      </c>
    </row>
    <row r="53">
      <c r="A53" s="4" t="inlineStr">
        <is>
          <t>住宿费</t>
        </is>
      </c>
      <c r="D53" s="7" t="n">
        <v>5119.1</v>
      </c>
      <c r="F53" s="7" t="n">
        <v>3308.6</v>
      </c>
      <c r="H53" s="7" t="n">
        <v>6010.9</v>
      </c>
      <c r="J53" s="7" t="n">
        <v>5134.3</v>
      </c>
      <c r="L53" s="7" t="n">
        <v>6234.4</v>
      </c>
      <c r="N53" s="7" t="n">
        <v>7922</v>
      </c>
      <c r="P53" s="7" t="n">
        <v>7031.8</v>
      </c>
      <c r="R53" s="7" t="n">
        <v>3699.3</v>
      </c>
      <c r="T53" s="7" t="n">
        <v>6588.2</v>
      </c>
      <c r="V53" s="7" t="n">
        <v>7653.8</v>
      </c>
      <c r="X53" s="7" t="n">
        <v>7587.2</v>
      </c>
      <c r="Z53" s="7" t="n">
        <v>3838.6</v>
      </c>
      <c r="AB53" s="7" t="n">
        <v>70128.2</v>
      </c>
    </row>
    <row r="54">
      <c r="A54" s="4" t="inlineStr">
        <is>
          <t>餐补</t>
        </is>
      </c>
      <c r="D54" s="7" t="n">
        <v>2704.7</v>
      </c>
      <c r="F54" s="7" t="n">
        <v>1817.7</v>
      </c>
      <c r="H54" s="7" t="n">
        <v>2981.7</v>
      </c>
      <c r="J54" s="7" t="n">
        <v>3441</v>
      </c>
      <c r="L54" s="7" t="n">
        <v>4491.5</v>
      </c>
      <c r="N54" s="7" t="n">
        <v>5619.2</v>
      </c>
      <c r="P54" s="7" t="n">
        <v>2706.4</v>
      </c>
      <c r="R54" s="7" t="n">
        <v>1792.6</v>
      </c>
      <c r="T54" s="7" t="n">
        <v>4042.3</v>
      </c>
      <c r="V54" s="7" t="n">
        <v>2725.8</v>
      </c>
      <c r="X54" s="7" t="n">
        <v>3076.1</v>
      </c>
      <c r="Z54" s="7" t="n">
        <v>1875.3</v>
      </c>
      <c r="AB54" s="7" t="n">
        <v>37274.3</v>
      </c>
    </row>
    <row r="55">
      <c r="A55" s="4" t="inlineStr">
        <is>
          <t>交通补助</t>
        </is>
      </c>
      <c r="D55" s="7" t="n">
        <v>7894.8</v>
      </c>
      <c r="F55" s="7" t="n">
        <v>7879.4</v>
      </c>
      <c r="H55" s="7" t="n">
        <v>11463.7</v>
      </c>
      <c r="J55" s="7" t="n">
        <v>12693.6</v>
      </c>
      <c r="L55" s="7" t="n">
        <v>10852.9</v>
      </c>
      <c r="N55" s="7" t="n">
        <v>19971.6</v>
      </c>
      <c r="P55" s="7" t="n">
        <v>12802.6</v>
      </c>
      <c r="R55" s="7" t="n">
        <v>6827.8</v>
      </c>
      <c r="T55" s="7" t="n">
        <v>15515.5</v>
      </c>
      <c r="V55" s="7" t="n">
        <v>12022.7</v>
      </c>
      <c r="X55" s="7" t="n">
        <v>13561.5</v>
      </c>
      <c r="Z55" s="7" t="n">
        <v>6315.2</v>
      </c>
      <c r="AB55" s="7" t="n">
        <v>137801.3</v>
      </c>
    </row>
    <row r="56">
      <c r="A56" s="4" t="inlineStr">
        <is>
          <t>通讯补助</t>
        </is>
      </c>
      <c r="D56" s="7" t="n">
        <v>9374.9</v>
      </c>
      <c r="F56" s="7" t="n">
        <v>5051.5</v>
      </c>
      <c r="H56" s="7" t="n">
        <v>9125.5</v>
      </c>
      <c r="J56" s="7" t="n">
        <v>6888.8</v>
      </c>
      <c r="L56" s="7" t="n">
        <v>12328.8</v>
      </c>
      <c r="N56" s="7" t="n">
        <v>20259.3</v>
      </c>
      <c r="P56" s="7" t="n">
        <v>9911.5</v>
      </c>
      <c r="R56" s="7" t="n">
        <v>8785.4</v>
      </c>
      <c r="T56" s="7" t="n">
        <v>14905.3</v>
      </c>
      <c r="V56" s="7" t="n">
        <v>10044.6</v>
      </c>
      <c r="X56" s="7" t="n">
        <v>8856.700000000001</v>
      </c>
      <c r="Z56" s="7" t="n">
        <v>9521.1</v>
      </c>
      <c r="AB56" s="7" t="n">
        <v>125053.4</v>
      </c>
    </row>
    <row r="57">
      <c r="A57" s="4" t="inlineStr">
        <is>
          <t>招待费</t>
        </is>
      </c>
      <c r="D57" s="7" t="n">
        <v>109269.5</v>
      </c>
      <c r="F57" s="7" t="n">
        <v>106641.2</v>
      </c>
      <c r="H57" s="7" t="n">
        <v>144220.7</v>
      </c>
      <c r="J57" s="7" t="n">
        <v>108984.9</v>
      </c>
      <c r="L57" s="7" t="n">
        <v>184484.1</v>
      </c>
      <c r="N57" s="7" t="n">
        <v>242804.6</v>
      </c>
      <c r="P57" s="7" t="n">
        <v>175682.8</v>
      </c>
      <c r="R57" s="7" t="n">
        <v>129767.2</v>
      </c>
      <c r="T57" s="7" t="n">
        <v>223737.8</v>
      </c>
      <c r="V57" s="7" t="n">
        <v>120984.1</v>
      </c>
      <c r="X57" s="7" t="n">
        <v>196051.1</v>
      </c>
      <c r="Z57" s="7" t="n">
        <v>88542.2</v>
      </c>
      <c r="AB57" s="7" t="n">
        <v>1831170.2</v>
      </c>
    </row>
    <row r="58">
      <c r="A58" s="4" t="inlineStr">
        <is>
          <t>通讯费</t>
        </is>
      </c>
      <c r="D58" s="7" t="n">
        <v>23958.2</v>
      </c>
      <c r="F58" s="7" t="n">
        <v>13869.5</v>
      </c>
      <c r="H58" s="7" t="n">
        <v>17419</v>
      </c>
      <c r="J58" s="7" t="n">
        <v>27511.5</v>
      </c>
      <c r="L58" s="7" t="n">
        <v>34011.8</v>
      </c>
      <c r="N58" s="7" t="n">
        <v>45013</v>
      </c>
      <c r="P58" s="7" t="n">
        <v>28639</v>
      </c>
      <c r="R58" s="7" t="n">
        <v>10937.7</v>
      </c>
      <c r="T58" s="7" t="n">
        <v>28131.3</v>
      </c>
      <c r="V58" s="7" t="n">
        <v>17318.3</v>
      </c>
      <c r="X58" s="7" t="n">
        <v>31010</v>
      </c>
      <c r="Z58" s="7" t="n">
        <v>14430.2</v>
      </c>
      <c r="AB58" s="7" t="n">
        <v>292249.5</v>
      </c>
    </row>
    <row r="59">
      <c r="A59" s="4" t="inlineStr">
        <is>
          <t>网络费</t>
        </is>
      </c>
      <c r="D59" s="7" t="n">
        <v>20363</v>
      </c>
      <c r="F59" s="7" t="n">
        <v>15841.7</v>
      </c>
      <c r="H59" s="7" t="n">
        <v>23730.2</v>
      </c>
      <c r="J59" s="7" t="n">
        <v>28386.1</v>
      </c>
      <c r="L59" s="7" t="n">
        <v>28090.2</v>
      </c>
      <c r="N59" s="7" t="n">
        <v>31450.4</v>
      </c>
      <c r="P59" s="7" t="n">
        <v>19284.3</v>
      </c>
      <c r="R59" s="7" t="n">
        <v>13296.7</v>
      </c>
      <c r="T59" s="7" t="n">
        <v>28354.1</v>
      </c>
      <c r="V59" s="7" t="n">
        <v>20819.1</v>
      </c>
      <c r="X59" s="7" t="n">
        <v>20989.9</v>
      </c>
      <c r="Z59" s="7" t="n">
        <v>20354.7</v>
      </c>
      <c r="AB59" s="7" t="n">
        <v>270960.4</v>
      </c>
    </row>
    <row r="60">
      <c r="A60" s="4" t="inlineStr">
        <is>
          <t>修理费</t>
        </is>
      </c>
      <c r="D60" s="7" t="n">
        <v>16512.9</v>
      </c>
      <c r="F60" s="7" t="n">
        <v>14673.9</v>
      </c>
      <c r="H60" s="7" t="n">
        <v>12095.3</v>
      </c>
      <c r="J60" s="7" t="n">
        <v>22751.4</v>
      </c>
      <c r="L60" s="7" t="n">
        <v>28351.6</v>
      </c>
      <c r="N60" s="7" t="n">
        <v>36873.4</v>
      </c>
      <c r="P60" s="7" t="n">
        <v>20269.8</v>
      </c>
      <c r="R60" s="7" t="n">
        <v>10024.6</v>
      </c>
      <c r="T60" s="7" t="n">
        <v>25601.8</v>
      </c>
      <c r="V60" s="7" t="n">
        <v>15797.2</v>
      </c>
      <c r="X60" s="7" t="n">
        <v>16215.6</v>
      </c>
      <c r="Z60" s="7" t="n">
        <v>12741.9</v>
      </c>
      <c r="AB60" s="7" t="n">
        <v>231909.4</v>
      </c>
    </row>
    <row r="61">
      <c r="A61" s="4" t="inlineStr">
        <is>
          <t>车辆费</t>
        </is>
      </c>
      <c r="D61" s="7" t="n">
        <v>4262.9</v>
      </c>
      <c r="F61" s="7" t="n">
        <v>3354.6</v>
      </c>
      <c r="H61" s="7" t="n">
        <v>5428.7</v>
      </c>
      <c r="J61" s="7" t="n">
        <v>7482</v>
      </c>
      <c r="L61" s="7" t="n">
        <v>6328.8</v>
      </c>
      <c r="N61" s="7" t="n">
        <v>10962.4</v>
      </c>
      <c r="P61" s="7" t="n">
        <v>4453.5</v>
      </c>
      <c r="R61" s="7" t="n">
        <v>4566.8</v>
      </c>
      <c r="T61" s="7" t="n">
        <v>8133.6</v>
      </c>
      <c r="V61" s="7" t="n">
        <v>4505.5</v>
      </c>
      <c r="X61" s="7" t="n">
        <v>4999.4</v>
      </c>
      <c r="Z61" s="7" t="n">
        <v>3951.8</v>
      </c>
      <c r="AB61" s="7" t="n">
        <v>68430</v>
      </c>
    </row>
    <row r="62">
      <c r="A62" s="4" t="inlineStr">
        <is>
          <t>租赁费</t>
        </is>
      </c>
      <c r="D62" s="7" t="n">
        <v>144321.1</v>
      </c>
      <c r="F62" s="7" t="n">
        <v>122757.1</v>
      </c>
      <c r="H62" s="7" t="n">
        <v>179162</v>
      </c>
      <c r="J62" s="7" t="n">
        <v>202832</v>
      </c>
      <c r="L62" s="7" t="n">
        <v>195744.7</v>
      </c>
      <c r="N62" s="7" t="n">
        <v>229005.8</v>
      </c>
      <c r="P62" s="7" t="n">
        <v>242032.7</v>
      </c>
      <c r="R62" s="7" t="n">
        <v>112726.5</v>
      </c>
      <c r="T62" s="7" t="n">
        <v>239520.6</v>
      </c>
      <c r="V62" s="7" t="n">
        <v>156196.7</v>
      </c>
      <c r="X62" s="7" t="n">
        <v>155517.1</v>
      </c>
      <c r="Z62" s="7" t="n">
        <v>108814.3</v>
      </c>
      <c r="AB62" s="7" t="n">
        <v>2088630.6</v>
      </c>
    </row>
    <row r="63">
      <c r="A63" s="4" t="inlineStr">
        <is>
          <t>能源费</t>
        </is>
      </c>
      <c r="D63" s="7" t="n">
        <v>55908.2</v>
      </c>
      <c r="F63" s="7" t="n">
        <v>38489.1</v>
      </c>
      <c r="H63" s="7" t="n">
        <v>58861.3</v>
      </c>
      <c r="J63" s="7" t="n">
        <v>55852.2</v>
      </c>
      <c r="L63" s="7" t="n">
        <v>92932.89999999999</v>
      </c>
      <c r="N63" s="7" t="n">
        <v>123713.9</v>
      </c>
      <c r="P63" s="7" t="n">
        <v>59764.6</v>
      </c>
      <c r="R63" s="7" t="n">
        <v>49700.3</v>
      </c>
      <c r="T63" s="7" t="n">
        <v>79379</v>
      </c>
      <c r="V63" s="7" t="n">
        <v>69472.8</v>
      </c>
      <c r="X63" s="7" t="n">
        <v>73862</v>
      </c>
      <c r="Z63" s="7" t="n">
        <v>50735</v>
      </c>
      <c r="AB63" s="7" t="n">
        <v>808671.3</v>
      </c>
    </row>
    <row r="64">
      <c r="A64" s="4" t="inlineStr">
        <is>
          <t>水费</t>
        </is>
      </c>
      <c r="D64" s="7" t="n">
        <v>10060.5</v>
      </c>
      <c r="F64" s="7" t="n">
        <v>5363.6</v>
      </c>
      <c r="H64" s="7" t="n">
        <v>8812.1</v>
      </c>
      <c r="J64" s="7" t="n">
        <v>7805.7</v>
      </c>
      <c r="L64" s="7" t="n">
        <v>13305.6</v>
      </c>
      <c r="N64" s="7" t="n">
        <v>17472.4</v>
      </c>
      <c r="P64" s="7" t="n">
        <v>11842.4</v>
      </c>
      <c r="R64" s="7" t="n">
        <v>5948.6</v>
      </c>
      <c r="T64" s="7" t="n">
        <v>11776.3</v>
      </c>
      <c r="V64" s="7" t="n">
        <v>11140.7</v>
      </c>
      <c r="X64" s="7" t="n">
        <v>8990.299999999999</v>
      </c>
      <c r="Z64" s="7" t="n">
        <v>6627.6</v>
      </c>
      <c r="AB64" s="7" t="n">
        <v>119145.8</v>
      </c>
    </row>
    <row r="65">
      <c r="A65" s="4" t="inlineStr">
        <is>
          <t>电费</t>
        </is>
      </c>
      <c r="D65" s="7" t="n">
        <v>8829.5</v>
      </c>
      <c r="F65" s="7" t="n">
        <v>9432.4</v>
      </c>
      <c r="H65" s="7" t="n">
        <v>13127.7</v>
      </c>
      <c r="J65" s="7" t="n">
        <v>13437.6</v>
      </c>
      <c r="L65" s="7" t="n">
        <v>17019.5</v>
      </c>
      <c r="N65" s="7" t="n">
        <v>22142.9</v>
      </c>
      <c r="P65" s="7" t="n">
        <v>10881.5</v>
      </c>
      <c r="R65" s="7" t="n">
        <v>9608.1</v>
      </c>
      <c r="T65" s="7" t="n">
        <v>20295.6</v>
      </c>
      <c r="V65" s="7" t="n">
        <v>16291.5</v>
      </c>
      <c r="X65" s="7" t="n">
        <v>14293.8</v>
      </c>
      <c r="Z65" s="7" t="n">
        <v>12504</v>
      </c>
      <c r="AB65" s="7" t="n">
        <v>167864.1</v>
      </c>
    </row>
    <row r="66">
      <c r="A66" s="4" t="inlineStr">
        <is>
          <t>燃气费</t>
        </is>
      </c>
      <c r="D66" s="7" t="n">
        <v>15668.6</v>
      </c>
      <c r="F66" s="7" t="n">
        <v>8717.9</v>
      </c>
      <c r="H66" s="7" t="n">
        <v>12844.2</v>
      </c>
      <c r="J66" s="7" t="n">
        <v>13052.2</v>
      </c>
      <c r="L66" s="7" t="n">
        <v>27997.4</v>
      </c>
      <c r="N66" s="7" t="n">
        <v>36653.6</v>
      </c>
      <c r="P66" s="7" t="n">
        <v>14045</v>
      </c>
      <c r="R66" s="7" t="n">
        <v>15843.9</v>
      </c>
      <c r="T66" s="7" t="n">
        <v>15761.4</v>
      </c>
      <c r="V66" s="7" t="n">
        <v>17369.4</v>
      </c>
      <c r="X66" s="7" t="n">
        <v>22644.6</v>
      </c>
      <c r="Z66" s="7" t="n">
        <v>15583.5</v>
      </c>
      <c r="AB66" s="7" t="n">
        <v>216181.7</v>
      </c>
    </row>
    <row r="67">
      <c r="A67" s="4" t="inlineStr">
        <is>
          <t>蒸汽费</t>
        </is>
      </c>
      <c r="D67" s="7" t="n">
        <v>21349.6</v>
      </c>
      <c r="F67" s="7" t="n">
        <v>14975.2</v>
      </c>
      <c r="H67" s="7" t="n">
        <v>24077.3</v>
      </c>
      <c r="J67" s="7" t="n">
        <v>21556.7</v>
      </c>
      <c r="L67" s="7" t="n">
        <v>34610.4</v>
      </c>
      <c r="N67" s="7" t="n">
        <v>47445</v>
      </c>
      <c r="P67" s="7" t="n">
        <v>22995.7</v>
      </c>
      <c r="R67" s="7" t="n">
        <v>18299.7</v>
      </c>
      <c r="T67" s="7" t="n">
        <v>31545.7</v>
      </c>
      <c r="V67" s="7" t="n">
        <v>24671.2</v>
      </c>
      <c r="X67" s="7" t="n">
        <v>27933.3</v>
      </c>
      <c r="Z67" s="7" t="n">
        <v>16019.9</v>
      </c>
      <c r="AB67" s="7" t="n">
        <v>305479.7</v>
      </c>
    </row>
    <row r="68">
      <c r="A68" s="4" t="inlineStr">
        <is>
          <t>物业费</t>
        </is>
      </c>
      <c r="D68" s="7" t="n">
        <v>3661.3</v>
      </c>
      <c r="F68" s="7" t="n">
        <v>2918.6</v>
      </c>
      <c r="H68" s="7" t="n">
        <v>3853.3</v>
      </c>
      <c r="J68" s="7" t="n">
        <v>3526.9</v>
      </c>
      <c r="L68" s="7" t="n">
        <v>3628.2</v>
      </c>
      <c r="N68" s="7" t="n">
        <v>4965</v>
      </c>
      <c r="P68" s="7" t="n">
        <v>3984.8</v>
      </c>
      <c r="R68" s="7" t="n">
        <v>3321.7</v>
      </c>
      <c r="T68" s="7" t="n">
        <v>5385.4</v>
      </c>
      <c r="V68" s="7" t="n">
        <v>4481.2</v>
      </c>
      <c r="X68" s="7" t="n">
        <v>5571.2</v>
      </c>
      <c r="Z68" s="7" t="n">
        <v>2729</v>
      </c>
      <c r="AB68" s="7" t="n">
        <v>48026.6</v>
      </c>
    </row>
    <row r="69">
      <c r="A69" s="4" t="inlineStr">
        <is>
          <t>劳动保护费</t>
        </is>
      </c>
      <c r="D69" s="7" t="n">
        <v>6011.1</v>
      </c>
      <c r="F69" s="7" t="n">
        <v>7024.9</v>
      </c>
      <c r="H69" s="7" t="n">
        <v>7462.6</v>
      </c>
      <c r="J69" s="7" t="n">
        <v>6299.8</v>
      </c>
      <c r="L69" s="7" t="n">
        <v>11884.4</v>
      </c>
      <c r="N69" s="7" t="n">
        <v>12840.1</v>
      </c>
      <c r="P69" s="7" t="n">
        <v>10196.1</v>
      </c>
      <c r="R69" s="7" t="n">
        <v>7178.7</v>
      </c>
      <c r="T69" s="7" t="n">
        <v>7217.3</v>
      </c>
      <c r="V69" s="7" t="n">
        <v>7024.3</v>
      </c>
      <c r="X69" s="7" t="n">
        <v>6882.8</v>
      </c>
      <c r="Z69" s="7" t="n">
        <v>4492.3</v>
      </c>
      <c r="AB69" s="7" t="n">
        <v>94514.39999999999</v>
      </c>
    </row>
    <row r="70">
      <c r="A70" s="4" t="inlineStr">
        <is>
          <t>顾问费</t>
        </is>
      </c>
      <c r="D70" s="7" t="n">
        <v>13458.3</v>
      </c>
      <c r="F70" s="7" t="n">
        <v>7007.2</v>
      </c>
      <c r="H70" s="7" t="n">
        <v>12992.9</v>
      </c>
      <c r="J70" s="7" t="n">
        <v>13339.9</v>
      </c>
      <c r="L70" s="7" t="n">
        <v>14550.1</v>
      </c>
      <c r="N70" s="7" t="n">
        <v>19349.7</v>
      </c>
      <c r="P70" s="7" t="n">
        <v>18497.5</v>
      </c>
      <c r="R70" s="7" t="n">
        <v>7395</v>
      </c>
      <c r="T70" s="7" t="n">
        <v>17610.7</v>
      </c>
      <c r="V70" s="7" t="n">
        <v>12865.3</v>
      </c>
      <c r="X70" s="7" t="n">
        <v>18589.3</v>
      </c>
      <c r="Z70" s="7" t="n">
        <v>12268.9</v>
      </c>
      <c r="AB70" s="7" t="n">
        <v>167924.8</v>
      </c>
    </row>
    <row r="71">
      <c r="A71" s="4" t="inlineStr">
        <is>
          <t>快递费</t>
        </is>
      </c>
      <c r="D71" s="7" t="n">
        <v>6775.1</v>
      </c>
      <c r="F71" s="7" t="n">
        <v>5657</v>
      </c>
      <c r="H71" s="7" t="n">
        <v>5405.4</v>
      </c>
      <c r="J71" s="7" t="n">
        <v>6660.6</v>
      </c>
      <c r="L71" s="7" t="n">
        <v>7257.5</v>
      </c>
      <c r="N71" s="7" t="n">
        <v>13626.5</v>
      </c>
      <c r="P71" s="7" t="n">
        <v>6744.4</v>
      </c>
      <c r="R71" s="7" t="n">
        <v>4732.2</v>
      </c>
      <c r="T71" s="7" t="n">
        <v>6903.9</v>
      </c>
      <c r="V71" s="7" t="n">
        <v>9971.1</v>
      </c>
      <c r="X71" s="7" t="n">
        <v>10236.8</v>
      </c>
      <c r="Z71" s="7" t="n">
        <v>7166</v>
      </c>
      <c r="AB71" s="7" t="n">
        <v>91136.5</v>
      </c>
    </row>
    <row r="72">
      <c r="A72" s="4" t="inlineStr">
        <is>
          <t>诉讼费</t>
        </is>
      </c>
      <c r="D72" s="7" t="n">
        <v>12012.6</v>
      </c>
      <c r="F72" s="7" t="n">
        <v>10036.4</v>
      </c>
      <c r="H72" s="7" t="n">
        <v>15259.3</v>
      </c>
      <c r="J72" s="7" t="n">
        <v>18771.3</v>
      </c>
      <c r="L72" s="7" t="n">
        <v>19989.3</v>
      </c>
      <c r="N72" s="7" t="n">
        <v>28587</v>
      </c>
      <c r="P72" s="7" t="n">
        <v>14171</v>
      </c>
      <c r="R72" s="7" t="n">
        <v>10022.5</v>
      </c>
      <c r="T72" s="7" t="n">
        <v>14526.3</v>
      </c>
      <c r="V72" s="7" t="n">
        <v>14279.2</v>
      </c>
      <c r="X72" s="7" t="n">
        <v>18863.9</v>
      </c>
      <c r="Z72" s="7" t="n">
        <v>11101.5</v>
      </c>
      <c r="AB72" s="7" t="n">
        <v>187620.3</v>
      </c>
    </row>
    <row r="73">
      <c r="A73" s="4" t="inlineStr">
        <is>
          <t>会员费</t>
        </is>
      </c>
      <c r="D73" s="7" t="n">
        <v>15005.3</v>
      </c>
      <c r="F73" s="7" t="n">
        <v>15353.6</v>
      </c>
      <c r="H73" s="7" t="n">
        <v>19091.9</v>
      </c>
      <c r="J73" s="7" t="n">
        <v>25144.5</v>
      </c>
      <c r="L73" s="7" t="n">
        <v>25513.5</v>
      </c>
      <c r="N73" s="7" t="n">
        <v>42401.6</v>
      </c>
      <c r="P73" s="7" t="n">
        <v>22314.9</v>
      </c>
      <c r="R73" s="7" t="n">
        <v>11173.9</v>
      </c>
      <c r="T73" s="7" t="n">
        <v>21111.7</v>
      </c>
      <c r="V73" s="7" t="n">
        <v>17200.3</v>
      </c>
      <c r="X73" s="7" t="n">
        <v>24159.4</v>
      </c>
      <c r="Z73" s="7" t="n">
        <v>19183.1</v>
      </c>
      <c r="AB73" s="7" t="n">
        <v>257653.7</v>
      </c>
    </row>
    <row r="74">
      <c r="A74" s="4" t="inlineStr">
        <is>
          <t>广告宣传费</t>
        </is>
      </c>
      <c r="D74" s="7" t="n">
        <v>110923.1</v>
      </c>
      <c r="F74" s="7" t="n">
        <v>55560.2</v>
      </c>
      <c r="H74" s="7" t="n">
        <v>98605.89999999999</v>
      </c>
      <c r="J74" s="7" t="n">
        <v>88312.3</v>
      </c>
      <c r="L74" s="7" t="n">
        <v>114067.5</v>
      </c>
      <c r="N74" s="7" t="n">
        <v>196925.8</v>
      </c>
      <c r="P74" s="7" t="n">
        <v>123381.7</v>
      </c>
      <c r="R74" s="7" t="n">
        <v>94408</v>
      </c>
      <c r="T74" s="7" t="n">
        <v>109305.9</v>
      </c>
      <c r="V74" s="7" t="n">
        <v>130410.5</v>
      </c>
      <c r="X74" s="7" t="n">
        <v>135703.9</v>
      </c>
      <c r="Z74" s="7" t="n">
        <v>85355.39999999999</v>
      </c>
      <c r="AB74" s="7" t="n">
        <v>1342960.2</v>
      </c>
    </row>
    <row r="75">
      <c r="A75" s="4" t="inlineStr">
        <is>
          <t>会务费</t>
        </is>
      </c>
      <c r="D75" s="7" t="n">
        <v>11752.1</v>
      </c>
      <c r="F75" s="7" t="n">
        <v>6933.9</v>
      </c>
      <c r="H75" s="7" t="n">
        <v>11602.3</v>
      </c>
      <c r="J75" s="7" t="n">
        <v>8059.6</v>
      </c>
      <c r="L75" s="7" t="n">
        <v>17522</v>
      </c>
      <c r="N75" s="7" t="n">
        <v>23868.8</v>
      </c>
      <c r="P75" s="7" t="n">
        <v>9380.799999999999</v>
      </c>
      <c r="R75" s="7" t="n">
        <v>10503.3</v>
      </c>
      <c r="T75" s="7" t="n">
        <v>13911.7</v>
      </c>
      <c r="V75" s="7" t="n">
        <v>9986.6</v>
      </c>
      <c r="X75" s="7" t="n">
        <v>13318.2</v>
      </c>
      <c r="Z75" s="7" t="n">
        <v>7107.4</v>
      </c>
      <c r="AB75" s="7" t="n">
        <v>143946.7</v>
      </c>
    </row>
    <row r="76">
      <c r="A76" s="4" t="inlineStr">
        <is>
          <t>装修费</t>
        </is>
      </c>
      <c r="D76" s="7" t="n">
        <v>18936.8</v>
      </c>
      <c r="F76" s="7" t="n">
        <v>17142.4</v>
      </c>
      <c r="H76" s="7" t="n">
        <v>16137.1</v>
      </c>
      <c r="J76" s="7" t="n">
        <v>22131.7</v>
      </c>
      <c r="L76" s="7" t="n">
        <v>24260.2</v>
      </c>
      <c r="N76" s="7" t="n">
        <v>30569.8</v>
      </c>
      <c r="P76" s="7" t="n">
        <v>23423.1</v>
      </c>
      <c r="R76" s="7" t="n">
        <v>15400.9</v>
      </c>
      <c r="T76" s="7" t="n">
        <v>20419</v>
      </c>
      <c r="V76" s="7" t="n">
        <v>29056.6</v>
      </c>
      <c r="X76" s="7" t="n">
        <v>23486.7</v>
      </c>
      <c r="Z76" s="7" t="n">
        <v>19852.7</v>
      </c>
      <c r="AB76" s="7" t="n">
        <v>260817</v>
      </c>
    </row>
    <row r="77">
      <c r="A77" s="4" t="inlineStr">
        <is>
          <t>推广费</t>
        </is>
      </c>
      <c r="D77" s="7" t="n">
        <v>16923.7</v>
      </c>
      <c r="F77" s="7" t="n">
        <v>13938.8</v>
      </c>
      <c r="H77" s="7" t="n">
        <v>18018.1</v>
      </c>
      <c r="J77" s="7" t="n">
        <v>18050</v>
      </c>
      <c r="L77" s="7" t="n">
        <v>20850.3</v>
      </c>
      <c r="N77" s="7" t="n">
        <v>30526.4</v>
      </c>
      <c r="P77" s="7" t="n">
        <v>29282.2</v>
      </c>
      <c r="R77" s="7" t="n">
        <v>16144.6</v>
      </c>
      <c r="T77" s="7" t="n">
        <v>25544.3</v>
      </c>
      <c r="V77" s="7" t="n">
        <v>17828.2</v>
      </c>
      <c r="X77" s="7" t="n">
        <v>21463.7</v>
      </c>
      <c r="Z77" s="7" t="n">
        <v>15288.9</v>
      </c>
      <c r="AB77" s="7" t="n">
        <v>243859.2</v>
      </c>
    </row>
    <row r="78">
      <c r="A78" s="4" t="inlineStr">
        <is>
          <t>展会费</t>
        </is>
      </c>
      <c r="D78" s="7" t="n">
        <v>16715.3</v>
      </c>
      <c r="F78" s="7" t="n">
        <v>14639</v>
      </c>
      <c r="H78" s="7" t="n">
        <v>17584.2</v>
      </c>
      <c r="J78" s="7" t="n">
        <v>16878.9</v>
      </c>
      <c r="L78" s="7" t="n">
        <v>28786.4</v>
      </c>
      <c r="N78" s="7" t="n">
        <v>41579</v>
      </c>
      <c r="P78" s="7" t="n">
        <v>22967.1</v>
      </c>
      <c r="R78" s="7" t="n">
        <v>13968.6</v>
      </c>
      <c r="T78" s="7" t="n">
        <v>19617.8</v>
      </c>
      <c r="V78" s="7" t="n">
        <v>24165</v>
      </c>
      <c r="X78" s="7" t="n">
        <v>17463.6</v>
      </c>
      <c r="Z78" s="7" t="n">
        <v>17002.9</v>
      </c>
      <c r="AB78" s="7" t="n">
        <v>251367.8</v>
      </c>
    </row>
    <row r="79">
      <c r="A79" s="4" t="inlineStr">
        <is>
          <t>设计费</t>
        </is>
      </c>
      <c r="D79" s="7" t="n">
        <v>12249.6</v>
      </c>
      <c r="F79" s="7" t="n">
        <v>8048.1</v>
      </c>
      <c r="H79" s="7" t="n">
        <v>10064.1</v>
      </c>
      <c r="J79" s="7" t="n">
        <v>8511</v>
      </c>
      <c r="L79" s="7" t="n">
        <v>10184.5</v>
      </c>
      <c r="N79" s="7" t="n">
        <v>22995.2</v>
      </c>
      <c r="P79" s="7" t="n">
        <v>15716.4</v>
      </c>
      <c r="R79" s="7" t="n">
        <v>9062.200000000001</v>
      </c>
      <c r="T79" s="7" t="n">
        <v>16628.5</v>
      </c>
      <c r="V79" s="7" t="n">
        <v>11398.1</v>
      </c>
      <c r="X79" s="7" t="n">
        <v>15390.2</v>
      </c>
      <c r="Z79" s="7" t="n">
        <v>7381.8</v>
      </c>
      <c r="AB79" s="7" t="n">
        <v>147629.7</v>
      </c>
    </row>
    <row r="80">
      <c r="A80" s="4" t="inlineStr">
        <is>
          <t>折旧费</t>
        </is>
      </c>
      <c r="D80" s="7" t="n">
        <v>137618.2</v>
      </c>
      <c r="F80" s="7" t="n">
        <v>69178</v>
      </c>
      <c r="H80" s="7" t="n">
        <v>116260.6</v>
      </c>
      <c r="J80" s="7" t="n">
        <v>133603</v>
      </c>
      <c r="L80" s="7" t="n">
        <v>189115.5</v>
      </c>
      <c r="N80" s="7" t="n">
        <v>261580.8</v>
      </c>
      <c r="P80" s="7" t="n">
        <v>165773</v>
      </c>
      <c r="R80" s="7" t="n">
        <v>101790.3</v>
      </c>
      <c r="T80" s="7" t="n">
        <v>177979.5</v>
      </c>
      <c r="V80" s="7" t="n">
        <v>105794.7</v>
      </c>
      <c r="X80" s="7" t="n">
        <v>164417.4</v>
      </c>
      <c r="Z80" s="7" t="n">
        <v>77729.60000000001</v>
      </c>
      <c r="AB80" s="7" t="n">
        <v>1700840.6</v>
      </c>
    </row>
    <row r="81">
      <c r="A81" s="4" t="inlineStr">
        <is>
          <t>认证费</t>
        </is>
      </c>
      <c r="D81" s="7" t="n">
        <v>9187.5</v>
      </c>
      <c r="F81" s="7" t="n">
        <v>10948.5</v>
      </c>
      <c r="H81" s="7" t="n">
        <v>7142.4</v>
      </c>
      <c r="J81" s="7" t="n">
        <v>14908.3</v>
      </c>
      <c r="L81" s="7" t="n">
        <v>16930.2</v>
      </c>
      <c r="N81" s="7" t="n">
        <v>24428.8</v>
      </c>
      <c r="P81" s="7" t="n">
        <v>16753.5</v>
      </c>
      <c r="R81" s="7" t="n">
        <v>6820</v>
      </c>
      <c r="T81" s="7" t="n">
        <v>11791.3</v>
      </c>
      <c r="V81" s="7" t="n">
        <v>10295.4</v>
      </c>
      <c r="X81" s="7" t="n">
        <v>11282.5</v>
      </c>
      <c r="Z81" s="7" t="n">
        <v>9691.9</v>
      </c>
      <c r="AB81" s="7" t="n">
        <v>150180.3</v>
      </c>
    </row>
    <row r="82">
      <c r="A82" s="4" t="inlineStr">
        <is>
          <t>样品费</t>
        </is>
      </c>
      <c r="D82" s="7" t="n">
        <v>72776.60000000001</v>
      </c>
      <c r="F82" s="7" t="n">
        <v>42184</v>
      </c>
      <c r="H82" s="7" t="n">
        <v>54347.3</v>
      </c>
      <c r="J82" s="7" t="n">
        <v>66795</v>
      </c>
      <c r="L82" s="7" t="n">
        <v>83334.39999999999</v>
      </c>
      <c r="N82" s="7" t="n">
        <v>123531.7</v>
      </c>
      <c r="P82" s="7" t="n">
        <v>100257.5</v>
      </c>
      <c r="R82" s="7" t="n">
        <v>42956.5</v>
      </c>
      <c r="T82" s="7" t="n">
        <v>99541.89999999999</v>
      </c>
      <c r="V82" s="7" t="n">
        <v>90825.39999999999</v>
      </c>
      <c r="X82" s="7" t="n">
        <v>87093.10000000001</v>
      </c>
      <c r="Z82" s="7" t="n">
        <v>66776.10000000001</v>
      </c>
      <c r="AB82" s="7" t="n">
        <v>930419.5</v>
      </c>
    </row>
    <row r="83">
      <c r="A83" s="4" t="inlineStr">
        <is>
          <t>劳务费</t>
        </is>
      </c>
      <c r="D83" s="7" t="n">
        <v>11524.4</v>
      </c>
      <c r="F83" s="7" t="n">
        <v>11325.8</v>
      </c>
      <c r="H83" s="7" t="n">
        <v>14883.6</v>
      </c>
      <c r="J83" s="7" t="n">
        <v>13210.8</v>
      </c>
      <c r="L83" s="7" t="n">
        <v>15520.6</v>
      </c>
      <c r="N83" s="7" t="n">
        <v>23771.9</v>
      </c>
      <c r="P83" s="7" t="n">
        <v>19291.9</v>
      </c>
      <c r="R83" s="7" t="n">
        <v>12296.5</v>
      </c>
      <c r="T83" s="7" t="n">
        <v>26134.3</v>
      </c>
      <c r="V83" s="7" t="n">
        <v>19453.1</v>
      </c>
      <c r="X83" s="7" t="n">
        <v>24123.4</v>
      </c>
      <c r="Z83" s="7" t="n">
        <v>10364.9</v>
      </c>
      <c r="AB83" s="7" t="n">
        <v>201901.2</v>
      </c>
    </row>
    <row r="84">
      <c r="A84" s="4" t="inlineStr">
        <is>
          <t>销售佣金</t>
        </is>
      </c>
      <c r="D84" s="7" t="n">
        <v>7689.2</v>
      </c>
      <c r="F84" s="7" t="n">
        <v>7020.1</v>
      </c>
      <c r="H84" s="7" t="n">
        <v>12247.4</v>
      </c>
      <c r="J84" s="7" t="n">
        <v>15431.7</v>
      </c>
      <c r="L84" s="7" t="n">
        <v>15068.2</v>
      </c>
      <c r="N84" s="7" t="n">
        <v>14987.2</v>
      </c>
      <c r="P84" s="7" t="n">
        <v>9989.200000000001</v>
      </c>
      <c r="R84" s="7" t="n">
        <v>11176.5</v>
      </c>
      <c r="T84" s="7" t="n">
        <v>19242.4</v>
      </c>
      <c r="V84" s="7" t="n">
        <v>13507.9</v>
      </c>
      <c r="X84" s="7" t="n">
        <v>9938.200000000001</v>
      </c>
      <c r="Z84" s="7" t="n">
        <v>11966.3</v>
      </c>
      <c r="AB84" s="7" t="n">
        <v>148264.3</v>
      </c>
    </row>
    <row r="85">
      <c r="A85" s="4" t="inlineStr">
        <is>
          <t>检测费</t>
        </is>
      </c>
      <c r="D85" s="7" t="n">
        <v>8057.7</v>
      </c>
      <c r="F85" s="7" t="n">
        <v>5319.3</v>
      </c>
      <c r="H85" s="7" t="n">
        <v>6877.3</v>
      </c>
      <c r="J85" s="7" t="n">
        <v>8406.5</v>
      </c>
      <c r="L85" s="7" t="n">
        <v>8550.299999999999</v>
      </c>
      <c r="N85" s="7" t="n">
        <v>9147.4</v>
      </c>
      <c r="P85" s="7" t="n">
        <v>6370.2</v>
      </c>
      <c r="R85" s="7" t="n">
        <v>4475.7</v>
      </c>
      <c r="T85" s="7" t="n">
        <v>11099</v>
      </c>
      <c r="V85" s="7" t="n">
        <v>7232.6</v>
      </c>
      <c r="X85" s="7" t="n">
        <v>10177.8</v>
      </c>
      <c r="Z85" s="7" t="n">
        <v>5095</v>
      </c>
      <c r="AB85" s="7" t="n">
        <v>90808.8</v>
      </c>
    </row>
    <row r="86">
      <c r="A86" s="4" t="inlineStr">
        <is>
          <t>质量赔偿</t>
        </is>
      </c>
      <c r="D86" s="7" t="n">
        <v>11886.7</v>
      </c>
      <c r="F86" s="7" t="n">
        <v>15706.4</v>
      </c>
      <c r="H86" s="7" t="n">
        <v>16282.2</v>
      </c>
      <c r="J86" s="7" t="n">
        <v>17920.7</v>
      </c>
      <c r="L86" s="7" t="n">
        <v>28105.6</v>
      </c>
      <c r="N86" s="7" t="n">
        <v>21567.5</v>
      </c>
      <c r="P86" s="7" t="n">
        <v>18468.1</v>
      </c>
      <c r="R86" s="7" t="n">
        <v>15325.4</v>
      </c>
      <c r="T86" s="7" t="n">
        <v>20084.1</v>
      </c>
      <c r="V86" s="7" t="n">
        <v>21620.3</v>
      </c>
      <c r="X86" s="7" t="n">
        <v>25145.6</v>
      </c>
      <c r="Z86" s="7" t="n">
        <v>12772.6</v>
      </c>
      <c r="AB86" s="7" t="n">
        <v>224885.2</v>
      </c>
    </row>
    <row r="87">
      <c r="A87" s="4" t="inlineStr">
        <is>
          <t>保险费</t>
        </is>
      </c>
      <c r="D87" s="7" t="n">
        <v>11141.5</v>
      </c>
      <c r="F87" s="7" t="n">
        <v>10743.7</v>
      </c>
      <c r="H87" s="7" t="n">
        <v>19035.2</v>
      </c>
      <c r="J87" s="7" t="n">
        <v>18234.2</v>
      </c>
      <c r="L87" s="7" t="n">
        <v>20460.8</v>
      </c>
      <c r="N87" s="7" t="n">
        <v>38136.1</v>
      </c>
      <c r="P87" s="7" t="n">
        <v>18845</v>
      </c>
      <c r="R87" s="7" t="n">
        <v>14445.6</v>
      </c>
      <c r="T87" s="7" t="n">
        <v>24927.5</v>
      </c>
      <c r="V87" s="7" t="n">
        <v>14320.3</v>
      </c>
      <c r="X87" s="7" t="n">
        <v>21662.8</v>
      </c>
      <c r="Z87" s="7" t="n">
        <v>16432.9</v>
      </c>
      <c r="AB87" s="7" t="n">
        <v>228385.6</v>
      </c>
    </row>
    <row r="88">
      <c r="A88" s="4" t="inlineStr">
        <is>
          <t>清洁费</t>
        </is>
      </c>
      <c r="D88" s="7" t="n">
        <v>10720.9</v>
      </c>
      <c r="F88" s="7" t="n">
        <v>9085</v>
      </c>
      <c r="H88" s="7" t="n">
        <v>15264.9</v>
      </c>
      <c r="J88" s="7" t="n">
        <v>18262.8</v>
      </c>
      <c r="L88" s="7" t="n">
        <v>23617.4</v>
      </c>
      <c r="N88" s="7" t="n">
        <v>24740.7</v>
      </c>
      <c r="P88" s="7" t="n">
        <v>13837.1</v>
      </c>
      <c r="R88" s="7" t="n">
        <v>8452</v>
      </c>
      <c r="T88" s="7" t="n">
        <v>18548</v>
      </c>
      <c r="V88" s="7" t="n">
        <v>16092</v>
      </c>
      <c r="X88" s="7" t="n">
        <v>16067.8</v>
      </c>
      <c r="Z88" s="7" t="n">
        <v>10017.1</v>
      </c>
      <c r="AB88" s="7" t="n">
        <v>184705.7</v>
      </c>
    </row>
    <row r="89">
      <c r="A89" s="4" t="inlineStr">
        <is>
          <t>低值易耗品</t>
        </is>
      </c>
      <c r="D89" s="7" t="n">
        <v>3644.8</v>
      </c>
      <c r="F89" s="7" t="n">
        <v>3111.3</v>
      </c>
      <c r="H89" s="7" t="n">
        <v>3362.9</v>
      </c>
      <c r="J89" s="7" t="n">
        <v>3179.6</v>
      </c>
      <c r="L89" s="7" t="n">
        <v>4950.4</v>
      </c>
      <c r="N89" s="7" t="n">
        <v>5521.3</v>
      </c>
      <c r="P89" s="7" t="n">
        <v>5039.8</v>
      </c>
      <c r="R89" s="7" t="n">
        <v>2826.1</v>
      </c>
      <c r="T89" s="7" t="n">
        <v>5128.4</v>
      </c>
      <c r="V89" s="7" t="n">
        <v>4040.1</v>
      </c>
      <c r="X89" s="7" t="n">
        <v>4569.3</v>
      </c>
      <c r="Z89" s="7" t="n">
        <v>2535.5</v>
      </c>
      <c r="AB89" s="7" t="n">
        <v>47909.5</v>
      </c>
    </row>
    <row r="90">
      <c r="A90" s="4" t="inlineStr">
        <is>
          <t>物料消耗</t>
        </is>
      </c>
      <c r="D90" s="7" t="n">
        <v>22478.5</v>
      </c>
      <c r="F90" s="7" t="n">
        <v>18641.8</v>
      </c>
      <c r="H90" s="7" t="n">
        <v>17855</v>
      </c>
      <c r="J90" s="7" t="n">
        <v>17127</v>
      </c>
      <c r="L90" s="7" t="n">
        <v>24225.5</v>
      </c>
      <c r="N90" s="7" t="n">
        <v>27515.9</v>
      </c>
      <c r="P90" s="7" t="n">
        <v>20157.8</v>
      </c>
      <c r="R90" s="7" t="n">
        <v>15127.6</v>
      </c>
      <c r="T90" s="7" t="n">
        <v>19545.2</v>
      </c>
      <c r="V90" s="7" t="n">
        <v>21330.8</v>
      </c>
      <c r="X90" s="7" t="n">
        <v>22443.7</v>
      </c>
      <c r="Z90" s="7" t="n">
        <v>16085.4</v>
      </c>
      <c r="AB90" s="7" t="n">
        <v>242534.2</v>
      </c>
    </row>
    <row r="91">
      <c r="A91" s="4" t="inlineStr">
        <is>
          <t>盘盈盘亏</t>
        </is>
      </c>
      <c r="D91" s="7" t="n">
        <v>1313.6</v>
      </c>
      <c r="F91" s="7" t="n">
        <v>1048.5</v>
      </c>
      <c r="H91" s="7" t="n">
        <v>1570.6</v>
      </c>
      <c r="J91" s="7" t="n">
        <v>1926.1</v>
      </c>
      <c r="L91" s="7" t="n">
        <v>1820.4</v>
      </c>
      <c r="N91" s="7" t="n">
        <v>2291.4</v>
      </c>
      <c r="P91" s="7" t="n">
        <v>1724.8</v>
      </c>
      <c r="R91" s="7" t="n">
        <v>1645.8</v>
      </c>
      <c r="T91" s="7" t="n">
        <v>2033.2</v>
      </c>
      <c r="V91" s="7" t="n">
        <v>2031.7</v>
      </c>
      <c r="X91" s="7" t="n">
        <v>2377.9</v>
      </c>
      <c r="Z91" s="7" t="n">
        <v>1244.4</v>
      </c>
      <c r="AB91" s="7" t="n">
        <v>21028.4</v>
      </c>
    </row>
    <row r="92">
      <c r="A92" s="4" t="inlineStr">
        <is>
          <t>平台服务费</t>
        </is>
      </c>
      <c r="D92" s="7" t="n">
        <v>7988.3</v>
      </c>
      <c r="F92" s="7" t="n">
        <v>6541.6</v>
      </c>
      <c r="H92" s="7" t="n">
        <v>8167</v>
      </c>
      <c r="J92" s="7" t="n">
        <v>6202.7</v>
      </c>
      <c r="L92" s="7" t="n">
        <v>8649.5</v>
      </c>
      <c r="N92" s="7" t="n">
        <v>16550.5</v>
      </c>
      <c r="P92" s="7" t="n">
        <v>6976.3</v>
      </c>
      <c r="R92" s="7" t="n">
        <v>5013.5</v>
      </c>
      <c r="T92" s="7" t="n">
        <v>12580.7</v>
      </c>
      <c r="V92" s="7" t="n">
        <v>10566.1</v>
      </c>
      <c r="X92" s="7" t="n">
        <v>7656.2</v>
      </c>
      <c r="Z92" s="7" t="n">
        <v>6737.8</v>
      </c>
      <c r="AB92" s="7" t="n">
        <v>103630.2</v>
      </c>
    </row>
    <row r="93">
      <c r="A93" s="4" t="inlineStr">
        <is>
          <t>无形资产摊销</t>
        </is>
      </c>
      <c r="D93" s="7" t="n">
        <v>10301.2</v>
      </c>
      <c r="F93" s="7" t="n">
        <v>6673.1</v>
      </c>
      <c r="H93" s="7" t="n">
        <v>8632.5</v>
      </c>
      <c r="J93" s="7" t="n">
        <v>13850</v>
      </c>
      <c r="L93" s="7" t="n">
        <v>13304</v>
      </c>
      <c r="N93" s="7" t="n">
        <v>14706.2</v>
      </c>
      <c r="P93" s="7" t="n">
        <v>12949.4</v>
      </c>
      <c r="R93" s="7" t="n">
        <v>8734.799999999999</v>
      </c>
      <c r="T93" s="7" t="n">
        <v>14826.4</v>
      </c>
      <c r="V93" s="7" t="n">
        <v>13415.7</v>
      </c>
      <c r="X93" s="7" t="n">
        <v>13222.6</v>
      </c>
      <c r="Z93" s="7" t="n">
        <v>11253.2</v>
      </c>
      <c r="AB93" s="7" t="n">
        <v>141869.1</v>
      </c>
    </row>
    <row r="94">
      <c r="A94" s="4" t="inlineStr">
        <is>
          <t>研发材料</t>
        </is>
      </c>
      <c r="D94" s="7" t="n">
        <v>10421</v>
      </c>
      <c r="F94" s="7" t="n">
        <v>7146.5</v>
      </c>
      <c r="H94" s="7" t="n">
        <v>7670.2</v>
      </c>
      <c r="J94" s="7" t="n">
        <v>12209.2</v>
      </c>
      <c r="L94" s="7" t="n">
        <v>15924.5</v>
      </c>
      <c r="N94" s="7" t="n">
        <v>21187.1</v>
      </c>
      <c r="P94" s="7" t="n">
        <v>11086.1</v>
      </c>
      <c r="R94" s="7" t="n">
        <v>7778.2</v>
      </c>
      <c r="T94" s="7" t="n">
        <v>14653</v>
      </c>
      <c r="V94" s="7" t="n">
        <v>9612.5</v>
      </c>
      <c r="X94" s="7" t="n">
        <v>13217.3</v>
      </c>
      <c r="Z94" s="7" t="n">
        <v>9393</v>
      </c>
      <c r="AB94" s="7" t="n">
        <v>140298.6</v>
      </c>
    </row>
    <row r="95">
      <c r="A95" s="4" t="inlineStr">
        <is>
          <t>项目名称</t>
        </is>
      </c>
      <c r="D95" s="7" t="n">
        <v>11786.3</v>
      </c>
      <c r="F95" s="7" t="n">
        <v>16418.9</v>
      </c>
      <c r="H95" s="7" t="n">
        <v>14800.8</v>
      </c>
      <c r="J95" s="7" t="n">
        <v>17592.3</v>
      </c>
      <c r="L95" s="7" t="n">
        <v>22938.7</v>
      </c>
      <c r="N95" s="7" t="n">
        <v>38518.4</v>
      </c>
      <c r="P95" s="7" t="n">
        <v>22348.1</v>
      </c>
      <c r="R95" s="7" t="n">
        <v>13649.6</v>
      </c>
      <c r="T95" s="7" t="n">
        <v>27237.3</v>
      </c>
      <c r="V95" s="7" t="n">
        <v>17801.7</v>
      </c>
      <c r="X95" s="7" t="n">
        <v>25524.6</v>
      </c>
      <c r="Z95" s="7" t="n">
        <v>14534.5</v>
      </c>
      <c r="AB95" s="7" t="n">
        <v>243151.2</v>
      </c>
    </row>
    <row r="96">
      <c r="A96" s="4" t="inlineStr">
        <is>
          <t>研发费</t>
        </is>
      </c>
      <c r="D96" s="7" t="n">
        <v>9617</v>
      </c>
      <c r="F96" s="7" t="n">
        <v>11914.2</v>
      </c>
      <c r="H96" s="7" t="n">
        <v>13267.7</v>
      </c>
      <c r="J96" s="7" t="n">
        <v>13812.4</v>
      </c>
      <c r="L96" s="7" t="n">
        <v>20108.6</v>
      </c>
      <c r="N96" s="7" t="n">
        <v>18075.4</v>
      </c>
      <c r="P96" s="7" t="n">
        <v>20913.4</v>
      </c>
      <c r="R96" s="7" t="n">
        <v>11903.2</v>
      </c>
      <c r="T96" s="7" t="n">
        <v>17627.1</v>
      </c>
      <c r="V96" s="7" t="n">
        <v>18106.3</v>
      </c>
      <c r="X96" s="7" t="n">
        <v>21346.4</v>
      </c>
      <c r="Z96" s="7" t="n">
        <v>11020.5</v>
      </c>
      <c r="AB96" s="7" t="n">
        <v>187712.2</v>
      </c>
    </row>
    <row r="97">
      <c r="A97" s="4" t="inlineStr">
        <is>
          <t>残保金</t>
        </is>
      </c>
      <c r="D97" s="7" t="n">
        <v>181</v>
      </c>
      <c r="F97" s="7" t="n">
        <v>170.6</v>
      </c>
      <c r="H97" s="7" t="n">
        <v>202.6</v>
      </c>
      <c r="J97" s="7" t="n">
        <v>262.1</v>
      </c>
      <c r="L97" s="7" t="n">
        <v>319.2</v>
      </c>
      <c r="N97" s="7" t="n">
        <v>397.8</v>
      </c>
      <c r="P97" s="7" t="n">
        <v>250.4</v>
      </c>
      <c r="R97" s="7" t="n">
        <v>206.9</v>
      </c>
      <c r="T97" s="7" t="n">
        <v>326.5</v>
      </c>
      <c r="V97" s="7" t="n">
        <v>259.9</v>
      </c>
      <c r="X97" s="7" t="n">
        <v>250.1</v>
      </c>
      <c r="Z97" s="7" t="n">
        <v>135.9</v>
      </c>
      <c r="AB97" s="7" t="n">
        <v>2963</v>
      </c>
    </row>
    <row r="98">
      <c r="A98" s="4" t="inlineStr">
        <is>
          <t>环保费</t>
        </is>
      </c>
      <c r="D98" s="7" t="n">
        <v>1992.1</v>
      </c>
      <c r="F98" s="7" t="n">
        <v>2146.2</v>
      </c>
      <c r="H98" s="7" t="n">
        <v>1528.3</v>
      </c>
      <c r="J98" s="7" t="n">
        <v>3133.7</v>
      </c>
      <c r="L98" s="7" t="n">
        <v>2376.4</v>
      </c>
      <c r="N98" s="7" t="n">
        <v>3615.5</v>
      </c>
      <c r="P98" s="7" t="n">
        <v>2584.4</v>
      </c>
      <c r="R98" s="7" t="n">
        <v>1452.4</v>
      </c>
      <c r="T98" s="7" t="n">
        <v>3041.3</v>
      </c>
      <c r="V98" s="7" t="n">
        <v>2538.9</v>
      </c>
      <c r="X98" s="7" t="n">
        <v>2631.9</v>
      </c>
      <c r="Z98" s="7" t="n">
        <v>2106.5</v>
      </c>
      <c r="AB98" s="7" t="n">
        <v>29147.6</v>
      </c>
    </row>
    <row r="99">
      <c r="A99" s="4" t="inlineStr">
        <is>
          <t>报废损失</t>
        </is>
      </c>
      <c r="D99" s="7" t="n">
        <v>5632.4</v>
      </c>
      <c r="F99" s="7" t="n">
        <v>6080.6</v>
      </c>
      <c r="H99" s="7" t="n">
        <v>4658.4</v>
      </c>
      <c r="J99" s="7" t="n">
        <v>9143.799999999999</v>
      </c>
      <c r="L99" s="7" t="n">
        <v>10054</v>
      </c>
      <c r="N99" s="7" t="n">
        <v>13753</v>
      </c>
      <c r="P99" s="7" t="n">
        <v>6469</v>
      </c>
      <c r="R99" s="7" t="n">
        <v>6936.6</v>
      </c>
      <c r="T99" s="7" t="n">
        <v>7932.9</v>
      </c>
      <c r="V99" s="7" t="n">
        <v>6322.2</v>
      </c>
      <c r="X99" s="7" t="n">
        <v>6637.3</v>
      </c>
      <c r="Z99" s="7" t="n">
        <v>5953.3</v>
      </c>
      <c r="AB99" s="7" t="n">
        <v>89573.5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1272350.4</v>
      </c>
      <c r="D100" s="7" t="n">
        <v>1333372</v>
      </c>
      <c r="E100" s="7" t="n">
        <v>1501164.1</v>
      </c>
      <c r="F100" s="7" t="n">
        <v>752958.1</v>
      </c>
      <c r="G100" s="7" t="n">
        <v>1524778.2</v>
      </c>
      <c r="H100" s="7" t="n">
        <v>1222715</v>
      </c>
      <c r="I100" s="7" t="n">
        <v>1212389.9</v>
      </c>
      <c r="J100" s="7" t="n">
        <v>1116369.4</v>
      </c>
      <c r="K100" s="7" t="n">
        <v>1228796.4</v>
      </c>
      <c r="L100" s="7" t="n">
        <v>1907670.3</v>
      </c>
      <c r="M100" s="7" t="n">
        <v>1551258.1</v>
      </c>
      <c r="N100" s="7" t="n">
        <v>1722523.4</v>
      </c>
      <c r="O100" s="7" t="n">
        <v>1264469.3</v>
      </c>
      <c r="P100" s="7" t="n">
        <v>1156545.6</v>
      </c>
      <c r="Q100" s="7" t="n">
        <v>1322673.2</v>
      </c>
      <c r="R100" s="7" t="n">
        <v>1911846.4</v>
      </c>
      <c r="S100" s="7" t="n">
        <v>1377754.2</v>
      </c>
      <c r="T100" s="7" t="n">
        <v>1124861</v>
      </c>
      <c r="U100" s="7" t="n">
        <v>1296033.4</v>
      </c>
      <c r="V100" s="7" t="n">
        <v>1956325.5</v>
      </c>
      <c r="W100" s="7" t="n">
        <v>1547346.6</v>
      </c>
      <c r="X100" s="7" t="n">
        <v>1285889.3</v>
      </c>
      <c r="Y100" s="7" t="n">
        <v>1407129.1</v>
      </c>
      <c r="Z100" s="7" t="n">
        <v>1255236.2</v>
      </c>
      <c r="AA100" s="8" t="n">
        <v>16506142.9</v>
      </c>
      <c r="AB100" s="8" t="n">
        <v>16746312.2</v>
      </c>
    </row>
    <row r="101">
      <c r="A101" s="4" t="inlineStr">
        <is>
          <t>职工薪酬</t>
        </is>
      </c>
      <c r="D101" s="7" t="n">
        <v>641533.6</v>
      </c>
      <c r="F101" s="7" t="n">
        <v>357276.5</v>
      </c>
      <c r="H101" s="7" t="n">
        <v>583961.7</v>
      </c>
      <c r="J101" s="7" t="n">
        <v>512646.4</v>
      </c>
      <c r="L101" s="7" t="n">
        <v>991404.5</v>
      </c>
      <c r="N101" s="7" t="n">
        <v>894246.5</v>
      </c>
      <c r="P101" s="7" t="n">
        <v>572040.6</v>
      </c>
      <c r="R101" s="7" t="n">
        <v>761844.6</v>
      </c>
      <c r="T101" s="7" t="n">
        <v>518010.6</v>
      </c>
      <c r="V101" s="7" t="n">
        <v>860184.2</v>
      </c>
      <c r="X101" s="7" t="n">
        <v>650516.2</v>
      </c>
      <c r="Z101" s="7" t="n">
        <v>702629.6</v>
      </c>
      <c r="AB101" s="7" t="n">
        <v>8046295</v>
      </c>
    </row>
    <row r="102">
      <c r="A102" s="4" t="inlineStr">
        <is>
          <t>工资</t>
        </is>
      </c>
      <c r="D102" s="7" t="n">
        <v>312156.5</v>
      </c>
      <c r="F102" s="7" t="n">
        <v>174095.3</v>
      </c>
      <c r="H102" s="7" t="n">
        <v>323980.8</v>
      </c>
      <c r="J102" s="7" t="n">
        <v>271219.7</v>
      </c>
      <c r="L102" s="7" t="n">
        <v>638723.5</v>
      </c>
      <c r="N102" s="7" t="n">
        <v>520113.3</v>
      </c>
      <c r="P102" s="7" t="n">
        <v>329942.8</v>
      </c>
      <c r="R102" s="7" t="n">
        <v>448932.3</v>
      </c>
      <c r="T102" s="7" t="n">
        <v>313912.5</v>
      </c>
      <c r="V102" s="7" t="n">
        <v>476239.4</v>
      </c>
      <c r="X102" s="7" t="n">
        <v>417130</v>
      </c>
      <c r="Z102" s="7" t="n">
        <v>420275.6</v>
      </c>
      <c r="AB102" s="7" t="n">
        <v>4646721.7</v>
      </c>
    </row>
    <row r="103">
      <c r="A103" s="4" t="inlineStr">
        <is>
          <t>奖金及提成</t>
        </is>
      </c>
      <c r="D103" s="7" t="n">
        <v>144958.3</v>
      </c>
      <c r="F103" s="7" t="n">
        <v>97880</v>
      </c>
      <c r="H103" s="7" t="n">
        <v>126300</v>
      </c>
      <c r="J103" s="7" t="n">
        <v>110943.1</v>
      </c>
      <c r="L103" s="7" t="n">
        <v>149595.3</v>
      </c>
      <c r="N103" s="7" t="n">
        <v>153088.9</v>
      </c>
      <c r="P103" s="7" t="n">
        <v>112254.4</v>
      </c>
      <c r="R103" s="7" t="n">
        <v>139979</v>
      </c>
      <c r="T103" s="7" t="n">
        <v>102972.4</v>
      </c>
      <c r="V103" s="7" t="n">
        <v>138067.7</v>
      </c>
      <c r="X103" s="7" t="n">
        <v>100546.4</v>
      </c>
      <c r="Z103" s="7" t="n">
        <v>149263.8</v>
      </c>
      <c r="AB103" s="7" t="n">
        <v>1525849.3</v>
      </c>
    </row>
    <row r="104">
      <c r="A104" s="4" t="inlineStr">
        <is>
          <t>社保</t>
        </is>
      </c>
      <c r="D104" s="7" t="n">
        <v>136355.7</v>
      </c>
      <c r="F104" s="7" t="n">
        <v>60433.2</v>
      </c>
      <c r="H104" s="7" t="n">
        <v>97522</v>
      </c>
      <c r="J104" s="7" t="n">
        <v>99206.7</v>
      </c>
      <c r="L104" s="7" t="n">
        <v>144888.1</v>
      </c>
      <c r="N104" s="7" t="n">
        <v>165904.5</v>
      </c>
      <c r="P104" s="7" t="n">
        <v>91896.3</v>
      </c>
      <c r="R104" s="7" t="n">
        <v>114650</v>
      </c>
      <c r="T104" s="7" t="n">
        <v>64658.5</v>
      </c>
      <c r="V104" s="7" t="n">
        <v>181020.2</v>
      </c>
      <c r="X104" s="7" t="n">
        <v>90038.39999999999</v>
      </c>
      <c r="Z104" s="7" t="n">
        <v>86853.5</v>
      </c>
      <c r="AB104" s="7" t="n">
        <v>1333427.1</v>
      </c>
    </row>
    <row r="105">
      <c r="A105" s="4" t="inlineStr">
        <is>
          <t>养老</t>
        </is>
      </c>
      <c r="D105" s="7" t="n">
        <v>3764.8</v>
      </c>
      <c r="F105" s="7" t="n">
        <v>2586.4</v>
      </c>
      <c r="H105" s="7" t="n">
        <v>4937.7</v>
      </c>
      <c r="J105" s="7" t="n">
        <v>4563.5</v>
      </c>
      <c r="L105" s="7" t="n">
        <v>6925.8</v>
      </c>
      <c r="N105" s="7" t="n">
        <v>4663.2</v>
      </c>
      <c r="P105" s="7" t="n">
        <v>3133.4</v>
      </c>
      <c r="R105" s="7" t="n">
        <v>7852.4</v>
      </c>
      <c r="T105" s="7" t="n">
        <v>4734.7</v>
      </c>
      <c r="V105" s="7" t="n">
        <v>6345.7</v>
      </c>
      <c r="X105" s="7" t="n">
        <v>5410.6</v>
      </c>
      <c r="Z105" s="7" t="n">
        <v>3208</v>
      </c>
      <c r="AB105" s="7" t="n">
        <v>58126.2</v>
      </c>
    </row>
    <row r="106">
      <c r="A106" s="4" t="inlineStr">
        <is>
          <t>医疗</t>
        </is>
      </c>
      <c r="D106" s="7" t="n">
        <v>6461.2</v>
      </c>
      <c r="F106" s="7" t="n">
        <v>4593.1</v>
      </c>
      <c r="H106" s="7" t="n">
        <v>4389.5</v>
      </c>
      <c r="J106" s="7" t="n">
        <v>6305.6</v>
      </c>
      <c r="L106" s="7" t="n">
        <v>10350.3</v>
      </c>
      <c r="N106" s="7" t="n">
        <v>7135.4</v>
      </c>
      <c r="P106" s="7" t="n">
        <v>7086.2</v>
      </c>
      <c r="R106" s="7" t="n">
        <v>8741.799999999999</v>
      </c>
      <c r="T106" s="7" t="n">
        <v>4821.5</v>
      </c>
      <c r="V106" s="7" t="n">
        <v>10976.1</v>
      </c>
      <c r="X106" s="7" t="n">
        <v>5840.9</v>
      </c>
      <c r="Z106" s="7" t="n">
        <v>7671.9</v>
      </c>
      <c r="AB106" s="7" t="n">
        <v>84373.5</v>
      </c>
    </row>
    <row r="107">
      <c r="A107" s="4" t="inlineStr">
        <is>
          <t>工伤</t>
        </is>
      </c>
      <c r="D107" s="7" t="n">
        <v>5711.3</v>
      </c>
      <c r="F107" s="7" t="n">
        <v>4543.6</v>
      </c>
      <c r="H107" s="7" t="n">
        <v>6546.9</v>
      </c>
      <c r="J107" s="7" t="n">
        <v>5169.1</v>
      </c>
      <c r="L107" s="7" t="n">
        <v>10929.5</v>
      </c>
      <c r="N107" s="7" t="n">
        <v>9458.9</v>
      </c>
      <c r="P107" s="7" t="n">
        <v>4703.4</v>
      </c>
      <c r="R107" s="7" t="n">
        <v>7619</v>
      </c>
      <c r="T107" s="7" t="n">
        <v>4714.1</v>
      </c>
      <c r="V107" s="7" t="n">
        <v>8200.5</v>
      </c>
      <c r="X107" s="7" t="n">
        <v>4811</v>
      </c>
      <c r="Z107" s="7" t="n">
        <v>5812.8</v>
      </c>
      <c r="AB107" s="7" t="n">
        <v>78220.10000000001</v>
      </c>
    </row>
    <row r="108">
      <c r="A108" s="4" t="inlineStr">
        <is>
          <t>失业</t>
        </is>
      </c>
      <c r="D108" s="7" t="n">
        <v>2514.8</v>
      </c>
      <c r="F108" s="7" t="n">
        <v>1241</v>
      </c>
      <c r="H108" s="7" t="n">
        <v>2529.6</v>
      </c>
      <c r="J108" s="7" t="n">
        <v>1797.6</v>
      </c>
      <c r="L108" s="7" t="n">
        <v>3025.3</v>
      </c>
      <c r="N108" s="7" t="n">
        <v>3856.9</v>
      </c>
      <c r="P108" s="7" t="n">
        <v>2752.7</v>
      </c>
      <c r="R108" s="7" t="n">
        <v>3903</v>
      </c>
      <c r="T108" s="7" t="n">
        <v>1569.8</v>
      </c>
      <c r="V108" s="7" t="n">
        <v>4607.1</v>
      </c>
      <c r="X108" s="7" t="n">
        <v>2776.4</v>
      </c>
      <c r="Z108" s="7" t="n">
        <v>2895</v>
      </c>
      <c r="AB108" s="7" t="n">
        <v>33469.2</v>
      </c>
    </row>
    <row r="109">
      <c r="A109" s="4" t="inlineStr">
        <is>
          <t>生育</t>
        </is>
      </c>
      <c r="D109" s="7" t="n">
        <v>10588.8</v>
      </c>
      <c r="F109" s="7" t="n">
        <v>3803.3</v>
      </c>
      <c r="H109" s="7" t="n">
        <v>9705.4</v>
      </c>
      <c r="J109" s="7" t="n">
        <v>6174.2</v>
      </c>
      <c r="L109" s="7" t="n">
        <v>13990</v>
      </c>
      <c r="N109" s="7" t="n">
        <v>13419.8</v>
      </c>
      <c r="P109" s="7" t="n">
        <v>8707.799999999999</v>
      </c>
      <c r="R109" s="7" t="n">
        <v>13758.2</v>
      </c>
      <c r="T109" s="7" t="n">
        <v>7274.4</v>
      </c>
      <c r="V109" s="7" t="n">
        <v>13323.4</v>
      </c>
      <c r="X109" s="7" t="n">
        <v>7207.4</v>
      </c>
      <c r="Z109" s="7" t="n">
        <v>7748.8</v>
      </c>
      <c r="AB109" s="7" t="n">
        <v>115701.5</v>
      </c>
    </row>
    <row r="110">
      <c r="A110" s="4" t="inlineStr">
        <is>
          <t>公积金</t>
        </is>
      </c>
      <c r="D110" s="7" t="n">
        <v>4268.8</v>
      </c>
      <c r="F110" s="7" t="n">
        <v>2740.7</v>
      </c>
      <c r="H110" s="7" t="n">
        <v>2739.2</v>
      </c>
      <c r="J110" s="7" t="n">
        <v>3339.8</v>
      </c>
      <c r="L110" s="7" t="n">
        <v>4901.7</v>
      </c>
      <c r="N110" s="7" t="n">
        <v>6441.9</v>
      </c>
      <c r="P110" s="7" t="n">
        <v>3158.6</v>
      </c>
      <c r="R110" s="7" t="n">
        <v>7197.3</v>
      </c>
      <c r="T110" s="7" t="n">
        <v>2988.5</v>
      </c>
      <c r="V110" s="7" t="n">
        <v>4067.4</v>
      </c>
      <c r="X110" s="7" t="n">
        <v>4438.1</v>
      </c>
      <c r="Z110" s="7" t="n">
        <v>4239.9</v>
      </c>
      <c r="AB110" s="7" t="n">
        <v>50521.9</v>
      </c>
    </row>
    <row r="111">
      <c r="A111" s="4" t="inlineStr">
        <is>
          <t>工会经费</t>
        </is>
      </c>
      <c r="D111" s="7" t="n">
        <v>6231.5</v>
      </c>
      <c r="F111" s="7" t="n">
        <v>3964.4</v>
      </c>
      <c r="H111" s="7" t="n">
        <v>5361.9</v>
      </c>
      <c r="J111" s="7" t="n">
        <v>3948.8</v>
      </c>
      <c r="L111" s="7" t="n">
        <v>9332.299999999999</v>
      </c>
      <c r="N111" s="7" t="n">
        <v>6858.3</v>
      </c>
      <c r="P111" s="7" t="n">
        <v>5309.3</v>
      </c>
      <c r="R111" s="7" t="n">
        <v>7579.2</v>
      </c>
      <c r="T111" s="7" t="n">
        <v>4642.7</v>
      </c>
      <c r="V111" s="7" t="n">
        <v>11223.9</v>
      </c>
      <c r="X111" s="7" t="n">
        <v>5563.3</v>
      </c>
      <c r="Z111" s="7" t="n">
        <v>6297.7</v>
      </c>
      <c r="AB111" s="7" t="n">
        <v>76313.3</v>
      </c>
    </row>
    <row r="112">
      <c r="A112" s="4" t="inlineStr">
        <is>
          <t>职工教育经费</t>
        </is>
      </c>
      <c r="D112" s="7" t="n">
        <v>4906.5</v>
      </c>
      <c r="F112" s="7" t="n">
        <v>2533.2</v>
      </c>
      <c r="H112" s="7" t="n">
        <v>5036.4</v>
      </c>
      <c r="J112" s="7" t="n">
        <v>3021.5</v>
      </c>
      <c r="L112" s="7" t="n">
        <v>5380.6</v>
      </c>
      <c r="N112" s="7" t="n">
        <v>7483.9</v>
      </c>
      <c r="P112" s="7" t="n">
        <v>4189.4</v>
      </c>
      <c r="R112" s="7" t="n">
        <v>5497.4</v>
      </c>
      <c r="T112" s="7" t="n">
        <v>5072.1</v>
      </c>
      <c r="V112" s="7" t="n">
        <v>7006.8</v>
      </c>
      <c r="X112" s="7" t="n">
        <v>3343.6</v>
      </c>
      <c r="Z112" s="7" t="n">
        <v>5940.6</v>
      </c>
      <c r="AB112" s="7" t="n">
        <v>59412</v>
      </c>
    </row>
    <row r="113">
      <c r="A113" s="4" t="inlineStr">
        <is>
          <t>福利费</t>
        </is>
      </c>
      <c r="D113" s="7" t="n">
        <v>32656.3</v>
      </c>
      <c r="F113" s="7" t="n">
        <v>15629.7</v>
      </c>
      <c r="H113" s="7" t="n">
        <v>23021.4</v>
      </c>
      <c r="J113" s="7" t="n">
        <v>20966.8</v>
      </c>
      <c r="L113" s="7" t="n">
        <v>38583</v>
      </c>
      <c r="N113" s="7" t="n">
        <v>34355.7</v>
      </c>
      <c r="P113" s="7" t="n">
        <v>25289.8</v>
      </c>
      <c r="R113" s="7" t="n">
        <v>38009.4</v>
      </c>
      <c r="T113" s="7" t="n">
        <v>23763.9</v>
      </c>
      <c r="V113" s="7" t="n">
        <v>42558.8</v>
      </c>
      <c r="X113" s="7" t="n">
        <v>29456.4</v>
      </c>
      <c r="Z113" s="7" t="n">
        <v>29758.5</v>
      </c>
      <c r="AB113" s="7" t="n">
        <v>354049.7</v>
      </c>
    </row>
    <row r="114">
      <c r="A114" s="4" t="inlineStr">
        <is>
          <t>职工房租</t>
        </is>
      </c>
      <c r="D114" s="7" t="n">
        <v>3061</v>
      </c>
      <c r="F114" s="7" t="n">
        <v>2191.1</v>
      </c>
      <c r="H114" s="7" t="n">
        <v>2670.9</v>
      </c>
      <c r="J114" s="7" t="n">
        <v>3172.1</v>
      </c>
      <c r="L114" s="7" t="n">
        <v>5563.9</v>
      </c>
      <c r="N114" s="7" t="n">
        <v>3136.7</v>
      </c>
      <c r="P114" s="7" t="n">
        <v>2964</v>
      </c>
      <c r="R114" s="7" t="n">
        <v>3873.8</v>
      </c>
      <c r="T114" s="7" t="n">
        <v>2443.2</v>
      </c>
      <c r="V114" s="7" t="n">
        <v>5633.5</v>
      </c>
      <c r="X114" s="7" t="n">
        <v>2358</v>
      </c>
      <c r="Z114" s="7" t="n">
        <v>3645.2</v>
      </c>
      <c r="AB114" s="7" t="n">
        <v>40713.4</v>
      </c>
    </row>
    <row r="115">
      <c r="A115" s="4" t="inlineStr">
        <is>
          <t>水电物业费</t>
        </is>
      </c>
      <c r="D115" s="7" t="n">
        <v>9236.9</v>
      </c>
      <c r="F115" s="7" t="n">
        <v>3846.4</v>
      </c>
      <c r="H115" s="7" t="n">
        <v>5105.6</v>
      </c>
      <c r="J115" s="7" t="n">
        <v>4441.3</v>
      </c>
      <c r="L115" s="7" t="n">
        <v>9504.4</v>
      </c>
      <c r="N115" s="7" t="n">
        <v>10507.3</v>
      </c>
      <c r="P115" s="7" t="n">
        <v>4718.7</v>
      </c>
      <c r="R115" s="7" t="n">
        <v>9096.6</v>
      </c>
      <c r="T115" s="7" t="n">
        <v>7404.9</v>
      </c>
      <c r="V115" s="7" t="n">
        <v>8200</v>
      </c>
      <c r="X115" s="7" t="n">
        <v>8020.4</v>
      </c>
      <c r="Z115" s="7" t="n">
        <v>7747.3</v>
      </c>
      <c r="AB115" s="7" t="n">
        <v>87829.8</v>
      </c>
    </row>
    <row r="116">
      <c r="A116" s="4" t="inlineStr">
        <is>
          <t>员工餐</t>
        </is>
      </c>
      <c r="D116" s="7" t="n">
        <v>1508.5</v>
      </c>
      <c r="F116" s="7" t="n">
        <v>516.5</v>
      </c>
      <c r="H116" s="7" t="n">
        <v>1087.1</v>
      </c>
      <c r="J116" s="7" t="n">
        <v>687.2</v>
      </c>
      <c r="L116" s="7" t="n">
        <v>1815.5</v>
      </c>
      <c r="N116" s="7" t="n">
        <v>1449.9</v>
      </c>
      <c r="P116" s="7" t="n">
        <v>1144.5</v>
      </c>
      <c r="R116" s="7" t="n">
        <v>1797.5</v>
      </c>
      <c r="T116" s="7" t="n">
        <v>776.7</v>
      </c>
      <c r="V116" s="7" t="n">
        <v>1617.6</v>
      </c>
      <c r="X116" s="7" t="n">
        <v>1248.4</v>
      </c>
      <c r="Z116" s="7" t="n">
        <v>1332.6</v>
      </c>
      <c r="AB116" s="7" t="n">
        <v>14982</v>
      </c>
    </row>
    <row r="117">
      <c r="A117" s="4" t="inlineStr">
        <is>
          <t>节日礼品</t>
        </is>
      </c>
      <c r="D117" s="7" t="n">
        <v>576.3</v>
      </c>
      <c r="F117" s="7" t="n">
        <v>492.8</v>
      </c>
      <c r="H117" s="7" t="n">
        <v>732.4</v>
      </c>
      <c r="J117" s="7" t="n">
        <v>590.4</v>
      </c>
      <c r="L117" s="7" t="n">
        <v>1385.8</v>
      </c>
      <c r="N117" s="7" t="n">
        <v>870.2</v>
      </c>
      <c r="P117" s="7" t="n">
        <v>515.4</v>
      </c>
      <c r="R117" s="7" t="n">
        <v>941.3</v>
      </c>
      <c r="T117" s="7" t="n">
        <v>479.9</v>
      </c>
      <c r="V117" s="7" t="n">
        <v>1147.7</v>
      </c>
      <c r="X117" s="7" t="n">
        <v>774.8</v>
      </c>
      <c r="Z117" s="7" t="n">
        <v>759.6</v>
      </c>
      <c r="AB117" s="7" t="n">
        <v>9266.6</v>
      </c>
    </row>
    <row r="118">
      <c r="A118" s="4" t="inlineStr">
        <is>
          <t>生日礼品</t>
        </is>
      </c>
      <c r="D118" s="7" t="n">
        <v>7589.2</v>
      </c>
      <c r="F118" s="7" t="n">
        <v>4648.9</v>
      </c>
      <c r="H118" s="7" t="n">
        <v>6839.2</v>
      </c>
      <c r="J118" s="7" t="n">
        <v>5023.8</v>
      </c>
      <c r="L118" s="7" t="n">
        <v>9848.1</v>
      </c>
      <c r="N118" s="7" t="n">
        <v>8848.9</v>
      </c>
      <c r="P118" s="7" t="n">
        <v>6786.1</v>
      </c>
      <c r="R118" s="7" t="n">
        <v>8567.700000000001</v>
      </c>
      <c r="T118" s="7" t="n">
        <v>4210.2</v>
      </c>
      <c r="V118" s="7" t="n">
        <v>12378.7</v>
      </c>
      <c r="X118" s="7" t="n">
        <v>8360.200000000001</v>
      </c>
      <c r="Z118" s="7" t="n">
        <v>6392.1</v>
      </c>
      <c r="AB118" s="7" t="n">
        <v>89493.10000000001</v>
      </c>
    </row>
    <row r="119">
      <c r="A119" s="4" t="inlineStr">
        <is>
          <t>体检</t>
        </is>
      </c>
      <c r="D119" s="7" t="n">
        <v>985.5</v>
      </c>
      <c r="F119" s="7" t="n">
        <v>588</v>
      </c>
      <c r="H119" s="7" t="n">
        <v>919.3</v>
      </c>
      <c r="J119" s="7" t="n">
        <v>1061.9</v>
      </c>
      <c r="L119" s="7" t="n">
        <v>1822.3</v>
      </c>
      <c r="N119" s="7" t="n">
        <v>1605</v>
      </c>
      <c r="P119" s="7" t="n">
        <v>666.2</v>
      </c>
      <c r="R119" s="7" t="n">
        <v>1719.4</v>
      </c>
      <c r="T119" s="7" t="n">
        <v>865.7</v>
      </c>
      <c r="V119" s="7" t="n">
        <v>1329.5</v>
      </c>
      <c r="X119" s="7" t="n">
        <v>1055</v>
      </c>
      <c r="Z119" s="7" t="n">
        <v>1074.3</v>
      </c>
      <c r="AB119" s="7" t="n">
        <v>13692.1</v>
      </c>
    </row>
    <row r="120">
      <c r="A120" s="4" t="inlineStr">
        <is>
          <t>其他福利支出</t>
        </is>
      </c>
      <c r="D120" s="7" t="n">
        <v>9698.9</v>
      </c>
      <c r="F120" s="7" t="n">
        <v>3346</v>
      </c>
      <c r="H120" s="7" t="n">
        <v>5666.9</v>
      </c>
      <c r="J120" s="7" t="n">
        <v>5990.1</v>
      </c>
      <c r="L120" s="7" t="n">
        <v>8643</v>
      </c>
      <c r="N120" s="7" t="n">
        <v>7937.7</v>
      </c>
      <c r="P120" s="7" t="n">
        <v>8494.9</v>
      </c>
      <c r="R120" s="7" t="n">
        <v>12013.1</v>
      </c>
      <c r="T120" s="7" t="n">
        <v>7583.3</v>
      </c>
      <c r="V120" s="7" t="n">
        <v>12251.8</v>
      </c>
      <c r="X120" s="7" t="n">
        <v>7639.6</v>
      </c>
      <c r="Z120" s="7" t="n">
        <v>8807.4</v>
      </c>
      <c r="AB120" s="7" t="n">
        <v>98072.7</v>
      </c>
    </row>
    <row r="121">
      <c r="A121" s="4" t="inlineStr">
        <is>
          <t>招聘费</t>
        </is>
      </c>
      <c r="D121" s="7" t="n">
        <v>736.5</v>
      </c>
      <c r="F121" s="7" t="n">
        <v>435.3</v>
      </c>
      <c r="H121" s="7" t="n">
        <v>572.6</v>
      </c>
      <c r="J121" s="7" t="n">
        <v>534.6</v>
      </c>
      <c r="L121" s="7" t="n">
        <v>1038.1</v>
      </c>
      <c r="N121" s="7" t="n">
        <v>765.2</v>
      </c>
      <c r="P121" s="7" t="n">
        <v>740.7</v>
      </c>
      <c r="R121" s="7" t="n">
        <v>1055.9</v>
      </c>
      <c r="T121" s="7" t="n">
        <v>568.1</v>
      </c>
      <c r="V121" s="7" t="n">
        <v>1142.6</v>
      </c>
      <c r="X121" s="7" t="n">
        <v>834.5</v>
      </c>
      <c r="Z121" s="7" t="n">
        <v>752.2</v>
      </c>
      <c r="AB121" s="7" t="n">
        <v>9176.299999999999</v>
      </c>
    </row>
    <row r="122">
      <c r="A122" s="4" t="inlineStr">
        <is>
          <t>办公费</t>
        </is>
      </c>
      <c r="D122" s="7" t="n">
        <v>29587.6</v>
      </c>
      <c r="F122" s="7" t="n">
        <v>25281.4</v>
      </c>
      <c r="H122" s="7" t="n">
        <v>41742.6</v>
      </c>
      <c r="J122" s="7" t="n">
        <v>40453.2</v>
      </c>
      <c r="L122" s="7" t="n">
        <v>42049.5</v>
      </c>
      <c r="N122" s="7" t="n">
        <v>38846.1</v>
      </c>
      <c r="P122" s="7" t="n">
        <v>33332.5</v>
      </c>
      <c r="R122" s="7" t="n">
        <v>55750.8</v>
      </c>
      <c r="T122" s="7" t="n">
        <v>35949.4</v>
      </c>
      <c r="V122" s="7" t="n">
        <v>51974.1</v>
      </c>
      <c r="X122" s="7" t="n">
        <v>44170.9</v>
      </c>
      <c r="Z122" s="7" t="n">
        <v>43094.6</v>
      </c>
      <c r="AB122" s="7" t="n">
        <v>482232.7</v>
      </c>
    </row>
    <row r="123">
      <c r="A123" s="4" t="inlineStr">
        <is>
          <t>市内交通费</t>
        </is>
      </c>
      <c r="D123" s="7" t="n">
        <v>1174.6</v>
      </c>
      <c r="F123" s="7" t="n">
        <v>661</v>
      </c>
      <c r="H123" s="7" t="n">
        <v>764.5</v>
      </c>
      <c r="J123" s="7" t="n">
        <v>1112</v>
      </c>
      <c r="L123" s="7" t="n">
        <v>1514.8</v>
      </c>
      <c r="N123" s="7" t="n">
        <v>1578.2</v>
      </c>
      <c r="P123" s="7" t="n">
        <v>1025.8</v>
      </c>
      <c r="R123" s="7" t="n">
        <v>1198.2</v>
      </c>
      <c r="T123" s="7" t="n">
        <v>683.8</v>
      </c>
      <c r="V123" s="7" t="n">
        <v>1790.7</v>
      </c>
      <c r="X123" s="7" t="n">
        <v>867.4</v>
      </c>
      <c r="Z123" s="7" t="n">
        <v>1211.1</v>
      </c>
      <c r="AB123" s="7" t="n">
        <v>13582.1</v>
      </c>
    </row>
    <row r="124">
      <c r="A124" s="4" t="inlineStr">
        <is>
          <t>差旅费</t>
        </is>
      </c>
      <c r="D124" s="7" t="n">
        <v>93031.39999999999</v>
      </c>
      <c r="F124" s="7" t="n">
        <v>32420</v>
      </c>
      <c r="H124" s="7" t="n">
        <v>86881.10000000001</v>
      </c>
      <c r="J124" s="7" t="n">
        <v>57818.2</v>
      </c>
      <c r="L124" s="7" t="n">
        <v>84508.60000000001</v>
      </c>
      <c r="N124" s="7" t="n">
        <v>116517.7</v>
      </c>
      <c r="P124" s="7" t="n">
        <v>72584.2</v>
      </c>
      <c r="R124" s="7" t="n">
        <v>85602</v>
      </c>
      <c r="T124" s="7" t="n">
        <v>65677.39999999999</v>
      </c>
      <c r="V124" s="7" t="n">
        <v>107528.4</v>
      </c>
      <c r="X124" s="7" t="n">
        <v>77135.3</v>
      </c>
      <c r="Z124" s="7" t="n">
        <v>78336.7</v>
      </c>
      <c r="AB124" s="7" t="n">
        <v>958041</v>
      </c>
    </row>
    <row r="125">
      <c r="A125" s="4" t="inlineStr">
        <is>
          <t>交通费</t>
        </is>
      </c>
      <c r="D125" s="7" t="n">
        <v>2742.5</v>
      </c>
      <c r="F125" s="7" t="n">
        <v>1382.9</v>
      </c>
      <c r="H125" s="7" t="n">
        <v>3078.8</v>
      </c>
      <c r="J125" s="7" t="n">
        <v>3051.4</v>
      </c>
      <c r="L125" s="7" t="n">
        <v>3850</v>
      </c>
      <c r="N125" s="7" t="n">
        <v>4175.1</v>
      </c>
      <c r="P125" s="7" t="n">
        <v>2025.6</v>
      </c>
      <c r="R125" s="7" t="n">
        <v>5613.4</v>
      </c>
      <c r="T125" s="7" t="n">
        <v>2296.4</v>
      </c>
      <c r="V125" s="7" t="n">
        <v>4636.9</v>
      </c>
      <c r="X125" s="7" t="n">
        <v>2882.7</v>
      </c>
      <c r="Z125" s="7" t="n">
        <v>2391.1</v>
      </c>
      <c r="AB125" s="7" t="n">
        <v>38126.8</v>
      </c>
    </row>
    <row r="126">
      <c r="A126" s="4" t="inlineStr">
        <is>
          <t>住宿费</t>
        </is>
      </c>
      <c r="D126" s="7" t="n">
        <v>9887.799999999999</v>
      </c>
      <c r="F126" s="7" t="n">
        <v>4743.4</v>
      </c>
      <c r="H126" s="7" t="n">
        <v>9320.1</v>
      </c>
      <c r="J126" s="7" t="n">
        <v>7800.8</v>
      </c>
      <c r="L126" s="7" t="n">
        <v>11084.7</v>
      </c>
      <c r="N126" s="7" t="n">
        <v>9393.1</v>
      </c>
      <c r="P126" s="7" t="n">
        <v>6707</v>
      </c>
      <c r="R126" s="7" t="n">
        <v>13216.6</v>
      </c>
      <c r="T126" s="7" t="n">
        <v>5925.7</v>
      </c>
      <c r="V126" s="7" t="n">
        <v>8919.9</v>
      </c>
      <c r="X126" s="7" t="n">
        <v>7252.4</v>
      </c>
      <c r="Z126" s="7" t="n">
        <v>7673.8</v>
      </c>
      <c r="AB126" s="7" t="n">
        <v>101925.3</v>
      </c>
    </row>
    <row r="127">
      <c r="A127" s="4" t="inlineStr">
        <is>
          <t>餐补</t>
        </is>
      </c>
      <c r="D127" s="7" t="n">
        <v>6368.8</v>
      </c>
      <c r="F127" s="7" t="n">
        <v>5266.5</v>
      </c>
      <c r="H127" s="7" t="n">
        <v>9320.4</v>
      </c>
      <c r="J127" s="7" t="n">
        <v>8401.5</v>
      </c>
      <c r="L127" s="7" t="n">
        <v>8364.5</v>
      </c>
      <c r="N127" s="7" t="n">
        <v>9974.299999999999</v>
      </c>
      <c r="P127" s="7" t="n">
        <v>5946.8</v>
      </c>
      <c r="R127" s="7" t="n">
        <v>13646.9</v>
      </c>
      <c r="T127" s="7" t="n">
        <v>5963.5</v>
      </c>
      <c r="V127" s="7" t="n">
        <v>11939</v>
      </c>
      <c r="X127" s="7" t="n">
        <v>5360</v>
      </c>
      <c r="Z127" s="7" t="n">
        <v>6090.6</v>
      </c>
      <c r="AB127" s="7" t="n">
        <v>96642.8</v>
      </c>
    </row>
    <row r="128">
      <c r="A128" s="4" t="inlineStr">
        <is>
          <t>交通补助</t>
        </is>
      </c>
      <c r="D128" s="7" t="n">
        <v>4349.6</v>
      </c>
      <c r="F128" s="7" t="n">
        <v>2988.7</v>
      </c>
      <c r="H128" s="7" t="n">
        <v>4422.7</v>
      </c>
      <c r="J128" s="7" t="n">
        <v>4354.4</v>
      </c>
      <c r="L128" s="7" t="n">
        <v>7024.7</v>
      </c>
      <c r="N128" s="7" t="n">
        <v>7410</v>
      </c>
      <c r="P128" s="7" t="n">
        <v>3494.5</v>
      </c>
      <c r="R128" s="7" t="n">
        <v>8766.5</v>
      </c>
      <c r="T128" s="7" t="n">
        <v>4808.7</v>
      </c>
      <c r="V128" s="7" t="n">
        <v>6126.7</v>
      </c>
      <c r="X128" s="7" t="n">
        <v>3346</v>
      </c>
      <c r="Z128" s="7" t="n">
        <v>4390.2</v>
      </c>
      <c r="AB128" s="7" t="n">
        <v>61482.7</v>
      </c>
    </row>
    <row r="129">
      <c r="A129" s="4" t="inlineStr">
        <is>
          <t>通讯补助</t>
        </is>
      </c>
      <c r="D129" s="7" t="n">
        <v>1849.5</v>
      </c>
      <c r="F129" s="7" t="n">
        <v>1384.8</v>
      </c>
      <c r="H129" s="7" t="n">
        <v>2290.9</v>
      </c>
      <c r="J129" s="7" t="n">
        <v>2167.2</v>
      </c>
      <c r="L129" s="7" t="n">
        <v>2042.8</v>
      </c>
      <c r="N129" s="7" t="n">
        <v>2880.2</v>
      </c>
      <c r="P129" s="7" t="n">
        <v>2137.1</v>
      </c>
      <c r="R129" s="7" t="n">
        <v>3319.2</v>
      </c>
      <c r="T129" s="7" t="n">
        <v>1310.2</v>
      </c>
      <c r="V129" s="7" t="n">
        <v>3042.4</v>
      </c>
      <c r="X129" s="7" t="n">
        <v>1656</v>
      </c>
      <c r="Z129" s="7" t="n">
        <v>1908.6</v>
      </c>
      <c r="AB129" s="7" t="n">
        <v>25988.9</v>
      </c>
    </row>
    <row r="130">
      <c r="A130" s="4" t="inlineStr">
        <is>
          <t>招待费</t>
        </is>
      </c>
      <c r="D130" s="7" t="n">
        <v>39251.1</v>
      </c>
      <c r="F130" s="7" t="n">
        <v>39098.9</v>
      </c>
      <c r="H130" s="7" t="n">
        <v>55119.6</v>
      </c>
      <c r="J130" s="7" t="n">
        <v>33750.8</v>
      </c>
      <c r="L130" s="7" t="n">
        <v>95594.5</v>
      </c>
      <c r="N130" s="7" t="n">
        <v>85325</v>
      </c>
      <c r="P130" s="7" t="n">
        <v>46810.3</v>
      </c>
      <c r="R130" s="7" t="n">
        <v>85689.60000000001</v>
      </c>
      <c r="T130" s="7" t="n">
        <v>41552.1</v>
      </c>
      <c r="V130" s="7" t="n">
        <v>100534.2</v>
      </c>
      <c r="X130" s="7" t="n">
        <v>38625.1</v>
      </c>
      <c r="Z130" s="7" t="n">
        <v>38025.9</v>
      </c>
      <c r="AB130" s="7" t="n">
        <v>699377.1</v>
      </c>
    </row>
    <row r="131">
      <c r="A131" s="4" t="inlineStr">
        <is>
          <t>通讯费</t>
        </is>
      </c>
      <c r="D131" s="7" t="n">
        <v>1391.5</v>
      </c>
      <c r="F131" s="7" t="n">
        <v>491</v>
      </c>
      <c r="H131" s="7" t="n">
        <v>1114</v>
      </c>
      <c r="J131" s="7" t="n">
        <v>939.3</v>
      </c>
      <c r="L131" s="7" t="n">
        <v>2135.4</v>
      </c>
      <c r="N131" s="7" t="n">
        <v>1269.9</v>
      </c>
      <c r="P131" s="7" t="n">
        <v>867.4</v>
      </c>
      <c r="R131" s="7" t="n">
        <v>1488</v>
      </c>
      <c r="T131" s="7" t="n">
        <v>1162.6</v>
      </c>
      <c r="V131" s="7" t="n">
        <v>1919</v>
      </c>
      <c r="X131" s="7" t="n">
        <v>1284.8</v>
      </c>
      <c r="Z131" s="7" t="n">
        <v>979</v>
      </c>
      <c r="AB131" s="7" t="n">
        <v>15041.9</v>
      </c>
    </row>
    <row r="132">
      <c r="A132" s="4" t="inlineStr">
        <is>
          <t>网络费</t>
        </is>
      </c>
      <c r="D132" s="7" t="n">
        <v>1771</v>
      </c>
      <c r="F132" s="7" t="n">
        <v>1103.3</v>
      </c>
      <c r="H132" s="7" t="n">
        <v>2546.7</v>
      </c>
      <c r="J132" s="7" t="n">
        <v>2092</v>
      </c>
      <c r="L132" s="7" t="n">
        <v>2698.6</v>
      </c>
      <c r="N132" s="7" t="n">
        <v>2453.2</v>
      </c>
      <c r="P132" s="7" t="n">
        <v>2020.5</v>
      </c>
      <c r="R132" s="7" t="n">
        <v>3218.2</v>
      </c>
      <c r="T132" s="7" t="n">
        <v>2049.2</v>
      </c>
      <c r="V132" s="7" t="n">
        <v>4461.3</v>
      </c>
      <c r="X132" s="7" t="n">
        <v>1890.9</v>
      </c>
      <c r="Z132" s="7" t="n">
        <v>1981</v>
      </c>
      <c r="AB132" s="7" t="n">
        <v>28285.9</v>
      </c>
    </row>
    <row r="133">
      <c r="A133" s="4" t="inlineStr">
        <is>
          <t>修理费</t>
        </is>
      </c>
      <c r="D133" s="7" t="n">
        <v>1788.7</v>
      </c>
      <c r="F133" s="7" t="n">
        <v>1039.7</v>
      </c>
      <c r="H133" s="7" t="n">
        <v>2362</v>
      </c>
      <c r="J133" s="7" t="n">
        <v>2319.9</v>
      </c>
      <c r="L133" s="7" t="n">
        <v>3706.7</v>
      </c>
      <c r="N133" s="7" t="n">
        <v>2167.8</v>
      </c>
      <c r="P133" s="7" t="n">
        <v>2414.9</v>
      </c>
      <c r="R133" s="7" t="n">
        <v>2979</v>
      </c>
      <c r="T133" s="7" t="n">
        <v>1475.3</v>
      </c>
      <c r="V133" s="7" t="n">
        <v>2886</v>
      </c>
      <c r="X133" s="7" t="n">
        <v>2041.2</v>
      </c>
      <c r="Z133" s="7" t="n">
        <v>2198.9</v>
      </c>
      <c r="AB133" s="7" t="n">
        <v>27380.1</v>
      </c>
    </row>
    <row r="134">
      <c r="A134" s="4" t="inlineStr">
        <is>
          <t>车辆费</t>
        </is>
      </c>
      <c r="D134" s="7" t="n">
        <v>5068.9</v>
      </c>
      <c r="F134" s="7" t="n">
        <v>4327.9</v>
      </c>
      <c r="H134" s="7" t="n">
        <v>3901.9</v>
      </c>
      <c r="J134" s="7" t="n">
        <v>4672.9</v>
      </c>
      <c r="L134" s="7" t="n">
        <v>8228.200000000001</v>
      </c>
      <c r="N134" s="7" t="n">
        <v>8787.5</v>
      </c>
      <c r="P134" s="7" t="n">
        <v>4364.9</v>
      </c>
      <c r="R134" s="7" t="n">
        <v>8296.299999999999</v>
      </c>
      <c r="T134" s="7" t="n">
        <v>5905.8</v>
      </c>
      <c r="V134" s="7" t="n">
        <v>6809.7</v>
      </c>
      <c r="X134" s="7" t="n">
        <v>4038</v>
      </c>
      <c r="Z134" s="7" t="n">
        <v>6678.8</v>
      </c>
      <c r="AB134" s="7" t="n">
        <v>71080.8</v>
      </c>
    </row>
    <row r="135">
      <c r="A135" s="4" t="inlineStr">
        <is>
          <t>租赁费</t>
        </is>
      </c>
      <c r="D135" s="7" t="n">
        <v>85971.8</v>
      </c>
      <c r="F135" s="7" t="n">
        <v>29306.2</v>
      </c>
      <c r="H135" s="7" t="n">
        <v>73008.60000000001</v>
      </c>
      <c r="J135" s="7" t="n">
        <v>51539.6</v>
      </c>
      <c r="L135" s="7" t="n">
        <v>102840.5</v>
      </c>
      <c r="N135" s="7" t="n">
        <v>93602.89999999999</v>
      </c>
      <c r="P135" s="7" t="n">
        <v>60683.6</v>
      </c>
      <c r="R135" s="7" t="n">
        <v>81759.39999999999</v>
      </c>
      <c r="T135" s="7" t="n">
        <v>66797</v>
      </c>
      <c r="V135" s="7" t="n">
        <v>69750.8</v>
      </c>
      <c r="X135" s="7" t="n">
        <v>47493.2</v>
      </c>
      <c r="Z135" s="7" t="n">
        <v>77918.60000000001</v>
      </c>
      <c r="AB135" s="7" t="n">
        <v>840672.2</v>
      </c>
    </row>
    <row r="136">
      <c r="A136" s="4" t="inlineStr">
        <is>
          <t>能源费</t>
        </is>
      </c>
      <c r="D136" s="7" t="n">
        <v>21178.9</v>
      </c>
      <c r="F136" s="7" t="n">
        <v>13394.3</v>
      </c>
      <c r="H136" s="7" t="n">
        <v>19837.6</v>
      </c>
      <c r="J136" s="7" t="n">
        <v>20858.7</v>
      </c>
      <c r="L136" s="7" t="n">
        <v>39013.4</v>
      </c>
      <c r="N136" s="7" t="n">
        <v>30122.3</v>
      </c>
      <c r="P136" s="7" t="n">
        <v>25714.1</v>
      </c>
      <c r="R136" s="7" t="n">
        <v>30362.6</v>
      </c>
      <c r="T136" s="7" t="n">
        <v>24227.8</v>
      </c>
      <c r="V136" s="7" t="n">
        <v>38226.3</v>
      </c>
      <c r="X136" s="7" t="n">
        <v>24783.3</v>
      </c>
      <c r="Z136" s="7" t="n">
        <v>25836.7</v>
      </c>
      <c r="AB136" s="7" t="n">
        <v>313556</v>
      </c>
    </row>
    <row r="137">
      <c r="A137" s="4" t="inlineStr">
        <is>
          <t>水费</t>
        </is>
      </c>
      <c r="D137" s="7" t="n">
        <v>4800.9</v>
      </c>
      <c r="F137" s="7" t="n">
        <v>2795.9</v>
      </c>
      <c r="H137" s="7" t="n">
        <v>4449.6</v>
      </c>
      <c r="J137" s="7" t="n">
        <v>4340.8</v>
      </c>
      <c r="L137" s="7" t="n">
        <v>10512.7</v>
      </c>
      <c r="N137" s="7" t="n">
        <v>5562.4</v>
      </c>
      <c r="P137" s="7" t="n">
        <v>5551.9</v>
      </c>
      <c r="R137" s="7" t="n">
        <v>7258.8</v>
      </c>
      <c r="T137" s="7" t="n">
        <v>4419.9</v>
      </c>
      <c r="V137" s="7" t="n">
        <v>8301.700000000001</v>
      </c>
      <c r="X137" s="7" t="n">
        <v>5936.1</v>
      </c>
      <c r="Z137" s="7" t="n">
        <v>4142.2</v>
      </c>
      <c r="AB137" s="7" t="n">
        <v>68072.89999999999</v>
      </c>
    </row>
    <row r="138">
      <c r="A138" s="4" t="inlineStr">
        <is>
          <t>电费</t>
        </is>
      </c>
      <c r="D138" s="7" t="n">
        <v>1913.8</v>
      </c>
      <c r="F138" s="7" t="n">
        <v>1132.3</v>
      </c>
      <c r="H138" s="7" t="n">
        <v>2760.9</v>
      </c>
      <c r="J138" s="7" t="n">
        <v>2079.8</v>
      </c>
      <c r="L138" s="7" t="n">
        <v>3774.4</v>
      </c>
      <c r="N138" s="7" t="n">
        <v>3733.1</v>
      </c>
      <c r="P138" s="7" t="n">
        <v>2497.2</v>
      </c>
      <c r="R138" s="7" t="n">
        <v>4537.4</v>
      </c>
      <c r="T138" s="7" t="n">
        <v>2412.7</v>
      </c>
      <c r="V138" s="7" t="n">
        <v>3285.7</v>
      </c>
      <c r="X138" s="7" t="n">
        <v>2422.1</v>
      </c>
      <c r="Z138" s="7" t="n">
        <v>2281.7</v>
      </c>
      <c r="AB138" s="7" t="n">
        <v>32831.1</v>
      </c>
    </row>
    <row r="139">
      <c r="A139" s="4" t="inlineStr">
        <is>
          <t>燃气费</t>
        </is>
      </c>
      <c r="D139" s="7" t="n">
        <v>7991.4</v>
      </c>
      <c r="F139" s="7" t="n">
        <v>4204.5</v>
      </c>
      <c r="H139" s="7" t="n">
        <v>5911.9</v>
      </c>
      <c r="J139" s="7" t="n">
        <v>5955.1</v>
      </c>
      <c r="L139" s="7" t="n">
        <v>9492.200000000001</v>
      </c>
      <c r="N139" s="7" t="n">
        <v>12756.8</v>
      </c>
      <c r="P139" s="7" t="n">
        <v>8078.4</v>
      </c>
      <c r="R139" s="7" t="n">
        <v>8411.6</v>
      </c>
      <c r="T139" s="7" t="n">
        <v>8717.4</v>
      </c>
      <c r="V139" s="7" t="n">
        <v>11914.9</v>
      </c>
      <c r="X139" s="7" t="n">
        <v>8927.9</v>
      </c>
      <c r="Z139" s="7" t="n">
        <v>9764.200000000001</v>
      </c>
      <c r="AB139" s="7" t="n">
        <v>102126.3</v>
      </c>
    </row>
    <row r="140">
      <c r="A140" s="4" t="inlineStr">
        <is>
          <t>蒸汽费</t>
        </is>
      </c>
      <c r="D140" s="7" t="n">
        <v>6472.8</v>
      </c>
      <c r="F140" s="7" t="n">
        <v>5261.6</v>
      </c>
      <c r="H140" s="7" t="n">
        <v>6715.2</v>
      </c>
      <c r="J140" s="7" t="n">
        <v>8483</v>
      </c>
      <c r="L140" s="7" t="n">
        <v>15234.1</v>
      </c>
      <c r="N140" s="7" t="n">
        <v>8070</v>
      </c>
      <c r="P140" s="7" t="n">
        <v>9586.6</v>
      </c>
      <c r="R140" s="7" t="n">
        <v>10154.8</v>
      </c>
      <c r="T140" s="7" t="n">
        <v>8677.799999999999</v>
      </c>
      <c r="V140" s="7" t="n">
        <v>14724</v>
      </c>
      <c r="X140" s="7" t="n">
        <v>7497.2</v>
      </c>
      <c r="Z140" s="7" t="n">
        <v>9648.6</v>
      </c>
      <c r="AB140" s="7" t="n">
        <v>110525.7</v>
      </c>
    </row>
    <row r="141">
      <c r="A141" s="4" t="inlineStr">
        <is>
          <t>物业费</t>
        </is>
      </c>
      <c r="D141" s="7" t="n">
        <v>5953.9</v>
      </c>
      <c r="F141" s="7" t="n">
        <v>4404.9</v>
      </c>
      <c r="H141" s="7" t="n">
        <v>8021.9</v>
      </c>
      <c r="J141" s="7" t="n">
        <v>6921.1</v>
      </c>
      <c r="L141" s="7" t="n">
        <v>13199.4</v>
      </c>
      <c r="N141" s="7" t="n">
        <v>6844.5</v>
      </c>
      <c r="P141" s="7" t="n">
        <v>7181.4</v>
      </c>
      <c r="R141" s="7" t="n">
        <v>13441.8</v>
      </c>
      <c r="T141" s="7" t="n">
        <v>6472.4</v>
      </c>
      <c r="V141" s="7" t="n">
        <v>11253.4</v>
      </c>
      <c r="X141" s="7" t="n">
        <v>5793.8</v>
      </c>
      <c r="Z141" s="7" t="n">
        <v>8994.1</v>
      </c>
      <c r="AB141" s="7" t="n">
        <v>98482.60000000001</v>
      </c>
    </row>
    <row r="142">
      <c r="A142" s="4" t="inlineStr">
        <is>
          <t>劳动保护费</t>
        </is>
      </c>
      <c r="D142" s="7" t="n">
        <v>7672.5</v>
      </c>
      <c r="F142" s="7" t="n">
        <v>3854.3</v>
      </c>
      <c r="H142" s="7" t="n">
        <v>7028.1</v>
      </c>
      <c r="J142" s="7" t="n">
        <v>4867.2</v>
      </c>
      <c r="L142" s="7" t="n">
        <v>9259.299999999999</v>
      </c>
      <c r="N142" s="7" t="n">
        <v>8278.1</v>
      </c>
      <c r="P142" s="7" t="n">
        <v>6792.3</v>
      </c>
      <c r="R142" s="7" t="n">
        <v>7741.4</v>
      </c>
      <c r="T142" s="7" t="n">
        <v>8133.5</v>
      </c>
      <c r="V142" s="7" t="n">
        <v>9284</v>
      </c>
      <c r="X142" s="7" t="n">
        <v>5785.8</v>
      </c>
      <c r="Z142" s="7" t="n">
        <v>8201.299999999999</v>
      </c>
      <c r="AB142" s="7" t="n">
        <v>86897.8</v>
      </c>
    </row>
    <row r="143">
      <c r="A143" s="4" t="inlineStr">
        <is>
          <t>顾问费</t>
        </is>
      </c>
      <c r="D143" s="7" t="n">
        <v>9692.700000000001</v>
      </c>
      <c r="F143" s="7" t="n">
        <v>4056.3</v>
      </c>
      <c r="H143" s="7" t="n">
        <v>5253.5</v>
      </c>
      <c r="J143" s="7" t="n">
        <v>7075.4</v>
      </c>
      <c r="L143" s="7" t="n">
        <v>14370.5</v>
      </c>
      <c r="N143" s="7" t="n">
        <v>12086.2</v>
      </c>
      <c r="P143" s="7" t="n">
        <v>8416.5</v>
      </c>
      <c r="R143" s="7" t="n">
        <v>14011.1</v>
      </c>
      <c r="T143" s="7" t="n">
        <v>8649.799999999999</v>
      </c>
      <c r="V143" s="7" t="n">
        <v>10892.5</v>
      </c>
      <c r="X143" s="7" t="n">
        <v>9801.4</v>
      </c>
      <c r="Z143" s="7" t="n">
        <v>7088.8</v>
      </c>
      <c r="AB143" s="7" t="n">
        <v>111394.7</v>
      </c>
    </row>
    <row r="144">
      <c r="A144" s="4" t="inlineStr">
        <is>
          <t>快递费</t>
        </is>
      </c>
      <c r="D144" s="7" t="n">
        <v>778.3</v>
      </c>
      <c r="F144" s="7" t="n">
        <v>390</v>
      </c>
      <c r="H144" s="7" t="n">
        <v>643.6</v>
      </c>
      <c r="J144" s="7" t="n">
        <v>938.7</v>
      </c>
      <c r="L144" s="7" t="n">
        <v>1485.1</v>
      </c>
      <c r="N144" s="7" t="n">
        <v>1456.6</v>
      </c>
      <c r="P144" s="7" t="n">
        <v>834.8</v>
      </c>
      <c r="R144" s="7" t="n">
        <v>1019</v>
      </c>
      <c r="T144" s="7" t="n">
        <v>954.8</v>
      </c>
      <c r="V144" s="7" t="n">
        <v>1446.6</v>
      </c>
      <c r="X144" s="7" t="n">
        <v>1071.1</v>
      </c>
      <c r="Z144" s="7" t="n">
        <v>974.8</v>
      </c>
      <c r="AB144" s="7" t="n">
        <v>11993.4</v>
      </c>
    </row>
    <row r="145">
      <c r="A145" s="4" t="inlineStr">
        <is>
          <t>诉讼费</t>
        </is>
      </c>
      <c r="D145" s="7" t="n">
        <v>2056</v>
      </c>
      <c r="F145" s="7" t="n">
        <v>887.5</v>
      </c>
      <c r="H145" s="7" t="n">
        <v>1582.4</v>
      </c>
      <c r="J145" s="7" t="n">
        <v>1819</v>
      </c>
      <c r="L145" s="7" t="n">
        <v>2168.2</v>
      </c>
      <c r="N145" s="7" t="n">
        <v>2867.7</v>
      </c>
      <c r="P145" s="7" t="n">
        <v>2148.9</v>
      </c>
      <c r="R145" s="7" t="n">
        <v>3552.1</v>
      </c>
      <c r="T145" s="7" t="n">
        <v>1539.5</v>
      </c>
      <c r="V145" s="7" t="n">
        <v>3713.1</v>
      </c>
      <c r="X145" s="7" t="n">
        <v>2407.7</v>
      </c>
      <c r="Z145" s="7" t="n">
        <v>1321.9</v>
      </c>
      <c r="AB145" s="7" t="n">
        <v>26064</v>
      </c>
    </row>
    <row r="146">
      <c r="A146" s="4" t="inlineStr">
        <is>
          <t>会员费</t>
        </is>
      </c>
      <c r="D146" s="7" t="n">
        <v>6597.5</v>
      </c>
      <c r="F146" s="7" t="n">
        <v>3808.6</v>
      </c>
      <c r="H146" s="7" t="n">
        <v>4021</v>
      </c>
      <c r="J146" s="7" t="n">
        <v>4583.2</v>
      </c>
      <c r="L146" s="7" t="n">
        <v>9509.9</v>
      </c>
      <c r="N146" s="7" t="n">
        <v>5337.1</v>
      </c>
      <c r="P146" s="7" t="n">
        <v>5241</v>
      </c>
      <c r="R146" s="7" t="n">
        <v>6364.8</v>
      </c>
      <c r="T146" s="7" t="n">
        <v>5729.3</v>
      </c>
      <c r="V146" s="7" t="n">
        <v>6187.8</v>
      </c>
      <c r="X146" s="7" t="n">
        <v>6253.7</v>
      </c>
      <c r="Z146" s="7" t="n">
        <v>3734.8</v>
      </c>
      <c r="AB146" s="7" t="n">
        <v>67368.7</v>
      </c>
    </row>
    <row r="147">
      <c r="A147" s="4" t="inlineStr">
        <is>
          <t>广告宣传费</t>
        </is>
      </c>
      <c r="D147" s="7" t="n">
        <v>45016.5</v>
      </c>
      <c r="F147" s="7" t="n">
        <v>24474</v>
      </c>
      <c r="H147" s="7" t="n">
        <v>45191.3</v>
      </c>
      <c r="J147" s="7" t="n">
        <v>32418.6</v>
      </c>
      <c r="L147" s="7" t="n">
        <v>49168</v>
      </c>
      <c r="N147" s="7" t="n">
        <v>43910.1</v>
      </c>
      <c r="P147" s="7" t="n">
        <v>25698.8</v>
      </c>
      <c r="R147" s="7" t="n">
        <v>48981.2</v>
      </c>
      <c r="T147" s="7" t="n">
        <v>25809.5</v>
      </c>
      <c r="V147" s="7" t="n">
        <v>41127.9</v>
      </c>
      <c r="X147" s="7" t="n">
        <v>35936.6</v>
      </c>
      <c r="Z147" s="7" t="n">
        <v>42912.2</v>
      </c>
      <c r="AB147" s="7" t="n">
        <v>460644.7</v>
      </c>
    </row>
    <row r="148">
      <c r="A148" s="4" t="inlineStr">
        <is>
          <t>会务费</t>
        </is>
      </c>
      <c r="D148" s="7" t="n">
        <v>10428.3</v>
      </c>
      <c r="F148" s="7" t="n">
        <v>4765</v>
      </c>
      <c r="H148" s="7" t="n">
        <v>7204.6</v>
      </c>
      <c r="J148" s="7" t="n">
        <v>7290.2</v>
      </c>
      <c r="L148" s="7" t="n">
        <v>9223.700000000001</v>
      </c>
      <c r="N148" s="7" t="n">
        <v>10811.5</v>
      </c>
      <c r="P148" s="7" t="n">
        <v>8954.9</v>
      </c>
      <c r="R148" s="7" t="n">
        <v>13249.8</v>
      </c>
      <c r="T148" s="7" t="n">
        <v>7950.9</v>
      </c>
      <c r="V148" s="7" t="n">
        <v>9915.700000000001</v>
      </c>
      <c r="X148" s="7" t="n">
        <v>6081.5</v>
      </c>
      <c r="Z148" s="7" t="n">
        <v>9631.6</v>
      </c>
      <c r="AB148" s="7" t="n">
        <v>105507.7</v>
      </c>
    </row>
    <row r="149">
      <c r="A149" s="4" t="inlineStr">
        <is>
          <t>装修费</t>
        </is>
      </c>
      <c r="D149" s="7" t="n">
        <v>2298</v>
      </c>
      <c r="F149" s="7" t="n">
        <v>1850.7</v>
      </c>
      <c r="H149" s="7" t="n">
        <v>1760.4</v>
      </c>
      <c r="J149" s="7" t="n">
        <v>1731.5</v>
      </c>
      <c r="L149" s="7" t="n">
        <v>3413.4</v>
      </c>
      <c r="N149" s="7" t="n">
        <v>3794.7</v>
      </c>
      <c r="P149" s="7" t="n">
        <v>2299.7</v>
      </c>
      <c r="R149" s="7" t="n">
        <v>4580.3</v>
      </c>
      <c r="T149" s="7" t="n">
        <v>1644.2</v>
      </c>
      <c r="V149" s="7" t="n">
        <v>3996.6</v>
      </c>
      <c r="X149" s="7" t="n">
        <v>2656.2</v>
      </c>
      <c r="Z149" s="7" t="n">
        <v>2402.3</v>
      </c>
      <c r="AB149" s="7" t="n">
        <v>32428</v>
      </c>
    </row>
    <row r="150">
      <c r="A150" s="4" t="inlineStr">
        <is>
          <t>推广费</t>
        </is>
      </c>
      <c r="D150" s="7" t="n">
        <v>342.9</v>
      </c>
      <c r="F150" s="7" t="n">
        <v>122.3</v>
      </c>
      <c r="H150" s="7" t="n">
        <v>306.6</v>
      </c>
      <c r="J150" s="7" t="n">
        <v>180.2</v>
      </c>
      <c r="L150" s="7" t="n">
        <v>294.9</v>
      </c>
      <c r="N150" s="7" t="n">
        <v>288.2</v>
      </c>
      <c r="P150" s="7" t="n">
        <v>191.3</v>
      </c>
      <c r="R150" s="7" t="n">
        <v>434.5</v>
      </c>
      <c r="T150" s="7" t="n">
        <v>259.1</v>
      </c>
      <c r="V150" s="7" t="n">
        <v>452.5</v>
      </c>
      <c r="X150" s="7" t="n">
        <v>224.5</v>
      </c>
      <c r="Z150" s="7" t="n">
        <v>221.7</v>
      </c>
      <c r="AB150" s="7" t="n">
        <v>3318.7</v>
      </c>
    </row>
    <row r="151">
      <c r="A151" s="4" t="inlineStr">
        <is>
          <t>展会费</t>
        </is>
      </c>
      <c r="D151" s="7" t="n">
        <v>1515.7</v>
      </c>
      <c r="F151" s="7" t="n">
        <v>1223.4</v>
      </c>
      <c r="H151" s="7" t="n">
        <v>2293</v>
      </c>
      <c r="J151" s="7" t="n">
        <v>1377.5</v>
      </c>
      <c r="L151" s="7" t="n">
        <v>2723.4</v>
      </c>
      <c r="N151" s="7" t="n">
        <v>2566.6</v>
      </c>
      <c r="P151" s="7" t="n">
        <v>1579.5</v>
      </c>
      <c r="R151" s="7" t="n">
        <v>3267.6</v>
      </c>
      <c r="T151" s="7" t="n">
        <v>1857.5</v>
      </c>
      <c r="V151" s="7" t="n">
        <v>2498.2</v>
      </c>
      <c r="X151" s="7" t="n">
        <v>1433</v>
      </c>
      <c r="Z151" s="7" t="n">
        <v>1569.1</v>
      </c>
      <c r="AB151" s="7" t="n">
        <v>23904.5</v>
      </c>
    </row>
    <row r="152">
      <c r="A152" s="4" t="inlineStr">
        <is>
          <t>设计费</t>
        </is>
      </c>
      <c r="D152" s="7" t="n">
        <v>1911.4</v>
      </c>
      <c r="F152" s="7" t="n">
        <v>1738</v>
      </c>
      <c r="H152" s="7" t="n">
        <v>2070.7</v>
      </c>
      <c r="J152" s="7" t="n">
        <v>2004.8</v>
      </c>
      <c r="L152" s="7" t="n">
        <v>3626.5</v>
      </c>
      <c r="N152" s="7" t="n">
        <v>3614.6</v>
      </c>
      <c r="P152" s="7" t="n">
        <v>1670.2</v>
      </c>
      <c r="R152" s="7" t="n">
        <v>3755.2</v>
      </c>
      <c r="T152" s="7" t="n">
        <v>1745.5</v>
      </c>
      <c r="V152" s="7" t="n">
        <v>4609.3</v>
      </c>
      <c r="X152" s="7" t="n">
        <v>2267.8</v>
      </c>
      <c r="Z152" s="7" t="n">
        <v>2323.8</v>
      </c>
      <c r="AB152" s="7" t="n">
        <v>31337.8</v>
      </c>
    </row>
    <row r="153">
      <c r="A153" s="4" t="inlineStr">
        <is>
          <t>折旧费</t>
        </is>
      </c>
      <c r="D153" s="7" t="n">
        <v>45760.1</v>
      </c>
      <c r="F153" s="7" t="n">
        <v>29486.9</v>
      </c>
      <c r="H153" s="7" t="n">
        <v>40875.1</v>
      </c>
      <c r="J153" s="7" t="n">
        <v>38453.9</v>
      </c>
      <c r="L153" s="7" t="n">
        <v>56236.9</v>
      </c>
      <c r="N153" s="7" t="n">
        <v>79328.5</v>
      </c>
      <c r="P153" s="7" t="n">
        <v>50910.3</v>
      </c>
      <c r="R153" s="7" t="n">
        <v>57464.3</v>
      </c>
      <c r="T153" s="7" t="n">
        <v>40777.3</v>
      </c>
      <c r="V153" s="7" t="n">
        <v>80199.10000000001</v>
      </c>
      <c r="X153" s="7" t="n">
        <v>65962.2</v>
      </c>
      <c r="Z153" s="7" t="n">
        <v>52912.5</v>
      </c>
      <c r="AB153" s="7" t="n">
        <v>638367.1</v>
      </c>
    </row>
    <row r="154">
      <c r="A154" s="4" t="inlineStr">
        <is>
          <t>认证费</t>
        </is>
      </c>
      <c r="D154" s="7" t="n">
        <v>5830.1</v>
      </c>
      <c r="F154" s="7" t="n">
        <v>3255.6</v>
      </c>
      <c r="H154" s="7" t="n">
        <v>4222</v>
      </c>
      <c r="J154" s="7" t="n">
        <v>4139</v>
      </c>
      <c r="L154" s="7" t="n">
        <v>8449.700000000001</v>
      </c>
      <c r="N154" s="7" t="n">
        <v>6158.6</v>
      </c>
      <c r="P154" s="7" t="n">
        <v>5159.9</v>
      </c>
      <c r="R154" s="7" t="n">
        <v>6841.5</v>
      </c>
      <c r="T154" s="7" t="n">
        <v>3051.9</v>
      </c>
      <c r="V154" s="7" t="n">
        <v>8818.1</v>
      </c>
      <c r="X154" s="7" t="n">
        <v>5268.2</v>
      </c>
      <c r="Z154" s="7" t="n">
        <v>4562.5</v>
      </c>
      <c r="AB154" s="7" t="n">
        <v>65757.10000000001</v>
      </c>
    </row>
    <row r="155">
      <c r="A155" s="4" t="inlineStr">
        <is>
          <t>样品费</t>
        </is>
      </c>
      <c r="D155" s="7" t="n">
        <v>33074.9</v>
      </c>
      <c r="F155" s="7" t="n">
        <v>17773.9</v>
      </c>
      <c r="H155" s="7" t="n">
        <v>27059.2</v>
      </c>
      <c r="J155" s="7" t="n">
        <v>23938.6</v>
      </c>
      <c r="L155" s="7" t="n">
        <v>29460.9</v>
      </c>
      <c r="N155" s="7" t="n">
        <v>39766.6</v>
      </c>
      <c r="P155" s="7" t="n">
        <v>18590.9</v>
      </c>
      <c r="R155" s="7" t="n">
        <v>49349.4</v>
      </c>
      <c r="T155" s="7" t="n">
        <v>28870.7</v>
      </c>
      <c r="V155" s="7" t="n">
        <v>46367.9</v>
      </c>
      <c r="X155" s="7" t="n">
        <v>19949.6</v>
      </c>
      <c r="Z155" s="7" t="n">
        <v>23950.5</v>
      </c>
      <c r="AB155" s="7" t="n">
        <v>358153.1</v>
      </c>
    </row>
    <row r="156">
      <c r="A156" s="4" t="inlineStr">
        <is>
          <t>劳务费</t>
        </is>
      </c>
      <c r="D156" s="7" t="n">
        <v>8306</v>
      </c>
      <c r="F156" s="7" t="n">
        <v>6335.4</v>
      </c>
      <c r="H156" s="7" t="n">
        <v>8528.700000000001</v>
      </c>
      <c r="J156" s="7" t="n">
        <v>8685</v>
      </c>
      <c r="L156" s="7" t="n">
        <v>10566.8</v>
      </c>
      <c r="N156" s="7" t="n">
        <v>13914.3</v>
      </c>
      <c r="P156" s="7" t="n">
        <v>9357.6</v>
      </c>
      <c r="R156" s="7" t="n">
        <v>9171</v>
      </c>
      <c r="T156" s="7" t="n">
        <v>6800.3</v>
      </c>
      <c r="V156" s="7" t="n">
        <v>11897.2</v>
      </c>
      <c r="X156" s="7" t="n">
        <v>7463.9</v>
      </c>
      <c r="Z156" s="7" t="n">
        <v>7042.3</v>
      </c>
      <c r="AB156" s="7" t="n">
        <v>108068.5</v>
      </c>
    </row>
    <row r="157">
      <c r="A157" s="4" t="inlineStr">
        <is>
          <t>销售佣金</t>
        </is>
      </c>
      <c r="D157" s="7" t="n">
        <v>4903.5</v>
      </c>
      <c r="F157" s="7" t="n">
        <v>2651</v>
      </c>
      <c r="H157" s="7" t="n">
        <v>3944.6</v>
      </c>
      <c r="J157" s="7" t="n">
        <v>3399.3</v>
      </c>
      <c r="L157" s="7" t="n">
        <v>5454.7</v>
      </c>
      <c r="N157" s="7" t="n">
        <v>4909.3</v>
      </c>
      <c r="P157" s="7" t="n">
        <v>2741.2</v>
      </c>
      <c r="R157" s="7" t="n">
        <v>6046.8</v>
      </c>
      <c r="T157" s="7" t="n">
        <v>3903.3</v>
      </c>
      <c r="V157" s="7" t="n">
        <v>7427.8</v>
      </c>
      <c r="X157" s="7" t="n">
        <v>4848.2</v>
      </c>
      <c r="Z157" s="7" t="n">
        <v>3913</v>
      </c>
      <c r="AB157" s="7" t="n">
        <v>54142.7</v>
      </c>
    </row>
    <row r="158">
      <c r="A158" s="4" t="inlineStr">
        <is>
          <t>检测费</t>
        </is>
      </c>
      <c r="D158" s="7" t="n">
        <v>769.7</v>
      </c>
      <c r="F158" s="7" t="n">
        <v>509.3</v>
      </c>
      <c r="H158" s="7" t="n">
        <v>733.9</v>
      </c>
      <c r="J158" s="7" t="n">
        <v>699.8</v>
      </c>
      <c r="L158" s="7" t="n">
        <v>1174.7</v>
      </c>
      <c r="N158" s="7" t="n">
        <v>1130.8</v>
      </c>
      <c r="P158" s="7" t="n">
        <v>816</v>
      </c>
      <c r="R158" s="7" t="n">
        <v>914.7</v>
      </c>
      <c r="T158" s="7" t="n">
        <v>644.5</v>
      </c>
      <c r="V158" s="7" t="n">
        <v>1018.7</v>
      </c>
      <c r="X158" s="7" t="n">
        <v>907.1</v>
      </c>
      <c r="Z158" s="7" t="n">
        <v>927.8</v>
      </c>
      <c r="AB158" s="7" t="n">
        <v>10247</v>
      </c>
    </row>
    <row r="159">
      <c r="A159" s="4" t="inlineStr">
        <is>
          <t>质量赔偿</t>
        </is>
      </c>
      <c r="D159" s="7" t="n">
        <v>418.4</v>
      </c>
      <c r="F159" s="7" t="n">
        <v>172.1</v>
      </c>
      <c r="H159" s="7" t="n">
        <v>262</v>
      </c>
      <c r="J159" s="7" t="n">
        <v>325.8</v>
      </c>
      <c r="L159" s="7" t="n">
        <v>607.6</v>
      </c>
      <c r="N159" s="7" t="n">
        <v>542.4</v>
      </c>
      <c r="P159" s="7" t="n">
        <v>209.5</v>
      </c>
      <c r="R159" s="7" t="n">
        <v>578.8</v>
      </c>
      <c r="T159" s="7" t="n">
        <v>252.3</v>
      </c>
      <c r="V159" s="7" t="n">
        <v>431.9</v>
      </c>
      <c r="X159" s="7" t="n">
        <v>325.4</v>
      </c>
      <c r="Z159" s="7" t="n">
        <v>356.8</v>
      </c>
      <c r="AB159" s="7" t="n">
        <v>4483</v>
      </c>
    </row>
    <row r="160">
      <c r="A160" s="4" t="inlineStr">
        <is>
          <t>保险费</t>
        </is>
      </c>
      <c r="D160" s="7" t="n">
        <v>1048.8</v>
      </c>
      <c r="F160" s="7" t="n">
        <v>378.6</v>
      </c>
      <c r="H160" s="7" t="n">
        <v>1011.6</v>
      </c>
      <c r="J160" s="7" t="n">
        <v>694.5</v>
      </c>
      <c r="L160" s="7" t="n">
        <v>1468.8</v>
      </c>
      <c r="N160" s="7" t="n">
        <v>955.9</v>
      </c>
      <c r="P160" s="7" t="n">
        <v>707.7</v>
      </c>
      <c r="R160" s="7" t="n">
        <v>1338.9</v>
      </c>
      <c r="T160" s="7" t="n">
        <v>588.8</v>
      </c>
      <c r="V160" s="7" t="n">
        <v>1041.8</v>
      </c>
      <c r="X160" s="7" t="n">
        <v>989.2</v>
      </c>
      <c r="Z160" s="7" t="n">
        <v>925.3</v>
      </c>
      <c r="AB160" s="7" t="n">
        <v>11149.9</v>
      </c>
    </row>
    <row r="161">
      <c r="A161" s="4" t="inlineStr">
        <is>
          <t>清洁费</t>
        </is>
      </c>
      <c r="D161" s="7" t="n">
        <v>8103.6</v>
      </c>
      <c r="F161" s="7" t="n">
        <v>4472.2</v>
      </c>
      <c r="H161" s="7" t="n">
        <v>6145.3</v>
      </c>
      <c r="J161" s="7" t="n">
        <v>4422.2</v>
      </c>
      <c r="L161" s="7" t="n">
        <v>8424.1</v>
      </c>
      <c r="N161" s="7" t="n">
        <v>8613.6</v>
      </c>
      <c r="P161" s="7" t="n">
        <v>4500.7</v>
      </c>
      <c r="R161" s="7" t="n">
        <v>11528.5</v>
      </c>
      <c r="T161" s="7" t="n">
        <v>6877.2</v>
      </c>
      <c r="V161" s="7" t="n">
        <v>6989.4</v>
      </c>
      <c r="X161" s="7" t="n">
        <v>5223.6</v>
      </c>
      <c r="Z161" s="7" t="n">
        <v>7500.2</v>
      </c>
      <c r="AB161" s="7" t="n">
        <v>82800.60000000001</v>
      </c>
    </row>
    <row r="162">
      <c r="A162" s="4" t="inlineStr">
        <is>
          <t>低值易耗品</t>
        </is>
      </c>
      <c r="D162" s="7" t="n">
        <v>6218.1</v>
      </c>
      <c r="F162" s="7" t="n">
        <v>4024.5</v>
      </c>
      <c r="H162" s="7" t="n">
        <v>8393.9</v>
      </c>
      <c r="J162" s="7" t="n">
        <v>6879.3</v>
      </c>
      <c r="L162" s="7" t="n">
        <v>9050.1</v>
      </c>
      <c r="N162" s="7" t="n">
        <v>11288.9</v>
      </c>
      <c r="P162" s="7" t="n">
        <v>6367.1</v>
      </c>
      <c r="R162" s="7" t="n">
        <v>11345.4</v>
      </c>
      <c r="T162" s="7" t="n">
        <v>4780.4</v>
      </c>
      <c r="V162" s="7" t="n">
        <v>7712.8</v>
      </c>
      <c r="X162" s="7" t="n">
        <v>6517.4</v>
      </c>
      <c r="Z162" s="7" t="n">
        <v>7277.9</v>
      </c>
      <c r="AB162" s="7" t="n">
        <v>89855.8</v>
      </c>
    </row>
    <row r="163">
      <c r="A163" s="4" t="inlineStr">
        <is>
          <t>物料消耗</t>
        </is>
      </c>
      <c r="D163" s="7" t="n">
        <v>1897.8</v>
      </c>
      <c r="F163" s="7" t="n">
        <v>922.5</v>
      </c>
      <c r="H163" s="7" t="n">
        <v>1295.5</v>
      </c>
      <c r="J163" s="7" t="n">
        <v>1037.5</v>
      </c>
      <c r="L163" s="7" t="n">
        <v>2747.3</v>
      </c>
      <c r="N163" s="7" t="n">
        <v>2305.5</v>
      </c>
      <c r="P163" s="7" t="n">
        <v>1499.4</v>
      </c>
      <c r="R163" s="7" t="n">
        <v>1939.2</v>
      </c>
      <c r="T163" s="7" t="n">
        <v>1220.7</v>
      </c>
      <c r="V163" s="7" t="n">
        <v>1817.3</v>
      </c>
      <c r="X163" s="7" t="n">
        <v>1562.3</v>
      </c>
      <c r="Z163" s="7" t="n">
        <v>1869.4</v>
      </c>
      <c r="AB163" s="7" t="n">
        <v>20114.4</v>
      </c>
    </row>
    <row r="164">
      <c r="A164" s="4" t="inlineStr">
        <is>
          <t>盘盈盘亏</t>
        </is>
      </c>
      <c r="D164" s="7" t="n">
        <v>8156.8</v>
      </c>
      <c r="F164" s="7" t="n">
        <v>4683.1</v>
      </c>
      <c r="H164" s="7" t="n">
        <v>5920</v>
      </c>
      <c r="J164" s="7" t="n">
        <v>5933.8</v>
      </c>
      <c r="L164" s="7" t="n">
        <v>7634.3</v>
      </c>
      <c r="N164" s="7" t="n">
        <v>11309.5</v>
      </c>
      <c r="P164" s="7" t="n">
        <v>7543.8</v>
      </c>
      <c r="R164" s="7" t="n">
        <v>7579.1</v>
      </c>
      <c r="T164" s="7" t="n">
        <v>7883.2</v>
      </c>
      <c r="V164" s="7" t="n">
        <v>11967.6</v>
      </c>
      <c r="X164" s="7" t="n">
        <v>7665.8</v>
      </c>
      <c r="Z164" s="7" t="n">
        <v>4974.3</v>
      </c>
      <c r="AB164" s="7" t="n">
        <v>91251.3</v>
      </c>
    </row>
    <row r="165">
      <c r="A165" s="4" t="inlineStr">
        <is>
          <t>平台服务费</t>
        </is>
      </c>
      <c r="D165" s="7" t="n">
        <v>2610.7</v>
      </c>
      <c r="F165" s="7" t="n">
        <v>1100.7</v>
      </c>
      <c r="H165" s="7" t="n">
        <v>2590.7</v>
      </c>
      <c r="J165" s="7" t="n">
        <v>2005.9</v>
      </c>
      <c r="L165" s="7" t="n">
        <v>3012.9</v>
      </c>
      <c r="N165" s="7" t="n">
        <v>2639.5</v>
      </c>
      <c r="P165" s="7" t="n">
        <v>1740.4</v>
      </c>
      <c r="R165" s="7" t="n">
        <v>2693.3</v>
      </c>
      <c r="T165" s="7" t="n">
        <v>1824.5</v>
      </c>
      <c r="V165" s="7" t="n">
        <v>3582</v>
      </c>
      <c r="X165" s="7" t="n">
        <v>2542.3</v>
      </c>
      <c r="Z165" s="7" t="n">
        <v>1949.2</v>
      </c>
      <c r="AB165" s="7" t="n">
        <v>28292.1</v>
      </c>
    </row>
    <row r="166">
      <c r="A166" s="4" t="inlineStr">
        <is>
          <t>无形资产摊销</t>
        </is>
      </c>
      <c r="D166" s="7" t="n">
        <v>900.7</v>
      </c>
      <c r="F166" s="7" t="n">
        <v>554.4</v>
      </c>
      <c r="H166" s="7" t="n">
        <v>989.3</v>
      </c>
      <c r="J166" s="7" t="n">
        <v>692.5</v>
      </c>
      <c r="L166" s="7" t="n">
        <v>1393</v>
      </c>
      <c r="N166" s="7" t="n">
        <v>1231.3</v>
      </c>
      <c r="P166" s="7" t="n">
        <v>682.1</v>
      </c>
      <c r="R166" s="7" t="n">
        <v>981.1</v>
      </c>
      <c r="T166" s="7" t="n">
        <v>557.2</v>
      </c>
      <c r="V166" s="7" t="n">
        <v>1697.1</v>
      </c>
      <c r="X166" s="7" t="n">
        <v>935.5</v>
      </c>
      <c r="Z166" s="7" t="n">
        <v>1024.8</v>
      </c>
      <c r="AB166" s="7" t="n">
        <v>11639</v>
      </c>
    </row>
    <row r="167">
      <c r="A167" s="4" t="inlineStr">
        <is>
          <t>研发材料</t>
        </is>
      </c>
      <c r="D167" s="7" t="n">
        <v>2572.5</v>
      </c>
      <c r="F167" s="7" t="n">
        <v>1592.9</v>
      </c>
      <c r="H167" s="7" t="n">
        <v>1841</v>
      </c>
      <c r="J167" s="7" t="n">
        <v>1510.2</v>
      </c>
      <c r="L167" s="7" t="n">
        <v>3787.1</v>
      </c>
      <c r="N167" s="7" t="n">
        <v>3657.1</v>
      </c>
      <c r="P167" s="7" t="n">
        <v>2343.5</v>
      </c>
      <c r="R167" s="7" t="n">
        <v>3867.9</v>
      </c>
      <c r="T167" s="7" t="n">
        <v>2041.9</v>
      </c>
      <c r="V167" s="7" t="n">
        <v>3672.8</v>
      </c>
      <c r="X167" s="7" t="n">
        <v>2440.8</v>
      </c>
      <c r="Z167" s="7" t="n">
        <v>2434.9</v>
      </c>
      <c r="AB167" s="7" t="n">
        <v>31762.6</v>
      </c>
    </row>
    <row r="168">
      <c r="A168" s="4" t="inlineStr">
        <is>
          <t>项目名称</t>
        </is>
      </c>
      <c r="D168" s="7" t="n">
        <v>7440.9</v>
      </c>
      <c r="F168" s="7" t="n">
        <v>2768.9</v>
      </c>
      <c r="H168" s="7" t="n">
        <v>4998.1</v>
      </c>
      <c r="J168" s="7" t="n">
        <v>4476.2</v>
      </c>
      <c r="L168" s="7" t="n">
        <v>5912.8</v>
      </c>
      <c r="N168" s="7" t="n">
        <v>8327.1</v>
      </c>
      <c r="P168" s="7" t="n">
        <v>5185.3</v>
      </c>
      <c r="R168" s="7" t="n">
        <v>6687.9</v>
      </c>
      <c r="T168" s="7" t="n">
        <v>5491.5</v>
      </c>
      <c r="V168" s="7" t="n">
        <v>7007.1</v>
      </c>
      <c r="X168" s="7" t="n">
        <v>5641.2</v>
      </c>
      <c r="Z168" s="7" t="n">
        <v>6316.8</v>
      </c>
      <c r="AB168" s="7" t="n">
        <v>70253.8</v>
      </c>
    </row>
    <row r="169">
      <c r="A169" s="4" t="inlineStr">
        <is>
          <t>研发费</t>
        </is>
      </c>
      <c r="D169" s="7" t="n">
        <v>8743.5</v>
      </c>
      <c r="F169" s="7" t="n">
        <v>4495.6</v>
      </c>
      <c r="H169" s="7" t="n">
        <v>8774.700000000001</v>
      </c>
      <c r="J169" s="7" t="n">
        <v>7992.5</v>
      </c>
      <c r="L169" s="7" t="n">
        <v>13901.7</v>
      </c>
      <c r="N169" s="7" t="n">
        <v>8280.4</v>
      </c>
      <c r="P169" s="7" t="n">
        <v>5215.1</v>
      </c>
      <c r="R169" s="7" t="n">
        <v>8827.799999999999</v>
      </c>
      <c r="T169" s="7" t="n">
        <v>5718.4</v>
      </c>
      <c r="V169" s="7" t="n">
        <v>13780.7</v>
      </c>
      <c r="X169" s="7" t="n">
        <v>8849.700000000001</v>
      </c>
      <c r="Z169" s="7" t="n">
        <v>6042.8</v>
      </c>
      <c r="AB169" s="7" t="n">
        <v>100622.9</v>
      </c>
    </row>
    <row r="170">
      <c r="A170" s="4" t="inlineStr">
        <is>
          <t>残保金</t>
        </is>
      </c>
      <c r="D170" s="7" t="n">
        <v>5356.9</v>
      </c>
      <c r="F170" s="7" t="n">
        <v>2529</v>
      </c>
      <c r="H170" s="7" t="n">
        <v>4976.6</v>
      </c>
      <c r="J170" s="7" t="n">
        <v>5704.9</v>
      </c>
      <c r="L170" s="7" t="n">
        <v>7518.6</v>
      </c>
      <c r="N170" s="7" t="n">
        <v>9004.6</v>
      </c>
      <c r="P170" s="7" t="n">
        <v>4633.2</v>
      </c>
      <c r="R170" s="7" t="n">
        <v>7297.1</v>
      </c>
      <c r="T170" s="7" t="n">
        <v>4394.1</v>
      </c>
      <c r="V170" s="7" t="n">
        <v>10557.1</v>
      </c>
      <c r="X170" s="7" t="n">
        <v>5630.1</v>
      </c>
      <c r="Z170" s="7" t="n">
        <v>6824.7</v>
      </c>
      <c r="AB170" s="7" t="n">
        <v>74426.89999999999</v>
      </c>
    </row>
    <row r="171">
      <c r="A171" s="4" t="inlineStr">
        <is>
          <t>环保费</t>
        </is>
      </c>
      <c r="D171" s="7" t="n">
        <v>6462.7</v>
      </c>
      <c r="F171" s="7" t="n">
        <v>2140.1</v>
      </c>
      <c r="H171" s="7" t="n">
        <v>5772.3</v>
      </c>
      <c r="J171" s="7" t="n">
        <v>4273.3</v>
      </c>
      <c r="L171" s="7" t="n">
        <v>8909.799999999999</v>
      </c>
      <c r="N171" s="7" t="n">
        <v>6123.6</v>
      </c>
      <c r="P171" s="7" t="n">
        <v>3890.3</v>
      </c>
      <c r="R171" s="7" t="n">
        <v>5358.6</v>
      </c>
      <c r="T171" s="7" t="n">
        <v>5219.4</v>
      </c>
      <c r="V171" s="7" t="n">
        <v>5857.4</v>
      </c>
      <c r="X171" s="7" t="n">
        <v>4035.9</v>
      </c>
      <c r="Z171" s="7" t="n">
        <v>4541.7</v>
      </c>
      <c r="AB171" s="7" t="n">
        <v>62585.1</v>
      </c>
    </row>
    <row r="172">
      <c r="A172" s="4" t="inlineStr">
        <is>
          <t>报废损失</t>
        </is>
      </c>
      <c r="D172" s="7" t="n">
        <v>6193.2</v>
      </c>
      <c r="F172" s="7" t="n">
        <v>2739.8</v>
      </c>
      <c r="H172" s="7" t="n">
        <v>4062.4</v>
      </c>
      <c r="J172" s="7" t="n">
        <v>4707.7</v>
      </c>
      <c r="L172" s="7" t="n">
        <v>8315</v>
      </c>
      <c r="N172" s="7" t="n">
        <v>6383.6</v>
      </c>
      <c r="P172" s="7" t="n">
        <v>4657.8</v>
      </c>
      <c r="R172" s="7" t="n">
        <v>5754.3</v>
      </c>
      <c r="T172" s="7" t="n">
        <v>4538.9</v>
      </c>
      <c r="V172" s="7" t="n">
        <v>5133.8</v>
      </c>
      <c r="X172" s="7" t="n">
        <v>4148.8</v>
      </c>
      <c r="Z172" s="7" t="n">
        <v>5421.3</v>
      </c>
      <c r="AB172" s="7" t="n">
        <v>62056.6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632736.7</v>
      </c>
      <c r="D173" s="7" t="n">
        <v>257666.1</v>
      </c>
      <c r="E173" s="7" t="n">
        <v>561889.2</v>
      </c>
      <c r="F173" s="7" t="n">
        <v>596216.7</v>
      </c>
      <c r="G173" s="7" t="n">
        <v>622694.8</v>
      </c>
      <c r="H173" s="7" t="n">
        <v>600679.1</v>
      </c>
      <c r="I173" s="7" t="n">
        <v>723535.2</v>
      </c>
      <c r="J173" s="7" t="n">
        <v>936614.7</v>
      </c>
      <c r="K173" s="7" t="n">
        <v>596718.5</v>
      </c>
      <c r="L173" s="7" t="n">
        <v>388806.6</v>
      </c>
      <c r="M173" s="7" t="n">
        <v>692656.4</v>
      </c>
      <c r="N173" s="7" t="n">
        <v>949079.9</v>
      </c>
      <c r="O173" s="7" t="n">
        <v>682777.6</v>
      </c>
      <c r="P173" s="7" t="n">
        <v>1066293.2</v>
      </c>
      <c r="Q173" s="7" t="n">
        <v>608212.5</v>
      </c>
      <c r="R173" s="7" t="n">
        <v>696071.4</v>
      </c>
      <c r="S173" s="7" t="n">
        <v>695967</v>
      </c>
      <c r="T173" s="7" t="n">
        <v>1099286.5</v>
      </c>
      <c r="U173" s="7" t="n">
        <v>627063.1</v>
      </c>
      <c r="V173" s="7" t="n">
        <v>705584.5</v>
      </c>
      <c r="W173" s="7" t="n">
        <v>584553.7</v>
      </c>
      <c r="X173" s="7" t="n">
        <v>289516.4</v>
      </c>
      <c r="Y173" s="7" t="n">
        <v>634798.7</v>
      </c>
      <c r="Z173" s="7" t="n">
        <v>307521.6</v>
      </c>
      <c r="AA173" s="8" t="n">
        <v>7663603.4</v>
      </c>
      <c r="AB173" s="8" t="n">
        <v>7893336.7</v>
      </c>
    </row>
    <row r="174">
      <c r="A174" s="4" t="inlineStr">
        <is>
          <t>职工薪酬</t>
        </is>
      </c>
      <c r="D174" s="7" t="n">
        <v>124300.4</v>
      </c>
      <c r="F174" s="7" t="n">
        <v>254405.5</v>
      </c>
      <c r="H174" s="7" t="n">
        <v>366670.9</v>
      </c>
      <c r="J174" s="7" t="n">
        <v>519306.3</v>
      </c>
      <c r="L174" s="7" t="n">
        <v>195029.9</v>
      </c>
      <c r="N174" s="7" t="n">
        <v>417897.3</v>
      </c>
      <c r="P174" s="7" t="n">
        <v>608061.9</v>
      </c>
      <c r="R174" s="7" t="n">
        <v>319735</v>
      </c>
      <c r="T174" s="7" t="n">
        <v>627895.6</v>
      </c>
      <c r="V174" s="7" t="n">
        <v>341666.1</v>
      </c>
      <c r="X174" s="7" t="n">
        <v>135433.4</v>
      </c>
      <c r="Z174" s="7" t="n">
        <v>142530.7</v>
      </c>
      <c r="AB174" s="7" t="n">
        <v>4052933</v>
      </c>
    </row>
    <row r="175">
      <c r="A175" s="4" t="inlineStr">
        <is>
          <t>工资</t>
        </is>
      </c>
      <c r="D175" s="7" t="n">
        <v>70771.89999999999</v>
      </c>
      <c r="F175" s="7" t="n">
        <v>145427.2</v>
      </c>
      <c r="H175" s="7" t="n">
        <v>228651.6</v>
      </c>
      <c r="J175" s="7" t="n">
        <v>351489.9</v>
      </c>
      <c r="L175" s="7" t="n">
        <v>109880.8</v>
      </c>
      <c r="N175" s="7" t="n">
        <v>238328.5</v>
      </c>
      <c r="P175" s="7" t="n">
        <v>363489.1</v>
      </c>
      <c r="R175" s="7" t="n">
        <v>162614.1</v>
      </c>
      <c r="T175" s="7" t="n">
        <v>376103.1</v>
      </c>
      <c r="V175" s="7" t="n">
        <v>223066.8</v>
      </c>
      <c r="X175" s="7" t="n">
        <v>69604.7</v>
      </c>
      <c r="Z175" s="7" t="n">
        <v>84871.8</v>
      </c>
      <c r="AB175" s="7" t="n">
        <v>2424299.5</v>
      </c>
    </row>
    <row r="176">
      <c r="A176" s="4" t="inlineStr">
        <is>
          <t>奖金及提成</t>
        </is>
      </c>
      <c r="D176" s="7" t="n">
        <v>28094</v>
      </c>
      <c r="F176" s="7" t="n">
        <v>43071.8</v>
      </c>
      <c r="H176" s="7" t="n">
        <v>73638.8</v>
      </c>
      <c r="J176" s="7" t="n">
        <v>79937.60000000001</v>
      </c>
      <c r="L176" s="7" t="n">
        <v>39690.9</v>
      </c>
      <c r="N176" s="7" t="n">
        <v>69202.39999999999</v>
      </c>
      <c r="P176" s="7" t="n">
        <v>138277.8</v>
      </c>
      <c r="R176" s="7" t="n">
        <v>76371.7</v>
      </c>
      <c r="T176" s="7" t="n">
        <v>120057.5</v>
      </c>
      <c r="V176" s="7" t="n">
        <v>50226.7</v>
      </c>
      <c r="X176" s="7" t="n">
        <v>32247.8</v>
      </c>
      <c r="Z176" s="7" t="n">
        <v>29216.6</v>
      </c>
      <c r="AB176" s="7" t="n">
        <v>780033.6</v>
      </c>
    </row>
    <row r="177">
      <c r="A177" s="4" t="inlineStr">
        <is>
          <t>社保</t>
        </is>
      </c>
      <c r="D177" s="7" t="n">
        <v>19132.3</v>
      </c>
      <c r="F177" s="7" t="n">
        <v>49050.5</v>
      </c>
      <c r="H177" s="7" t="n">
        <v>47316.1</v>
      </c>
      <c r="J177" s="7" t="n">
        <v>59334.6</v>
      </c>
      <c r="L177" s="7" t="n">
        <v>34747.3</v>
      </c>
      <c r="N177" s="7" t="n">
        <v>81862.8</v>
      </c>
      <c r="P177" s="7" t="n">
        <v>75124.2</v>
      </c>
      <c r="R177" s="7" t="n">
        <v>61087.2</v>
      </c>
      <c r="T177" s="7" t="n">
        <v>96516.5</v>
      </c>
      <c r="V177" s="7" t="n">
        <v>48656.3</v>
      </c>
      <c r="X177" s="7" t="n">
        <v>24629.3</v>
      </c>
      <c r="Z177" s="7" t="n">
        <v>19245.9</v>
      </c>
      <c r="AB177" s="7" t="n">
        <v>616703</v>
      </c>
    </row>
    <row r="178">
      <c r="A178" s="4" t="inlineStr">
        <is>
          <t>养老</t>
        </is>
      </c>
      <c r="D178" s="7" t="n">
        <v>1070.8</v>
      </c>
      <c r="F178" s="7" t="n">
        <v>3673.8</v>
      </c>
      <c r="H178" s="7" t="n">
        <v>2521.4</v>
      </c>
      <c r="J178" s="7" t="n">
        <v>3920.1</v>
      </c>
      <c r="L178" s="7" t="n">
        <v>1617.5</v>
      </c>
      <c r="N178" s="7" t="n">
        <v>4234.8</v>
      </c>
      <c r="P178" s="7" t="n">
        <v>4761.7</v>
      </c>
      <c r="R178" s="7" t="n">
        <v>3252.3</v>
      </c>
      <c r="T178" s="7" t="n">
        <v>6070.9</v>
      </c>
      <c r="V178" s="7" t="n">
        <v>3155.3</v>
      </c>
      <c r="X178" s="7" t="n">
        <v>1769.5</v>
      </c>
      <c r="Z178" s="7" t="n">
        <v>1469.4</v>
      </c>
      <c r="AB178" s="7" t="n">
        <v>37517.5</v>
      </c>
    </row>
    <row r="179">
      <c r="A179" s="4" t="inlineStr">
        <is>
          <t>医疗</t>
        </is>
      </c>
      <c r="D179" s="7" t="n">
        <v>66.40000000000001</v>
      </c>
      <c r="F179" s="7" t="n">
        <v>127</v>
      </c>
      <c r="H179" s="7" t="n">
        <v>195.6</v>
      </c>
      <c r="J179" s="7" t="n">
        <v>217.4</v>
      </c>
      <c r="L179" s="7" t="n">
        <v>70.5</v>
      </c>
      <c r="N179" s="7" t="n">
        <v>270.5</v>
      </c>
      <c r="P179" s="7" t="n">
        <v>342.8</v>
      </c>
      <c r="R179" s="7" t="n">
        <v>216</v>
      </c>
      <c r="T179" s="7" t="n">
        <v>312.9</v>
      </c>
      <c r="V179" s="7" t="n">
        <v>143.9</v>
      </c>
      <c r="X179" s="7" t="n">
        <v>56.4</v>
      </c>
      <c r="Z179" s="7" t="n">
        <v>80</v>
      </c>
      <c r="AB179" s="7" t="n">
        <v>2099.4</v>
      </c>
    </row>
    <row r="180">
      <c r="A180" s="4" t="inlineStr">
        <is>
          <t>工伤</t>
        </is>
      </c>
      <c r="D180" s="7" t="n">
        <v>930.1</v>
      </c>
      <c r="F180" s="7" t="n">
        <v>2414.5</v>
      </c>
      <c r="H180" s="7" t="n">
        <v>2390.3</v>
      </c>
      <c r="J180" s="7" t="n">
        <v>5746.9</v>
      </c>
      <c r="L180" s="7" t="n">
        <v>1619</v>
      </c>
      <c r="N180" s="7" t="n">
        <v>4406.6</v>
      </c>
      <c r="P180" s="7" t="n">
        <v>3844.4</v>
      </c>
      <c r="R180" s="7" t="n">
        <v>2658</v>
      </c>
      <c r="T180" s="7" t="n">
        <v>3774.5</v>
      </c>
      <c r="V180" s="7" t="n">
        <v>2927.1</v>
      </c>
      <c r="X180" s="7" t="n">
        <v>1622.2</v>
      </c>
      <c r="Z180" s="7" t="n">
        <v>1295.1</v>
      </c>
      <c r="AB180" s="7" t="n">
        <v>33628.7</v>
      </c>
    </row>
    <row r="181">
      <c r="A181" s="4" t="inlineStr">
        <is>
          <t>失业</t>
        </is>
      </c>
      <c r="D181" s="7" t="n">
        <v>944.6</v>
      </c>
      <c r="F181" s="7" t="n">
        <v>3334.7</v>
      </c>
      <c r="H181" s="7" t="n">
        <v>2116.4</v>
      </c>
      <c r="J181" s="7" t="n">
        <v>5493.9</v>
      </c>
      <c r="L181" s="7" t="n">
        <v>2067.5</v>
      </c>
      <c r="N181" s="7" t="n">
        <v>3687.6</v>
      </c>
      <c r="P181" s="7" t="n">
        <v>4722.5</v>
      </c>
      <c r="R181" s="7" t="n">
        <v>3245</v>
      </c>
      <c r="T181" s="7" t="n">
        <v>5712.8</v>
      </c>
      <c r="V181" s="7" t="n">
        <v>4193</v>
      </c>
      <c r="X181" s="7" t="n">
        <v>1059.7</v>
      </c>
      <c r="Z181" s="7" t="n">
        <v>1770.7</v>
      </c>
      <c r="AB181" s="7" t="n">
        <v>38348.4</v>
      </c>
    </row>
    <row r="182">
      <c r="A182" s="4" t="inlineStr">
        <is>
          <t>生育</t>
        </is>
      </c>
      <c r="D182" s="7" t="n">
        <v>290.6</v>
      </c>
      <c r="F182" s="7" t="n">
        <v>913.3</v>
      </c>
      <c r="H182" s="7" t="n">
        <v>621.7</v>
      </c>
      <c r="J182" s="7" t="n">
        <v>1046.1</v>
      </c>
      <c r="L182" s="7" t="n">
        <v>564.3</v>
      </c>
      <c r="N182" s="7" t="n">
        <v>1342.9</v>
      </c>
      <c r="P182" s="7" t="n">
        <v>1392.8</v>
      </c>
      <c r="R182" s="7" t="n">
        <v>983.4</v>
      </c>
      <c r="T182" s="7" t="n">
        <v>1012.2</v>
      </c>
      <c r="V182" s="7" t="n">
        <v>945.7</v>
      </c>
      <c r="X182" s="7" t="n">
        <v>255.2</v>
      </c>
      <c r="Z182" s="7" t="n">
        <v>466.7</v>
      </c>
      <c r="AB182" s="7" t="n">
        <v>9834.9</v>
      </c>
    </row>
    <row r="183">
      <c r="A183" s="4" t="inlineStr">
        <is>
          <t>公积金</t>
        </is>
      </c>
      <c r="D183" s="7" t="n">
        <v>255.7</v>
      </c>
      <c r="F183" s="7" t="n">
        <v>657.1</v>
      </c>
      <c r="H183" s="7" t="n">
        <v>741.7</v>
      </c>
      <c r="J183" s="7" t="n">
        <v>1083.7</v>
      </c>
      <c r="L183" s="7" t="n">
        <v>328.7</v>
      </c>
      <c r="N183" s="7" t="n">
        <v>920.4</v>
      </c>
      <c r="P183" s="7" t="n">
        <v>1020</v>
      </c>
      <c r="R183" s="7" t="n">
        <v>521.9</v>
      </c>
      <c r="T183" s="7" t="n">
        <v>1276.2</v>
      </c>
      <c r="V183" s="7" t="n">
        <v>887.3</v>
      </c>
      <c r="X183" s="7" t="n">
        <v>388.6</v>
      </c>
      <c r="Z183" s="7" t="n">
        <v>250.2</v>
      </c>
      <c r="AB183" s="7" t="n">
        <v>8331.5</v>
      </c>
    </row>
    <row r="184">
      <c r="A184" s="4" t="inlineStr">
        <is>
          <t>工会经费</t>
        </is>
      </c>
      <c r="D184" s="7" t="n">
        <v>1194</v>
      </c>
      <c r="F184" s="7" t="n">
        <v>3406.9</v>
      </c>
      <c r="H184" s="7" t="n">
        <v>2637.7</v>
      </c>
      <c r="J184" s="7" t="n">
        <v>4844.3</v>
      </c>
      <c r="L184" s="7" t="n">
        <v>2085.1</v>
      </c>
      <c r="N184" s="7" t="n">
        <v>6431.1</v>
      </c>
      <c r="P184" s="7" t="n">
        <v>7122.5</v>
      </c>
      <c r="R184" s="7" t="n">
        <v>4875.4</v>
      </c>
      <c r="T184" s="7" t="n">
        <v>6939.8</v>
      </c>
      <c r="V184" s="7" t="n">
        <v>4424.6</v>
      </c>
      <c r="X184" s="7" t="n">
        <v>2248.4</v>
      </c>
      <c r="Z184" s="7" t="n">
        <v>2045.2</v>
      </c>
      <c r="AB184" s="7" t="n">
        <v>48255</v>
      </c>
    </row>
    <row r="185">
      <c r="A185" s="4" t="inlineStr">
        <is>
          <t>职工教育经费</t>
        </is>
      </c>
      <c r="D185" s="7" t="n">
        <v>579.5</v>
      </c>
      <c r="F185" s="7" t="n">
        <v>1481.8</v>
      </c>
      <c r="H185" s="7" t="n">
        <v>1008.9</v>
      </c>
      <c r="J185" s="7" t="n">
        <v>2279.4</v>
      </c>
      <c r="L185" s="7" t="n">
        <v>732.4</v>
      </c>
      <c r="N185" s="7" t="n">
        <v>1910.5</v>
      </c>
      <c r="P185" s="7" t="n">
        <v>2615.6</v>
      </c>
      <c r="R185" s="7" t="n">
        <v>1437.5</v>
      </c>
      <c r="T185" s="7" t="n">
        <v>2934.7</v>
      </c>
      <c r="V185" s="7" t="n">
        <v>1620</v>
      </c>
      <c r="X185" s="7" t="n">
        <v>830.2</v>
      </c>
      <c r="Z185" s="7" t="n">
        <v>499.9</v>
      </c>
      <c r="AB185" s="7" t="n">
        <v>17930.4</v>
      </c>
    </row>
    <row r="186">
      <c r="A186" s="4" t="inlineStr">
        <is>
          <t>福利费</t>
        </is>
      </c>
      <c r="D186" s="7" t="n">
        <v>4273</v>
      </c>
      <c r="F186" s="7" t="n">
        <v>11310.2</v>
      </c>
      <c r="H186" s="7" t="n">
        <v>12676.1</v>
      </c>
      <c r="J186" s="7" t="n">
        <v>20336.8</v>
      </c>
      <c r="L186" s="7" t="n">
        <v>7564.7</v>
      </c>
      <c r="N186" s="7" t="n">
        <v>19241.6</v>
      </c>
      <c r="P186" s="7" t="n">
        <v>20412.7</v>
      </c>
      <c r="R186" s="7" t="n">
        <v>12827.2</v>
      </c>
      <c r="T186" s="7" t="n">
        <v>24067.8</v>
      </c>
      <c r="V186" s="7" t="n">
        <v>12784.4</v>
      </c>
      <c r="X186" s="7" t="n">
        <v>5484.4</v>
      </c>
      <c r="Z186" s="7" t="n">
        <v>6401.1</v>
      </c>
      <c r="AB186" s="7" t="n">
        <v>157380</v>
      </c>
    </row>
    <row r="187">
      <c r="A187" s="4" t="inlineStr">
        <is>
          <t>职工房租</t>
        </is>
      </c>
      <c r="D187" s="7" t="n">
        <v>573</v>
      </c>
      <c r="F187" s="7" t="n">
        <v>1538</v>
      </c>
      <c r="H187" s="7" t="n">
        <v>1875.6</v>
      </c>
      <c r="J187" s="7" t="n">
        <v>2399.7</v>
      </c>
      <c r="L187" s="7" t="n">
        <v>1248.2</v>
      </c>
      <c r="N187" s="7" t="n">
        <v>2430.1</v>
      </c>
      <c r="P187" s="7" t="n">
        <v>2174.7</v>
      </c>
      <c r="R187" s="7" t="n">
        <v>1837.8</v>
      </c>
      <c r="T187" s="7" t="n">
        <v>3174.5</v>
      </c>
      <c r="V187" s="7" t="n">
        <v>1421</v>
      </c>
      <c r="X187" s="7" t="n">
        <v>725.3</v>
      </c>
      <c r="Z187" s="7" t="n">
        <v>841.1</v>
      </c>
      <c r="AB187" s="7" t="n">
        <v>20239</v>
      </c>
    </row>
    <row r="188">
      <c r="A188" s="4" t="inlineStr">
        <is>
          <t>水电物业费</t>
        </is>
      </c>
      <c r="D188" s="7" t="n">
        <v>0.2</v>
      </c>
      <c r="F188" s="7" t="n">
        <v>0.7</v>
      </c>
      <c r="H188" s="7" t="n">
        <v>0.7</v>
      </c>
      <c r="J188" s="7" t="n">
        <v>0.9</v>
      </c>
      <c r="L188" s="7" t="n">
        <v>0.4</v>
      </c>
      <c r="N188" s="7" t="n">
        <v>0.9</v>
      </c>
      <c r="P188" s="7" t="n">
        <v>1.3</v>
      </c>
      <c r="R188" s="7" t="n">
        <v>1</v>
      </c>
      <c r="T188" s="7" t="n">
        <v>1.1</v>
      </c>
      <c r="V188" s="7" t="n">
        <v>0.6</v>
      </c>
      <c r="X188" s="7" t="n">
        <v>0.3</v>
      </c>
      <c r="Z188" s="7" t="n">
        <v>0.3</v>
      </c>
      <c r="AB188" s="7" t="n">
        <v>8.4</v>
      </c>
    </row>
    <row r="189">
      <c r="A189" s="4" t="inlineStr">
        <is>
          <t>员工餐</t>
        </is>
      </c>
      <c r="D189" s="7" t="n">
        <v>1014.4</v>
      </c>
      <c r="F189" s="7" t="n">
        <v>2154.7</v>
      </c>
      <c r="H189" s="7" t="n">
        <v>2414.4</v>
      </c>
      <c r="J189" s="7" t="n">
        <v>3886</v>
      </c>
      <c r="L189" s="7" t="n">
        <v>1097.4</v>
      </c>
      <c r="N189" s="7" t="n">
        <v>4028.5</v>
      </c>
      <c r="P189" s="7" t="n">
        <v>3262.7</v>
      </c>
      <c r="R189" s="7" t="n">
        <v>2313.4</v>
      </c>
      <c r="T189" s="7" t="n">
        <v>4837</v>
      </c>
      <c r="V189" s="7" t="n">
        <v>3313.9</v>
      </c>
      <c r="X189" s="7" t="n">
        <v>930.7</v>
      </c>
      <c r="Z189" s="7" t="n">
        <v>1144.5</v>
      </c>
      <c r="AB189" s="7" t="n">
        <v>30397.6</v>
      </c>
    </row>
    <row r="190">
      <c r="A190" s="4" t="inlineStr">
        <is>
          <t>节日礼品</t>
        </is>
      </c>
      <c r="D190" s="7" t="n">
        <v>863</v>
      </c>
      <c r="F190" s="7" t="n">
        <v>2191.8</v>
      </c>
      <c r="H190" s="7" t="n">
        <v>2168.9</v>
      </c>
      <c r="J190" s="7" t="n">
        <v>4873.2</v>
      </c>
      <c r="L190" s="7" t="n">
        <v>2028</v>
      </c>
      <c r="N190" s="7" t="n">
        <v>3339.1</v>
      </c>
      <c r="P190" s="7" t="n">
        <v>5235.6</v>
      </c>
      <c r="R190" s="7" t="n">
        <v>2603.9</v>
      </c>
      <c r="T190" s="7" t="n">
        <v>6367.4</v>
      </c>
      <c r="V190" s="7" t="n">
        <v>3039.7</v>
      </c>
      <c r="X190" s="7" t="n">
        <v>1298.6</v>
      </c>
      <c r="Z190" s="7" t="n">
        <v>1654.9</v>
      </c>
      <c r="AB190" s="7" t="n">
        <v>35664.1</v>
      </c>
    </row>
    <row r="191">
      <c r="A191" s="4" t="inlineStr">
        <is>
          <t>生日礼品</t>
        </is>
      </c>
      <c r="D191" s="7" t="n">
        <v>926.1</v>
      </c>
      <c r="F191" s="7" t="n">
        <v>2658.6</v>
      </c>
      <c r="H191" s="7" t="n">
        <v>3546</v>
      </c>
      <c r="J191" s="7" t="n">
        <v>5293.7</v>
      </c>
      <c r="L191" s="7" t="n">
        <v>1924.9</v>
      </c>
      <c r="N191" s="7" t="n">
        <v>5189.3</v>
      </c>
      <c r="P191" s="7" t="n">
        <v>4863</v>
      </c>
      <c r="R191" s="7" t="n">
        <v>3582.8</v>
      </c>
      <c r="T191" s="7" t="n">
        <v>6581.2</v>
      </c>
      <c r="V191" s="7" t="n">
        <v>2589.4</v>
      </c>
      <c r="X191" s="7" t="n">
        <v>1359.8</v>
      </c>
      <c r="Z191" s="7" t="n">
        <v>1471.8</v>
      </c>
      <c r="AB191" s="7" t="n">
        <v>39986.6</v>
      </c>
    </row>
    <row r="192">
      <c r="A192" s="4" t="inlineStr">
        <is>
          <t>体检</t>
        </is>
      </c>
      <c r="D192" s="7" t="n">
        <v>103.5</v>
      </c>
      <c r="F192" s="7" t="n">
        <v>228.5</v>
      </c>
      <c r="H192" s="7" t="n">
        <v>189.4</v>
      </c>
      <c r="J192" s="7" t="n">
        <v>299.8</v>
      </c>
      <c r="L192" s="7" t="n">
        <v>155.1</v>
      </c>
      <c r="N192" s="7" t="n">
        <v>243.7</v>
      </c>
      <c r="P192" s="7" t="n">
        <v>355.6</v>
      </c>
      <c r="R192" s="7" t="n">
        <v>252.4</v>
      </c>
      <c r="T192" s="7" t="n">
        <v>272.1</v>
      </c>
      <c r="V192" s="7" t="n">
        <v>209.5</v>
      </c>
      <c r="X192" s="7" t="n">
        <v>97.8</v>
      </c>
      <c r="Z192" s="7" t="n">
        <v>120.4</v>
      </c>
      <c r="AB192" s="7" t="n">
        <v>2527.8</v>
      </c>
    </row>
    <row r="193">
      <c r="A193" s="4" t="inlineStr">
        <is>
          <t>其他福利支出</t>
        </is>
      </c>
      <c r="D193" s="7" t="n">
        <v>792.8</v>
      </c>
      <c r="F193" s="7" t="n">
        <v>2537.9</v>
      </c>
      <c r="H193" s="7" t="n">
        <v>2481.1</v>
      </c>
      <c r="J193" s="7" t="n">
        <v>3583.5</v>
      </c>
      <c r="L193" s="7" t="n">
        <v>1110.7</v>
      </c>
      <c r="N193" s="7" t="n">
        <v>4010</v>
      </c>
      <c r="P193" s="7" t="n">
        <v>4519.8</v>
      </c>
      <c r="R193" s="7" t="n">
        <v>2235.9</v>
      </c>
      <c r="T193" s="7" t="n">
        <v>2834.5</v>
      </c>
      <c r="V193" s="7" t="n">
        <v>2210.3</v>
      </c>
      <c r="X193" s="7" t="n">
        <v>1071.9</v>
      </c>
      <c r="Z193" s="7" t="n">
        <v>1168.1</v>
      </c>
      <c r="AB193" s="7" t="n">
        <v>28556.5</v>
      </c>
    </row>
    <row r="194">
      <c r="A194" s="4" t="inlineStr">
        <is>
          <t>招聘费</t>
        </is>
      </c>
      <c r="D194" s="7" t="n">
        <v>566.1</v>
      </c>
      <c r="F194" s="7" t="n">
        <v>1421.6</v>
      </c>
      <c r="H194" s="7" t="n">
        <v>1327.1</v>
      </c>
      <c r="J194" s="7" t="n">
        <v>2315.6</v>
      </c>
      <c r="L194" s="7" t="n">
        <v>822.7</v>
      </c>
      <c r="N194" s="7" t="n">
        <v>1526.4</v>
      </c>
      <c r="P194" s="7" t="n">
        <v>2245.7</v>
      </c>
      <c r="R194" s="7" t="n">
        <v>1192.9</v>
      </c>
      <c r="T194" s="7" t="n">
        <v>1954.7</v>
      </c>
      <c r="V194" s="7" t="n">
        <v>1526</v>
      </c>
      <c r="X194" s="7" t="n">
        <v>731.4</v>
      </c>
      <c r="Z194" s="7" t="n">
        <v>657</v>
      </c>
      <c r="AB194" s="7" t="n">
        <v>16287.2</v>
      </c>
    </row>
    <row r="195">
      <c r="A195" s="4" t="inlineStr">
        <is>
          <t>办公费</t>
        </is>
      </c>
      <c r="D195" s="7" t="n">
        <v>9855.700000000001</v>
      </c>
      <c r="F195" s="7" t="n">
        <v>17928.3</v>
      </c>
      <c r="H195" s="7" t="n">
        <v>20121.3</v>
      </c>
      <c r="J195" s="7" t="n">
        <v>25104</v>
      </c>
      <c r="L195" s="7" t="n">
        <v>8972.6</v>
      </c>
      <c r="N195" s="7" t="n">
        <v>25948.1</v>
      </c>
      <c r="P195" s="7" t="n">
        <v>31612</v>
      </c>
      <c r="R195" s="7" t="n">
        <v>21767.2</v>
      </c>
      <c r="T195" s="7" t="n">
        <v>36286.2</v>
      </c>
      <c r="V195" s="7" t="n">
        <v>20119.5</v>
      </c>
      <c r="X195" s="7" t="n">
        <v>9977.200000000001</v>
      </c>
      <c r="Z195" s="7" t="n">
        <v>11115.4</v>
      </c>
      <c r="AB195" s="7" t="n">
        <v>238807.5</v>
      </c>
    </row>
    <row r="196">
      <c r="A196" s="4" t="inlineStr">
        <is>
          <t>市内交通费</t>
        </is>
      </c>
      <c r="D196" s="7" t="n">
        <v>583.8</v>
      </c>
      <c r="F196" s="7" t="n">
        <v>1324.7</v>
      </c>
      <c r="H196" s="7" t="n">
        <v>1141.6</v>
      </c>
      <c r="J196" s="7" t="n">
        <v>1255.9</v>
      </c>
      <c r="L196" s="7" t="n">
        <v>573.9</v>
      </c>
      <c r="N196" s="7" t="n">
        <v>1961.2</v>
      </c>
      <c r="P196" s="7" t="n">
        <v>1639.3</v>
      </c>
      <c r="R196" s="7" t="n">
        <v>1501</v>
      </c>
      <c r="T196" s="7" t="n">
        <v>1641.8</v>
      </c>
      <c r="V196" s="7" t="n">
        <v>1153.6</v>
      </c>
      <c r="X196" s="7" t="n">
        <v>461.6</v>
      </c>
      <c r="Z196" s="7" t="n">
        <v>694</v>
      </c>
      <c r="AB196" s="7" t="n">
        <v>13932.4</v>
      </c>
    </row>
    <row r="197">
      <c r="A197" s="4" t="inlineStr">
        <is>
          <t>差旅费</t>
        </is>
      </c>
      <c r="D197" s="7" t="n">
        <v>17227.9</v>
      </c>
      <c r="F197" s="7" t="n">
        <v>31375.9</v>
      </c>
      <c r="H197" s="7" t="n">
        <v>41524.6</v>
      </c>
      <c r="J197" s="7" t="n">
        <v>40427.1</v>
      </c>
      <c r="L197" s="7" t="n">
        <v>27723.8</v>
      </c>
      <c r="N197" s="7" t="n">
        <v>43362.8</v>
      </c>
      <c r="P197" s="7" t="n">
        <v>78105.2</v>
      </c>
      <c r="R197" s="7" t="n">
        <v>47765.6</v>
      </c>
      <c r="T197" s="7" t="n">
        <v>80395.5</v>
      </c>
      <c r="V197" s="7" t="n">
        <v>48492.6</v>
      </c>
      <c r="X197" s="7" t="n">
        <v>18009.6</v>
      </c>
      <c r="Z197" s="7" t="n">
        <v>15546.3</v>
      </c>
      <c r="AB197" s="7" t="n">
        <v>489956.9</v>
      </c>
    </row>
    <row r="198">
      <c r="A198" s="4" t="inlineStr">
        <is>
          <t>交通费</t>
        </is>
      </c>
      <c r="D198" s="7" t="n">
        <v>1562.8</v>
      </c>
      <c r="F198" s="7" t="n">
        <v>2675.6</v>
      </c>
      <c r="H198" s="7" t="n">
        <v>3394.2</v>
      </c>
      <c r="J198" s="7" t="n">
        <v>6049.6</v>
      </c>
      <c r="L198" s="7" t="n">
        <v>1864.7</v>
      </c>
      <c r="N198" s="7" t="n">
        <v>6218.6</v>
      </c>
      <c r="P198" s="7" t="n">
        <v>7049.6</v>
      </c>
      <c r="R198" s="7" t="n">
        <v>3177.5</v>
      </c>
      <c r="T198" s="7" t="n">
        <v>5830.4</v>
      </c>
      <c r="V198" s="7" t="n">
        <v>2568.4</v>
      </c>
      <c r="X198" s="7" t="n">
        <v>1266.8</v>
      </c>
      <c r="Z198" s="7" t="n">
        <v>1696</v>
      </c>
      <c r="AB198" s="7" t="n">
        <v>43354.2</v>
      </c>
    </row>
    <row r="199">
      <c r="A199" s="4" t="inlineStr">
        <is>
          <t>住宿费</t>
        </is>
      </c>
      <c r="D199" s="7" t="n">
        <v>1612.5</v>
      </c>
      <c r="F199" s="7" t="n">
        <v>3657.6</v>
      </c>
      <c r="H199" s="7" t="n">
        <v>3835.4</v>
      </c>
      <c r="J199" s="7" t="n">
        <v>5385.1</v>
      </c>
      <c r="L199" s="7" t="n">
        <v>2167.4</v>
      </c>
      <c r="N199" s="7" t="n">
        <v>5604</v>
      </c>
      <c r="P199" s="7" t="n">
        <v>5613</v>
      </c>
      <c r="R199" s="7" t="n">
        <v>3785.6</v>
      </c>
      <c r="T199" s="7" t="n">
        <v>6561.9</v>
      </c>
      <c r="V199" s="7" t="n">
        <v>4619.7</v>
      </c>
      <c r="X199" s="7" t="n">
        <v>1299.5</v>
      </c>
      <c r="Z199" s="7" t="n">
        <v>1270</v>
      </c>
      <c r="AB199" s="7" t="n">
        <v>45411.7</v>
      </c>
    </row>
    <row r="200">
      <c r="A200" s="4" t="inlineStr">
        <is>
          <t>餐补</t>
        </is>
      </c>
      <c r="D200" s="7" t="n">
        <v>936.8</v>
      </c>
      <c r="F200" s="7" t="n">
        <v>2146.6</v>
      </c>
      <c r="H200" s="7" t="n">
        <v>2711.3</v>
      </c>
      <c r="J200" s="7" t="n">
        <v>3883.8</v>
      </c>
      <c r="L200" s="7" t="n">
        <v>1665.8</v>
      </c>
      <c r="N200" s="7" t="n">
        <v>4392.8</v>
      </c>
      <c r="P200" s="7" t="n">
        <v>3713.7</v>
      </c>
      <c r="R200" s="7" t="n">
        <v>3272.9</v>
      </c>
      <c r="T200" s="7" t="n">
        <v>4197.6</v>
      </c>
      <c r="V200" s="7" t="n">
        <v>2837.4</v>
      </c>
      <c r="X200" s="7" t="n">
        <v>1459.1</v>
      </c>
      <c r="Z200" s="7" t="n">
        <v>1091.5</v>
      </c>
      <c r="AB200" s="7" t="n">
        <v>32309.3</v>
      </c>
    </row>
    <row r="201">
      <c r="A201" s="4" t="inlineStr">
        <is>
          <t>交通补助</t>
        </is>
      </c>
      <c r="D201" s="7" t="n">
        <v>232.1</v>
      </c>
      <c r="F201" s="7" t="n">
        <v>439</v>
      </c>
      <c r="H201" s="7" t="n">
        <v>762.5</v>
      </c>
      <c r="J201" s="7" t="n">
        <v>1009.5</v>
      </c>
      <c r="L201" s="7" t="n">
        <v>429.9</v>
      </c>
      <c r="N201" s="7" t="n">
        <v>951.1</v>
      </c>
      <c r="P201" s="7" t="n">
        <v>1121.6</v>
      </c>
      <c r="R201" s="7" t="n">
        <v>641.8</v>
      </c>
      <c r="T201" s="7" t="n">
        <v>1296.8</v>
      </c>
      <c r="V201" s="7" t="n">
        <v>633.4</v>
      </c>
      <c r="X201" s="7" t="n">
        <v>242.8</v>
      </c>
      <c r="Z201" s="7" t="n">
        <v>251.2</v>
      </c>
      <c r="AB201" s="7" t="n">
        <v>8011.7</v>
      </c>
    </row>
    <row r="202">
      <c r="A202" s="4" t="inlineStr">
        <is>
          <t>通讯补助</t>
        </is>
      </c>
      <c r="D202" s="7" t="n">
        <v>115.5</v>
      </c>
      <c r="F202" s="7" t="n">
        <v>253.1</v>
      </c>
      <c r="H202" s="7" t="n">
        <v>274.5</v>
      </c>
      <c r="J202" s="7" t="n">
        <v>316.2</v>
      </c>
      <c r="L202" s="7" t="n">
        <v>144.7</v>
      </c>
      <c r="N202" s="7" t="n">
        <v>351.3</v>
      </c>
      <c r="P202" s="7" t="n">
        <v>428.6</v>
      </c>
      <c r="R202" s="7" t="n">
        <v>285.2</v>
      </c>
      <c r="T202" s="7" t="n">
        <v>408.4</v>
      </c>
      <c r="V202" s="7" t="n">
        <v>363.3</v>
      </c>
      <c r="X202" s="7" t="n">
        <v>131.8</v>
      </c>
      <c r="Z202" s="7" t="n">
        <v>178.4</v>
      </c>
      <c r="AB202" s="7" t="n">
        <v>3251</v>
      </c>
    </row>
    <row r="203">
      <c r="A203" s="4" t="inlineStr">
        <is>
          <t>招待费</t>
        </is>
      </c>
      <c r="D203" s="7" t="n">
        <v>12308.3</v>
      </c>
      <c r="F203" s="7" t="n">
        <v>30733.3</v>
      </c>
      <c r="H203" s="7" t="n">
        <v>16945.9</v>
      </c>
      <c r="J203" s="7" t="n">
        <v>41262.1</v>
      </c>
      <c r="L203" s="7" t="n">
        <v>15045.3</v>
      </c>
      <c r="N203" s="7" t="n">
        <v>47176.8</v>
      </c>
      <c r="P203" s="7" t="n">
        <v>45561.5</v>
      </c>
      <c r="R203" s="7" t="n">
        <v>29866.4</v>
      </c>
      <c r="T203" s="7" t="n">
        <v>56078.5</v>
      </c>
      <c r="V203" s="7" t="n">
        <v>31314.7</v>
      </c>
      <c r="X203" s="7" t="n">
        <v>10336.5</v>
      </c>
      <c r="Z203" s="7" t="n">
        <v>15370.7</v>
      </c>
      <c r="AB203" s="7" t="n">
        <v>352000</v>
      </c>
    </row>
    <row r="204">
      <c r="A204" s="4" t="inlineStr">
        <is>
          <t>通讯费</t>
        </is>
      </c>
      <c r="D204" s="7" t="n">
        <v>1487.3</v>
      </c>
      <c r="F204" s="7" t="n">
        <v>3783.7</v>
      </c>
      <c r="H204" s="7" t="n">
        <v>3237.2</v>
      </c>
      <c r="J204" s="7" t="n">
        <v>7236.3</v>
      </c>
      <c r="L204" s="7" t="n">
        <v>2874.9</v>
      </c>
      <c r="N204" s="7" t="n">
        <v>5439.9</v>
      </c>
      <c r="P204" s="7" t="n">
        <v>7807.9</v>
      </c>
      <c r="R204" s="7" t="n">
        <v>4172.4</v>
      </c>
      <c r="T204" s="7" t="n">
        <v>4947.5</v>
      </c>
      <c r="V204" s="7" t="n">
        <v>5417.1</v>
      </c>
      <c r="X204" s="7" t="n">
        <v>1463</v>
      </c>
      <c r="Z204" s="7" t="n">
        <v>1921.5</v>
      </c>
      <c r="AB204" s="7" t="n">
        <v>49788.7</v>
      </c>
    </row>
    <row r="205">
      <c r="A205" s="4" t="inlineStr">
        <is>
          <t>网络费</t>
        </is>
      </c>
      <c r="D205" s="7" t="n">
        <v>1282.4</v>
      </c>
      <c r="F205" s="7" t="n">
        <v>4722</v>
      </c>
      <c r="H205" s="7" t="n">
        <v>3820</v>
      </c>
      <c r="J205" s="7" t="n">
        <v>4102.2</v>
      </c>
      <c r="L205" s="7" t="n">
        <v>1787.2</v>
      </c>
      <c r="N205" s="7" t="n">
        <v>6504.3</v>
      </c>
      <c r="P205" s="7" t="n">
        <v>7718.3</v>
      </c>
      <c r="R205" s="7" t="n">
        <v>5275.7</v>
      </c>
      <c r="T205" s="7" t="n">
        <v>6524.3</v>
      </c>
      <c r="V205" s="7" t="n">
        <v>3344.6</v>
      </c>
      <c r="X205" s="7" t="n">
        <v>1840.9</v>
      </c>
      <c r="Z205" s="7" t="n">
        <v>2144.7</v>
      </c>
      <c r="AB205" s="7" t="n">
        <v>49066.6</v>
      </c>
    </row>
    <row r="206">
      <c r="A206" s="4" t="inlineStr">
        <is>
          <t>修理费</t>
        </is>
      </c>
      <c r="D206" s="7" t="n">
        <v>1921.8</v>
      </c>
      <c r="F206" s="7" t="n">
        <v>4152.3</v>
      </c>
      <c r="H206" s="7" t="n">
        <v>4859.8</v>
      </c>
      <c r="J206" s="7" t="n">
        <v>6883.9</v>
      </c>
      <c r="L206" s="7" t="n">
        <v>1971.9</v>
      </c>
      <c r="N206" s="7" t="n">
        <v>5926.9</v>
      </c>
      <c r="P206" s="7" t="n">
        <v>6136.6</v>
      </c>
      <c r="R206" s="7" t="n">
        <v>3353.1</v>
      </c>
      <c r="T206" s="7" t="n">
        <v>5155.1</v>
      </c>
      <c r="V206" s="7" t="n">
        <v>5314.1</v>
      </c>
      <c r="X206" s="7" t="n">
        <v>1917.9</v>
      </c>
      <c r="Z206" s="7" t="n">
        <v>2057.1</v>
      </c>
      <c r="AB206" s="7" t="n">
        <v>49650.5</v>
      </c>
    </row>
    <row r="207">
      <c r="A207" s="4" t="inlineStr">
        <is>
          <t>车辆费</t>
        </is>
      </c>
      <c r="D207" s="7" t="n">
        <v>328.9</v>
      </c>
      <c r="F207" s="7" t="n">
        <v>830.2</v>
      </c>
      <c r="H207" s="7" t="n">
        <v>966.7</v>
      </c>
      <c r="J207" s="7" t="n">
        <v>1342</v>
      </c>
      <c r="L207" s="7" t="n">
        <v>412.2</v>
      </c>
      <c r="N207" s="7" t="n">
        <v>1564.1</v>
      </c>
      <c r="P207" s="7" t="n">
        <v>1625</v>
      </c>
      <c r="R207" s="7" t="n">
        <v>1127.2</v>
      </c>
      <c r="T207" s="7" t="n">
        <v>1757.5</v>
      </c>
      <c r="V207" s="7" t="n">
        <v>1215</v>
      </c>
      <c r="X207" s="7" t="n">
        <v>454.4</v>
      </c>
      <c r="Z207" s="7" t="n">
        <v>514.4</v>
      </c>
      <c r="AB207" s="7" t="n">
        <v>12137.6</v>
      </c>
    </row>
    <row r="208">
      <c r="A208" s="4" t="inlineStr">
        <is>
          <t>租赁费</t>
        </is>
      </c>
      <c r="D208" s="7" t="n">
        <v>9579.4</v>
      </c>
      <c r="F208" s="7" t="n">
        <v>37467.1</v>
      </c>
      <c r="H208" s="7" t="n">
        <v>22936.4</v>
      </c>
      <c r="J208" s="7" t="n">
        <v>54892</v>
      </c>
      <c r="L208" s="7" t="n">
        <v>17123.2</v>
      </c>
      <c r="N208" s="7" t="n">
        <v>35680.8</v>
      </c>
      <c r="P208" s="7" t="n">
        <v>61800.5</v>
      </c>
      <c r="R208" s="7" t="n">
        <v>33502.1</v>
      </c>
      <c r="T208" s="7" t="n">
        <v>51505.3</v>
      </c>
      <c r="V208" s="7" t="n">
        <v>38681.3</v>
      </c>
      <c r="X208" s="7" t="n">
        <v>14249.9</v>
      </c>
      <c r="Z208" s="7" t="n">
        <v>15684.8</v>
      </c>
      <c r="AB208" s="7" t="n">
        <v>393102.8</v>
      </c>
    </row>
    <row r="209">
      <c r="A209" s="4" t="inlineStr">
        <is>
          <t>能源费</t>
        </is>
      </c>
      <c r="D209" s="7" t="n">
        <v>2939.5</v>
      </c>
      <c r="F209" s="7" t="n">
        <v>6736.9</v>
      </c>
      <c r="H209" s="7" t="n">
        <v>7780.2</v>
      </c>
      <c r="J209" s="7" t="n">
        <v>11416.4</v>
      </c>
      <c r="L209" s="7" t="n">
        <v>4563.6</v>
      </c>
      <c r="N209" s="7" t="n">
        <v>13208.3</v>
      </c>
      <c r="P209" s="7" t="n">
        <v>13009</v>
      </c>
      <c r="R209" s="7" t="n">
        <v>9128.700000000001</v>
      </c>
      <c r="T209" s="7" t="n">
        <v>15555.2</v>
      </c>
      <c r="V209" s="7" t="n">
        <v>10325.5</v>
      </c>
      <c r="X209" s="7" t="n">
        <v>3563.1</v>
      </c>
      <c r="Z209" s="7" t="n">
        <v>4343.6</v>
      </c>
      <c r="AB209" s="7" t="n">
        <v>102570</v>
      </c>
    </row>
    <row r="210">
      <c r="A210" s="4" t="inlineStr">
        <is>
          <t>水费</t>
        </is>
      </c>
      <c r="D210" s="7" t="n">
        <v>966.1</v>
      </c>
      <c r="F210" s="7" t="n">
        <v>1674.9</v>
      </c>
      <c r="H210" s="7" t="n">
        <v>1532.8</v>
      </c>
      <c r="J210" s="7" t="n">
        <v>3596.8</v>
      </c>
      <c r="L210" s="7" t="n">
        <v>1442.7</v>
      </c>
      <c r="N210" s="7" t="n">
        <v>4368.7</v>
      </c>
      <c r="P210" s="7" t="n">
        <v>3416.7</v>
      </c>
      <c r="R210" s="7" t="n">
        <v>2902.9</v>
      </c>
      <c r="T210" s="7" t="n">
        <v>4956.1</v>
      </c>
      <c r="V210" s="7" t="n">
        <v>2321.1</v>
      </c>
      <c r="X210" s="7" t="n">
        <v>995.8</v>
      </c>
      <c r="Z210" s="7" t="n">
        <v>1213.9</v>
      </c>
      <c r="AB210" s="7" t="n">
        <v>29388.5</v>
      </c>
    </row>
    <row r="211">
      <c r="A211" s="4" t="inlineStr">
        <is>
          <t>电费</t>
        </is>
      </c>
      <c r="D211" s="7" t="n">
        <v>689.8</v>
      </c>
      <c r="F211" s="7" t="n">
        <v>1668.2</v>
      </c>
      <c r="H211" s="7" t="n">
        <v>2424.4</v>
      </c>
      <c r="J211" s="7" t="n">
        <v>2570.6</v>
      </c>
      <c r="L211" s="7" t="n">
        <v>1056.9</v>
      </c>
      <c r="N211" s="7" t="n">
        <v>3763.4</v>
      </c>
      <c r="P211" s="7" t="n">
        <v>4341.3</v>
      </c>
      <c r="R211" s="7" t="n">
        <v>2832.7</v>
      </c>
      <c r="T211" s="7" t="n">
        <v>4653.2</v>
      </c>
      <c r="V211" s="7" t="n">
        <v>3074.8</v>
      </c>
      <c r="X211" s="7" t="n">
        <v>950.5</v>
      </c>
      <c r="Z211" s="7" t="n">
        <v>1064.4</v>
      </c>
      <c r="AB211" s="7" t="n">
        <v>29090.2</v>
      </c>
    </row>
    <row r="212">
      <c r="A212" s="4" t="inlineStr">
        <is>
          <t>燃气费</t>
        </is>
      </c>
      <c r="D212" s="7" t="n">
        <v>363.6</v>
      </c>
      <c r="F212" s="7" t="n">
        <v>862.4</v>
      </c>
      <c r="H212" s="7" t="n">
        <v>1299.8</v>
      </c>
      <c r="J212" s="7" t="n">
        <v>1771.4</v>
      </c>
      <c r="L212" s="7" t="n">
        <v>665.8</v>
      </c>
      <c r="N212" s="7" t="n">
        <v>1405.4</v>
      </c>
      <c r="P212" s="7" t="n">
        <v>2221.8</v>
      </c>
      <c r="R212" s="7" t="n">
        <v>1008.3</v>
      </c>
      <c r="T212" s="7" t="n">
        <v>2245.4</v>
      </c>
      <c r="V212" s="7" t="n">
        <v>1667.6</v>
      </c>
      <c r="X212" s="7" t="n">
        <v>491.5</v>
      </c>
      <c r="Z212" s="7" t="n">
        <v>568.8</v>
      </c>
      <c r="AB212" s="7" t="n">
        <v>14571.8</v>
      </c>
    </row>
    <row r="213">
      <c r="A213" s="4" t="inlineStr">
        <is>
          <t>蒸汽费</t>
        </is>
      </c>
      <c r="D213" s="7" t="n">
        <v>920</v>
      </c>
      <c r="F213" s="7" t="n">
        <v>2531.4</v>
      </c>
      <c r="H213" s="7" t="n">
        <v>2523.2</v>
      </c>
      <c r="J213" s="7" t="n">
        <v>3477.6</v>
      </c>
      <c r="L213" s="7" t="n">
        <v>1398.2</v>
      </c>
      <c r="N213" s="7" t="n">
        <v>3670.8</v>
      </c>
      <c r="P213" s="7" t="n">
        <v>3029.2</v>
      </c>
      <c r="R213" s="7" t="n">
        <v>2384.8</v>
      </c>
      <c r="T213" s="7" t="n">
        <v>3700.5</v>
      </c>
      <c r="V213" s="7" t="n">
        <v>3262</v>
      </c>
      <c r="X213" s="7" t="n">
        <v>1125.3</v>
      </c>
      <c r="Z213" s="7" t="n">
        <v>1496.5</v>
      </c>
      <c r="AB213" s="7" t="n">
        <v>29519.5</v>
      </c>
    </row>
    <row r="214">
      <c r="A214" s="4" t="inlineStr">
        <is>
          <t>物业费</t>
        </is>
      </c>
      <c r="D214" s="7" t="n">
        <v>258.6</v>
      </c>
      <c r="F214" s="7" t="n">
        <v>644.1</v>
      </c>
      <c r="H214" s="7" t="n">
        <v>517.2</v>
      </c>
      <c r="J214" s="7" t="n">
        <v>755</v>
      </c>
      <c r="L214" s="7" t="n">
        <v>302.5</v>
      </c>
      <c r="N214" s="7" t="n">
        <v>861.8</v>
      </c>
      <c r="P214" s="7" t="n">
        <v>756.4</v>
      </c>
      <c r="R214" s="7" t="n">
        <v>652.2</v>
      </c>
      <c r="T214" s="7" t="n">
        <v>1166.7</v>
      </c>
      <c r="V214" s="7" t="n">
        <v>755.1</v>
      </c>
      <c r="X214" s="7" t="n">
        <v>199.9</v>
      </c>
      <c r="Z214" s="7" t="n">
        <v>277.1</v>
      </c>
      <c r="AB214" s="7" t="n">
        <v>7146.6</v>
      </c>
    </row>
    <row r="215">
      <c r="A215" s="4" t="inlineStr">
        <is>
          <t>劳动保护费</t>
        </is>
      </c>
      <c r="D215" s="7" t="n">
        <v>547.9</v>
      </c>
      <c r="F215" s="7" t="n">
        <v>767.6</v>
      </c>
      <c r="H215" s="7" t="n">
        <v>772.7</v>
      </c>
      <c r="J215" s="7" t="n">
        <v>1149.8</v>
      </c>
      <c r="L215" s="7" t="n">
        <v>674</v>
      </c>
      <c r="N215" s="7" t="n">
        <v>1177.4</v>
      </c>
      <c r="P215" s="7" t="n">
        <v>1931</v>
      </c>
      <c r="R215" s="7" t="n">
        <v>1133.1</v>
      </c>
      <c r="T215" s="7" t="n">
        <v>2000</v>
      </c>
      <c r="V215" s="7" t="n">
        <v>1514.8</v>
      </c>
      <c r="X215" s="7" t="n">
        <v>515.2</v>
      </c>
      <c r="Z215" s="7" t="n">
        <v>544.7</v>
      </c>
      <c r="AB215" s="7" t="n">
        <v>12728.2</v>
      </c>
    </row>
    <row r="216">
      <c r="A216" s="4" t="inlineStr">
        <is>
          <t>顾问费</t>
        </is>
      </c>
      <c r="D216" s="7" t="n">
        <v>1659.2</v>
      </c>
      <c r="F216" s="7" t="n">
        <v>4549.4</v>
      </c>
      <c r="H216" s="7" t="n">
        <v>3617.2</v>
      </c>
      <c r="J216" s="7" t="n">
        <v>5115.6</v>
      </c>
      <c r="L216" s="7" t="n">
        <v>2962.1</v>
      </c>
      <c r="N216" s="7" t="n">
        <v>7085.3</v>
      </c>
      <c r="P216" s="7" t="n">
        <v>6107.5</v>
      </c>
      <c r="R216" s="7" t="n">
        <v>4462</v>
      </c>
      <c r="T216" s="7" t="n">
        <v>7244.2</v>
      </c>
      <c r="V216" s="7" t="n">
        <v>4334.7</v>
      </c>
      <c r="X216" s="7" t="n">
        <v>1898.5</v>
      </c>
      <c r="Z216" s="7" t="n">
        <v>2210.5</v>
      </c>
      <c r="AB216" s="7" t="n">
        <v>51246.2</v>
      </c>
    </row>
    <row r="217">
      <c r="A217" s="4" t="inlineStr">
        <is>
          <t>快递费</t>
        </is>
      </c>
      <c r="D217" s="7" t="n">
        <v>1696.3</v>
      </c>
      <c r="F217" s="7" t="n">
        <v>3542.1</v>
      </c>
      <c r="H217" s="7" t="n">
        <v>2670.4</v>
      </c>
      <c r="J217" s="7" t="n">
        <v>5252.3</v>
      </c>
      <c r="L217" s="7" t="n">
        <v>2092.2</v>
      </c>
      <c r="N217" s="7" t="n">
        <v>4261.4</v>
      </c>
      <c r="P217" s="7" t="n">
        <v>7525.5</v>
      </c>
      <c r="R217" s="7" t="n">
        <v>4240.7</v>
      </c>
      <c r="T217" s="7" t="n">
        <v>7828.1</v>
      </c>
      <c r="V217" s="7" t="n">
        <v>4478.8</v>
      </c>
      <c r="X217" s="7" t="n">
        <v>1593.9</v>
      </c>
      <c r="Z217" s="7" t="n">
        <v>1565.1</v>
      </c>
      <c r="AB217" s="7" t="n">
        <v>46746.8</v>
      </c>
    </row>
    <row r="218">
      <c r="A218" s="4" t="inlineStr">
        <is>
          <t>诉讼费</t>
        </is>
      </c>
      <c r="D218" s="7" t="n">
        <v>367</v>
      </c>
      <c r="F218" s="7" t="n">
        <v>631.1</v>
      </c>
      <c r="H218" s="7" t="n">
        <v>794.4</v>
      </c>
      <c r="J218" s="7" t="n">
        <v>975.3</v>
      </c>
      <c r="L218" s="7" t="n">
        <v>459.7</v>
      </c>
      <c r="N218" s="7" t="n">
        <v>1695</v>
      </c>
      <c r="P218" s="7" t="n">
        <v>1402.6</v>
      </c>
      <c r="R218" s="7" t="n">
        <v>980.6</v>
      </c>
      <c r="T218" s="7" t="n">
        <v>1534.4</v>
      </c>
      <c r="V218" s="7" t="n">
        <v>736.9</v>
      </c>
      <c r="X218" s="7" t="n">
        <v>535.2</v>
      </c>
      <c r="Z218" s="7" t="n">
        <v>394.7</v>
      </c>
      <c r="AB218" s="7" t="n">
        <v>10506.9</v>
      </c>
    </row>
    <row r="219">
      <c r="A219" s="4" t="inlineStr">
        <is>
          <t>会员费</t>
        </is>
      </c>
      <c r="D219" s="7" t="n">
        <v>1204.3</v>
      </c>
      <c r="F219" s="7" t="n">
        <v>3295.5</v>
      </c>
      <c r="H219" s="7" t="n">
        <v>3328.9</v>
      </c>
      <c r="J219" s="7" t="n">
        <v>3708.4</v>
      </c>
      <c r="L219" s="7" t="n">
        <v>1842</v>
      </c>
      <c r="N219" s="7" t="n">
        <v>3522.6</v>
      </c>
      <c r="P219" s="7" t="n">
        <v>5374.3</v>
      </c>
      <c r="R219" s="7" t="n">
        <v>2952.5</v>
      </c>
      <c r="T219" s="7" t="n">
        <v>5539.5</v>
      </c>
      <c r="V219" s="7" t="n">
        <v>3911.4</v>
      </c>
      <c r="X219" s="7" t="n">
        <v>1349.4</v>
      </c>
      <c r="Z219" s="7" t="n">
        <v>1313.8</v>
      </c>
      <c r="AB219" s="7" t="n">
        <v>37342.6</v>
      </c>
    </row>
    <row r="220">
      <c r="A220" s="4" t="inlineStr">
        <is>
          <t>广告宣传费</t>
        </is>
      </c>
      <c r="D220" s="7" t="n">
        <v>9618.799999999999</v>
      </c>
      <c r="F220" s="7" t="n">
        <v>18062.2</v>
      </c>
      <c r="H220" s="7" t="n">
        <v>16429.9</v>
      </c>
      <c r="J220" s="7" t="n">
        <v>34297.8</v>
      </c>
      <c r="L220" s="7" t="n">
        <v>11572.2</v>
      </c>
      <c r="N220" s="7" t="n">
        <v>28166.8</v>
      </c>
      <c r="P220" s="7" t="n">
        <v>33988.9</v>
      </c>
      <c r="R220" s="7" t="n">
        <v>20905.2</v>
      </c>
      <c r="T220" s="7" t="n">
        <v>25834.8</v>
      </c>
      <c r="V220" s="7" t="n">
        <v>16920.6</v>
      </c>
      <c r="X220" s="7" t="n">
        <v>6481.6</v>
      </c>
      <c r="Z220" s="7" t="n">
        <v>10019.8</v>
      </c>
      <c r="AB220" s="7" t="n">
        <v>232298.6</v>
      </c>
    </row>
    <row r="221">
      <c r="A221" s="4" t="inlineStr">
        <is>
          <t>会务费</t>
        </is>
      </c>
      <c r="D221" s="7" t="n">
        <v>290.2</v>
      </c>
      <c r="F221" s="7" t="n">
        <v>758.6</v>
      </c>
      <c r="H221" s="7" t="n">
        <v>941.8</v>
      </c>
      <c r="J221" s="7" t="n">
        <v>1001.6</v>
      </c>
      <c r="L221" s="7" t="n">
        <v>452</v>
      </c>
      <c r="N221" s="7" t="n">
        <v>1562.1</v>
      </c>
      <c r="P221" s="7" t="n">
        <v>1674.4</v>
      </c>
      <c r="R221" s="7" t="n">
        <v>954.7</v>
      </c>
      <c r="T221" s="7" t="n">
        <v>1505.3</v>
      </c>
      <c r="V221" s="7" t="n">
        <v>808.8</v>
      </c>
      <c r="X221" s="7" t="n">
        <v>319.9</v>
      </c>
      <c r="Z221" s="7" t="n">
        <v>511.8</v>
      </c>
      <c r="AB221" s="7" t="n">
        <v>10781.2</v>
      </c>
    </row>
    <row r="222">
      <c r="A222" s="4" t="inlineStr">
        <is>
          <t>装修费</t>
        </is>
      </c>
      <c r="D222" s="7" t="n">
        <v>27.5</v>
      </c>
      <c r="F222" s="7" t="n">
        <v>91.59999999999999</v>
      </c>
      <c r="H222" s="7" t="n">
        <v>70.40000000000001</v>
      </c>
      <c r="J222" s="7" t="n">
        <v>148.6</v>
      </c>
      <c r="L222" s="7" t="n">
        <v>41.4</v>
      </c>
      <c r="N222" s="7" t="n">
        <v>145.7</v>
      </c>
      <c r="P222" s="7" t="n">
        <v>115.1</v>
      </c>
      <c r="R222" s="7" t="n">
        <v>87.59999999999999</v>
      </c>
      <c r="T222" s="7" t="n">
        <v>130.7</v>
      </c>
      <c r="V222" s="7" t="n">
        <v>132.4</v>
      </c>
      <c r="X222" s="7" t="n">
        <v>45.2</v>
      </c>
      <c r="Z222" s="7" t="n">
        <v>47</v>
      </c>
      <c r="AB222" s="7" t="n">
        <v>1083.2</v>
      </c>
    </row>
    <row r="223">
      <c r="A223" s="4" t="inlineStr">
        <is>
          <t>推广费</t>
        </is>
      </c>
      <c r="D223" s="7" t="n">
        <v>35.6</v>
      </c>
      <c r="F223" s="7" t="n">
        <v>79.90000000000001</v>
      </c>
      <c r="H223" s="7" t="n">
        <v>63.8</v>
      </c>
      <c r="J223" s="7" t="n">
        <v>85.90000000000001</v>
      </c>
      <c r="L223" s="7" t="n">
        <v>46</v>
      </c>
      <c r="N223" s="7" t="n">
        <v>150.1</v>
      </c>
      <c r="P223" s="7" t="n">
        <v>158.9</v>
      </c>
      <c r="R223" s="7" t="n">
        <v>68.2</v>
      </c>
      <c r="T223" s="7" t="n">
        <v>160.8</v>
      </c>
      <c r="V223" s="7" t="n">
        <v>91.40000000000001</v>
      </c>
      <c r="X223" s="7" t="n">
        <v>41.6</v>
      </c>
      <c r="Z223" s="7" t="n">
        <v>44.8</v>
      </c>
      <c r="AB223" s="7" t="n">
        <v>1027</v>
      </c>
    </row>
    <row r="224">
      <c r="A224" s="4" t="inlineStr">
        <is>
          <t>展会费</t>
        </is>
      </c>
      <c r="D224" s="7" t="n">
        <v>336.8</v>
      </c>
      <c r="F224" s="7" t="n">
        <v>610.6</v>
      </c>
      <c r="H224" s="7" t="n">
        <v>812.8</v>
      </c>
      <c r="J224" s="7" t="n">
        <v>1011.6</v>
      </c>
      <c r="L224" s="7" t="n">
        <v>450.8</v>
      </c>
      <c r="N224" s="7" t="n">
        <v>1193.5</v>
      </c>
      <c r="P224" s="7" t="n">
        <v>1065.6</v>
      </c>
      <c r="R224" s="7" t="n">
        <v>773.1</v>
      </c>
      <c r="T224" s="7" t="n">
        <v>1003.2</v>
      </c>
      <c r="V224" s="7" t="n">
        <v>691.2</v>
      </c>
      <c r="X224" s="7" t="n">
        <v>419.8</v>
      </c>
      <c r="Z224" s="7" t="n">
        <v>367.7</v>
      </c>
      <c r="AB224" s="7" t="n">
        <v>8736.700000000001</v>
      </c>
    </row>
    <row r="225">
      <c r="A225" s="4" t="inlineStr">
        <is>
          <t>设计费</t>
        </is>
      </c>
      <c r="D225" s="7" t="n">
        <v>560.2</v>
      </c>
      <c r="F225" s="7" t="n">
        <v>1243.7</v>
      </c>
      <c r="H225" s="7" t="n">
        <v>1629.6</v>
      </c>
      <c r="J225" s="7" t="n">
        <v>2755.8</v>
      </c>
      <c r="L225" s="7" t="n">
        <v>774.3</v>
      </c>
      <c r="N225" s="7" t="n">
        <v>3057.6</v>
      </c>
      <c r="P225" s="7" t="n">
        <v>2941.1</v>
      </c>
      <c r="R225" s="7" t="n">
        <v>1476.4</v>
      </c>
      <c r="T225" s="7" t="n">
        <v>2993.8</v>
      </c>
      <c r="V225" s="7" t="n">
        <v>1511.5</v>
      </c>
      <c r="X225" s="7" t="n">
        <v>846.4</v>
      </c>
      <c r="Z225" s="7" t="n">
        <v>1012.9</v>
      </c>
      <c r="AB225" s="7" t="n">
        <v>20803.3</v>
      </c>
    </row>
    <row r="226">
      <c r="A226" s="4" t="inlineStr">
        <is>
          <t>折旧费</t>
        </is>
      </c>
      <c r="D226" s="7" t="n">
        <v>12761.5</v>
      </c>
      <c r="F226" s="7" t="n">
        <v>27781.8</v>
      </c>
      <c r="H226" s="7" t="n">
        <v>26178.5</v>
      </c>
      <c r="J226" s="7" t="n">
        <v>37960.1</v>
      </c>
      <c r="L226" s="7" t="n">
        <v>14342.7</v>
      </c>
      <c r="N226" s="7" t="n">
        <v>27563.7</v>
      </c>
      <c r="P226" s="7" t="n">
        <v>43414.8</v>
      </c>
      <c r="R226" s="7" t="n">
        <v>23323.7</v>
      </c>
      <c r="T226" s="7" t="n">
        <v>51947</v>
      </c>
      <c r="V226" s="7" t="n">
        <v>33126.7</v>
      </c>
      <c r="X226" s="7" t="n">
        <v>10755.4</v>
      </c>
      <c r="Z226" s="7" t="n">
        <v>12958.1</v>
      </c>
      <c r="AB226" s="7" t="n">
        <v>322114</v>
      </c>
    </row>
    <row r="227">
      <c r="A227" s="4" t="inlineStr">
        <is>
          <t>认证费</t>
        </is>
      </c>
      <c r="D227" s="7" t="n">
        <v>1449.2</v>
      </c>
      <c r="F227" s="7" t="n">
        <v>3240.7</v>
      </c>
      <c r="H227" s="7" t="n">
        <v>2215.4</v>
      </c>
      <c r="J227" s="7" t="n">
        <v>3553.2</v>
      </c>
      <c r="L227" s="7" t="n">
        <v>1864.3</v>
      </c>
      <c r="N227" s="7" t="n">
        <v>3873.5</v>
      </c>
      <c r="P227" s="7" t="n">
        <v>6300.7</v>
      </c>
      <c r="R227" s="7" t="n">
        <v>2944</v>
      </c>
      <c r="T227" s="7" t="n">
        <v>6552.4</v>
      </c>
      <c r="V227" s="7" t="n">
        <v>3242.2</v>
      </c>
      <c r="X227" s="7" t="n">
        <v>1144.9</v>
      </c>
      <c r="Z227" s="7" t="n">
        <v>1682.7</v>
      </c>
      <c r="AB227" s="7" t="n">
        <v>38063.2</v>
      </c>
    </row>
    <row r="228">
      <c r="A228" s="4" t="inlineStr">
        <is>
          <t>样品费</t>
        </is>
      </c>
      <c r="D228" s="7" t="n">
        <v>6048.2</v>
      </c>
      <c r="F228" s="7" t="n">
        <v>12482.3</v>
      </c>
      <c r="H228" s="7" t="n">
        <v>9258.799999999999</v>
      </c>
      <c r="J228" s="7" t="n">
        <v>13193.5</v>
      </c>
      <c r="L228" s="7" t="n">
        <v>8497.200000000001</v>
      </c>
      <c r="N228" s="7" t="n">
        <v>21120.1</v>
      </c>
      <c r="P228" s="7" t="n">
        <v>18970.2</v>
      </c>
      <c r="R228" s="7" t="n">
        <v>12771</v>
      </c>
      <c r="T228" s="7" t="n">
        <v>17431.8</v>
      </c>
      <c r="V228" s="7" t="n">
        <v>15395.1</v>
      </c>
      <c r="X228" s="7" t="n">
        <v>4934.4</v>
      </c>
      <c r="Z228" s="7" t="n">
        <v>7460.4</v>
      </c>
      <c r="AB228" s="7" t="n">
        <v>147563</v>
      </c>
    </row>
    <row r="229">
      <c r="A229" s="4" t="inlineStr">
        <is>
          <t>劳务费</t>
        </is>
      </c>
      <c r="D229" s="7" t="n">
        <v>658</v>
      </c>
      <c r="F229" s="7" t="n">
        <v>1433</v>
      </c>
      <c r="H229" s="7" t="n">
        <v>1849.1</v>
      </c>
      <c r="J229" s="7" t="n">
        <v>2999.4</v>
      </c>
      <c r="L229" s="7" t="n">
        <v>1023.7</v>
      </c>
      <c r="N229" s="7" t="n">
        <v>3084.9</v>
      </c>
      <c r="P229" s="7" t="n">
        <v>2930.4</v>
      </c>
      <c r="R229" s="7" t="n">
        <v>1782.8</v>
      </c>
      <c r="T229" s="7" t="n">
        <v>3153.8</v>
      </c>
      <c r="V229" s="7" t="n">
        <v>1670.2</v>
      </c>
      <c r="X229" s="7" t="n">
        <v>710.8</v>
      </c>
      <c r="Z229" s="7" t="n">
        <v>774.4</v>
      </c>
      <c r="AB229" s="7" t="n">
        <v>22070.5</v>
      </c>
    </row>
    <row r="230">
      <c r="A230" s="4" t="inlineStr">
        <is>
          <t>销售佣金</t>
        </is>
      </c>
      <c r="D230" s="7" t="n">
        <v>1360.6</v>
      </c>
      <c r="F230" s="7" t="n">
        <v>3345.7</v>
      </c>
      <c r="H230" s="7" t="n">
        <v>3044.4</v>
      </c>
      <c r="J230" s="7" t="n">
        <v>4977.2</v>
      </c>
      <c r="L230" s="7" t="n">
        <v>1741.1</v>
      </c>
      <c r="N230" s="7" t="n">
        <v>4915.7</v>
      </c>
      <c r="P230" s="7" t="n">
        <v>3931.9</v>
      </c>
      <c r="R230" s="7" t="n">
        <v>2668.5</v>
      </c>
      <c r="T230" s="7" t="n">
        <v>4782.1</v>
      </c>
      <c r="V230" s="7" t="n">
        <v>2947.8</v>
      </c>
      <c r="X230" s="7" t="n">
        <v>1380</v>
      </c>
      <c r="Z230" s="7" t="n">
        <v>1590.9</v>
      </c>
      <c r="AB230" s="7" t="n">
        <v>36685.9</v>
      </c>
    </row>
    <row r="231">
      <c r="A231" s="4" t="inlineStr">
        <is>
          <t>检测费</t>
        </is>
      </c>
      <c r="D231" s="7" t="n">
        <v>951.1</v>
      </c>
      <c r="F231" s="7" t="n">
        <v>3533.5</v>
      </c>
      <c r="H231" s="7" t="n">
        <v>1957.6</v>
      </c>
      <c r="J231" s="7" t="n">
        <v>3275.9</v>
      </c>
      <c r="L231" s="7" t="n">
        <v>1418.5</v>
      </c>
      <c r="N231" s="7" t="n">
        <v>5522.6</v>
      </c>
      <c r="P231" s="7" t="n">
        <v>4750.3</v>
      </c>
      <c r="R231" s="7" t="n">
        <v>2382.3</v>
      </c>
      <c r="T231" s="7" t="n">
        <v>4244.3</v>
      </c>
      <c r="V231" s="7" t="n">
        <v>2446.2</v>
      </c>
      <c r="X231" s="7" t="n">
        <v>969.7</v>
      </c>
      <c r="Z231" s="7" t="n">
        <v>1326.3</v>
      </c>
      <c r="AB231" s="7" t="n">
        <v>32778.3</v>
      </c>
    </row>
    <row r="232">
      <c r="A232" s="4" t="inlineStr">
        <is>
          <t>质量赔偿</t>
        </is>
      </c>
      <c r="D232" s="7" t="n">
        <v>1777.1</v>
      </c>
      <c r="F232" s="7" t="n">
        <v>3897.3</v>
      </c>
      <c r="H232" s="7" t="n">
        <v>4369.9</v>
      </c>
      <c r="J232" s="7" t="n">
        <v>6399.8</v>
      </c>
      <c r="L232" s="7" t="n">
        <v>3181.1</v>
      </c>
      <c r="N232" s="7" t="n">
        <v>7303.9</v>
      </c>
      <c r="P232" s="7" t="n">
        <v>7462.8</v>
      </c>
      <c r="R232" s="7" t="n">
        <v>4328.9</v>
      </c>
      <c r="T232" s="7" t="n">
        <v>5826.3</v>
      </c>
      <c r="V232" s="7" t="n">
        <v>4983.6</v>
      </c>
      <c r="X232" s="7" t="n">
        <v>2209.7</v>
      </c>
      <c r="Z232" s="7" t="n">
        <v>1730.3</v>
      </c>
      <c r="AB232" s="7" t="n">
        <v>53470.7</v>
      </c>
    </row>
    <row r="233">
      <c r="A233" s="4" t="inlineStr">
        <is>
          <t>保险费</t>
        </is>
      </c>
      <c r="D233" s="7" t="n">
        <v>60.2</v>
      </c>
      <c r="F233" s="7" t="n">
        <v>132.6</v>
      </c>
      <c r="H233" s="7" t="n">
        <v>111.1</v>
      </c>
      <c r="J233" s="7" t="n">
        <v>165.5</v>
      </c>
      <c r="L233" s="7" t="n">
        <v>61.8</v>
      </c>
      <c r="N233" s="7" t="n">
        <v>176.4</v>
      </c>
      <c r="P233" s="7" t="n">
        <v>164.5</v>
      </c>
      <c r="R233" s="7" t="n">
        <v>121.9</v>
      </c>
      <c r="T233" s="7" t="n">
        <v>314.5</v>
      </c>
      <c r="V233" s="7" t="n">
        <v>181.6</v>
      </c>
      <c r="X233" s="7" t="n">
        <v>58.2</v>
      </c>
      <c r="Z233" s="7" t="n">
        <v>63.5</v>
      </c>
      <c r="AB233" s="7" t="n">
        <v>1611.8</v>
      </c>
    </row>
    <row r="234">
      <c r="A234" s="4" t="inlineStr">
        <is>
          <t>清洁费</t>
        </is>
      </c>
      <c r="D234" s="7" t="n">
        <v>1000.8</v>
      </c>
      <c r="F234" s="7" t="n">
        <v>2617.1</v>
      </c>
      <c r="H234" s="7" t="n">
        <v>1711</v>
      </c>
      <c r="J234" s="7" t="n">
        <v>2714.4</v>
      </c>
      <c r="L234" s="7" t="n">
        <v>1301</v>
      </c>
      <c r="N234" s="7" t="n">
        <v>4369.1</v>
      </c>
      <c r="P234" s="7" t="n">
        <v>5118.3</v>
      </c>
      <c r="R234" s="7" t="n">
        <v>2431.3</v>
      </c>
      <c r="T234" s="7" t="n">
        <v>5399.1</v>
      </c>
      <c r="V234" s="7" t="n">
        <v>2348</v>
      </c>
      <c r="X234" s="7" t="n">
        <v>1183.7</v>
      </c>
      <c r="Z234" s="7" t="n">
        <v>965.2</v>
      </c>
      <c r="AB234" s="7" t="n">
        <v>31159</v>
      </c>
    </row>
    <row r="235">
      <c r="A235" s="4" t="inlineStr">
        <is>
          <t>低值易耗品</t>
        </is>
      </c>
      <c r="D235" s="7" t="n">
        <v>1641.5</v>
      </c>
      <c r="F235" s="7" t="n">
        <v>3113.8</v>
      </c>
      <c r="H235" s="7" t="n">
        <v>3458</v>
      </c>
      <c r="J235" s="7" t="n">
        <v>4361.8</v>
      </c>
      <c r="L235" s="7" t="n">
        <v>1762.2</v>
      </c>
      <c r="N235" s="7" t="n">
        <v>5071.8</v>
      </c>
      <c r="P235" s="7" t="n">
        <v>8244.200000000001</v>
      </c>
      <c r="R235" s="7" t="n">
        <v>5014.9</v>
      </c>
      <c r="T235" s="7" t="n">
        <v>8538.200000000001</v>
      </c>
      <c r="V235" s="7" t="n">
        <v>5272.3</v>
      </c>
      <c r="X235" s="7" t="n">
        <v>2096.7</v>
      </c>
      <c r="Z235" s="7" t="n">
        <v>1959</v>
      </c>
      <c r="AB235" s="7" t="n">
        <v>50534.4</v>
      </c>
    </row>
    <row r="236">
      <c r="A236" s="4" t="inlineStr">
        <is>
          <t>物料消耗</t>
        </is>
      </c>
      <c r="D236" s="7" t="n">
        <v>1500.9</v>
      </c>
      <c r="F236" s="7" t="n">
        <v>2816.9</v>
      </c>
      <c r="H236" s="7" t="n">
        <v>3177.2</v>
      </c>
      <c r="J236" s="7" t="n">
        <v>4922.2</v>
      </c>
      <c r="L236" s="7" t="n">
        <v>2259.7</v>
      </c>
      <c r="N236" s="7" t="n">
        <v>4213.6</v>
      </c>
      <c r="P236" s="7" t="n">
        <v>4739.5</v>
      </c>
      <c r="R236" s="7" t="n">
        <v>3333.6</v>
      </c>
      <c r="T236" s="7" t="n">
        <v>3584.9</v>
      </c>
      <c r="V236" s="7" t="n">
        <v>2472.4</v>
      </c>
      <c r="X236" s="7" t="n">
        <v>975.9</v>
      </c>
      <c r="Z236" s="7" t="n">
        <v>1512.1</v>
      </c>
      <c r="AB236" s="7" t="n">
        <v>35508.9</v>
      </c>
    </row>
    <row r="237">
      <c r="A237" s="4" t="inlineStr">
        <is>
          <t>盘盈盘亏</t>
        </is>
      </c>
      <c r="D237" s="7" t="n">
        <v>1858.1</v>
      </c>
      <c r="F237" s="7" t="n">
        <v>3257.1</v>
      </c>
      <c r="H237" s="7" t="n">
        <v>3483.1</v>
      </c>
      <c r="J237" s="7" t="n">
        <v>7774.7</v>
      </c>
      <c r="L237" s="7" t="n">
        <v>2559.9</v>
      </c>
      <c r="N237" s="7" t="n">
        <v>4367.3</v>
      </c>
      <c r="P237" s="7" t="n">
        <v>8337</v>
      </c>
      <c r="R237" s="7" t="n">
        <v>3852.5</v>
      </c>
      <c r="T237" s="7" t="n">
        <v>5416.6</v>
      </c>
      <c r="V237" s="7" t="n">
        <v>5079.3</v>
      </c>
      <c r="X237" s="7" t="n">
        <v>2251.1</v>
      </c>
      <c r="Z237" s="7" t="n">
        <v>1494.8</v>
      </c>
      <c r="AB237" s="7" t="n">
        <v>49731.5</v>
      </c>
    </row>
    <row r="238">
      <c r="A238" s="4" t="inlineStr">
        <is>
          <t>平台服务费</t>
        </is>
      </c>
      <c r="D238" s="7" t="n">
        <v>1551.6</v>
      </c>
      <c r="F238" s="7" t="n">
        <v>3321.4</v>
      </c>
      <c r="H238" s="7" t="n">
        <v>4536.6</v>
      </c>
      <c r="J238" s="7" t="n">
        <v>4927.8</v>
      </c>
      <c r="L238" s="7" t="n">
        <v>3011.7</v>
      </c>
      <c r="N238" s="7" t="n">
        <v>6433.4</v>
      </c>
      <c r="P238" s="7" t="n">
        <v>8114.2</v>
      </c>
      <c r="R238" s="7" t="n">
        <v>4248.7</v>
      </c>
      <c r="T238" s="7" t="n">
        <v>5504.1</v>
      </c>
      <c r="V238" s="7" t="n">
        <v>4918.1</v>
      </c>
      <c r="X238" s="7" t="n">
        <v>2163.7</v>
      </c>
      <c r="Z238" s="7" t="n">
        <v>1547.8</v>
      </c>
      <c r="AB238" s="7" t="n">
        <v>50279.1</v>
      </c>
    </row>
    <row r="239">
      <c r="A239" s="4" t="inlineStr">
        <is>
          <t>无形资产摊销</t>
        </is>
      </c>
      <c r="D239" s="7" t="n">
        <v>291.1</v>
      </c>
      <c r="F239" s="7" t="n">
        <v>849.1</v>
      </c>
      <c r="H239" s="7" t="n">
        <v>633.8</v>
      </c>
      <c r="J239" s="7" t="n">
        <v>951.5</v>
      </c>
      <c r="L239" s="7" t="n">
        <v>647.3</v>
      </c>
      <c r="N239" s="7" t="n">
        <v>1395</v>
      </c>
      <c r="P239" s="7" t="n">
        <v>1556.8</v>
      </c>
      <c r="R239" s="7" t="n">
        <v>988.7</v>
      </c>
      <c r="T239" s="7" t="n">
        <v>1693.4</v>
      </c>
      <c r="V239" s="7" t="n">
        <v>961.5</v>
      </c>
      <c r="X239" s="7" t="n">
        <v>279.2</v>
      </c>
      <c r="Z239" s="7" t="n">
        <v>404.5</v>
      </c>
      <c r="AB239" s="7" t="n">
        <v>10651.9</v>
      </c>
    </row>
    <row r="240">
      <c r="A240" s="4" t="inlineStr">
        <is>
          <t>研发材料</t>
        </is>
      </c>
      <c r="D240" s="7" t="n">
        <v>1043.9</v>
      </c>
      <c r="F240" s="7" t="n">
        <v>3133.2</v>
      </c>
      <c r="H240" s="7" t="n">
        <v>3027.1</v>
      </c>
      <c r="J240" s="7" t="n">
        <v>4655.4</v>
      </c>
      <c r="L240" s="7" t="n">
        <v>1573.7</v>
      </c>
      <c r="N240" s="7" t="n">
        <v>4985.4</v>
      </c>
      <c r="P240" s="7" t="n">
        <v>5423</v>
      </c>
      <c r="R240" s="7" t="n">
        <v>2459.5</v>
      </c>
      <c r="T240" s="7" t="n">
        <v>3728</v>
      </c>
      <c r="V240" s="7" t="n">
        <v>3003.8</v>
      </c>
      <c r="X240" s="7" t="n">
        <v>863.1</v>
      </c>
      <c r="Z240" s="7" t="n">
        <v>1476.3</v>
      </c>
      <c r="AB240" s="7" t="n">
        <v>35372.4</v>
      </c>
    </row>
    <row r="241">
      <c r="A241" s="4" t="inlineStr">
        <is>
          <t>项目名称</t>
        </is>
      </c>
      <c r="D241" s="7" t="n">
        <v>827.9</v>
      </c>
      <c r="F241" s="7" t="n">
        <v>1872.8</v>
      </c>
      <c r="H241" s="7" t="n">
        <v>1763.9</v>
      </c>
      <c r="J241" s="7" t="n">
        <v>3266.2</v>
      </c>
      <c r="L241" s="7" t="n">
        <v>981.6</v>
      </c>
      <c r="N241" s="7" t="n">
        <v>3827.9</v>
      </c>
      <c r="P241" s="7" t="n">
        <v>3742.3</v>
      </c>
      <c r="R241" s="7" t="n">
        <v>2130.9</v>
      </c>
      <c r="T241" s="7" t="n">
        <v>3839.4</v>
      </c>
      <c r="V241" s="7" t="n">
        <v>1564.9</v>
      </c>
      <c r="X241" s="7" t="n">
        <v>750.5</v>
      </c>
      <c r="Z241" s="7" t="n">
        <v>1011.4</v>
      </c>
      <c r="AB241" s="7" t="n">
        <v>25579.7</v>
      </c>
    </row>
    <row r="242">
      <c r="A242" s="4" t="inlineStr">
        <is>
          <t>研发费</t>
        </is>
      </c>
      <c r="D242" s="7" t="n">
        <v>587.1</v>
      </c>
      <c r="F242" s="7" t="n">
        <v>1088.9</v>
      </c>
      <c r="H242" s="7" t="n">
        <v>1319.2</v>
      </c>
      <c r="J242" s="7" t="n">
        <v>1683.5</v>
      </c>
      <c r="L242" s="7" t="n">
        <v>815.5</v>
      </c>
      <c r="N242" s="7" t="n">
        <v>2162.8</v>
      </c>
      <c r="P242" s="7" t="n">
        <v>2092.4</v>
      </c>
      <c r="R242" s="7" t="n">
        <v>1484.3</v>
      </c>
      <c r="T242" s="7" t="n">
        <v>1938.5</v>
      </c>
      <c r="V242" s="7" t="n">
        <v>1687.1</v>
      </c>
      <c r="X242" s="7" t="n">
        <v>570.5</v>
      </c>
      <c r="Z242" s="7" t="n">
        <v>795.8</v>
      </c>
      <c r="AB242" s="7" t="n">
        <v>16225.6</v>
      </c>
    </row>
    <row r="243">
      <c r="A243" s="4" t="inlineStr">
        <is>
          <t>残保金</t>
        </is>
      </c>
      <c r="D243" s="7" t="n">
        <v>381.7</v>
      </c>
      <c r="F243" s="7" t="n">
        <v>851.3</v>
      </c>
      <c r="H243" s="7" t="n">
        <v>1151.6</v>
      </c>
      <c r="J243" s="7" t="n">
        <v>1437.7</v>
      </c>
      <c r="L243" s="7" t="n">
        <v>541.8</v>
      </c>
      <c r="N243" s="7" t="n">
        <v>1500.1</v>
      </c>
      <c r="P243" s="7" t="n">
        <v>1645.3</v>
      </c>
      <c r="R243" s="7" t="n">
        <v>1224.4</v>
      </c>
      <c r="T243" s="7" t="n">
        <v>1871.6</v>
      </c>
      <c r="V243" s="7" t="n">
        <v>1018.9</v>
      </c>
      <c r="X243" s="7" t="n">
        <v>677.1</v>
      </c>
      <c r="Z243" s="7" t="n">
        <v>445.3</v>
      </c>
      <c r="AB243" s="7" t="n">
        <v>12746.8</v>
      </c>
    </row>
    <row r="244">
      <c r="A244" s="4" t="inlineStr">
        <is>
          <t>环保费</t>
        </is>
      </c>
      <c r="D244" s="7" t="n">
        <v>1097.1</v>
      </c>
      <c r="F244" s="7" t="n">
        <v>3149.1</v>
      </c>
      <c r="H244" s="7" t="n">
        <v>4117</v>
      </c>
      <c r="J244" s="7" t="n">
        <v>5985.5</v>
      </c>
      <c r="L244" s="7" t="n">
        <v>2075.1</v>
      </c>
      <c r="N244" s="7" t="n">
        <v>5677.6</v>
      </c>
      <c r="P244" s="7" t="n">
        <v>6597.7</v>
      </c>
      <c r="R244" s="7" t="n">
        <v>3236.2</v>
      </c>
      <c r="T244" s="7" t="n">
        <v>6024.1</v>
      </c>
      <c r="V244" s="7" t="n">
        <v>3879.4</v>
      </c>
      <c r="X244" s="7" t="n">
        <v>1436.3</v>
      </c>
      <c r="Z244" s="7" t="n">
        <v>1810.4</v>
      </c>
      <c r="AB244" s="7" t="n">
        <v>45085.5</v>
      </c>
    </row>
    <row r="245">
      <c r="A245" s="4" t="inlineStr">
        <is>
          <t>报废损失</t>
        </is>
      </c>
      <c r="D245" s="7" t="n">
        <v>120.5</v>
      </c>
      <c r="F245" s="7" t="n">
        <v>231.4</v>
      </c>
      <c r="H245" s="7" t="n">
        <v>254.9</v>
      </c>
      <c r="J245" s="7" t="n">
        <v>357.6</v>
      </c>
      <c r="L245" s="7" t="n">
        <v>137.9</v>
      </c>
      <c r="N245" s="7" t="n">
        <v>342.5</v>
      </c>
      <c r="P245" s="7" t="n">
        <v>435</v>
      </c>
      <c r="R245" s="7" t="n">
        <v>345</v>
      </c>
      <c r="T245" s="7" t="n">
        <v>369.9</v>
      </c>
      <c r="V245" s="7" t="n">
        <v>197.7</v>
      </c>
      <c r="X245" s="7" t="n">
        <v>88.09999999999999</v>
      </c>
      <c r="Z245" s="7" t="n">
        <v>147.8</v>
      </c>
      <c r="AB245" s="7" t="n">
        <v>3028.3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8706.299999999999</v>
      </c>
      <c r="D246" s="7" t="n">
        <v>19077.9</v>
      </c>
      <c r="E246" s="7" t="n">
        <v>9669.6</v>
      </c>
      <c r="F246" s="7" t="n">
        <v>-26</v>
      </c>
      <c r="G246" s="7" t="n">
        <v>8310.9</v>
      </c>
      <c r="H246" s="7" t="n">
        <v>9397.4</v>
      </c>
      <c r="I246" s="7" t="n">
        <v>8374.4</v>
      </c>
      <c r="J246" s="7" t="n">
        <v>11228.3</v>
      </c>
      <c r="K246" s="7" t="n">
        <v>10160.8</v>
      </c>
      <c r="L246" s="7" t="n">
        <v>-636.5</v>
      </c>
      <c r="M246" s="7" t="n">
        <v>8848.200000000001</v>
      </c>
      <c r="N246" s="7" t="n">
        <v>14507.7</v>
      </c>
      <c r="O246" s="7" t="n">
        <v>9668.4</v>
      </c>
      <c r="P246" s="7" t="n">
        <v>3877.7</v>
      </c>
      <c r="Q246" s="7" t="n">
        <v>9501.9</v>
      </c>
      <c r="R246" s="7" t="n">
        <v>11829.8</v>
      </c>
      <c r="S246" s="7" t="n">
        <v>10275.7</v>
      </c>
      <c r="T246" s="7" t="n">
        <v>7187.3</v>
      </c>
      <c r="U246" s="7" t="n">
        <v>8105.8</v>
      </c>
      <c r="V246" s="7" t="n">
        <v>13413.2</v>
      </c>
      <c r="W246" s="7" t="n">
        <v>8358.799999999999</v>
      </c>
      <c r="X246" s="7" t="n">
        <v>17240.8</v>
      </c>
      <c r="Y246" s="7" t="n">
        <v>8543.6</v>
      </c>
      <c r="Z246" s="7" t="n">
        <v>4526.8</v>
      </c>
      <c r="AA246" s="8" t="n">
        <v>108524.4</v>
      </c>
      <c r="AB246" s="8" t="n">
        <v>111624.4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-1831.2</v>
      </c>
      <c r="E248" s="7" t="n">
        <v>0</v>
      </c>
      <c r="F248" s="7" t="n">
        <v>-2086.4</v>
      </c>
      <c r="G248" s="7" t="n">
        <v>0</v>
      </c>
      <c r="H248" s="7" t="n">
        <v>-2325.3</v>
      </c>
      <c r="I248" s="7" t="n">
        <v>0</v>
      </c>
      <c r="J248" s="7" t="n">
        <v>1446.4</v>
      </c>
      <c r="K248" s="7" t="n">
        <v>0</v>
      </c>
      <c r="L248" s="7" t="n">
        <v>-2287.5</v>
      </c>
      <c r="M248" s="7" t="n">
        <v>0</v>
      </c>
      <c r="N248" s="7" t="n">
        <v>-551</v>
      </c>
      <c r="O248" s="7" t="n">
        <v>0</v>
      </c>
      <c r="P248" s="7" t="n">
        <v>3628.1</v>
      </c>
      <c r="Q248" s="7" t="n">
        <v>0</v>
      </c>
      <c r="R248" s="7" t="n">
        <v>-1368.4</v>
      </c>
      <c r="S248" s="7" t="n">
        <v>0</v>
      </c>
      <c r="T248" s="7" t="n">
        <v>869.2</v>
      </c>
      <c r="U248" s="7" t="n">
        <v>0</v>
      </c>
      <c r="V248" s="7" t="n">
        <v>4655.3</v>
      </c>
      <c r="W248" s="7" t="n">
        <v>0</v>
      </c>
      <c r="X248" s="7" t="n">
        <v>-860.1</v>
      </c>
      <c r="Y248" s="7" t="n">
        <v>0</v>
      </c>
      <c r="Z248" s="7" t="n">
        <v>-3161.1</v>
      </c>
      <c r="AA248" s="7" t="n">
        <v>0</v>
      </c>
      <c r="AB248" s="7" t="n">
        <v>-3872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11923.1</v>
      </c>
      <c r="D253" s="7" t="n">
        <v>693</v>
      </c>
      <c r="E253" s="7" t="n">
        <v>13281.3</v>
      </c>
      <c r="F253" s="7" t="n">
        <v>21833.2</v>
      </c>
      <c r="G253" s="7" t="n">
        <v>10765</v>
      </c>
      <c r="H253" s="7" t="n">
        <v>19860.7</v>
      </c>
      <c r="I253" s="7" t="n">
        <v>11426.5</v>
      </c>
      <c r="J253" s="7" t="n">
        <v>28213.1</v>
      </c>
      <c r="K253" s="7" t="n">
        <v>11030.9</v>
      </c>
      <c r="L253" s="7" t="n">
        <v>21020.9</v>
      </c>
      <c r="M253" s="7" t="n">
        <v>12874.7</v>
      </c>
      <c r="N253" s="7" t="n">
        <v>2401.9</v>
      </c>
      <c r="O253" s="7" t="n">
        <v>13726</v>
      </c>
      <c r="P253" s="7" t="n">
        <v>5007.3</v>
      </c>
      <c r="Q253" s="7" t="n">
        <v>11599.6</v>
      </c>
      <c r="R253" s="7" t="n">
        <v>3090.3</v>
      </c>
      <c r="S253" s="7" t="n">
        <v>11370.9</v>
      </c>
      <c r="T253" s="7" t="n">
        <v>1913.8</v>
      </c>
      <c r="U253" s="7" t="n">
        <v>11506.6</v>
      </c>
      <c r="V253" s="7" t="n">
        <v>26360.7</v>
      </c>
      <c r="W253" s="7" t="n">
        <v>12770.1</v>
      </c>
      <c r="X253" s="7" t="n">
        <v>16453</v>
      </c>
      <c r="Y253" s="7" t="n">
        <v>10942.3</v>
      </c>
      <c r="Z253" s="7" t="n">
        <v>790.9</v>
      </c>
      <c r="AA253" s="7" t="n">
        <v>143217</v>
      </c>
      <c r="AB253" s="7" t="n">
        <v>147638.8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2373054.7</v>
      </c>
      <c r="D254" s="7" t="n">
        <v>1832508.9</v>
      </c>
      <c r="E254" s="7" t="n">
        <v>2704569.5</v>
      </c>
      <c r="F254" s="7" t="n">
        <v>993461.4</v>
      </c>
      <c r="G254" s="7" t="n">
        <v>2730948.4</v>
      </c>
      <c r="H254" s="7" t="n">
        <v>2444656</v>
      </c>
      <c r="I254" s="7" t="n">
        <v>2734735.1</v>
      </c>
      <c r="J254" s="7" t="n">
        <v>3541763.9</v>
      </c>
      <c r="K254" s="7" t="n">
        <v>2678083.1</v>
      </c>
      <c r="L254" s="7" t="n">
        <v>2220606.5</v>
      </c>
      <c r="M254" s="7" t="n">
        <v>2646137.7</v>
      </c>
      <c r="N254" s="7" t="n">
        <v>2983954.5</v>
      </c>
      <c r="O254" s="7" t="n">
        <v>2737633.7</v>
      </c>
      <c r="P254" s="7" t="n">
        <v>4480254.1</v>
      </c>
      <c r="Q254" s="7" t="n">
        <v>2477601.8</v>
      </c>
      <c r="R254" s="7" t="n">
        <v>2794931.3</v>
      </c>
      <c r="S254" s="7" t="n">
        <v>2507168.3</v>
      </c>
      <c r="T254" s="7" t="n">
        <v>2071259</v>
      </c>
      <c r="U254" s="7" t="n">
        <v>2658914.6</v>
      </c>
      <c r="V254" s="7" t="n">
        <v>2739917.3</v>
      </c>
      <c r="W254" s="7" t="n">
        <v>2867843.6</v>
      </c>
      <c r="X254" s="7" t="n">
        <v>3257552.8</v>
      </c>
      <c r="Y254" s="7" t="n">
        <v>2581813.4</v>
      </c>
      <c r="Z254" s="7" t="n">
        <v>2170868.6</v>
      </c>
      <c r="AA254" s="8" t="n">
        <v>31698503.9</v>
      </c>
      <c r="AB254" s="8" t="n">
        <v>31531734.3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1828.9</v>
      </c>
      <c r="E255" s="7" t="n">
        <v>0</v>
      </c>
      <c r="F255" s="7" t="n">
        <v>1299</v>
      </c>
      <c r="G255" s="7" t="n">
        <v>0</v>
      </c>
      <c r="H255" s="7" t="n">
        <v>1517.9</v>
      </c>
      <c r="I255" s="7" t="n">
        <v>0</v>
      </c>
      <c r="J255" s="7" t="n">
        <v>0.5</v>
      </c>
      <c r="K255" s="7" t="n">
        <v>0</v>
      </c>
      <c r="L255" s="7" t="n">
        <v>4076.9</v>
      </c>
      <c r="M255" s="7" t="n">
        <v>0</v>
      </c>
      <c r="N255" s="7" t="n">
        <v>4239.7</v>
      </c>
      <c r="O255" s="7" t="n">
        <v>0</v>
      </c>
      <c r="P255" s="7" t="n">
        <v>1719.4</v>
      </c>
      <c r="Q255" s="7" t="n">
        <v>0</v>
      </c>
      <c r="R255" s="7" t="n">
        <v>2346</v>
      </c>
      <c r="S255" s="7" t="n">
        <v>0</v>
      </c>
      <c r="T255" s="7" t="n">
        <v>41.6</v>
      </c>
      <c r="U255" s="7" t="n">
        <v>0</v>
      </c>
      <c r="V255" s="7" t="n">
        <v>4610.4</v>
      </c>
      <c r="W255" s="7" t="n">
        <v>0</v>
      </c>
      <c r="X255" s="7" t="n">
        <v>4734.8</v>
      </c>
      <c r="Y255" s="7" t="n">
        <v>0</v>
      </c>
      <c r="Z255" s="7" t="n">
        <v>2385.3</v>
      </c>
      <c r="AA255" s="7" t="n">
        <v>0</v>
      </c>
      <c r="AB255" s="7" t="n">
        <v>28800.4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27.4</v>
      </c>
      <c r="E256" s="7" t="n">
        <v>0</v>
      </c>
      <c r="F256" s="7" t="n">
        <v>1291.3</v>
      </c>
      <c r="G256" s="7" t="n">
        <v>0</v>
      </c>
      <c r="H256" s="7" t="n">
        <v>878.8</v>
      </c>
      <c r="I256" s="7" t="n">
        <v>0</v>
      </c>
      <c r="J256" s="7" t="n">
        <v>693.6</v>
      </c>
      <c r="K256" s="7" t="n">
        <v>0</v>
      </c>
      <c r="L256" s="7" t="n">
        <v>21.7</v>
      </c>
      <c r="M256" s="7" t="n">
        <v>0</v>
      </c>
      <c r="N256" s="7" t="n">
        <v>1120.9</v>
      </c>
      <c r="O256" s="7" t="n">
        <v>0</v>
      </c>
      <c r="P256" s="7" t="n">
        <v>1235.2</v>
      </c>
      <c r="Q256" s="7" t="n">
        <v>0</v>
      </c>
      <c r="R256" s="7" t="n">
        <v>1681.7</v>
      </c>
      <c r="S256" s="7" t="n">
        <v>0</v>
      </c>
      <c r="T256" s="7" t="n">
        <v>1184.3</v>
      </c>
      <c r="U256" s="7" t="n">
        <v>0</v>
      </c>
      <c r="V256" s="7" t="n">
        <v>489.8</v>
      </c>
      <c r="W256" s="7" t="n">
        <v>0</v>
      </c>
      <c r="X256" s="7" t="n">
        <v>2211.4</v>
      </c>
      <c r="Y256" s="7" t="n">
        <v>0</v>
      </c>
      <c r="Z256" s="7" t="n">
        <v>1169.2</v>
      </c>
      <c r="AA256" s="7" t="n">
        <v>0</v>
      </c>
      <c r="AB256" s="7" t="n">
        <v>12005.3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2964735.4</v>
      </c>
      <c r="D257" s="7" t="n">
        <v>1787926.9</v>
      </c>
      <c r="E257" s="7" t="n">
        <v>2425093.7</v>
      </c>
      <c r="F257" s="7" t="n">
        <v>946367.4</v>
      </c>
      <c r="G257" s="7" t="n">
        <v>2511288.6</v>
      </c>
      <c r="H257" s="7" t="n">
        <v>2406636.4</v>
      </c>
      <c r="I257" s="7" t="n">
        <v>2790566.2</v>
      </c>
      <c r="J257" s="7" t="n">
        <v>3357281.8</v>
      </c>
      <c r="K257" s="7" t="n">
        <v>2775156.1</v>
      </c>
      <c r="L257" s="7" t="n">
        <v>2338093.6</v>
      </c>
      <c r="M257" s="7" t="n">
        <v>2497247.2</v>
      </c>
      <c r="N257" s="7" t="n">
        <v>3228611.6</v>
      </c>
      <c r="O257" s="7" t="n">
        <v>2779196.4</v>
      </c>
      <c r="P257" s="7" t="n">
        <v>4755856.9</v>
      </c>
      <c r="Q257" s="7" t="n">
        <v>2429421.8</v>
      </c>
      <c r="R257" s="7" t="n">
        <v>2898142.7</v>
      </c>
      <c r="S257" s="7" t="n">
        <v>2294008.6</v>
      </c>
      <c r="T257" s="7" t="n">
        <v>1982061</v>
      </c>
      <c r="U257" s="7" t="n">
        <v>2318323.2</v>
      </c>
      <c r="V257" s="7" t="n">
        <v>2873037.2</v>
      </c>
      <c r="W257" s="7" t="n">
        <v>2708606.1</v>
      </c>
      <c r="X257" s="7" t="n">
        <v>3458744.9</v>
      </c>
      <c r="Y257" s="7" t="n">
        <v>2427932.7</v>
      </c>
      <c r="Z257" s="7" t="n">
        <v>2133053.8</v>
      </c>
      <c r="AA257" s="8" t="n">
        <v>30921576</v>
      </c>
      <c r="AB257" s="8" t="n">
        <v>32165814.2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590163.6</v>
      </c>
      <c r="D258" s="7" t="n">
        <v>446981.7</v>
      </c>
      <c r="E258" s="7" t="n">
        <v>623721</v>
      </c>
      <c r="F258" s="7" t="n">
        <v>236591.9</v>
      </c>
      <c r="G258" s="7" t="n">
        <v>713383.3</v>
      </c>
      <c r="H258" s="7" t="n">
        <v>601659.1</v>
      </c>
      <c r="I258" s="7" t="n">
        <v>715777.9</v>
      </c>
      <c r="J258" s="7" t="n">
        <v>839320.4</v>
      </c>
      <c r="K258" s="7" t="n">
        <v>616406.3</v>
      </c>
      <c r="L258" s="7" t="n">
        <v>584523.4</v>
      </c>
      <c r="M258" s="7" t="n">
        <v>599895.8</v>
      </c>
      <c r="N258" s="7" t="n">
        <v>807152.9</v>
      </c>
      <c r="O258" s="7" t="n">
        <v>668830.4</v>
      </c>
      <c r="P258" s="7" t="n">
        <v>1188964.2</v>
      </c>
      <c r="Q258" s="7" t="n">
        <v>638339.9</v>
      </c>
      <c r="R258" s="7" t="n">
        <v>724535.7</v>
      </c>
      <c r="S258" s="7" t="n">
        <v>632241.2</v>
      </c>
      <c r="T258" s="7" t="n">
        <v>495515.2</v>
      </c>
      <c r="U258" s="7" t="n">
        <v>730323.9</v>
      </c>
      <c r="V258" s="7" t="n">
        <v>718259.3</v>
      </c>
      <c r="W258" s="7" t="n">
        <v>770229.9</v>
      </c>
      <c r="X258" s="7" t="n">
        <v>864686.2</v>
      </c>
      <c r="Y258" s="7" t="n">
        <v>662820.4</v>
      </c>
      <c r="Z258" s="7" t="n">
        <v>533263.4</v>
      </c>
      <c r="AA258" s="7" t="n">
        <v>7962133.6</v>
      </c>
      <c r="AB258" s="7" t="n">
        <v>8041453.4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1586837.9</v>
      </c>
      <c r="D259" s="7" t="n">
        <v>1340945.2</v>
      </c>
      <c r="E259" s="7" t="n">
        <v>1580048.1</v>
      </c>
      <c r="F259" s="7" t="n">
        <v>709775.5</v>
      </c>
      <c r="G259" s="7" t="n">
        <v>1406279.7</v>
      </c>
      <c r="H259" s="7" t="n">
        <v>1804977.3</v>
      </c>
      <c r="I259" s="7" t="n">
        <v>1766963.6</v>
      </c>
      <c r="J259" s="7" t="n">
        <v>2517961.4</v>
      </c>
      <c r="K259" s="7" t="n">
        <v>1349276.1</v>
      </c>
      <c r="L259" s="7" t="n">
        <v>1753570.2</v>
      </c>
      <c r="M259" s="7" t="n">
        <v>1766403.9</v>
      </c>
      <c r="N259" s="7" t="n">
        <v>2421458.7</v>
      </c>
      <c r="O259" s="7" t="n">
        <v>2183579.3</v>
      </c>
      <c r="P259" s="7" t="n">
        <v>3566892.7</v>
      </c>
      <c r="Q259" s="7" t="n">
        <v>1597228</v>
      </c>
      <c r="R259" s="7" t="n">
        <v>2173607</v>
      </c>
      <c r="S259" s="7" t="n">
        <v>1995474.5</v>
      </c>
      <c r="T259" s="7" t="n">
        <v>1486545.8</v>
      </c>
      <c r="U259" s="7" t="n">
        <v>2091947.6</v>
      </c>
      <c r="V259" s="7" t="n">
        <v>2154777.9</v>
      </c>
      <c r="W259" s="7" t="n">
        <v>2087826.6</v>
      </c>
      <c r="X259" s="7" t="n">
        <v>2594058.7</v>
      </c>
      <c r="Y259" s="7" t="n">
        <v>1478064.6</v>
      </c>
      <c r="Z259" s="7" t="n">
        <v>1599790.4</v>
      </c>
      <c r="AA259" s="8" t="n">
        <v>20889929.9</v>
      </c>
      <c r="AB259" s="8" t="n">
        <v>24124360.8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318377.2</v>
      </c>
      <c r="E260" s="7" t="n">
        <v>0</v>
      </c>
      <c r="F260" s="7" t="n">
        <v>70320.7</v>
      </c>
      <c r="G260" s="7" t="n">
        <v>0</v>
      </c>
      <c r="H260" s="7" t="n">
        <v>456774.6</v>
      </c>
      <c r="I260" s="7" t="n">
        <v>0</v>
      </c>
      <c r="J260" s="7" t="n">
        <v>718860.9</v>
      </c>
      <c r="K260" s="7" t="n">
        <v>0</v>
      </c>
      <c r="L260" s="7" t="n">
        <v>29480.2</v>
      </c>
      <c r="M260" s="7" t="n">
        <v>0</v>
      </c>
      <c r="N260" s="7" t="n">
        <v>563463.4</v>
      </c>
      <c r="O260" s="7" t="n">
        <v>0</v>
      </c>
      <c r="P260" s="7" t="n">
        <v>76386.5</v>
      </c>
      <c r="Q260" s="7" t="n">
        <v>0</v>
      </c>
      <c r="R260" s="7" t="n">
        <v>306574.3</v>
      </c>
      <c r="S260" s="7" t="n">
        <v>0</v>
      </c>
      <c r="T260" s="7" t="n">
        <v>85710.8</v>
      </c>
      <c r="U260" s="7" t="n">
        <v>0</v>
      </c>
      <c r="V260" s="7" t="n">
        <v>543999.1</v>
      </c>
      <c r="W260" s="7" t="n">
        <v>0</v>
      </c>
      <c r="X260" s="7" t="n">
        <v>635998.9</v>
      </c>
      <c r="Y260" s="7" t="n">
        <v>0</v>
      </c>
      <c r="Z260" s="7" t="n">
        <v>397508.9</v>
      </c>
      <c r="AA260" s="7" t="n">
        <v>0</v>
      </c>
      <c r="AB260" s="7" t="n">
        <v>4203455.5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1586837.9</v>
      </c>
      <c r="D261" s="7" t="n">
        <v>1022568</v>
      </c>
      <c r="E261" s="7" t="n">
        <v>1580048.1</v>
      </c>
      <c r="F261" s="7" t="n">
        <v>639454.8</v>
      </c>
      <c r="G261" s="7" t="n">
        <v>1406279.7</v>
      </c>
      <c r="H261" s="7" t="n">
        <v>1348202.7</v>
      </c>
      <c r="I261" s="7" t="n">
        <v>1766963.6</v>
      </c>
      <c r="J261" s="7" t="n">
        <v>1799100.5</v>
      </c>
      <c r="K261" s="7" t="n">
        <v>1349276.1</v>
      </c>
      <c r="L261" s="7" t="n">
        <v>1724090</v>
      </c>
      <c r="M261" s="7" t="n">
        <v>1766403.9</v>
      </c>
      <c r="N261" s="7" t="n">
        <v>1857995.3</v>
      </c>
      <c r="O261" s="7" t="n">
        <v>2183579.3</v>
      </c>
      <c r="P261" s="7" t="n">
        <v>3490506.2</v>
      </c>
      <c r="Q261" s="7" t="n">
        <v>1597228</v>
      </c>
      <c r="R261" s="7" t="n">
        <v>1867032.7</v>
      </c>
      <c r="S261" s="7" t="n">
        <v>1995474.5</v>
      </c>
      <c r="T261" s="7" t="n">
        <v>1400835</v>
      </c>
      <c r="U261" s="7" t="n">
        <v>2091947.6</v>
      </c>
      <c r="V261" s="7" t="n">
        <v>1610778.8</v>
      </c>
      <c r="W261" s="7" t="n">
        <v>2087826.6</v>
      </c>
      <c r="X261" s="7" t="n">
        <v>1958059.8</v>
      </c>
      <c r="Y261" s="7" t="n">
        <v>1478064.6</v>
      </c>
      <c r="Z261" s="7" t="n">
        <v>1202281.5</v>
      </c>
      <c r="AA261" s="8" t="n">
        <v>20889929.9</v>
      </c>
      <c r="AB261" s="8" t="n">
        <v>19920905.3</v>
      </c>
    </row>
    <row r="262">
      <c r="A262" s="4" t="inlineStr">
        <is>
          <t>净利率</t>
        </is>
      </c>
      <c r="D262" s="13" t="n">
        <v>7.8</v>
      </c>
      <c r="F262" s="13" t="n">
        <v>3.9</v>
      </c>
      <c r="H262" s="13" t="n">
        <v>7.4</v>
      </c>
      <c r="J262" s="13" t="n">
        <v>8.800000000000001</v>
      </c>
      <c r="L262" s="13" t="n">
        <v>5.7</v>
      </c>
      <c r="N262" s="13" t="n">
        <v>7.3</v>
      </c>
      <c r="P262" s="13" t="n">
        <v>9.699999999999999</v>
      </c>
      <c r="R262" s="13" t="n">
        <v>6.9</v>
      </c>
      <c r="T262" s="13" t="n">
        <v>5.3</v>
      </c>
      <c r="V262" s="13" t="n">
        <v>6.6</v>
      </c>
      <c r="X262" s="13" t="n">
        <v>10</v>
      </c>
      <c r="Z262" s="13" t="n">
        <v>8.300000000000001</v>
      </c>
    </row>
    <row r="263">
      <c r="A263" s="4" t="inlineStr">
        <is>
          <t>销售达成率</t>
        </is>
      </c>
      <c r="D263" s="13" t="n">
        <v>71.3</v>
      </c>
      <c r="F263" s="13" t="n">
        <v>59.3</v>
      </c>
      <c r="H263" s="13" t="n">
        <v>102.4</v>
      </c>
      <c r="J263" s="13" t="n">
        <v>120.8</v>
      </c>
      <c r="L263" s="13" t="n">
        <v>99.2</v>
      </c>
      <c r="N263" s="13" t="n">
        <v>109.4</v>
      </c>
      <c r="P263" s="13" t="n">
        <v>130.6</v>
      </c>
      <c r="R263" s="13" t="n">
        <v>111.9</v>
      </c>
      <c r="T263" s="13" t="n">
        <v>96.40000000000001</v>
      </c>
      <c r="V263" s="13" t="n">
        <v>122.2</v>
      </c>
      <c r="X263" s="13" t="n">
        <v>106.8</v>
      </c>
      <c r="Z263" s="13" t="n">
        <v>81.59999999999999</v>
      </c>
    </row>
    <row r="264">
      <c r="A264" s="4" t="inlineStr">
        <is>
          <t>净利达成率</t>
        </is>
      </c>
      <c r="D264" s="13" t="n">
        <v>84.5</v>
      </c>
      <c r="F264" s="13" t="n">
        <v>44.9</v>
      </c>
      <c r="H264" s="13" t="n">
        <v>128.4</v>
      </c>
      <c r="J264" s="13" t="n">
        <v>142.5</v>
      </c>
      <c r="L264" s="13" t="n">
        <v>130</v>
      </c>
      <c r="N264" s="13" t="n">
        <v>137.1</v>
      </c>
      <c r="P264" s="13" t="n">
        <v>163.4</v>
      </c>
      <c r="R264" s="13" t="n">
        <v>136.1</v>
      </c>
      <c r="T264" s="13" t="n">
        <v>74.5</v>
      </c>
      <c r="V264" s="13" t="n">
        <v>103</v>
      </c>
      <c r="X264" s="13" t="n">
        <v>124.2</v>
      </c>
      <c r="Z264" s="13" t="n">
        <v>108.2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华东事业部利润表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23997632.3</v>
      </c>
      <c r="D6" s="7" t="n">
        <v>17433919.2</v>
      </c>
      <c r="E6" s="7" t="n">
        <v>30520178.4</v>
      </c>
      <c r="F6" s="7" t="n">
        <v>17907905.1</v>
      </c>
      <c r="G6" s="7" t="n">
        <v>23751716.1</v>
      </c>
      <c r="H6" s="7" t="n">
        <v>24156962.6</v>
      </c>
      <c r="I6" s="7" t="n">
        <v>23557113</v>
      </c>
      <c r="J6" s="7" t="n">
        <v>28092748.3</v>
      </c>
      <c r="K6" s="7" t="n">
        <v>31010785.1</v>
      </c>
      <c r="L6" s="7" t="n">
        <v>30512513.9</v>
      </c>
      <c r="M6" s="7" t="n">
        <v>30523033.4</v>
      </c>
      <c r="N6" s="7" t="n">
        <v>33737954.3</v>
      </c>
      <c r="O6" s="7" t="n">
        <v>28157878.3</v>
      </c>
      <c r="P6" s="7" t="n">
        <v>37568944.2</v>
      </c>
      <c r="Q6" s="7" t="n">
        <v>28138389.8</v>
      </c>
      <c r="R6" s="7" t="n">
        <v>31189609.2</v>
      </c>
      <c r="S6" s="7" t="n">
        <v>29262520.9</v>
      </c>
      <c r="T6" s="7" t="n">
        <v>28181948.1</v>
      </c>
      <c r="U6" s="7" t="n">
        <v>26852316.5</v>
      </c>
      <c r="V6" s="7" t="n">
        <v>32890546</v>
      </c>
      <c r="W6" s="7" t="n">
        <v>24353605.3</v>
      </c>
      <c r="X6" s="7" t="n">
        <v>26148132.4</v>
      </c>
      <c r="Y6" s="7" t="n">
        <v>23574582.3</v>
      </c>
      <c r="Z6" s="7" t="n">
        <v>19174634.6</v>
      </c>
      <c r="AA6" s="8" t="n">
        <v>323699751.4</v>
      </c>
      <c r="AB6" s="8" t="n">
        <v>326995817.9</v>
      </c>
    </row>
    <row r="7">
      <c r="A7" s="4" t="inlineStr">
        <is>
          <t>数控机床</t>
        </is>
      </c>
      <c r="D7" s="7" t="n">
        <v>2269155.4</v>
      </c>
      <c r="F7" s="7" t="n">
        <v>2114815</v>
      </c>
      <c r="H7" s="7" t="n">
        <v>3171092.6</v>
      </c>
      <c r="J7" s="7" t="n">
        <v>3603954.2</v>
      </c>
      <c r="L7" s="7" t="n">
        <v>3213001.5</v>
      </c>
      <c r="N7" s="7" t="n">
        <v>3621110.5</v>
      </c>
      <c r="P7" s="7" t="n">
        <v>4175925.1</v>
      </c>
      <c r="R7" s="7" t="n">
        <v>4170299.6</v>
      </c>
      <c r="T7" s="7" t="n">
        <v>3568449.2</v>
      </c>
      <c r="V7" s="7" t="n">
        <v>4170047.2</v>
      </c>
      <c r="X7" s="7" t="n">
        <v>3402042.3</v>
      </c>
      <c r="Z7" s="7" t="n">
        <v>2615211.6</v>
      </c>
      <c r="AB7" s="7" t="n">
        <v>40095104.2</v>
      </c>
    </row>
    <row r="8">
      <c r="A8" s="4" t="inlineStr">
        <is>
          <t>精密轴承</t>
        </is>
      </c>
      <c r="D8" s="7" t="n">
        <v>2519164.8</v>
      </c>
      <c r="F8" s="7" t="n">
        <v>2631617</v>
      </c>
      <c r="H8" s="7" t="n">
        <v>3667756.4</v>
      </c>
      <c r="J8" s="7" t="n">
        <v>4176142.6</v>
      </c>
      <c r="L8" s="7" t="n">
        <v>4409977.6</v>
      </c>
      <c r="N8" s="7" t="n">
        <v>4983945.8</v>
      </c>
      <c r="P8" s="7" t="n">
        <v>5547149.699999999</v>
      </c>
      <c r="R8" s="7" t="n">
        <v>3961633.8</v>
      </c>
      <c r="T8" s="7" t="n">
        <v>4110174.1</v>
      </c>
      <c r="V8" s="7" t="n">
        <v>4941819.7</v>
      </c>
      <c r="X8" s="7" t="n">
        <v>3519811.3</v>
      </c>
      <c r="Z8" s="7" t="n">
        <v>2790749.7</v>
      </c>
      <c r="AB8" s="7" t="n">
        <v>47259942.5</v>
      </c>
    </row>
    <row r="9">
      <c r="A9" s="4" t="inlineStr">
        <is>
          <t>液压件</t>
        </is>
      </c>
      <c r="D9" s="7" t="n">
        <v>2985976</v>
      </c>
      <c r="F9" s="7" t="n">
        <v>3215224.2</v>
      </c>
      <c r="H9" s="7" t="n">
        <v>4069308.8</v>
      </c>
      <c r="J9" s="7" t="n">
        <v>4566240.5</v>
      </c>
      <c r="L9" s="7" t="n">
        <v>5399559.1</v>
      </c>
      <c r="N9" s="7" t="n">
        <v>6367849</v>
      </c>
      <c r="P9" s="7" t="n">
        <v>6067840.1</v>
      </c>
      <c r="R9" s="7" t="n">
        <v>5525232.699999999</v>
      </c>
      <c r="T9" s="7" t="n">
        <v>5047961.7</v>
      </c>
      <c r="V9" s="7" t="n">
        <v>5685780</v>
      </c>
      <c r="X9" s="7" t="n">
        <v>4250520.6</v>
      </c>
      <c r="Z9" s="7" t="n">
        <v>3533537.4</v>
      </c>
      <c r="AB9" s="7" t="n">
        <v>56715030.1</v>
      </c>
    </row>
    <row r="10">
      <c r="A10" s="4" t="inlineStr">
        <is>
          <t>气动元件</t>
        </is>
      </c>
      <c r="D10" s="7" t="n">
        <v>2362881.5</v>
      </c>
      <c r="F10" s="7" t="n">
        <v>2587545.7</v>
      </c>
      <c r="H10" s="7" t="n">
        <v>3538661.2</v>
      </c>
      <c r="J10" s="7" t="n">
        <v>4608468.899999999</v>
      </c>
      <c r="L10" s="7" t="n">
        <v>4403747.1</v>
      </c>
      <c r="N10" s="7" t="n">
        <v>5168861.800000001</v>
      </c>
      <c r="P10" s="7" t="n">
        <v>5000846.399999999</v>
      </c>
      <c r="R10" s="7" t="n">
        <v>4674303.2</v>
      </c>
      <c r="T10" s="7" t="n">
        <v>4423295.8</v>
      </c>
      <c r="V10" s="7" t="n">
        <v>4841267.8</v>
      </c>
      <c r="X10" s="7" t="n">
        <v>3807113.7</v>
      </c>
      <c r="Z10" s="7" t="n">
        <v>3072674.9</v>
      </c>
      <c r="AB10" s="7" t="n">
        <v>48489668</v>
      </c>
    </row>
    <row r="11">
      <c r="A11" s="4" t="inlineStr">
        <is>
          <t>模具</t>
        </is>
      </c>
      <c r="D11" s="7" t="n">
        <v>3942902.3</v>
      </c>
      <c r="F11" s="7" t="n">
        <v>3928103.1</v>
      </c>
      <c r="H11" s="7" t="n">
        <v>6014017.5</v>
      </c>
      <c r="J11" s="7" t="n">
        <v>6451527.4</v>
      </c>
      <c r="L11" s="7" t="n">
        <v>7813044.2</v>
      </c>
      <c r="N11" s="7" t="n">
        <v>7473134.600000001</v>
      </c>
      <c r="P11" s="7" t="n">
        <v>9944471.899999999</v>
      </c>
      <c r="R11" s="7" t="n">
        <v>7598717.000000001</v>
      </c>
      <c r="T11" s="7" t="n">
        <v>6623917.5</v>
      </c>
      <c r="V11" s="7" t="n">
        <v>7644273.1</v>
      </c>
      <c r="X11" s="7" t="n">
        <v>6648897.299999999</v>
      </c>
      <c r="Z11" s="7" t="n">
        <v>4211565.6</v>
      </c>
      <c r="AB11" s="7" t="n">
        <v>78294571.5</v>
      </c>
    </row>
    <row r="12">
      <c r="A12" s="4" t="inlineStr">
        <is>
          <t>工装夹具</t>
        </is>
      </c>
      <c r="D12" s="7" t="n">
        <v>3333124.2</v>
      </c>
      <c r="F12" s="7" t="n">
        <v>3779687</v>
      </c>
      <c r="H12" s="7" t="n">
        <v>3903662.5</v>
      </c>
      <c r="J12" s="7" t="n">
        <v>5051852.5</v>
      </c>
      <c r="L12" s="7" t="n">
        <v>5832967.299999999</v>
      </c>
      <c r="N12" s="7" t="n">
        <v>6326837.499999999</v>
      </c>
      <c r="P12" s="7" t="n">
        <v>6842168.8</v>
      </c>
      <c r="R12" s="7" t="n">
        <v>5707104.4</v>
      </c>
      <c r="T12" s="7" t="n">
        <v>4769205</v>
      </c>
      <c r="V12" s="7" t="n">
        <v>6157399.299999999</v>
      </c>
      <c r="X12" s="7" t="n">
        <v>4834441.2</v>
      </c>
      <c r="Z12" s="7" t="n">
        <v>2992852.1</v>
      </c>
      <c r="AB12" s="7" t="n">
        <v>59531301.8</v>
      </c>
    </row>
    <row r="13">
      <c r="A13" s="4" t="inlineStr">
        <is>
          <t>返利</t>
        </is>
      </c>
      <c r="D13" s="7" t="n">
        <v>-216606.9</v>
      </c>
      <c r="F13" s="7" t="n">
        <v>-463050.5</v>
      </c>
      <c r="H13" s="7" t="n">
        <v>-364961.9</v>
      </c>
      <c r="J13" s="7" t="n">
        <v>-723535.3</v>
      </c>
      <c r="L13" s="7" t="n">
        <v>-585999.2</v>
      </c>
      <c r="N13" s="7" t="n">
        <v>-840138.8</v>
      </c>
      <c r="P13" s="7" t="n">
        <v>-400969.3</v>
      </c>
      <c r="R13" s="7" t="n">
        <v>-607964.1</v>
      </c>
      <c r="T13" s="7" t="n">
        <v>-725560.8</v>
      </c>
      <c r="V13" s="7" t="n">
        <v>-682949.8</v>
      </c>
      <c r="X13" s="7" t="n">
        <v>-784419.5</v>
      </c>
      <c r="Z13" s="7" t="n">
        <v>-373887.8</v>
      </c>
      <c r="AB13" s="7" t="n">
        <v>-6770043.9</v>
      </c>
    </row>
    <row r="14">
      <c r="A14" s="4" t="inlineStr">
        <is>
          <t>其他</t>
        </is>
      </c>
      <c r="D14" s="7" t="n">
        <v>237321.9</v>
      </c>
      <c r="F14" s="7" t="n">
        <v>113963.6</v>
      </c>
      <c r="H14" s="7" t="n">
        <v>157425.5</v>
      </c>
      <c r="J14" s="7" t="n">
        <v>358097.5</v>
      </c>
      <c r="L14" s="7" t="n">
        <v>26216.3</v>
      </c>
      <c r="N14" s="7" t="n">
        <v>636353.9</v>
      </c>
      <c r="P14" s="7" t="n">
        <v>391511.5</v>
      </c>
      <c r="R14" s="7" t="n">
        <v>160282.6</v>
      </c>
      <c r="T14" s="7" t="n">
        <v>364505.6</v>
      </c>
      <c r="V14" s="7" t="n">
        <v>132908.7</v>
      </c>
      <c r="X14" s="7" t="n">
        <v>469725.5</v>
      </c>
      <c r="Z14" s="7" t="n">
        <v>331931.1</v>
      </c>
      <c r="AB14" s="7" t="n">
        <v>3380243.7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20747496.2</v>
      </c>
      <c r="D15" s="7" t="n">
        <v>12722286.7</v>
      </c>
      <c r="E15" s="7" t="n">
        <v>19387456</v>
      </c>
      <c r="F15" s="7" t="n">
        <v>13245645.5</v>
      </c>
      <c r="G15" s="7" t="n">
        <v>17681950.7</v>
      </c>
      <c r="H15" s="7" t="n">
        <v>18110351.7</v>
      </c>
      <c r="I15" s="7" t="n">
        <v>18094648</v>
      </c>
      <c r="J15" s="7" t="n">
        <v>20775327.6</v>
      </c>
      <c r="K15" s="7" t="n">
        <v>17693576</v>
      </c>
      <c r="L15" s="7" t="n">
        <v>22606398.3</v>
      </c>
      <c r="M15" s="7" t="n">
        <v>20883205.1</v>
      </c>
      <c r="N15" s="7" t="n">
        <v>24805515.9</v>
      </c>
      <c r="O15" s="7" t="n">
        <v>22771924.6</v>
      </c>
      <c r="P15" s="7" t="n">
        <v>27307504.5</v>
      </c>
      <c r="Q15" s="7" t="n">
        <v>23171952.5</v>
      </c>
      <c r="R15" s="7" t="n">
        <v>23627535.1</v>
      </c>
      <c r="S15" s="7" t="n">
        <v>20922451.9</v>
      </c>
      <c r="T15" s="7" t="n">
        <v>20681333.4</v>
      </c>
      <c r="U15" s="7" t="n">
        <v>17502247.7</v>
      </c>
      <c r="V15" s="7" t="n">
        <v>24191418.3</v>
      </c>
      <c r="W15" s="7" t="n">
        <v>21040072.3</v>
      </c>
      <c r="X15" s="7" t="n">
        <v>19716222.9</v>
      </c>
      <c r="Y15" s="7" t="n">
        <v>21383408.7</v>
      </c>
      <c r="Z15" s="7" t="n">
        <v>14195824.9</v>
      </c>
      <c r="AA15" s="8" t="n">
        <v>241280389.7</v>
      </c>
      <c r="AB15" s="8" t="n">
        <v>241985364.8</v>
      </c>
    </row>
    <row r="16">
      <c r="A16" s="4" t="inlineStr">
        <is>
          <t>数控机床</t>
        </is>
      </c>
      <c r="D16" s="7" t="n">
        <v>1558131.4</v>
      </c>
      <c r="F16" s="7" t="n">
        <v>1460405.4</v>
      </c>
      <c r="H16" s="7" t="n">
        <v>2176641.6</v>
      </c>
      <c r="J16" s="7" t="n">
        <v>2468830.1</v>
      </c>
      <c r="L16" s="7" t="n">
        <v>2210641.6</v>
      </c>
      <c r="N16" s="7" t="n">
        <v>2491005.6</v>
      </c>
      <c r="P16" s="7" t="n">
        <v>2881180.2</v>
      </c>
      <c r="R16" s="7" t="n">
        <v>2858526.5</v>
      </c>
      <c r="T16" s="7" t="n">
        <v>2452418.8</v>
      </c>
      <c r="V16" s="7" t="n">
        <v>2869421.7</v>
      </c>
      <c r="X16" s="7" t="n">
        <v>2332882.4</v>
      </c>
      <c r="Z16" s="7" t="n">
        <v>1799595.5</v>
      </c>
      <c r="AB16" s="7" t="n">
        <v>27559680.8</v>
      </c>
    </row>
    <row r="17">
      <c r="A17" s="4" t="inlineStr">
        <is>
          <t>精密轴承</t>
        </is>
      </c>
      <c r="D17" s="7" t="n">
        <v>1872408.8</v>
      </c>
      <c r="F17" s="7" t="n">
        <v>1949930.6</v>
      </c>
      <c r="H17" s="7" t="n">
        <v>2706185.6</v>
      </c>
      <c r="J17" s="7" t="n">
        <v>3086078.7</v>
      </c>
      <c r="L17" s="7" t="n">
        <v>3259162.3</v>
      </c>
      <c r="N17" s="7" t="n">
        <v>3679525.6</v>
      </c>
      <c r="P17" s="7" t="n">
        <v>4106211</v>
      </c>
      <c r="R17" s="7" t="n">
        <v>2935384.5</v>
      </c>
      <c r="T17" s="7" t="n">
        <v>3055157.4</v>
      </c>
      <c r="V17" s="7" t="n">
        <v>3664452.7</v>
      </c>
      <c r="X17" s="7" t="n">
        <v>2610513.7</v>
      </c>
      <c r="Z17" s="7" t="n">
        <v>2067397</v>
      </c>
      <c r="AB17" s="7" t="n">
        <v>34992407.9</v>
      </c>
    </row>
    <row r="18">
      <c r="A18" s="4" t="inlineStr">
        <is>
          <t>液压件</t>
        </is>
      </c>
      <c r="D18" s="7" t="n">
        <v>2247801.7</v>
      </c>
      <c r="F18" s="7" t="n">
        <v>2398446.6</v>
      </c>
      <c r="H18" s="7" t="n">
        <v>3045833.8</v>
      </c>
      <c r="J18" s="7" t="n">
        <v>3408236.6</v>
      </c>
      <c r="L18" s="7" t="n">
        <v>4029691.6</v>
      </c>
      <c r="N18" s="7" t="n">
        <v>4778919.199999999</v>
      </c>
      <c r="P18" s="7" t="n">
        <v>4509826.4</v>
      </c>
      <c r="R18" s="7" t="n">
        <v>4161935.4</v>
      </c>
      <c r="T18" s="7" t="n">
        <v>3810991.7</v>
      </c>
      <c r="V18" s="7" t="n">
        <v>4253894.899999999</v>
      </c>
      <c r="X18" s="7" t="n">
        <v>3172979.7</v>
      </c>
      <c r="Z18" s="7" t="n">
        <v>2667610.9</v>
      </c>
      <c r="AB18" s="7" t="n">
        <v>42486168.5</v>
      </c>
    </row>
    <row r="19">
      <c r="A19" s="4" t="inlineStr">
        <is>
          <t>气动元件</t>
        </is>
      </c>
      <c r="D19" s="7" t="n">
        <v>1515663.9</v>
      </c>
      <c r="F19" s="7" t="n">
        <v>1659850.3</v>
      </c>
      <c r="H19" s="7" t="n">
        <v>2274592.7</v>
      </c>
      <c r="J19" s="7" t="n">
        <v>2941620</v>
      </c>
      <c r="L19" s="7" t="n">
        <v>2828658.8</v>
      </c>
      <c r="N19" s="7" t="n">
        <v>3310143.6</v>
      </c>
      <c r="P19" s="7" t="n">
        <v>3224623.7</v>
      </c>
      <c r="R19" s="7" t="n">
        <v>2999614.9</v>
      </c>
      <c r="T19" s="7" t="n">
        <v>2842087</v>
      </c>
      <c r="V19" s="7" t="n">
        <v>3098315.6</v>
      </c>
      <c r="X19" s="7" t="n">
        <v>2443320.8</v>
      </c>
      <c r="Z19" s="7" t="n">
        <v>1972723.7</v>
      </c>
      <c r="AB19" s="7" t="n">
        <v>31111215</v>
      </c>
    </row>
    <row r="20">
      <c r="A20" s="4" t="inlineStr">
        <is>
          <t>模具</t>
        </is>
      </c>
      <c r="D20" s="7" t="n">
        <v>2791745.2</v>
      </c>
      <c r="F20" s="7" t="n">
        <v>2781399.1</v>
      </c>
      <c r="H20" s="7" t="n">
        <v>4286375</v>
      </c>
      <c r="J20" s="7" t="n">
        <v>4574350.6</v>
      </c>
      <c r="L20" s="7" t="n">
        <v>5523892.3</v>
      </c>
      <c r="N20" s="7" t="n">
        <v>5291185.5</v>
      </c>
      <c r="P20" s="7" t="n">
        <v>7045426.900000001</v>
      </c>
      <c r="R20" s="7" t="n">
        <v>5405400.8</v>
      </c>
      <c r="T20" s="7" t="n">
        <v>4680616.8</v>
      </c>
      <c r="V20" s="7" t="n">
        <v>5390197.300000001</v>
      </c>
      <c r="X20" s="7" t="n">
        <v>4704781</v>
      </c>
      <c r="Z20" s="7" t="n">
        <v>2998635.7</v>
      </c>
      <c r="AB20" s="7" t="n">
        <v>55474006.2</v>
      </c>
    </row>
    <row r="21">
      <c r="A21" s="4" t="inlineStr">
        <is>
          <t>工装夹具</t>
        </is>
      </c>
      <c r="D21" s="7" t="n">
        <v>2274499.9</v>
      </c>
      <c r="F21" s="7" t="n">
        <v>2568621.6</v>
      </c>
      <c r="H21" s="7" t="n">
        <v>2670817.7</v>
      </c>
      <c r="J21" s="7" t="n">
        <v>3449995.9</v>
      </c>
      <c r="L21" s="7" t="n">
        <v>3976897.6</v>
      </c>
      <c r="N21" s="7" t="n">
        <v>4294762.1</v>
      </c>
      <c r="P21" s="7" t="n">
        <v>4653781</v>
      </c>
      <c r="R21" s="7" t="n">
        <v>3884936.1</v>
      </c>
      <c r="T21" s="7" t="n">
        <v>3261555.1</v>
      </c>
      <c r="V21" s="7" t="n">
        <v>4204195.9</v>
      </c>
      <c r="X21" s="7" t="n">
        <v>3300499.7</v>
      </c>
      <c r="Z21" s="7" t="n">
        <v>2031537.8</v>
      </c>
      <c r="AB21" s="7" t="n">
        <v>40572100.4</v>
      </c>
    </row>
    <row r="22">
      <c r="A22" s="4" t="inlineStr">
        <is>
          <t>其他</t>
        </is>
      </c>
      <c r="D22" s="7" t="n">
        <v>194071.5</v>
      </c>
      <c r="F22" s="7" t="n">
        <v>32258.8</v>
      </c>
      <c r="H22" s="7" t="n">
        <v>79856</v>
      </c>
      <c r="J22" s="7" t="n">
        <v>391278.5</v>
      </c>
      <c r="L22" s="7" t="n">
        <v>344269.4</v>
      </c>
      <c r="N22" s="7" t="n">
        <v>360877.2</v>
      </c>
      <c r="P22" s="7" t="n">
        <v>425656.5</v>
      </c>
      <c r="R22" s="7" t="n">
        <v>195193</v>
      </c>
      <c r="T22" s="7" t="n">
        <v>77583</v>
      </c>
      <c r="V22" s="7" t="n">
        <v>323678.4</v>
      </c>
      <c r="X22" s="7" t="n">
        <v>132987.4</v>
      </c>
      <c r="Z22" s="7" t="n">
        <v>36478.7</v>
      </c>
      <c r="AB22" s="7" t="n">
        <v>2594188.4</v>
      </c>
    </row>
    <row r="23">
      <c r="A23" s="4" t="inlineStr">
        <is>
          <t>运费</t>
        </is>
      </c>
      <c r="D23" s="7" t="n">
        <v>462035.8</v>
      </c>
      <c r="F23" s="7" t="n">
        <v>426991.9</v>
      </c>
      <c r="H23" s="7" t="n">
        <v>949905.3</v>
      </c>
      <c r="J23" s="7" t="n">
        <v>846215.7</v>
      </c>
      <c r="L23" s="7" t="n">
        <v>777454.1</v>
      </c>
      <c r="N23" s="7" t="n">
        <v>959974.3</v>
      </c>
      <c r="P23" s="7" t="n">
        <v>886455.3</v>
      </c>
      <c r="R23" s="7" t="n">
        <v>1381736.9</v>
      </c>
      <c r="T23" s="7" t="n">
        <v>578506.6</v>
      </c>
      <c r="V23" s="7" t="n">
        <v>710940.2</v>
      </c>
      <c r="X23" s="7" t="n">
        <v>1151245.6</v>
      </c>
      <c r="Z23" s="7" t="n">
        <v>658324.3</v>
      </c>
      <c r="AB23" s="7" t="n">
        <v>9789786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3250136.1</v>
      </c>
      <c r="D24" s="7" t="n">
        <v>4711632.5</v>
      </c>
      <c r="E24" s="7" t="n">
        <v>11132722.4</v>
      </c>
      <c r="F24" s="7" t="n">
        <v>4662259.6</v>
      </c>
      <c r="G24" s="7" t="n">
        <v>6069765.4</v>
      </c>
      <c r="H24" s="7" t="n">
        <v>6046610.9</v>
      </c>
      <c r="I24" s="7" t="n">
        <v>5462465</v>
      </c>
      <c r="J24" s="7" t="n">
        <v>7317420.7</v>
      </c>
      <c r="K24" s="7" t="n">
        <v>13317209.1</v>
      </c>
      <c r="L24" s="7" t="n">
        <v>7906115.6</v>
      </c>
      <c r="M24" s="7" t="n">
        <v>9639828.300000001</v>
      </c>
      <c r="N24" s="7" t="n">
        <v>8932438.4</v>
      </c>
      <c r="O24" s="7" t="n">
        <v>5385953.7</v>
      </c>
      <c r="P24" s="7" t="n">
        <v>10261439.7</v>
      </c>
      <c r="Q24" s="7" t="n">
        <v>4966437.3</v>
      </c>
      <c r="R24" s="7" t="n">
        <v>7562074.1</v>
      </c>
      <c r="S24" s="7" t="n">
        <v>8340069</v>
      </c>
      <c r="T24" s="7" t="n">
        <v>7500614.7</v>
      </c>
      <c r="U24" s="7" t="n">
        <v>9350068.800000001</v>
      </c>
      <c r="V24" s="7" t="n">
        <v>8699127.699999999</v>
      </c>
      <c r="W24" s="7" t="n">
        <v>3313533</v>
      </c>
      <c r="X24" s="7" t="n">
        <v>6431909.5</v>
      </c>
      <c r="Y24" s="7" t="n">
        <v>2191173.6</v>
      </c>
      <c r="Z24" s="7" t="n">
        <v>4978809.7</v>
      </c>
      <c r="AA24" s="8" t="n">
        <v>82419361.7</v>
      </c>
      <c r="AB24" s="8" t="n">
        <v>85010453.09999999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13.5</v>
      </c>
      <c r="D25" s="13" t="n">
        <v>27</v>
      </c>
      <c r="E25" s="13" t="n">
        <v>36.5</v>
      </c>
      <c r="F25" s="13" t="n">
        <v>26</v>
      </c>
      <c r="G25" s="13" t="n">
        <v>25.6</v>
      </c>
      <c r="H25" s="13" t="n">
        <v>25</v>
      </c>
      <c r="I25" s="13" t="n">
        <v>23.2</v>
      </c>
      <c r="J25" s="13" t="n">
        <v>26</v>
      </c>
      <c r="K25" s="13" t="n">
        <v>42.9</v>
      </c>
      <c r="L25" s="13" t="n">
        <v>25.9</v>
      </c>
      <c r="M25" s="13" t="n">
        <v>31.6</v>
      </c>
      <c r="N25" s="13" t="n">
        <v>26.5</v>
      </c>
      <c r="O25" s="13" t="n">
        <v>19.1</v>
      </c>
      <c r="P25" s="13" t="n">
        <v>27.3</v>
      </c>
      <c r="Q25" s="13" t="n">
        <v>17.7</v>
      </c>
      <c r="R25" s="13" t="n">
        <v>24.2</v>
      </c>
      <c r="S25" s="13" t="n">
        <v>28.5</v>
      </c>
      <c r="T25" s="13" t="n">
        <v>26.6</v>
      </c>
      <c r="U25" s="13" t="n">
        <v>34.8</v>
      </c>
      <c r="V25" s="13" t="n">
        <v>26.4</v>
      </c>
      <c r="W25" s="13" t="n">
        <v>13.6</v>
      </c>
      <c r="X25" s="13" t="n">
        <v>24.6</v>
      </c>
      <c r="Y25" s="13" t="n">
        <v>9.300000000000001</v>
      </c>
      <c r="Z25" s="13" t="n">
        <v>26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272043.7</v>
      </c>
      <c r="D26" s="7" t="n">
        <v>243841.8</v>
      </c>
      <c r="E26" s="7" t="n">
        <v>233046.6</v>
      </c>
      <c r="F26" s="7" t="n">
        <v>176447</v>
      </c>
      <c r="G26" s="7" t="n">
        <v>239964.4</v>
      </c>
      <c r="H26" s="7" t="n">
        <v>226471.5</v>
      </c>
      <c r="I26" s="7" t="n">
        <v>251258.3</v>
      </c>
      <c r="J26" s="7" t="n">
        <v>223257.2</v>
      </c>
      <c r="K26" s="7" t="n">
        <v>248662.7</v>
      </c>
      <c r="L26" s="7" t="n">
        <v>365246.3</v>
      </c>
      <c r="M26" s="7" t="n">
        <v>256994.9</v>
      </c>
      <c r="N26" s="7" t="n">
        <v>232716.3</v>
      </c>
      <c r="O26" s="7" t="n">
        <v>227573.7</v>
      </c>
      <c r="P26" s="7" t="n">
        <v>257958.4</v>
      </c>
      <c r="Q26" s="7" t="n">
        <v>278749.2</v>
      </c>
      <c r="R26" s="7" t="n">
        <v>264383.3</v>
      </c>
      <c r="S26" s="7" t="n">
        <v>257952.9</v>
      </c>
      <c r="T26" s="7" t="n">
        <v>347315</v>
      </c>
      <c r="U26" s="7" t="n">
        <v>242414.2</v>
      </c>
      <c r="V26" s="7" t="n">
        <v>255008.4</v>
      </c>
      <c r="W26" s="7" t="n">
        <v>229019.1</v>
      </c>
      <c r="X26" s="7" t="n">
        <v>348123.1</v>
      </c>
      <c r="Y26" s="7" t="n">
        <v>296319</v>
      </c>
      <c r="Z26" s="7" t="n">
        <v>271220.2</v>
      </c>
      <c r="AA26" s="8" t="n">
        <v>3033998.7</v>
      </c>
      <c r="AB26" s="8" t="n">
        <v>3211988.5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3212172.8</v>
      </c>
      <c r="D27" s="7" t="n">
        <v>2747614.6</v>
      </c>
      <c r="E27" s="7" t="n">
        <v>3662536.8</v>
      </c>
      <c r="F27" s="7" t="n">
        <v>1860249.1</v>
      </c>
      <c r="G27" s="7" t="n">
        <v>3164396.8</v>
      </c>
      <c r="H27" s="7" t="n">
        <v>3674282.6</v>
      </c>
      <c r="I27" s="7" t="n">
        <v>4002972.9</v>
      </c>
      <c r="J27" s="7" t="n">
        <v>4096735.8</v>
      </c>
      <c r="K27" s="7" t="n">
        <v>3233243.3</v>
      </c>
      <c r="L27" s="7" t="n">
        <v>4085492.9</v>
      </c>
      <c r="M27" s="7" t="n">
        <v>4044764</v>
      </c>
      <c r="N27" s="7" t="n">
        <v>4006351.2</v>
      </c>
      <c r="O27" s="7" t="n">
        <v>3312139.9</v>
      </c>
      <c r="P27" s="7" t="n">
        <v>4974390.3</v>
      </c>
      <c r="Q27" s="7" t="n">
        <v>3621257.7</v>
      </c>
      <c r="R27" s="7" t="n">
        <v>4047005.1</v>
      </c>
      <c r="S27" s="7" t="n">
        <v>3199394.6</v>
      </c>
      <c r="T27" s="7" t="n">
        <v>3808699.6</v>
      </c>
      <c r="U27" s="7" t="n">
        <v>3714707.3</v>
      </c>
      <c r="V27" s="7" t="n">
        <v>4647563.2</v>
      </c>
      <c r="W27" s="7" t="n">
        <v>4004179.9</v>
      </c>
      <c r="X27" s="7" t="n">
        <v>2935389.4</v>
      </c>
      <c r="Y27" s="7" t="n">
        <v>3809539.6</v>
      </c>
      <c r="Z27" s="7" t="n">
        <v>2762880.6</v>
      </c>
      <c r="AA27" s="8" t="n">
        <v>42981305.6</v>
      </c>
      <c r="AB27" s="8" t="n">
        <v>43646654.4</v>
      </c>
    </row>
    <row r="28">
      <c r="A28" s="4" t="inlineStr">
        <is>
          <t>职工薪酬</t>
        </is>
      </c>
      <c r="D28" s="7" t="n">
        <v>1288623.3</v>
      </c>
      <c r="F28" s="7" t="n">
        <v>909927.3</v>
      </c>
      <c r="H28" s="7" t="n">
        <v>2207183.3</v>
      </c>
      <c r="J28" s="7" t="n">
        <v>2080321.8</v>
      </c>
      <c r="L28" s="7" t="n">
        <v>1992265.5</v>
      </c>
      <c r="N28" s="7" t="n">
        <v>2137092.2</v>
      </c>
      <c r="P28" s="7" t="n">
        <v>2680743</v>
      </c>
      <c r="R28" s="7" t="n">
        <v>1917928.5</v>
      </c>
      <c r="T28" s="7" t="n">
        <v>1533991</v>
      </c>
      <c r="V28" s="7" t="n">
        <v>2004368.4</v>
      </c>
      <c r="X28" s="7" t="n">
        <v>1447850.8</v>
      </c>
      <c r="Z28" s="7" t="n">
        <v>1573972.8</v>
      </c>
      <c r="AB28" s="7" t="n">
        <v>21774267.9</v>
      </c>
    </row>
    <row r="29">
      <c r="A29" s="4" t="inlineStr">
        <is>
          <t>工资</t>
        </is>
      </c>
      <c r="D29" s="7" t="n">
        <v>607019.6</v>
      </c>
      <c r="F29" s="7" t="n">
        <v>577502.4</v>
      </c>
      <c r="H29" s="7" t="n">
        <v>1392126.5</v>
      </c>
      <c r="J29" s="7" t="n">
        <v>1167043.6</v>
      </c>
      <c r="L29" s="7" t="n">
        <v>1129362.4</v>
      </c>
      <c r="N29" s="7" t="n">
        <v>1352216</v>
      </c>
      <c r="P29" s="7" t="n">
        <v>1782103.8</v>
      </c>
      <c r="R29" s="7" t="n">
        <v>1043507.4</v>
      </c>
      <c r="T29" s="7" t="n">
        <v>827697.3</v>
      </c>
      <c r="V29" s="7" t="n">
        <v>1034872.3</v>
      </c>
      <c r="X29" s="7" t="n">
        <v>777005.8</v>
      </c>
      <c r="Z29" s="7" t="n">
        <v>1049973.7</v>
      </c>
      <c r="AB29" s="7" t="n">
        <v>12740430.8</v>
      </c>
    </row>
    <row r="30">
      <c r="A30" s="4" t="inlineStr">
        <is>
          <t>奖金及提成</t>
        </is>
      </c>
      <c r="D30" s="7" t="n">
        <v>350692.4</v>
      </c>
      <c r="F30" s="7" t="n">
        <v>141057.4</v>
      </c>
      <c r="H30" s="7" t="n">
        <v>417069</v>
      </c>
      <c r="J30" s="7" t="n">
        <v>417456</v>
      </c>
      <c r="L30" s="7" t="n">
        <v>332426.9</v>
      </c>
      <c r="N30" s="7" t="n">
        <v>406931.2</v>
      </c>
      <c r="P30" s="7" t="n">
        <v>422454</v>
      </c>
      <c r="R30" s="7" t="n">
        <v>435132</v>
      </c>
      <c r="T30" s="7" t="n">
        <v>307491.1</v>
      </c>
      <c r="V30" s="7" t="n">
        <v>534245.1</v>
      </c>
      <c r="X30" s="7" t="n">
        <v>278601</v>
      </c>
      <c r="Z30" s="7" t="n">
        <v>210893</v>
      </c>
      <c r="AB30" s="7" t="n">
        <v>4254449.1</v>
      </c>
    </row>
    <row r="31">
      <c r="A31" s="4" t="inlineStr">
        <is>
          <t>社保</t>
        </is>
      </c>
      <c r="D31" s="7" t="n">
        <v>238091.7</v>
      </c>
      <c r="F31" s="7" t="n">
        <v>136137.2</v>
      </c>
      <c r="H31" s="7" t="n">
        <v>286662.3</v>
      </c>
      <c r="J31" s="7" t="n">
        <v>360232.7</v>
      </c>
      <c r="L31" s="7" t="n">
        <v>401912.6</v>
      </c>
      <c r="N31" s="7" t="n">
        <v>256433.9</v>
      </c>
      <c r="P31" s="7" t="n">
        <v>321639.3</v>
      </c>
      <c r="R31" s="7" t="n">
        <v>304637.3</v>
      </c>
      <c r="T31" s="7" t="n">
        <v>274990.5</v>
      </c>
      <c r="V31" s="7" t="n">
        <v>295550</v>
      </c>
      <c r="X31" s="7" t="n">
        <v>305059.8</v>
      </c>
      <c r="Z31" s="7" t="n">
        <v>213472.8</v>
      </c>
      <c r="AB31" s="7" t="n">
        <v>3394820.1</v>
      </c>
    </row>
    <row r="32">
      <c r="A32" s="4" t="inlineStr">
        <is>
          <t>养老</t>
        </is>
      </c>
      <c r="D32" s="7" t="n">
        <v>5643.9</v>
      </c>
      <c r="F32" s="7" t="n">
        <v>5565.1</v>
      </c>
      <c r="H32" s="7" t="n">
        <v>7595.7</v>
      </c>
      <c r="J32" s="7" t="n">
        <v>8736.299999999999</v>
      </c>
      <c r="L32" s="7" t="n">
        <v>10935</v>
      </c>
      <c r="N32" s="7" t="n">
        <v>8870.5</v>
      </c>
      <c r="P32" s="7" t="n">
        <v>13049.9</v>
      </c>
      <c r="R32" s="7" t="n">
        <v>9958.1</v>
      </c>
      <c r="T32" s="7" t="n">
        <v>9132.700000000001</v>
      </c>
      <c r="V32" s="7" t="n">
        <v>8894.4</v>
      </c>
      <c r="X32" s="7" t="n">
        <v>7862.9</v>
      </c>
      <c r="Z32" s="7" t="n">
        <v>8015.2</v>
      </c>
      <c r="AB32" s="7" t="n">
        <v>104259.7</v>
      </c>
    </row>
    <row r="33">
      <c r="A33" s="4" t="inlineStr">
        <is>
          <t>医疗</t>
        </is>
      </c>
      <c r="D33" s="7" t="n">
        <v>5846</v>
      </c>
      <c r="F33" s="7" t="n">
        <v>3001.8</v>
      </c>
      <c r="H33" s="7" t="n">
        <v>5743.9</v>
      </c>
      <c r="J33" s="7" t="n">
        <v>7752.7</v>
      </c>
      <c r="L33" s="7" t="n">
        <v>8779.6</v>
      </c>
      <c r="N33" s="7" t="n">
        <v>7058.8</v>
      </c>
      <c r="P33" s="7" t="n">
        <v>8375.700000000001</v>
      </c>
      <c r="R33" s="7" t="n">
        <v>8739.200000000001</v>
      </c>
      <c r="T33" s="7" t="n">
        <v>5591.4</v>
      </c>
      <c r="V33" s="7" t="n">
        <v>6815.9</v>
      </c>
      <c r="X33" s="7" t="n">
        <v>4074.7</v>
      </c>
      <c r="Z33" s="7" t="n">
        <v>5585.9</v>
      </c>
      <c r="AB33" s="7" t="n">
        <v>77365.60000000001</v>
      </c>
    </row>
    <row r="34">
      <c r="A34" s="4" t="inlineStr">
        <is>
          <t>工伤</t>
        </is>
      </c>
      <c r="D34" s="7" t="n">
        <v>466.5</v>
      </c>
      <c r="F34" s="7" t="n">
        <v>294.9</v>
      </c>
      <c r="H34" s="7" t="n">
        <v>452.6</v>
      </c>
      <c r="J34" s="7" t="n">
        <v>601.8</v>
      </c>
      <c r="L34" s="7" t="n">
        <v>601</v>
      </c>
      <c r="N34" s="7" t="n">
        <v>715.8</v>
      </c>
      <c r="P34" s="7" t="n">
        <v>561.2</v>
      </c>
      <c r="R34" s="7" t="n">
        <v>416.2</v>
      </c>
      <c r="T34" s="7" t="n">
        <v>495.1</v>
      </c>
      <c r="V34" s="7" t="n">
        <v>517.9</v>
      </c>
      <c r="X34" s="7" t="n">
        <v>384.4</v>
      </c>
      <c r="Z34" s="7" t="n">
        <v>412.5</v>
      </c>
      <c r="AB34" s="7" t="n">
        <v>5919.9</v>
      </c>
    </row>
    <row r="35">
      <c r="A35" s="4" t="inlineStr">
        <is>
          <t>失业</t>
        </is>
      </c>
      <c r="D35" s="7" t="n">
        <v>4981.4</v>
      </c>
      <c r="F35" s="7" t="n">
        <v>2146.2</v>
      </c>
      <c r="H35" s="7" t="n">
        <v>5276.2</v>
      </c>
      <c r="J35" s="7" t="n">
        <v>7828.5</v>
      </c>
      <c r="L35" s="7" t="n">
        <v>7119.3</v>
      </c>
      <c r="N35" s="7" t="n">
        <v>6942.2</v>
      </c>
      <c r="P35" s="7" t="n">
        <v>8935.700000000001</v>
      </c>
      <c r="R35" s="7" t="n">
        <v>4969.6</v>
      </c>
      <c r="T35" s="7" t="n">
        <v>6956.2</v>
      </c>
      <c r="V35" s="7" t="n">
        <v>7908.4</v>
      </c>
      <c r="X35" s="7" t="n">
        <v>4689.9</v>
      </c>
      <c r="Z35" s="7" t="n">
        <v>5253.7</v>
      </c>
      <c r="AB35" s="7" t="n">
        <v>73007.3</v>
      </c>
    </row>
    <row r="36">
      <c r="A36" s="4" t="inlineStr">
        <is>
          <t>生育</t>
        </is>
      </c>
      <c r="D36" s="7" t="n">
        <v>9440</v>
      </c>
      <c r="F36" s="7" t="n">
        <v>8266.299999999999</v>
      </c>
      <c r="H36" s="7" t="n">
        <v>14997.7</v>
      </c>
      <c r="J36" s="7" t="n">
        <v>11946.1</v>
      </c>
      <c r="L36" s="7" t="n">
        <v>11697.5</v>
      </c>
      <c r="N36" s="7" t="n">
        <v>18179.1</v>
      </c>
      <c r="P36" s="7" t="n">
        <v>17644.3</v>
      </c>
      <c r="R36" s="7" t="n">
        <v>18801.8</v>
      </c>
      <c r="T36" s="7" t="n">
        <v>14121.4</v>
      </c>
      <c r="V36" s="7" t="n">
        <v>22143.7</v>
      </c>
      <c r="X36" s="7" t="n">
        <v>13999.3</v>
      </c>
      <c r="Z36" s="7" t="n">
        <v>9015.700000000001</v>
      </c>
      <c r="AB36" s="7" t="n">
        <v>170252.9</v>
      </c>
    </row>
    <row r="37">
      <c r="A37" s="4" t="inlineStr">
        <is>
          <t>公积金</t>
        </is>
      </c>
      <c r="D37" s="7" t="n">
        <v>12483.1</v>
      </c>
      <c r="F37" s="7" t="n">
        <v>5628.6</v>
      </c>
      <c r="H37" s="7" t="n">
        <v>18345.8</v>
      </c>
      <c r="J37" s="7" t="n">
        <v>16299.7</v>
      </c>
      <c r="L37" s="7" t="n">
        <v>15439.7</v>
      </c>
      <c r="N37" s="7" t="n">
        <v>12428.2</v>
      </c>
      <c r="P37" s="7" t="n">
        <v>21803.1</v>
      </c>
      <c r="R37" s="7" t="n">
        <v>13681</v>
      </c>
      <c r="T37" s="7" t="n">
        <v>16326.7</v>
      </c>
      <c r="V37" s="7" t="n">
        <v>16561.3</v>
      </c>
      <c r="X37" s="7" t="n">
        <v>9176.4</v>
      </c>
      <c r="Z37" s="7" t="n">
        <v>13469.8</v>
      </c>
      <c r="AB37" s="7" t="n">
        <v>171643.4</v>
      </c>
    </row>
    <row r="38">
      <c r="A38" s="4" t="inlineStr">
        <is>
          <t>工会经费</t>
        </is>
      </c>
      <c r="D38" s="7" t="n">
        <v>6847.6</v>
      </c>
      <c r="F38" s="7" t="n">
        <v>5066.1</v>
      </c>
      <c r="H38" s="7" t="n">
        <v>9492.799999999999</v>
      </c>
      <c r="J38" s="7" t="n">
        <v>8794.4</v>
      </c>
      <c r="L38" s="7" t="n">
        <v>9197.799999999999</v>
      </c>
      <c r="N38" s="7" t="n">
        <v>9667</v>
      </c>
      <c r="P38" s="7" t="n">
        <v>9987.200000000001</v>
      </c>
      <c r="R38" s="7" t="n">
        <v>7814.7</v>
      </c>
      <c r="T38" s="7" t="n">
        <v>10232.9</v>
      </c>
      <c r="V38" s="7" t="n">
        <v>8735.700000000001</v>
      </c>
      <c r="X38" s="7" t="n">
        <v>7105</v>
      </c>
      <c r="Z38" s="7" t="n">
        <v>5345.9</v>
      </c>
      <c r="AB38" s="7" t="n">
        <v>98287.10000000001</v>
      </c>
    </row>
    <row r="39">
      <c r="A39" s="4" t="inlineStr">
        <is>
          <t>职工教育经费</t>
        </is>
      </c>
      <c r="D39" s="7" t="n">
        <v>10526.9</v>
      </c>
      <c r="F39" s="7" t="n">
        <v>4763.8</v>
      </c>
      <c r="H39" s="7" t="n">
        <v>9441.9</v>
      </c>
      <c r="J39" s="7" t="n">
        <v>13960.5</v>
      </c>
      <c r="L39" s="7" t="n">
        <v>13346</v>
      </c>
      <c r="N39" s="7" t="n">
        <v>14387.8</v>
      </c>
      <c r="P39" s="7" t="n">
        <v>13384.2</v>
      </c>
      <c r="R39" s="7" t="n">
        <v>14244.1</v>
      </c>
      <c r="T39" s="7" t="n">
        <v>14305.3</v>
      </c>
      <c r="V39" s="7" t="n">
        <v>12965</v>
      </c>
      <c r="X39" s="7" t="n">
        <v>7176.7</v>
      </c>
      <c r="Z39" s="7" t="n">
        <v>10601.4</v>
      </c>
      <c r="AB39" s="7" t="n">
        <v>139103.6</v>
      </c>
    </row>
    <row r="40">
      <c r="A40" s="4" t="inlineStr">
        <is>
          <t>福利费</t>
        </is>
      </c>
      <c r="D40" s="7" t="n">
        <v>62962</v>
      </c>
      <c r="F40" s="7" t="n">
        <v>39771.8</v>
      </c>
      <c r="H40" s="7" t="n">
        <v>74045</v>
      </c>
      <c r="J40" s="7" t="n">
        <v>96534.89999999999</v>
      </c>
      <c r="L40" s="7" t="n">
        <v>90580.10000000001</v>
      </c>
      <c r="N40" s="7" t="n">
        <v>85028.10000000001</v>
      </c>
      <c r="P40" s="7" t="n">
        <v>109371.4</v>
      </c>
      <c r="R40" s="7" t="n">
        <v>98912</v>
      </c>
      <c r="T40" s="7" t="n">
        <v>82947.2</v>
      </c>
      <c r="V40" s="7" t="n">
        <v>101439</v>
      </c>
      <c r="X40" s="7" t="n">
        <v>63726.1</v>
      </c>
      <c r="Z40" s="7" t="n">
        <v>70216.2</v>
      </c>
      <c r="AB40" s="7" t="n">
        <v>975533.8</v>
      </c>
    </row>
    <row r="41">
      <c r="A41" s="4" t="inlineStr">
        <is>
          <t>职工房租</t>
        </is>
      </c>
      <c r="D41" s="7" t="n">
        <v>17221.3</v>
      </c>
      <c r="F41" s="7" t="n">
        <v>9511.6</v>
      </c>
      <c r="H41" s="7" t="n">
        <v>17342</v>
      </c>
      <c r="J41" s="7" t="n">
        <v>31677.4</v>
      </c>
      <c r="L41" s="7" t="n">
        <v>21746.7</v>
      </c>
      <c r="N41" s="7" t="n">
        <v>24043.3</v>
      </c>
      <c r="P41" s="7" t="n">
        <v>37292.5</v>
      </c>
      <c r="R41" s="7" t="n">
        <v>31838.2</v>
      </c>
      <c r="T41" s="7" t="n">
        <v>18977.8</v>
      </c>
      <c r="V41" s="7" t="n">
        <v>22110.6</v>
      </c>
      <c r="X41" s="7" t="n">
        <v>24192.9</v>
      </c>
      <c r="Z41" s="7" t="n">
        <v>22532</v>
      </c>
      <c r="AB41" s="7" t="n">
        <v>278486.3</v>
      </c>
    </row>
    <row r="42">
      <c r="A42" s="4" t="inlineStr">
        <is>
          <t>水电物业费</t>
        </is>
      </c>
      <c r="D42" s="7" t="n">
        <v>18659</v>
      </c>
      <c r="F42" s="7" t="n">
        <v>7505.5</v>
      </c>
      <c r="H42" s="7" t="n">
        <v>23365.3</v>
      </c>
      <c r="J42" s="7" t="n">
        <v>17894.8</v>
      </c>
      <c r="L42" s="7" t="n">
        <v>22576.6</v>
      </c>
      <c r="N42" s="7" t="n">
        <v>16287.7</v>
      </c>
      <c r="P42" s="7" t="n">
        <v>23390.2</v>
      </c>
      <c r="R42" s="7" t="n">
        <v>23580.4</v>
      </c>
      <c r="T42" s="7" t="n">
        <v>17841.2</v>
      </c>
      <c r="V42" s="7" t="n">
        <v>26845.5</v>
      </c>
      <c r="X42" s="7" t="n">
        <v>14300.7</v>
      </c>
      <c r="Z42" s="7" t="n">
        <v>15579.1</v>
      </c>
      <c r="AB42" s="7" t="n">
        <v>227826</v>
      </c>
    </row>
    <row r="43">
      <c r="A43" s="4" t="inlineStr">
        <is>
          <t>员工餐</t>
        </is>
      </c>
      <c r="D43" s="7" t="n">
        <v>10321.1</v>
      </c>
      <c r="F43" s="7" t="n">
        <v>9965.700000000001</v>
      </c>
      <c r="H43" s="7" t="n">
        <v>12504.6</v>
      </c>
      <c r="J43" s="7" t="n">
        <v>20585.1</v>
      </c>
      <c r="L43" s="7" t="n">
        <v>21473.4</v>
      </c>
      <c r="N43" s="7" t="n">
        <v>13923.4</v>
      </c>
      <c r="P43" s="7" t="n">
        <v>19099.7</v>
      </c>
      <c r="R43" s="7" t="n">
        <v>16860.3</v>
      </c>
      <c r="T43" s="7" t="n">
        <v>21393</v>
      </c>
      <c r="V43" s="7" t="n">
        <v>23819.5</v>
      </c>
      <c r="X43" s="7" t="n">
        <v>10282.4</v>
      </c>
      <c r="Z43" s="7" t="n">
        <v>14452.1</v>
      </c>
      <c r="AB43" s="7" t="n">
        <v>194680.3</v>
      </c>
    </row>
    <row r="44">
      <c r="A44" s="4" t="inlineStr">
        <is>
          <t>节日礼品</t>
        </is>
      </c>
      <c r="D44" s="7" t="n">
        <v>140.1</v>
      </c>
      <c r="F44" s="7" t="n">
        <v>87.7</v>
      </c>
      <c r="H44" s="7" t="n">
        <v>243.2</v>
      </c>
      <c r="J44" s="7" t="n">
        <v>245.4</v>
      </c>
      <c r="L44" s="7" t="n">
        <v>272.1</v>
      </c>
      <c r="N44" s="7" t="n">
        <v>155.8</v>
      </c>
      <c r="P44" s="7" t="n">
        <v>331.8</v>
      </c>
      <c r="R44" s="7" t="n">
        <v>241</v>
      </c>
      <c r="T44" s="7" t="n">
        <v>174.6</v>
      </c>
      <c r="V44" s="7" t="n">
        <v>235.8</v>
      </c>
      <c r="X44" s="7" t="n">
        <v>206.3</v>
      </c>
      <c r="Z44" s="7" t="n">
        <v>114.7</v>
      </c>
      <c r="AB44" s="7" t="n">
        <v>2448.5</v>
      </c>
    </row>
    <row r="45">
      <c r="A45" s="4" t="inlineStr">
        <is>
          <t>生日礼品</t>
        </is>
      </c>
      <c r="D45" s="7" t="n">
        <v>6934.4</v>
      </c>
      <c r="F45" s="7" t="n">
        <v>3920.9</v>
      </c>
      <c r="H45" s="7" t="n">
        <v>6170.5</v>
      </c>
      <c r="J45" s="7" t="n">
        <v>8477.700000000001</v>
      </c>
      <c r="L45" s="7" t="n">
        <v>8238.1</v>
      </c>
      <c r="N45" s="7" t="n">
        <v>10407.4</v>
      </c>
      <c r="P45" s="7" t="n">
        <v>7335.6</v>
      </c>
      <c r="R45" s="7" t="n">
        <v>7102.7</v>
      </c>
      <c r="T45" s="7" t="n">
        <v>8017.6</v>
      </c>
      <c r="V45" s="7" t="n">
        <v>8653.799999999999</v>
      </c>
      <c r="X45" s="7" t="n">
        <v>5683.7</v>
      </c>
      <c r="Z45" s="7" t="n">
        <v>4539</v>
      </c>
      <c r="AB45" s="7" t="n">
        <v>85481.39999999999</v>
      </c>
    </row>
    <row r="46">
      <c r="A46" s="4" t="inlineStr">
        <is>
          <t>体检</t>
        </is>
      </c>
      <c r="D46" s="7" t="n">
        <v>5692.8</v>
      </c>
      <c r="F46" s="7" t="n">
        <v>4548</v>
      </c>
      <c r="H46" s="7" t="n">
        <v>7032.8</v>
      </c>
      <c r="J46" s="7" t="n">
        <v>11989</v>
      </c>
      <c r="L46" s="7" t="n">
        <v>9297.299999999999</v>
      </c>
      <c r="N46" s="7" t="n">
        <v>10815.2</v>
      </c>
      <c r="P46" s="7" t="n">
        <v>12165.3</v>
      </c>
      <c r="R46" s="7" t="n">
        <v>11293.7</v>
      </c>
      <c r="T46" s="7" t="n">
        <v>10689.6</v>
      </c>
      <c r="V46" s="7" t="n">
        <v>12564.9</v>
      </c>
      <c r="X46" s="7" t="n">
        <v>4790.5</v>
      </c>
      <c r="Z46" s="7" t="n">
        <v>6489.8</v>
      </c>
      <c r="AB46" s="7" t="n">
        <v>107368.9</v>
      </c>
    </row>
    <row r="47">
      <c r="A47" s="4" t="inlineStr">
        <is>
          <t>其他福利支出</t>
        </is>
      </c>
      <c r="D47" s="7" t="n">
        <v>3993.3</v>
      </c>
      <c r="F47" s="7" t="n">
        <v>4232.4</v>
      </c>
      <c r="H47" s="7" t="n">
        <v>7386.6</v>
      </c>
      <c r="J47" s="7" t="n">
        <v>5665.5</v>
      </c>
      <c r="L47" s="7" t="n">
        <v>6975.9</v>
      </c>
      <c r="N47" s="7" t="n">
        <v>9395.299999999999</v>
      </c>
      <c r="P47" s="7" t="n">
        <v>9756.299999999999</v>
      </c>
      <c r="R47" s="7" t="n">
        <v>7995.7</v>
      </c>
      <c r="T47" s="7" t="n">
        <v>5853.4</v>
      </c>
      <c r="V47" s="7" t="n">
        <v>7208.9</v>
      </c>
      <c r="X47" s="7" t="n">
        <v>4269.6</v>
      </c>
      <c r="Z47" s="7" t="n">
        <v>6509.5</v>
      </c>
      <c r="AB47" s="7" t="n">
        <v>79242.39999999999</v>
      </c>
    </row>
    <row r="48">
      <c r="A48" s="4" t="inlineStr">
        <is>
          <t>招聘费</t>
        </is>
      </c>
      <c r="D48" s="7" t="n">
        <v>14711.9</v>
      </c>
      <c r="F48" s="7" t="n">
        <v>11378.5</v>
      </c>
      <c r="H48" s="7" t="n">
        <v>18062.3</v>
      </c>
      <c r="J48" s="7" t="n">
        <v>19139.3</v>
      </c>
      <c r="L48" s="7" t="n">
        <v>24976.6</v>
      </c>
      <c r="N48" s="7" t="n">
        <v>28203.3</v>
      </c>
      <c r="P48" s="7" t="n">
        <v>36130.4</v>
      </c>
      <c r="R48" s="7" t="n">
        <v>21375.6</v>
      </c>
      <c r="T48" s="7" t="n">
        <v>25517.2</v>
      </c>
      <c r="V48" s="7" t="n">
        <v>28120.9</v>
      </c>
      <c r="X48" s="7" t="n">
        <v>13678.7</v>
      </c>
      <c r="Z48" s="7" t="n">
        <v>21383.8</v>
      </c>
      <c r="AB48" s="7" t="n">
        <v>262678.5</v>
      </c>
    </row>
    <row r="49">
      <c r="A49" s="4" t="inlineStr">
        <is>
          <t>办公费</t>
        </is>
      </c>
      <c r="D49" s="7" t="n">
        <v>105959</v>
      </c>
      <c r="F49" s="7" t="n">
        <v>43925.6</v>
      </c>
      <c r="H49" s="7" t="n">
        <v>138867.8</v>
      </c>
      <c r="J49" s="7" t="n">
        <v>153660.4</v>
      </c>
      <c r="L49" s="7" t="n">
        <v>109143.7</v>
      </c>
      <c r="N49" s="7" t="n">
        <v>124325.6</v>
      </c>
      <c r="P49" s="7" t="n">
        <v>189399.1</v>
      </c>
      <c r="R49" s="7" t="n">
        <v>93611.2</v>
      </c>
      <c r="T49" s="7" t="n">
        <v>101756.1</v>
      </c>
      <c r="V49" s="7" t="n">
        <v>171186</v>
      </c>
      <c r="X49" s="7" t="n">
        <v>100059.9</v>
      </c>
      <c r="Z49" s="7" t="n">
        <v>96087</v>
      </c>
      <c r="AB49" s="7" t="n">
        <v>1427981.4</v>
      </c>
    </row>
    <row r="50">
      <c r="A50" s="4" t="inlineStr">
        <is>
          <t>市内交通费</t>
        </is>
      </c>
      <c r="D50" s="7" t="n">
        <v>15039.6</v>
      </c>
      <c r="F50" s="7" t="n">
        <v>10164.5</v>
      </c>
      <c r="H50" s="7" t="n">
        <v>20480.4</v>
      </c>
      <c r="J50" s="7" t="n">
        <v>29797.3</v>
      </c>
      <c r="L50" s="7" t="n">
        <v>29154.7</v>
      </c>
      <c r="N50" s="7" t="n">
        <v>29132.7</v>
      </c>
      <c r="P50" s="7" t="n">
        <v>24812.5</v>
      </c>
      <c r="R50" s="7" t="n">
        <v>27268.1</v>
      </c>
      <c r="T50" s="7" t="n">
        <v>16795.1</v>
      </c>
      <c r="V50" s="7" t="n">
        <v>21749.2</v>
      </c>
      <c r="X50" s="7" t="n">
        <v>19608.9</v>
      </c>
      <c r="Z50" s="7" t="n">
        <v>17016.9</v>
      </c>
      <c r="AB50" s="7" t="n">
        <v>261019.9</v>
      </c>
    </row>
    <row r="51">
      <c r="A51" s="4" t="inlineStr">
        <is>
          <t>差旅费</t>
        </is>
      </c>
      <c r="D51" s="7" t="n">
        <v>141796.3</v>
      </c>
      <c r="F51" s="7" t="n">
        <v>116104.8</v>
      </c>
      <c r="H51" s="7" t="n">
        <v>184863.5</v>
      </c>
      <c r="J51" s="7" t="n">
        <v>206305.8</v>
      </c>
      <c r="L51" s="7" t="n">
        <v>272688.7</v>
      </c>
      <c r="N51" s="7" t="n">
        <v>220082.5</v>
      </c>
      <c r="P51" s="7" t="n">
        <v>332155.4</v>
      </c>
      <c r="R51" s="7" t="n">
        <v>239411.4</v>
      </c>
      <c r="T51" s="7" t="n">
        <v>228840.7</v>
      </c>
      <c r="V51" s="7" t="n">
        <v>296373.4</v>
      </c>
      <c r="X51" s="7" t="n">
        <v>198528.3</v>
      </c>
      <c r="Z51" s="7" t="n">
        <v>153236.4</v>
      </c>
      <c r="AB51" s="7" t="n">
        <v>2590387.2</v>
      </c>
    </row>
    <row r="52">
      <c r="A52" s="4" t="inlineStr">
        <is>
          <t>交通费</t>
        </is>
      </c>
      <c r="D52" s="7" t="n">
        <v>15274.1</v>
      </c>
      <c r="F52" s="7" t="n">
        <v>8133.8</v>
      </c>
      <c r="H52" s="7" t="n">
        <v>16752.3</v>
      </c>
      <c r="J52" s="7" t="n">
        <v>16466.7</v>
      </c>
      <c r="L52" s="7" t="n">
        <v>26452.1</v>
      </c>
      <c r="N52" s="7" t="n">
        <v>15872.2</v>
      </c>
      <c r="P52" s="7" t="n">
        <v>23957.4</v>
      </c>
      <c r="R52" s="7" t="n">
        <v>21433.8</v>
      </c>
      <c r="T52" s="7" t="n">
        <v>24376.8</v>
      </c>
      <c r="V52" s="7" t="n">
        <v>33577</v>
      </c>
      <c r="X52" s="7" t="n">
        <v>18939</v>
      </c>
      <c r="Z52" s="7" t="n">
        <v>11419.4</v>
      </c>
      <c r="AB52" s="7" t="n">
        <v>232654.6</v>
      </c>
    </row>
    <row r="53">
      <c r="A53" s="4" t="inlineStr">
        <is>
          <t>住宿费</t>
        </is>
      </c>
      <c r="D53" s="7" t="n">
        <v>21570.8</v>
      </c>
      <c r="F53" s="7" t="n">
        <v>13800.3</v>
      </c>
      <c r="H53" s="7" t="n">
        <v>22202.5</v>
      </c>
      <c r="J53" s="7" t="n">
        <v>22288.9</v>
      </c>
      <c r="L53" s="7" t="n">
        <v>24204.5</v>
      </c>
      <c r="N53" s="7" t="n">
        <v>20655.7</v>
      </c>
      <c r="P53" s="7" t="n">
        <v>28515</v>
      </c>
      <c r="R53" s="7" t="n">
        <v>17839.7</v>
      </c>
      <c r="T53" s="7" t="n">
        <v>26423.9</v>
      </c>
      <c r="V53" s="7" t="n">
        <v>26226.3</v>
      </c>
      <c r="X53" s="7" t="n">
        <v>15842</v>
      </c>
      <c r="Z53" s="7" t="n">
        <v>17920.3</v>
      </c>
      <c r="AB53" s="7" t="n">
        <v>257489.9</v>
      </c>
    </row>
    <row r="54">
      <c r="A54" s="4" t="inlineStr">
        <is>
          <t>餐补</t>
        </is>
      </c>
      <c r="D54" s="7" t="n">
        <v>14130.1</v>
      </c>
      <c r="F54" s="7" t="n">
        <v>9194</v>
      </c>
      <c r="H54" s="7" t="n">
        <v>21922.1</v>
      </c>
      <c r="J54" s="7" t="n">
        <v>23379.2</v>
      </c>
      <c r="L54" s="7" t="n">
        <v>20137.2</v>
      </c>
      <c r="N54" s="7" t="n">
        <v>18939.2</v>
      </c>
      <c r="P54" s="7" t="n">
        <v>28970.3</v>
      </c>
      <c r="R54" s="7" t="n">
        <v>14293.8</v>
      </c>
      <c r="T54" s="7" t="n">
        <v>24059.8</v>
      </c>
      <c r="V54" s="7" t="n">
        <v>22881.2</v>
      </c>
      <c r="X54" s="7" t="n">
        <v>13396.2</v>
      </c>
      <c r="Z54" s="7" t="n">
        <v>15349.5</v>
      </c>
      <c r="AB54" s="7" t="n">
        <v>226652.6</v>
      </c>
    </row>
    <row r="55">
      <c r="A55" s="4" t="inlineStr">
        <is>
          <t>交通补助</t>
        </is>
      </c>
      <c r="D55" s="7" t="n">
        <v>10145.4</v>
      </c>
      <c r="F55" s="7" t="n">
        <v>7336.3</v>
      </c>
      <c r="H55" s="7" t="n">
        <v>9803.4</v>
      </c>
      <c r="J55" s="7" t="n">
        <v>13104.9</v>
      </c>
      <c r="L55" s="7" t="n">
        <v>14026.9</v>
      </c>
      <c r="N55" s="7" t="n">
        <v>12933.3</v>
      </c>
      <c r="P55" s="7" t="n">
        <v>21767.6</v>
      </c>
      <c r="R55" s="7" t="n">
        <v>14456.9</v>
      </c>
      <c r="T55" s="7" t="n">
        <v>13280.6</v>
      </c>
      <c r="V55" s="7" t="n">
        <v>18150.1</v>
      </c>
      <c r="X55" s="7" t="n">
        <v>7865.7</v>
      </c>
      <c r="Z55" s="7" t="n">
        <v>10206.9</v>
      </c>
      <c r="AB55" s="7" t="n">
        <v>153078</v>
      </c>
    </row>
    <row r="56">
      <c r="A56" s="4" t="inlineStr">
        <is>
          <t>通讯补助</t>
        </is>
      </c>
      <c r="D56" s="7" t="n">
        <v>3070</v>
      </c>
      <c r="F56" s="7" t="n">
        <v>1684.8</v>
      </c>
      <c r="H56" s="7" t="n">
        <v>3884.9</v>
      </c>
      <c r="J56" s="7" t="n">
        <v>2934.2</v>
      </c>
      <c r="L56" s="7" t="n">
        <v>4447.9</v>
      </c>
      <c r="N56" s="7" t="n">
        <v>4718.5</v>
      </c>
      <c r="P56" s="7" t="n">
        <v>5185.7</v>
      </c>
      <c r="R56" s="7" t="n">
        <v>2948.7</v>
      </c>
      <c r="T56" s="7" t="n">
        <v>3368.2</v>
      </c>
      <c r="V56" s="7" t="n">
        <v>4207.1</v>
      </c>
      <c r="X56" s="7" t="n">
        <v>2210.4</v>
      </c>
      <c r="Z56" s="7" t="n">
        <v>2716.6</v>
      </c>
      <c r="AB56" s="7" t="n">
        <v>41377</v>
      </c>
    </row>
    <row r="57">
      <c r="A57" s="4" t="inlineStr">
        <is>
          <t>招待费</t>
        </is>
      </c>
      <c r="D57" s="7" t="n">
        <v>123926.3</v>
      </c>
      <c r="F57" s="7" t="n">
        <v>61102.4</v>
      </c>
      <c r="H57" s="7" t="n">
        <v>142975.1</v>
      </c>
      <c r="J57" s="7" t="n">
        <v>139297.1</v>
      </c>
      <c r="L57" s="7" t="n">
        <v>182218</v>
      </c>
      <c r="N57" s="7" t="n">
        <v>199403.7</v>
      </c>
      <c r="P57" s="7" t="n">
        <v>234371.7</v>
      </c>
      <c r="R57" s="7" t="n">
        <v>183090.5</v>
      </c>
      <c r="T57" s="7" t="n">
        <v>117936.6</v>
      </c>
      <c r="V57" s="7" t="n">
        <v>142865.9</v>
      </c>
      <c r="X57" s="7" t="n">
        <v>113850.7</v>
      </c>
      <c r="Z57" s="7" t="n">
        <v>101427.1</v>
      </c>
      <c r="AB57" s="7" t="n">
        <v>1742465.1</v>
      </c>
    </row>
    <row r="58">
      <c r="A58" s="4" t="inlineStr">
        <is>
          <t>通讯费</t>
        </is>
      </c>
      <c r="D58" s="7" t="n">
        <v>8781.299999999999</v>
      </c>
      <c r="F58" s="7" t="n">
        <v>7505.6</v>
      </c>
      <c r="H58" s="7" t="n">
        <v>12709</v>
      </c>
      <c r="J58" s="7" t="n">
        <v>17869</v>
      </c>
      <c r="L58" s="7" t="n">
        <v>13011.6</v>
      </c>
      <c r="N58" s="7" t="n">
        <v>12775.5</v>
      </c>
      <c r="P58" s="7" t="n">
        <v>19836.5</v>
      </c>
      <c r="R58" s="7" t="n">
        <v>17339.3</v>
      </c>
      <c r="T58" s="7" t="n">
        <v>13596.5</v>
      </c>
      <c r="V58" s="7" t="n">
        <v>17491.8</v>
      </c>
      <c r="X58" s="7" t="n">
        <v>7965.9</v>
      </c>
      <c r="Z58" s="7" t="n">
        <v>11590.2</v>
      </c>
      <c r="AB58" s="7" t="n">
        <v>160472.2</v>
      </c>
    </row>
    <row r="59">
      <c r="A59" s="4" t="inlineStr">
        <is>
          <t>网络费</t>
        </is>
      </c>
      <c r="D59" s="7" t="n">
        <v>3632.7</v>
      </c>
      <c r="F59" s="7" t="n">
        <v>2076.6</v>
      </c>
      <c r="H59" s="7" t="n">
        <v>3817</v>
      </c>
      <c r="J59" s="7" t="n">
        <v>5579.5</v>
      </c>
      <c r="L59" s="7" t="n">
        <v>4637.3</v>
      </c>
      <c r="N59" s="7" t="n">
        <v>5055.6</v>
      </c>
      <c r="P59" s="7" t="n">
        <v>4495.6</v>
      </c>
      <c r="R59" s="7" t="n">
        <v>3697.4</v>
      </c>
      <c r="T59" s="7" t="n">
        <v>3670.8</v>
      </c>
      <c r="V59" s="7" t="n">
        <v>5852</v>
      </c>
      <c r="X59" s="7" t="n">
        <v>2932.9</v>
      </c>
      <c r="Z59" s="7" t="n">
        <v>3160.2</v>
      </c>
      <c r="AB59" s="7" t="n">
        <v>48607.6</v>
      </c>
    </row>
    <row r="60">
      <c r="A60" s="4" t="inlineStr">
        <is>
          <t>修理费</t>
        </is>
      </c>
      <c r="D60" s="7" t="n">
        <v>15814.3</v>
      </c>
      <c r="F60" s="7" t="n">
        <v>7340.2</v>
      </c>
      <c r="H60" s="7" t="n">
        <v>25342.5</v>
      </c>
      <c r="J60" s="7" t="n">
        <v>19365.6</v>
      </c>
      <c r="L60" s="7" t="n">
        <v>24138.4</v>
      </c>
      <c r="N60" s="7" t="n">
        <v>22145.1</v>
      </c>
      <c r="P60" s="7" t="n">
        <v>26398.4</v>
      </c>
      <c r="R60" s="7" t="n">
        <v>16972</v>
      </c>
      <c r="T60" s="7" t="n">
        <v>22647.1</v>
      </c>
      <c r="V60" s="7" t="n">
        <v>22076.3</v>
      </c>
      <c r="X60" s="7" t="n">
        <v>16933</v>
      </c>
      <c r="Z60" s="7" t="n">
        <v>16611.4</v>
      </c>
      <c r="AB60" s="7" t="n">
        <v>235784.3</v>
      </c>
    </row>
    <row r="61">
      <c r="A61" s="4" t="inlineStr">
        <is>
          <t>车辆费</t>
        </is>
      </c>
      <c r="D61" s="7" t="n">
        <v>12005.8</v>
      </c>
      <c r="F61" s="7" t="n">
        <v>4960.4</v>
      </c>
      <c r="H61" s="7" t="n">
        <v>10598.3</v>
      </c>
      <c r="J61" s="7" t="n">
        <v>16355.4</v>
      </c>
      <c r="L61" s="7" t="n">
        <v>10784.9</v>
      </c>
      <c r="N61" s="7" t="n">
        <v>17757.1</v>
      </c>
      <c r="P61" s="7" t="n">
        <v>20008.9</v>
      </c>
      <c r="R61" s="7" t="n">
        <v>17796.9</v>
      </c>
      <c r="T61" s="7" t="n">
        <v>12240.8</v>
      </c>
      <c r="V61" s="7" t="n">
        <v>21277.6</v>
      </c>
      <c r="X61" s="7" t="n">
        <v>7828.1</v>
      </c>
      <c r="Z61" s="7" t="n">
        <v>9597.9</v>
      </c>
      <c r="AB61" s="7" t="n">
        <v>161212.1</v>
      </c>
    </row>
    <row r="62">
      <c r="A62" s="4" t="inlineStr">
        <is>
          <t>租赁费</t>
        </is>
      </c>
      <c r="D62" s="7" t="n">
        <v>110859.2</v>
      </c>
      <c r="F62" s="7" t="n">
        <v>102616.4</v>
      </c>
      <c r="H62" s="7" t="n">
        <v>195959.4</v>
      </c>
      <c r="J62" s="7" t="n">
        <v>228374.2</v>
      </c>
      <c r="L62" s="7" t="n">
        <v>215914.5</v>
      </c>
      <c r="N62" s="7" t="n">
        <v>234849.2</v>
      </c>
      <c r="P62" s="7" t="n">
        <v>200580.2</v>
      </c>
      <c r="R62" s="7" t="n">
        <v>196927.8</v>
      </c>
      <c r="T62" s="7" t="n">
        <v>199457.7</v>
      </c>
      <c r="V62" s="7" t="n">
        <v>292538.1</v>
      </c>
      <c r="X62" s="7" t="n">
        <v>110939.5</v>
      </c>
      <c r="Z62" s="7" t="n">
        <v>121508.3</v>
      </c>
      <c r="AB62" s="7" t="n">
        <v>2210524.5</v>
      </c>
    </row>
    <row r="63">
      <c r="A63" s="4" t="inlineStr">
        <is>
          <t>能源费</t>
        </is>
      </c>
      <c r="D63" s="7" t="n">
        <v>39051</v>
      </c>
      <c r="F63" s="7" t="n">
        <v>30516.8</v>
      </c>
      <c r="H63" s="7" t="n">
        <v>63758.7</v>
      </c>
      <c r="J63" s="7" t="n">
        <v>79317.10000000001</v>
      </c>
      <c r="L63" s="7" t="n">
        <v>68354.60000000001</v>
      </c>
      <c r="N63" s="7" t="n">
        <v>67889.39999999999</v>
      </c>
      <c r="P63" s="7" t="n">
        <v>83264.5</v>
      </c>
      <c r="R63" s="7" t="n">
        <v>72948.39999999999</v>
      </c>
      <c r="T63" s="7" t="n">
        <v>58526.2</v>
      </c>
      <c r="V63" s="7" t="n">
        <v>82984.8</v>
      </c>
      <c r="X63" s="7" t="n">
        <v>39718.7</v>
      </c>
      <c r="Z63" s="7" t="n">
        <v>43593.8</v>
      </c>
      <c r="AB63" s="7" t="n">
        <v>729924</v>
      </c>
    </row>
    <row r="64">
      <c r="A64" s="4" t="inlineStr">
        <is>
          <t>水费</t>
        </is>
      </c>
      <c r="D64" s="7" t="n">
        <v>8442.4</v>
      </c>
      <c r="F64" s="7" t="n">
        <v>8495.1</v>
      </c>
      <c r="H64" s="7" t="n">
        <v>15887.8</v>
      </c>
      <c r="J64" s="7" t="n">
        <v>21248.4</v>
      </c>
      <c r="L64" s="7" t="n">
        <v>16236.3</v>
      </c>
      <c r="N64" s="7" t="n">
        <v>17899.4</v>
      </c>
      <c r="P64" s="7" t="n">
        <v>25162</v>
      </c>
      <c r="R64" s="7" t="n">
        <v>20981.6</v>
      </c>
      <c r="T64" s="7" t="n">
        <v>13334.2</v>
      </c>
      <c r="V64" s="7" t="n">
        <v>19871</v>
      </c>
      <c r="X64" s="7" t="n">
        <v>10483.9</v>
      </c>
      <c r="Z64" s="7" t="n">
        <v>11257.7</v>
      </c>
      <c r="AB64" s="7" t="n">
        <v>189299.8</v>
      </c>
    </row>
    <row r="65">
      <c r="A65" s="4" t="inlineStr">
        <is>
          <t>电费</t>
        </is>
      </c>
      <c r="D65" s="7" t="n">
        <v>16355.5</v>
      </c>
      <c r="F65" s="7" t="n">
        <v>9441</v>
      </c>
      <c r="H65" s="7" t="n">
        <v>24874.7</v>
      </c>
      <c r="J65" s="7" t="n">
        <v>27046.2</v>
      </c>
      <c r="L65" s="7" t="n">
        <v>28765.8</v>
      </c>
      <c r="N65" s="7" t="n">
        <v>26022.9</v>
      </c>
      <c r="P65" s="7" t="n">
        <v>26223.2</v>
      </c>
      <c r="R65" s="7" t="n">
        <v>28139.1</v>
      </c>
      <c r="T65" s="7" t="n">
        <v>27960.9</v>
      </c>
      <c r="V65" s="7" t="n">
        <v>39044</v>
      </c>
      <c r="X65" s="7" t="n">
        <v>13425</v>
      </c>
      <c r="Z65" s="7" t="n">
        <v>12878.4</v>
      </c>
      <c r="AB65" s="7" t="n">
        <v>280176.7</v>
      </c>
    </row>
    <row r="66">
      <c r="A66" s="4" t="inlineStr">
        <is>
          <t>燃气费</t>
        </is>
      </c>
      <c r="D66" s="7" t="n">
        <v>8685.700000000001</v>
      </c>
      <c r="F66" s="7" t="n">
        <v>9223</v>
      </c>
      <c r="H66" s="7" t="n">
        <v>17778.2</v>
      </c>
      <c r="J66" s="7" t="n">
        <v>21832.7</v>
      </c>
      <c r="L66" s="7" t="n">
        <v>15892</v>
      </c>
      <c r="N66" s="7" t="n">
        <v>14792.9</v>
      </c>
      <c r="P66" s="7" t="n">
        <v>21141.4</v>
      </c>
      <c r="R66" s="7" t="n">
        <v>17967.7</v>
      </c>
      <c r="T66" s="7" t="n">
        <v>11040.5</v>
      </c>
      <c r="V66" s="7" t="n">
        <v>15644</v>
      </c>
      <c r="X66" s="7" t="n">
        <v>10461.7</v>
      </c>
      <c r="Z66" s="7" t="n">
        <v>13304.7</v>
      </c>
      <c r="AB66" s="7" t="n">
        <v>177764.5</v>
      </c>
    </row>
    <row r="67">
      <c r="A67" s="4" t="inlineStr">
        <is>
          <t>蒸汽费</t>
        </is>
      </c>
      <c r="D67" s="7" t="n">
        <v>5567.4</v>
      </c>
      <c r="F67" s="7" t="n">
        <v>3357.7</v>
      </c>
      <c r="H67" s="7" t="n">
        <v>5218</v>
      </c>
      <c r="J67" s="7" t="n">
        <v>9189.799999999999</v>
      </c>
      <c r="L67" s="7" t="n">
        <v>7460.5</v>
      </c>
      <c r="N67" s="7" t="n">
        <v>9174.200000000001</v>
      </c>
      <c r="P67" s="7" t="n">
        <v>10737.9</v>
      </c>
      <c r="R67" s="7" t="n">
        <v>5860</v>
      </c>
      <c r="T67" s="7" t="n">
        <v>6190.6</v>
      </c>
      <c r="V67" s="7" t="n">
        <v>8425.799999999999</v>
      </c>
      <c r="X67" s="7" t="n">
        <v>5348.1</v>
      </c>
      <c r="Z67" s="7" t="n">
        <v>6153</v>
      </c>
      <c r="AB67" s="7" t="n">
        <v>82683</v>
      </c>
    </row>
    <row r="68">
      <c r="A68" s="4" t="inlineStr">
        <is>
          <t>物业费</t>
        </is>
      </c>
      <c r="D68" s="7" t="n">
        <v>19450.6</v>
      </c>
      <c r="F68" s="7" t="n">
        <v>12152.3</v>
      </c>
      <c r="H68" s="7" t="n">
        <v>21828.6</v>
      </c>
      <c r="J68" s="7" t="n">
        <v>26490</v>
      </c>
      <c r="L68" s="7" t="n">
        <v>30317.8</v>
      </c>
      <c r="N68" s="7" t="n">
        <v>24602.5</v>
      </c>
      <c r="P68" s="7" t="n">
        <v>26927.7</v>
      </c>
      <c r="R68" s="7" t="n">
        <v>28455.7</v>
      </c>
      <c r="T68" s="7" t="n">
        <v>21699.9</v>
      </c>
      <c r="V68" s="7" t="n">
        <v>31984.7</v>
      </c>
      <c r="X68" s="7" t="n">
        <v>21180.4</v>
      </c>
      <c r="Z68" s="7" t="n">
        <v>14600</v>
      </c>
      <c r="AB68" s="7" t="n">
        <v>279690.2</v>
      </c>
    </row>
    <row r="69">
      <c r="A69" s="4" t="inlineStr">
        <is>
          <t>劳动保护费</t>
        </is>
      </c>
      <c r="D69" s="7" t="n">
        <v>11615.9</v>
      </c>
      <c r="F69" s="7" t="n">
        <v>9033.799999999999</v>
      </c>
      <c r="H69" s="7" t="n">
        <v>14409.6</v>
      </c>
      <c r="J69" s="7" t="n">
        <v>21642.8</v>
      </c>
      <c r="L69" s="7" t="n">
        <v>22912.4</v>
      </c>
      <c r="N69" s="7" t="n">
        <v>23479.8</v>
      </c>
      <c r="P69" s="7" t="n">
        <v>21570.3</v>
      </c>
      <c r="R69" s="7" t="n">
        <v>24659.8</v>
      </c>
      <c r="T69" s="7" t="n">
        <v>15721</v>
      </c>
      <c r="V69" s="7" t="n">
        <v>15879</v>
      </c>
      <c r="X69" s="7" t="n">
        <v>18003.6</v>
      </c>
      <c r="Z69" s="7" t="n">
        <v>14131.3</v>
      </c>
      <c r="AB69" s="7" t="n">
        <v>213059.3</v>
      </c>
    </row>
    <row r="70">
      <c r="A70" s="4" t="inlineStr">
        <is>
          <t>顾问费</t>
        </is>
      </c>
      <c r="D70" s="7" t="n">
        <v>15824.2</v>
      </c>
      <c r="F70" s="7" t="n">
        <v>9595.1</v>
      </c>
      <c r="H70" s="7" t="n">
        <v>21455.9</v>
      </c>
      <c r="J70" s="7" t="n">
        <v>27580.8</v>
      </c>
      <c r="L70" s="7" t="n">
        <v>25974.2</v>
      </c>
      <c r="N70" s="7" t="n">
        <v>24856.6</v>
      </c>
      <c r="P70" s="7" t="n">
        <v>24420</v>
      </c>
      <c r="R70" s="7" t="n">
        <v>16073.1</v>
      </c>
      <c r="T70" s="7" t="n">
        <v>19951.9</v>
      </c>
      <c r="V70" s="7" t="n">
        <v>25627.6</v>
      </c>
      <c r="X70" s="7" t="n">
        <v>13662.5</v>
      </c>
      <c r="Z70" s="7" t="n">
        <v>14821.7</v>
      </c>
      <c r="AB70" s="7" t="n">
        <v>239843.6</v>
      </c>
    </row>
    <row r="71">
      <c r="A71" s="4" t="inlineStr">
        <is>
          <t>快递费</t>
        </is>
      </c>
      <c r="D71" s="7" t="n">
        <v>14212</v>
      </c>
      <c r="F71" s="7" t="n">
        <v>10221.8</v>
      </c>
      <c r="H71" s="7" t="n">
        <v>17577</v>
      </c>
      <c r="J71" s="7" t="n">
        <v>29906.7</v>
      </c>
      <c r="L71" s="7" t="n">
        <v>29715.3</v>
      </c>
      <c r="N71" s="7" t="n">
        <v>31171.2</v>
      </c>
      <c r="P71" s="7" t="n">
        <v>29965.5</v>
      </c>
      <c r="R71" s="7" t="n">
        <v>18038.6</v>
      </c>
      <c r="T71" s="7" t="n">
        <v>23497.5</v>
      </c>
      <c r="V71" s="7" t="n">
        <v>28975.1</v>
      </c>
      <c r="X71" s="7" t="n">
        <v>14898.5</v>
      </c>
      <c r="Z71" s="7" t="n">
        <v>21602.7</v>
      </c>
      <c r="AB71" s="7" t="n">
        <v>269781.9</v>
      </c>
    </row>
    <row r="72">
      <c r="A72" s="4" t="inlineStr">
        <is>
          <t>诉讼费</t>
        </is>
      </c>
      <c r="D72" s="7" t="n">
        <v>13383.6</v>
      </c>
      <c r="F72" s="7" t="n">
        <v>10411.6</v>
      </c>
      <c r="H72" s="7" t="n">
        <v>13870.3</v>
      </c>
      <c r="J72" s="7" t="n">
        <v>24065.5</v>
      </c>
      <c r="L72" s="7" t="n">
        <v>23414.8</v>
      </c>
      <c r="N72" s="7" t="n">
        <v>24299.2</v>
      </c>
      <c r="P72" s="7" t="n">
        <v>26424.7</v>
      </c>
      <c r="R72" s="7" t="n">
        <v>15153.9</v>
      </c>
      <c r="T72" s="7" t="n">
        <v>20757.6</v>
      </c>
      <c r="V72" s="7" t="n">
        <v>21777.6</v>
      </c>
      <c r="X72" s="7" t="n">
        <v>15905.9</v>
      </c>
      <c r="Z72" s="7" t="n">
        <v>13447.7</v>
      </c>
      <c r="AB72" s="7" t="n">
        <v>222912.4</v>
      </c>
    </row>
    <row r="73">
      <c r="A73" s="4" t="inlineStr">
        <is>
          <t>会员费</t>
        </is>
      </c>
      <c r="D73" s="7" t="n">
        <v>93.3</v>
      </c>
      <c r="F73" s="7" t="n">
        <v>55.8</v>
      </c>
      <c r="H73" s="7" t="n">
        <v>104.6</v>
      </c>
      <c r="J73" s="7" t="n">
        <v>83.09999999999999</v>
      </c>
      <c r="L73" s="7" t="n">
        <v>107.9</v>
      </c>
      <c r="N73" s="7" t="n">
        <v>78.59999999999999</v>
      </c>
      <c r="P73" s="7" t="n">
        <v>135.7</v>
      </c>
      <c r="R73" s="7" t="n">
        <v>119.5</v>
      </c>
      <c r="T73" s="7" t="n">
        <v>91.09999999999999</v>
      </c>
      <c r="V73" s="7" t="n">
        <v>131.1</v>
      </c>
      <c r="X73" s="7" t="n">
        <v>70.2</v>
      </c>
      <c r="Z73" s="7" t="n">
        <v>92</v>
      </c>
      <c r="AB73" s="7" t="n">
        <v>1162.9</v>
      </c>
    </row>
    <row r="74">
      <c r="A74" s="4" t="inlineStr">
        <is>
          <t>广告宣传费</t>
        </is>
      </c>
      <c r="D74" s="7" t="n">
        <v>73569.7</v>
      </c>
      <c r="F74" s="7" t="n">
        <v>45512.5</v>
      </c>
      <c r="H74" s="7" t="n">
        <v>95456.7</v>
      </c>
      <c r="J74" s="7" t="n">
        <v>109566</v>
      </c>
      <c r="L74" s="7" t="n">
        <v>118234.5</v>
      </c>
      <c r="N74" s="7" t="n">
        <v>92617.7</v>
      </c>
      <c r="P74" s="7" t="n">
        <v>117832.2</v>
      </c>
      <c r="R74" s="7" t="n">
        <v>104920.5</v>
      </c>
      <c r="T74" s="7" t="n">
        <v>81028.60000000001</v>
      </c>
      <c r="V74" s="7" t="n">
        <v>149712</v>
      </c>
      <c r="X74" s="7" t="n">
        <v>88804.60000000001</v>
      </c>
      <c r="Z74" s="7" t="n">
        <v>68294</v>
      </c>
      <c r="AB74" s="7" t="n">
        <v>1145549</v>
      </c>
    </row>
    <row r="75">
      <c r="A75" s="4" t="inlineStr">
        <is>
          <t>会务费</t>
        </is>
      </c>
      <c r="D75" s="7" t="n">
        <v>5624.3</v>
      </c>
      <c r="F75" s="7" t="n">
        <v>3354.3</v>
      </c>
      <c r="H75" s="7" t="n">
        <v>9475.299999999999</v>
      </c>
      <c r="J75" s="7" t="n">
        <v>8187.1</v>
      </c>
      <c r="L75" s="7" t="n">
        <v>7948.2</v>
      </c>
      <c r="N75" s="7" t="n">
        <v>6835.7</v>
      </c>
      <c r="P75" s="7" t="n">
        <v>12203.6</v>
      </c>
      <c r="R75" s="7" t="n">
        <v>8397.1</v>
      </c>
      <c r="T75" s="7" t="n">
        <v>8453.4</v>
      </c>
      <c r="V75" s="7" t="n">
        <v>8306.6</v>
      </c>
      <c r="X75" s="7" t="n">
        <v>6624.7</v>
      </c>
      <c r="Z75" s="7" t="n">
        <v>7015.1</v>
      </c>
      <c r="AB75" s="7" t="n">
        <v>92425.39999999999</v>
      </c>
    </row>
    <row r="76">
      <c r="A76" s="4" t="inlineStr">
        <is>
          <t>装修费</t>
        </is>
      </c>
      <c r="D76" s="7" t="n">
        <v>1397.6</v>
      </c>
      <c r="F76" s="7" t="n">
        <v>1235.1</v>
      </c>
      <c r="H76" s="7" t="n">
        <v>2060.6</v>
      </c>
      <c r="J76" s="7" t="n">
        <v>3009.7</v>
      </c>
      <c r="L76" s="7" t="n">
        <v>2995.7</v>
      </c>
      <c r="N76" s="7" t="n">
        <v>3344.1</v>
      </c>
      <c r="P76" s="7" t="n">
        <v>3868.5</v>
      </c>
      <c r="R76" s="7" t="n">
        <v>3007.2</v>
      </c>
      <c r="T76" s="7" t="n">
        <v>2347.8</v>
      </c>
      <c r="V76" s="7" t="n">
        <v>3843.1</v>
      </c>
      <c r="X76" s="7" t="n">
        <v>2299.4</v>
      </c>
      <c r="Z76" s="7" t="n">
        <v>2115.9</v>
      </c>
      <c r="AB76" s="7" t="n">
        <v>31524.7</v>
      </c>
    </row>
    <row r="77">
      <c r="A77" s="4" t="inlineStr">
        <is>
          <t>推广费</t>
        </is>
      </c>
      <c r="D77" s="7" t="n">
        <v>12343.7</v>
      </c>
      <c r="F77" s="7" t="n">
        <v>7506.2</v>
      </c>
      <c r="H77" s="7" t="n">
        <v>12589</v>
      </c>
      <c r="J77" s="7" t="n">
        <v>11165.3</v>
      </c>
      <c r="L77" s="7" t="n">
        <v>16974.9</v>
      </c>
      <c r="N77" s="7" t="n">
        <v>17544.5</v>
      </c>
      <c r="P77" s="7" t="n">
        <v>17070.5</v>
      </c>
      <c r="R77" s="7" t="n">
        <v>13780.2</v>
      </c>
      <c r="T77" s="7" t="n">
        <v>14798.6</v>
      </c>
      <c r="V77" s="7" t="n">
        <v>18309.1</v>
      </c>
      <c r="X77" s="7" t="n">
        <v>10055.6</v>
      </c>
      <c r="Z77" s="7" t="n">
        <v>8109.3</v>
      </c>
      <c r="AB77" s="7" t="n">
        <v>160246.9</v>
      </c>
    </row>
    <row r="78">
      <c r="A78" s="4" t="inlineStr">
        <is>
          <t>展会费</t>
        </is>
      </c>
      <c r="D78" s="7" t="n">
        <v>4905.7</v>
      </c>
      <c r="F78" s="7" t="n">
        <v>2921.5</v>
      </c>
      <c r="H78" s="7" t="n">
        <v>6727.7</v>
      </c>
      <c r="J78" s="7" t="n">
        <v>5622.7</v>
      </c>
      <c r="L78" s="7" t="n">
        <v>6713.6</v>
      </c>
      <c r="N78" s="7" t="n">
        <v>6462</v>
      </c>
      <c r="P78" s="7" t="n">
        <v>8564.799999999999</v>
      </c>
      <c r="R78" s="7" t="n">
        <v>7301.7</v>
      </c>
      <c r="T78" s="7" t="n">
        <v>5432.6</v>
      </c>
      <c r="V78" s="7" t="n">
        <v>4898.1</v>
      </c>
      <c r="X78" s="7" t="n">
        <v>4243.9</v>
      </c>
      <c r="Z78" s="7" t="n">
        <v>3693.1</v>
      </c>
      <c r="AB78" s="7" t="n">
        <v>67487.39999999999</v>
      </c>
    </row>
    <row r="79">
      <c r="A79" s="4" t="inlineStr">
        <is>
          <t>设计费</t>
        </is>
      </c>
      <c r="D79" s="7" t="n">
        <v>6668.8</v>
      </c>
      <c r="F79" s="7" t="n">
        <v>6530.9</v>
      </c>
      <c r="H79" s="7" t="n">
        <v>11809.4</v>
      </c>
      <c r="J79" s="7" t="n">
        <v>9620.6</v>
      </c>
      <c r="L79" s="7" t="n">
        <v>9412.799999999999</v>
      </c>
      <c r="N79" s="7" t="n">
        <v>14426.1</v>
      </c>
      <c r="P79" s="7" t="n">
        <v>17724.1</v>
      </c>
      <c r="R79" s="7" t="n">
        <v>10961.5</v>
      </c>
      <c r="T79" s="7" t="n">
        <v>12552.5</v>
      </c>
      <c r="V79" s="7" t="n">
        <v>16523.1</v>
      </c>
      <c r="X79" s="7" t="n">
        <v>9052.6</v>
      </c>
      <c r="Z79" s="7" t="n">
        <v>7859.1</v>
      </c>
      <c r="AB79" s="7" t="n">
        <v>133141.5</v>
      </c>
    </row>
    <row r="80">
      <c r="A80" s="4" t="inlineStr">
        <is>
          <t>折旧费</t>
        </is>
      </c>
      <c r="D80" s="7" t="n">
        <v>104196.7</v>
      </c>
      <c r="F80" s="7" t="n">
        <v>79806.5</v>
      </c>
      <c r="H80" s="7" t="n">
        <v>151199.6</v>
      </c>
      <c r="J80" s="7" t="n">
        <v>210463.3</v>
      </c>
      <c r="L80" s="7" t="n">
        <v>152027.7</v>
      </c>
      <c r="N80" s="7" t="n">
        <v>144938.3</v>
      </c>
      <c r="P80" s="7" t="n">
        <v>236452.6</v>
      </c>
      <c r="R80" s="7" t="n">
        <v>170716</v>
      </c>
      <c r="T80" s="7" t="n">
        <v>178336.8</v>
      </c>
      <c r="V80" s="7" t="n">
        <v>178691.8</v>
      </c>
      <c r="X80" s="7" t="n">
        <v>137657.6</v>
      </c>
      <c r="Z80" s="7" t="n">
        <v>113467.8</v>
      </c>
      <c r="AB80" s="7" t="n">
        <v>1857954.7</v>
      </c>
    </row>
    <row r="81">
      <c r="A81" s="4" t="inlineStr">
        <is>
          <t>认证费</t>
        </is>
      </c>
      <c r="D81" s="7" t="n">
        <v>4670</v>
      </c>
      <c r="F81" s="7" t="n">
        <v>2151.1</v>
      </c>
      <c r="H81" s="7" t="n">
        <v>7160.7</v>
      </c>
      <c r="J81" s="7" t="n">
        <v>6626.4</v>
      </c>
      <c r="L81" s="7" t="n">
        <v>6275.9</v>
      </c>
      <c r="N81" s="7" t="n">
        <v>6547.1</v>
      </c>
      <c r="P81" s="7" t="n">
        <v>7531.7</v>
      </c>
      <c r="R81" s="7" t="n">
        <v>6474.1</v>
      </c>
      <c r="T81" s="7" t="n">
        <v>7037.5</v>
      </c>
      <c r="V81" s="7" t="n">
        <v>5798.7</v>
      </c>
      <c r="X81" s="7" t="n">
        <v>5789</v>
      </c>
      <c r="Z81" s="7" t="n">
        <v>3173.6</v>
      </c>
      <c r="AB81" s="7" t="n">
        <v>69235.8</v>
      </c>
    </row>
    <row r="82">
      <c r="A82" s="4" t="inlineStr">
        <is>
          <t>样品费</t>
        </is>
      </c>
      <c r="D82" s="7" t="n">
        <v>42052.1</v>
      </c>
      <c r="F82" s="7" t="n">
        <v>44215.9</v>
      </c>
      <c r="H82" s="7" t="n">
        <v>85449.60000000001</v>
      </c>
      <c r="J82" s="7" t="n">
        <v>75981.89999999999</v>
      </c>
      <c r="L82" s="7" t="n">
        <v>81430.2</v>
      </c>
      <c r="N82" s="7" t="n">
        <v>87827.10000000001</v>
      </c>
      <c r="P82" s="7" t="n">
        <v>75045.60000000001</v>
      </c>
      <c r="R82" s="7" t="n">
        <v>96336.5</v>
      </c>
      <c r="T82" s="7" t="n">
        <v>93873.5</v>
      </c>
      <c r="V82" s="7" t="n">
        <v>115441.2</v>
      </c>
      <c r="X82" s="7" t="n">
        <v>63503</v>
      </c>
      <c r="Z82" s="7" t="n">
        <v>38686.4</v>
      </c>
      <c r="AB82" s="7" t="n">
        <v>899843</v>
      </c>
    </row>
    <row r="83">
      <c r="A83" s="4" t="inlineStr">
        <is>
          <t>劳务费</t>
        </is>
      </c>
      <c r="D83" s="7" t="n">
        <v>2087.2</v>
      </c>
      <c r="F83" s="7" t="n">
        <v>1823.4</v>
      </c>
      <c r="H83" s="7" t="n">
        <v>3301.8</v>
      </c>
      <c r="J83" s="7" t="n">
        <v>4125.9</v>
      </c>
      <c r="L83" s="7" t="n">
        <v>3213</v>
      </c>
      <c r="N83" s="7" t="n">
        <v>4274.5</v>
      </c>
      <c r="P83" s="7" t="n">
        <v>4259.4</v>
      </c>
      <c r="R83" s="7" t="n">
        <v>4057.9</v>
      </c>
      <c r="T83" s="7" t="n">
        <v>4573</v>
      </c>
      <c r="V83" s="7" t="n">
        <v>3947.2</v>
      </c>
      <c r="X83" s="7" t="n">
        <v>3575.5</v>
      </c>
      <c r="Z83" s="7" t="n">
        <v>2554.2</v>
      </c>
      <c r="AB83" s="7" t="n">
        <v>41793</v>
      </c>
    </row>
    <row r="84">
      <c r="A84" s="4" t="inlineStr">
        <is>
          <t>销售佣金</t>
        </is>
      </c>
      <c r="D84" s="7" t="n">
        <v>16049.1</v>
      </c>
      <c r="F84" s="7" t="n">
        <v>9032.200000000001</v>
      </c>
      <c r="H84" s="7" t="n">
        <v>16687.1</v>
      </c>
      <c r="J84" s="7" t="n">
        <v>34099.6</v>
      </c>
      <c r="L84" s="7" t="n">
        <v>24810.3</v>
      </c>
      <c r="N84" s="7" t="n">
        <v>20045.1</v>
      </c>
      <c r="P84" s="7" t="n">
        <v>28092.8</v>
      </c>
      <c r="R84" s="7" t="n">
        <v>24029.4</v>
      </c>
      <c r="T84" s="7" t="n">
        <v>25259.8</v>
      </c>
      <c r="V84" s="7" t="n">
        <v>21916</v>
      </c>
      <c r="X84" s="7" t="n">
        <v>21220.8</v>
      </c>
      <c r="Z84" s="7" t="n">
        <v>21227.6</v>
      </c>
      <c r="AB84" s="7" t="n">
        <v>262469.8</v>
      </c>
    </row>
    <row r="85">
      <c r="A85" s="4" t="inlineStr">
        <is>
          <t>检测费</t>
        </is>
      </c>
      <c r="D85" s="7" t="n">
        <v>7875.5</v>
      </c>
      <c r="F85" s="7" t="n">
        <v>5343.7</v>
      </c>
      <c r="H85" s="7" t="n">
        <v>7280.5</v>
      </c>
      <c r="J85" s="7" t="n">
        <v>10821.6</v>
      </c>
      <c r="L85" s="7" t="n">
        <v>9013.700000000001</v>
      </c>
      <c r="N85" s="7" t="n">
        <v>8407.9</v>
      </c>
      <c r="P85" s="7" t="n">
        <v>10894.1</v>
      </c>
      <c r="R85" s="7" t="n">
        <v>8856.1</v>
      </c>
      <c r="T85" s="7" t="n">
        <v>9215.1</v>
      </c>
      <c r="V85" s="7" t="n">
        <v>12015.7</v>
      </c>
      <c r="X85" s="7" t="n">
        <v>6810.6</v>
      </c>
      <c r="Z85" s="7" t="n">
        <v>5291</v>
      </c>
      <c r="AB85" s="7" t="n">
        <v>101825.5</v>
      </c>
    </row>
    <row r="86">
      <c r="A86" s="4" t="inlineStr">
        <is>
          <t>质量赔偿</t>
        </is>
      </c>
      <c r="D86" s="7" t="n">
        <v>8694.1</v>
      </c>
      <c r="F86" s="7" t="n">
        <v>5648.4</v>
      </c>
      <c r="H86" s="7" t="n">
        <v>7344.1</v>
      </c>
      <c r="J86" s="7" t="n">
        <v>13415.4</v>
      </c>
      <c r="L86" s="7" t="n">
        <v>11354.7</v>
      </c>
      <c r="N86" s="7" t="n">
        <v>7886.7</v>
      </c>
      <c r="P86" s="7" t="n">
        <v>9321.6</v>
      </c>
      <c r="R86" s="7" t="n">
        <v>7240.6</v>
      </c>
      <c r="T86" s="7" t="n">
        <v>10880.9</v>
      </c>
      <c r="V86" s="7" t="n">
        <v>11627.3</v>
      </c>
      <c r="X86" s="7" t="n">
        <v>7121.9</v>
      </c>
      <c r="Z86" s="7" t="n">
        <v>9017.200000000001</v>
      </c>
      <c r="AB86" s="7" t="n">
        <v>109552.9</v>
      </c>
    </row>
    <row r="87">
      <c r="A87" s="4" t="inlineStr">
        <is>
          <t>保险费</t>
        </is>
      </c>
      <c r="D87" s="7" t="n">
        <v>1655.6</v>
      </c>
      <c r="F87" s="7" t="n">
        <v>980.6</v>
      </c>
      <c r="H87" s="7" t="n">
        <v>1986</v>
      </c>
      <c r="J87" s="7" t="n">
        <v>2668.7</v>
      </c>
      <c r="L87" s="7" t="n">
        <v>2410.3</v>
      </c>
      <c r="N87" s="7" t="n">
        <v>2125.1</v>
      </c>
      <c r="P87" s="7" t="n">
        <v>2231.1</v>
      </c>
      <c r="R87" s="7" t="n">
        <v>2259.5</v>
      </c>
      <c r="T87" s="7" t="n">
        <v>2180.5</v>
      </c>
      <c r="V87" s="7" t="n">
        <v>2502.9</v>
      </c>
      <c r="X87" s="7" t="n">
        <v>1488.2</v>
      </c>
      <c r="Z87" s="7" t="n">
        <v>1244.7</v>
      </c>
      <c r="AB87" s="7" t="n">
        <v>23733.2</v>
      </c>
    </row>
    <row r="88">
      <c r="A88" s="4" t="inlineStr">
        <is>
          <t>清洁费</t>
        </is>
      </c>
      <c r="D88" s="7" t="n">
        <v>11402.1</v>
      </c>
      <c r="F88" s="7" t="n">
        <v>8909.4</v>
      </c>
      <c r="H88" s="7" t="n">
        <v>12265.6</v>
      </c>
      <c r="J88" s="7" t="n">
        <v>16258</v>
      </c>
      <c r="L88" s="7" t="n">
        <v>15330.1</v>
      </c>
      <c r="N88" s="7" t="n">
        <v>16322.8</v>
      </c>
      <c r="P88" s="7" t="n">
        <v>18146.5</v>
      </c>
      <c r="R88" s="7" t="n">
        <v>20647.7</v>
      </c>
      <c r="T88" s="7" t="n">
        <v>15716.7</v>
      </c>
      <c r="V88" s="7" t="n">
        <v>20689.8</v>
      </c>
      <c r="X88" s="7" t="n">
        <v>8936.1</v>
      </c>
      <c r="Z88" s="7" t="n">
        <v>10831.8</v>
      </c>
      <c r="AB88" s="7" t="n">
        <v>175456.6</v>
      </c>
    </row>
    <row r="89">
      <c r="A89" s="4" t="inlineStr">
        <is>
          <t>低值易耗品</t>
        </is>
      </c>
      <c r="D89" s="7" t="n">
        <v>9769.200000000001</v>
      </c>
      <c r="F89" s="7" t="n">
        <v>9591.799999999999</v>
      </c>
      <c r="H89" s="7" t="n">
        <v>21463.7</v>
      </c>
      <c r="J89" s="7" t="n">
        <v>23932.5</v>
      </c>
      <c r="L89" s="7" t="n">
        <v>21593.7</v>
      </c>
      <c r="N89" s="7" t="n">
        <v>17758.5</v>
      </c>
      <c r="P89" s="7" t="n">
        <v>16823.6</v>
      </c>
      <c r="R89" s="7" t="n">
        <v>22611.2</v>
      </c>
      <c r="T89" s="7" t="n">
        <v>12986.8</v>
      </c>
      <c r="V89" s="7" t="n">
        <v>20695.6</v>
      </c>
      <c r="X89" s="7" t="n">
        <v>15218.4</v>
      </c>
      <c r="Z89" s="7" t="n">
        <v>15965.7</v>
      </c>
      <c r="AB89" s="7" t="n">
        <v>208410.7</v>
      </c>
    </row>
    <row r="90">
      <c r="A90" s="4" t="inlineStr">
        <is>
          <t>物料消耗</t>
        </is>
      </c>
      <c r="D90" s="7" t="n">
        <v>1519.7</v>
      </c>
      <c r="F90" s="7" t="n">
        <v>1122.8</v>
      </c>
      <c r="H90" s="7" t="n">
        <v>1669.6</v>
      </c>
      <c r="J90" s="7" t="n">
        <v>1534.7</v>
      </c>
      <c r="L90" s="7" t="n">
        <v>1895.5</v>
      </c>
      <c r="N90" s="7" t="n">
        <v>2394.1</v>
      </c>
      <c r="P90" s="7" t="n">
        <v>2499.4</v>
      </c>
      <c r="R90" s="7" t="n">
        <v>2087.9</v>
      </c>
      <c r="T90" s="7" t="n">
        <v>1914.1</v>
      </c>
      <c r="V90" s="7" t="n">
        <v>2713.4</v>
      </c>
      <c r="X90" s="7" t="n">
        <v>1431.7</v>
      </c>
      <c r="Z90" s="7" t="n">
        <v>1805.6</v>
      </c>
      <c r="AB90" s="7" t="n">
        <v>22588.5</v>
      </c>
    </row>
    <row r="91">
      <c r="A91" s="4" t="inlineStr">
        <is>
          <t>盘盈盘亏</t>
        </is>
      </c>
      <c r="D91" s="7" t="n">
        <v>12562.8</v>
      </c>
      <c r="F91" s="7" t="n">
        <v>7022.3</v>
      </c>
      <c r="H91" s="7" t="n">
        <v>24111.7</v>
      </c>
      <c r="J91" s="7" t="n">
        <v>24652.4</v>
      </c>
      <c r="L91" s="7" t="n">
        <v>24296.7</v>
      </c>
      <c r="N91" s="7" t="n">
        <v>21771.8</v>
      </c>
      <c r="P91" s="7" t="n">
        <v>19185.5</v>
      </c>
      <c r="R91" s="7" t="n">
        <v>20841.9</v>
      </c>
      <c r="T91" s="7" t="n">
        <v>15977.4</v>
      </c>
      <c r="V91" s="7" t="n">
        <v>17782</v>
      </c>
      <c r="X91" s="7" t="n">
        <v>19885.1</v>
      </c>
      <c r="Z91" s="7" t="n">
        <v>17141.9</v>
      </c>
      <c r="AB91" s="7" t="n">
        <v>225231.5</v>
      </c>
    </row>
    <row r="92">
      <c r="A92" s="4" t="inlineStr">
        <is>
          <t>平台服务费</t>
        </is>
      </c>
      <c r="D92" s="7" t="n">
        <v>9809.6</v>
      </c>
      <c r="F92" s="7" t="n">
        <v>5708</v>
      </c>
      <c r="H92" s="7" t="n">
        <v>15092.6</v>
      </c>
      <c r="J92" s="7" t="n">
        <v>20308.1</v>
      </c>
      <c r="L92" s="7" t="n">
        <v>14496.2</v>
      </c>
      <c r="N92" s="7" t="n">
        <v>12785.4</v>
      </c>
      <c r="P92" s="7" t="n">
        <v>17688.3</v>
      </c>
      <c r="R92" s="7" t="n">
        <v>20125.4</v>
      </c>
      <c r="T92" s="7" t="n">
        <v>11047.5</v>
      </c>
      <c r="V92" s="7" t="n">
        <v>14592</v>
      </c>
      <c r="X92" s="7" t="n">
        <v>9671</v>
      </c>
      <c r="Z92" s="7" t="n">
        <v>11933.7</v>
      </c>
      <c r="AB92" s="7" t="n">
        <v>163257.8</v>
      </c>
    </row>
    <row r="93">
      <c r="A93" s="4" t="inlineStr">
        <is>
          <t>无形资产摊销</t>
        </is>
      </c>
      <c r="D93" s="7" t="n">
        <v>2635.9</v>
      </c>
      <c r="F93" s="7" t="n">
        <v>2184.1</v>
      </c>
      <c r="H93" s="7" t="n">
        <v>3119.8</v>
      </c>
      <c r="J93" s="7" t="n">
        <v>4549.2</v>
      </c>
      <c r="L93" s="7" t="n">
        <v>4012.3</v>
      </c>
      <c r="N93" s="7" t="n">
        <v>4683.7</v>
      </c>
      <c r="P93" s="7" t="n">
        <v>6000.7</v>
      </c>
      <c r="R93" s="7" t="n">
        <v>3632.6</v>
      </c>
      <c r="T93" s="7" t="n">
        <v>2833.4</v>
      </c>
      <c r="V93" s="7" t="n">
        <v>3625.1</v>
      </c>
      <c r="X93" s="7" t="n">
        <v>3666.6</v>
      </c>
      <c r="Z93" s="7" t="n">
        <v>2170</v>
      </c>
      <c r="AB93" s="7" t="n">
        <v>43113.4</v>
      </c>
    </row>
    <row r="94">
      <c r="A94" s="4" t="inlineStr">
        <is>
          <t>研发材料</t>
        </is>
      </c>
      <c r="D94" s="7" t="n">
        <v>11581.9</v>
      </c>
      <c r="F94" s="7" t="n">
        <v>7031.1</v>
      </c>
      <c r="H94" s="7" t="n">
        <v>10070.4</v>
      </c>
      <c r="J94" s="7" t="n">
        <v>12844.9</v>
      </c>
      <c r="L94" s="7" t="n">
        <v>14383.2</v>
      </c>
      <c r="N94" s="7" t="n">
        <v>10768.8</v>
      </c>
      <c r="P94" s="7" t="n">
        <v>18452.1</v>
      </c>
      <c r="R94" s="7" t="n">
        <v>11937.9</v>
      </c>
      <c r="T94" s="7" t="n">
        <v>13443.6</v>
      </c>
      <c r="V94" s="7" t="n">
        <v>17431.3</v>
      </c>
      <c r="X94" s="7" t="n">
        <v>7346.8</v>
      </c>
      <c r="Z94" s="7" t="n">
        <v>7193.2</v>
      </c>
      <c r="AB94" s="7" t="n">
        <v>142485.2</v>
      </c>
    </row>
    <row r="95">
      <c r="A95" s="4" t="inlineStr">
        <is>
          <t>项目名称</t>
        </is>
      </c>
      <c r="D95" s="7" t="n">
        <v>6328</v>
      </c>
      <c r="F95" s="7" t="n">
        <v>5582.4</v>
      </c>
      <c r="H95" s="7" t="n">
        <v>11062.3</v>
      </c>
      <c r="J95" s="7" t="n">
        <v>10920.8</v>
      </c>
      <c r="L95" s="7" t="n">
        <v>9912</v>
      </c>
      <c r="N95" s="7" t="n">
        <v>11767.8</v>
      </c>
      <c r="P95" s="7" t="n">
        <v>12808.3</v>
      </c>
      <c r="R95" s="7" t="n">
        <v>8328.799999999999</v>
      </c>
      <c r="T95" s="7" t="n">
        <v>12171.2</v>
      </c>
      <c r="V95" s="7" t="n">
        <v>8592.9</v>
      </c>
      <c r="X95" s="7" t="n">
        <v>9642.6</v>
      </c>
      <c r="Z95" s="7" t="n">
        <v>7002.3</v>
      </c>
      <c r="AB95" s="7" t="n">
        <v>114119.4</v>
      </c>
    </row>
    <row r="96">
      <c r="A96" s="4" t="inlineStr">
        <is>
          <t>研发费</t>
        </is>
      </c>
      <c r="D96" s="7" t="n">
        <v>15611.4</v>
      </c>
      <c r="F96" s="7" t="n">
        <v>9184.6</v>
      </c>
      <c r="H96" s="7" t="n">
        <v>11845.5</v>
      </c>
      <c r="J96" s="7" t="n">
        <v>22795.1</v>
      </c>
      <c r="L96" s="7" t="n">
        <v>19675.7</v>
      </c>
      <c r="N96" s="7" t="n">
        <v>22703.6</v>
      </c>
      <c r="P96" s="7" t="n">
        <v>21225.9</v>
      </c>
      <c r="R96" s="7" t="n">
        <v>22522</v>
      </c>
      <c r="T96" s="7" t="n">
        <v>20588.9</v>
      </c>
      <c r="V96" s="7" t="n">
        <v>18630.2</v>
      </c>
      <c r="X96" s="7" t="n">
        <v>11234.9</v>
      </c>
      <c r="Z96" s="7" t="n">
        <v>9329.5</v>
      </c>
      <c r="AB96" s="7" t="n">
        <v>205347.3</v>
      </c>
    </row>
    <row r="97">
      <c r="A97" s="4" t="inlineStr">
        <is>
          <t>残保金</t>
        </is>
      </c>
      <c r="D97" s="7" t="n">
        <v>11019.5</v>
      </c>
      <c r="F97" s="7" t="n">
        <v>9290.1</v>
      </c>
      <c r="H97" s="7" t="n">
        <v>18121.8</v>
      </c>
      <c r="J97" s="7" t="n">
        <v>20049.5</v>
      </c>
      <c r="L97" s="7" t="n">
        <v>18463.1</v>
      </c>
      <c r="N97" s="7" t="n">
        <v>14043.8</v>
      </c>
      <c r="P97" s="7" t="n">
        <v>19261.8</v>
      </c>
      <c r="R97" s="7" t="n">
        <v>19347.3</v>
      </c>
      <c r="T97" s="7" t="n">
        <v>13203.7</v>
      </c>
      <c r="V97" s="7" t="n">
        <v>20511.3</v>
      </c>
      <c r="X97" s="7" t="n">
        <v>13901</v>
      </c>
      <c r="Z97" s="7" t="n">
        <v>14214.2</v>
      </c>
      <c r="AB97" s="7" t="n">
        <v>191427.1</v>
      </c>
    </row>
    <row r="98">
      <c r="A98" s="4" t="inlineStr">
        <is>
          <t>环保费</t>
        </is>
      </c>
      <c r="D98" s="7" t="n">
        <v>163.5</v>
      </c>
      <c r="F98" s="7" t="n">
        <v>111.2</v>
      </c>
      <c r="H98" s="7" t="n">
        <v>278.8</v>
      </c>
      <c r="J98" s="7" t="n">
        <v>267.2</v>
      </c>
      <c r="L98" s="7" t="n">
        <v>278.8</v>
      </c>
      <c r="N98" s="7" t="n">
        <v>256.4</v>
      </c>
      <c r="P98" s="7" t="n">
        <v>278.7</v>
      </c>
      <c r="R98" s="7" t="n">
        <v>239.7</v>
      </c>
      <c r="T98" s="7" t="n">
        <v>377.3</v>
      </c>
      <c r="V98" s="7" t="n">
        <v>398.8</v>
      </c>
      <c r="X98" s="7" t="n">
        <v>276.6</v>
      </c>
      <c r="Z98" s="7" t="n">
        <v>275.3</v>
      </c>
      <c r="AB98" s="7" t="n">
        <v>3202.3</v>
      </c>
    </row>
    <row r="99">
      <c r="A99" s="4" t="inlineStr">
        <is>
          <t>报废损失</t>
        </is>
      </c>
      <c r="D99" s="7" t="n">
        <v>12931.7</v>
      </c>
      <c r="F99" s="7" t="n">
        <v>6008.8</v>
      </c>
      <c r="H99" s="7" t="n">
        <v>18661.6</v>
      </c>
      <c r="J99" s="7" t="n">
        <v>13335</v>
      </c>
      <c r="L99" s="7" t="n">
        <v>18698.4</v>
      </c>
      <c r="N99" s="7" t="n">
        <v>20785.3</v>
      </c>
      <c r="P99" s="7" t="n">
        <v>21638.7</v>
      </c>
      <c r="R99" s="7" t="n">
        <v>21679.7</v>
      </c>
      <c r="T99" s="7" t="n">
        <v>19722.6</v>
      </c>
      <c r="V99" s="7" t="n">
        <v>21728.9</v>
      </c>
      <c r="X99" s="7" t="n">
        <v>10464.4</v>
      </c>
      <c r="Z99" s="7" t="n">
        <v>11331.1</v>
      </c>
      <c r="AB99" s="7" t="n">
        <v>196986.2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1468969.1</v>
      </c>
      <c r="D100" s="7" t="n">
        <v>1339083.7</v>
      </c>
      <c r="E100" s="7" t="n">
        <v>1342488.7</v>
      </c>
      <c r="F100" s="7" t="n">
        <v>1109198.2</v>
      </c>
      <c r="G100" s="7" t="n">
        <v>1758008.6</v>
      </c>
      <c r="H100" s="7" t="n">
        <v>1839184.8</v>
      </c>
      <c r="I100" s="7" t="n">
        <v>1437422.8</v>
      </c>
      <c r="J100" s="7" t="n">
        <v>1231001.1</v>
      </c>
      <c r="K100" s="7" t="n">
        <v>1519042.3</v>
      </c>
      <c r="L100" s="7" t="n">
        <v>1566792.3</v>
      </c>
      <c r="M100" s="7" t="n">
        <v>1542773.7</v>
      </c>
      <c r="N100" s="7" t="n">
        <v>2536067.7</v>
      </c>
      <c r="O100" s="7" t="n">
        <v>1745472</v>
      </c>
      <c r="P100" s="7" t="n">
        <v>2573248.2</v>
      </c>
      <c r="Q100" s="7" t="n">
        <v>1597793</v>
      </c>
      <c r="R100" s="7" t="n">
        <v>1440030.7</v>
      </c>
      <c r="S100" s="7" t="n">
        <v>1397416.8</v>
      </c>
      <c r="T100" s="7" t="n">
        <v>1073684.4</v>
      </c>
      <c r="U100" s="7" t="n">
        <v>1542929.4</v>
      </c>
      <c r="V100" s="7" t="n">
        <v>1108406.6</v>
      </c>
      <c r="W100" s="7" t="n">
        <v>1381377.1</v>
      </c>
      <c r="X100" s="7" t="n">
        <v>1800437.4</v>
      </c>
      <c r="Y100" s="7" t="n">
        <v>1671290.6</v>
      </c>
      <c r="Z100" s="7" t="n">
        <v>942240.6</v>
      </c>
      <c r="AA100" s="8" t="n">
        <v>18404984.1</v>
      </c>
      <c r="AB100" s="8" t="n">
        <v>18559375.7</v>
      </c>
    </row>
    <row r="101">
      <c r="A101" s="4" t="inlineStr">
        <is>
          <t>职工薪酬</t>
        </is>
      </c>
      <c r="D101" s="7" t="n">
        <v>847131.9</v>
      </c>
      <c r="F101" s="7" t="n">
        <v>583081.2</v>
      </c>
      <c r="H101" s="7" t="n">
        <v>824056.1</v>
      </c>
      <c r="J101" s="7" t="n">
        <v>740035.9</v>
      </c>
      <c r="L101" s="7" t="n">
        <v>913404.1</v>
      </c>
      <c r="N101" s="7" t="n">
        <v>1331035.7</v>
      </c>
      <c r="P101" s="7" t="n">
        <v>1385970.6</v>
      </c>
      <c r="R101" s="7" t="n">
        <v>906282.8</v>
      </c>
      <c r="T101" s="7" t="n">
        <v>524875.3</v>
      </c>
      <c r="V101" s="7" t="n">
        <v>543997</v>
      </c>
      <c r="X101" s="7" t="n">
        <v>1022014</v>
      </c>
      <c r="Z101" s="7" t="n">
        <v>522050.8</v>
      </c>
      <c r="AB101" s="7" t="n">
        <v>10143935.4</v>
      </c>
    </row>
    <row r="102">
      <c r="A102" s="4" t="inlineStr">
        <is>
          <t>工资</t>
        </is>
      </c>
      <c r="D102" s="7" t="n">
        <v>506067.7</v>
      </c>
      <c r="F102" s="7" t="n">
        <v>365623.9</v>
      </c>
      <c r="H102" s="7" t="n">
        <v>474433.5</v>
      </c>
      <c r="J102" s="7" t="n">
        <v>413628.6</v>
      </c>
      <c r="L102" s="7" t="n">
        <v>584149</v>
      </c>
      <c r="N102" s="7" t="n">
        <v>794893</v>
      </c>
      <c r="P102" s="7" t="n">
        <v>779099.6</v>
      </c>
      <c r="R102" s="7" t="n">
        <v>546036.6</v>
      </c>
      <c r="T102" s="7" t="n">
        <v>320304</v>
      </c>
      <c r="V102" s="7" t="n">
        <v>319764.6</v>
      </c>
      <c r="X102" s="7" t="n">
        <v>651630.2</v>
      </c>
      <c r="Z102" s="7" t="n">
        <v>330320</v>
      </c>
      <c r="AB102" s="7" t="n">
        <v>6085950.7</v>
      </c>
    </row>
    <row r="103">
      <c r="A103" s="4" t="inlineStr">
        <is>
          <t>奖金及提成</t>
        </is>
      </c>
      <c r="D103" s="7" t="n">
        <v>156837.4</v>
      </c>
      <c r="F103" s="7" t="n">
        <v>113590.5</v>
      </c>
      <c r="H103" s="7" t="n">
        <v>129107.9</v>
      </c>
      <c r="J103" s="7" t="n">
        <v>156644.1</v>
      </c>
      <c r="L103" s="7" t="n">
        <v>186571.4</v>
      </c>
      <c r="N103" s="7" t="n">
        <v>250877.9</v>
      </c>
      <c r="P103" s="7" t="n">
        <v>267706.9</v>
      </c>
      <c r="R103" s="7" t="n">
        <v>181591.5</v>
      </c>
      <c r="T103" s="7" t="n">
        <v>98279.8</v>
      </c>
      <c r="V103" s="7" t="n">
        <v>122933.5</v>
      </c>
      <c r="X103" s="7" t="n">
        <v>169307.5</v>
      </c>
      <c r="Z103" s="7" t="n">
        <v>101702</v>
      </c>
      <c r="AB103" s="7" t="n">
        <v>1935150.4</v>
      </c>
    </row>
    <row r="104">
      <c r="A104" s="4" t="inlineStr">
        <is>
          <t>社保</t>
        </is>
      </c>
      <c r="D104" s="7" t="n">
        <v>136618.1</v>
      </c>
      <c r="F104" s="7" t="n">
        <v>66942.3</v>
      </c>
      <c r="H104" s="7" t="n">
        <v>150191.6</v>
      </c>
      <c r="J104" s="7" t="n">
        <v>125715.3</v>
      </c>
      <c r="L104" s="7" t="n">
        <v>93791.2</v>
      </c>
      <c r="N104" s="7" t="n">
        <v>197972.3</v>
      </c>
      <c r="P104" s="7" t="n">
        <v>238777.8</v>
      </c>
      <c r="R104" s="7" t="n">
        <v>125418.1</v>
      </c>
      <c r="T104" s="7" t="n">
        <v>69228.7</v>
      </c>
      <c r="V104" s="7" t="n">
        <v>64163.3</v>
      </c>
      <c r="X104" s="7" t="n">
        <v>134024.3</v>
      </c>
      <c r="Z104" s="7" t="n">
        <v>61404.1</v>
      </c>
      <c r="AB104" s="7" t="n">
        <v>1464247.1</v>
      </c>
    </row>
    <row r="105">
      <c r="A105" s="4" t="inlineStr">
        <is>
          <t>养老</t>
        </is>
      </c>
      <c r="D105" s="7" t="n">
        <v>7564</v>
      </c>
      <c r="F105" s="7" t="n">
        <v>5458.1</v>
      </c>
      <c r="H105" s="7" t="n">
        <v>7683.8</v>
      </c>
      <c r="J105" s="7" t="n">
        <v>4218.1</v>
      </c>
      <c r="L105" s="7" t="n">
        <v>7719.2</v>
      </c>
      <c r="N105" s="7" t="n">
        <v>13206.5</v>
      </c>
      <c r="P105" s="7" t="n">
        <v>9205.4</v>
      </c>
      <c r="R105" s="7" t="n">
        <v>5361.1</v>
      </c>
      <c r="T105" s="7" t="n">
        <v>5545.3</v>
      </c>
      <c r="V105" s="7" t="n">
        <v>5339.9</v>
      </c>
      <c r="X105" s="7" t="n">
        <v>8162.6</v>
      </c>
      <c r="Z105" s="7" t="n">
        <v>3172.2</v>
      </c>
      <c r="AB105" s="7" t="n">
        <v>82636.2</v>
      </c>
    </row>
    <row r="106">
      <c r="A106" s="4" t="inlineStr">
        <is>
          <t>医疗</t>
        </is>
      </c>
      <c r="D106" s="7" t="n">
        <v>4199</v>
      </c>
      <c r="F106" s="7" t="n">
        <v>4011.7</v>
      </c>
      <c r="H106" s="7" t="n">
        <v>7826.6</v>
      </c>
      <c r="J106" s="7" t="n">
        <v>4230.7</v>
      </c>
      <c r="L106" s="7" t="n">
        <v>7205.9</v>
      </c>
      <c r="N106" s="7" t="n">
        <v>6492.3</v>
      </c>
      <c r="P106" s="7" t="n">
        <v>6691.6</v>
      </c>
      <c r="R106" s="7" t="n">
        <v>5985.7</v>
      </c>
      <c r="T106" s="7" t="n">
        <v>2761.8</v>
      </c>
      <c r="V106" s="7" t="n">
        <v>3028.8</v>
      </c>
      <c r="X106" s="7" t="n">
        <v>7557.8</v>
      </c>
      <c r="Z106" s="7" t="n">
        <v>3675.2</v>
      </c>
      <c r="AB106" s="7" t="n">
        <v>63667.1</v>
      </c>
    </row>
    <row r="107">
      <c r="A107" s="4" t="inlineStr">
        <is>
          <t>工伤</t>
        </is>
      </c>
      <c r="D107" s="7" t="n">
        <v>4454.9</v>
      </c>
      <c r="F107" s="7" t="n">
        <v>4082.6</v>
      </c>
      <c r="H107" s="7" t="n">
        <v>4363.7</v>
      </c>
      <c r="J107" s="7" t="n">
        <v>3876.2</v>
      </c>
      <c r="L107" s="7" t="n">
        <v>5909.7</v>
      </c>
      <c r="N107" s="7" t="n">
        <v>5504.5</v>
      </c>
      <c r="P107" s="7" t="n">
        <v>6071.2</v>
      </c>
      <c r="R107" s="7" t="n">
        <v>4727.8</v>
      </c>
      <c r="T107" s="7" t="n">
        <v>3171.5</v>
      </c>
      <c r="V107" s="7" t="n">
        <v>4167.1</v>
      </c>
      <c r="X107" s="7" t="n">
        <v>3936.8</v>
      </c>
      <c r="Z107" s="7" t="n">
        <v>3174.2</v>
      </c>
      <c r="AB107" s="7" t="n">
        <v>53440.2</v>
      </c>
    </row>
    <row r="108">
      <c r="A108" s="4" t="inlineStr">
        <is>
          <t>失业</t>
        </is>
      </c>
      <c r="D108" s="7" t="n">
        <v>920.8</v>
      </c>
      <c r="F108" s="7" t="n">
        <v>693.1</v>
      </c>
      <c r="H108" s="7" t="n">
        <v>1392.3</v>
      </c>
      <c r="J108" s="7" t="n">
        <v>1239.4</v>
      </c>
      <c r="L108" s="7" t="n">
        <v>1305.9</v>
      </c>
      <c r="N108" s="7" t="n">
        <v>1741.9</v>
      </c>
      <c r="P108" s="7" t="n">
        <v>2323</v>
      </c>
      <c r="R108" s="7" t="n">
        <v>1467.7</v>
      </c>
      <c r="T108" s="7" t="n">
        <v>702</v>
      </c>
      <c r="V108" s="7" t="n">
        <v>947.2</v>
      </c>
      <c r="X108" s="7" t="n">
        <v>1817.8</v>
      </c>
      <c r="Z108" s="7" t="n">
        <v>671.3</v>
      </c>
      <c r="AB108" s="7" t="n">
        <v>15222.4</v>
      </c>
    </row>
    <row r="109">
      <c r="A109" s="4" t="inlineStr">
        <is>
          <t>生育</t>
        </is>
      </c>
      <c r="D109" s="7" t="n">
        <v>6751.1</v>
      </c>
      <c r="F109" s="7" t="n">
        <v>6944.8</v>
      </c>
      <c r="H109" s="7" t="n">
        <v>12508.8</v>
      </c>
      <c r="J109" s="7" t="n">
        <v>7188.7</v>
      </c>
      <c r="L109" s="7" t="n">
        <v>7393.4</v>
      </c>
      <c r="N109" s="7" t="n">
        <v>17197.6</v>
      </c>
      <c r="P109" s="7" t="n">
        <v>14192.9</v>
      </c>
      <c r="R109" s="7" t="n">
        <v>5943.3</v>
      </c>
      <c r="T109" s="7" t="n">
        <v>6807.1</v>
      </c>
      <c r="V109" s="7" t="n">
        <v>6875.2</v>
      </c>
      <c r="X109" s="7" t="n">
        <v>11003.2</v>
      </c>
      <c r="Z109" s="7" t="n">
        <v>5248</v>
      </c>
      <c r="AB109" s="7" t="n">
        <v>108054.1</v>
      </c>
    </row>
    <row r="110">
      <c r="A110" s="4" t="inlineStr">
        <is>
          <t>公积金</t>
        </is>
      </c>
      <c r="D110" s="7" t="n">
        <v>2275.6</v>
      </c>
      <c r="F110" s="7" t="n">
        <v>1915</v>
      </c>
      <c r="H110" s="7" t="n">
        <v>3840.3</v>
      </c>
      <c r="J110" s="7" t="n">
        <v>3027.2</v>
      </c>
      <c r="L110" s="7" t="n">
        <v>3557.4</v>
      </c>
      <c r="N110" s="7" t="n">
        <v>5374.1</v>
      </c>
      <c r="P110" s="7" t="n">
        <v>7107.1</v>
      </c>
      <c r="R110" s="7" t="n">
        <v>2295</v>
      </c>
      <c r="T110" s="7" t="n">
        <v>1795.2</v>
      </c>
      <c r="V110" s="7" t="n">
        <v>2946.8</v>
      </c>
      <c r="X110" s="7" t="n">
        <v>4228.2</v>
      </c>
      <c r="Z110" s="7" t="n">
        <v>2418.3</v>
      </c>
      <c r="AB110" s="7" t="n">
        <v>40780.2</v>
      </c>
    </row>
    <row r="111">
      <c r="A111" s="4" t="inlineStr">
        <is>
          <t>工会经费</t>
        </is>
      </c>
      <c r="D111" s="7" t="n">
        <v>136.2</v>
      </c>
      <c r="F111" s="7" t="n">
        <v>80</v>
      </c>
      <c r="H111" s="7" t="n">
        <v>152.2</v>
      </c>
      <c r="J111" s="7" t="n">
        <v>95.09999999999999</v>
      </c>
      <c r="L111" s="7" t="n">
        <v>175.2</v>
      </c>
      <c r="N111" s="7" t="n">
        <v>320.3</v>
      </c>
      <c r="P111" s="7" t="n">
        <v>250.5</v>
      </c>
      <c r="R111" s="7" t="n">
        <v>174.8</v>
      </c>
      <c r="T111" s="7" t="n">
        <v>128</v>
      </c>
      <c r="V111" s="7" t="n">
        <v>126.7</v>
      </c>
      <c r="X111" s="7" t="n">
        <v>152</v>
      </c>
      <c r="Z111" s="7" t="n">
        <v>104.7</v>
      </c>
      <c r="AB111" s="7" t="n">
        <v>1895.7</v>
      </c>
    </row>
    <row r="112">
      <c r="A112" s="4" t="inlineStr">
        <is>
          <t>职工教育经费</t>
        </is>
      </c>
      <c r="D112" s="7" t="n">
        <v>4350.7</v>
      </c>
      <c r="F112" s="7" t="n">
        <v>4804.7</v>
      </c>
      <c r="H112" s="7" t="n">
        <v>6726.9</v>
      </c>
      <c r="J112" s="7" t="n">
        <v>3051</v>
      </c>
      <c r="L112" s="7" t="n">
        <v>4342.4</v>
      </c>
      <c r="N112" s="7" t="n">
        <v>8698.299999999999</v>
      </c>
      <c r="P112" s="7" t="n">
        <v>11211.2</v>
      </c>
      <c r="R112" s="7" t="n">
        <v>5316.4</v>
      </c>
      <c r="T112" s="7" t="n">
        <v>4307.2</v>
      </c>
      <c r="V112" s="7" t="n">
        <v>3454.9</v>
      </c>
      <c r="X112" s="7" t="n">
        <v>4339.9</v>
      </c>
      <c r="Z112" s="7" t="n">
        <v>2719.3</v>
      </c>
      <c r="AB112" s="7" t="n">
        <v>63322.9</v>
      </c>
    </row>
    <row r="113">
      <c r="A113" s="4" t="inlineStr">
        <is>
          <t>福利费</t>
        </is>
      </c>
      <c r="D113" s="7" t="n">
        <v>40846.2</v>
      </c>
      <c r="F113" s="7" t="n">
        <v>30124.8</v>
      </c>
      <c r="H113" s="7" t="n">
        <v>59603.7</v>
      </c>
      <c r="J113" s="7" t="n">
        <v>37874.6</v>
      </c>
      <c r="L113" s="7" t="n">
        <v>40817.5</v>
      </c>
      <c r="N113" s="7" t="n">
        <v>72899.8</v>
      </c>
      <c r="P113" s="7" t="n">
        <v>81817.5</v>
      </c>
      <c r="R113" s="7" t="n">
        <v>45450.4</v>
      </c>
      <c r="T113" s="7" t="n">
        <v>30832.4</v>
      </c>
      <c r="V113" s="7" t="n">
        <v>30607.2</v>
      </c>
      <c r="X113" s="7" t="n">
        <v>58331.9</v>
      </c>
      <c r="Z113" s="7" t="n">
        <v>23382.4</v>
      </c>
      <c r="AB113" s="7" t="n">
        <v>552588.4</v>
      </c>
    </row>
    <row r="114">
      <c r="A114" s="4" t="inlineStr">
        <is>
          <t>职工房租</t>
        </is>
      </c>
      <c r="D114" s="7" t="n">
        <v>7708.7</v>
      </c>
      <c r="F114" s="7" t="n">
        <v>4907.6</v>
      </c>
      <c r="H114" s="7" t="n">
        <v>6659.2</v>
      </c>
      <c r="J114" s="7" t="n">
        <v>6096.1</v>
      </c>
      <c r="L114" s="7" t="n">
        <v>5110.3</v>
      </c>
      <c r="N114" s="7" t="n">
        <v>12386</v>
      </c>
      <c r="P114" s="7" t="n">
        <v>10071.5</v>
      </c>
      <c r="R114" s="7" t="n">
        <v>6217</v>
      </c>
      <c r="T114" s="7" t="n">
        <v>4344.8</v>
      </c>
      <c r="V114" s="7" t="n">
        <v>5892.4</v>
      </c>
      <c r="X114" s="7" t="n">
        <v>9344.4</v>
      </c>
      <c r="Z114" s="7" t="n">
        <v>3073.7</v>
      </c>
      <c r="AB114" s="7" t="n">
        <v>81811.7</v>
      </c>
    </row>
    <row r="115">
      <c r="A115" s="4" t="inlineStr">
        <is>
          <t>水电物业费</t>
        </is>
      </c>
      <c r="D115" s="7" t="n">
        <v>8158.9</v>
      </c>
      <c r="F115" s="7" t="n">
        <v>4338.1</v>
      </c>
      <c r="H115" s="7" t="n">
        <v>10459.2</v>
      </c>
      <c r="J115" s="7" t="n">
        <v>5923.2</v>
      </c>
      <c r="L115" s="7" t="n">
        <v>5854.7</v>
      </c>
      <c r="N115" s="7" t="n">
        <v>15231.9</v>
      </c>
      <c r="P115" s="7" t="n">
        <v>14153.3</v>
      </c>
      <c r="R115" s="7" t="n">
        <v>7380.5</v>
      </c>
      <c r="T115" s="7" t="n">
        <v>4668.6</v>
      </c>
      <c r="V115" s="7" t="n">
        <v>4408.8</v>
      </c>
      <c r="X115" s="7" t="n">
        <v>9669</v>
      </c>
      <c r="Z115" s="7" t="n">
        <v>4096.3</v>
      </c>
      <c r="AB115" s="7" t="n">
        <v>94342.5</v>
      </c>
    </row>
    <row r="116">
      <c r="A116" s="4" t="inlineStr">
        <is>
          <t>员工餐</t>
        </is>
      </c>
      <c r="D116" s="7" t="n">
        <v>6126.5</v>
      </c>
      <c r="F116" s="7" t="n">
        <v>4299.4</v>
      </c>
      <c r="H116" s="7" t="n">
        <v>10734.8</v>
      </c>
      <c r="J116" s="7" t="n">
        <v>7683.5</v>
      </c>
      <c r="L116" s="7" t="n">
        <v>7405.5</v>
      </c>
      <c r="N116" s="7" t="n">
        <v>10783.1</v>
      </c>
      <c r="P116" s="7" t="n">
        <v>12915.5</v>
      </c>
      <c r="R116" s="7" t="n">
        <v>7286.9</v>
      </c>
      <c r="T116" s="7" t="n">
        <v>6769.4</v>
      </c>
      <c r="V116" s="7" t="n">
        <v>4455.6</v>
      </c>
      <c r="X116" s="7" t="n">
        <v>11557.8</v>
      </c>
      <c r="Z116" s="7" t="n">
        <v>4683</v>
      </c>
      <c r="AB116" s="7" t="n">
        <v>94701</v>
      </c>
    </row>
    <row r="117">
      <c r="A117" s="4" t="inlineStr">
        <is>
          <t>节日礼品</t>
        </is>
      </c>
      <c r="D117" s="7" t="n">
        <v>2659.1</v>
      </c>
      <c r="F117" s="7" t="n">
        <v>3188.8</v>
      </c>
      <c r="H117" s="7" t="n">
        <v>5041.3</v>
      </c>
      <c r="J117" s="7" t="n">
        <v>4018.7</v>
      </c>
      <c r="L117" s="7" t="n">
        <v>3268.4</v>
      </c>
      <c r="N117" s="7" t="n">
        <v>5000.5</v>
      </c>
      <c r="P117" s="7" t="n">
        <v>7289.5</v>
      </c>
      <c r="R117" s="7" t="n">
        <v>2691.1</v>
      </c>
      <c r="T117" s="7" t="n">
        <v>2132.3</v>
      </c>
      <c r="V117" s="7" t="n">
        <v>3409.2</v>
      </c>
      <c r="X117" s="7" t="n">
        <v>4459.2</v>
      </c>
      <c r="Z117" s="7" t="n">
        <v>1921</v>
      </c>
      <c r="AB117" s="7" t="n">
        <v>45079.1</v>
      </c>
    </row>
    <row r="118">
      <c r="A118" s="4" t="inlineStr">
        <is>
          <t>生日礼品</t>
        </is>
      </c>
      <c r="D118" s="7" t="n">
        <v>3716.4</v>
      </c>
      <c r="F118" s="7" t="n">
        <v>2654.4</v>
      </c>
      <c r="H118" s="7" t="n">
        <v>4863.5</v>
      </c>
      <c r="J118" s="7" t="n">
        <v>3003</v>
      </c>
      <c r="L118" s="7" t="n">
        <v>3766.1</v>
      </c>
      <c r="N118" s="7" t="n">
        <v>4582.1</v>
      </c>
      <c r="P118" s="7" t="n">
        <v>7432.8</v>
      </c>
      <c r="R118" s="7" t="n">
        <v>3935.4</v>
      </c>
      <c r="T118" s="7" t="n">
        <v>1818.8</v>
      </c>
      <c r="V118" s="7" t="n">
        <v>3032.1</v>
      </c>
      <c r="X118" s="7" t="n">
        <v>4030.1</v>
      </c>
      <c r="Z118" s="7" t="n">
        <v>2754.2</v>
      </c>
      <c r="AB118" s="7" t="n">
        <v>45588.9</v>
      </c>
    </row>
    <row r="119">
      <c r="A119" s="4" t="inlineStr">
        <is>
          <t>体检</t>
        </is>
      </c>
      <c r="D119" s="7" t="n">
        <v>6244.9</v>
      </c>
      <c r="F119" s="7" t="n">
        <v>3732.7</v>
      </c>
      <c r="H119" s="7" t="n">
        <v>8119.3</v>
      </c>
      <c r="J119" s="7" t="n">
        <v>5452</v>
      </c>
      <c r="L119" s="7" t="n">
        <v>5154</v>
      </c>
      <c r="N119" s="7" t="n">
        <v>8818.5</v>
      </c>
      <c r="P119" s="7" t="n">
        <v>10458.1</v>
      </c>
      <c r="R119" s="7" t="n">
        <v>6899.5</v>
      </c>
      <c r="T119" s="7" t="n">
        <v>4394.4</v>
      </c>
      <c r="V119" s="7" t="n">
        <v>3394.1</v>
      </c>
      <c r="X119" s="7" t="n">
        <v>7293.1</v>
      </c>
      <c r="Z119" s="7" t="n">
        <v>2569.7</v>
      </c>
      <c r="AB119" s="7" t="n">
        <v>72530.3</v>
      </c>
    </row>
    <row r="120">
      <c r="A120" s="4" t="inlineStr">
        <is>
          <t>其他福利支出</t>
        </is>
      </c>
      <c r="D120" s="7" t="n">
        <v>6231.7</v>
      </c>
      <c r="F120" s="7" t="n">
        <v>7003.8</v>
      </c>
      <c r="H120" s="7" t="n">
        <v>13726.4</v>
      </c>
      <c r="J120" s="7" t="n">
        <v>5698.1</v>
      </c>
      <c r="L120" s="7" t="n">
        <v>10258.5</v>
      </c>
      <c r="N120" s="7" t="n">
        <v>16097.7</v>
      </c>
      <c r="P120" s="7" t="n">
        <v>19496.8</v>
      </c>
      <c r="R120" s="7" t="n">
        <v>11040</v>
      </c>
      <c r="T120" s="7" t="n">
        <v>6704.1</v>
      </c>
      <c r="V120" s="7" t="n">
        <v>6015</v>
      </c>
      <c r="X120" s="7" t="n">
        <v>11978.3</v>
      </c>
      <c r="Z120" s="7" t="n">
        <v>4284.5</v>
      </c>
      <c r="AB120" s="7" t="n">
        <v>118534.9</v>
      </c>
    </row>
    <row r="121">
      <c r="A121" s="4" t="inlineStr">
        <is>
          <t>招聘费</t>
        </is>
      </c>
      <c r="D121" s="7" t="n">
        <v>8160.4</v>
      </c>
      <c r="F121" s="7" t="n">
        <v>4149.6</v>
      </c>
      <c r="H121" s="7" t="n">
        <v>7744.2</v>
      </c>
      <c r="J121" s="7" t="n">
        <v>6430.4</v>
      </c>
      <c r="L121" s="7" t="n">
        <v>5672.2</v>
      </c>
      <c r="N121" s="7" t="n">
        <v>12022</v>
      </c>
      <c r="P121" s="7" t="n">
        <v>10902.1</v>
      </c>
      <c r="R121" s="7" t="n">
        <v>7753</v>
      </c>
      <c r="T121" s="7" t="n">
        <v>6258.6</v>
      </c>
      <c r="V121" s="7" t="n">
        <v>6108</v>
      </c>
      <c r="X121" s="7" t="n">
        <v>6174.3</v>
      </c>
      <c r="Z121" s="7" t="n">
        <v>4398.9</v>
      </c>
      <c r="AB121" s="7" t="n">
        <v>85773.7</v>
      </c>
    </row>
    <row r="122">
      <c r="A122" s="4" t="inlineStr">
        <is>
          <t>办公费</t>
        </is>
      </c>
      <c r="D122" s="7" t="n">
        <v>46724.7</v>
      </c>
      <c r="F122" s="7" t="n">
        <v>40747</v>
      </c>
      <c r="H122" s="7" t="n">
        <v>52042.5</v>
      </c>
      <c r="J122" s="7" t="n">
        <v>43352.7</v>
      </c>
      <c r="L122" s="7" t="n">
        <v>43349.3</v>
      </c>
      <c r="N122" s="7" t="n">
        <v>74452.2</v>
      </c>
      <c r="P122" s="7" t="n">
        <v>83376.39999999999</v>
      </c>
      <c r="R122" s="7" t="n">
        <v>52542.2</v>
      </c>
      <c r="T122" s="7" t="n">
        <v>23913.7</v>
      </c>
      <c r="V122" s="7" t="n">
        <v>41101.7</v>
      </c>
      <c r="X122" s="7" t="n">
        <v>48598</v>
      </c>
      <c r="Z122" s="7" t="n">
        <v>20341.9</v>
      </c>
      <c r="AB122" s="7" t="n">
        <v>570542.3</v>
      </c>
    </row>
    <row r="123">
      <c r="A123" s="4" t="inlineStr">
        <is>
          <t>市内交通费</t>
        </is>
      </c>
      <c r="D123" s="7" t="n">
        <v>3223.2</v>
      </c>
      <c r="F123" s="7" t="n">
        <v>3926.9</v>
      </c>
      <c r="H123" s="7" t="n">
        <v>5267.3</v>
      </c>
      <c r="J123" s="7" t="n">
        <v>4045.4</v>
      </c>
      <c r="L123" s="7" t="n">
        <v>5131.1</v>
      </c>
      <c r="N123" s="7" t="n">
        <v>5302</v>
      </c>
      <c r="P123" s="7" t="n">
        <v>8828.799999999999</v>
      </c>
      <c r="R123" s="7" t="n">
        <v>4590.6</v>
      </c>
      <c r="T123" s="7" t="n">
        <v>2197.6</v>
      </c>
      <c r="V123" s="7" t="n">
        <v>3922.7</v>
      </c>
      <c r="X123" s="7" t="n">
        <v>5555.2</v>
      </c>
      <c r="Z123" s="7" t="n">
        <v>3244.1</v>
      </c>
      <c r="AB123" s="7" t="n">
        <v>55234.9</v>
      </c>
    </row>
    <row r="124">
      <c r="A124" s="4" t="inlineStr">
        <is>
          <t>差旅费</t>
        </is>
      </c>
      <c r="D124" s="7" t="n">
        <v>61590.9</v>
      </c>
      <c r="F124" s="7" t="n">
        <v>61184.8</v>
      </c>
      <c r="H124" s="7" t="n">
        <v>118239</v>
      </c>
      <c r="J124" s="7" t="n">
        <v>67902.7</v>
      </c>
      <c r="L124" s="7" t="n">
        <v>75691.2</v>
      </c>
      <c r="N124" s="7" t="n">
        <v>157531.5</v>
      </c>
      <c r="P124" s="7" t="n">
        <v>114283.6</v>
      </c>
      <c r="R124" s="7" t="n">
        <v>97254.10000000001</v>
      </c>
      <c r="T124" s="7" t="n">
        <v>53007.4</v>
      </c>
      <c r="V124" s="7" t="n">
        <v>85707.60000000001</v>
      </c>
      <c r="X124" s="7" t="n">
        <v>91085.5</v>
      </c>
      <c r="Z124" s="7" t="n">
        <v>43426.1</v>
      </c>
      <c r="AB124" s="7" t="n">
        <v>1026904.4</v>
      </c>
    </row>
    <row r="125">
      <c r="A125" s="4" t="inlineStr">
        <is>
          <t>交通费</t>
        </is>
      </c>
      <c r="D125" s="7" t="n">
        <v>5308.7</v>
      </c>
      <c r="F125" s="7" t="n">
        <v>3647.6</v>
      </c>
      <c r="H125" s="7" t="n">
        <v>7360.4</v>
      </c>
      <c r="J125" s="7" t="n">
        <v>3189.9</v>
      </c>
      <c r="L125" s="7" t="n">
        <v>5638.8</v>
      </c>
      <c r="N125" s="7" t="n">
        <v>6646.5</v>
      </c>
      <c r="P125" s="7" t="n">
        <v>7360.5</v>
      </c>
      <c r="R125" s="7" t="n">
        <v>3887.6</v>
      </c>
      <c r="T125" s="7" t="n">
        <v>3733.2</v>
      </c>
      <c r="V125" s="7" t="n">
        <v>3012.8</v>
      </c>
      <c r="X125" s="7" t="n">
        <v>4169.2</v>
      </c>
      <c r="Z125" s="7" t="n">
        <v>2681.9</v>
      </c>
      <c r="AB125" s="7" t="n">
        <v>56637.1</v>
      </c>
    </row>
    <row r="126">
      <c r="A126" s="4" t="inlineStr">
        <is>
          <t>住宿费</t>
        </is>
      </c>
      <c r="D126" s="7" t="n">
        <v>4337.9</v>
      </c>
      <c r="F126" s="7" t="n">
        <v>2736</v>
      </c>
      <c r="H126" s="7" t="n">
        <v>6602.3</v>
      </c>
      <c r="J126" s="7" t="n">
        <v>4344.8</v>
      </c>
      <c r="L126" s="7" t="n">
        <v>5094</v>
      </c>
      <c r="N126" s="7" t="n">
        <v>7078.1</v>
      </c>
      <c r="P126" s="7" t="n">
        <v>8799.9</v>
      </c>
      <c r="R126" s="7" t="n">
        <v>5417.5</v>
      </c>
      <c r="T126" s="7" t="n">
        <v>4338.1</v>
      </c>
      <c r="V126" s="7" t="n">
        <v>4188.8</v>
      </c>
      <c r="X126" s="7" t="n">
        <v>7259</v>
      </c>
      <c r="Z126" s="7" t="n">
        <v>2221.2</v>
      </c>
      <c r="AB126" s="7" t="n">
        <v>62417.6</v>
      </c>
    </row>
    <row r="127">
      <c r="A127" s="4" t="inlineStr">
        <is>
          <t>餐补</t>
        </is>
      </c>
      <c r="D127" s="7" t="n">
        <v>7633.7</v>
      </c>
      <c r="F127" s="7" t="n">
        <v>4853.1</v>
      </c>
      <c r="H127" s="7" t="n">
        <v>13324.9</v>
      </c>
      <c r="J127" s="7" t="n">
        <v>6285.4</v>
      </c>
      <c r="L127" s="7" t="n">
        <v>11674</v>
      </c>
      <c r="N127" s="7" t="n">
        <v>11355.9</v>
      </c>
      <c r="P127" s="7" t="n">
        <v>13026.6</v>
      </c>
      <c r="R127" s="7" t="n">
        <v>9418</v>
      </c>
      <c r="T127" s="7" t="n">
        <v>6265.7</v>
      </c>
      <c r="V127" s="7" t="n">
        <v>7941.1</v>
      </c>
      <c r="X127" s="7" t="n">
        <v>10660.6</v>
      </c>
      <c r="Z127" s="7" t="n">
        <v>5931.6</v>
      </c>
      <c r="AB127" s="7" t="n">
        <v>108370.6</v>
      </c>
    </row>
    <row r="128">
      <c r="A128" s="4" t="inlineStr">
        <is>
          <t>交通补助</t>
        </is>
      </c>
      <c r="D128" s="7" t="n">
        <v>3299.6</v>
      </c>
      <c r="F128" s="7" t="n">
        <v>2185.4</v>
      </c>
      <c r="H128" s="7" t="n">
        <v>2755.1</v>
      </c>
      <c r="J128" s="7" t="n">
        <v>2148.8</v>
      </c>
      <c r="L128" s="7" t="n">
        <v>2910.6</v>
      </c>
      <c r="N128" s="7" t="n">
        <v>5298.6</v>
      </c>
      <c r="P128" s="7" t="n">
        <v>4328.1</v>
      </c>
      <c r="R128" s="7" t="n">
        <v>2042.4</v>
      </c>
      <c r="T128" s="7" t="n">
        <v>2524.5</v>
      </c>
      <c r="V128" s="7" t="n">
        <v>1788.6</v>
      </c>
      <c r="X128" s="7" t="n">
        <v>4390.4</v>
      </c>
      <c r="Z128" s="7" t="n">
        <v>1968.6</v>
      </c>
      <c r="AB128" s="7" t="n">
        <v>35640.7</v>
      </c>
    </row>
    <row r="129">
      <c r="A129" s="4" t="inlineStr">
        <is>
          <t>通讯补助</t>
        </is>
      </c>
      <c r="D129" s="7" t="n">
        <v>3274</v>
      </c>
      <c r="F129" s="7" t="n">
        <v>3256.8</v>
      </c>
      <c r="H129" s="7" t="n">
        <v>4447.7</v>
      </c>
      <c r="J129" s="7" t="n">
        <v>3509.4</v>
      </c>
      <c r="L129" s="7" t="n">
        <v>4729.3</v>
      </c>
      <c r="N129" s="7" t="n">
        <v>8250.9</v>
      </c>
      <c r="P129" s="7" t="n">
        <v>6718.6</v>
      </c>
      <c r="R129" s="7" t="n">
        <v>3430.6</v>
      </c>
      <c r="T129" s="7" t="n">
        <v>2258.5</v>
      </c>
      <c r="V129" s="7" t="n">
        <v>3511.8</v>
      </c>
      <c r="X129" s="7" t="n">
        <v>3903.2</v>
      </c>
      <c r="Z129" s="7" t="n">
        <v>2177.4</v>
      </c>
      <c r="AB129" s="7" t="n">
        <v>49468.2</v>
      </c>
    </row>
    <row r="130">
      <c r="A130" s="4" t="inlineStr">
        <is>
          <t>招待费</t>
        </is>
      </c>
      <c r="D130" s="7" t="n">
        <v>53057</v>
      </c>
      <c r="F130" s="7" t="n">
        <v>56899</v>
      </c>
      <c r="H130" s="7" t="n">
        <v>85474.3</v>
      </c>
      <c r="J130" s="7" t="n">
        <v>35866</v>
      </c>
      <c r="L130" s="7" t="n">
        <v>57148.6</v>
      </c>
      <c r="N130" s="7" t="n">
        <v>98760.10000000001</v>
      </c>
      <c r="P130" s="7" t="n">
        <v>82325.2</v>
      </c>
      <c r="R130" s="7" t="n">
        <v>72259.5</v>
      </c>
      <c r="T130" s="7" t="n">
        <v>48405.4</v>
      </c>
      <c r="V130" s="7" t="n">
        <v>38623.4</v>
      </c>
      <c r="X130" s="7" t="n">
        <v>92465</v>
      </c>
      <c r="Z130" s="7" t="n">
        <v>45363.2</v>
      </c>
      <c r="AB130" s="7" t="n">
        <v>766646.7</v>
      </c>
    </row>
    <row r="131">
      <c r="A131" s="4" t="inlineStr">
        <is>
          <t>通讯费</t>
        </is>
      </c>
      <c r="D131" s="7" t="n">
        <v>6691.2</v>
      </c>
      <c r="F131" s="7" t="n">
        <v>3991.7</v>
      </c>
      <c r="H131" s="7" t="n">
        <v>7042</v>
      </c>
      <c r="J131" s="7" t="n">
        <v>4053.1</v>
      </c>
      <c r="L131" s="7" t="n">
        <v>6335.3</v>
      </c>
      <c r="N131" s="7" t="n">
        <v>8939.9</v>
      </c>
      <c r="P131" s="7" t="n">
        <v>10010.5</v>
      </c>
      <c r="R131" s="7" t="n">
        <v>5304</v>
      </c>
      <c r="T131" s="7" t="n">
        <v>5061</v>
      </c>
      <c r="V131" s="7" t="n">
        <v>3629.9</v>
      </c>
      <c r="X131" s="7" t="n">
        <v>7281.6</v>
      </c>
      <c r="Z131" s="7" t="n">
        <v>3879.8</v>
      </c>
      <c r="AB131" s="7" t="n">
        <v>72220</v>
      </c>
    </row>
    <row r="132">
      <c r="A132" s="4" t="inlineStr">
        <is>
          <t>网络费</t>
        </is>
      </c>
      <c r="D132" s="7" t="n">
        <v>3352.8</v>
      </c>
      <c r="F132" s="7" t="n">
        <v>2163.3</v>
      </c>
      <c r="H132" s="7" t="n">
        <v>3962</v>
      </c>
      <c r="J132" s="7" t="n">
        <v>3769.6</v>
      </c>
      <c r="L132" s="7" t="n">
        <v>3612</v>
      </c>
      <c r="N132" s="7" t="n">
        <v>6199.4</v>
      </c>
      <c r="P132" s="7" t="n">
        <v>4953.6</v>
      </c>
      <c r="R132" s="7" t="n">
        <v>3432.7</v>
      </c>
      <c r="T132" s="7" t="n">
        <v>2342.3</v>
      </c>
      <c r="V132" s="7" t="n">
        <v>1904.3</v>
      </c>
      <c r="X132" s="7" t="n">
        <v>5032.7</v>
      </c>
      <c r="Z132" s="7" t="n">
        <v>2961.6</v>
      </c>
      <c r="AB132" s="7" t="n">
        <v>43686.3</v>
      </c>
    </row>
    <row r="133">
      <c r="A133" s="4" t="inlineStr">
        <is>
          <t>修理费</t>
        </is>
      </c>
      <c r="D133" s="7" t="n">
        <v>3267.5</v>
      </c>
      <c r="F133" s="7" t="n">
        <v>2371.8</v>
      </c>
      <c r="H133" s="7" t="n">
        <v>3491.5</v>
      </c>
      <c r="J133" s="7" t="n">
        <v>3386.6</v>
      </c>
      <c r="L133" s="7" t="n">
        <v>4385.2</v>
      </c>
      <c r="N133" s="7" t="n">
        <v>5752.9</v>
      </c>
      <c r="P133" s="7" t="n">
        <v>4406.3</v>
      </c>
      <c r="R133" s="7" t="n">
        <v>3250.7</v>
      </c>
      <c r="T133" s="7" t="n">
        <v>2901.8</v>
      </c>
      <c r="V133" s="7" t="n">
        <v>2324.2</v>
      </c>
      <c r="X133" s="7" t="n">
        <v>4355</v>
      </c>
      <c r="Z133" s="7" t="n">
        <v>2331.3</v>
      </c>
      <c r="AB133" s="7" t="n">
        <v>42224.8</v>
      </c>
    </row>
    <row r="134">
      <c r="A134" s="4" t="inlineStr">
        <is>
          <t>车辆费</t>
        </is>
      </c>
      <c r="D134" s="7" t="n">
        <v>6194.3</v>
      </c>
      <c r="F134" s="7" t="n">
        <v>6747.5</v>
      </c>
      <c r="H134" s="7" t="n">
        <v>9606.200000000001</v>
      </c>
      <c r="J134" s="7" t="n">
        <v>6837.5</v>
      </c>
      <c r="L134" s="7" t="n">
        <v>11140</v>
      </c>
      <c r="N134" s="7" t="n">
        <v>14484.6</v>
      </c>
      <c r="P134" s="7" t="n">
        <v>11475.4</v>
      </c>
      <c r="R134" s="7" t="n">
        <v>6230.8</v>
      </c>
      <c r="T134" s="7" t="n">
        <v>6875.1</v>
      </c>
      <c r="V134" s="7" t="n">
        <v>6870.2</v>
      </c>
      <c r="X134" s="7" t="n">
        <v>8855.799999999999</v>
      </c>
      <c r="Z134" s="7" t="n">
        <v>7015.7</v>
      </c>
      <c r="AB134" s="7" t="n">
        <v>102333.1</v>
      </c>
    </row>
    <row r="135">
      <c r="A135" s="4" t="inlineStr">
        <is>
          <t>租赁费</t>
        </is>
      </c>
      <c r="D135" s="7" t="n">
        <v>58033</v>
      </c>
      <c r="F135" s="7" t="n">
        <v>39572.3</v>
      </c>
      <c r="H135" s="7" t="n">
        <v>94078.7</v>
      </c>
      <c r="J135" s="7" t="n">
        <v>59535.8</v>
      </c>
      <c r="L135" s="7" t="n">
        <v>86403.5</v>
      </c>
      <c r="N135" s="7" t="n">
        <v>95410.2</v>
      </c>
      <c r="P135" s="7" t="n">
        <v>129572.4</v>
      </c>
      <c r="R135" s="7" t="n">
        <v>58801.5</v>
      </c>
      <c r="T135" s="7" t="n">
        <v>47814.1</v>
      </c>
      <c r="V135" s="7" t="n">
        <v>58914.4</v>
      </c>
      <c r="X135" s="7" t="n">
        <v>113971.4</v>
      </c>
      <c r="Z135" s="7" t="n">
        <v>58657.7</v>
      </c>
      <c r="AB135" s="7" t="n">
        <v>900765</v>
      </c>
    </row>
    <row r="136">
      <c r="A136" s="4" t="inlineStr">
        <is>
          <t>能源费</t>
        </is>
      </c>
      <c r="D136" s="7" t="n">
        <v>24705.1</v>
      </c>
      <c r="F136" s="7" t="n">
        <v>21722.2</v>
      </c>
      <c r="H136" s="7" t="n">
        <v>38815.3</v>
      </c>
      <c r="J136" s="7" t="n">
        <v>23767.5</v>
      </c>
      <c r="L136" s="7" t="n">
        <v>28181</v>
      </c>
      <c r="N136" s="7" t="n">
        <v>54150</v>
      </c>
      <c r="P136" s="7" t="n">
        <v>41374.3</v>
      </c>
      <c r="R136" s="7" t="n">
        <v>25939.1</v>
      </c>
      <c r="T136" s="7" t="n">
        <v>19274.8</v>
      </c>
      <c r="V136" s="7" t="n">
        <v>19140.3</v>
      </c>
      <c r="X136" s="7" t="n">
        <v>32792.5</v>
      </c>
      <c r="Z136" s="7" t="n">
        <v>18326.5</v>
      </c>
      <c r="AB136" s="7" t="n">
        <v>348188.6</v>
      </c>
    </row>
    <row r="137">
      <c r="A137" s="4" t="inlineStr">
        <is>
          <t>水费</t>
        </is>
      </c>
      <c r="D137" s="7" t="n">
        <v>10304</v>
      </c>
      <c r="F137" s="7" t="n">
        <v>6304</v>
      </c>
      <c r="H137" s="7" t="n">
        <v>14166.5</v>
      </c>
      <c r="J137" s="7" t="n">
        <v>10273.6</v>
      </c>
      <c r="L137" s="7" t="n">
        <v>9731.9</v>
      </c>
      <c r="N137" s="7" t="n">
        <v>20433.1</v>
      </c>
      <c r="P137" s="7" t="n">
        <v>13126.8</v>
      </c>
      <c r="R137" s="7" t="n">
        <v>9863.200000000001</v>
      </c>
      <c r="T137" s="7" t="n">
        <v>5252.8</v>
      </c>
      <c r="V137" s="7" t="n">
        <v>5949.5</v>
      </c>
      <c r="X137" s="7" t="n">
        <v>11540.2</v>
      </c>
      <c r="Z137" s="7" t="n">
        <v>7485.3</v>
      </c>
      <c r="AB137" s="7" t="n">
        <v>124430.9</v>
      </c>
    </row>
    <row r="138">
      <c r="A138" s="4" t="inlineStr">
        <is>
          <t>电费</t>
        </is>
      </c>
      <c r="D138" s="7" t="n">
        <v>6408.2</v>
      </c>
      <c r="F138" s="7" t="n">
        <v>9157.299999999999</v>
      </c>
      <c r="H138" s="7" t="n">
        <v>13727.6</v>
      </c>
      <c r="J138" s="7" t="n">
        <v>5997.7</v>
      </c>
      <c r="L138" s="7" t="n">
        <v>9586.1</v>
      </c>
      <c r="N138" s="7" t="n">
        <v>20487.5</v>
      </c>
      <c r="P138" s="7" t="n">
        <v>15794.4</v>
      </c>
      <c r="R138" s="7" t="n">
        <v>9628.700000000001</v>
      </c>
      <c r="T138" s="7" t="n">
        <v>7822.8</v>
      </c>
      <c r="V138" s="7" t="n">
        <v>8269.4</v>
      </c>
      <c r="X138" s="7" t="n">
        <v>9110.9</v>
      </c>
      <c r="Z138" s="7" t="n">
        <v>4947.6</v>
      </c>
      <c r="AB138" s="7" t="n">
        <v>120938.2</v>
      </c>
    </row>
    <row r="139">
      <c r="A139" s="4" t="inlineStr">
        <is>
          <t>燃气费</t>
        </is>
      </c>
      <c r="D139" s="7" t="n">
        <v>3460.6</v>
      </c>
      <c r="F139" s="7" t="n">
        <v>2014.1</v>
      </c>
      <c r="H139" s="7" t="n">
        <v>5505.5</v>
      </c>
      <c r="J139" s="7" t="n">
        <v>3700.4</v>
      </c>
      <c r="L139" s="7" t="n">
        <v>3460.9</v>
      </c>
      <c r="N139" s="7" t="n">
        <v>6574.6</v>
      </c>
      <c r="P139" s="7" t="n">
        <v>6300.6</v>
      </c>
      <c r="R139" s="7" t="n">
        <v>2581.5</v>
      </c>
      <c r="T139" s="7" t="n">
        <v>1885.5</v>
      </c>
      <c r="V139" s="7" t="n">
        <v>2379.7</v>
      </c>
      <c r="X139" s="7" t="n">
        <v>5740.5</v>
      </c>
      <c r="Z139" s="7" t="n">
        <v>2831.9</v>
      </c>
      <c r="AB139" s="7" t="n">
        <v>46435.8</v>
      </c>
    </row>
    <row r="140">
      <c r="A140" s="4" t="inlineStr">
        <is>
          <t>蒸汽费</t>
        </is>
      </c>
      <c r="D140" s="7" t="n">
        <v>4532.3</v>
      </c>
      <c r="F140" s="7" t="n">
        <v>4246.8</v>
      </c>
      <c r="H140" s="7" t="n">
        <v>5415.7</v>
      </c>
      <c r="J140" s="7" t="n">
        <v>3795.8</v>
      </c>
      <c r="L140" s="7" t="n">
        <v>5402.1</v>
      </c>
      <c r="N140" s="7" t="n">
        <v>6654.8</v>
      </c>
      <c r="P140" s="7" t="n">
        <v>6152.5</v>
      </c>
      <c r="R140" s="7" t="n">
        <v>3865.7</v>
      </c>
      <c r="T140" s="7" t="n">
        <v>4313.7</v>
      </c>
      <c r="V140" s="7" t="n">
        <v>2541.7</v>
      </c>
      <c r="X140" s="7" t="n">
        <v>6400.9</v>
      </c>
      <c r="Z140" s="7" t="n">
        <v>3061.7</v>
      </c>
      <c r="AB140" s="7" t="n">
        <v>56383.7</v>
      </c>
    </row>
    <row r="141">
      <c r="A141" s="4" t="inlineStr">
        <is>
          <t>物业费</t>
        </is>
      </c>
      <c r="D141" s="7" t="n">
        <v>6063.8</v>
      </c>
      <c r="F141" s="7" t="n">
        <v>4429.6</v>
      </c>
      <c r="H141" s="7" t="n">
        <v>6722.9</v>
      </c>
      <c r="J141" s="7" t="n">
        <v>5097.5</v>
      </c>
      <c r="L141" s="7" t="n">
        <v>4484.4</v>
      </c>
      <c r="N141" s="7" t="n">
        <v>9476.200000000001</v>
      </c>
      <c r="P141" s="7" t="n">
        <v>9974.299999999999</v>
      </c>
      <c r="R141" s="7" t="n">
        <v>6447</v>
      </c>
      <c r="T141" s="7" t="n">
        <v>3176.4</v>
      </c>
      <c r="V141" s="7" t="n">
        <v>3021.8</v>
      </c>
      <c r="X141" s="7" t="n">
        <v>5954.8</v>
      </c>
      <c r="Z141" s="7" t="n">
        <v>4287.7</v>
      </c>
      <c r="AB141" s="7" t="n">
        <v>69136.39999999999</v>
      </c>
    </row>
    <row r="142">
      <c r="A142" s="4" t="inlineStr">
        <is>
          <t>劳动保护费</t>
        </is>
      </c>
      <c r="D142" s="7" t="n">
        <v>949.4</v>
      </c>
      <c r="F142" s="7" t="n">
        <v>851.1</v>
      </c>
      <c r="H142" s="7" t="n">
        <v>1555.2</v>
      </c>
      <c r="J142" s="7" t="n">
        <v>1364.2</v>
      </c>
      <c r="L142" s="7" t="n">
        <v>1271.8</v>
      </c>
      <c r="N142" s="7" t="n">
        <v>1969.2</v>
      </c>
      <c r="P142" s="7" t="n">
        <v>2327</v>
      </c>
      <c r="R142" s="7" t="n">
        <v>1614.4</v>
      </c>
      <c r="T142" s="7" t="n">
        <v>961.9</v>
      </c>
      <c r="V142" s="7" t="n">
        <v>1142.3</v>
      </c>
      <c r="X142" s="7" t="n">
        <v>1295.7</v>
      </c>
      <c r="Z142" s="7" t="n">
        <v>633.5</v>
      </c>
      <c r="AB142" s="7" t="n">
        <v>15935.7</v>
      </c>
    </row>
    <row r="143">
      <c r="A143" s="4" t="inlineStr">
        <is>
          <t>顾问费</t>
        </is>
      </c>
      <c r="D143" s="7" t="n">
        <v>6782.1</v>
      </c>
      <c r="F143" s="7" t="n">
        <v>6697.5</v>
      </c>
      <c r="H143" s="7" t="n">
        <v>10856.8</v>
      </c>
      <c r="J143" s="7" t="n">
        <v>6749.6</v>
      </c>
      <c r="L143" s="7" t="n">
        <v>6809.6</v>
      </c>
      <c r="N143" s="7" t="n">
        <v>13908.8</v>
      </c>
      <c r="P143" s="7" t="n">
        <v>14134.8</v>
      </c>
      <c r="R143" s="7" t="n">
        <v>5383.5</v>
      </c>
      <c r="T143" s="7" t="n">
        <v>5553.4</v>
      </c>
      <c r="V143" s="7" t="n">
        <v>6531.5</v>
      </c>
      <c r="X143" s="7" t="n">
        <v>6288.7</v>
      </c>
      <c r="Z143" s="7" t="n">
        <v>4700.9</v>
      </c>
      <c r="AB143" s="7" t="n">
        <v>94397.2</v>
      </c>
    </row>
    <row r="144">
      <c r="A144" s="4" t="inlineStr">
        <is>
          <t>快递费</t>
        </is>
      </c>
      <c r="D144" s="7" t="n">
        <v>3245.7</v>
      </c>
      <c r="F144" s="7" t="n">
        <v>2453.1</v>
      </c>
      <c r="H144" s="7" t="n">
        <v>5607.4</v>
      </c>
      <c r="J144" s="7" t="n">
        <v>2292.7</v>
      </c>
      <c r="L144" s="7" t="n">
        <v>3038</v>
      </c>
      <c r="N144" s="7" t="n">
        <v>5165.2</v>
      </c>
      <c r="P144" s="7" t="n">
        <v>5117.5</v>
      </c>
      <c r="R144" s="7" t="n">
        <v>4361.4</v>
      </c>
      <c r="T144" s="7" t="n">
        <v>2805</v>
      </c>
      <c r="V144" s="7" t="n">
        <v>3250.3</v>
      </c>
      <c r="X144" s="7" t="n">
        <v>4471.6</v>
      </c>
      <c r="Z144" s="7" t="n">
        <v>2349.1</v>
      </c>
      <c r="AB144" s="7" t="n">
        <v>44157</v>
      </c>
    </row>
    <row r="145">
      <c r="A145" s="4" t="inlineStr">
        <is>
          <t>诉讼费</t>
        </is>
      </c>
      <c r="D145" s="7" t="n">
        <v>5583.5</v>
      </c>
      <c r="F145" s="7" t="n">
        <v>3080</v>
      </c>
      <c r="H145" s="7" t="n">
        <v>6489</v>
      </c>
      <c r="J145" s="7" t="n">
        <v>3318</v>
      </c>
      <c r="L145" s="7" t="n">
        <v>6745.4</v>
      </c>
      <c r="N145" s="7" t="n">
        <v>11493.3</v>
      </c>
      <c r="P145" s="7" t="n">
        <v>9185.1</v>
      </c>
      <c r="R145" s="7" t="n">
        <v>4615.7</v>
      </c>
      <c r="T145" s="7" t="n">
        <v>3560.2</v>
      </c>
      <c r="V145" s="7" t="n">
        <v>4767.6</v>
      </c>
      <c r="X145" s="7" t="n">
        <v>8028</v>
      </c>
      <c r="Z145" s="7" t="n">
        <v>3604.6</v>
      </c>
      <c r="AB145" s="7" t="n">
        <v>70470.39999999999</v>
      </c>
    </row>
    <row r="146">
      <c r="A146" s="4" t="inlineStr">
        <is>
          <t>会员费</t>
        </is>
      </c>
      <c r="D146" s="7" t="n">
        <v>6069.5</v>
      </c>
      <c r="F146" s="7" t="n">
        <v>6253.4</v>
      </c>
      <c r="H146" s="7" t="n">
        <v>6605.3</v>
      </c>
      <c r="J146" s="7" t="n">
        <v>7327.2</v>
      </c>
      <c r="L146" s="7" t="n">
        <v>6538.3</v>
      </c>
      <c r="N146" s="7" t="n">
        <v>15417.1</v>
      </c>
      <c r="P146" s="7" t="n">
        <v>10119.8</v>
      </c>
      <c r="R146" s="7" t="n">
        <v>6027.5</v>
      </c>
      <c r="T146" s="7" t="n">
        <v>4167.6</v>
      </c>
      <c r="V146" s="7" t="n">
        <v>4318.6</v>
      </c>
      <c r="X146" s="7" t="n">
        <v>6735.7</v>
      </c>
      <c r="Z146" s="7" t="n">
        <v>5258.1</v>
      </c>
      <c r="AB146" s="7" t="n">
        <v>84838.10000000001</v>
      </c>
    </row>
    <row r="147">
      <c r="A147" s="4" t="inlineStr">
        <is>
          <t>广告宣传费</t>
        </is>
      </c>
      <c r="D147" s="7" t="n">
        <v>47018.6</v>
      </c>
      <c r="F147" s="7" t="n">
        <v>24845.2</v>
      </c>
      <c r="H147" s="7" t="n">
        <v>64269.3</v>
      </c>
      <c r="J147" s="7" t="n">
        <v>42632</v>
      </c>
      <c r="L147" s="7" t="n">
        <v>34101.7</v>
      </c>
      <c r="N147" s="7" t="n">
        <v>58179.2</v>
      </c>
      <c r="P147" s="7" t="n">
        <v>90771.3</v>
      </c>
      <c r="R147" s="7" t="n">
        <v>43550.3</v>
      </c>
      <c r="T147" s="7" t="n">
        <v>23692.8</v>
      </c>
      <c r="V147" s="7" t="n">
        <v>25649.2</v>
      </c>
      <c r="X147" s="7" t="n">
        <v>46008.8</v>
      </c>
      <c r="Z147" s="7" t="n">
        <v>20910.6</v>
      </c>
      <c r="AB147" s="7" t="n">
        <v>521629</v>
      </c>
    </row>
    <row r="148">
      <c r="A148" s="4" t="inlineStr">
        <is>
          <t>会务费</t>
        </is>
      </c>
      <c r="D148" s="7" t="n">
        <v>6757.3</v>
      </c>
      <c r="F148" s="7" t="n">
        <v>5678.3</v>
      </c>
      <c r="H148" s="7" t="n">
        <v>10080.6</v>
      </c>
      <c r="J148" s="7" t="n">
        <v>4436.3</v>
      </c>
      <c r="L148" s="7" t="n">
        <v>8509.799999999999</v>
      </c>
      <c r="N148" s="7" t="n">
        <v>9002.200000000001</v>
      </c>
      <c r="P148" s="7" t="n">
        <v>10261.2</v>
      </c>
      <c r="R148" s="7" t="n">
        <v>4756.1</v>
      </c>
      <c r="T148" s="7" t="n">
        <v>5675.5</v>
      </c>
      <c r="V148" s="7" t="n">
        <v>6138.5</v>
      </c>
      <c r="X148" s="7" t="n">
        <v>10003.9</v>
      </c>
      <c r="Z148" s="7" t="n">
        <v>3748.2</v>
      </c>
      <c r="AB148" s="7" t="n">
        <v>85047.89999999999</v>
      </c>
    </row>
    <row r="149">
      <c r="A149" s="4" t="inlineStr">
        <is>
          <t>装修费</t>
        </is>
      </c>
      <c r="D149" s="7" t="n">
        <v>1410.4</v>
      </c>
      <c r="F149" s="7" t="n">
        <v>1327.9</v>
      </c>
      <c r="H149" s="7" t="n">
        <v>1636.4</v>
      </c>
      <c r="J149" s="7" t="n">
        <v>1350.7</v>
      </c>
      <c r="L149" s="7" t="n">
        <v>1252.8</v>
      </c>
      <c r="N149" s="7" t="n">
        <v>2795.2</v>
      </c>
      <c r="P149" s="7" t="n">
        <v>1919.2</v>
      </c>
      <c r="R149" s="7" t="n">
        <v>1258.7</v>
      </c>
      <c r="T149" s="7" t="n">
        <v>921.2</v>
      </c>
      <c r="V149" s="7" t="n">
        <v>1014.2</v>
      </c>
      <c r="X149" s="7" t="n">
        <v>2352.4</v>
      </c>
      <c r="Z149" s="7" t="n">
        <v>1014.1</v>
      </c>
      <c r="AB149" s="7" t="n">
        <v>18253.2</v>
      </c>
    </row>
    <row r="150">
      <c r="A150" s="4" t="inlineStr">
        <is>
          <t>推广费</t>
        </is>
      </c>
      <c r="D150" s="7" t="n">
        <v>6490.4</v>
      </c>
      <c r="F150" s="7" t="n">
        <v>5866.2</v>
      </c>
      <c r="H150" s="7" t="n">
        <v>11771.2</v>
      </c>
      <c r="J150" s="7" t="n">
        <v>8838.5</v>
      </c>
      <c r="L150" s="7" t="n">
        <v>9201.200000000001</v>
      </c>
      <c r="N150" s="7" t="n">
        <v>17058.9</v>
      </c>
      <c r="P150" s="7" t="n">
        <v>15833.3</v>
      </c>
      <c r="R150" s="7" t="n">
        <v>11718.3</v>
      </c>
      <c r="T150" s="7" t="n">
        <v>5542</v>
      </c>
      <c r="V150" s="7" t="n">
        <v>6459.8</v>
      </c>
      <c r="X150" s="7" t="n">
        <v>10664</v>
      </c>
      <c r="Z150" s="7" t="n">
        <v>4984.1</v>
      </c>
      <c r="AB150" s="7" t="n">
        <v>114427.9</v>
      </c>
    </row>
    <row r="151">
      <c r="A151" s="4" t="inlineStr">
        <is>
          <t>展会费</t>
        </is>
      </c>
      <c r="D151" s="7" t="n">
        <v>1534</v>
      </c>
      <c r="F151" s="7" t="n">
        <v>2136.3</v>
      </c>
      <c r="H151" s="7" t="n">
        <v>2124.6</v>
      </c>
      <c r="J151" s="7" t="n">
        <v>1407.4</v>
      </c>
      <c r="L151" s="7" t="n">
        <v>1827.2</v>
      </c>
      <c r="N151" s="7" t="n">
        <v>4379.7</v>
      </c>
      <c r="P151" s="7" t="n">
        <v>4311.4</v>
      </c>
      <c r="R151" s="7" t="n">
        <v>2222.4</v>
      </c>
      <c r="T151" s="7" t="n">
        <v>1160.5</v>
      </c>
      <c r="V151" s="7" t="n">
        <v>1483.3</v>
      </c>
      <c r="X151" s="7" t="n">
        <v>2067.1</v>
      </c>
      <c r="Z151" s="7" t="n">
        <v>1223.4</v>
      </c>
      <c r="AB151" s="7" t="n">
        <v>25877.3</v>
      </c>
    </row>
    <row r="152">
      <c r="A152" s="4" t="inlineStr">
        <is>
          <t>设计费</t>
        </is>
      </c>
      <c r="D152" s="7" t="n">
        <v>4677.3</v>
      </c>
      <c r="F152" s="7" t="n">
        <v>5614.5</v>
      </c>
      <c r="H152" s="7" t="n">
        <v>6997.4</v>
      </c>
      <c r="J152" s="7" t="n">
        <v>5003.2</v>
      </c>
      <c r="L152" s="7" t="n">
        <v>5393.4</v>
      </c>
      <c r="N152" s="7" t="n">
        <v>12113.3</v>
      </c>
      <c r="P152" s="7" t="n">
        <v>8239.1</v>
      </c>
      <c r="R152" s="7" t="n">
        <v>4205.3</v>
      </c>
      <c r="T152" s="7" t="n">
        <v>5092.1</v>
      </c>
      <c r="V152" s="7" t="n">
        <v>4300.1</v>
      </c>
      <c r="X152" s="7" t="n">
        <v>7850.1</v>
      </c>
      <c r="Z152" s="7" t="n">
        <v>2995.8</v>
      </c>
      <c r="AB152" s="7" t="n">
        <v>72481.60000000001</v>
      </c>
    </row>
    <row r="153">
      <c r="A153" s="4" t="inlineStr">
        <is>
          <t>折旧费</t>
        </is>
      </c>
      <c r="D153" s="7" t="n">
        <v>69591.3</v>
      </c>
      <c r="F153" s="7" t="n">
        <v>44145.6</v>
      </c>
      <c r="H153" s="7" t="n">
        <v>56139.5</v>
      </c>
      <c r="J153" s="7" t="n">
        <v>47410</v>
      </c>
      <c r="L153" s="7" t="n">
        <v>68633.60000000001</v>
      </c>
      <c r="N153" s="7" t="n">
        <v>76183.8</v>
      </c>
      <c r="P153" s="7" t="n">
        <v>80905</v>
      </c>
      <c r="R153" s="7" t="n">
        <v>54166.7</v>
      </c>
      <c r="T153" s="7" t="n">
        <v>45280.9</v>
      </c>
      <c r="V153" s="7" t="n">
        <v>33741.4</v>
      </c>
      <c r="X153" s="7" t="n">
        <v>90394.5</v>
      </c>
      <c r="Z153" s="7" t="n">
        <v>48495.7</v>
      </c>
      <c r="AB153" s="7" t="n">
        <v>715088</v>
      </c>
    </row>
    <row r="154">
      <c r="A154" s="4" t="inlineStr">
        <is>
          <t>认证费</t>
        </is>
      </c>
      <c r="D154" s="7" t="n">
        <v>730.2</v>
      </c>
      <c r="F154" s="7" t="n">
        <v>425.1</v>
      </c>
      <c r="H154" s="7" t="n">
        <v>824.9</v>
      </c>
      <c r="J154" s="7" t="n">
        <v>676.1</v>
      </c>
      <c r="L154" s="7" t="n">
        <v>514.4</v>
      </c>
      <c r="N154" s="7" t="n">
        <v>1294.4</v>
      </c>
      <c r="P154" s="7" t="n">
        <v>1239.4</v>
      </c>
      <c r="R154" s="7" t="n">
        <v>529.8</v>
      </c>
      <c r="T154" s="7" t="n">
        <v>514</v>
      </c>
      <c r="V154" s="7" t="n">
        <v>493.4</v>
      </c>
      <c r="X154" s="7" t="n">
        <v>659.9</v>
      </c>
      <c r="Z154" s="7" t="n">
        <v>469.3</v>
      </c>
      <c r="AB154" s="7" t="n">
        <v>8370.9</v>
      </c>
    </row>
    <row r="155">
      <c r="A155" s="4" t="inlineStr">
        <is>
          <t>样品费</t>
        </is>
      </c>
      <c r="D155" s="7" t="n">
        <v>29092.9</v>
      </c>
      <c r="F155" s="7" t="n">
        <v>20856.1</v>
      </c>
      <c r="H155" s="7" t="n">
        <v>36250.2</v>
      </c>
      <c r="J155" s="7" t="n">
        <v>26144</v>
      </c>
      <c r="L155" s="7" t="n">
        <v>29539.2</v>
      </c>
      <c r="N155" s="7" t="n">
        <v>50250.6</v>
      </c>
      <c r="P155" s="7" t="n">
        <v>44637.3</v>
      </c>
      <c r="R155" s="7" t="n">
        <v>33431.7</v>
      </c>
      <c r="T155" s="7" t="n">
        <v>16423.5</v>
      </c>
      <c r="V155" s="7" t="n">
        <v>18852.1</v>
      </c>
      <c r="X155" s="7" t="n">
        <v>35949.8</v>
      </c>
      <c r="Z155" s="7" t="n">
        <v>20296.3</v>
      </c>
      <c r="AB155" s="7" t="n">
        <v>361723.7</v>
      </c>
    </row>
    <row r="156">
      <c r="A156" s="4" t="inlineStr">
        <is>
          <t>劳务费</t>
        </is>
      </c>
      <c r="D156" s="7" t="n">
        <v>898</v>
      </c>
      <c r="F156" s="7" t="n">
        <v>716.4</v>
      </c>
      <c r="H156" s="7" t="n">
        <v>1202.8</v>
      </c>
      <c r="J156" s="7" t="n">
        <v>1202.7</v>
      </c>
      <c r="L156" s="7" t="n">
        <v>1774.7</v>
      </c>
      <c r="N156" s="7" t="n">
        <v>2080.9</v>
      </c>
      <c r="P156" s="7" t="n">
        <v>2515.6</v>
      </c>
      <c r="R156" s="7" t="n">
        <v>1006.2</v>
      </c>
      <c r="T156" s="7" t="n">
        <v>1017.1</v>
      </c>
      <c r="V156" s="7" t="n">
        <v>741.4</v>
      </c>
      <c r="X156" s="7" t="n">
        <v>1185.4</v>
      </c>
      <c r="Z156" s="7" t="n">
        <v>957.3</v>
      </c>
      <c r="AB156" s="7" t="n">
        <v>15298.5</v>
      </c>
    </row>
    <row r="157">
      <c r="A157" s="4" t="inlineStr">
        <is>
          <t>销售佣金</t>
        </is>
      </c>
      <c r="D157" s="7" t="n">
        <v>7923.8</v>
      </c>
      <c r="F157" s="7" t="n">
        <v>4584.4</v>
      </c>
      <c r="H157" s="7" t="n">
        <v>10157.4</v>
      </c>
      <c r="J157" s="7" t="n">
        <v>6159.7</v>
      </c>
      <c r="L157" s="7" t="n">
        <v>6758.4</v>
      </c>
      <c r="N157" s="7" t="n">
        <v>11567</v>
      </c>
      <c r="P157" s="7" t="n">
        <v>15746.9</v>
      </c>
      <c r="R157" s="7" t="n">
        <v>7450.8</v>
      </c>
      <c r="T157" s="7" t="n">
        <v>6871.6</v>
      </c>
      <c r="V157" s="7" t="n">
        <v>4011</v>
      </c>
      <c r="X157" s="7" t="n">
        <v>8683.700000000001</v>
      </c>
      <c r="Z157" s="7" t="n">
        <v>5923.3</v>
      </c>
      <c r="AB157" s="7" t="n">
        <v>95838</v>
      </c>
    </row>
    <row r="158">
      <c r="A158" s="4" t="inlineStr">
        <is>
          <t>检测费</t>
        </is>
      </c>
      <c r="D158" s="7" t="n">
        <v>2993.8</v>
      </c>
      <c r="F158" s="7" t="n">
        <v>2583.3</v>
      </c>
      <c r="H158" s="7" t="n">
        <v>4514.7</v>
      </c>
      <c r="J158" s="7" t="n">
        <v>2228.8</v>
      </c>
      <c r="L158" s="7" t="n">
        <v>4075.4</v>
      </c>
      <c r="N158" s="7" t="n">
        <v>7759.2</v>
      </c>
      <c r="P158" s="7" t="n">
        <v>5708.3</v>
      </c>
      <c r="R158" s="7" t="n">
        <v>4070.4</v>
      </c>
      <c r="T158" s="7" t="n">
        <v>2687.2</v>
      </c>
      <c r="V158" s="7" t="n">
        <v>2176.8</v>
      </c>
      <c r="X158" s="7" t="n">
        <v>5115.4</v>
      </c>
      <c r="Z158" s="7" t="n">
        <v>2352.5</v>
      </c>
      <c r="AB158" s="7" t="n">
        <v>46265.8</v>
      </c>
    </row>
    <row r="159">
      <c r="A159" s="4" t="inlineStr">
        <is>
          <t>质量赔偿</t>
        </is>
      </c>
      <c r="D159" s="7" t="n">
        <v>1061.3</v>
      </c>
      <c r="F159" s="7" t="n">
        <v>872</v>
      </c>
      <c r="H159" s="7" t="n">
        <v>1465.9</v>
      </c>
      <c r="J159" s="7" t="n">
        <v>921.2</v>
      </c>
      <c r="L159" s="7" t="n">
        <v>1107.6</v>
      </c>
      <c r="N159" s="7" t="n">
        <v>2205.8</v>
      </c>
      <c r="P159" s="7" t="n">
        <v>1853.1</v>
      </c>
      <c r="R159" s="7" t="n">
        <v>965.6</v>
      </c>
      <c r="T159" s="7" t="n">
        <v>767.7</v>
      </c>
      <c r="V159" s="7" t="n">
        <v>1019.6</v>
      </c>
      <c r="X159" s="7" t="n">
        <v>1382</v>
      </c>
      <c r="Z159" s="7" t="n">
        <v>616.1</v>
      </c>
      <c r="AB159" s="7" t="n">
        <v>14237.9</v>
      </c>
    </row>
    <row r="160">
      <c r="A160" s="4" t="inlineStr">
        <is>
          <t>保险费</t>
        </is>
      </c>
      <c r="D160" s="7" t="n">
        <v>7661</v>
      </c>
      <c r="F160" s="7" t="n">
        <v>5098.4</v>
      </c>
      <c r="H160" s="7" t="n">
        <v>8573.799999999999</v>
      </c>
      <c r="J160" s="7" t="n">
        <v>9488.4</v>
      </c>
      <c r="L160" s="7" t="n">
        <v>9134.9</v>
      </c>
      <c r="N160" s="7" t="n">
        <v>18622.1</v>
      </c>
      <c r="P160" s="7" t="n">
        <v>11815.5</v>
      </c>
      <c r="R160" s="7" t="n">
        <v>11401</v>
      </c>
      <c r="T160" s="7" t="n">
        <v>6228.4</v>
      </c>
      <c r="V160" s="7" t="n">
        <v>5389.8</v>
      </c>
      <c r="X160" s="7" t="n">
        <v>10471.3</v>
      </c>
      <c r="Z160" s="7" t="n">
        <v>5524.3</v>
      </c>
      <c r="AB160" s="7" t="n">
        <v>109408.9</v>
      </c>
    </row>
    <row r="161">
      <c r="A161" s="4" t="inlineStr">
        <is>
          <t>清洁费</t>
        </is>
      </c>
      <c r="D161" s="7" t="n">
        <v>3382.9</v>
      </c>
      <c r="F161" s="7" t="n">
        <v>2168</v>
      </c>
      <c r="H161" s="7" t="n">
        <v>4612.8</v>
      </c>
      <c r="J161" s="7" t="n">
        <v>2992.9</v>
      </c>
      <c r="L161" s="7" t="n">
        <v>4497.6</v>
      </c>
      <c r="N161" s="7" t="n">
        <v>4318.7</v>
      </c>
      <c r="P161" s="7" t="n">
        <v>5233.4</v>
      </c>
      <c r="R161" s="7" t="n">
        <v>2993.8</v>
      </c>
      <c r="T161" s="7" t="n">
        <v>1760.4</v>
      </c>
      <c r="V161" s="7" t="n">
        <v>2286.7</v>
      </c>
      <c r="X161" s="7" t="n">
        <v>4049.9</v>
      </c>
      <c r="Z161" s="7" t="n">
        <v>2643.5</v>
      </c>
      <c r="AB161" s="7" t="n">
        <v>40940.6</v>
      </c>
    </row>
    <row r="162">
      <c r="A162" s="4" t="inlineStr">
        <is>
          <t>低值易耗品</t>
        </is>
      </c>
      <c r="D162" s="7" t="n">
        <v>6189.3</v>
      </c>
      <c r="F162" s="7" t="n">
        <v>3553.1</v>
      </c>
      <c r="H162" s="7" t="n">
        <v>7656.3</v>
      </c>
      <c r="J162" s="7" t="n">
        <v>4827.5</v>
      </c>
      <c r="L162" s="7" t="n">
        <v>7537.2</v>
      </c>
      <c r="N162" s="7" t="n">
        <v>8753.700000000001</v>
      </c>
      <c r="P162" s="7" t="n">
        <v>8954.200000000001</v>
      </c>
      <c r="R162" s="7" t="n">
        <v>5597.4</v>
      </c>
      <c r="T162" s="7" t="n">
        <v>4739.3</v>
      </c>
      <c r="V162" s="7" t="n">
        <v>3138</v>
      </c>
      <c r="X162" s="7" t="n">
        <v>7411.1</v>
      </c>
      <c r="Z162" s="7" t="n">
        <v>3164.3</v>
      </c>
      <c r="AB162" s="7" t="n">
        <v>71521.39999999999</v>
      </c>
    </row>
    <row r="163">
      <c r="A163" s="4" t="inlineStr">
        <is>
          <t>物料消耗</t>
        </is>
      </c>
      <c r="D163" s="7" t="n">
        <v>5116.4</v>
      </c>
      <c r="F163" s="7" t="n">
        <v>3304.8</v>
      </c>
      <c r="H163" s="7" t="n">
        <v>6481.3</v>
      </c>
      <c r="J163" s="7" t="n">
        <v>3725.6</v>
      </c>
      <c r="L163" s="7" t="n">
        <v>4967.1</v>
      </c>
      <c r="N163" s="7" t="n">
        <v>8345.700000000001</v>
      </c>
      <c r="P163" s="7" t="n">
        <v>10251.6</v>
      </c>
      <c r="R163" s="7" t="n">
        <v>5565.5</v>
      </c>
      <c r="T163" s="7" t="n">
        <v>4262.7</v>
      </c>
      <c r="V163" s="7" t="n">
        <v>3732.8</v>
      </c>
      <c r="X163" s="7" t="n">
        <v>5178.4</v>
      </c>
      <c r="Z163" s="7" t="n">
        <v>2263.1</v>
      </c>
      <c r="AB163" s="7" t="n">
        <v>63195</v>
      </c>
    </row>
    <row r="164">
      <c r="A164" s="4" t="inlineStr">
        <is>
          <t>盘盈盘亏</t>
        </is>
      </c>
      <c r="D164" s="7" t="n">
        <v>8233.5</v>
      </c>
      <c r="F164" s="7" t="n">
        <v>6054.3</v>
      </c>
      <c r="H164" s="7" t="n">
        <v>13765.7</v>
      </c>
      <c r="J164" s="7" t="n">
        <v>6072.9</v>
      </c>
      <c r="L164" s="7" t="n">
        <v>12349</v>
      </c>
      <c r="N164" s="7" t="n">
        <v>12538.7</v>
      </c>
      <c r="P164" s="7" t="n">
        <v>15164.4</v>
      </c>
      <c r="R164" s="7" t="n">
        <v>6964.7</v>
      </c>
      <c r="T164" s="7" t="n">
        <v>8281.5</v>
      </c>
      <c r="V164" s="7" t="n">
        <v>7133.4</v>
      </c>
      <c r="X164" s="7" t="n">
        <v>9713.200000000001</v>
      </c>
      <c r="Z164" s="7" t="n">
        <v>7247.2</v>
      </c>
      <c r="AB164" s="7" t="n">
        <v>113518.5</v>
      </c>
    </row>
    <row r="165">
      <c r="A165" s="4" t="inlineStr">
        <is>
          <t>平台服务费</t>
        </is>
      </c>
      <c r="D165" s="7" t="n">
        <v>5040.9</v>
      </c>
      <c r="F165" s="7" t="n">
        <v>5603.6</v>
      </c>
      <c r="H165" s="7" t="n">
        <v>7541.4</v>
      </c>
      <c r="J165" s="7" t="n">
        <v>5385.4</v>
      </c>
      <c r="L165" s="7" t="n">
        <v>5489.3</v>
      </c>
      <c r="N165" s="7" t="n">
        <v>10199.9</v>
      </c>
      <c r="P165" s="7" t="n">
        <v>11818.2</v>
      </c>
      <c r="R165" s="7" t="n">
        <v>5979.7</v>
      </c>
      <c r="T165" s="7" t="n">
        <v>5312.3</v>
      </c>
      <c r="V165" s="7" t="n">
        <v>3828</v>
      </c>
      <c r="X165" s="7" t="n">
        <v>5470.4</v>
      </c>
      <c r="Z165" s="7" t="n">
        <v>4516.7</v>
      </c>
      <c r="AB165" s="7" t="n">
        <v>76185.8</v>
      </c>
    </row>
    <row r="166">
      <c r="A166" s="4" t="inlineStr">
        <is>
          <t>无形资产摊销</t>
        </is>
      </c>
      <c r="D166" s="7" t="n">
        <v>7924.6</v>
      </c>
      <c r="F166" s="7" t="n">
        <v>5194.2</v>
      </c>
      <c r="H166" s="7" t="n">
        <v>13289.3</v>
      </c>
      <c r="J166" s="7" t="n">
        <v>7975.9</v>
      </c>
      <c r="L166" s="7" t="n">
        <v>8689.6</v>
      </c>
      <c r="N166" s="7" t="n">
        <v>18110</v>
      </c>
      <c r="P166" s="7" t="n">
        <v>14842.9</v>
      </c>
      <c r="R166" s="7" t="n">
        <v>8705.700000000001</v>
      </c>
      <c r="T166" s="7" t="n">
        <v>7054.7</v>
      </c>
      <c r="V166" s="7" t="n">
        <v>6021</v>
      </c>
      <c r="X166" s="7" t="n">
        <v>10589.3</v>
      </c>
      <c r="Z166" s="7" t="n">
        <v>5735.8</v>
      </c>
      <c r="AB166" s="7" t="n">
        <v>114133</v>
      </c>
    </row>
    <row r="167">
      <c r="A167" s="4" t="inlineStr">
        <is>
          <t>研发材料</t>
        </is>
      </c>
      <c r="D167" s="7" t="n">
        <v>4212.5</v>
      </c>
      <c r="F167" s="7" t="n">
        <v>2995.8</v>
      </c>
      <c r="H167" s="7" t="n">
        <v>4977.8</v>
      </c>
      <c r="J167" s="7" t="n">
        <v>4684.6</v>
      </c>
      <c r="L167" s="7" t="n">
        <v>4722.8</v>
      </c>
      <c r="N167" s="7" t="n">
        <v>8348.6</v>
      </c>
      <c r="P167" s="7" t="n">
        <v>7853.8</v>
      </c>
      <c r="R167" s="7" t="n">
        <v>5908.8</v>
      </c>
      <c r="T167" s="7" t="n">
        <v>2716.1</v>
      </c>
      <c r="V167" s="7" t="n">
        <v>3120.8</v>
      </c>
      <c r="X167" s="7" t="n">
        <v>5842</v>
      </c>
      <c r="Z167" s="7" t="n">
        <v>3853.7</v>
      </c>
      <c r="AB167" s="7" t="n">
        <v>59237.3</v>
      </c>
    </row>
    <row r="168">
      <c r="A168" s="4" t="inlineStr">
        <is>
          <t>项目名称</t>
        </is>
      </c>
      <c r="D168" s="7" t="n">
        <v>4843.8</v>
      </c>
      <c r="F168" s="7" t="n">
        <v>4984.4</v>
      </c>
      <c r="H168" s="7" t="n">
        <v>7351.4</v>
      </c>
      <c r="J168" s="7" t="n">
        <v>4005.8</v>
      </c>
      <c r="L168" s="7" t="n">
        <v>5410.5</v>
      </c>
      <c r="N168" s="7" t="n">
        <v>9103.700000000001</v>
      </c>
      <c r="P168" s="7" t="n">
        <v>13041.5</v>
      </c>
      <c r="R168" s="7" t="n">
        <v>5969.3</v>
      </c>
      <c r="T168" s="7" t="n">
        <v>4711.8</v>
      </c>
      <c r="V168" s="7" t="n">
        <v>4515.7</v>
      </c>
      <c r="X168" s="7" t="n">
        <v>8299.6</v>
      </c>
      <c r="Z168" s="7" t="n">
        <v>2882.8</v>
      </c>
      <c r="AB168" s="7" t="n">
        <v>75120.3</v>
      </c>
    </row>
    <row r="169">
      <c r="A169" s="4" t="inlineStr">
        <is>
          <t>研发费</t>
        </is>
      </c>
      <c r="D169" s="7" t="n">
        <v>1094.1</v>
      </c>
      <c r="F169" s="7" t="n">
        <v>991.1</v>
      </c>
      <c r="H169" s="7" t="n">
        <v>2271.9</v>
      </c>
      <c r="J169" s="7" t="n">
        <v>1408.8</v>
      </c>
      <c r="L169" s="7" t="n">
        <v>1319</v>
      </c>
      <c r="N169" s="7" t="n">
        <v>3210.7</v>
      </c>
      <c r="P169" s="7" t="n">
        <v>3437.2</v>
      </c>
      <c r="R169" s="7" t="n">
        <v>1492</v>
      </c>
      <c r="T169" s="7" t="n">
        <v>798.8</v>
      </c>
      <c r="V169" s="7" t="n">
        <v>1408.1</v>
      </c>
      <c r="X169" s="7" t="n">
        <v>1411.7</v>
      </c>
      <c r="Z169" s="7" t="n">
        <v>1044.6</v>
      </c>
      <c r="AB169" s="7" t="n">
        <v>19888</v>
      </c>
    </row>
    <row r="170">
      <c r="A170" s="4" t="inlineStr">
        <is>
          <t>残保金</t>
        </is>
      </c>
      <c r="D170" s="7" t="n">
        <v>9444.6</v>
      </c>
      <c r="F170" s="7" t="n">
        <v>5955.4</v>
      </c>
      <c r="H170" s="7" t="n">
        <v>9601.299999999999</v>
      </c>
      <c r="J170" s="7" t="n">
        <v>7661.1</v>
      </c>
      <c r="L170" s="7" t="n">
        <v>6719.3</v>
      </c>
      <c r="N170" s="7" t="n">
        <v>18255.5</v>
      </c>
      <c r="P170" s="7" t="n">
        <v>16601.1</v>
      </c>
      <c r="R170" s="7" t="n">
        <v>6422.6</v>
      </c>
      <c r="T170" s="7" t="n">
        <v>4683.8</v>
      </c>
      <c r="V170" s="7" t="n">
        <v>7189.5</v>
      </c>
      <c r="X170" s="7" t="n">
        <v>12897.4</v>
      </c>
      <c r="Z170" s="7" t="n">
        <v>5428.5</v>
      </c>
      <c r="AB170" s="7" t="n">
        <v>110860.1</v>
      </c>
    </row>
    <row r="171">
      <c r="A171" s="4" t="inlineStr">
        <is>
          <t>环保费</t>
        </is>
      </c>
      <c r="D171" s="7" t="n">
        <v>9243.1</v>
      </c>
      <c r="F171" s="7" t="n">
        <v>7590.8</v>
      </c>
      <c r="H171" s="7" t="n">
        <v>8508.9</v>
      </c>
      <c r="J171" s="7" t="n">
        <v>8235.700000000001</v>
      </c>
      <c r="L171" s="7" t="n">
        <v>7178.5</v>
      </c>
      <c r="N171" s="7" t="n">
        <v>10661.6</v>
      </c>
      <c r="P171" s="7" t="n">
        <v>16562</v>
      </c>
      <c r="R171" s="7" t="n">
        <v>7026.1</v>
      </c>
      <c r="T171" s="7" t="n">
        <v>6131.8</v>
      </c>
      <c r="V171" s="7" t="n">
        <v>5627.4</v>
      </c>
      <c r="X171" s="7" t="n">
        <v>11245.6</v>
      </c>
      <c r="Z171" s="7" t="n">
        <v>4310.5</v>
      </c>
      <c r="AB171" s="7" t="n">
        <v>102322</v>
      </c>
    </row>
    <row r="172">
      <c r="A172" s="4" t="inlineStr">
        <is>
          <t>报废损失</t>
        </is>
      </c>
      <c r="D172" s="7" t="n">
        <v>2920.6</v>
      </c>
      <c r="F172" s="7" t="n">
        <v>2476.2</v>
      </c>
      <c r="H172" s="7" t="n">
        <v>6537.8</v>
      </c>
      <c r="J172" s="7" t="n">
        <v>3289.5</v>
      </c>
      <c r="L172" s="7" t="n">
        <v>3704.1</v>
      </c>
      <c r="N172" s="7" t="n">
        <v>7409.8</v>
      </c>
      <c r="P172" s="7" t="n">
        <v>7094.1</v>
      </c>
      <c r="R172" s="7" t="n">
        <v>3692.9</v>
      </c>
      <c r="T172" s="7" t="n">
        <v>3778.8</v>
      </c>
      <c r="V172" s="7" t="n">
        <v>2735.1</v>
      </c>
      <c r="X172" s="7" t="n">
        <v>4764.1</v>
      </c>
      <c r="Z172" s="7" t="n">
        <v>2899.2</v>
      </c>
      <c r="AB172" s="7" t="n">
        <v>51302.2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885339.7</v>
      </c>
      <c r="D173" s="7" t="n">
        <v>678170</v>
      </c>
      <c r="E173" s="7" t="n">
        <v>909990.5</v>
      </c>
      <c r="F173" s="7" t="n">
        <v>651543.4</v>
      </c>
      <c r="G173" s="7" t="n">
        <v>772033.2</v>
      </c>
      <c r="H173" s="7" t="n">
        <v>920601.8</v>
      </c>
      <c r="I173" s="7" t="n">
        <v>850681.3</v>
      </c>
      <c r="J173" s="7" t="n">
        <v>586855.8</v>
      </c>
      <c r="K173" s="7" t="n">
        <v>789516.9</v>
      </c>
      <c r="L173" s="7" t="n">
        <v>960233</v>
      </c>
      <c r="M173" s="7" t="n">
        <v>952619.5</v>
      </c>
      <c r="N173" s="7" t="n">
        <v>1168715.2</v>
      </c>
      <c r="O173" s="7" t="n">
        <v>802979.5</v>
      </c>
      <c r="P173" s="7" t="n">
        <v>399441.5</v>
      </c>
      <c r="Q173" s="7" t="n">
        <v>915881.2</v>
      </c>
      <c r="R173" s="7" t="n">
        <v>1216524.3</v>
      </c>
      <c r="S173" s="7" t="n">
        <v>742482.9</v>
      </c>
      <c r="T173" s="7" t="n">
        <v>794010.7</v>
      </c>
      <c r="U173" s="7" t="n">
        <v>929624.2</v>
      </c>
      <c r="V173" s="7" t="n">
        <v>1159200.6</v>
      </c>
      <c r="W173" s="7" t="n">
        <v>927286.3</v>
      </c>
      <c r="X173" s="7" t="n">
        <v>780958.5</v>
      </c>
      <c r="Y173" s="7" t="n">
        <v>809415</v>
      </c>
      <c r="Z173" s="7" t="n">
        <v>732959</v>
      </c>
      <c r="AA173" s="8" t="n">
        <v>10287850.2</v>
      </c>
      <c r="AB173" s="8" t="n">
        <v>10049213.8</v>
      </c>
    </row>
    <row r="174">
      <c r="A174" s="4" t="inlineStr">
        <is>
          <t>职工薪酬</t>
        </is>
      </c>
      <c r="D174" s="7" t="n">
        <v>408670.7</v>
      </c>
      <c r="F174" s="7" t="n">
        <v>326855.1</v>
      </c>
      <c r="H174" s="7" t="n">
        <v>400748.2</v>
      </c>
      <c r="J174" s="7" t="n">
        <v>342113.6</v>
      </c>
      <c r="L174" s="7" t="n">
        <v>550306.3</v>
      </c>
      <c r="N174" s="7" t="n">
        <v>702552.4</v>
      </c>
      <c r="P174" s="7" t="n">
        <v>205046.7</v>
      </c>
      <c r="R174" s="7" t="n">
        <v>623077.1</v>
      </c>
      <c r="T174" s="7" t="n">
        <v>461539</v>
      </c>
      <c r="V174" s="7" t="n">
        <v>637294.8</v>
      </c>
      <c r="X174" s="7" t="n">
        <v>480702.9</v>
      </c>
      <c r="Z174" s="7" t="n">
        <v>445999.7</v>
      </c>
      <c r="AB174" s="7" t="n">
        <v>5584906.5</v>
      </c>
    </row>
    <row r="175">
      <c r="A175" s="4" t="inlineStr">
        <is>
          <t>工资</t>
        </is>
      </c>
      <c r="D175" s="7" t="n">
        <v>236012.2</v>
      </c>
      <c r="F175" s="7" t="n">
        <v>184472.8</v>
      </c>
      <c r="H175" s="7" t="n">
        <v>198940.9</v>
      </c>
      <c r="J175" s="7" t="n">
        <v>214765.8</v>
      </c>
      <c r="L175" s="7" t="n">
        <v>343932</v>
      </c>
      <c r="N175" s="7" t="n">
        <v>443281</v>
      </c>
      <c r="P175" s="7" t="n">
        <v>117753.9</v>
      </c>
      <c r="R175" s="7" t="n">
        <v>345898</v>
      </c>
      <c r="T175" s="7" t="n">
        <v>286962.9</v>
      </c>
      <c r="V175" s="7" t="n">
        <v>393119.1</v>
      </c>
      <c r="X175" s="7" t="n">
        <v>287249.8</v>
      </c>
      <c r="Z175" s="7" t="n">
        <v>262138</v>
      </c>
      <c r="AB175" s="7" t="n">
        <v>3314526.4</v>
      </c>
    </row>
    <row r="176">
      <c r="A176" s="4" t="inlineStr">
        <is>
          <t>奖金及提成</t>
        </is>
      </c>
      <c r="D176" s="7" t="n">
        <v>81016.89999999999</v>
      </c>
      <c r="F176" s="7" t="n">
        <v>72913.5</v>
      </c>
      <c r="H176" s="7" t="n">
        <v>92410.10000000001</v>
      </c>
      <c r="J176" s="7" t="n">
        <v>53469.2</v>
      </c>
      <c r="L176" s="7" t="n">
        <v>101906.6</v>
      </c>
      <c r="N176" s="7" t="n">
        <v>138850</v>
      </c>
      <c r="P176" s="7" t="n">
        <v>45643</v>
      </c>
      <c r="R176" s="7" t="n">
        <v>118240.9</v>
      </c>
      <c r="T176" s="7" t="n">
        <v>56883.8</v>
      </c>
      <c r="V176" s="7" t="n">
        <v>84767.60000000001</v>
      </c>
      <c r="X176" s="7" t="n">
        <v>84730.5</v>
      </c>
      <c r="Z176" s="7" t="n">
        <v>79019.89999999999</v>
      </c>
      <c r="AB176" s="7" t="n">
        <v>1009852</v>
      </c>
    </row>
    <row r="177">
      <c r="A177" s="4" t="inlineStr">
        <is>
          <t>社保</t>
        </is>
      </c>
      <c r="D177" s="7" t="n">
        <v>63726.9</v>
      </c>
      <c r="F177" s="7" t="n">
        <v>40742.6</v>
      </c>
      <c r="H177" s="7" t="n">
        <v>69258.5</v>
      </c>
      <c r="J177" s="7" t="n">
        <v>50562.5</v>
      </c>
      <c r="L177" s="7" t="n">
        <v>68232.89999999999</v>
      </c>
      <c r="N177" s="7" t="n">
        <v>70061.10000000001</v>
      </c>
      <c r="P177" s="7" t="n">
        <v>25394.7</v>
      </c>
      <c r="R177" s="7" t="n">
        <v>98277.60000000001</v>
      </c>
      <c r="T177" s="7" t="n">
        <v>81421</v>
      </c>
      <c r="V177" s="7" t="n">
        <v>111132.4</v>
      </c>
      <c r="X177" s="7" t="n">
        <v>72341.60000000001</v>
      </c>
      <c r="Z177" s="7" t="n">
        <v>70843.5</v>
      </c>
      <c r="AB177" s="7" t="n">
        <v>821995.3</v>
      </c>
    </row>
    <row r="178">
      <c r="A178" s="4" t="inlineStr">
        <is>
          <t>养老</t>
        </is>
      </c>
      <c r="D178" s="7" t="n">
        <v>3585</v>
      </c>
      <c r="F178" s="7" t="n">
        <v>2612.3</v>
      </c>
      <c r="H178" s="7" t="n">
        <v>4086</v>
      </c>
      <c r="J178" s="7" t="n">
        <v>3011.3</v>
      </c>
      <c r="L178" s="7" t="n">
        <v>3697.9</v>
      </c>
      <c r="N178" s="7" t="n">
        <v>5846.5</v>
      </c>
      <c r="P178" s="7" t="n">
        <v>2148.3</v>
      </c>
      <c r="R178" s="7" t="n">
        <v>6453.5</v>
      </c>
      <c r="T178" s="7" t="n">
        <v>2924.9</v>
      </c>
      <c r="V178" s="7" t="n">
        <v>4945.2</v>
      </c>
      <c r="X178" s="7" t="n">
        <v>2841.5</v>
      </c>
      <c r="Z178" s="7" t="n">
        <v>4040.3</v>
      </c>
      <c r="AB178" s="7" t="n">
        <v>46192.7</v>
      </c>
    </row>
    <row r="179">
      <c r="A179" s="4" t="inlineStr">
        <is>
          <t>医疗</t>
        </is>
      </c>
      <c r="D179" s="7" t="n">
        <v>5170.2</v>
      </c>
      <c r="F179" s="7" t="n">
        <v>3369.1</v>
      </c>
      <c r="H179" s="7" t="n">
        <v>7236.7</v>
      </c>
      <c r="J179" s="7" t="n">
        <v>4558.6</v>
      </c>
      <c r="L179" s="7" t="n">
        <v>6473.8</v>
      </c>
      <c r="N179" s="7" t="n">
        <v>7790.4</v>
      </c>
      <c r="P179" s="7" t="n">
        <v>3078.7</v>
      </c>
      <c r="R179" s="7" t="n">
        <v>9680.5</v>
      </c>
      <c r="T179" s="7" t="n">
        <v>4028.5</v>
      </c>
      <c r="V179" s="7" t="n">
        <v>8048.6</v>
      </c>
      <c r="X179" s="7" t="n">
        <v>3876.6</v>
      </c>
      <c r="Z179" s="7" t="n">
        <v>4271.1</v>
      </c>
      <c r="AB179" s="7" t="n">
        <v>67582.8</v>
      </c>
    </row>
    <row r="180">
      <c r="A180" s="4" t="inlineStr">
        <is>
          <t>工伤</t>
        </is>
      </c>
      <c r="D180" s="7" t="n">
        <v>1632.9</v>
      </c>
      <c r="F180" s="7" t="n">
        <v>1380.6</v>
      </c>
      <c r="H180" s="7" t="n">
        <v>2384</v>
      </c>
      <c r="J180" s="7" t="n">
        <v>2093.4</v>
      </c>
      <c r="L180" s="7" t="n">
        <v>2080.6</v>
      </c>
      <c r="N180" s="7" t="n">
        <v>3718.1</v>
      </c>
      <c r="P180" s="7" t="n">
        <v>1079.7</v>
      </c>
      <c r="R180" s="7" t="n">
        <v>4283.6</v>
      </c>
      <c r="T180" s="7" t="n">
        <v>2171.1</v>
      </c>
      <c r="V180" s="7" t="n">
        <v>3599.8</v>
      </c>
      <c r="X180" s="7" t="n">
        <v>1693.7</v>
      </c>
      <c r="Z180" s="7" t="n">
        <v>2325.6</v>
      </c>
      <c r="AB180" s="7" t="n">
        <v>28443.1</v>
      </c>
    </row>
    <row r="181">
      <c r="A181" s="4" t="inlineStr">
        <is>
          <t>失业</t>
        </is>
      </c>
      <c r="D181" s="7" t="n">
        <v>1031.4</v>
      </c>
      <c r="F181" s="7" t="n">
        <v>951.9</v>
      </c>
      <c r="H181" s="7" t="n">
        <v>1003.9</v>
      </c>
      <c r="J181" s="7" t="n">
        <v>730.7</v>
      </c>
      <c r="L181" s="7" t="n">
        <v>933.6</v>
      </c>
      <c r="N181" s="7" t="n">
        <v>1772.5</v>
      </c>
      <c r="P181" s="7" t="n">
        <v>529.1</v>
      </c>
      <c r="R181" s="7" t="n">
        <v>1971.6</v>
      </c>
      <c r="T181" s="7" t="n">
        <v>862.9</v>
      </c>
      <c r="V181" s="7" t="n">
        <v>1602.4</v>
      </c>
      <c r="X181" s="7" t="n">
        <v>928</v>
      </c>
      <c r="Z181" s="7" t="n">
        <v>865.5</v>
      </c>
      <c r="AB181" s="7" t="n">
        <v>13183.5</v>
      </c>
    </row>
    <row r="182">
      <c r="A182" s="4" t="inlineStr">
        <is>
          <t>生育</t>
        </is>
      </c>
      <c r="D182" s="7" t="n">
        <v>567.3</v>
      </c>
      <c r="F182" s="7" t="n">
        <v>534.4</v>
      </c>
      <c r="H182" s="7" t="n">
        <v>943.2</v>
      </c>
      <c r="J182" s="7" t="n">
        <v>698.9</v>
      </c>
      <c r="L182" s="7" t="n">
        <v>847.1</v>
      </c>
      <c r="N182" s="7" t="n">
        <v>1242.1</v>
      </c>
      <c r="P182" s="7" t="n">
        <v>372.7</v>
      </c>
      <c r="R182" s="7" t="n">
        <v>822.2</v>
      </c>
      <c r="T182" s="7" t="n">
        <v>592.6</v>
      </c>
      <c r="V182" s="7" t="n">
        <v>991.7</v>
      </c>
      <c r="X182" s="7" t="n">
        <v>833.9</v>
      </c>
      <c r="Z182" s="7" t="n">
        <v>780.1</v>
      </c>
      <c r="AB182" s="7" t="n">
        <v>9226.200000000001</v>
      </c>
    </row>
    <row r="183">
      <c r="A183" s="4" t="inlineStr">
        <is>
          <t>公积金</t>
        </is>
      </c>
      <c r="D183" s="7" t="n">
        <v>3569</v>
      </c>
      <c r="F183" s="7" t="n">
        <v>3479.4</v>
      </c>
      <c r="H183" s="7" t="n">
        <v>3676.4</v>
      </c>
      <c r="J183" s="7" t="n">
        <v>2078.5</v>
      </c>
      <c r="L183" s="7" t="n">
        <v>3302.5</v>
      </c>
      <c r="N183" s="7" t="n">
        <v>4918.6</v>
      </c>
      <c r="P183" s="7" t="n">
        <v>1571.2</v>
      </c>
      <c r="R183" s="7" t="n">
        <v>7084.2</v>
      </c>
      <c r="T183" s="7" t="n">
        <v>4821</v>
      </c>
      <c r="V183" s="7" t="n">
        <v>6851.6</v>
      </c>
      <c r="X183" s="7" t="n">
        <v>4677.1</v>
      </c>
      <c r="Z183" s="7" t="n">
        <v>3630.6</v>
      </c>
      <c r="AB183" s="7" t="n">
        <v>49660.1</v>
      </c>
    </row>
    <row r="184">
      <c r="A184" s="4" t="inlineStr">
        <is>
          <t>工会经费</t>
        </is>
      </c>
      <c r="D184" s="7" t="n">
        <v>2420.1</v>
      </c>
      <c r="F184" s="7" t="n">
        <v>2724.3</v>
      </c>
      <c r="H184" s="7" t="n">
        <v>4841.2</v>
      </c>
      <c r="J184" s="7" t="n">
        <v>2538.2</v>
      </c>
      <c r="L184" s="7" t="n">
        <v>4413.7</v>
      </c>
      <c r="N184" s="7" t="n">
        <v>5290.1</v>
      </c>
      <c r="P184" s="7" t="n">
        <v>2510.3</v>
      </c>
      <c r="R184" s="7" t="n">
        <v>6182.2</v>
      </c>
      <c r="T184" s="7" t="n">
        <v>4084</v>
      </c>
      <c r="V184" s="7" t="n">
        <v>4869.6</v>
      </c>
      <c r="X184" s="7" t="n">
        <v>3840.4</v>
      </c>
      <c r="Z184" s="7" t="n">
        <v>4524.8</v>
      </c>
      <c r="AB184" s="7" t="n">
        <v>48238.9</v>
      </c>
    </row>
    <row r="185">
      <c r="A185" s="4" t="inlineStr">
        <is>
          <t>职工教育经费</t>
        </is>
      </c>
      <c r="D185" s="7" t="n">
        <v>3041.8</v>
      </c>
      <c r="F185" s="7" t="n">
        <v>3339.6</v>
      </c>
      <c r="H185" s="7" t="n">
        <v>5396.4</v>
      </c>
      <c r="J185" s="7" t="n">
        <v>2652.3</v>
      </c>
      <c r="L185" s="7" t="n">
        <v>4257</v>
      </c>
      <c r="N185" s="7" t="n">
        <v>4887.8</v>
      </c>
      <c r="P185" s="7" t="n">
        <v>1786</v>
      </c>
      <c r="R185" s="7" t="n">
        <v>8564.9</v>
      </c>
      <c r="T185" s="7" t="n">
        <v>5489.1</v>
      </c>
      <c r="V185" s="7" t="n">
        <v>7665.4</v>
      </c>
      <c r="X185" s="7" t="n">
        <v>5645.5</v>
      </c>
      <c r="Z185" s="7" t="n">
        <v>3669.9</v>
      </c>
      <c r="AB185" s="7" t="n">
        <v>56395.7</v>
      </c>
    </row>
    <row r="186">
      <c r="A186" s="4" t="inlineStr">
        <is>
          <t>福利费</t>
        </is>
      </c>
      <c r="D186" s="7" t="n">
        <v>18883.8</v>
      </c>
      <c r="F186" s="7" t="n">
        <v>19182.9</v>
      </c>
      <c r="H186" s="7" t="n">
        <v>26224.7</v>
      </c>
      <c r="J186" s="7" t="n">
        <v>16047.1</v>
      </c>
      <c r="L186" s="7" t="n">
        <v>24261.6</v>
      </c>
      <c r="N186" s="7" t="n">
        <v>35263.8</v>
      </c>
      <c r="P186" s="7" t="n">
        <v>10387.6</v>
      </c>
      <c r="R186" s="7" t="n">
        <v>38829.3</v>
      </c>
      <c r="T186" s="7" t="n">
        <v>21877.2</v>
      </c>
      <c r="V186" s="7" t="n">
        <v>28889.1</v>
      </c>
      <c r="X186" s="7" t="n">
        <v>22218</v>
      </c>
      <c r="Z186" s="7" t="n">
        <v>22173</v>
      </c>
      <c r="AB186" s="7" t="n">
        <v>284238.1</v>
      </c>
    </row>
    <row r="187">
      <c r="A187" s="4" t="inlineStr">
        <is>
          <t>职工房租</t>
        </is>
      </c>
      <c r="D187" s="7" t="n">
        <v>2598.1</v>
      </c>
      <c r="F187" s="7" t="n">
        <v>2691.3</v>
      </c>
      <c r="H187" s="7" t="n">
        <v>4037.6</v>
      </c>
      <c r="J187" s="7" t="n">
        <v>2216.3</v>
      </c>
      <c r="L187" s="7" t="n">
        <v>4303</v>
      </c>
      <c r="N187" s="7" t="n">
        <v>6873.3</v>
      </c>
      <c r="P187" s="7" t="n">
        <v>2011</v>
      </c>
      <c r="R187" s="7" t="n">
        <v>8259.5</v>
      </c>
      <c r="T187" s="7" t="n">
        <v>5221.3</v>
      </c>
      <c r="V187" s="7" t="n">
        <v>4395.8</v>
      </c>
      <c r="X187" s="7" t="n">
        <v>3735.8</v>
      </c>
      <c r="Z187" s="7" t="n">
        <v>4317.6</v>
      </c>
      <c r="AB187" s="7" t="n">
        <v>50660.6</v>
      </c>
    </row>
    <row r="188">
      <c r="A188" s="4" t="inlineStr">
        <is>
          <t>水电物业费</t>
        </is>
      </c>
      <c r="D188" s="7" t="n">
        <v>2148.6</v>
      </c>
      <c r="F188" s="7" t="n">
        <v>2503.1</v>
      </c>
      <c r="H188" s="7" t="n">
        <v>3573.8</v>
      </c>
      <c r="J188" s="7" t="n">
        <v>1445.5</v>
      </c>
      <c r="L188" s="7" t="n">
        <v>2310.1</v>
      </c>
      <c r="N188" s="7" t="n">
        <v>4539.8</v>
      </c>
      <c r="P188" s="7" t="n">
        <v>1027.4</v>
      </c>
      <c r="R188" s="7" t="n">
        <v>3100.2</v>
      </c>
      <c r="T188" s="7" t="n">
        <v>2539.5</v>
      </c>
      <c r="V188" s="7" t="n">
        <v>3185.4</v>
      </c>
      <c r="X188" s="7" t="n">
        <v>3067.5</v>
      </c>
      <c r="Z188" s="7" t="n">
        <v>2451.9</v>
      </c>
      <c r="AB188" s="7" t="n">
        <v>31892.8</v>
      </c>
    </row>
    <row r="189">
      <c r="A189" s="4" t="inlineStr">
        <is>
          <t>员工餐</t>
        </is>
      </c>
      <c r="D189" s="7" t="n">
        <v>3329.4</v>
      </c>
      <c r="F189" s="7" t="n">
        <v>2532.1</v>
      </c>
      <c r="H189" s="7" t="n">
        <v>3672.3</v>
      </c>
      <c r="J189" s="7" t="n">
        <v>2133</v>
      </c>
      <c r="L189" s="7" t="n">
        <v>2741.5</v>
      </c>
      <c r="N189" s="7" t="n">
        <v>5191.9</v>
      </c>
      <c r="P189" s="7" t="n">
        <v>1690.7</v>
      </c>
      <c r="R189" s="7" t="n">
        <v>5737</v>
      </c>
      <c r="T189" s="7" t="n">
        <v>2174.1</v>
      </c>
      <c r="V189" s="7" t="n">
        <v>4918.3</v>
      </c>
      <c r="X189" s="7" t="n">
        <v>3312.3</v>
      </c>
      <c r="Z189" s="7" t="n">
        <v>2626.6</v>
      </c>
      <c r="AB189" s="7" t="n">
        <v>40059.2</v>
      </c>
    </row>
    <row r="190">
      <c r="A190" s="4" t="inlineStr">
        <is>
          <t>节日礼品</t>
        </is>
      </c>
      <c r="D190" s="7" t="n">
        <v>3336</v>
      </c>
      <c r="F190" s="7" t="n">
        <v>3032.1</v>
      </c>
      <c r="H190" s="7" t="n">
        <v>2823.4</v>
      </c>
      <c r="J190" s="7" t="n">
        <v>1700.7</v>
      </c>
      <c r="L190" s="7" t="n">
        <v>4454.7</v>
      </c>
      <c r="N190" s="7" t="n">
        <v>4957.3</v>
      </c>
      <c r="P190" s="7" t="n">
        <v>1503.6</v>
      </c>
      <c r="R190" s="7" t="n">
        <v>5995.4</v>
      </c>
      <c r="T190" s="7" t="n">
        <v>3247.4</v>
      </c>
      <c r="V190" s="7" t="n">
        <v>3156.8</v>
      </c>
      <c r="X190" s="7" t="n">
        <v>3875.3</v>
      </c>
      <c r="Z190" s="7" t="n">
        <v>3103.2</v>
      </c>
      <c r="AB190" s="7" t="n">
        <v>41185.9</v>
      </c>
    </row>
    <row r="191">
      <c r="A191" s="4" t="inlineStr">
        <is>
          <t>生日礼品</t>
        </is>
      </c>
      <c r="D191" s="7" t="n">
        <v>3784.4</v>
      </c>
      <c r="F191" s="7" t="n">
        <v>4627</v>
      </c>
      <c r="H191" s="7" t="n">
        <v>6547.3</v>
      </c>
      <c r="J191" s="7" t="n">
        <v>4663.5</v>
      </c>
      <c r="L191" s="7" t="n">
        <v>6235.9</v>
      </c>
      <c r="N191" s="7" t="n">
        <v>6025.4</v>
      </c>
      <c r="P191" s="7" t="n">
        <v>1816.2</v>
      </c>
      <c r="R191" s="7" t="n">
        <v>8239.299999999999</v>
      </c>
      <c r="T191" s="7" t="n">
        <v>4425.7</v>
      </c>
      <c r="V191" s="7" t="n">
        <v>5300.5</v>
      </c>
      <c r="X191" s="7" t="n">
        <v>3615.3</v>
      </c>
      <c r="Z191" s="7" t="n">
        <v>5809.5</v>
      </c>
      <c r="AB191" s="7" t="n">
        <v>61090</v>
      </c>
    </row>
    <row r="192">
      <c r="A192" s="4" t="inlineStr">
        <is>
          <t>体检</t>
        </is>
      </c>
      <c r="D192" s="7" t="n">
        <v>1593.1</v>
      </c>
      <c r="F192" s="7" t="n">
        <v>1314.7</v>
      </c>
      <c r="H192" s="7" t="n">
        <v>2944.8</v>
      </c>
      <c r="J192" s="7" t="n">
        <v>1789.6</v>
      </c>
      <c r="L192" s="7" t="n">
        <v>1809.5</v>
      </c>
      <c r="N192" s="7" t="n">
        <v>3540.8</v>
      </c>
      <c r="P192" s="7" t="n">
        <v>796.9</v>
      </c>
      <c r="R192" s="7" t="n">
        <v>3552.6</v>
      </c>
      <c r="T192" s="7" t="n">
        <v>1729.5</v>
      </c>
      <c r="V192" s="7" t="n">
        <v>3338.4</v>
      </c>
      <c r="X192" s="7" t="n">
        <v>2133.7</v>
      </c>
      <c r="Z192" s="7" t="n">
        <v>1415.8</v>
      </c>
      <c r="AB192" s="7" t="n">
        <v>25959.4</v>
      </c>
    </row>
    <row r="193">
      <c r="A193" s="4" t="inlineStr">
        <is>
          <t>其他福利支出</t>
        </is>
      </c>
      <c r="D193" s="7" t="n">
        <v>2094.2</v>
      </c>
      <c r="F193" s="7" t="n">
        <v>2482.6</v>
      </c>
      <c r="H193" s="7" t="n">
        <v>2625.5</v>
      </c>
      <c r="J193" s="7" t="n">
        <v>2098.5</v>
      </c>
      <c r="L193" s="7" t="n">
        <v>2406.9</v>
      </c>
      <c r="N193" s="7" t="n">
        <v>4135.3</v>
      </c>
      <c r="P193" s="7" t="n">
        <v>1541.8</v>
      </c>
      <c r="R193" s="7" t="n">
        <v>3945.3</v>
      </c>
      <c r="T193" s="7" t="n">
        <v>2539.7</v>
      </c>
      <c r="V193" s="7" t="n">
        <v>4593.9</v>
      </c>
      <c r="X193" s="7" t="n">
        <v>2478.1</v>
      </c>
      <c r="Z193" s="7" t="n">
        <v>2448.4</v>
      </c>
      <c r="AB193" s="7" t="n">
        <v>33390.2</v>
      </c>
    </row>
    <row r="194">
      <c r="A194" s="4" t="inlineStr">
        <is>
          <t>招聘费</t>
        </is>
      </c>
      <c r="D194" s="7" t="n">
        <v>2170.9</v>
      </c>
      <c r="F194" s="7" t="n">
        <v>2144.8</v>
      </c>
      <c r="H194" s="7" t="n">
        <v>2728.5</v>
      </c>
      <c r="J194" s="7" t="n">
        <v>1563.7</v>
      </c>
      <c r="L194" s="7" t="n">
        <v>2545.7</v>
      </c>
      <c r="N194" s="7" t="n">
        <v>2348.3</v>
      </c>
      <c r="P194" s="7" t="n">
        <v>1002.9</v>
      </c>
      <c r="R194" s="7" t="n">
        <v>3301.1</v>
      </c>
      <c r="T194" s="7" t="n">
        <v>1838.3</v>
      </c>
      <c r="V194" s="7" t="n">
        <v>3575.2</v>
      </c>
      <c r="X194" s="7" t="n">
        <v>1718.2</v>
      </c>
      <c r="Z194" s="7" t="n">
        <v>2027.7</v>
      </c>
      <c r="AB194" s="7" t="n">
        <v>26965.3</v>
      </c>
    </row>
    <row r="195">
      <c r="A195" s="4" t="inlineStr">
        <is>
          <t>办公费</t>
        </is>
      </c>
      <c r="D195" s="7" t="n">
        <v>21926.6</v>
      </c>
      <c r="F195" s="7" t="n">
        <v>19835.7</v>
      </c>
      <c r="H195" s="7" t="n">
        <v>24149.8</v>
      </c>
      <c r="J195" s="7" t="n">
        <v>16943.9</v>
      </c>
      <c r="L195" s="7" t="n">
        <v>35845.2</v>
      </c>
      <c r="N195" s="7" t="n">
        <v>34590.5</v>
      </c>
      <c r="P195" s="7" t="n">
        <v>9456.700000000001</v>
      </c>
      <c r="R195" s="7" t="n">
        <v>28345.3</v>
      </c>
      <c r="T195" s="7" t="n">
        <v>29578.7</v>
      </c>
      <c r="V195" s="7" t="n">
        <v>41902.4</v>
      </c>
      <c r="X195" s="7" t="n">
        <v>23753.4</v>
      </c>
      <c r="Z195" s="7" t="n">
        <v>19290.5</v>
      </c>
      <c r="AB195" s="7" t="n">
        <v>305618.7</v>
      </c>
    </row>
    <row r="196">
      <c r="A196" s="4" t="inlineStr">
        <is>
          <t>市内交通费</t>
        </is>
      </c>
      <c r="D196" s="7" t="n">
        <v>158.3</v>
      </c>
      <c r="F196" s="7" t="n">
        <v>148.3</v>
      </c>
      <c r="H196" s="7" t="n">
        <v>220.3</v>
      </c>
      <c r="J196" s="7" t="n">
        <v>175.4</v>
      </c>
      <c r="L196" s="7" t="n">
        <v>227.4</v>
      </c>
      <c r="N196" s="7" t="n">
        <v>401.1</v>
      </c>
      <c r="P196" s="7" t="n">
        <v>130.2</v>
      </c>
      <c r="R196" s="7" t="n">
        <v>324.4</v>
      </c>
      <c r="T196" s="7" t="n">
        <v>212</v>
      </c>
      <c r="V196" s="7" t="n">
        <v>271.8</v>
      </c>
      <c r="X196" s="7" t="n">
        <v>244.9</v>
      </c>
      <c r="Z196" s="7" t="n">
        <v>176.3</v>
      </c>
      <c r="AB196" s="7" t="n">
        <v>2690.4</v>
      </c>
    </row>
    <row r="197">
      <c r="A197" s="4" t="inlineStr">
        <is>
          <t>差旅费</t>
        </is>
      </c>
      <c r="D197" s="7" t="n">
        <v>44635</v>
      </c>
      <c r="F197" s="7" t="n">
        <v>31576.3</v>
      </c>
      <c r="H197" s="7" t="n">
        <v>44704</v>
      </c>
      <c r="J197" s="7" t="n">
        <v>32949.9</v>
      </c>
      <c r="L197" s="7" t="n">
        <v>43209</v>
      </c>
      <c r="N197" s="7" t="n">
        <v>85974.39999999999</v>
      </c>
      <c r="P197" s="7" t="n">
        <v>21056.7</v>
      </c>
      <c r="R197" s="7" t="n">
        <v>76810.7</v>
      </c>
      <c r="T197" s="7" t="n">
        <v>46354.3</v>
      </c>
      <c r="V197" s="7" t="n">
        <v>76657.2</v>
      </c>
      <c r="X197" s="7" t="n">
        <v>50338.4</v>
      </c>
      <c r="Z197" s="7" t="n">
        <v>37778.7</v>
      </c>
      <c r="AB197" s="7" t="n">
        <v>592044.6</v>
      </c>
    </row>
    <row r="198">
      <c r="A198" s="4" t="inlineStr">
        <is>
          <t>交通费</t>
        </is>
      </c>
      <c r="D198" s="7" t="n">
        <v>5256.9</v>
      </c>
      <c r="F198" s="7" t="n">
        <v>3355</v>
      </c>
      <c r="H198" s="7" t="n">
        <v>4733.2</v>
      </c>
      <c r="J198" s="7" t="n">
        <v>4271.6</v>
      </c>
      <c r="L198" s="7" t="n">
        <v>6467.1</v>
      </c>
      <c r="N198" s="7" t="n">
        <v>9060.6</v>
      </c>
      <c r="P198" s="7" t="n">
        <v>1934</v>
      </c>
      <c r="R198" s="7" t="n">
        <v>7870.8</v>
      </c>
      <c r="T198" s="7" t="n">
        <v>3541</v>
      </c>
      <c r="V198" s="7" t="n">
        <v>5658.3</v>
      </c>
      <c r="X198" s="7" t="n">
        <v>3975.5</v>
      </c>
      <c r="Z198" s="7" t="n">
        <v>4582.5</v>
      </c>
      <c r="AB198" s="7" t="n">
        <v>60706.5</v>
      </c>
    </row>
    <row r="199">
      <c r="A199" s="4" t="inlineStr">
        <is>
          <t>住宿费</t>
        </is>
      </c>
      <c r="D199" s="7" t="n">
        <v>3757.2</v>
      </c>
      <c r="F199" s="7" t="n">
        <v>3781.7</v>
      </c>
      <c r="H199" s="7" t="n">
        <v>4431.6</v>
      </c>
      <c r="J199" s="7" t="n">
        <v>2641</v>
      </c>
      <c r="L199" s="7" t="n">
        <v>4665.7</v>
      </c>
      <c r="N199" s="7" t="n">
        <v>6809.4</v>
      </c>
      <c r="P199" s="7" t="n">
        <v>1660.6</v>
      </c>
      <c r="R199" s="7" t="n">
        <v>6094.2</v>
      </c>
      <c r="T199" s="7" t="n">
        <v>4013.2</v>
      </c>
      <c r="V199" s="7" t="n">
        <v>4927.3</v>
      </c>
      <c r="X199" s="7" t="n">
        <v>3123.3</v>
      </c>
      <c r="Z199" s="7" t="n">
        <v>2577.1</v>
      </c>
      <c r="AB199" s="7" t="n">
        <v>48482.3</v>
      </c>
    </row>
    <row r="200">
      <c r="A200" s="4" t="inlineStr">
        <is>
          <t>餐补</t>
        </is>
      </c>
      <c r="D200" s="7" t="n">
        <v>47.3</v>
      </c>
      <c r="F200" s="7" t="n">
        <v>42.1</v>
      </c>
      <c r="H200" s="7" t="n">
        <v>107.4</v>
      </c>
      <c r="J200" s="7" t="n">
        <v>64.90000000000001</v>
      </c>
      <c r="L200" s="7" t="n">
        <v>72.09999999999999</v>
      </c>
      <c r="N200" s="7" t="n">
        <v>115.8</v>
      </c>
      <c r="P200" s="7" t="n">
        <v>39.6</v>
      </c>
      <c r="R200" s="7" t="n">
        <v>106.4</v>
      </c>
      <c r="T200" s="7" t="n">
        <v>77.7</v>
      </c>
      <c r="V200" s="7" t="n">
        <v>123.8</v>
      </c>
      <c r="X200" s="7" t="n">
        <v>57.9</v>
      </c>
      <c r="Z200" s="7" t="n">
        <v>58.7</v>
      </c>
      <c r="AB200" s="7" t="n">
        <v>913.7</v>
      </c>
    </row>
    <row r="201">
      <c r="A201" s="4" t="inlineStr">
        <is>
          <t>交通补助</t>
        </is>
      </c>
      <c r="D201" s="7" t="n">
        <v>2028.7</v>
      </c>
      <c r="F201" s="7" t="n">
        <v>1411.9</v>
      </c>
      <c r="H201" s="7" t="n">
        <v>2237.1</v>
      </c>
      <c r="J201" s="7" t="n">
        <v>1411.5</v>
      </c>
      <c r="L201" s="7" t="n">
        <v>3272.7</v>
      </c>
      <c r="N201" s="7" t="n">
        <v>4540</v>
      </c>
      <c r="P201" s="7" t="n">
        <v>1193.1</v>
      </c>
      <c r="R201" s="7" t="n">
        <v>4494.9</v>
      </c>
      <c r="T201" s="7" t="n">
        <v>2536.3</v>
      </c>
      <c r="V201" s="7" t="n">
        <v>2891.4</v>
      </c>
      <c r="X201" s="7" t="n">
        <v>2472.1</v>
      </c>
      <c r="Z201" s="7" t="n">
        <v>2673.5</v>
      </c>
      <c r="AB201" s="7" t="n">
        <v>31163.2</v>
      </c>
    </row>
    <row r="202">
      <c r="A202" s="4" t="inlineStr">
        <is>
          <t>通讯补助</t>
        </is>
      </c>
      <c r="D202" s="7" t="n">
        <v>159.6</v>
      </c>
      <c r="F202" s="7" t="n">
        <v>234.6</v>
      </c>
      <c r="H202" s="7" t="n">
        <v>346.7</v>
      </c>
      <c r="J202" s="7" t="n">
        <v>252.3</v>
      </c>
      <c r="L202" s="7" t="n">
        <v>387.7</v>
      </c>
      <c r="N202" s="7" t="n">
        <v>445.8</v>
      </c>
      <c r="P202" s="7" t="n">
        <v>141</v>
      </c>
      <c r="R202" s="7" t="n">
        <v>419.5</v>
      </c>
      <c r="T202" s="7" t="n">
        <v>231.8</v>
      </c>
      <c r="V202" s="7" t="n">
        <v>384.2</v>
      </c>
      <c r="X202" s="7" t="n">
        <v>258.6</v>
      </c>
      <c r="Z202" s="7" t="n">
        <v>258.1</v>
      </c>
      <c r="AB202" s="7" t="n">
        <v>3519.9</v>
      </c>
    </row>
    <row r="203">
      <c r="A203" s="4" t="inlineStr">
        <is>
          <t>招待费</t>
        </is>
      </c>
      <c r="D203" s="7" t="n">
        <v>28941.5</v>
      </c>
      <c r="F203" s="7" t="n">
        <v>28855.6</v>
      </c>
      <c r="H203" s="7" t="n">
        <v>43821.1</v>
      </c>
      <c r="J203" s="7" t="n">
        <v>23303.8</v>
      </c>
      <c r="L203" s="7" t="n">
        <v>43347.8</v>
      </c>
      <c r="N203" s="7" t="n">
        <v>47542.6</v>
      </c>
      <c r="P203" s="7" t="n">
        <v>15229.9</v>
      </c>
      <c r="R203" s="7" t="n">
        <v>43284.4</v>
      </c>
      <c r="T203" s="7" t="n">
        <v>23442.6</v>
      </c>
      <c r="V203" s="7" t="n">
        <v>57298.2</v>
      </c>
      <c r="X203" s="7" t="n">
        <v>29685.2</v>
      </c>
      <c r="Z203" s="7" t="n">
        <v>28849.3</v>
      </c>
      <c r="AB203" s="7" t="n">
        <v>413602</v>
      </c>
    </row>
    <row r="204">
      <c r="A204" s="4" t="inlineStr">
        <is>
          <t>通讯费</t>
        </is>
      </c>
      <c r="D204" s="7" t="n">
        <v>2779.9</v>
      </c>
      <c r="F204" s="7" t="n">
        <v>1919.6</v>
      </c>
      <c r="H204" s="7" t="n">
        <v>3340.9</v>
      </c>
      <c r="J204" s="7" t="n">
        <v>1356.6</v>
      </c>
      <c r="L204" s="7" t="n">
        <v>2719.2</v>
      </c>
      <c r="N204" s="7" t="n">
        <v>3091.6</v>
      </c>
      <c r="P204" s="7" t="n">
        <v>1174.6</v>
      </c>
      <c r="R204" s="7" t="n">
        <v>3312.6</v>
      </c>
      <c r="T204" s="7" t="n">
        <v>2142.9</v>
      </c>
      <c r="V204" s="7" t="n">
        <v>4684.2</v>
      </c>
      <c r="X204" s="7" t="n">
        <v>2289.3</v>
      </c>
      <c r="Z204" s="7" t="n">
        <v>2523.8</v>
      </c>
      <c r="AB204" s="7" t="n">
        <v>31335.2</v>
      </c>
    </row>
    <row r="205">
      <c r="A205" s="4" t="inlineStr">
        <is>
          <t>网络费</t>
        </is>
      </c>
      <c r="D205" s="7" t="n">
        <v>4099.3</v>
      </c>
      <c r="F205" s="7" t="n">
        <v>2802.8</v>
      </c>
      <c r="H205" s="7" t="n">
        <v>4455.3</v>
      </c>
      <c r="J205" s="7" t="n">
        <v>3653.2</v>
      </c>
      <c r="L205" s="7" t="n">
        <v>6768.2</v>
      </c>
      <c r="N205" s="7" t="n">
        <v>7746.7</v>
      </c>
      <c r="P205" s="7" t="n">
        <v>2435.9</v>
      </c>
      <c r="R205" s="7" t="n">
        <v>7666.5</v>
      </c>
      <c r="T205" s="7" t="n">
        <v>5165.4</v>
      </c>
      <c r="V205" s="7" t="n">
        <v>7555.6</v>
      </c>
      <c r="X205" s="7" t="n">
        <v>5206.2</v>
      </c>
      <c r="Z205" s="7" t="n">
        <v>4345.2</v>
      </c>
      <c r="AB205" s="7" t="n">
        <v>61900.3</v>
      </c>
    </row>
    <row r="206">
      <c r="A206" s="4" t="inlineStr">
        <is>
          <t>修理费</t>
        </is>
      </c>
      <c r="D206" s="7" t="n">
        <v>1443.9</v>
      </c>
      <c r="F206" s="7" t="n">
        <v>1327.7</v>
      </c>
      <c r="H206" s="7" t="n">
        <v>1325.7</v>
      </c>
      <c r="J206" s="7" t="n">
        <v>891</v>
      </c>
      <c r="L206" s="7" t="n">
        <v>1891.4</v>
      </c>
      <c r="N206" s="7" t="n">
        <v>1646.3</v>
      </c>
      <c r="P206" s="7" t="n">
        <v>702.5</v>
      </c>
      <c r="R206" s="7" t="n">
        <v>2920.8</v>
      </c>
      <c r="T206" s="7" t="n">
        <v>1297.4</v>
      </c>
      <c r="V206" s="7" t="n">
        <v>1772.7</v>
      </c>
      <c r="X206" s="7" t="n">
        <v>1053.4</v>
      </c>
      <c r="Z206" s="7" t="n">
        <v>965.1</v>
      </c>
      <c r="AB206" s="7" t="n">
        <v>17237.9</v>
      </c>
    </row>
    <row r="207">
      <c r="A207" s="4" t="inlineStr">
        <is>
          <t>车辆费</t>
        </is>
      </c>
      <c r="D207" s="7" t="n">
        <v>3581.4</v>
      </c>
      <c r="F207" s="7" t="n">
        <v>2992.7</v>
      </c>
      <c r="H207" s="7" t="n">
        <v>6364.2</v>
      </c>
      <c r="J207" s="7" t="n">
        <v>4192.2</v>
      </c>
      <c r="L207" s="7" t="n">
        <v>3989.1</v>
      </c>
      <c r="N207" s="7" t="n">
        <v>4983.6</v>
      </c>
      <c r="P207" s="7" t="n">
        <v>2211.3</v>
      </c>
      <c r="R207" s="7" t="n">
        <v>7522.9</v>
      </c>
      <c r="T207" s="7" t="n">
        <v>3542.7</v>
      </c>
      <c r="V207" s="7" t="n">
        <v>5587.6</v>
      </c>
      <c r="X207" s="7" t="n">
        <v>3855.7</v>
      </c>
      <c r="Z207" s="7" t="n">
        <v>3828.3</v>
      </c>
      <c r="AB207" s="7" t="n">
        <v>52651.7</v>
      </c>
    </row>
    <row r="208">
      <c r="A208" s="4" t="inlineStr">
        <is>
          <t>租赁费</t>
        </is>
      </c>
      <c r="D208" s="7" t="n">
        <v>30963.4</v>
      </c>
      <c r="F208" s="7" t="n">
        <v>23716.4</v>
      </c>
      <c r="H208" s="7" t="n">
        <v>56461.8</v>
      </c>
      <c r="J208" s="7" t="n">
        <v>25249.3</v>
      </c>
      <c r="L208" s="7" t="n">
        <v>37963.1</v>
      </c>
      <c r="N208" s="7" t="n">
        <v>65102.2</v>
      </c>
      <c r="P208" s="7" t="n">
        <v>20156.5</v>
      </c>
      <c r="R208" s="7" t="n">
        <v>67011.7</v>
      </c>
      <c r="T208" s="7" t="n">
        <v>44617.2</v>
      </c>
      <c r="V208" s="7" t="n">
        <v>72796.60000000001</v>
      </c>
      <c r="X208" s="7" t="n">
        <v>37591.3</v>
      </c>
      <c r="Z208" s="7" t="n">
        <v>35705.4</v>
      </c>
      <c r="AB208" s="7" t="n">
        <v>517334.9</v>
      </c>
    </row>
    <row r="209">
      <c r="A209" s="4" t="inlineStr">
        <is>
          <t>能源费</t>
        </is>
      </c>
      <c r="D209" s="7" t="n">
        <v>7089.5</v>
      </c>
      <c r="F209" s="7" t="n">
        <v>5908.9</v>
      </c>
      <c r="H209" s="7" t="n">
        <v>8557.4</v>
      </c>
      <c r="J209" s="7" t="n">
        <v>6535.3</v>
      </c>
      <c r="L209" s="7" t="n">
        <v>10290.9</v>
      </c>
      <c r="N209" s="7" t="n">
        <v>11729.4</v>
      </c>
      <c r="P209" s="7" t="n">
        <v>3490.5</v>
      </c>
      <c r="R209" s="7" t="n">
        <v>10011.9</v>
      </c>
      <c r="T209" s="7" t="n">
        <v>6714.5</v>
      </c>
      <c r="V209" s="7" t="n">
        <v>13212</v>
      </c>
      <c r="X209" s="7" t="n">
        <v>8926.799999999999</v>
      </c>
      <c r="Z209" s="7" t="n">
        <v>6287.9</v>
      </c>
      <c r="AB209" s="7" t="n">
        <v>98755</v>
      </c>
    </row>
    <row r="210">
      <c r="A210" s="4" t="inlineStr">
        <is>
          <t>水费</t>
        </is>
      </c>
      <c r="D210" s="7" t="n">
        <v>611.2</v>
      </c>
      <c r="F210" s="7" t="n">
        <v>647.4</v>
      </c>
      <c r="H210" s="7" t="n">
        <v>951.3</v>
      </c>
      <c r="J210" s="7" t="n">
        <v>688.6</v>
      </c>
      <c r="L210" s="7" t="n">
        <v>751</v>
      </c>
      <c r="N210" s="7" t="n">
        <v>1309.7</v>
      </c>
      <c r="P210" s="7" t="n">
        <v>370.5</v>
      </c>
      <c r="R210" s="7" t="n">
        <v>980.4</v>
      </c>
      <c r="T210" s="7" t="n">
        <v>988.6</v>
      </c>
      <c r="V210" s="7" t="n">
        <v>1150</v>
      </c>
      <c r="X210" s="7" t="n">
        <v>763.5</v>
      </c>
      <c r="Z210" s="7" t="n">
        <v>876.6</v>
      </c>
      <c r="AB210" s="7" t="n">
        <v>10088.8</v>
      </c>
    </row>
    <row r="211">
      <c r="A211" s="4" t="inlineStr">
        <is>
          <t>电费</t>
        </is>
      </c>
      <c r="D211" s="7" t="n">
        <v>1293.3</v>
      </c>
      <c r="F211" s="7" t="n">
        <v>948.3</v>
      </c>
      <c r="H211" s="7" t="n">
        <v>1485.4</v>
      </c>
      <c r="J211" s="7" t="n">
        <v>709.1</v>
      </c>
      <c r="L211" s="7" t="n">
        <v>1426.4</v>
      </c>
      <c r="N211" s="7" t="n">
        <v>2167.5</v>
      </c>
      <c r="P211" s="7" t="n">
        <v>588.8</v>
      </c>
      <c r="R211" s="7" t="n">
        <v>2150.7</v>
      </c>
      <c r="T211" s="7" t="n">
        <v>1010.3</v>
      </c>
      <c r="V211" s="7" t="n">
        <v>2148.4</v>
      </c>
      <c r="X211" s="7" t="n">
        <v>1197.3</v>
      </c>
      <c r="Z211" s="7" t="n">
        <v>986.8</v>
      </c>
      <c r="AB211" s="7" t="n">
        <v>16112.3</v>
      </c>
    </row>
    <row r="212">
      <c r="A212" s="4" t="inlineStr">
        <is>
          <t>燃气费</t>
        </is>
      </c>
      <c r="D212" s="7" t="n">
        <v>3380.2</v>
      </c>
      <c r="F212" s="7" t="n">
        <v>3239.1</v>
      </c>
      <c r="H212" s="7" t="n">
        <v>4720.3</v>
      </c>
      <c r="J212" s="7" t="n">
        <v>3737.8</v>
      </c>
      <c r="L212" s="7" t="n">
        <v>5940.8</v>
      </c>
      <c r="N212" s="7" t="n">
        <v>5634.9</v>
      </c>
      <c r="P212" s="7" t="n">
        <v>1507.5</v>
      </c>
      <c r="R212" s="7" t="n">
        <v>5035.8</v>
      </c>
      <c r="T212" s="7" t="n">
        <v>2947.1</v>
      </c>
      <c r="V212" s="7" t="n">
        <v>7214.3</v>
      </c>
      <c r="X212" s="7" t="n">
        <v>5198.8</v>
      </c>
      <c r="Z212" s="7" t="n">
        <v>2893.5</v>
      </c>
      <c r="AB212" s="7" t="n">
        <v>51450.1</v>
      </c>
    </row>
    <row r="213">
      <c r="A213" s="4" t="inlineStr">
        <is>
          <t>蒸汽费</t>
        </is>
      </c>
      <c r="D213" s="7" t="n">
        <v>1804.8</v>
      </c>
      <c r="F213" s="7" t="n">
        <v>1074.1</v>
      </c>
      <c r="H213" s="7" t="n">
        <v>1400.4</v>
      </c>
      <c r="J213" s="7" t="n">
        <v>1399.8</v>
      </c>
      <c r="L213" s="7" t="n">
        <v>2172.7</v>
      </c>
      <c r="N213" s="7" t="n">
        <v>2617.3</v>
      </c>
      <c r="P213" s="7" t="n">
        <v>1023.7</v>
      </c>
      <c r="R213" s="7" t="n">
        <v>1845</v>
      </c>
      <c r="T213" s="7" t="n">
        <v>1768.5</v>
      </c>
      <c r="V213" s="7" t="n">
        <v>2699.3</v>
      </c>
      <c r="X213" s="7" t="n">
        <v>1767.2</v>
      </c>
      <c r="Z213" s="7" t="n">
        <v>1531</v>
      </c>
      <c r="AB213" s="7" t="n">
        <v>21103.8</v>
      </c>
    </row>
    <row r="214">
      <c r="A214" s="4" t="inlineStr">
        <is>
          <t>物业费</t>
        </is>
      </c>
      <c r="D214" s="7" t="n">
        <v>1237.8</v>
      </c>
      <c r="F214" s="7" t="n">
        <v>1400.6</v>
      </c>
      <c r="H214" s="7" t="n">
        <v>1842.6</v>
      </c>
      <c r="J214" s="7" t="n">
        <v>1004.4</v>
      </c>
      <c r="L214" s="7" t="n">
        <v>2133.2</v>
      </c>
      <c r="N214" s="7" t="n">
        <v>2822.8</v>
      </c>
      <c r="P214" s="7" t="n">
        <v>545.9</v>
      </c>
      <c r="R214" s="7" t="n">
        <v>2047.3</v>
      </c>
      <c r="T214" s="7" t="n">
        <v>1565.4</v>
      </c>
      <c r="V214" s="7" t="n">
        <v>2815</v>
      </c>
      <c r="X214" s="7" t="n">
        <v>1696.4</v>
      </c>
      <c r="Z214" s="7" t="n">
        <v>1375.4</v>
      </c>
      <c r="AB214" s="7" t="n">
        <v>20486.8</v>
      </c>
    </row>
    <row r="215">
      <c r="A215" s="4" t="inlineStr">
        <is>
          <t>劳动保护费</t>
        </is>
      </c>
      <c r="D215" s="7" t="n">
        <v>936.5</v>
      </c>
      <c r="F215" s="7" t="n">
        <v>1028</v>
      </c>
      <c r="H215" s="7" t="n">
        <v>1351.3</v>
      </c>
      <c r="J215" s="7" t="n">
        <v>882.9</v>
      </c>
      <c r="L215" s="7" t="n">
        <v>1592.1</v>
      </c>
      <c r="N215" s="7" t="n">
        <v>1837.7</v>
      </c>
      <c r="P215" s="7" t="n">
        <v>506.5</v>
      </c>
      <c r="R215" s="7" t="n">
        <v>1339.2</v>
      </c>
      <c r="T215" s="7" t="n">
        <v>940.9</v>
      </c>
      <c r="V215" s="7" t="n">
        <v>1126.1</v>
      </c>
      <c r="X215" s="7" t="n">
        <v>946.2</v>
      </c>
      <c r="Z215" s="7" t="n">
        <v>1119.1</v>
      </c>
      <c r="AB215" s="7" t="n">
        <v>13606.5</v>
      </c>
    </row>
    <row r="216">
      <c r="A216" s="4" t="inlineStr">
        <is>
          <t>顾问费</t>
        </is>
      </c>
      <c r="D216" s="7" t="n">
        <v>2552.5</v>
      </c>
      <c r="F216" s="7" t="n">
        <v>4095</v>
      </c>
      <c r="H216" s="7" t="n">
        <v>3888.3</v>
      </c>
      <c r="J216" s="7" t="n">
        <v>2152.1</v>
      </c>
      <c r="L216" s="7" t="n">
        <v>4804.6</v>
      </c>
      <c r="N216" s="7" t="n">
        <v>5744.1</v>
      </c>
      <c r="P216" s="7" t="n">
        <v>2237.4</v>
      </c>
      <c r="R216" s="7" t="n">
        <v>4699.3</v>
      </c>
      <c r="T216" s="7" t="n">
        <v>2761.7</v>
      </c>
      <c r="V216" s="7" t="n">
        <v>6626.5</v>
      </c>
      <c r="X216" s="7" t="n">
        <v>4000.2</v>
      </c>
      <c r="Z216" s="7" t="n">
        <v>3004.9</v>
      </c>
      <c r="AB216" s="7" t="n">
        <v>46566.6</v>
      </c>
    </row>
    <row r="217">
      <c r="A217" s="4" t="inlineStr">
        <is>
          <t>快递费</t>
        </is>
      </c>
      <c r="D217" s="7" t="n">
        <v>3910.6</v>
      </c>
      <c r="F217" s="7" t="n">
        <v>4273.9</v>
      </c>
      <c r="H217" s="7" t="n">
        <v>3581.1</v>
      </c>
      <c r="J217" s="7" t="n">
        <v>2192.6</v>
      </c>
      <c r="L217" s="7" t="n">
        <v>4503.1</v>
      </c>
      <c r="N217" s="7" t="n">
        <v>6385</v>
      </c>
      <c r="P217" s="7" t="n">
        <v>1850.7</v>
      </c>
      <c r="R217" s="7" t="n">
        <v>4499.8</v>
      </c>
      <c r="T217" s="7" t="n">
        <v>4395.8</v>
      </c>
      <c r="V217" s="7" t="n">
        <v>4559.7</v>
      </c>
      <c r="X217" s="7" t="n">
        <v>3483.9</v>
      </c>
      <c r="Z217" s="7" t="n">
        <v>4249.6</v>
      </c>
      <c r="AB217" s="7" t="n">
        <v>47885.8</v>
      </c>
    </row>
    <row r="218">
      <c r="A218" s="4" t="inlineStr">
        <is>
          <t>诉讼费</t>
        </is>
      </c>
      <c r="D218" s="7" t="n">
        <v>2599.1</v>
      </c>
      <c r="F218" s="7" t="n">
        <v>2290.8</v>
      </c>
      <c r="H218" s="7" t="n">
        <v>3538.1</v>
      </c>
      <c r="J218" s="7" t="n">
        <v>1812.5</v>
      </c>
      <c r="L218" s="7" t="n">
        <v>3528.4</v>
      </c>
      <c r="N218" s="7" t="n">
        <v>3739</v>
      </c>
      <c r="P218" s="7" t="n">
        <v>1210.6</v>
      </c>
      <c r="R218" s="7" t="n">
        <v>3822.1</v>
      </c>
      <c r="T218" s="7" t="n">
        <v>2147.5</v>
      </c>
      <c r="V218" s="7" t="n">
        <v>2999.2</v>
      </c>
      <c r="X218" s="7" t="n">
        <v>2717.1</v>
      </c>
      <c r="Z218" s="7" t="n">
        <v>2458.7</v>
      </c>
      <c r="AB218" s="7" t="n">
        <v>32863.1</v>
      </c>
    </row>
    <row r="219">
      <c r="A219" s="4" t="inlineStr">
        <is>
          <t>会员费</t>
        </is>
      </c>
      <c r="D219" s="7" t="n">
        <v>3374.9</v>
      </c>
      <c r="F219" s="7" t="n">
        <v>2906.8</v>
      </c>
      <c r="H219" s="7" t="n">
        <v>3444.6</v>
      </c>
      <c r="J219" s="7" t="n">
        <v>2320.4</v>
      </c>
      <c r="L219" s="7" t="n">
        <v>4443.3</v>
      </c>
      <c r="N219" s="7" t="n">
        <v>6151.6</v>
      </c>
      <c r="P219" s="7" t="n">
        <v>1614.7</v>
      </c>
      <c r="R219" s="7" t="n">
        <v>4070.3</v>
      </c>
      <c r="T219" s="7" t="n">
        <v>3945.7</v>
      </c>
      <c r="V219" s="7" t="n">
        <v>6118.6</v>
      </c>
      <c r="X219" s="7" t="n">
        <v>2579.8</v>
      </c>
      <c r="Z219" s="7" t="n">
        <v>2382.9</v>
      </c>
      <c r="AB219" s="7" t="n">
        <v>43353.6</v>
      </c>
    </row>
    <row r="220">
      <c r="A220" s="4" t="inlineStr">
        <is>
          <t>广告宣传费</t>
        </is>
      </c>
      <c r="D220" s="7" t="n">
        <v>25087.7</v>
      </c>
      <c r="F220" s="7" t="n">
        <v>19267.8</v>
      </c>
      <c r="H220" s="7" t="n">
        <v>26725.9</v>
      </c>
      <c r="J220" s="7" t="n">
        <v>16225</v>
      </c>
      <c r="L220" s="7" t="n">
        <v>29260.8</v>
      </c>
      <c r="N220" s="7" t="n">
        <v>36917.7</v>
      </c>
      <c r="P220" s="7" t="n">
        <v>12119.5</v>
      </c>
      <c r="R220" s="7" t="n">
        <v>34191.7</v>
      </c>
      <c r="T220" s="7" t="n">
        <v>20443</v>
      </c>
      <c r="V220" s="7" t="n">
        <v>34751.5</v>
      </c>
      <c r="X220" s="7" t="n">
        <v>22352.3</v>
      </c>
      <c r="Z220" s="7" t="n">
        <v>21198.2</v>
      </c>
      <c r="AB220" s="7" t="n">
        <v>298541.1</v>
      </c>
    </row>
    <row r="221">
      <c r="A221" s="4" t="inlineStr">
        <is>
          <t>会务费</t>
        </is>
      </c>
      <c r="D221" s="7" t="n">
        <v>4114.3</v>
      </c>
      <c r="F221" s="7" t="n">
        <v>5107.3</v>
      </c>
      <c r="H221" s="7" t="n">
        <v>6712.4</v>
      </c>
      <c r="J221" s="7" t="n">
        <v>2818.3</v>
      </c>
      <c r="L221" s="7" t="n">
        <v>4550.8</v>
      </c>
      <c r="N221" s="7" t="n">
        <v>8039.1</v>
      </c>
      <c r="P221" s="7" t="n">
        <v>1896.4</v>
      </c>
      <c r="R221" s="7" t="n">
        <v>8338.5</v>
      </c>
      <c r="T221" s="7" t="n">
        <v>5904.1</v>
      </c>
      <c r="V221" s="7" t="n">
        <v>5455.3</v>
      </c>
      <c r="X221" s="7" t="n">
        <v>3945.8</v>
      </c>
      <c r="Z221" s="7" t="n">
        <v>4403.3</v>
      </c>
      <c r="AB221" s="7" t="n">
        <v>61285.6</v>
      </c>
    </row>
    <row r="222">
      <c r="A222" s="4" t="inlineStr">
        <is>
          <t>装修费</t>
        </is>
      </c>
      <c r="D222" s="7" t="n">
        <v>4204.2</v>
      </c>
      <c r="F222" s="7" t="n">
        <v>2939.3</v>
      </c>
      <c r="H222" s="7" t="n">
        <v>5728.1</v>
      </c>
      <c r="J222" s="7" t="n">
        <v>3047.8</v>
      </c>
      <c r="L222" s="7" t="n">
        <v>4442.7</v>
      </c>
      <c r="N222" s="7" t="n">
        <v>4419.5</v>
      </c>
      <c r="P222" s="7" t="n">
        <v>2039.5</v>
      </c>
      <c r="R222" s="7" t="n">
        <v>4312.4</v>
      </c>
      <c r="T222" s="7" t="n">
        <v>3078.2</v>
      </c>
      <c r="V222" s="7" t="n">
        <v>5236.8</v>
      </c>
      <c r="X222" s="7" t="n">
        <v>4949.1</v>
      </c>
      <c r="Z222" s="7" t="n">
        <v>3164.3</v>
      </c>
      <c r="AB222" s="7" t="n">
        <v>47561.9</v>
      </c>
    </row>
    <row r="223">
      <c r="A223" s="4" t="inlineStr">
        <is>
          <t>推广费</t>
        </is>
      </c>
      <c r="D223" s="7" t="n">
        <v>2538.5</v>
      </c>
      <c r="F223" s="7" t="n">
        <v>1630.3</v>
      </c>
      <c r="H223" s="7" t="n">
        <v>3091.1</v>
      </c>
      <c r="J223" s="7" t="n">
        <v>1363.6</v>
      </c>
      <c r="L223" s="7" t="n">
        <v>3783.5</v>
      </c>
      <c r="N223" s="7" t="n">
        <v>4593.3</v>
      </c>
      <c r="P223" s="7" t="n">
        <v>1055.6</v>
      </c>
      <c r="R223" s="7" t="n">
        <v>4618.5</v>
      </c>
      <c r="T223" s="7" t="n">
        <v>2513</v>
      </c>
      <c r="V223" s="7" t="n">
        <v>2856.7</v>
      </c>
      <c r="X223" s="7" t="n">
        <v>2262.5</v>
      </c>
      <c r="Z223" s="7" t="n">
        <v>2854.6</v>
      </c>
      <c r="AB223" s="7" t="n">
        <v>33161.2</v>
      </c>
    </row>
    <row r="224">
      <c r="A224" s="4" t="inlineStr">
        <is>
          <t>展会费</t>
        </is>
      </c>
      <c r="D224" s="7" t="n">
        <v>1938.4</v>
      </c>
      <c r="F224" s="7" t="n">
        <v>1854.5</v>
      </c>
      <c r="H224" s="7" t="n">
        <v>3126.2</v>
      </c>
      <c r="J224" s="7" t="n">
        <v>1878.2</v>
      </c>
      <c r="L224" s="7" t="n">
        <v>2590.2</v>
      </c>
      <c r="N224" s="7" t="n">
        <v>3622.7</v>
      </c>
      <c r="P224" s="7" t="n">
        <v>1163.1</v>
      </c>
      <c r="R224" s="7" t="n">
        <v>3854.6</v>
      </c>
      <c r="T224" s="7" t="n">
        <v>2180.4</v>
      </c>
      <c r="V224" s="7" t="n">
        <v>3099.7</v>
      </c>
      <c r="X224" s="7" t="n">
        <v>2074.2</v>
      </c>
      <c r="Z224" s="7" t="n">
        <v>1945.7</v>
      </c>
      <c r="AB224" s="7" t="n">
        <v>29327.9</v>
      </c>
    </row>
    <row r="225">
      <c r="A225" s="4" t="inlineStr">
        <is>
          <t>设计费</t>
        </is>
      </c>
      <c r="D225" s="7" t="n">
        <v>3448.6</v>
      </c>
      <c r="F225" s="7" t="n">
        <v>4367.2</v>
      </c>
      <c r="H225" s="7" t="n">
        <v>5746.1</v>
      </c>
      <c r="J225" s="7" t="n">
        <v>3153.1</v>
      </c>
      <c r="L225" s="7" t="n">
        <v>4580.6</v>
      </c>
      <c r="N225" s="7" t="n">
        <v>6222.7</v>
      </c>
      <c r="P225" s="7" t="n">
        <v>2325</v>
      </c>
      <c r="R225" s="7" t="n">
        <v>8810.5</v>
      </c>
      <c r="T225" s="7" t="n">
        <v>5566.4</v>
      </c>
      <c r="V225" s="7" t="n">
        <v>7517.5</v>
      </c>
      <c r="X225" s="7" t="n">
        <v>4825</v>
      </c>
      <c r="Z225" s="7" t="n">
        <v>5078.2</v>
      </c>
      <c r="AB225" s="7" t="n">
        <v>61640.9</v>
      </c>
    </row>
    <row r="226">
      <c r="A226" s="4" t="inlineStr">
        <is>
          <t>折旧费</t>
        </is>
      </c>
      <c r="D226" s="7" t="n">
        <v>30499.3</v>
      </c>
      <c r="F226" s="7" t="n">
        <v>27187.5</v>
      </c>
      <c r="H226" s="7" t="n">
        <v>43367.5</v>
      </c>
      <c r="J226" s="7" t="n">
        <v>26395.3</v>
      </c>
      <c r="L226" s="7" t="n">
        <v>39816.1</v>
      </c>
      <c r="N226" s="7" t="n">
        <v>36196</v>
      </c>
      <c r="P226" s="7" t="n">
        <v>16546.7</v>
      </c>
      <c r="R226" s="7" t="n">
        <v>39680.9</v>
      </c>
      <c r="T226" s="7" t="n">
        <v>34022.5</v>
      </c>
      <c r="V226" s="7" t="n">
        <v>48506.2</v>
      </c>
      <c r="X226" s="7" t="n">
        <v>22857.9</v>
      </c>
      <c r="Z226" s="7" t="n">
        <v>30554</v>
      </c>
      <c r="AB226" s="7" t="n">
        <v>395629.9</v>
      </c>
    </row>
    <row r="227">
      <c r="A227" s="4" t="inlineStr">
        <is>
          <t>认证费</t>
        </is>
      </c>
      <c r="D227" s="7" t="n">
        <v>830</v>
      </c>
      <c r="F227" s="7" t="n">
        <v>1001.9</v>
      </c>
      <c r="H227" s="7" t="n">
        <v>882.8</v>
      </c>
      <c r="J227" s="7" t="n">
        <v>919.6</v>
      </c>
      <c r="L227" s="7" t="n">
        <v>963.4</v>
      </c>
      <c r="N227" s="7" t="n">
        <v>1032.6</v>
      </c>
      <c r="P227" s="7" t="n">
        <v>581.4</v>
      </c>
      <c r="R227" s="7" t="n">
        <v>1280</v>
      </c>
      <c r="T227" s="7" t="n">
        <v>1107.8</v>
      </c>
      <c r="V227" s="7" t="n">
        <v>1774.5</v>
      </c>
      <c r="X227" s="7" t="n">
        <v>937.4</v>
      </c>
      <c r="Z227" s="7" t="n">
        <v>1077.9</v>
      </c>
      <c r="AB227" s="7" t="n">
        <v>12389.3</v>
      </c>
    </row>
    <row r="228">
      <c r="A228" s="4" t="inlineStr">
        <is>
          <t>样品费</t>
        </is>
      </c>
      <c r="D228" s="7" t="n">
        <v>14433</v>
      </c>
      <c r="F228" s="7" t="n">
        <v>12263.1</v>
      </c>
      <c r="H228" s="7" t="n">
        <v>13385.4</v>
      </c>
      <c r="J228" s="7" t="n">
        <v>14286.2</v>
      </c>
      <c r="L228" s="7" t="n">
        <v>13711.3</v>
      </c>
      <c r="N228" s="7" t="n">
        <v>22491</v>
      </c>
      <c r="P228" s="7" t="n">
        <v>7581.1</v>
      </c>
      <c r="R228" s="7" t="n">
        <v>29580.7</v>
      </c>
      <c r="T228" s="7" t="n">
        <v>14140.2</v>
      </c>
      <c r="V228" s="7" t="n">
        <v>19806.3</v>
      </c>
      <c r="X228" s="7" t="n">
        <v>12007.8</v>
      </c>
      <c r="Z228" s="7" t="n">
        <v>11135.1</v>
      </c>
      <c r="AB228" s="7" t="n">
        <v>184821.2</v>
      </c>
    </row>
    <row r="229">
      <c r="A229" s="4" t="inlineStr">
        <is>
          <t>劳务费</t>
        </is>
      </c>
      <c r="D229" s="7" t="n">
        <v>588.1</v>
      </c>
      <c r="F229" s="7" t="n">
        <v>613.1</v>
      </c>
      <c r="H229" s="7" t="n">
        <v>765.2</v>
      </c>
      <c r="J229" s="7" t="n">
        <v>572.1</v>
      </c>
      <c r="L229" s="7" t="n">
        <v>999.9</v>
      </c>
      <c r="N229" s="7" t="n">
        <v>1032.9</v>
      </c>
      <c r="P229" s="7" t="n">
        <v>470.7</v>
      </c>
      <c r="R229" s="7" t="n">
        <v>1200.8</v>
      </c>
      <c r="T229" s="7" t="n">
        <v>627.1</v>
      </c>
      <c r="V229" s="7" t="n">
        <v>939.6</v>
      </c>
      <c r="X229" s="7" t="n">
        <v>804.3</v>
      </c>
      <c r="Z229" s="7" t="n">
        <v>720.9</v>
      </c>
      <c r="AB229" s="7" t="n">
        <v>9334.700000000001</v>
      </c>
    </row>
    <row r="230">
      <c r="A230" s="4" t="inlineStr">
        <is>
          <t>销售佣金</t>
        </is>
      </c>
      <c r="D230" s="7" t="n">
        <v>1642.2</v>
      </c>
      <c r="F230" s="7" t="n">
        <v>1632</v>
      </c>
      <c r="H230" s="7" t="n">
        <v>2982.2</v>
      </c>
      <c r="J230" s="7" t="n">
        <v>1227.4</v>
      </c>
      <c r="L230" s="7" t="n">
        <v>2135.5</v>
      </c>
      <c r="N230" s="7" t="n">
        <v>3642.4</v>
      </c>
      <c r="P230" s="7" t="n">
        <v>1137.1</v>
      </c>
      <c r="R230" s="7" t="n">
        <v>3279.3</v>
      </c>
      <c r="T230" s="7" t="n">
        <v>2474.9</v>
      </c>
      <c r="V230" s="7" t="n">
        <v>2921.6</v>
      </c>
      <c r="X230" s="7" t="n">
        <v>1625.8</v>
      </c>
      <c r="Z230" s="7" t="n">
        <v>1461.1</v>
      </c>
      <c r="AB230" s="7" t="n">
        <v>26161.5</v>
      </c>
    </row>
    <row r="231">
      <c r="A231" s="4" t="inlineStr">
        <is>
          <t>检测费</t>
        </is>
      </c>
      <c r="D231" s="7" t="n">
        <v>1951.8</v>
      </c>
      <c r="F231" s="7" t="n">
        <v>1967.1</v>
      </c>
      <c r="H231" s="7" t="n">
        <v>2650.3</v>
      </c>
      <c r="J231" s="7" t="n">
        <v>1503</v>
      </c>
      <c r="L231" s="7" t="n">
        <v>3604.9</v>
      </c>
      <c r="N231" s="7" t="n">
        <v>3068.9</v>
      </c>
      <c r="P231" s="7" t="n">
        <v>1556.1</v>
      </c>
      <c r="R231" s="7" t="n">
        <v>4097.6</v>
      </c>
      <c r="T231" s="7" t="n">
        <v>2051.8</v>
      </c>
      <c r="V231" s="7" t="n">
        <v>3649.2</v>
      </c>
      <c r="X231" s="7" t="n">
        <v>2787.7</v>
      </c>
      <c r="Z231" s="7" t="n">
        <v>1972.2</v>
      </c>
      <c r="AB231" s="7" t="n">
        <v>30860.6</v>
      </c>
    </row>
    <row r="232">
      <c r="A232" s="4" t="inlineStr">
        <is>
          <t>质量赔偿</t>
        </is>
      </c>
      <c r="D232" s="7" t="n">
        <v>1357.2</v>
      </c>
      <c r="F232" s="7" t="n">
        <v>1879.4</v>
      </c>
      <c r="H232" s="7" t="n">
        <v>2018.5</v>
      </c>
      <c r="J232" s="7" t="n">
        <v>2004.7</v>
      </c>
      <c r="L232" s="7" t="n">
        <v>2366.4</v>
      </c>
      <c r="N232" s="7" t="n">
        <v>4024.9</v>
      </c>
      <c r="P232" s="7" t="n">
        <v>1245.7</v>
      </c>
      <c r="R232" s="7" t="n">
        <v>3317.8</v>
      </c>
      <c r="T232" s="7" t="n">
        <v>2020.9</v>
      </c>
      <c r="V232" s="7" t="n">
        <v>3855.2</v>
      </c>
      <c r="X232" s="7" t="n">
        <v>2022.7</v>
      </c>
      <c r="Z232" s="7" t="n">
        <v>1369.6</v>
      </c>
      <c r="AB232" s="7" t="n">
        <v>27483</v>
      </c>
    </row>
    <row r="233">
      <c r="A233" s="4" t="inlineStr">
        <is>
          <t>保险费</t>
        </is>
      </c>
      <c r="D233" s="7" t="n">
        <v>2474.7</v>
      </c>
      <c r="F233" s="7" t="n">
        <v>1734.2</v>
      </c>
      <c r="H233" s="7" t="n">
        <v>3599.5</v>
      </c>
      <c r="J233" s="7" t="n">
        <v>1252.2</v>
      </c>
      <c r="L233" s="7" t="n">
        <v>3686.7</v>
      </c>
      <c r="N233" s="7" t="n">
        <v>3522.9</v>
      </c>
      <c r="P233" s="7" t="n">
        <v>1288.5</v>
      </c>
      <c r="R233" s="7" t="n">
        <v>4461.6</v>
      </c>
      <c r="T233" s="7" t="n">
        <v>2245.3</v>
      </c>
      <c r="V233" s="7" t="n">
        <v>3217.1</v>
      </c>
      <c r="X233" s="7" t="n">
        <v>2568.3</v>
      </c>
      <c r="Z233" s="7" t="n">
        <v>2347.4</v>
      </c>
      <c r="AB233" s="7" t="n">
        <v>32398.4</v>
      </c>
    </row>
    <row r="234">
      <c r="A234" s="4" t="inlineStr">
        <is>
          <t>清洁费</t>
        </is>
      </c>
      <c r="D234" s="7" t="n">
        <v>1650.5</v>
      </c>
      <c r="F234" s="7" t="n">
        <v>2493.2</v>
      </c>
      <c r="H234" s="7" t="n">
        <v>3197.3</v>
      </c>
      <c r="J234" s="7" t="n">
        <v>1729</v>
      </c>
      <c r="L234" s="7" t="n">
        <v>3011.5</v>
      </c>
      <c r="N234" s="7" t="n">
        <v>3026.3</v>
      </c>
      <c r="P234" s="7" t="n">
        <v>1047.7</v>
      </c>
      <c r="R234" s="7" t="n">
        <v>4209</v>
      </c>
      <c r="T234" s="7" t="n">
        <v>2305.5</v>
      </c>
      <c r="V234" s="7" t="n">
        <v>3720.8</v>
      </c>
      <c r="X234" s="7" t="n">
        <v>2786.6</v>
      </c>
      <c r="Z234" s="7" t="n">
        <v>3126</v>
      </c>
      <c r="AB234" s="7" t="n">
        <v>32303.4</v>
      </c>
    </row>
    <row r="235">
      <c r="A235" s="4" t="inlineStr">
        <is>
          <t>低值易耗品</t>
        </is>
      </c>
      <c r="D235" s="7" t="n">
        <v>1570.2</v>
      </c>
      <c r="F235" s="7" t="n">
        <v>1231.5</v>
      </c>
      <c r="H235" s="7" t="n">
        <v>1646.4</v>
      </c>
      <c r="J235" s="7" t="n">
        <v>1410.6</v>
      </c>
      <c r="L235" s="7" t="n">
        <v>1947.4</v>
      </c>
      <c r="N235" s="7" t="n">
        <v>2067.5</v>
      </c>
      <c r="P235" s="7" t="n">
        <v>1075.4</v>
      </c>
      <c r="R235" s="7" t="n">
        <v>2297.9</v>
      </c>
      <c r="T235" s="7" t="n">
        <v>1617.3</v>
      </c>
      <c r="V235" s="7" t="n">
        <v>2564</v>
      </c>
      <c r="X235" s="7" t="n">
        <v>1156.6</v>
      </c>
      <c r="Z235" s="7" t="n">
        <v>1706</v>
      </c>
      <c r="AB235" s="7" t="n">
        <v>20290.8</v>
      </c>
    </row>
    <row r="236">
      <c r="A236" s="4" t="inlineStr">
        <is>
          <t>物料消耗</t>
        </is>
      </c>
      <c r="D236" s="7" t="n">
        <v>2015.9</v>
      </c>
      <c r="F236" s="7" t="n">
        <v>2723</v>
      </c>
      <c r="H236" s="7" t="n">
        <v>4842.4</v>
      </c>
      <c r="J236" s="7" t="n">
        <v>2745.4</v>
      </c>
      <c r="L236" s="7" t="n">
        <v>3858.3</v>
      </c>
      <c r="N236" s="7" t="n">
        <v>6129.1</v>
      </c>
      <c r="P236" s="7" t="n">
        <v>1899.8</v>
      </c>
      <c r="R236" s="7" t="n">
        <v>5968.9</v>
      </c>
      <c r="T236" s="7" t="n">
        <v>3442.8</v>
      </c>
      <c r="V236" s="7" t="n">
        <v>5760.9</v>
      </c>
      <c r="X236" s="7" t="n">
        <v>3606.6</v>
      </c>
      <c r="Z236" s="7" t="n">
        <v>2319.4</v>
      </c>
      <c r="AB236" s="7" t="n">
        <v>45312.5</v>
      </c>
    </row>
    <row r="237">
      <c r="A237" s="4" t="inlineStr">
        <is>
          <t>盘盈盘亏</t>
        </is>
      </c>
      <c r="D237" s="7" t="n">
        <v>165</v>
      </c>
      <c r="F237" s="7" t="n">
        <v>145.8</v>
      </c>
      <c r="H237" s="7" t="n">
        <v>206.1</v>
      </c>
      <c r="J237" s="7" t="n">
        <v>108.6</v>
      </c>
      <c r="L237" s="7" t="n">
        <v>231.4</v>
      </c>
      <c r="N237" s="7" t="n">
        <v>283.8</v>
      </c>
      <c r="P237" s="7" t="n">
        <v>74.2</v>
      </c>
      <c r="R237" s="7" t="n">
        <v>199.1</v>
      </c>
      <c r="T237" s="7" t="n">
        <v>187</v>
      </c>
      <c r="V237" s="7" t="n">
        <v>263.1</v>
      </c>
      <c r="X237" s="7" t="n">
        <v>111.7</v>
      </c>
      <c r="Z237" s="7" t="n">
        <v>145.4</v>
      </c>
      <c r="AB237" s="7" t="n">
        <v>2121.2</v>
      </c>
    </row>
    <row r="238">
      <c r="A238" s="4" t="inlineStr">
        <is>
          <t>平台服务费</t>
        </is>
      </c>
      <c r="D238" s="7" t="n">
        <v>4025.1</v>
      </c>
      <c r="F238" s="7" t="n">
        <v>3331.7</v>
      </c>
      <c r="H238" s="7" t="n">
        <v>4023.4</v>
      </c>
      <c r="J238" s="7" t="n">
        <v>3129.8</v>
      </c>
      <c r="L238" s="7" t="n">
        <v>7385.7</v>
      </c>
      <c r="N238" s="7" t="n">
        <v>6563</v>
      </c>
      <c r="P238" s="7" t="n">
        <v>1849</v>
      </c>
      <c r="R238" s="7" t="n">
        <v>7977</v>
      </c>
      <c r="T238" s="7" t="n">
        <v>4299</v>
      </c>
      <c r="V238" s="7" t="n">
        <v>8046.8</v>
      </c>
      <c r="X238" s="7" t="n">
        <v>4030.1</v>
      </c>
      <c r="Z238" s="7" t="n">
        <v>4483.2</v>
      </c>
      <c r="AB238" s="7" t="n">
        <v>59143.8</v>
      </c>
    </row>
    <row r="239">
      <c r="A239" s="4" t="inlineStr">
        <is>
          <t>无形资产摊销</t>
        </is>
      </c>
      <c r="D239" s="7" t="n">
        <v>1401.9</v>
      </c>
      <c r="F239" s="7" t="n">
        <v>1927.3</v>
      </c>
      <c r="H239" s="7" t="n">
        <v>2463.5</v>
      </c>
      <c r="J239" s="7" t="n">
        <v>1153.1</v>
      </c>
      <c r="L239" s="7" t="n">
        <v>1868.9</v>
      </c>
      <c r="N239" s="7" t="n">
        <v>3317.9</v>
      </c>
      <c r="P239" s="7" t="n">
        <v>891.5</v>
      </c>
      <c r="R239" s="7" t="n">
        <v>3538.4</v>
      </c>
      <c r="T239" s="7" t="n">
        <v>1968.4</v>
      </c>
      <c r="V239" s="7" t="n">
        <v>2749.4</v>
      </c>
      <c r="X239" s="7" t="n">
        <v>1916.7</v>
      </c>
      <c r="Z239" s="7" t="n">
        <v>1912</v>
      </c>
      <c r="AB239" s="7" t="n">
        <v>25109</v>
      </c>
    </row>
    <row r="240">
      <c r="A240" s="4" t="inlineStr">
        <is>
          <t>研发材料</t>
        </is>
      </c>
      <c r="D240" s="7" t="n">
        <v>2791</v>
      </c>
      <c r="F240" s="7" t="n">
        <v>2511.4</v>
      </c>
      <c r="H240" s="7" t="n">
        <v>2524.4</v>
      </c>
      <c r="J240" s="7" t="n">
        <v>1691.4</v>
      </c>
      <c r="L240" s="7" t="n">
        <v>2632.5</v>
      </c>
      <c r="N240" s="7" t="n">
        <v>3710.1</v>
      </c>
      <c r="P240" s="7" t="n">
        <v>1543.9</v>
      </c>
      <c r="R240" s="7" t="n">
        <v>3776.2</v>
      </c>
      <c r="T240" s="7" t="n">
        <v>2986.2</v>
      </c>
      <c r="V240" s="7" t="n">
        <v>5028.3</v>
      </c>
      <c r="X240" s="7" t="n">
        <v>2361.4</v>
      </c>
      <c r="Z240" s="7" t="n">
        <v>3009.3</v>
      </c>
      <c r="AB240" s="7" t="n">
        <v>34566.1</v>
      </c>
    </row>
    <row r="241">
      <c r="A241" s="4" t="inlineStr">
        <is>
          <t>项目名称</t>
        </is>
      </c>
      <c r="D241" s="7" t="n">
        <v>4922</v>
      </c>
      <c r="F241" s="7" t="n">
        <v>4321.8</v>
      </c>
      <c r="H241" s="7" t="n">
        <v>5100.4</v>
      </c>
      <c r="J241" s="7" t="n">
        <v>3954.9</v>
      </c>
      <c r="L241" s="7" t="n">
        <v>6073.3</v>
      </c>
      <c r="N241" s="7" t="n">
        <v>9599.299999999999</v>
      </c>
      <c r="P241" s="7" t="n">
        <v>2818</v>
      </c>
      <c r="R241" s="7" t="n">
        <v>10016.6</v>
      </c>
      <c r="T241" s="7" t="n">
        <v>3776</v>
      </c>
      <c r="V241" s="7" t="n">
        <v>9525.1</v>
      </c>
      <c r="X241" s="7" t="n">
        <v>4874.2</v>
      </c>
      <c r="Z241" s="7" t="n">
        <v>6183.9</v>
      </c>
      <c r="AB241" s="7" t="n">
        <v>71165.5</v>
      </c>
    </row>
    <row r="242">
      <c r="A242" s="4" t="inlineStr">
        <is>
          <t>研发费</t>
        </is>
      </c>
      <c r="D242" s="7" t="n">
        <v>1350.4</v>
      </c>
      <c r="F242" s="7" t="n">
        <v>1147.3</v>
      </c>
      <c r="H242" s="7" t="n">
        <v>1516.8</v>
      </c>
      <c r="J242" s="7" t="n">
        <v>1218.4</v>
      </c>
      <c r="L242" s="7" t="n">
        <v>2122.8</v>
      </c>
      <c r="N242" s="7" t="n">
        <v>1753</v>
      </c>
      <c r="P242" s="7" t="n">
        <v>622.1</v>
      </c>
      <c r="R242" s="7" t="n">
        <v>2081.2</v>
      </c>
      <c r="T242" s="7" t="n">
        <v>1383</v>
      </c>
      <c r="V242" s="7" t="n">
        <v>1464.6</v>
      </c>
      <c r="X242" s="7" t="n">
        <v>1146.2</v>
      </c>
      <c r="Z242" s="7" t="n">
        <v>986.6</v>
      </c>
      <c r="AB242" s="7" t="n">
        <v>16792.4</v>
      </c>
    </row>
    <row r="243">
      <c r="A243" s="4" t="inlineStr">
        <is>
          <t>残保金</t>
        </is>
      </c>
      <c r="D243" s="7" t="n">
        <v>1818.7</v>
      </c>
      <c r="F243" s="7" t="n">
        <v>2791.1</v>
      </c>
      <c r="H243" s="7" t="n">
        <v>4442.1</v>
      </c>
      <c r="J243" s="7" t="n">
        <v>2099.9</v>
      </c>
      <c r="L243" s="7" t="n">
        <v>2681.2</v>
      </c>
      <c r="N243" s="7" t="n">
        <v>3724.9</v>
      </c>
      <c r="P243" s="7" t="n">
        <v>1196.2</v>
      </c>
      <c r="R243" s="7" t="n">
        <v>4043.7</v>
      </c>
      <c r="T243" s="7" t="n">
        <v>3202.3</v>
      </c>
      <c r="V243" s="7" t="n">
        <v>3294.9</v>
      </c>
      <c r="X243" s="7" t="n">
        <v>2893.1</v>
      </c>
      <c r="Z243" s="7" t="n">
        <v>3256.3</v>
      </c>
      <c r="AB243" s="7" t="n">
        <v>35444.4</v>
      </c>
    </row>
    <row r="244">
      <c r="A244" s="4" t="inlineStr">
        <is>
          <t>环保费</t>
        </is>
      </c>
      <c r="D244" s="7" t="n">
        <v>2834.7</v>
      </c>
      <c r="F244" s="7" t="n">
        <v>2279.9</v>
      </c>
      <c r="H244" s="7" t="n">
        <v>3041.3</v>
      </c>
      <c r="J244" s="7" t="n">
        <v>1743.7</v>
      </c>
      <c r="L244" s="7" t="n">
        <v>3145.2</v>
      </c>
      <c r="N244" s="7" t="n">
        <v>4107.2</v>
      </c>
      <c r="P244" s="7" t="n">
        <v>1137.1</v>
      </c>
      <c r="R244" s="7" t="n">
        <v>4254.8</v>
      </c>
      <c r="T244" s="7" t="n">
        <v>3629.5</v>
      </c>
      <c r="V244" s="7" t="n">
        <v>5702.7</v>
      </c>
      <c r="X244" s="7" t="n">
        <v>3536.4</v>
      </c>
      <c r="Z244" s="7" t="n">
        <v>3052.2</v>
      </c>
      <c r="AB244" s="7" t="n">
        <v>38464.7</v>
      </c>
    </row>
    <row r="245">
      <c r="A245" s="4" t="inlineStr">
        <is>
          <t>报废损失</t>
        </is>
      </c>
      <c r="D245" s="7" t="n">
        <v>3653.5</v>
      </c>
      <c r="F245" s="7" t="n">
        <v>3419.2</v>
      </c>
      <c r="H245" s="7" t="n">
        <v>3465.6</v>
      </c>
      <c r="J245" s="7" t="n">
        <v>2165.4</v>
      </c>
      <c r="L245" s="7" t="n">
        <v>3464.1</v>
      </c>
      <c r="N245" s="7" t="n">
        <v>5199.8</v>
      </c>
      <c r="P245" s="7" t="n">
        <v>2418.9</v>
      </c>
      <c r="R245" s="7" t="n">
        <v>4504.6</v>
      </c>
      <c r="T245" s="7" t="n">
        <v>3089.3</v>
      </c>
      <c r="V245" s="7" t="n">
        <v>7268.7</v>
      </c>
      <c r="X245" s="7" t="n">
        <v>3776.6</v>
      </c>
      <c r="Z245" s="7" t="n">
        <v>3235</v>
      </c>
      <c r="AB245" s="7" t="n">
        <v>45660.7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5139.5</v>
      </c>
      <c r="D246" s="7" t="n">
        <v>10654.6</v>
      </c>
      <c r="E246" s="7" t="n">
        <v>5796.5</v>
      </c>
      <c r="F246" s="7" t="n">
        <v>-3355.2</v>
      </c>
      <c r="G246" s="7" t="n">
        <v>5931.9</v>
      </c>
      <c r="H246" s="7" t="n">
        <v>11939.1</v>
      </c>
      <c r="I246" s="7" t="n">
        <v>5515.4</v>
      </c>
      <c r="J246" s="7" t="n">
        <v>8981.5</v>
      </c>
      <c r="K246" s="7" t="n">
        <v>5068.8</v>
      </c>
      <c r="L246" s="7" t="n">
        <v>2372.9</v>
      </c>
      <c r="M246" s="7" t="n">
        <v>6024</v>
      </c>
      <c r="N246" s="7" t="n">
        <v>4536.4</v>
      </c>
      <c r="O246" s="7" t="n">
        <v>5777</v>
      </c>
      <c r="P246" s="7" t="n">
        <v>-2604.2</v>
      </c>
      <c r="Q246" s="7" t="n">
        <v>5251.6</v>
      </c>
      <c r="R246" s="7" t="n">
        <v>13799.1</v>
      </c>
      <c r="S246" s="7" t="n">
        <v>5050.5</v>
      </c>
      <c r="T246" s="7" t="n">
        <v>827.8</v>
      </c>
      <c r="U246" s="7" t="n">
        <v>4833.7</v>
      </c>
      <c r="V246" s="7" t="n">
        <v>9989.4</v>
      </c>
      <c r="W246" s="7" t="n">
        <v>4690.3</v>
      </c>
      <c r="X246" s="7" t="n">
        <v>11493.1</v>
      </c>
      <c r="Y246" s="7" t="n">
        <v>5477</v>
      </c>
      <c r="Z246" s="7" t="n">
        <v>-4734.8</v>
      </c>
      <c r="AA246" s="8" t="n">
        <v>64556.2</v>
      </c>
      <c r="AB246" s="8" t="n">
        <v>63899.7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-4324.6</v>
      </c>
      <c r="E248" s="7" t="n">
        <v>0</v>
      </c>
      <c r="F248" s="7" t="n">
        <v>2894.2</v>
      </c>
      <c r="G248" s="7" t="n">
        <v>0</v>
      </c>
      <c r="H248" s="7" t="n">
        <v>-3063.9</v>
      </c>
      <c r="I248" s="7" t="n">
        <v>0</v>
      </c>
      <c r="J248" s="7" t="n">
        <v>732.1</v>
      </c>
      <c r="K248" s="7" t="n">
        <v>0</v>
      </c>
      <c r="L248" s="7" t="n">
        <v>1373.6</v>
      </c>
      <c r="M248" s="7" t="n">
        <v>0</v>
      </c>
      <c r="N248" s="7" t="n">
        <v>-2437.1</v>
      </c>
      <c r="O248" s="7" t="n">
        <v>0</v>
      </c>
      <c r="P248" s="7" t="n">
        <v>-789.9</v>
      </c>
      <c r="Q248" s="7" t="n">
        <v>0</v>
      </c>
      <c r="R248" s="7" t="n">
        <v>2246.2</v>
      </c>
      <c r="S248" s="7" t="n">
        <v>0</v>
      </c>
      <c r="T248" s="7" t="n">
        <v>-553.8</v>
      </c>
      <c r="U248" s="7" t="n">
        <v>0</v>
      </c>
      <c r="V248" s="7" t="n">
        <v>-2568.5</v>
      </c>
      <c r="W248" s="7" t="n">
        <v>0</v>
      </c>
      <c r="X248" s="7" t="n">
        <v>2970.3</v>
      </c>
      <c r="Y248" s="7" t="n">
        <v>0</v>
      </c>
      <c r="Z248" s="7" t="n">
        <v>-4395.1</v>
      </c>
      <c r="AA248" s="7" t="n">
        <v>0</v>
      </c>
      <c r="AB248" s="7" t="n">
        <v>-7916.5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14387.2</v>
      </c>
      <c r="D253" s="7" t="n">
        <v>9350</v>
      </c>
      <c r="E253" s="7" t="n">
        <v>14773.7</v>
      </c>
      <c r="F253" s="7" t="n">
        <v>13075.4</v>
      </c>
      <c r="G253" s="7" t="n">
        <v>12161.2</v>
      </c>
      <c r="H253" s="7" t="n">
        <v>28792.2</v>
      </c>
      <c r="I253" s="7" t="n">
        <v>14053.5</v>
      </c>
      <c r="J253" s="7" t="n">
        <v>22631.2</v>
      </c>
      <c r="K253" s="7" t="n">
        <v>15433.7</v>
      </c>
      <c r="L253" s="7" t="n">
        <v>9335.6</v>
      </c>
      <c r="M253" s="7" t="n">
        <v>15532.7</v>
      </c>
      <c r="N253" s="7" t="n">
        <v>26556.7</v>
      </c>
      <c r="O253" s="7" t="n">
        <v>13695.7</v>
      </c>
      <c r="P253" s="7" t="n">
        <v>23264.9</v>
      </c>
      <c r="Q253" s="7" t="n">
        <v>12742.1</v>
      </c>
      <c r="R253" s="7" t="n">
        <v>4422.3</v>
      </c>
      <c r="S253" s="7" t="n">
        <v>12763</v>
      </c>
      <c r="T253" s="7" t="n">
        <v>9260.200000000001</v>
      </c>
      <c r="U253" s="7" t="n">
        <v>15742.2</v>
      </c>
      <c r="V253" s="7" t="n">
        <v>10287</v>
      </c>
      <c r="W253" s="7" t="n">
        <v>15223.7</v>
      </c>
      <c r="X253" s="7" t="n">
        <v>11064.9</v>
      </c>
      <c r="Y253" s="7" t="n">
        <v>13357</v>
      </c>
      <c r="Z253" s="7" t="n">
        <v>242.5</v>
      </c>
      <c r="AA253" s="7" t="n">
        <v>169865.7</v>
      </c>
      <c r="AB253" s="7" t="n">
        <v>168282.9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2310093.5</v>
      </c>
      <c r="D254" s="7" t="n">
        <v>1886340</v>
      </c>
      <c r="E254" s="7" t="n">
        <v>2452460.6</v>
      </c>
      <c r="F254" s="7" t="n">
        <v>1904227.5</v>
      </c>
      <c r="G254" s="7" t="n">
        <v>2279167.9</v>
      </c>
      <c r="H254" s="7" t="n">
        <v>2990514.5</v>
      </c>
      <c r="I254" s="7" t="n">
        <v>2455368.2</v>
      </c>
      <c r="J254" s="7" t="n">
        <v>2780098.1</v>
      </c>
      <c r="K254" s="7" t="n">
        <v>2461191.7</v>
      </c>
      <c r="L254" s="7" t="n">
        <v>2366645.3</v>
      </c>
      <c r="M254" s="7" t="n">
        <v>2777432.7</v>
      </c>
      <c r="N254" s="7" t="n">
        <v>3336473.2</v>
      </c>
      <c r="O254" s="7" t="n">
        <v>2468217.1</v>
      </c>
      <c r="P254" s="7" t="n">
        <v>5017017.6</v>
      </c>
      <c r="Q254" s="7" t="n">
        <v>2866337.9</v>
      </c>
      <c r="R254" s="7" t="n">
        <v>2910120.1</v>
      </c>
      <c r="S254" s="7" t="n">
        <v>3041472.9</v>
      </c>
      <c r="T254" s="7" t="n">
        <v>2442264.6</v>
      </c>
      <c r="U254" s="7" t="n">
        <v>2542525.1</v>
      </c>
      <c r="V254" s="7" t="n">
        <v>2163333.8</v>
      </c>
      <c r="W254" s="7" t="n">
        <v>2870752.5</v>
      </c>
      <c r="X254" s="7" t="n">
        <v>2162990.9</v>
      </c>
      <c r="Y254" s="7" t="n">
        <v>2441141.6</v>
      </c>
      <c r="Z254" s="7" t="n">
        <v>2174532.1</v>
      </c>
      <c r="AA254" s="8" t="n">
        <v>30966161.7</v>
      </c>
      <c r="AB254" s="8" t="n">
        <v>32134557.7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921.2</v>
      </c>
      <c r="E255" s="7" t="n">
        <v>0</v>
      </c>
      <c r="F255" s="7" t="n">
        <v>4949.4</v>
      </c>
      <c r="G255" s="7" t="n">
        <v>0</v>
      </c>
      <c r="H255" s="7" t="n">
        <v>1814.1</v>
      </c>
      <c r="I255" s="7" t="n">
        <v>0</v>
      </c>
      <c r="J255" s="7" t="n">
        <v>368.7</v>
      </c>
      <c r="K255" s="7" t="n">
        <v>0</v>
      </c>
      <c r="L255" s="7" t="n">
        <v>150.1</v>
      </c>
      <c r="M255" s="7" t="n">
        <v>0</v>
      </c>
      <c r="N255" s="7" t="n">
        <v>575.9</v>
      </c>
      <c r="O255" s="7" t="n">
        <v>0</v>
      </c>
      <c r="P255" s="7" t="n">
        <v>1452.9</v>
      </c>
      <c r="Q255" s="7" t="n">
        <v>0</v>
      </c>
      <c r="R255" s="7" t="n">
        <v>972</v>
      </c>
      <c r="S255" s="7" t="n">
        <v>0</v>
      </c>
      <c r="T255" s="7" t="n">
        <v>2928.4</v>
      </c>
      <c r="U255" s="7" t="n">
        <v>0</v>
      </c>
      <c r="V255" s="7" t="n">
        <v>3827.7</v>
      </c>
      <c r="W255" s="7" t="n">
        <v>0</v>
      </c>
      <c r="X255" s="7" t="n">
        <v>219.5</v>
      </c>
      <c r="Y255" s="7" t="n">
        <v>0</v>
      </c>
      <c r="Z255" s="7" t="n">
        <v>148.4</v>
      </c>
      <c r="AA255" s="7" t="n">
        <v>0</v>
      </c>
      <c r="AB255" s="7" t="n">
        <v>18328.3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593.5</v>
      </c>
      <c r="E256" s="7" t="n">
        <v>0</v>
      </c>
      <c r="F256" s="7" t="n">
        <v>522.4</v>
      </c>
      <c r="G256" s="7" t="n">
        <v>0</v>
      </c>
      <c r="H256" s="7" t="n">
        <v>2656.1</v>
      </c>
      <c r="I256" s="7" t="n">
        <v>0</v>
      </c>
      <c r="J256" s="7" t="n">
        <v>2156.5</v>
      </c>
      <c r="K256" s="7" t="n">
        <v>0</v>
      </c>
      <c r="L256" s="7" t="n">
        <v>1019.5</v>
      </c>
      <c r="M256" s="7" t="n">
        <v>0</v>
      </c>
      <c r="N256" s="7" t="n">
        <v>1663.5</v>
      </c>
      <c r="O256" s="7" t="n">
        <v>0</v>
      </c>
      <c r="P256" s="7" t="n">
        <v>535.6</v>
      </c>
      <c r="Q256" s="7" t="n">
        <v>0</v>
      </c>
      <c r="R256" s="7" t="n">
        <v>64.5</v>
      </c>
      <c r="S256" s="7" t="n">
        <v>0</v>
      </c>
      <c r="T256" s="7" t="n">
        <v>2528.6</v>
      </c>
      <c r="U256" s="7" t="n">
        <v>0</v>
      </c>
      <c r="V256" s="7" t="n">
        <v>2731.9</v>
      </c>
      <c r="W256" s="7" t="n">
        <v>0</v>
      </c>
      <c r="X256" s="7" t="n">
        <v>63</v>
      </c>
      <c r="Y256" s="7" t="n">
        <v>0</v>
      </c>
      <c r="Z256" s="7" t="n">
        <v>2032.4</v>
      </c>
      <c r="AA256" s="7" t="n">
        <v>0</v>
      </c>
      <c r="AB256" s="7" t="n">
        <v>16567.5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3076078</v>
      </c>
      <c r="D257" s="7" t="n">
        <v>1840661.4</v>
      </c>
      <c r="E257" s="7" t="n">
        <v>2402298.1</v>
      </c>
      <c r="F257" s="7" t="n">
        <v>2013687.9</v>
      </c>
      <c r="G257" s="7" t="n">
        <v>2467814.4</v>
      </c>
      <c r="H257" s="7" t="n">
        <v>2757833.9</v>
      </c>
      <c r="I257" s="7" t="n">
        <v>3114007.7</v>
      </c>
      <c r="J257" s="7" t="n">
        <v>3022586.1</v>
      </c>
      <c r="K257" s="7" t="n">
        <v>3006886.1</v>
      </c>
      <c r="L257" s="7" t="n">
        <v>2274380.4</v>
      </c>
      <c r="M257" s="7" t="n">
        <v>2506971.9</v>
      </c>
      <c r="N257" s="7" t="n">
        <v>3163076.6</v>
      </c>
      <c r="O257" s="7" t="n">
        <v>2661545.1</v>
      </c>
      <c r="P257" s="7" t="n">
        <v>5327558.7</v>
      </c>
      <c r="Q257" s="7" t="n">
        <v>2658279.6</v>
      </c>
      <c r="R257" s="7" t="n">
        <v>3003772.8</v>
      </c>
      <c r="S257" s="7" t="n">
        <v>2844991.2</v>
      </c>
      <c r="T257" s="7" t="n">
        <v>2657751.3</v>
      </c>
      <c r="U257" s="7" t="n">
        <v>3157787.2</v>
      </c>
      <c r="V257" s="7" t="n">
        <v>2369759.9</v>
      </c>
      <c r="W257" s="7" t="n">
        <v>2550786.4</v>
      </c>
      <c r="X257" s="7" t="n">
        <v>2378292.8</v>
      </c>
      <c r="Y257" s="7" t="n">
        <v>2386400.8</v>
      </c>
      <c r="Z257" s="7" t="n">
        <v>2340520.1</v>
      </c>
      <c r="AA257" s="8" t="n">
        <v>32833846.5</v>
      </c>
      <c r="AB257" s="8" t="n">
        <v>33149881.9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714662</v>
      </c>
      <c r="D258" s="7" t="n">
        <v>460165.3</v>
      </c>
      <c r="E258" s="7" t="n">
        <v>626208.6</v>
      </c>
      <c r="F258" s="7" t="n">
        <v>503422</v>
      </c>
      <c r="G258" s="7" t="n">
        <v>697971.1</v>
      </c>
      <c r="H258" s="7" t="n">
        <v>689458.5</v>
      </c>
      <c r="I258" s="7" t="n">
        <v>750621.3</v>
      </c>
      <c r="J258" s="7" t="n">
        <v>755646.5</v>
      </c>
      <c r="K258" s="7" t="n">
        <v>654920.2</v>
      </c>
      <c r="L258" s="7" t="n">
        <v>568595.1</v>
      </c>
      <c r="M258" s="7" t="n">
        <v>598063.7</v>
      </c>
      <c r="N258" s="7" t="n">
        <v>790769.2</v>
      </c>
      <c r="O258" s="7" t="n">
        <v>751869.4</v>
      </c>
      <c r="P258" s="7" t="n">
        <v>1331889.7</v>
      </c>
      <c r="Q258" s="7" t="n">
        <v>767872.4</v>
      </c>
      <c r="R258" s="7" t="n">
        <v>750943.2</v>
      </c>
      <c r="S258" s="7" t="n">
        <v>763449.2</v>
      </c>
      <c r="T258" s="7" t="n">
        <v>664437.8</v>
      </c>
      <c r="U258" s="7" t="n">
        <v>787665.6</v>
      </c>
      <c r="V258" s="7" t="n">
        <v>592440</v>
      </c>
      <c r="W258" s="7" t="n">
        <v>770562.3</v>
      </c>
      <c r="X258" s="7" t="n">
        <v>594573.2</v>
      </c>
      <c r="Y258" s="7" t="n">
        <v>630380.4</v>
      </c>
      <c r="Z258" s="7" t="n">
        <v>585130</v>
      </c>
      <c r="AA258" s="7" t="n">
        <v>8514246.199999999</v>
      </c>
      <c r="AB258" s="7" t="n">
        <v>8287470.5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1586837.9</v>
      </c>
      <c r="D259" s="7" t="n">
        <v>1380496.1</v>
      </c>
      <c r="E259" s="7" t="n">
        <v>1580048.1</v>
      </c>
      <c r="F259" s="7" t="n">
        <v>1510265.9</v>
      </c>
      <c r="G259" s="7" t="n">
        <v>1406279.7</v>
      </c>
      <c r="H259" s="7" t="n">
        <v>2068375.4</v>
      </c>
      <c r="I259" s="7" t="n">
        <v>1766963.6</v>
      </c>
      <c r="J259" s="7" t="n">
        <v>2266939.6</v>
      </c>
      <c r="K259" s="7" t="n">
        <v>1349276.1</v>
      </c>
      <c r="L259" s="7" t="n">
        <v>1705785.3</v>
      </c>
      <c r="M259" s="7" t="n">
        <v>1766403.9</v>
      </c>
      <c r="N259" s="7" t="n">
        <v>2372307.4</v>
      </c>
      <c r="O259" s="7" t="n">
        <v>2183579.3</v>
      </c>
      <c r="P259" s="7" t="n">
        <v>3995669</v>
      </c>
      <c r="Q259" s="7" t="n">
        <v>1597228</v>
      </c>
      <c r="R259" s="7" t="n">
        <v>2252829.6</v>
      </c>
      <c r="S259" s="7" t="n">
        <v>1995474.5</v>
      </c>
      <c r="T259" s="7" t="n">
        <v>1993313.5</v>
      </c>
      <c r="U259" s="7" t="n">
        <v>2091947.6</v>
      </c>
      <c r="V259" s="7" t="n">
        <v>1777319.9</v>
      </c>
      <c r="W259" s="7" t="n">
        <v>2087826.6</v>
      </c>
      <c r="X259" s="7" t="n">
        <v>1783719.6</v>
      </c>
      <c r="Y259" s="7" t="n">
        <v>1478064.6</v>
      </c>
      <c r="Z259" s="7" t="n">
        <v>1755390.1</v>
      </c>
      <c r="AA259" s="8" t="n">
        <v>20889929.9</v>
      </c>
      <c r="AB259" s="8" t="n">
        <v>24862411.4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33714.9</v>
      </c>
      <c r="E260" s="7" t="n">
        <v>0</v>
      </c>
      <c r="F260" s="7" t="n">
        <v>213249.8</v>
      </c>
      <c r="G260" s="7" t="n">
        <v>0</v>
      </c>
      <c r="H260" s="7" t="n">
        <v>411711.5</v>
      </c>
      <c r="I260" s="7" t="n">
        <v>0</v>
      </c>
      <c r="J260" s="7" t="n">
        <v>44119</v>
      </c>
      <c r="K260" s="7" t="n">
        <v>0</v>
      </c>
      <c r="L260" s="7" t="n">
        <v>260275.8</v>
      </c>
      <c r="M260" s="7" t="n">
        <v>0</v>
      </c>
      <c r="N260" s="7" t="n">
        <v>534700.1</v>
      </c>
      <c r="O260" s="7" t="n">
        <v>0</v>
      </c>
      <c r="P260" s="7" t="n">
        <v>773247.7</v>
      </c>
      <c r="Q260" s="7" t="n">
        <v>0</v>
      </c>
      <c r="R260" s="7" t="n">
        <v>344114.2</v>
      </c>
      <c r="S260" s="7" t="n">
        <v>0</v>
      </c>
      <c r="T260" s="7" t="n">
        <v>298152.5</v>
      </c>
      <c r="U260" s="7" t="n">
        <v>0</v>
      </c>
      <c r="V260" s="7" t="n">
        <v>247545.4</v>
      </c>
      <c r="W260" s="7" t="n">
        <v>0</v>
      </c>
      <c r="X260" s="7" t="n">
        <v>172212.7</v>
      </c>
      <c r="Y260" s="7" t="n">
        <v>0</v>
      </c>
      <c r="Z260" s="7" t="n">
        <v>196890.9</v>
      </c>
      <c r="AA260" s="7" t="n">
        <v>0</v>
      </c>
      <c r="AB260" s="7" t="n">
        <v>3529934.5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1586837.9</v>
      </c>
      <c r="D261" s="7" t="n">
        <v>1346781.2</v>
      </c>
      <c r="E261" s="7" t="n">
        <v>1580048.1</v>
      </c>
      <c r="F261" s="7" t="n">
        <v>1297016.1</v>
      </c>
      <c r="G261" s="7" t="n">
        <v>1406279.7</v>
      </c>
      <c r="H261" s="7" t="n">
        <v>1656663.9</v>
      </c>
      <c r="I261" s="7" t="n">
        <v>1766963.6</v>
      </c>
      <c r="J261" s="7" t="n">
        <v>2222820.6</v>
      </c>
      <c r="K261" s="7" t="n">
        <v>1349276.1</v>
      </c>
      <c r="L261" s="7" t="n">
        <v>1445509.5</v>
      </c>
      <c r="M261" s="7" t="n">
        <v>1766403.9</v>
      </c>
      <c r="N261" s="7" t="n">
        <v>1837607.3</v>
      </c>
      <c r="O261" s="7" t="n">
        <v>2183579.3</v>
      </c>
      <c r="P261" s="7" t="n">
        <v>3222421.3</v>
      </c>
      <c r="Q261" s="7" t="n">
        <v>1597228</v>
      </c>
      <c r="R261" s="7" t="n">
        <v>1908715.4</v>
      </c>
      <c r="S261" s="7" t="n">
        <v>1995474.5</v>
      </c>
      <c r="T261" s="7" t="n">
        <v>1695161</v>
      </c>
      <c r="U261" s="7" t="n">
        <v>2091947.6</v>
      </c>
      <c r="V261" s="7" t="n">
        <v>1529774.5</v>
      </c>
      <c r="W261" s="7" t="n">
        <v>2087826.6</v>
      </c>
      <c r="X261" s="7" t="n">
        <v>1611506.9</v>
      </c>
      <c r="Y261" s="7" t="n">
        <v>1478064.6</v>
      </c>
      <c r="Z261" s="7" t="n">
        <v>1558499.2</v>
      </c>
      <c r="AA261" s="8" t="n">
        <v>20889929.9</v>
      </c>
      <c r="AB261" s="8" t="n">
        <v>21332476.9</v>
      </c>
    </row>
    <row r="262">
      <c r="A262" s="4" t="inlineStr">
        <is>
          <t>净利率</t>
        </is>
      </c>
      <c r="D262" s="13" t="n">
        <v>7.9</v>
      </c>
      <c r="F262" s="13" t="n">
        <v>8.4</v>
      </c>
      <c r="H262" s="13" t="n">
        <v>8.6</v>
      </c>
      <c r="J262" s="13" t="n">
        <v>8.1</v>
      </c>
      <c r="L262" s="13" t="n">
        <v>5.6</v>
      </c>
      <c r="N262" s="13" t="n">
        <v>7</v>
      </c>
      <c r="P262" s="13" t="n">
        <v>10.6</v>
      </c>
      <c r="R262" s="13" t="n">
        <v>7.2</v>
      </c>
      <c r="T262" s="13" t="n">
        <v>7.1</v>
      </c>
      <c r="V262" s="13" t="n">
        <v>5.4</v>
      </c>
      <c r="X262" s="13" t="n">
        <v>6.8</v>
      </c>
      <c r="Z262" s="13" t="n">
        <v>9.199999999999999</v>
      </c>
    </row>
    <row r="263">
      <c r="A263" s="4" t="inlineStr">
        <is>
          <t>销售达成率</t>
        </is>
      </c>
      <c r="D263" s="13" t="n">
        <v>72.59999999999999</v>
      </c>
      <c r="F263" s="13" t="n">
        <v>58.7</v>
      </c>
      <c r="H263" s="13" t="n">
        <v>101.7</v>
      </c>
      <c r="J263" s="13" t="n">
        <v>119.3</v>
      </c>
      <c r="L263" s="13" t="n">
        <v>98.40000000000001</v>
      </c>
      <c r="N263" s="13" t="n">
        <v>110.5</v>
      </c>
      <c r="P263" s="13" t="n">
        <v>133.4</v>
      </c>
      <c r="R263" s="13" t="n">
        <v>110.8</v>
      </c>
      <c r="T263" s="13" t="n">
        <v>96.3</v>
      </c>
      <c r="V263" s="13" t="n">
        <v>122.5</v>
      </c>
      <c r="X263" s="13" t="n">
        <v>107.4</v>
      </c>
      <c r="Z263" s="13" t="n">
        <v>81.3</v>
      </c>
    </row>
    <row r="264">
      <c r="A264" s="4" t="inlineStr">
        <is>
          <t>净利达成率</t>
        </is>
      </c>
      <c r="D264" s="13" t="n">
        <v>87</v>
      </c>
      <c r="F264" s="13" t="n">
        <v>95.59999999999999</v>
      </c>
      <c r="H264" s="13" t="n">
        <v>147.1</v>
      </c>
      <c r="J264" s="13" t="n">
        <v>128.3</v>
      </c>
      <c r="L264" s="13" t="n">
        <v>126.4</v>
      </c>
      <c r="N264" s="13" t="n">
        <v>134.3</v>
      </c>
      <c r="P264" s="13" t="n">
        <v>183</v>
      </c>
      <c r="R264" s="13" t="n">
        <v>141</v>
      </c>
      <c r="T264" s="13" t="n">
        <v>99.90000000000001</v>
      </c>
      <c r="V264" s="13" t="n">
        <v>85</v>
      </c>
      <c r="X264" s="13" t="n">
        <v>85.40000000000001</v>
      </c>
      <c r="Z264" s="13" t="n">
        <v>118.8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江苏区域利润表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5867837.3</v>
      </c>
      <c r="D6" s="7" t="n">
        <v>3446468.3</v>
      </c>
      <c r="E6" s="7" t="n">
        <v>5253563.8</v>
      </c>
      <c r="F6" s="7" t="n">
        <v>3928423.8</v>
      </c>
      <c r="G6" s="7" t="n">
        <v>5236590.7</v>
      </c>
      <c r="H6" s="7" t="n">
        <v>4772740.1</v>
      </c>
      <c r="I6" s="7" t="n">
        <v>4980683.2</v>
      </c>
      <c r="J6" s="7" t="n">
        <v>6256984</v>
      </c>
      <c r="K6" s="7" t="n">
        <v>5941226</v>
      </c>
      <c r="L6" s="7" t="n">
        <v>6545225.5</v>
      </c>
      <c r="M6" s="7" t="n">
        <v>5251552.3</v>
      </c>
      <c r="N6" s="7" t="n">
        <v>6950775.9</v>
      </c>
      <c r="O6" s="7" t="n">
        <v>6411657.4</v>
      </c>
      <c r="P6" s="7" t="n">
        <v>7482041.5</v>
      </c>
      <c r="Q6" s="7" t="n">
        <v>6333140.5</v>
      </c>
      <c r="R6" s="7" t="n">
        <v>6145666</v>
      </c>
      <c r="S6" s="7" t="n">
        <v>4980450.4</v>
      </c>
      <c r="T6" s="7" t="n">
        <v>5859689.9</v>
      </c>
      <c r="U6" s="7" t="n">
        <v>5267094.4</v>
      </c>
      <c r="V6" s="7" t="n">
        <v>6940742.2</v>
      </c>
      <c r="W6" s="7" t="n">
        <v>6006178.2</v>
      </c>
      <c r="X6" s="7" t="n">
        <v>5470199.7</v>
      </c>
      <c r="Y6" s="7" t="n">
        <v>5226334.5</v>
      </c>
      <c r="Z6" s="7" t="n">
        <v>4092105.1</v>
      </c>
      <c r="AA6" s="8" t="n">
        <v>66756308.7</v>
      </c>
      <c r="AB6" s="8" t="n">
        <v>67891062</v>
      </c>
    </row>
    <row r="7">
      <c r="A7" s="4" t="inlineStr">
        <is>
          <t>数控机床</t>
        </is>
      </c>
      <c r="D7" s="7" t="n">
        <v>206316.6</v>
      </c>
      <c r="F7" s="7" t="n">
        <v>289524.2</v>
      </c>
      <c r="H7" s="7" t="n">
        <v>393426.6</v>
      </c>
      <c r="J7" s="7" t="n">
        <v>366063.2</v>
      </c>
      <c r="L7" s="7" t="n">
        <v>368871.4</v>
      </c>
      <c r="N7" s="7" t="n">
        <v>367562.7</v>
      </c>
      <c r="P7" s="7" t="n">
        <v>520674.4</v>
      </c>
      <c r="R7" s="7" t="n">
        <v>369171.2</v>
      </c>
      <c r="T7" s="7" t="n">
        <v>424633.4</v>
      </c>
      <c r="V7" s="7" t="n">
        <v>508905.1</v>
      </c>
      <c r="X7" s="7" t="n">
        <v>318347</v>
      </c>
      <c r="Z7" s="7" t="n">
        <v>312879.1</v>
      </c>
      <c r="AB7" s="7" t="n">
        <v>4446374.9</v>
      </c>
    </row>
    <row r="8">
      <c r="A8" s="4" t="inlineStr">
        <is>
          <t>精密轴承</t>
        </is>
      </c>
      <c r="D8" s="7" t="n">
        <v>257339.7</v>
      </c>
      <c r="F8" s="7" t="n">
        <v>372828.6</v>
      </c>
      <c r="H8" s="7" t="n">
        <v>502548.9</v>
      </c>
      <c r="J8" s="7" t="n">
        <v>608173.8</v>
      </c>
      <c r="L8" s="7" t="n">
        <v>574243.6</v>
      </c>
      <c r="N8" s="7" t="n">
        <v>642766.1</v>
      </c>
      <c r="P8" s="7" t="n">
        <v>685382.4</v>
      </c>
      <c r="R8" s="7" t="n">
        <v>460338.1</v>
      </c>
      <c r="T8" s="7" t="n">
        <v>468312</v>
      </c>
      <c r="V8" s="7" t="n">
        <v>548081.5</v>
      </c>
      <c r="X8" s="7" t="n">
        <v>419379.4</v>
      </c>
      <c r="Z8" s="7" t="n">
        <v>338621.3</v>
      </c>
      <c r="AB8" s="7" t="n">
        <v>5878015.4</v>
      </c>
    </row>
    <row r="9">
      <c r="A9" s="4" t="inlineStr">
        <is>
          <t>液压件</t>
        </is>
      </c>
      <c r="D9" s="7" t="n">
        <v>403470.6</v>
      </c>
      <c r="F9" s="7" t="n">
        <v>549838.6</v>
      </c>
      <c r="H9" s="7" t="n">
        <v>579620.1</v>
      </c>
      <c r="J9" s="7" t="n">
        <v>641727.6</v>
      </c>
      <c r="L9" s="7" t="n">
        <v>975456.7</v>
      </c>
      <c r="N9" s="7" t="n">
        <v>910158</v>
      </c>
      <c r="P9" s="7" t="n">
        <v>1096253.4</v>
      </c>
      <c r="R9" s="7" t="n">
        <v>727319.9</v>
      </c>
      <c r="T9" s="7" t="n">
        <v>686830.2</v>
      </c>
      <c r="V9" s="7" t="n">
        <v>787009.5</v>
      </c>
      <c r="X9" s="7" t="n">
        <v>767892.2</v>
      </c>
      <c r="Z9" s="7" t="n">
        <v>551375.8</v>
      </c>
      <c r="AB9" s="7" t="n">
        <v>8676952.6</v>
      </c>
    </row>
    <row r="10">
      <c r="A10" s="4" t="inlineStr">
        <is>
          <t>气动元件</t>
        </is>
      </c>
      <c r="D10" s="7" t="n">
        <v>1257825.3</v>
      </c>
      <c r="F10" s="7" t="n">
        <v>1340805.6</v>
      </c>
      <c r="H10" s="7" t="n">
        <v>1736257.7</v>
      </c>
      <c r="J10" s="7" t="n">
        <v>2470634.8</v>
      </c>
      <c r="L10" s="7" t="n">
        <v>2081370.9</v>
      </c>
      <c r="N10" s="7" t="n">
        <v>2567495.6</v>
      </c>
      <c r="P10" s="7" t="n">
        <v>2268937.8</v>
      </c>
      <c r="R10" s="7" t="n">
        <v>2464127.6</v>
      </c>
      <c r="T10" s="7" t="n">
        <v>2065092.6</v>
      </c>
      <c r="V10" s="7" t="n">
        <v>2436634</v>
      </c>
      <c r="X10" s="7" t="n">
        <v>1940652.1</v>
      </c>
      <c r="Z10" s="7" t="n">
        <v>1707336.7</v>
      </c>
      <c r="AB10" s="7" t="n">
        <v>24337170.7</v>
      </c>
    </row>
    <row r="11">
      <c r="A11" s="4" t="inlineStr">
        <is>
          <t>模具</t>
        </is>
      </c>
      <c r="D11" s="7" t="n">
        <v>1125905.3</v>
      </c>
      <c r="F11" s="7" t="n">
        <v>1110337</v>
      </c>
      <c r="H11" s="7" t="n">
        <v>1329790</v>
      </c>
      <c r="J11" s="7" t="n">
        <v>1716976.7</v>
      </c>
      <c r="L11" s="7" t="n">
        <v>2213594.6</v>
      </c>
      <c r="N11" s="7" t="n">
        <v>2099722</v>
      </c>
      <c r="P11" s="7" t="n">
        <v>2649519.3</v>
      </c>
      <c r="R11" s="7" t="n">
        <v>1769153.4</v>
      </c>
      <c r="T11" s="7" t="n">
        <v>1825609.4</v>
      </c>
      <c r="V11" s="7" t="n">
        <v>2319658</v>
      </c>
      <c r="X11" s="7" t="n">
        <v>1749892.7</v>
      </c>
      <c r="Z11" s="7" t="n">
        <v>979920.7</v>
      </c>
      <c r="AB11" s="7" t="n">
        <v>20890079.1</v>
      </c>
    </row>
    <row r="12">
      <c r="A12" s="4" t="inlineStr">
        <is>
          <t>工装夹具</t>
        </is>
      </c>
      <c r="D12" s="7" t="n">
        <v>257963.3</v>
      </c>
      <c r="F12" s="7" t="n">
        <v>290946.1</v>
      </c>
      <c r="H12" s="7" t="n">
        <v>271859.6</v>
      </c>
      <c r="J12" s="7" t="n">
        <v>432558.9</v>
      </c>
      <c r="L12" s="7" t="n">
        <v>401388.3</v>
      </c>
      <c r="N12" s="7" t="n">
        <v>486247.8</v>
      </c>
      <c r="P12" s="7" t="n">
        <v>406132.2</v>
      </c>
      <c r="R12" s="7" t="n">
        <v>411691.6</v>
      </c>
      <c r="T12" s="7" t="n">
        <v>421621.3</v>
      </c>
      <c r="V12" s="7" t="n">
        <v>389582.4</v>
      </c>
      <c r="X12" s="7" t="n">
        <v>360634.1</v>
      </c>
      <c r="Z12" s="7" t="n">
        <v>237522.7</v>
      </c>
      <c r="AB12" s="7" t="n">
        <v>4368148.3</v>
      </c>
    </row>
    <row r="13">
      <c r="A13" s="4" t="inlineStr">
        <is>
          <t>返利</t>
        </is>
      </c>
      <c r="D13" s="7" t="n">
        <v>-83826.39999999999</v>
      </c>
      <c r="F13" s="7" t="n">
        <v>-96140.39999999999</v>
      </c>
      <c r="H13" s="7" t="n">
        <v>-95768.7</v>
      </c>
      <c r="J13" s="7" t="n">
        <v>-95828.89999999999</v>
      </c>
      <c r="L13" s="7" t="n">
        <v>-119193.8</v>
      </c>
      <c r="N13" s="7" t="n">
        <v>-201067.9</v>
      </c>
      <c r="P13" s="7" t="n">
        <v>-165348.5</v>
      </c>
      <c r="R13" s="7" t="n">
        <v>-66558.3</v>
      </c>
      <c r="T13" s="7" t="n">
        <v>-84790.39999999999</v>
      </c>
      <c r="V13" s="7" t="n">
        <v>-98277.60000000001</v>
      </c>
      <c r="X13" s="7" t="n">
        <v>-151497</v>
      </c>
      <c r="Z13" s="7" t="n">
        <v>-73959.3</v>
      </c>
      <c r="AB13" s="7" t="n">
        <v>-1332257.2</v>
      </c>
    </row>
    <row r="14">
      <c r="A14" s="4" t="inlineStr">
        <is>
          <t>其他</t>
        </is>
      </c>
      <c r="D14" s="7" t="n">
        <v>21473.9</v>
      </c>
      <c r="F14" s="7" t="n">
        <v>70284.10000000001</v>
      </c>
      <c r="H14" s="7" t="n">
        <v>55005.9</v>
      </c>
      <c r="J14" s="7" t="n">
        <v>116677.9</v>
      </c>
      <c r="L14" s="7" t="n">
        <v>49493.8</v>
      </c>
      <c r="N14" s="7" t="n">
        <v>77891.60000000001</v>
      </c>
      <c r="P14" s="7" t="n">
        <v>20490.5</v>
      </c>
      <c r="R14" s="7" t="n">
        <v>10422.5</v>
      </c>
      <c r="T14" s="7" t="n">
        <v>52381.4</v>
      </c>
      <c r="V14" s="7" t="n">
        <v>49149.3</v>
      </c>
      <c r="X14" s="7" t="n">
        <v>64899.2</v>
      </c>
      <c r="Z14" s="7" t="n">
        <v>38408.1</v>
      </c>
      <c r="AB14" s="7" t="n">
        <v>626578.2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4337491.7</v>
      </c>
      <c r="D15" s="7" t="n">
        <v>2430461.8</v>
      </c>
      <c r="E15" s="7" t="n">
        <v>3948323.3</v>
      </c>
      <c r="F15" s="7" t="n">
        <v>2731436</v>
      </c>
      <c r="G15" s="7" t="n">
        <v>4102738.1</v>
      </c>
      <c r="H15" s="7" t="n">
        <v>3327218.5</v>
      </c>
      <c r="I15" s="7" t="n">
        <v>4270552</v>
      </c>
      <c r="J15" s="7" t="n">
        <v>4276408</v>
      </c>
      <c r="K15" s="7" t="n">
        <v>4436612.1</v>
      </c>
      <c r="L15" s="7" t="n">
        <v>4637129.4</v>
      </c>
      <c r="M15" s="7" t="n">
        <v>3459365.5</v>
      </c>
      <c r="N15" s="7" t="n">
        <v>4840811.2</v>
      </c>
      <c r="O15" s="7" t="n">
        <v>3427435</v>
      </c>
      <c r="P15" s="7" t="n">
        <v>5258813.6</v>
      </c>
      <c r="Q15" s="7" t="n">
        <v>3388416.6</v>
      </c>
      <c r="R15" s="7" t="n">
        <v>4209109.1</v>
      </c>
      <c r="S15" s="7" t="n">
        <v>3579601.4</v>
      </c>
      <c r="T15" s="7" t="n">
        <v>4022277.4</v>
      </c>
      <c r="U15" s="7" t="n">
        <v>3575282.4</v>
      </c>
      <c r="V15" s="7" t="n">
        <v>4854238.9</v>
      </c>
      <c r="W15" s="7" t="n">
        <v>3731740.3</v>
      </c>
      <c r="X15" s="7" t="n">
        <v>3812678.3</v>
      </c>
      <c r="Y15" s="7" t="n">
        <v>3700440.8</v>
      </c>
      <c r="Z15" s="7" t="n">
        <v>2798181.8</v>
      </c>
      <c r="AA15" s="8" t="n">
        <v>45957999.2</v>
      </c>
      <c r="AB15" s="8" t="n">
        <v>47198764</v>
      </c>
    </row>
    <row r="16">
      <c r="A16" s="4" t="inlineStr">
        <is>
          <t>数控机床</t>
        </is>
      </c>
      <c r="D16" s="7" t="n">
        <v>150606.1</v>
      </c>
      <c r="F16" s="7" t="n">
        <v>211345.6</v>
      </c>
      <c r="H16" s="7" t="n">
        <v>287191.8</v>
      </c>
      <c r="J16" s="7" t="n">
        <v>267217.2</v>
      </c>
      <c r="L16" s="7" t="n">
        <v>269267.1</v>
      </c>
      <c r="N16" s="7" t="n">
        <v>268311.8</v>
      </c>
      <c r="P16" s="7" t="n">
        <v>380079.6</v>
      </c>
      <c r="R16" s="7" t="n">
        <v>269486</v>
      </c>
      <c r="T16" s="7" t="n">
        <v>309972</v>
      </c>
      <c r="V16" s="7" t="n">
        <v>371488.3</v>
      </c>
      <c r="X16" s="7" t="n">
        <v>232385.5</v>
      </c>
      <c r="Z16" s="7" t="n">
        <v>228394.1</v>
      </c>
      <c r="AB16" s="7" t="n">
        <v>3245745.1</v>
      </c>
    </row>
    <row r="17">
      <c r="A17" s="4" t="inlineStr">
        <is>
          <t>精密轴承</t>
        </is>
      </c>
      <c r="D17" s="7" t="n">
        <v>176951.9</v>
      </c>
      <c r="F17" s="7" t="n">
        <v>256364.4</v>
      </c>
      <c r="H17" s="7" t="n">
        <v>345562.7</v>
      </c>
      <c r="J17" s="7" t="n">
        <v>418192.5</v>
      </c>
      <c r="L17" s="7" t="n">
        <v>394861.4</v>
      </c>
      <c r="N17" s="7" t="n">
        <v>441978.8</v>
      </c>
      <c r="P17" s="7" t="n">
        <v>471282.7</v>
      </c>
      <c r="R17" s="7" t="n">
        <v>316537.7</v>
      </c>
      <c r="T17" s="7" t="n">
        <v>322020.7</v>
      </c>
      <c r="V17" s="7" t="n">
        <v>376871.8</v>
      </c>
      <c r="X17" s="7" t="n">
        <v>288373.7</v>
      </c>
      <c r="Z17" s="7" t="n">
        <v>232842.8</v>
      </c>
      <c r="AB17" s="7" t="n">
        <v>4041841.1</v>
      </c>
    </row>
    <row r="18">
      <c r="A18" s="4" t="inlineStr">
        <is>
          <t>液压件</t>
        </is>
      </c>
      <c r="D18" s="7" t="n">
        <v>283847.7</v>
      </c>
      <c r="F18" s="7" t="n">
        <v>386819.8</v>
      </c>
      <c r="H18" s="7" t="n">
        <v>407771.5</v>
      </c>
      <c r="J18" s="7" t="n">
        <v>451465.1</v>
      </c>
      <c r="L18" s="7" t="n">
        <v>686248.6</v>
      </c>
      <c r="N18" s="7" t="n">
        <v>640310</v>
      </c>
      <c r="P18" s="7" t="n">
        <v>771230.9</v>
      </c>
      <c r="R18" s="7" t="n">
        <v>511680.6</v>
      </c>
      <c r="T18" s="7" t="n">
        <v>483195.5</v>
      </c>
      <c r="V18" s="7" t="n">
        <v>553673.1</v>
      </c>
      <c r="X18" s="7" t="n">
        <v>540223.8</v>
      </c>
      <c r="Z18" s="7" t="n">
        <v>387901.2</v>
      </c>
      <c r="AB18" s="7" t="n">
        <v>6104367.8</v>
      </c>
    </row>
    <row r="19">
      <c r="A19" s="4" t="inlineStr">
        <is>
          <t>气动元件</t>
        </is>
      </c>
      <c r="D19" s="7" t="n">
        <v>785135.6</v>
      </c>
      <c r="F19" s="7" t="n">
        <v>836932</v>
      </c>
      <c r="H19" s="7" t="n">
        <v>1083773.5</v>
      </c>
      <c r="J19" s="7" t="n">
        <v>1542172.3</v>
      </c>
      <c r="L19" s="7" t="n">
        <v>1299193.5</v>
      </c>
      <c r="N19" s="7" t="n">
        <v>1602632.9</v>
      </c>
      <c r="P19" s="7" t="n">
        <v>1416272.9</v>
      </c>
      <c r="R19" s="7" t="n">
        <v>1538110.5</v>
      </c>
      <c r="T19" s="7" t="n">
        <v>1289032.5</v>
      </c>
      <c r="V19" s="7" t="n">
        <v>1520949</v>
      </c>
      <c r="X19" s="7" t="n">
        <v>1211356.7</v>
      </c>
      <c r="Z19" s="7" t="n">
        <v>1065721</v>
      </c>
      <c r="AB19" s="7" t="n">
        <v>15191282.4</v>
      </c>
    </row>
    <row r="20">
      <c r="A20" s="4" t="inlineStr">
        <is>
          <t>模具</t>
        </is>
      </c>
      <c r="D20" s="7" t="n">
        <v>726140.8</v>
      </c>
      <c r="F20" s="7" t="n">
        <v>716100.2</v>
      </c>
      <c r="H20" s="7" t="n">
        <v>857634.1</v>
      </c>
      <c r="J20" s="7" t="n">
        <v>1107346</v>
      </c>
      <c r="L20" s="7" t="n">
        <v>1427634.5</v>
      </c>
      <c r="N20" s="7" t="n">
        <v>1354193.6</v>
      </c>
      <c r="P20" s="7" t="n">
        <v>1708779.6</v>
      </c>
      <c r="R20" s="7" t="n">
        <v>1140996.9</v>
      </c>
      <c r="T20" s="7" t="n">
        <v>1177407.6</v>
      </c>
      <c r="V20" s="7" t="n">
        <v>1496039</v>
      </c>
      <c r="X20" s="7" t="n">
        <v>1128574.9</v>
      </c>
      <c r="Z20" s="7" t="n">
        <v>631989.5</v>
      </c>
      <c r="AB20" s="7" t="n">
        <v>13472836.7</v>
      </c>
    </row>
    <row r="21">
      <c r="A21" s="4" t="inlineStr">
        <is>
          <t>工装夹具</t>
        </is>
      </c>
      <c r="D21" s="7" t="n">
        <v>172220.7</v>
      </c>
      <c r="F21" s="7" t="n">
        <v>194240.6</v>
      </c>
      <c r="H21" s="7" t="n">
        <v>181498.1</v>
      </c>
      <c r="J21" s="7" t="n">
        <v>288783.7</v>
      </c>
      <c r="L21" s="7" t="n">
        <v>267973.7</v>
      </c>
      <c r="N21" s="7" t="n">
        <v>324627.4</v>
      </c>
      <c r="P21" s="7" t="n">
        <v>271140.8</v>
      </c>
      <c r="R21" s="7" t="n">
        <v>274852.4</v>
      </c>
      <c r="T21" s="7" t="n">
        <v>281481.6</v>
      </c>
      <c r="V21" s="7" t="n">
        <v>260091.9</v>
      </c>
      <c r="X21" s="7" t="n">
        <v>240765.5</v>
      </c>
      <c r="Z21" s="7" t="n">
        <v>158574.2</v>
      </c>
      <c r="AB21" s="7" t="n">
        <v>2916250.6</v>
      </c>
    </row>
    <row r="22">
      <c r="A22" s="4" t="inlineStr">
        <is>
          <t>其他</t>
        </is>
      </c>
      <c r="D22" s="7" t="n">
        <v>37432.8</v>
      </c>
      <c r="F22" s="7" t="n">
        <v>35568.7</v>
      </c>
      <c r="H22" s="7" t="n">
        <v>17365</v>
      </c>
      <c r="J22" s="7" t="n">
        <v>57512.4</v>
      </c>
      <c r="L22" s="7" t="n">
        <v>86729.39999999999</v>
      </c>
      <c r="N22" s="7" t="n">
        <v>92493.3</v>
      </c>
      <c r="P22" s="7" t="n">
        <v>75521</v>
      </c>
      <c r="R22" s="7" t="n">
        <v>59950.1</v>
      </c>
      <c r="T22" s="7" t="n">
        <v>70492.7</v>
      </c>
      <c r="V22" s="7" t="n">
        <v>781.6</v>
      </c>
      <c r="X22" s="7" t="n">
        <v>21811.8</v>
      </c>
      <c r="Z22" s="7" t="n">
        <v>44493.9</v>
      </c>
      <c r="AB22" s="7" t="n">
        <v>600152.7</v>
      </c>
    </row>
    <row r="23">
      <c r="A23" s="4" t="inlineStr">
        <is>
          <t>运费</t>
        </is>
      </c>
      <c r="D23" s="7" t="n">
        <v>135559</v>
      </c>
      <c r="F23" s="7" t="n">
        <v>129633.4</v>
      </c>
      <c r="H23" s="7" t="n">
        <v>163786.8</v>
      </c>
      <c r="J23" s="7" t="n">
        <v>201231.2</v>
      </c>
      <c r="L23" s="7" t="n">
        <v>291950.6</v>
      </c>
      <c r="N23" s="7" t="n">
        <v>208756.7</v>
      </c>
      <c r="P23" s="7" t="n">
        <v>240027.1</v>
      </c>
      <c r="R23" s="7" t="n">
        <v>157445</v>
      </c>
      <c r="T23" s="7" t="n">
        <v>159167.5</v>
      </c>
      <c r="V23" s="7" t="n">
        <v>275125.8</v>
      </c>
      <c r="X23" s="7" t="n">
        <v>170998.2</v>
      </c>
      <c r="Z23" s="7" t="n">
        <v>92759</v>
      </c>
      <c r="AB23" s="7" t="n">
        <v>2226440.3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1530345.6</v>
      </c>
      <c r="D24" s="7" t="n">
        <v>1016006.5</v>
      </c>
      <c r="E24" s="7" t="n">
        <v>1305240.5</v>
      </c>
      <c r="F24" s="7" t="n">
        <v>1196987.8</v>
      </c>
      <c r="G24" s="7" t="n">
        <v>1133852.6</v>
      </c>
      <c r="H24" s="7" t="n">
        <v>1445521.6</v>
      </c>
      <c r="I24" s="7" t="n">
        <v>710131.2</v>
      </c>
      <c r="J24" s="7" t="n">
        <v>1980576</v>
      </c>
      <c r="K24" s="7" t="n">
        <v>1504613.9</v>
      </c>
      <c r="L24" s="7" t="n">
        <v>1908096.1</v>
      </c>
      <c r="M24" s="7" t="n">
        <v>1792186.8</v>
      </c>
      <c r="N24" s="7" t="n">
        <v>2109964.7</v>
      </c>
      <c r="O24" s="7" t="n">
        <v>2984222.4</v>
      </c>
      <c r="P24" s="7" t="n">
        <v>2223227.9</v>
      </c>
      <c r="Q24" s="7" t="n">
        <v>2944723.9</v>
      </c>
      <c r="R24" s="7" t="n">
        <v>1936556.9</v>
      </c>
      <c r="S24" s="7" t="n">
        <v>1400849</v>
      </c>
      <c r="T24" s="7" t="n">
        <v>1837412.5</v>
      </c>
      <c r="U24" s="7" t="n">
        <v>1691812</v>
      </c>
      <c r="V24" s="7" t="n">
        <v>2086503.3</v>
      </c>
      <c r="W24" s="7" t="n">
        <v>2274437.9</v>
      </c>
      <c r="X24" s="7" t="n">
        <v>1657521.4</v>
      </c>
      <c r="Y24" s="7" t="n">
        <v>1525893.7</v>
      </c>
      <c r="Z24" s="7" t="n">
        <v>1293923.3</v>
      </c>
      <c r="AA24" s="8" t="n">
        <v>20798309.5</v>
      </c>
      <c r="AB24" s="8" t="n">
        <v>20692298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26.1</v>
      </c>
      <c r="D25" s="13" t="n">
        <v>29.5</v>
      </c>
      <c r="E25" s="13" t="n">
        <v>24.8</v>
      </c>
      <c r="F25" s="13" t="n">
        <v>30.5</v>
      </c>
      <c r="G25" s="13" t="n">
        <v>21.7</v>
      </c>
      <c r="H25" s="13" t="n">
        <v>30.3</v>
      </c>
      <c r="I25" s="13" t="n">
        <v>14.3</v>
      </c>
      <c r="J25" s="13" t="n">
        <v>31.7</v>
      </c>
      <c r="K25" s="13" t="n">
        <v>25.3</v>
      </c>
      <c r="L25" s="13" t="n">
        <v>29.2</v>
      </c>
      <c r="M25" s="13" t="n">
        <v>34.1</v>
      </c>
      <c r="N25" s="13" t="n">
        <v>30.4</v>
      </c>
      <c r="O25" s="13" t="n">
        <v>46.5</v>
      </c>
      <c r="P25" s="13" t="n">
        <v>29.7</v>
      </c>
      <c r="Q25" s="13" t="n">
        <v>46.5</v>
      </c>
      <c r="R25" s="13" t="n">
        <v>31.5</v>
      </c>
      <c r="S25" s="13" t="n">
        <v>28.1</v>
      </c>
      <c r="T25" s="13" t="n">
        <v>31.4</v>
      </c>
      <c r="U25" s="13" t="n">
        <v>32.1</v>
      </c>
      <c r="V25" s="13" t="n">
        <v>30.1</v>
      </c>
      <c r="W25" s="13" t="n">
        <v>37.9</v>
      </c>
      <c r="X25" s="13" t="n">
        <v>30.3</v>
      </c>
      <c r="Y25" s="13" t="n">
        <v>29.2</v>
      </c>
      <c r="Z25" s="13" t="n">
        <v>31.6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56083.5</v>
      </c>
      <c r="D26" s="7" t="n">
        <v>44222.6</v>
      </c>
      <c r="E26" s="7" t="n">
        <v>56785.2</v>
      </c>
      <c r="F26" s="7" t="n">
        <v>35505.5</v>
      </c>
      <c r="G26" s="7" t="n">
        <v>61365.6</v>
      </c>
      <c r="H26" s="7" t="n">
        <v>43229.5</v>
      </c>
      <c r="I26" s="7" t="n">
        <v>60884.9</v>
      </c>
      <c r="J26" s="7" t="n">
        <v>67572.5</v>
      </c>
      <c r="K26" s="7" t="n">
        <v>60289.6</v>
      </c>
      <c r="L26" s="7" t="n">
        <v>75617.5</v>
      </c>
      <c r="M26" s="7" t="n">
        <v>55862.4</v>
      </c>
      <c r="N26" s="7" t="n">
        <v>67561.8</v>
      </c>
      <c r="O26" s="7" t="n">
        <v>61466.3</v>
      </c>
      <c r="P26" s="7" t="n">
        <v>75766.7</v>
      </c>
      <c r="Q26" s="7" t="n">
        <v>53347.5</v>
      </c>
      <c r="R26" s="7" t="n">
        <v>77506.7</v>
      </c>
      <c r="S26" s="7" t="n">
        <v>51224.3</v>
      </c>
      <c r="T26" s="7" t="n">
        <v>38045.9</v>
      </c>
      <c r="U26" s="7" t="n">
        <v>61097</v>
      </c>
      <c r="V26" s="7" t="n">
        <v>62293.5</v>
      </c>
      <c r="W26" s="7" t="n">
        <v>59873</v>
      </c>
      <c r="X26" s="7" t="n">
        <v>39764.3</v>
      </c>
      <c r="Y26" s="7" t="n">
        <v>51592.9</v>
      </c>
      <c r="Z26" s="7" t="n">
        <v>51116</v>
      </c>
      <c r="AA26" s="8" t="n">
        <v>689872.2</v>
      </c>
      <c r="AB26" s="8" t="n">
        <v>678202.5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714143.2</v>
      </c>
      <c r="D27" s="7" t="n">
        <v>430798.9</v>
      </c>
      <c r="E27" s="7" t="n">
        <v>796943.5</v>
      </c>
      <c r="F27" s="7" t="n">
        <v>533655.5</v>
      </c>
      <c r="G27" s="7" t="n">
        <v>743760.7</v>
      </c>
      <c r="H27" s="7" t="n">
        <v>560653.9</v>
      </c>
      <c r="I27" s="7" t="n">
        <v>697090.1</v>
      </c>
      <c r="J27" s="7" t="n">
        <v>861904.8</v>
      </c>
      <c r="K27" s="7" t="n">
        <v>630271.9</v>
      </c>
      <c r="L27" s="7" t="n">
        <v>607623.2</v>
      </c>
      <c r="M27" s="7" t="n">
        <v>798424.9</v>
      </c>
      <c r="N27" s="7" t="n">
        <v>1211766.3</v>
      </c>
      <c r="O27" s="7" t="n">
        <v>828605.3</v>
      </c>
      <c r="P27" s="7" t="n">
        <v>605806.8</v>
      </c>
      <c r="Q27" s="7" t="n">
        <v>659054.5</v>
      </c>
      <c r="R27" s="7" t="n">
        <v>989698.9</v>
      </c>
      <c r="S27" s="7" t="n">
        <v>835333.4</v>
      </c>
      <c r="T27" s="7" t="n">
        <v>957648.5</v>
      </c>
      <c r="U27" s="7" t="n">
        <v>698010.4</v>
      </c>
      <c r="V27" s="7" t="n">
        <v>791121.2</v>
      </c>
      <c r="W27" s="7" t="n">
        <v>764111.4</v>
      </c>
      <c r="X27" s="7" t="n">
        <v>666897.9</v>
      </c>
      <c r="Y27" s="7" t="n">
        <v>758190.3</v>
      </c>
      <c r="Z27" s="7" t="n">
        <v>607989.8</v>
      </c>
      <c r="AA27" s="8" t="n">
        <v>8923939.6</v>
      </c>
      <c r="AB27" s="8" t="n">
        <v>8825565.699999999</v>
      </c>
    </row>
    <row r="28">
      <c r="A28" s="4" t="inlineStr">
        <is>
          <t>职工薪酬</t>
        </is>
      </c>
      <c r="D28" s="7" t="n">
        <v>170600.7</v>
      </c>
      <c r="F28" s="7" t="n">
        <v>271653.3</v>
      </c>
      <c r="H28" s="7" t="n">
        <v>228417.9</v>
      </c>
      <c r="J28" s="7" t="n">
        <v>497084.4</v>
      </c>
      <c r="L28" s="7" t="n">
        <v>305042.4</v>
      </c>
      <c r="N28" s="7" t="n">
        <v>531415.6</v>
      </c>
      <c r="P28" s="7" t="n">
        <v>261753.1</v>
      </c>
      <c r="R28" s="7" t="n">
        <v>597346.2</v>
      </c>
      <c r="T28" s="7" t="n">
        <v>453826.6</v>
      </c>
      <c r="V28" s="7" t="n">
        <v>354756.5</v>
      </c>
      <c r="X28" s="7" t="n">
        <v>372842</v>
      </c>
      <c r="Z28" s="7" t="n">
        <v>264486.6</v>
      </c>
      <c r="AB28" s="7" t="n">
        <v>4309225.3</v>
      </c>
    </row>
    <row r="29">
      <c r="A29" s="4" t="inlineStr">
        <is>
          <t>工资</t>
        </is>
      </c>
      <c r="D29" s="7" t="n">
        <v>98556.60000000001</v>
      </c>
      <c r="F29" s="7" t="n">
        <v>165178.8</v>
      </c>
      <c r="H29" s="7" t="n">
        <v>120972.7</v>
      </c>
      <c r="J29" s="7" t="n">
        <v>287897.3</v>
      </c>
      <c r="L29" s="7" t="n">
        <v>181041.6</v>
      </c>
      <c r="N29" s="7" t="n">
        <v>295191.8</v>
      </c>
      <c r="P29" s="7" t="n">
        <v>134797.1</v>
      </c>
      <c r="R29" s="7" t="n">
        <v>379390.2</v>
      </c>
      <c r="T29" s="7" t="n">
        <v>250029.7</v>
      </c>
      <c r="V29" s="7" t="n">
        <v>199320.7</v>
      </c>
      <c r="X29" s="7" t="n">
        <v>219224.4</v>
      </c>
      <c r="Z29" s="7" t="n">
        <v>135336.3</v>
      </c>
      <c r="AB29" s="7" t="n">
        <v>2466937.2</v>
      </c>
    </row>
    <row r="30">
      <c r="A30" s="4" t="inlineStr">
        <is>
          <t>奖金及提成</t>
        </is>
      </c>
      <c r="D30" s="7" t="n">
        <v>31641</v>
      </c>
      <c r="F30" s="7" t="n">
        <v>53958.9</v>
      </c>
      <c r="H30" s="7" t="n">
        <v>45025.9</v>
      </c>
      <c r="J30" s="7" t="n">
        <v>104792.5</v>
      </c>
      <c r="L30" s="7" t="n">
        <v>57512.6</v>
      </c>
      <c r="N30" s="7" t="n">
        <v>96241.10000000001</v>
      </c>
      <c r="P30" s="7" t="n">
        <v>46431.8</v>
      </c>
      <c r="R30" s="7" t="n">
        <v>101134.5</v>
      </c>
      <c r="T30" s="7" t="n">
        <v>94515.2</v>
      </c>
      <c r="V30" s="7" t="n">
        <v>58642.5</v>
      </c>
      <c r="X30" s="7" t="n">
        <v>84900</v>
      </c>
      <c r="Z30" s="7" t="n">
        <v>74139.5</v>
      </c>
      <c r="AB30" s="7" t="n">
        <v>848935.5</v>
      </c>
    </row>
    <row r="31">
      <c r="A31" s="4" t="inlineStr">
        <is>
          <t>社保</t>
        </is>
      </c>
      <c r="D31" s="7" t="n">
        <v>26811.5</v>
      </c>
      <c r="F31" s="7" t="n">
        <v>35153.2</v>
      </c>
      <c r="H31" s="7" t="n">
        <v>43027.7</v>
      </c>
      <c r="J31" s="7" t="n">
        <v>77626.8</v>
      </c>
      <c r="L31" s="7" t="n">
        <v>47874.3</v>
      </c>
      <c r="N31" s="7" t="n">
        <v>102973.5</v>
      </c>
      <c r="P31" s="7" t="n">
        <v>61234.6</v>
      </c>
      <c r="R31" s="7" t="n">
        <v>83332.3</v>
      </c>
      <c r="T31" s="7" t="n">
        <v>76725.60000000001</v>
      </c>
      <c r="V31" s="7" t="n">
        <v>70308.60000000001</v>
      </c>
      <c r="X31" s="7" t="n">
        <v>46163.5</v>
      </c>
      <c r="Z31" s="7" t="n">
        <v>34264.7</v>
      </c>
      <c r="AB31" s="7" t="n">
        <v>705496.3</v>
      </c>
    </row>
    <row r="32">
      <c r="A32" s="4" t="inlineStr">
        <is>
          <t>养老</t>
        </is>
      </c>
      <c r="D32" s="7" t="n">
        <v>297.6</v>
      </c>
      <c r="F32" s="7" t="n">
        <v>469.1</v>
      </c>
      <c r="H32" s="7" t="n">
        <v>621.4</v>
      </c>
      <c r="J32" s="7" t="n">
        <v>819</v>
      </c>
      <c r="L32" s="7" t="n">
        <v>708.5</v>
      </c>
      <c r="N32" s="7" t="n">
        <v>1391.8</v>
      </c>
      <c r="P32" s="7" t="n">
        <v>553.3</v>
      </c>
      <c r="R32" s="7" t="n">
        <v>968.3</v>
      </c>
      <c r="T32" s="7" t="n">
        <v>1023.6</v>
      </c>
      <c r="V32" s="7" t="n">
        <v>646</v>
      </c>
      <c r="X32" s="7" t="n">
        <v>766.7</v>
      </c>
      <c r="Z32" s="7" t="n">
        <v>554</v>
      </c>
      <c r="AB32" s="7" t="n">
        <v>8819.299999999999</v>
      </c>
    </row>
    <row r="33">
      <c r="A33" s="4" t="inlineStr">
        <is>
          <t>医疗</t>
        </is>
      </c>
      <c r="D33" s="7" t="n">
        <v>2229.6</v>
      </c>
      <c r="F33" s="7" t="n">
        <v>2152.8</v>
      </c>
      <c r="H33" s="7" t="n">
        <v>2749.3</v>
      </c>
      <c r="J33" s="7" t="n">
        <v>4694.2</v>
      </c>
      <c r="L33" s="7" t="n">
        <v>2246.4</v>
      </c>
      <c r="N33" s="7" t="n">
        <v>4727.1</v>
      </c>
      <c r="P33" s="7" t="n">
        <v>3449.6</v>
      </c>
      <c r="R33" s="7" t="n">
        <v>5181</v>
      </c>
      <c r="T33" s="7" t="n">
        <v>4286.5</v>
      </c>
      <c r="V33" s="7" t="n">
        <v>4528.6</v>
      </c>
      <c r="X33" s="7" t="n">
        <v>2480.9</v>
      </c>
      <c r="Z33" s="7" t="n">
        <v>2907</v>
      </c>
      <c r="AB33" s="7" t="n">
        <v>41633</v>
      </c>
    </row>
    <row r="34">
      <c r="A34" s="4" t="inlineStr">
        <is>
          <t>工伤</t>
        </is>
      </c>
      <c r="D34" s="7" t="n">
        <v>1409</v>
      </c>
      <c r="F34" s="7" t="n">
        <v>1162.1</v>
      </c>
      <c r="H34" s="7" t="n">
        <v>1768.5</v>
      </c>
      <c r="J34" s="7" t="n">
        <v>1922.4</v>
      </c>
      <c r="L34" s="7" t="n">
        <v>1688.6</v>
      </c>
      <c r="N34" s="7" t="n">
        <v>2736.7</v>
      </c>
      <c r="P34" s="7" t="n">
        <v>1953.9</v>
      </c>
      <c r="R34" s="7" t="n">
        <v>2857.6</v>
      </c>
      <c r="T34" s="7" t="n">
        <v>2801.2</v>
      </c>
      <c r="V34" s="7" t="n">
        <v>1695.3</v>
      </c>
      <c r="X34" s="7" t="n">
        <v>1714.3</v>
      </c>
      <c r="Z34" s="7" t="n">
        <v>2032.6</v>
      </c>
      <c r="AB34" s="7" t="n">
        <v>23742.2</v>
      </c>
    </row>
    <row r="35">
      <c r="A35" s="4" t="inlineStr">
        <is>
          <t>失业</t>
        </is>
      </c>
      <c r="D35" s="7" t="n">
        <v>2025.8</v>
      </c>
      <c r="F35" s="7" t="n">
        <v>1443</v>
      </c>
      <c r="H35" s="7" t="n">
        <v>1551</v>
      </c>
      <c r="J35" s="7" t="n">
        <v>3624.1</v>
      </c>
      <c r="L35" s="7" t="n">
        <v>1972.7</v>
      </c>
      <c r="N35" s="7" t="n">
        <v>4263.4</v>
      </c>
      <c r="P35" s="7" t="n">
        <v>1870.3</v>
      </c>
      <c r="R35" s="7" t="n">
        <v>3600.8</v>
      </c>
      <c r="T35" s="7" t="n">
        <v>3392.7</v>
      </c>
      <c r="V35" s="7" t="n">
        <v>2133.5</v>
      </c>
      <c r="X35" s="7" t="n">
        <v>2699.7</v>
      </c>
      <c r="Z35" s="7" t="n">
        <v>2534.3</v>
      </c>
      <c r="AB35" s="7" t="n">
        <v>31111.3</v>
      </c>
    </row>
    <row r="36">
      <c r="A36" s="4" t="inlineStr">
        <is>
          <t>生育</t>
        </is>
      </c>
      <c r="D36" s="7" t="n">
        <v>1235.6</v>
      </c>
      <c r="F36" s="7" t="n">
        <v>1618.5</v>
      </c>
      <c r="H36" s="7" t="n">
        <v>1314.4</v>
      </c>
      <c r="J36" s="7" t="n">
        <v>1521.8</v>
      </c>
      <c r="L36" s="7" t="n">
        <v>1167.6</v>
      </c>
      <c r="N36" s="7" t="n">
        <v>3786.7</v>
      </c>
      <c r="P36" s="7" t="n">
        <v>1357.1</v>
      </c>
      <c r="R36" s="7" t="n">
        <v>2842.7</v>
      </c>
      <c r="T36" s="7" t="n">
        <v>2371.6</v>
      </c>
      <c r="V36" s="7" t="n">
        <v>1465.1</v>
      </c>
      <c r="X36" s="7" t="n">
        <v>1715.3</v>
      </c>
      <c r="Z36" s="7" t="n">
        <v>1284.6</v>
      </c>
      <c r="AB36" s="7" t="n">
        <v>21681</v>
      </c>
    </row>
    <row r="37">
      <c r="A37" s="4" t="inlineStr">
        <is>
          <t>公积金</t>
        </is>
      </c>
      <c r="D37" s="7" t="n">
        <v>2104.4</v>
      </c>
      <c r="F37" s="7" t="n">
        <v>3963.6</v>
      </c>
      <c r="H37" s="7" t="n">
        <v>4208.4</v>
      </c>
      <c r="J37" s="7" t="n">
        <v>4308.1</v>
      </c>
      <c r="L37" s="7" t="n">
        <v>2690.7</v>
      </c>
      <c r="N37" s="7" t="n">
        <v>5739.5</v>
      </c>
      <c r="P37" s="7" t="n">
        <v>3307.8</v>
      </c>
      <c r="R37" s="7" t="n">
        <v>6293.7</v>
      </c>
      <c r="T37" s="7" t="n">
        <v>5575.1</v>
      </c>
      <c r="V37" s="7" t="n">
        <v>3679.3</v>
      </c>
      <c r="X37" s="7" t="n">
        <v>4811.6</v>
      </c>
      <c r="Z37" s="7" t="n">
        <v>4190.7</v>
      </c>
      <c r="AB37" s="7" t="n">
        <v>50872.9</v>
      </c>
    </row>
    <row r="38">
      <c r="A38" s="4" t="inlineStr">
        <is>
          <t>工会经费</t>
        </is>
      </c>
      <c r="D38" s="7" t="n">
        <v>396.7</v>
      </c>
      <c r="F38" s="7" t="n">
        <v>445.8</v>
      </c>
      <c r="H38" s="7" t="n">
        <v>406.7</v>
      </c>
      <c r="J38" s="7" t="n">
        <v>958.7</v>
      </c>
      <c r="L38" s="7" t="n">
        <v>507.4</v>
      </c>
      <c r="N38" s="7" t="n">
        <v>1363.7</v>
      </c>
      <c r="P38" s="7" t="n">
        <v>732.9</v>
      </c>
      <c r="R38" s="7" t="n">
        <v>1182.4</v>
      </c>
      <c r="T38" s="7" t="n">
        <v>1045.5</v>
      </c>
      <c r="V38" s="7" t="n">
        <v>899.7</v>
      </c>
      <c r="X38" s="7" t="n">
        <v>831.2</v>
      </c>
      <c r="Z38" s="7" t="n">
        <v>571.8</v>
      </c>
      <c r="AB38" s="7" t="n">
        <v>9342.5</v>
      </c>
    </row>
    <row r="39">
      <c r="A39" s="4" t="inlineStr">
        <is>
          <t>职工教育经费</t>
        </is>
      </c>
      <c r="D39" s="7" t="n">
        <v>637.1</v>
      </c>
      <c r="F39" s="7" t="n">
        <v>758.3</v>
      </c>
      <c r="H39" s="7" t="n">
        <v>1318.8</v>
      </c>
      <c r="J39" s="7" t="n">
        <v>2021.9</v>
      </c>
      <c r="L39" s="7" t="n">
        <v>1544.6</v>
      </c>
      <c r="N39" s="7" t="n">
        <v>2265.7</v>
      </c>
      <c r="P39" s="7" t="n">
        <v>1032.7</v>
      </c>
      <c r="R39" s="7" t="n">
        <v>1510.4</v>
      </c>
      <c r="T39" s="7" t="n">
        <v>1845.2</v>
      </c>
      <c r="V39" s="7" t="n">
        <v>2069.1</v>
      </c>
      <c r="X39" s="7" t="n">
        <v>1216.6</v>
      </c>
      <c r="Z39" s="7" t="n">
        <v>1002.2</v>
      </c>
      <c r="AB39" s="7" t="n">
        <v>17222.6</v>
      </c>
    </row>
    <row r="40">
      <c r="A40" s="4" t="inlineStr">
        <is>
          <t>福利费</t>
        </is>
      </c>
      <c r="D40" s="7" t="n">
        <v>10453.4</v>
      </c>
      <c r="F40" s="7" t="n">
        <v>12194.7</v>
      </c>
      <c r="H40" s="7" t="n">
        <v>13457.7</v>
      </c>
      <c r="J40" s="7" t="n">
        <v>19479.1</v>
      </c>
      <c r="L40" s="7" t="n">
        <v>13871.2</v>
      </c>
      <c r="N40" s="7" t="n">
        <v>27640.3</v>
      </c>
      <c r="P40" s="7" t="n">
        <v>14216.2</v>
      </c>
      <c r="R40" s="7" t="n">
        <v>24502.7</v>
      </c>
      <c r="T40" s="7" t="n">
        <v>24090.3</v>
      </c>
      <c r="V40" s="7" t="n">
        <v>19836.6</v>
      </c>
      <c r="X40" s="7" t="n">
        <v>15694.7</v>
      </c>
      <c r="Z40" s="7" t="n">
        <v>14981.4</v>
      </c>
      <c r="AB40" s="7" t="n">
        <v>210418.3</v>
      </c>
    </row>
    <row r="41">
      <c r="A41" s="4" t="inlineStr">
        <is>
          <t>职工房租</t>
        </is>
      </c>
      <c r="D41" s="7" t="n">
        <v>599.7</v>
      </c>
      <c r="F41" s="7" t="n">
        <v>915.7</v>
      </c>
      <c r="H41" s="7" t="n">
        <v>588.2</v>
      </c>
      <c r="J41" s="7" t="n">
        <v>969.6</v>
      </c>
      <c r="L41" s="7" t="n">
        <v>754.2</v>
      </c>
      <c r="N41" s="7" t="n">
        <v>1323.5</v>
      </c>
      <c r="P41" s="7" t="n">
        <v>774.5</v>
      </c>
      <c r="R41" s="7" t="n">
        <v>1196</v>
      </c>
      <c r="T41" s="7" t="n">
        <v>1214.2</v>
      </c>
      <c r="V41" s="7" t="n">
        <v>1047.9</v>
      </c>
      <c r="X41" s="7" t="n">
        <v>669.9</v>
      </c>
      <c r="Z41" s="7" t="n">
        <v>981.9</v>
      </c>
      <c r="AB41" s="7" t="n">
        <v>11035.3</v>
      </c>
    </row>
    <row r="42">
      <c r="A42" s="4" t="inlineStr">
        <is>
          <t>水电物业费</t>
        </is>
      </c>
      <c r="D42" s="7" t="n">
        <v>1691.7</v>
      </c>
      <c r="F42" s="7" t="n">
        <v>1684</v>
      </c>
      <c r="H42" s="7" t="n">
        <v>1986</v>
      </c>
      <c r="J42" s="7" t="n">
        <v>3236</v>
      </c>
      <c r="L42" s="7" t="n">
        <v>2743.3</v>
      </c>
      <c r="N42" s="7" t="n">
        <v>6661.4</v>
      </c>
      <c r="P42" s="7" t="n">
        <v>1965.1</v>
      </c>
      <c r="R42" s="7" t="n">
        <v>4309.6</v>
      </c>
      <c r="T42" s="7" t="n">
        <v>5282.7</v>
      </c>
      <c r="V42" s="7" t="n">
        <v>4080.7</v>
      </c>
      <c r="X42" s="7" t="n">
        <v>2282</v>
      </c>
      <c r="Z42" s="7" t="n">
        <v>3304.9</v>
      </c>
      <c r="AB42" s="7" t="n">
        <v>39227.4</v>
      </c>
    </row>
    <row r="43">
      <c r="A43" s="4" t="inlineStr">
        <is>
          <t>员工餐</t>
        </is>
      </c>
      <c r="D43" s="7" t="n">
        <v>2184</v>
      </c>
      <c r="F43" s="7" t="n">
        <v>2346.4</v>
      </c>
      <c r="H43" s="7" t="n">
        <v>2440.8</v>
      </c>
      <c r="J43" s="7" t="n">
        <v>4351.2</v>
      </c>
      <c r="L43" s="7" t="n">
        <v>2667.9</v>
      </c>
      <c r="N43" s="7" t="n">
        <v>4286.2</v>
      </c>
      <c r="P43" s="7" t="n">
        <v>2576.5</v>
      </c>
      <c r="R43" s="7" t="n">
        <v>4789.9</v>
      </c>
      <c r="T43" s="7" t="n">
        <v>3355.5</v>
      </c>
      <c r="V43" s="7" t="n">
        <v>3768.3</v>
      </c>
      <c r="X43" s="7" t="n">
        <v>2595.2</v>
      </c>
      <c r="Z43" s="7" t="n">
        <v>2154.9</v>
      </c>
      <c r="AB43" s="7" t="n">
        <v>37516.8</v>
      </c>
    </row>
    <row r="44">
      <c r="A44" s="4" t="inlineStr">
        <is>
          <t>节日礼品</t>
        </is>
      </c>
      <c r="D44" s="7" t="n">
        <v>1806.8</v>
      </c>
      <c r="F44" s="7" t="n">
        <v>1979.2</v>
      </c>
      <c r="H44" s="7" t="n">
        <v>2425.9</v>
      </c>
      <c r="J44" s="7" t="n">
        <v>2887.2</v>
      </c>
      <c r="L44" s="7" t="n">
        <v>2551.9</v>
      </c>
      <c r="N44" s="7" t="n">
        <v>6252.3</v>
      </c>
      <c r="P44" s="7" t="n">
        <v>2029.6</v>
      </c>
      <c r="R44" s="7" t="n">
        <v>4225</v>
      </c>
      <c r="T44" s="7" t="n">
        <v>4731.1</v>
      </c>
      <c r="V44" s="7" t="n">
        <v>2794.8</v>
      </c>
      <c r="X44" s="7" t="n">
        <v>3041.1</v>
      </c>
      <c r="Z44" s="7" t="n">
        <v>2800.6</v>
      </c>
      <c r="AB44" s="7" t="n">
        <v>37525.5</v>
      </c>
    </row>
    <row r="45">
      <c r="A45" s="4" t="inlineStr">
        <is>
          <t>生日礼品</t>
        </is>
      </c>
      <c r="D45" s="7" t="n">
        <v>1288.5</v>
      </c>
      <c r="F45" s="7" t="n">
        <v>2005.5</v>
      </c>
      <c r="H45" s="7" t="n">
        <v>2000.5</v>
      </c>
      <c r="J45" s="7" t="n">
        <v>2770.7</v>
      </c>
      <c r="L45" s="7" t="n">
        <v>2031.4</v>
      </c>
      <c r="N45" s="7" t="n">
        <v>3559.3</v>
      </c>
      <c r="P45" s="7" t="n">
        <v>3087.5</v>
      </c>
      <c r="R45" s="7" t="n">
        <v>4258.9</v>
      </c>
      <c r="T45" s="7" t="n">
        <v>4933.1</v>
      </c>
      <c r="V45" s="7" t="n">
        <v>3676.7</v>
      </c>
      <c r="X45" s="7" t="n">
        <v>2431.7</v>
      </c>
      <c r="Z45" s="7" t="n">
        <v>2142</v>
      </c>
      <c r="AB45" s="7" t="n">
        <v>34185.8</v>
      </c>
    </row>
    <row r="46">
      <c r="A46" s="4" t="inlineStr">
        <is>
          <t>体检</t>
        </is>
      </c>
      <c r="D46" s="7" t="n">
        <v>2102.3</v>
      </c>
      <c r="F46" s="7" t="n">
        <v>2280.4</v>
      </c>
      <c r="H46" s="7" t="n">
        <v>3044.1</v>
      </c>
      <c r="J46" s="7" t="n">
        <v>3960.6</v>
      </c>
      <c r="L46" s="7" t="n">
        <v>2238.9</v>
      </c>
      <c r="N46" s="7" t="n">
        <v>3652.5</v>
      </c>
      <c r="P46" s="7" t="n">
        <v>3088.9</v>
      </c>
      <c r="R46" s="7" t="n">
        <v>3754</v>
      </c>
      <c r="T46" s="7" t="n">
        <v>3416.6</v>
      </c>
      <c r="V46" s="7" t="n">
        <v>3417.6</v>
      </c>
      <c r="X46" s="7" t="n">
        <v>3501.2</v>
      </c>
      <c r="Z46" s="7" t="n">
        <v>2820</v>
      </c>
      <c r="AB46" s="7" t="n">
        <v>37277.1</v>
      </c>
    </row>
    <row r="47">
      <c r="A47" s="4" t="inlineStr">
        <is>
          <t>其他福利支出</t>
        </is>
      </c>
      <c r="D47" s="7" t="n">
        <v>780.4</v>
      </c>
      <c r="F47" s="7" t="n">
        <v>983.5</v>
      </c>
      <c r="H47" s="7" t="n">
        <v>972.2</v>
      </c>
      <c r="J47" s="7" t="n">
        <v>1303.8</v>
      </c>
      <c r="L47" s="7" t="n">
        <v>883.6</v>
      </c>
      <c r="N47" s="7" t="n">
        <v>1905.1</v>
      </c>
      <c r="P47" s="7" t="n">
        <v>694.1</v>
      </c>
      <c r="R47" s="7" t="n">
        <v>1969.3</v>
      </c>
      <c r="T47" s="7" t="n">
        <v>1157.1</v>
      </c>
      <c r="V47" s="7" t="n">
        <v>1050.6</v>
      </c>
      <c r="X47" s="7" t="n">
        <v>1173.6</v>
      </c>
      <c r="Z47" s="7" t="n">
        <v>777.1</v>
      </c>
      <c r="AB47" s="7" t="n">
        <v>13650.4</v>
      </c>
    </row>
    <row r="48">
      <c r="A48" s="4" t="inlineStr">
        <is>
          <t>招聘费</t>
        </is>
      </c>
      <c r="D48" s="7" t="n">
        <v>435.6</v>
      </c>
      <c r="F48" s="7" t="n">
        <v>754.4</v>
      </c>
      <c r="H48" s="7" t="n">
        <v>900</v>
      </c>
      <c r="J48" s="7" t="n">
        <v>1453.3</v>
      </c>
      <c r="L48" s="7" t="n">
        <v>685</v>
      </c>
      <c r="N48" s="7" t="n">
        <v>1212</v>
      </c>
      <c r="P48" s="7" t="n">
        <v>920.8</v>
      </c>
      <c r="R48" s="7" t="n">
        <v>1175.4</v>
      </c>
      <c r="T48" s="7" t="n">
        <v>1453</v>
      </c>
      <c r="V48" s="7" t="n">
        <v>897.3</v>
      </c>
      <c r="X48" s="7" t="n">
        <v>719.7</v>
      </c>
      <c r="Z48" s="7" t="n">
        <v>691.6</v>
      </c>
      <c r="AB48" s="7" t="n">
        <v>11298.1</v>
      </c>
    </row>
    <row r="49">
      <c r="A49" s="4" t="inlineStr">
        <is>
          <t>办公费</t>
        </is>
      </c>
      <c r="D49" s="7" t="n">
        <v>11259.5</v>
      </c>
      <c r="F49" s="7" t="n">
        <v>15512.8</v>
      </c>
      <c r="H49" s="7" t="n">
        <v>18188.1</v>
      </c>
      <c r="J49" s="7" t="n">
        <v>22317.7</v>
      </c>
      <c r="L49" s="7" t="n">
        <v>21305.2</v>
      </c>
      <c r="N49" s="7" t="n">
        <v>27192.4</v>
      </c>
      <c r="P49" s="7" t="n">
        <v>23327.2</v>
      </c>
      <c r="R49" s="7" t="n">
        <v>27878.2</v>
      </c>
      <c r="T49" s="7" t="n">
        <v>23002.5</v>
      </c>
      <c r="V49" s="7" t="n">
        <v>22898.8</v>
      </c>
      <c r="X49" s="7" t="n">
        <v>20070.5</v>
      </c>
      <c r="Z49" s="7" t="n">
        <v>20810.7</v>
      </c>
      <c r="AB49" s="7" t="n">
        <v>253763.6</v>
      </c>
    </row>
    <row r="50">
      <c r="A50" s="4" t="inlineStr">
        <is>
          <t>市内交通费</t>
        </is>
      </c>
      <c r="D50" s="7" t="n">
        <v>2559.7</v>
      </c>
      <c r="F50" s="7" t="n">
        <v>3129.3</v>
      </c>
      <c r="H50" s="7" t="n">
        <v>1989.9</v>
      </c>
      <c r="J50" s="7" t="n">
        <v>3991.5</v>
      </c>
      <c r="L50" s="7" t="n">
        <v>3673</v>
      </c>
      <c r="N50" s="7" t="n">
        <v>6979.9</v>
      </c>
      <c r="P50" s="7" t="n">
        <v>3784.3</v>
      </c>
      <c r="R50" s="7" t="n">
        <v>5216.2</v>
      </c>
      <c r="T50" s="7" t="n">
        <v>3779.9</v>
      </c>
      <c r="V50" s="7" t="n">
        <v>4480.7</v>
      </c>
      <c r="X50" s="7" t="n">
        <v>2840.8</v>
      </c>
      <c r="Z50" s="7" t="n">
        <v>2965.2</v>
      </c>
      <c r="AB50" s="7" t="n">
        <v>45390.4</v>
      </c>
    </row>
    <row r="51">
      <c r="A51" s="4" t="inlineStr">
        <is>
          <t>差旅费</t>
        </is>
      </c>
      <c r="D51" s="7" t="n">
        <v>25128.4</v>
      </c>
      <c r="F51" s="7" t="n">
        <v>29620.7</v>
      </c>
      <c r="H51" s="7" t="n">
        <v>35779.2</v>
      </c>
      <c r="J51" s="7" t="n">
        <v>38432.2</v>
      </c>
      <c r="L51" s="7" t="n">
        <v>28509.5</v>
      </c>
      <c r="N51" s="7" t="n">
        <v>71364.89999999999</v>
      </c>
      <c r="P51" s="7" t="n">
        <v>28818.3</v>
      </c>
      <c r="R51" s="7" t="n">
        <v>48323.6</v>
      </c>
      <c r="T51" s="7" t="n">
        <v>40663.7</v>
      </c>
      <c r="V51" s="7" t="n">
        <v>47487.2</v>
      </c>
      <c r="X51" s="7" t="n">
        <v>45424</v>
      </c>
      <c r="Z51" s="7" t="n">
        <v>36292.3</v>
      </c>
      <c r="AB51" s="7" t="n">
        <v>475844</v>
      </c>
    </row>
    <row r="52">
      <c r="A52" s="4" t="inlineStr">
        <is>
          <t>交通费</t>
        </is>
      </c>
      <c r="D52" s="7" t="n">
        <v>3305.8</v>
      </c>
      <c r="F52" s="7" t="n">
        <v>4153.8</v>
      </c>
      <c r="H52" s="7" t="n">
        <v>3144.2</v>
      </c>
      <c r="J52" s="7" t="n">
        <v>5199.1</v>
      </c>
      <c r="L52" s="7" t="n">
        <v>4000.5</v>
      </c>
      <c r="N52" s="7" t="n">
        <v>7745.3</v>
      </c>
      <c r="P52" s="7" t="n">
        <v>3476.1</v>
      </c>
      <c r="R52" s="7" t="n">
        <v>4345.3</v>
      </c>
      <c r="T52" s="7" t="n">
        <v>7283.5</v>
      </c>
      <c r="V52" s="7" t="n">
        <v>4470.3</v>
      </c>
      <c r="X52" s="7" t="n">
        <v>4207.5</v>
      </c>
      <c r="Z52" s="7" t="n">
        <v>3013.5</v>
      </c>
      <c r="AB52" s="7" t="n">
        <v>54344.9</v>
      </c>
    </row>
    <row r="53">
      <c r="A53" s="4" t="inlineStr">
        <is>
          <t>住宿费</t>
        </is>
      </c>
      <c r="D53" s="7" t="n">
        <v>1051.5</v>
      </c>
      <c r="F53" s="7" t="n">
        <v>1905.2</v>
      </c>
      <c r="H53" s="7" t="n">
        <v>1817.9</v>
      </c>
      <c r="J53" s="7" t="n">
        <v>2480.1</v>
      </c>
      <c r="L53" s="7" t="n">
        <v>1726.5</v>
      </c>
      <c r="N53" s="7" t="n">
        <v>3858.9</v>
      </c>
      <c r="P53" s="7" t="n">
        <v>1937.5</v>
      </c>
      <c r="R53" s="7" t="n">
        <v>3087.9</v>
      </c>
      <c r="T53" s="7" t="n">
        <v>3441</v>
      </c>
      <c r="V53" s="7" t="n">
        <v>2583.4</v>
      </c>
      <c r="X53" s="7" t="n">
        <v>1613</v>
      </c>
      <c r="Z53" s="7" t="n">
        <v>1253.6</v>
      </c>
      <c r="AB53" s="7" t="n">
        <v>26756.5</v>
      </c>
    </row>
    <row r="54">
      <c r="A54" s="4" t="inlineStr">
        <is>
          <t>餐补</t>
        </is>
      </c>
      <c r="D54" s="7" t="n">
        <v>2477.5</v>
      </c>
      <c r="F54" s="7" t="n">
        <v>3146.6</v>
      </c>
      <c r="H54" s="7" t="n">
        <v>3343.6</v>
      </c>
      <c r="J54" s="7" t="n">
        <v>4996.4</v>
      </c>
      <c r="L54" s="7" t="n">
        <v>2775.9</v>
      </c>
      <c r="N54" s="7" t="n">
        <v>6288.5</v>
      </c>
      <c r="P54" s="7" t="n">
        <v>3581.1</v>
      </c>
      <c r="R54" s="7" t="n">
        <v>4499.1</v>
      </c>
      <c r="T54" s="7" t="n">
        <v>5419.1</v>
      </c>
      <c r="V54" s="7" t="n">
        <v>5361.7</v>
      </c>
      <c r="X54" s="7" t="n">
        <v>4284.5</v>
      </c>
      <c r="Z54" s="7" t="n">
        <v>2293.2</v>
      </c>
      <c r="AB54" s="7" t="n">
        <v>48467.2</v>
      </c>
    </row>
    <row r="55">
      <c r="A55" s="4" t="inlineStr">
        <is>
          <t>交通补助</t>
        </is>
      </c>
      <c r="D55" s="7" t="n">
        <v>2366.6</v>
      </c>
      <c r="F55" s="7" t="n">
        <v>3372.8</v>
      </c>
      <c r="H55" s="7" t="n">
        <v>2660.4</v>
      </c>
      <c r="J55" s="7" t="n">
        <v>4582.7</v>
      </c>
      <c r="L55" s="7" t="n">
        <v>3811</v>
      </c>
      <c r="N55" s="7" t="n">
        <v>6194.3</v>
      </c>
      <c r="P55" s="7" t="n">
        <v>2490.9</v>
      </c>
      <c r="R55" s="7" t="n">
        <v>4772.2</v>
      </c>
      <c r="T55" s="7" t="n">
        <v>5799.3</v>
      </c>
      <c r="V55" s="7" t="n">
        <v>3406.5</v>
      </c>
      <c r="X55" s="7" t="n">
        <v>2971.4</v>
      </c>
      <c r="Z55" s="7" t="n">
        <v>3936.2</v>
      </c>
      <c r="AB55" s="7" t="n">
        <v>46364.3</v>
      </c>
    </row>
    <row r="56">
      <c r="A56" s="4" t="inlineStr">
        <is>
          <t>通讯补助</t>
        </is>
      </c>
      <c r="D56" s="7" t="n">
        <v>1729.3</v>
      </c>
      <c r="F56" s="7" t="n">
        <v>2038.8</v>
      </c>
      <c r="H56" s="7" t="n">
        <v>2292.5</v>
      </c>
      <c r="J56" s="7" t="n">
        <v>4562.2</v>
      </c>
      <c r="L56" s="7" t="n">
        <v>2982.1</v>
      </c>
      <c r="N56" s="7" t="n">
        <v>3941.6</v>
      </c>
      <c r="P56" s="7" t="n">
        <v>2829.6</v>
      </c>
      <c r="R56" s="7" t="n">
        <v>4982.9</v>
      </c>
      <c r="T56" s="7" t="n">
        <v>3749</v>
      </c>
      <c r="V56" s="7" t="n">
        <v>2683.7</v>
      </c>
      <c r="X56" s="7" t="n">
        <v>3309.4</v>
      </c>
      <c r="Z56" s="7" t="n">
        <v>3302.6</v>
      </c>
      <c r="AB56" s="7" t="n">
        <v>38403.7</v>
      </c>
    </row>
    <row r="57">
      <c r="A57" s="4" t="inlineStr">
        <is>
          <t>招待费</t>
        </is>
      </c>
      <c r="D57" s="7" t="n">
        <v>16177.1</v>
      </c>
      <c r="F57" s="7" t="n">
        <v>18888.4</v>
      </c>
      <c r="H57" s="7" t="n">
        <v>28979.4</v>
      </c>
      <c r="J57" s="7" t="n">
        <v>41020.9</v>
      </c>
      <c r="L57" s="7" t="n">
        <v>17036.5</v>
      </c>
      <c r="N57" s="7" t="n">
        <v>35960.6</v>
      </c>
      <c r="P57" s="7" t="n">
        <v>27086.6</v>
      </c>
      <c r="R57" s="7" t="n">
        <v>40180.9</v>
      </c>
      <c r="T57" s="7" t="n">
        <v>41857.4</v>
      </c>
      <c r="V57" s="7" t="n">
        <v>36069.6</v>
      </c>
      <c r="X57" s="7" t="n">
        <v>21404.2</v>
      </c>
      <c r="Z57" s="7" t="n">
        <v>22490.5</v>
      </c>
      <c r="AB57" s="7" t="n">
        <v>347152.1</v>
      </c>
    </row>
    <row r="58">
      <c r="A58" s="4" t="inlineStr">
        <is>
          <t>通讯费</t>
        </is>
      </c>
      <c r="D58" s="7" t="n">
        <v>1628.5</v>
      </c>
      <c r="F58" s="7" t="n">
        <v>1993.6</v>
      </c>
      <c r="H58" s="7" t="n">
        <v>3284.9</v>
      </c>
      <c r="J58" s="7" t="n">
        <v>3861.4</v>
      </c>
      <c r="L58" s="7" t="n">
        <v>3334.3</v>
      </c>
      <c r="N58" s="7" t="n">
        <v>4539.2</v>
      </c>
      <c r="P58" s="7" t="n">
        <v>2056.8</v>
      </c>
      <c r="R58" s="7" t="n">
        <v>3699.4</v>
      </c>
      <c r="T58" s="7" t="n">
        <v>5108.7</v>
      </c>
      <c r="V58" s="7" t="n">
        <v>3125</v>
      </c>
      <c r="X58" s="7" t="n">
        <v>3822</v>
      </c>
      <c r="Z58" s="7" t="n">
        <v>2653.3</v>
      </c>
      <c r="AB58" s="7" t="n">
        <v>39107.1</v>
      </c>
    </row>
    <row r="59">
      <c r="A59" s="4" t="inlineStr">
        <is>
          <t>网络费</t>
        </is>
      </c>
      <c r="D59" s="7" t="n">
        <v>1903</v>
      </c>
      <c r="F59" s="7" t="n">
        <v>2678.4</v>
      </c>
      <c r="H59" s="7" t="n">
        <v>1842.9</v>
      </c>
      <c r="J59" s="7" t="n">
        <v>3103</v>
      </c>
      <c r="L59" s="7" t="n">
        <v>2314.4</v>
      </c>
      <c r="N59" s="7" t="n">
        <v>4313.7</v>
      </c>
      <c r="P59" s="7" t="n">
        <v>2254.3</v>
      </c>
      <c r="R59" s="7" t="n">
        <v>4277.1</v>
      </c>
      <c r="T59" s="7" t="n">
        <v>3884.1</v>
      </c>
      <c r="V59" s="7" t="n">
        <v>3589</v>
      </c>
      <c r="X59" s="7" t="n">
        <v>2084.7</v>
      </c>
      <c r="Z59" s="7" t="n">
        <v>1840.9</v>
      </c>
      <c r="AB59" s="7" t="n">
        <v>34085.5</v>
      </c>
    </row>
    <row r="60">
      <c r="A60" s="4" t="inlineStr">
        <is>
          <t>修理费</t>
        </is>
      </c>
      <c r="D60" s="7" t="n">
        <v>1495.8</v>
      </c>
      <c r="F60" s="7" t="n">
        <v>2761</v>
      </c>
      <c r="H60" s="7" t="n">
        <v>3572.6</v>
      </c>
      <c r="J60" s="7" t="n">
        <v>3221.2</v>
      </c>
      <c r="L60" s="7" t="n">
        <v>3035.6</v>
      </c>
      <c r="N60" s="7" t="n">
        <v>4207.7</v>
      </c>
      <c r="P60" s="7" t="n">
        <v>3171.1</v>
      </c>
      <c r="R60" s="7" t="n">
        <v>6304.4</v>
      </c>
      <c r="T60" s="7" t="n">
        <v>5461.4</v>
      </c>
      <c r="V60" s="7" t="n">
        <v>4911.3</v>
      </c>
      <c r="X60" s="7" t="n">
        <v>3234.9</v>
      </c>
      <c r="Z60" s="7" t="n">
        <v>2704.2</v>
      </c>
      <c r="AB60" s="7" t="n">
        <v>44081.2</v>
      </c>
    </row>
    <row r="61">
      <c r="A61" s="4" t="inlineStr">
        <is>
          <t>车辆费</t>
        </is>
      </c>
      <c r="D61" s="7" t="n">
        <v>1119.1</v>
      </c>
      <c r="F61" s="7" t="n">
        <v>1854.6</v>
      </c>
      <c r="H61" s="7" t="n">
        <v>2052</v>
      </c>
      <c r="J61" s="7" t="n">
        <v>2888.6</v>
      </c>
      <c r="L61" s="7" t="n">
        <v>2163.9</v>
      </c>
      <c r="N61" s="7" t="n">
        <v>3750.4</v>
      </c>
      <c r="P61" s="7" t="n">
        <v>1581.6</v>
      </c>
      <c r="R61" s="7" t="n">
        <v>2046.7</v>
      </c>
      <c r="T61" s="7" t="n">
        <v>2463.9</v>
      </c>
      <c r="V61" s="7" t="n">
        <v>2001</v>
      </c>
      <c r="X61" s="7" t="n">
        <v>1427.5</v>
      </c>
      <c r="Z61" s="7" t="n">
        <v>1667.9</v>
      </c>
      <c r="AB61" s="7" t="n">
        <v>25017.2</v>
      </c>
    </row>
    <row r="62">
      <c r="A62" s="4" t="inlineStr">
        <is>
          <t>租赁费</t>
        </is>
      </c>
      <c r="D62" s="7" t="n">
        <v>24102.9</v>
      </c>
      <c r="F62" s="7" t="n">
        <v>30288.5</v>
      </c>
      <c r="H62" s="7" t="n">
        <v>34558.2</v>
      </c>
      <c r="J62" s="7" t="n">
        <v>33757.3</v>
      </c>
      <c r="L62" s="7" t="n">
        <v>32238.8</v>
      </c>
      <c r="N62" s="7" t="n">
        <v>74002.8</v>
      </c>
      <c r="P62" s="7" t="n">
        <v>26282.3</v>
      </c>
      <c r="R62" s="7" t="n">
        <v>55401.3</v>
      </c>
      <c r="T62" s="7" t="n">
        <v>56933.7</v>
      </c>
      <c r="V62" s="7" t="n">
        <v>36433.4</v>
      </c>
      <c r="X62" s="7" t="n">
        <v>35712.7</v>
      </c>
      <c r="Z62" s="7" t="n">
        <v>33297.3</v>
      </c>
      <c r="AB62" s="7" t="n">
        <v>473009.2</v>
      </c>
    </row>
    <row r="63">
      <c r="A63" s="4" t="inlineStr">
        <is>
          <t>能源费</t>
        </is>
      </c>
      <c r="D63" s="7" t="n">
        <v>2911.4</v>
      </c>
      <c r="F63" s="7" t="n">
        <v>3891.4</v>
      </c>
      <c r="H63" s="7" t="n">
        <v>3664.5</v>
      </c>
      <c r="J63" s="7" t="n">
        <v>5809.4</v>
      </c>
      <c r="L63" s="7" t="n">
        <v>4677.9</v>
      </c>
      <c r="N63" s="7" t="n">
        <v>9888.1</v>
      </c>
      <c r="P63" s="7" t="n">
        <v>5050.8</v>
      </c>
      <c r="R63" s="7" t="n">
        <v>7733.8</v>
      </c>
      <c r="T63" s="7" t="n">
        <v>7783.3</v>
      </c>
      <c r="V63" s="7" t="n">
        <v>6652.9</v>
      </c>
      <c r="X63" s="7" t="n">
        <v>4668.2</v>
      </c>
      <c r="Z63" s="7" t="n">
        <v>4082.8</v>
      </c>
      <c r="AB63" s="7" t="n">
        <v>66814.5</v>
      </c>
    </row>
    <row r="64">
      <c r="A64" s="4" t="inlineStr">
        <is>
          <t>水费</t>
        </is>
      </c>
      <c r="D64" s="7" t="n">
        <v>1611.4</v>
      </c>
      <c r="F64" s="7" t="n">
        <v>2266.7</v>
      </c>
      <c r="H64" s="7" t="n">
        <v>1670.4</v>
      </c>
      <c r="J64" s="7" t="n">
        <v>3281</v>
      </c>
      <c r="L64" s="7" t="n">
        <v>3043.5</v>
      </c>
      <c r="N64" s="7" t="n">
        <v>6067.7</v>
      </c>
      <c r="P64" s="7" t="n">
        <v>3114.5</v>
      </c>
      <c r="R64" s="7" t="n">
        <v>4781.5</v>
      </c>
      <c r="T64" s="7" t="n">
        <v>4736.6</v>
      </c>
      <c r="V64" s="7" t="n">
        <v>3590.2</v>
      </c>
      <c r="X64" s="7" t="n">
        <v>2325.3</v>
      </c>
      <c r="Z64" s="7" t="n">
        <v>1976.5</v>
      </c>
      <c r="AB64" s="7" t="n">
        <v>38465.3</v>
      </c>
    </row>
    <row r="65">
      <c r="A65" s="4" t="inlineStr">
        <is>
          <t>电费</t>
        </is>
      </c>
      <c r="D65" s="7" t="n">
        <v>409.3</v>
      </c>
      <c r="F65" s="7" t="n">
        <v>522.6</v>
      </c>
      <c r="H65" s="7" t="n">
        <v>639</v>
      </c>
      <c r="J65" s="7" t="n">
        <v>811.4</v>
      </c>
      <c r="L65" s="7" t="n">
        <v>443.1</v>
      </c>
      <c r="N65" s="7" t="n">
        <v>1340.2</v>
      </c>
      <c r="P65" s="7" t="n">
        <v>500.9</v>
      </c>
      <c r="R65" s="7" t="n">
        <v>1025.6</v>
      </c>
      <c r="T65" s="7" t="n">
        <v>925.3</v>
      </c>
      <c r="V65" s="7" t="n">
        <v>909.7</v>
      </c>
      <c r="X65" s="7" t="n">
        <v>501.4</v>
      </c>
      <c r="Z65" s="7" t="n">
        <v>552.4</v>
      </c>
      <c r="AB65" s="7" t="n">
        <v>8580.9</v>
      </c>
    </row>
    <row r="66">
      <c r="A66" s="4" t="inlineStr">
        <is>
          <t>燃气费</t>
        </is>
      </c>
      <c r="D66" s="7" t="n">
        <v>358.7</v>
      </c>
      <c r="F66" s="7" t="n">
        <v>341.9</v>
      </c>
      <c r="H66" s="7" t="n">
        <v>351.7</v>
      </c>
      <c r="J66" s="7" t="n">
        <v>753.1</v>
      </c>
      <c r="L66" s="7" t="n">
        <v>505.1</v>
      </c>
      <c r="N66" s="7" t="n">
        <v>692.8</v>
      </c>
      <c r="P66" s="7" t="n">
        <v>441.6</v>
      </c>
      <c r="R66" s="7" t="n">
        <v>847.9</v>
      </c>
      <c r="T66" s="7" t="n">
        <v>578.3</v>
      </c>
      <c r="V66" s="7" t="n">
        <v>754.6</v>
      </c>
      <c r="X66" s="7" t="n">
        <v>628.1</v>
      </c>
      <c r="Z66" s="7" t="n">
        <v>534.9</v>
      </c>
      <c r="AB66" s="7" t="n">
        <v>6788.7</v>
      </c>
    </row>
    <row r="67">
      <c r="A67" s="4" t="inlineStr">
        <is>
          <t>蒸汽费</t>
        </is>
      </c>
      <c r="D67" s="7" t="n">
        <v>532</v>
      </c>
      <c r="F67" s="7" t="n">
        <v>760.2</v>
      </c>
      <c r="H67" s="7" t="n">
        <v>1003.4</v>
      </c>
      <c r="J67" s="7" t="n">
        <v>963.9</v>
      </c>
      <c r="L67" s="7" t="n">
        <v>686.2</v>
      </c>
      <c r="N67" s="7" t="n">
        <v>1787.4</v>
      </c>
      <c r="P67" s="7" t="n">
        <v>993.8</v>
      </c>
      <c r="R67" s="7" t="n">
        <v>1078.8</v>
      </c>
      <c r="T67" s="7" t="n">
        <v>1543.1</v>
      </c>
      <c r="V67" s="7" t="n">
        <v>1398.4</v>
      </c>
      <c r="X67" s="7" t="n">
        <v>1213.4</v>
      </c>
      <c r="Z67" s="7" t="n">
        <v>1019</v>
      </c>
      <c r="AB67" s="7" t="n">
        <v>12979.6</v>
      </c>
    </row>
    <row r="68">
      <c r="A68" s="4" t="inlineStr">
        <is>
          <t>物业费</t>
        </is>
      </c>
      <c r="D68" s="7" t="n">
        <v>1843.5</v>
      </c>
      <c r="F68" s="7" t="n">
        <v>1946.9</v>
      </c>
      <c r="H68" s="7" t="n">
        <v>2496.5</v>
      </c>
      <c r="J68" s="7" t="n">
        <v>3875.7</v>
      </c>
      <c r="L68" s="7" t="n">
        <v>2223.4</v>
      </c>
      <c r="N68" s="7" t="n">
        <v>5180</v>
      </c>
      <c r="P68" s="7" t="n">
        <v>2474.8</v>
      </c>
      <c r="R68" s="7" t="n">
        <v>4731.3</v>
      </c>
      <c r="T68" s="7" t="n">
        <v>4470.2</v>
      </c>
      <c r="V68" s="7" t="n">
        <v>2599.3</v>
      </c>
      <c r="X68" s="7" t="n">
        <v>2021.1</v>
      </c>
      <c r="Z68" s="7" t="n">
        <v>1802.3</v>
      </c>
      <c r="AB68" s="7" t="n">
        <v>35665</v>
      </c>
    </row>
    <row r="69">
      <c r="A69" s="4" t="inlineStr">
        <is>
          <t>劳动保护费</t>
        </is>
      </c>
      <c r="D69" s="7" t="n">
        <v>288.2</v>
      </c>
      <c r="F69" s="7" t="n">
        <v>393.8</v>
      </c>
      <c r="H69" s="7" t="n">
        <v>375.8</v>
      </c>
      <c r="J69" s="7" t="n">
        <v>387.8</v>
      </c>
      <c r="L69" s="7" t="n">
        <v>327</v>
      </c>
      <c r="N69" s="7" t="n">
        <v>858.5</v>
      </c>
      <c r="P69" s="7" t="n">
        <v>450.6</v>
      </c>
      <c r="R69" s="7" t="n">
        <v>605.2</v>
      </c>
      <c r="T69" s="7" t="n">
        <v>392.4</v>
      </c>
      <c r="V69" s="7" t="n">
        <v>340.9</v>
      </c>
      <c r="X69" s="7" t="n">
        <v>398.1</v>
      </c>
      <c r="Z69" s="7" t="n">
        <v>429.4</v>
      </c>
      <c r="AB69" s="7" t="n">
        <v>5247.7</v>
      </c>
    </row>
    <row r="70">
      <c r="A70" s="4" t="inlineStr">
        <is>
          <t>顾问费</t>
        </is>
      </c>
      <c r="D70" s="7" t="n">
        <v>2468.5</v>
      </c>
      <c r="F70" s="7" t="n">
        <v>3151.2</v>
      </c>
      <c r="H70" s="7" t="n">
        <v>3989.9</v>
      </c>
      <c r="J70" s="7" t="n">
        <v>6523.4</v>
      </c>
      <c r="L70" s="7" t="n">
        <v>3950.4</v>
      </c>
      <c r="N70" s="7" t="n">
        <v>8260.6</v>
      </c>
      <c r="P70" s="7" t="n">
        <v>3243.5</v>
      </c>
      <c r="R70" s="7" t="n">
        <v>5959.6</v>
      </c>
      <c r="T70" s="7" t="n">
        <v>6294.5</v>
      </c>
      <c r="V70" s="7" t="n">
        <v>4963</v>
      </c>
      <c r="X70" s="7" t="n">
        <v>3371.5</v>
      </c>
      <c r="Z70" s="7" t="n">
        <v>4944.6</v>
      </c>
      <c r="AB70" s="7" t="n">
        <v>57120.7</v>
      </c>
    </row>
    <row r="71">
      <c r="A71" s="4" t="inlineStr">
        <is>
          <t>快递费</t>
        </is>
      </c>
      <c r="D71" s="7" t="n">
        <v>2364.8</v>
      </c>
      <c r="F71" s="7" t="n">
        <v>2852</v>
      </c>
      <c r="H71" s="7" t="n">
        <v>3265.3</v>
      </c>
      <c r="J71" s="7" t="n">
        <v>3726.4</v>
      </c>
      <c r="L71" s="7" t="n">
        <v>3666.8</v>
      </c>
      <c r="N71" s="7" t="n">
        <v>7855.1</v>
      </c>
      <c r="P71" s="7" t="n">
        <v>3730.9</v>
      </c>
      <c r="R71" s="7" t="n">
        <v>5755.7</v>
      </c>
      <c r="T71" s="7" t="n">
        <v>4654.6</v>
      </c>
      <c r="V71" s="7" t="n">
        <v>5621</v>
      </c>
      <c r="X71" s="7" t="n">
        <v>2834.1</v>
      </c>
      <c r="Z71" s="7" t="n">
        <v>4332.9</v>
      </c>
      <c r="AB71" s="7" t="n">
        <v>50659.6</v>
      </c>
    </row>
    <row r="72">
      <c r="A72" s="4" t="inlineStr">
        <is>
          <t>诉讼费</t>
        </is>
      </c>
      <c r="D72" s="7" t="n">
        <v>1969.9</v>
      </c>
      <c r="F72" s="7" t="n">
        <v>2960</v>
      </c>
      <c r="H72" s="7" t="n">
        <v>2589.7</v>
      </c>
      <c r="J72" s="7" t="n">
        <v>4482.2</v>
      </c>
      <c r="L72" s="7" t="n">
        <v>2606.8</v>
      </c>
      <c r="N72" s="7" t="n">
        <v>7234.7</v>
      </c>
      <c r="P72" s="7" t="n">
        <v>2525.7</v>
      </c>
      <c r="R72" s="7" t="n">
        <v>5487.3</v>
      </c>
      <c r="T72" s="7" t="n">
        <v>3666.4</v>
      </c>
      <c r="V72" s="7" t="n">
        <v>4176.9</v>
      </c>
      <c r="X72" s="7" t="n">
        <v>3665.2</v>
      </c>
      <c r="Z72" s="7" t="n">
        <v>3155.5</v>
      </c>
      <c r="AB72" s="7" t="n">
        <v>44520.3</v>
      </c>
    </row>
    <row r="73">
      <c r="A73" s="4" t="inlineStr">
        <is>
          <t>会员费</t>
        </is>
      </c>
      <c r="D73" s="7" t="n">
        <v>181.1</v>
      </c>
      <c r="F73" s="7" t="n">
        <v>148.5</v>
      </c>
      <c r="H73" s="7" t="n">
        <v>191.8</v>
      </c>
      <c r="J73" s="7" t="n">
        <v>277.8</v>
      </c>
      <c r="L73" s="7" t="n">
        <v>270.3</v>
      </c>
      <c r="N73" s="7" t="n">
        <v>457.6</v>
      </c>
      <c r="P73" s="7" t="n">
        <v>252.5</v>
      </c>
      <c r="R73" s="7" t="n">
        <v>441.7</v>
      </c>
      <c r="T73" s="7" t="n">
        <v>339.6</v>
      </c>
      <c r="V73" s="7" t="n">
        <v>246.1</v>
      </c>
      <c r="X73" s="7" t="n">
        <v>254.4</v>
      </c>
      <c r="Z73" s="7" t="n">
        <v>271.2</v>
      </c>
      <c r="AB73" s="7" t="n">
        <v>3332.6</v>
      </c>
    </row>
    <row r="74">
      <c r="A74" s="4" t="inlineStr">
        <is>
          <t>广告宣传费</t>
        </is>
      </c>
      <c r="D74" s="7" t="n">
        <v>14922.4</v>
      </c>
      <c r="F74" s="7" t="n">
        <v>14963.2</v>
      </c>
      <c r="H74" s="7" t="n">
        <v>17100.6</v>
      </c>
      <c r="J74" s="7" t="n">
        <v>22491.2</v>
      </c>
      <c r="L74" s="7" t="n">
        <v>20376.5</v>
      </c>
      <c r="N74" s="7" t="n">
        <v>29702.4</v>
      </c>
      <c r="P74" s="7" t="n">
        <v>22059</v>
      </c>
      <c r="R74" s="7" t="n">
        <v>27798.6</v>
      </c>
      <c r="T74" s="7" t="n">
        <v>22367</v>
      </c>
      <c r="V74" s="7" t="n">
        <v>27326</v>
      </c>
      <c r="X74" s="7" t="n">
        <v>20971.9</v>
      </c>
      <c r="Z74" s="7" t="n">
        <v>21578.3</v>
      </c>
      <c r="AB74" s="7" t="n">
        <v>261657.1</v>
      </c>
    </row>
    <row r="75">
      <c r="A75" s="4" t="inlineStr">
        <is>
          <t>会务费</t>
        </is>
      </c>
      <c r="D75" s="7" t="n">
        <v>2702.5</v>
      </c>
      <c r="F75" s="7" t="n">
        <v>2898</v>
      </c>
      <c r="H75" s="7" t="n">
        <v>2493.8</v>
      </c>
      <c r="J75" s="7" t="n">
        <v>3758.5</v>
      </c>
      <c r="L75" s="7" t="n">
        <v>3784.1</v>
      </c>
      <c r="N75" s="7" t="n">
        <v>5906.2</v>
      </c>
      <c r="P75" s="7" t="n">
        <v>2656.5</v>
      </c>
      <c r="R75" s="7" t="n">
        <v>4582.4</v>
      </c>
      <c r="T75" s="7" t="n">
        <v>6131.8</v>
      </c>
      <c r="V75" s="7" t="n">
        <v>5031</v>
      </c>
      <c r="X75" s="7" t="n">
        <v>2621.8</v>
      </c>
      <c r="Z75" s="7" t="n">
        <v>3847.4</v>
      </c>
      <c r="AB75" s="7" t="n">
        <v>46414</v>
      </c>
    </row>
    <row r="76">
      <c r="A76" s="4" t="inlineStr">
        <is>
          <t>装修费</t>
        </is>
      </c>
      <c r="D76" s="7" t="n">
        <v>1800.2</v>
      </c>
      <c r="F76" s="7" t="n">
        <v>2605</v>
      </c>
      <c r="H76" s="7" t="n">
        <v>1669</v>
      </c>
      <c r="J76" s="7" t="n">
        <v>4132.9</v>
      </c>
      <c r="L76" s="7" t="n">
        <v>2193.4</v>
      </c>
      <c r="N76" s="7" t="n">
        <v>5512.1</v>
      </c>
      <c r="P76" s="7" t="n">
        <v>2871.4</v>
      </c>
      <c r="R76" s="7" t="n">
        <v>2830.6</v>
      </c>
      <c r="T76" s="7" t="n">
        <v>4643.6</v>
      </c>
      <c r="V76" s="7" t="n">
        <v>2412.4</v>
      </c>
      <c r="X76" s="7" t="n">
        <v>1841.5</v>
      </c>
      <c r="Z76" s="7" t="n">
        <v>2956.5</v>
      </c>
      <c r="AB76" s="7" t="n">
        <v>35468.6</v>
      </c>
    </row>
    <row r="77">
      <c r="A77" s="4" t="inlineStr">
        <is>
          <t>推广费</t>
        </is>
      </c>
      <c r="D77" s="7" t="n">
        <v>1939.4</v>
      </c>
      <c r="F77" s="7" t="n">
        <v>2916.1</v>
      </c>
      <c r="H77" s="7" t="n">
        <v>2572.1</v>
      </c>
      <c r="J77" s="7" t="n">
        <v>3462.6</v>
      </c>
      <c r="L77" s="7" t="n">
        <v>1866</v>
      </c>
      <c r="N77" s="7" t="n">
        <v>4362.5</v>
      </c>
      <c r="P77" s="7" t="n">
        <v>2564.9</v>
      </c>
      <c r="R77" s="7" t="n">
        <v>4694.9</v>
      </c>
      <c r="T77" s="7" t="n">
        <v>5195.8</v>
      </c>
      <c r="V77" s="7" t="n">
        <v>3681.7</v>
      </c>
      <c r="X77" s="7" t="n">
        <v>2630.4</v>
      </c>
      <c r="Z77" s="7" t="n">
        <v>2890.1</v>
      </c>
      <c r="AB77" s="7" t="n">
        <v>38776.5</v>
      </c>
    </row>
    <row r="78">
      <c r="A78" s="4" t="inlineStr">
        <is>
          <t>展会费</t>
        </is>
      </c>
      <c r="D78" s="7" t="n">
        <v>2460.4</v>
      </c>
      <c r="F78" s="7" t="n">
        <v>3246.9</v>
      </c>
      <c r="H78" s="7" t="n">
        <v>3564.1</v>
      </c>
      <c r="J78" s="7" t="n">
        <v>4900.4</v>
      </c>
      <c r="L78" s="7" t="n">
        <v>2741.5</v>
      </c>
      <c r="N78" s="7" t="n">
        <v>6900.5</v>
      </c>
      <c r="P78" s="7" t="n">
        <v>2907.9</v>
      </c>
      <c r="R78" s="7" t="n">
        <v>3984.7</v>
      </c>
      <c r="T78" s="7" t="n">
        <v>3743.7</v>
      </c>
      <c r="V78" s="7" t="n">
        <v>4099.2</v>
      </c>
      <c r="X78" s="7" t="n">
        <v>3830.3</v>
      </c>
      <c r="Z78" s="7" t="n">
        <v>3189.4</v>
      </c>
      <c r="AB78" s="7" t="n">
        <v>45569</v>
      </c>
    </row>
    <row r="79">
      <c r="A79" s="4" t="inlineStr">
        <is>
          <t>设计费</t>
        </is>
      </c>
      <c r="D79" s="7" t="n">
        <v>67.90000000000001</v>
      </c>
      <c r="F79" s="7" t="n">
        <v>84.09999999999999</v>
      </c>
      <c r="H79" s="7" t="n">
        <v>73.2</v>
      </c>
      <c r="J79" s="7" t="n">
        <v>149.3</v>
      </c>
      <c r="L79" s="7" t="n">
        <v>108</v>
      </c>
      <c r="N79" s="7" t="n">
        <v>148</v>
      </c>
      <c r="P79" s="7" t="n">
        <v>90.59999999999999</v>
      </c>
      <c r="R79" s="7" t="n">
        <v>162.4</v>
      </c>
      <c r="T79" s="7" t="n">
        <v>138.8</v>
      </c>
      <c r="V79" s="7" t="n">
        <v>124.6</v>
      </c>
      <c r="X79" s="7" t="n">
        <v>76.5</v>
      </c>
      <c r="Z79" s="7" t="n">
        <v>67.8</v>
      </c>
      <c r="AB79" s="7" t="n">
        <v>1291.2</v>
      </c>
    </row>
    <row r="80">
      <c r="A80" s="4" t="inlineStr">
        <is>
          <t>折旧费</t>
        </is>
      </c>
      <c r="D80" s="7" t="n">
        <v>21459.4</v>
      </c>
      <c r="F80" s="7" t="n">
        <v>25127.4</v>
      </c>
      <c r="H80" s="7" t="n">
        <v>18186.1</v>
      </c>
      <c r="J80" s="7" t="n">
        <v>40948.1</v>
      </c>
      <c r="L80" s="7" t="n">
        <v>17301.4</v>
      </c>
      <c r="N80" s="7" t="n">
        <v>50101</v>
      </c>
      <c r="P80" s="7" t="n">
        <v>24761.7</v>
      </c>
      <c r="R80" s="7" t="n">
        <v>47003.5</v>
      </c>
      <c r="T80" s="7" t="n">
        <v>38043.1</v>
      </c>
      <c r="V80" s="7" t="n">
        <v>32003.7</v>
      </c>
      <c r="X80" s="7" t="n">
        <v>28031.9</v>
      </c>
      <c r="Z80" s="7" t="n">
        <v>27438.6</v>
      </c>
      <c r="AB80" s="7" t="n">
        <v>370405.9</v>
      </c>
    </row>
    <row r="81">
      <c r="A81" s="4" t="inlineStr">
        <is>
          <t>认证费</t>
        </is>
      </c>
      <c r="D81" s="7" t="n">
        <v>1728.5</v>
      </c>
      <c r="F81" s="7" t="n">
        <v>3184.4</v>
      </c>
      <c r="H81" s="7" t="n">
        <v>3716.2</v>
      </c>
      <c r="J81" s="7" t="n">
        <v>5530.6</v>
      </c>
      <c r="L81" s="7" t="n">
        <v>2544.8</v>
      </c>
      <c r="N81" s="7" t="n">
        <v>6651.2</v>
      </c>
      <c r="P81" s="7" t="n">
        <v>2535.8</v>
      </c>
      <c r="R81" s="7" t="n">
        <v>5295.8</v>
      </c>
      <c r="T81" s="7" t="n">
        <v>5855.9</v>
      </c>
      <c r="V81" s="7" t="n">
        <v>3171.6</v>
      </c>
      <c r="X81" s="7" t="n">
        <v>2685.6</v>
      </c>
      <c r="Z81" s="7" t="n">
        <v>2594.7</v>
      </c>
      <c r="AB81" s="7" t="n">
        <v>45495.1</v>
      </c>
    </row>
    <row r="82">
      <c r="A82" s="4" t="inlineStr">
        <is>
          <t>样品费</t>
        </is>
      </c>
      <c r="D82" s="7" t="n">
        <v>6864.6</v>
      </c>
      <c r="F82" s="7" t="n">
        <v>11073.3</v>
      </c>
      <c r="H82" s="7" t="n">
        <v>13577.6</v>
      </c>
      <c r="J82" s="7" t="n">
        <v>12428.7</v>
      </c>
      <c r="L82" s="7" t="n">
        <v>15651.9</v>
      </c>
      <c r="N82" s="7" t="n">
        <v>24324.7</v>
      </c>
      <c r="P82" s="7" t="n">
        <v>11124.3</v>
      </c>
      <c r="R82" s="7" t="n">
        <v>20321.6</v>
      </c>
      <c r="T82" s="7" t="n">
        <v>18268.7</v>
      </c>
      <c r="V82" s="7" t="n">
        <v>20049.2</v>
      </c>
      <c r="X82" s="7" t="n">
        <v>9337.299999999999</v>
      </c>
      <c r="Z82" s="7" t="n">
        <v>10705</v>
      </c>
      <c r="AB82" s="7" t="n">
        <v>173726.9</v>
      </c>
    </row>
    <row r="83">
      <c r="A83" s="4" t="inlineStr">
        <is>
          <t>劳务费</t>
        </is>
      </c>
      <c r="D83" s="7" t="n">
        <v>2704.2</v>
      </c>
      <c r="F83" s="7" t="n">
        <v>3873</v>
      </c>
      <c r="H83" s="7" t="n">
        <v>3810.9</v>
      </c>
      <c r="J83" s="7" t="n">
        <v>5171.1</v>
      </c>
      <c r="L83" s="7" t="n">
        <v>3944.5</v>
      </c>
      <c r="N83" s="7" t="n">
        <v>8398.799999999999</v>
      </c>
      <c r="P83" s="7" t="n">
        <v>3810</v>
      </c>
      <c r="R83" s="7" t="n">
        <v>7931.5</v>
      </c>
      <c r="T83" s="7" t="n">
        <v>5414.7</v>
      </c>
      <c r="V83" s="7" t="n">
        <v>5021.2</v>
      </c>
      <c r="X83" s="7" t="n">
        <v>3417.5</v>
      </c>
      <c r="Z83" s="7" t="n">
        <v>2864.8</v>
      </c>
      <c r="AB83" s="7" t="n">
        <v>56362.2</v>
      </c>
    </row>
    <row r="84">
      <c r="A84" s="4" t="inlineStr">
        <is>
          <t>销售佣金</t>
        </is>
      </c>
      <c r="D84" s="7" t="n">
        <v>1950.5</v>
      </c>
      <c r="F84" s="7" t="n">
        <v>2331.8</v>
      </c>
      <c r="H84" s="7" t="n">
        <v>2651.6</v>
      </c>
      <c r="J84" s="7" t="n">
        <v>5557.8</v>
      </c>
      <c r="L84" s="7" t="n">
        <v>4162.7</v>
      </c>
      <c r="N84" s="7" t="n">
        <v>6913.1</v>
      </c>
      <c r="P84" s="7" t="n">
        <v>2701.7</v>
      </c>
      <c r="R84" s="7" t="n">
        <v>4870.2</v>
      </c>
      <c r="T84" s="7" t="n">
        <v>4000.4</v>
      </c>
      <c r="V84" s="7" t="n">
        <v>4564.8</v>
      </c>
      <c r="X84" s="7" t="n">
        <v>2669.4</v>
      </c>
      <c r="Z84" s="7" t="n">
        <v>2787.8</v>
      </c>
      <c r="AB84" s="7" t="n">
        <v>45161.8</v>
      </c>
    </row>
    <row r="85">
      <c r="A85" s="4" t="inlineStr">
        <is>
          <t>检测费</t>
        </is>
      </c>
      <c r="D85" s="7" t="n">
        <v>1339.7</v>
      </c>
      <c r="F85" s="7" t="n">
        <v>1255.9</v>
      </c>
      <c r="H85" s="7" t="n">
        <v>1052.6</v>
      </c>
      <c r="J85" s="7" t="n">
        <v>1839.5</v>
      </c>
      <c r="L85" s="7" t="n">
        <v>1453</v>
      </c>
      <c r="N85" s="7" t="n">
        <v>3387.7</v>
      </c>
      <c r="P85" s="7" t="n">
        <v>1549.3</v>
      </c>
      <c r="R85" s="7" t="n">
        <v>1839.3</v>
      </c>
      <c r="T85" s="7" t="n">
        <v>2732.2</v>
      </c>
      <c r="V85" s="7" t="n">
        <v>2569.2</v>
      </c>
      <c r="X85" s="7" t="n">
        <v>1866.7</v>
      </c>
      <c r="Z85" s="7" t="n">
        <v>1241.4</v>
      </c>
      <c r="AB85" s="7" t="n">
        <v>22126.5</v>
      </c>
    </row>
    <row r="86">
      <c r="A86" s="4" t="inlineStr">
        <is>
          <t>质量赔偿</t>
        </is>
      </c>
      <c r="D86" s="7" t="n">
        <v>1150.5</v>
      </c>
      <c r="F86" s="7" t="n">
        <v>1552.7</v>
      </c>
      <c r="H86" s="7" t="n">
        <v>1454.3</v>
      </c>
      <c r="J86" s="7" t="n">
        <v>2001.9</v>
      </c>
      <c r="L86" s="7" t="n">
        <v>1174.5</v>
      </c>
      <c r="N86" s="7" t="n">
        <v>3830.8</v>
      </c>
      <c r="P86" s="7" t="n">
        <v>1419.5</v>
      </c>
      <c r="R86" s="7" t="n">
        <v>1728.1</v>
      </c>
      <c r="T86" s="7" t="n">
        <v>2482.2</v>
      </c>
      <c r="V86" s="7" t="n">
        <v>1441.2</v>
      </c>
      <c r="X86" s="7" t="n">
        <v>1260.9</v>
      </c>
      <c r="Z86" s="7" t="n">
        <v>1136.5</v>
      </c>
      <c r="AB86" s="7" t="n">
        <v>20633.1</v>
      </c>
    </row>
    <row r="87">
      <c r="A87" s="4" t="inlineStr">
        <is>
          <t>保险费</t>
        </is>
      </c>
      <c r="D87" s="7" t="n">
        <v>1145.7</v>
      </c>
      <c r="F87" s="7" t="n">
        <v>2080.3</v>
      </c>
      <c r="H87" s="7" t="n">
        <v>1850.1</v>
      </c>
      <c r="J87" s="7" t="n">
        <v>2789.7</v>
      </c>
      <c r="L87" s="7" t="n">
        <v>1887.7</v>
      </c>
      <c r="N87" s="7" t="n">
        <v>5321.7</v>
      </c>
      <c r="P87" s="7" t="n">
        <v>1820</v>
      </c>
      <c r="R87" s="7" t="n">
        <v>2512.2</v>
      </c>
      <c r="T87" s="7" t="n">
        <v>3189.8</v>
      </c>
      <c r="V87" s="7" t="n">
        <v>3644.9</v>
      </c>
      <c r="X87" s="7" t="n">
        <v>2223.4</v>
      </c>
      <c r="Z87" s="7" t="n">
        <v>1668.1</v>
      </c>
      <c r="AB87" s="7" t="n">
        <v>30133.6</v>
      </c>
    </row>
    <row r="88">
      <c r="A88" s="4" t="inlineStr">
        <is>
          <t>清洁费</t>
        </is>
      </c>
      <c r="D88" s="7" t="n">
        <v>2106.1</v>
      </c>
      <c r="F88" s="7" t="n">
        <v>3682.9</v>
      </c>
      <c r="H88" s="7" t="n">
        <v>3008</v>
      </c>
      <c r="J88" s="7" t="n">
        <v>6240.2</v>
      </c>
      <c r="L88" s="7" t="n">
        <v>3665.1</v>
      </c>
      <c r="N88" s="7" t="n">
        <v>7482.9</v>
      </c>
      <c r="P88" s="7" t="n">
        <v>4119.3</v>
      </c>
      <c r="R88" s="7" t="n">
        <v>7324.2</v>
      </c>
      <c r="T88" s="7" t="n">
        <v>5992.4</v>
      </c>
      <c r="V88" s="7" t="n">
        <v>5111.5</v>
      </c>
      <c r="X88" s="7" t="n">
        <v>5011.1</v>
      </c>
      <c r="Z88" s="7" t="n">
        <v>2961.3</v>
      </c>
      <c r="AB88" s="7" t="n">
        <v>56705</v>
      </c>
    </row>
    <row r="89">
      <c r="A89" s="4" t="inlineStr">
        <is>
          <t>低值易耗品</t>
        </is>
      </c>
      <c r="D89" s="7" t="n">
        <v>2496.6</v>
      </c>
      <c r="F89" s="7" t="n">
        <v>3004.5</v>
      </c>
      <c r="H89" s="7" t="n">
        <v>3983.6</v>
      </c>
      <c r="J89" s="7" t="n">
        <v>6851.7</v>
      </c>
      <c r="L89" s="7" t="n">
        <v>3843</v>
      </c>
      <c r="N89" s="7" t="n">
        <v>7947.9</v>
      </c>
      <c r="P89" s="7" t="n">
        <v>4548.8</v>
      </c>
      <c r="R89" s="7" t="n">
        <v>6057.4</v>
      </c>
      <c r="T89" s="7" t="n">
        <v>4615.6</v>
      </c>
      <c r="V89" s="7" t="n">
        <v>3465.1</v>
      </c>
      <c r="X89" s="7" t="n">
        <v>4172.9</v>
      </c>
      <c r="Z89" s="7" t="n">
        <v>2993.5</v>
      </c>
      <c r="AB89" s="7" t="n">
        <v>53980.6</v>
      </c>
    </row>
    <row r="90">
      <c r="A90" s="4" t="inlineStr">
        <is>
          <t>物料消耗</t>
        </is>
      </c>
      <c r="D90" s="7" t="n">
        <v>331</v>
      </c>
      <c r="F90" s="7" t="n">
        <v>504.7</v>
      </c>
      <c r="H90" s="7" t="n">
        <v>339.9</v>
      </c>
      <c r="J90" s="7" t="n">
        <v>810.8</v>
      </c>
      <c r="L90" s="7" t="n">
        <v>646.9</v>
      </c>
      <c r="N90" s="7" t="n">
        <v>1129.1</v>
      </c>
      <c r="P90" s="7" t="n">
        <v>426.4</v>
      </c>
      <c r="R90" s="7" t="n">
        <v>873.6</v>
      </c>
      <c r="T90" s="7" t="n">
        <v>892</v>
      </c>
      <c r="V90" s="7" t="n">
        <v>530.9</v>
      </c>
      <c r="X90" s="7" t="n">
        <v>713.8</v>
      </c>
      <c r="Z90" s="7" t="n">
        <v>594</v>
      </c>
      <c r="AB90" s="7" t="n">
        <v>7793.1</v>
      </c>
    </row>
    <row r="91">
      <c r="A91" s="4" t="inlineStr">
        <is>
          <t>盘盈盘亏</t>
        </is>
      </c>
      <c r="D91" s="7" t="n">
        <v>1227.9</v>
      </c>
      <c r="F91" s="7" t="n">
        <v>1681.3</v>
      </c>
      <c r="H91" s="7" t="n">
        <v>2335.7</v>
      </c>
      <c r="J91" s="7" t="n">
        <v>3488.1</v>
      </c>
      <c r="L91" s="7" t="n">
        <v>2378.1</v>
      </c>
      <c r="N91" s="7" t="n">
        <v>3524.3</v>
      </c>
      <c r="P91" s="7" t="n">
        <v>2423.6</v>
      </c>
      <c r="R91" s="7" t="n">
        <v>4134.4</v>
      </c>
      <c r="T91" s="7" t="n">
        <v>2976.9</v>
      </c>
      <c r="V91" s="7" t="n">
        <v>2312.7</v>
      </c>
      <c r="X91" s="7" t="n">
        <v>1656.2</v>
      </c>
      <c r="Z91" s="7" t="n">
        <v>1497.1</v>
      </c>
      <c r="AB91" s="7" t="n">
        <v>29636.3</v>
      </c>
    </row>
    <row r="92">
      <c r="A92" s="4" t="inlineStr">
        <is>
          <t>平台服务费</t>
        </is>
      </c>
      <c r="D92" s="7" t="n">
        <v>2612.5</v>
      </c>
      <c r="F92" s="7" t="n">
        <v>2041.1</v>
      </c>
      <c r="H92" s="7" t="n">
        <v>1971</v>
      </c>
      <c r="J92" s="7" t="n">
        <v>4728.1</v>
      </c>
      <c r="L92" s="7" t="n">
        <v>3002.9</v>
      </c>
      <c r="N92" s="7" t="n">
        <v>5775.3</v>
      </c>
      <c r="P92" s="7" t="n">
        <v>3551.1</v>
      </c>
      <c r="R92" s="7" t="n">
        <v>6050.9</v>
      </c>
      <c r="T92" s="7" t="n">
        <v>4374.8</v>
      </c>
      <c r="V92" s="7" t="n">
        <v>3806.5</v>
      </c>
      <c r="X92" s="7" t="n">
        <v>3634.2</v>
      </c>
      <c r="Z92" s="7" t="n">
        <v>2874.7</v>
      </c>
      <c r="AB92" s="7" t="n">
        <v>44423.1</v>
      </c>
    </row>
    <row r="93">
      <c r="A93" s="4" t="inlineStr">
        <is>
          <t>无形资产摊销</t>
        </is>
      </c>
      <c r="D93" s="7" t="n">
        <v>1889.5</v>
      </c>
      <c r="F93" s="7" t="n">
        <v>2221.9</v>
      </c>
      <c r="H93" s="7" t="n">
        <v>2118.2</v>
      </c>
      <c r="J93" s="7" t="n">
        <v>2745.7</v>
      </c>
      <c r="L93" s="7" t="n">
        <v>2195.2</v>
      </c>
      <c r="N93" s="7" t="n">
        <v>5101.2</v>
      </c>
      <c r="P93" s="7" t="n">
        <v>2347.8</v>
      </c>
      <c r="R93" s="7" t="n">
        <v>3771.8</v>
      </c>
      <c r="T93" s="7" t="n">
        <v>3627.2</v>
      </c>
      <c r="V93" s="7" t="n">
        <v>3071.9</v>
      </c>
      <c r="X93" s="7" t="n">
        <v>1906.6</v>
      </c>
      <c r="Z93" s="7" t="n">
        <v>2347.7</v>
      </c>
      <c r="AB93" s="7" t="n">
        <v>33344.7</v>
      </c>
    </row>
    <row r="94">
      <c r="A94" s="4" t="inlineStr">
        <is>
          <t>研发材料</t>
        </is>
      </c>
      <c r="D94" s="7" t="n">
        <v>3207.3</v>
      </c>
      <c r="F94" s="7" t="n">
        <v>4086.8</v>
      </c>
      <c r="H94" s="7" t="n">
        <v>3554.8</v>
      </c>
      <c r="J94" s="7" t="n">
        <v>5726.2</v>
      </c>
      <c r="L94" s="7" t="n">
        <v>4032.7</v>
      </c>
      <c r="N94" s="7" t="n">
        <v>9662</v>
      </c>
      <c r="P94" s="7" t="n">
        <v>4172.9</v>
      </c>
      <c r="R94" s="7" t="n">
        <v>7585.1</v>
      </c>
      <c r="T94" s="7" t="n">
        <v>6055.4</v>
      </c>
      <c r="V94" s="7" t="n">
        <v>4119.1</v>
      </c>
      <c r="X94" s="7" t="n">
        <v>3098.2</v>
      </c>
      <c r="Z94" s="7" t="n">
        <v>4562.9</v>
      </c>
      <c r="AB94" s="7" t="n">
        <v>59863.4</v>
      </c>
    </row>
    <row r="95">
      <c r="A95" s="4" t="inlineStr">
        <is>
          <t>项目名称</t>
        </is>
      </c>
      <c r="D95" s="7" t="n">
        <v>1845.1</v>
      </c>
      <c r="F95" s="7" t="n">
        <v>1714.2</v>
      </c>
      <c r="H95" s="7" t="n">
        <v>1751.5</v>
      </c>
      <c r="J95" s="7" t="n">
        <v>2682.5</v>
      </c>
      <c r="L95" s="7" t="n">
        <v>1571.8</v>
      </c>
      <c r="N95" s="7" t="n">
        <v>5095.8</v>
      </c>
      <c r="P95" s="7" t="n">
        <v>1734.2</v>
      </c>
      <c r="R95" s="7" t="n">
        <v>3412</v>
      </c>
      <c r="T95" s="7" t="n">
        <v>3741.4</v>
      </c>
      <c r="V95" s="7" t="n">
        <v>2053.8</v>
      </c>
      <c r="X95" s="7" t="n">
        <v>1975.7</v>
      </c>
      <c r="Z95" s="7" t="n">
        <v>1794.3</v>
      </c>
      <c r="AB95" s="7" t="n">
        <v>29372.3</v>
      </c>
    </row>
    <row r="96">
      <c r="A96" s="4" t="inlineStr">
        <is>
          <t>研发费</t>
        </is>
      </c>
      <c r="D96" s="7" t="n">
        <v>687.9</v>
      </c>
      <c r="F96" s="7" t="n">
        <v>776.4</v>
      </c>
      <c r="H96" s="7" t="n">
        <v>650.5</v>
      </c>
      <c r="J96" s="7" t="n">
        <v>1063.2</v>
      </c>
      <c r="L96" s="7" t="n">
        <v>1069.6</v>
      </c>
      <c r="N96" s="7" t="n">
        <v>1838.3</v>
      </c>
      <c r="P96" s="7" t="n">
        <v>1011.8</v>
      </c>
      <c r="R96" s="7" t="n">
        <v>997.3</v>
      </c>
      <c r="T96" s="7" t="n">
        <v>1308.3</v>
      </c>
      <c r="V96" s="7" t="n">
        <v>1183.4</v>
      </c>
      <c r="X96" s="7" t="n">
        <v>925.2</v>
      </c>
      <c r="Z96" s="7" t="n">
        <v>775.9</v>
      </c>
      <c r="AB96" s="7" t="n">
        <v>12287.8</v>
      </c>
    </row>
    <row r="97">
      <c r="A97" s="4" t="inlineStr">
        <is>
          <t>残保金</t>
        </is>
      </c>
      <c r="D97" s="7" t="n">
        <v>1559.9</v>
      </c>
      <c r="F97" s="7" t="n">
        <v>1965.1</v>
      </c>
      <c r="H97" s="7" t="n">
        <v>1591.1</v>
      </c>
      <c r="J97" s="7" t="n">
        <v>4293.3</v>
      </c>
      <c r="L97" s="7" t="n">
        <v>1990.7</v>
      </c>
      <c r="N97" s="7" t="n">
        <v>4464.1</v>
      </c>
      <c r="P97" s="7" t="n">
        <v>1860.3</v>
      </c>
      <c r="R97" s="7" t="n">
        <v>3975.6</v>
      </c>
      <c r="T97" s="7" t="n">
        <v>2902.3</v>
      </c>
      <c r="V97" s="7" t="n">
        <v>3220.6</v>
      </c>
      <c r="X97" s="7" t="n">
        <v>2132.5</v>
      </c>
      <c r="Z97" s="7" t="n">
        <v>1900.2</v>
      </c>
      <c r="AB97" s="7" t="n">
        <v>31855.7</v>
      </c>
    </row>
    <row r="98">
      <c r="A98" s="4" t="inlineStr">
        <is>
          <t>环保费</t>
        </is>
      </c>
      <c r="D98" s="7" t="n">
        <v>1092.4</v>
      </c>
      <c r="F98" s="7" t="n">
        <v>1865.9</v>
      </c>
      <c r="H98" s="7" t="n">
        <v>1497.4</v>
      </c>
      <c r="J98" s="7" t="n">
        <v>2581.8</v>
      </c>
      <c r="L98" s="7" t="n">
        <v>1708.2</v>
      </c>
      <c r="N98" s="7" t="n">
        <v>3706.5</v>
      </c>
      <c r="P98" s="7" t="n">
        <v>1567</v>
      </c>
      <c r="R98" s="7" t="n">
        <v>3754.5</v>
      </c>
      <c r="T98" s="7" t="n">
        <v>2342.2</v>
      </c>
      <c r="V98" s="7" t="n">
        <v>2435.3</v>
      </c>
      <c r="X98" s="7" t="n">
        <v>2565.5</v>
      </c>
      <c r="Z98" s="7" t="n">
        <v>1548.9</v>
      </c>
      <c r="AB98" s="7" t="n">
        <v>26665.6</v>
      </c>
    </row>
    <row r="99">
      <c r="A99" s="4" t="inlineStr">
        <is>
          <t>报废损失</t>
        </is>
      </c>
      <c r="D99" s="7" t="n">
        <v>959.7</v>
      </c>
      <c r="F99" s="7" t="n">
        <v>1133.3</v>
      </c>
      <c r="H99" s="7" t="n">
        <v>1589.6</v>
      </c>
      <c r="J99" s="7" t="n">
        <v>1637.6</v>
      </c>
      <c r="L99" s="7" t="n">
        <v>1146.9</v>
      </c>
      <c r="N99" s="7" t="n">
        <v>2035.5</v>
      </c>
      <c r="P99" s="7" t="n">
        <v>1316.3</v>
      </c>
      <c r="R99" s="7" t="n">
        <v>2631.7</v>
      </c>
      <c r="T99" s="7" t="n">
        <v>2755.8</v>
      </c>
      <c r="V99" s="7" t="n">
        <v>1461.1</v>
      </c>
      <c r="X99" s="7" t="n">
        <v>1267.5</v>
      </c>
      <c r="Z99" s="7" t="n">
        <v>1392.8</v>
      </c>
      <c r="AB99" s="7" t="n">
        <v>19327.8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338345.9</v>
      </c>
      <c r="D100" s="7" t="n">
        <v>218031</v>
      </c>
      <c r="E100" s="7" t="n">
        <v>309037.3</v>
      </c>
      <c r="F100" s="7" t="n">
        <v>170061.4</v>
      </c>
      <c r="G100" s="7" t="n">
        <v>308842.7</v>
      </c>
      <c r="H100" s="7" t="n">
        <v>243671.1</v>
      </c>
      <c r="I100" s="7" t="n">
        <v>299735.9</v>
      </c>
      <c r="J100" s="7" t="n">
        <v>359815.3</v>
      </c>
      <c r="K100" s="7" t="n">
        <v>313847.5</v>
      </c>
      <c r="L100" s="7" t="n">
        <v>458106.9</v>
      </c>
      <c r="M100" s="7" t="n">
        <v>350017.5</v>
      </c>
      <c r="N100" s="7" t="n">
        <v>456777.5</v>
      </c>
      <c r="O100" s="7" t="n">
        <v>378094.2</v>
      </c>
      <c r="P100" s="7" t="n">
        <v>346002.4</v>
      </c>
      <c r="Q100" s="7" t="n">
        <v>322349</v>
      </c>
      <c r="R100" s="7" t="n">
        <v>419255.1</v>
      </c>
      <c r="S100" s="7" t="n">
        <v>368740.9</v>
      </c>
      <c r="T100" s="7" t="n">
        <v>434134.6</v>
      </c>
      <c r="U100" s="7" t="n">
        <v>333441.4</v>
      </c>
      <c r="V100" s="7" t="n">
        <v>382385.8</v>
      </c>
      <c r="W100" s="7" t="n">
        <v>400045.9</v>
      </c>
      <c r="X100" s="7" t="n">
        <v>416709.2</v>
      </c>
      <c r="Y100" s="7" t="n">
        <v>374948.9</v>
      </c>
      <c r="Z100" s="7" t="n">
        <v>295258.3</v>
      </c>
      <c r="AA100" s="8" t="n">
        <v>4097447.1</v>
      </c>
      <c r="AB100" s="8" t="n">
        <v>4200208.6</v>
      </c>
    </row>
    <row r="101">
      <c r="A101" s="4" t="inlineStr">
        <is>
          <t>职工薪酬</t>
        </is>
      </c>
      <c r="D101" s="7" t="n">
        <v>117613.5</v>
      </c>
      <c r="F101" s="7" t="n">
        <v>82130.10000000001</v>
      </c>
      <c r="H101" s="7" t="n">
        <v>140643.9</v>
      </c>
      <c r="J101" s="7" t="n">
        <v>198036.2</v>
      </c>
      <c r="L101" s="7" t="n">
        <v>246926</v>
      </c>
      <c r="N101" s="7" t="n">
        <v>214427.6</v>
      </c>
      <c r="P101" s="7" t="n">
        <v>144087.1</v>
      </c>
      <c r="R101" s="7" t="n">
        <v>245691</v>
      </c>
      <c r="T101" s="7" t="n">
        <v>217269.6</v>
      </c>
      <c r="V101" s="7" t="n">
        <v>197908.7</v>
      </c>
      <c r="X101" s="7" t="n">
        <v>174048.6</v>
      </c>
      <c r="Z101" s="7" t="n">
        <v>120392.7</v>
      </c>
      <c r="AB101" s="7" t="n">
        <v>2099175</v>
      </c>
    </row>
    <row r="102">
      <c r="A102" s="4" t="inlineStr">
        <is>
          <t>工资</t>
        </is>
      </c>
      <c r="D102" s="7" t="n">
        <v>77991.8</v>
      </c>
      <c r="F102" s="7" t="n">
        <v>41786.5</v>
      </c>
      <c r="H102" s="7" t="n">
        <v>82156.89999999999</v>
      </c>
      <c r="J102" s="7" t="n">
        <v>128019.2</v>
      </c>
      <c r="L102" s="7" t="n">
        <v>154018.3</v>
      </c>
      <c r="N102" s="7" t="n">
        <v>137225.1</v>
      </c>
      <c r="P102" s="7" t="n">
        <v>83945</v>
      </c>
      <c r="R102" s="7" t="n">
        <v>162947.4</v>
      </c>
      <c r="T102" s="7" t="n">
        <v>137366.8</v>
      </c>
      <c r="V102" s="7" t="n">
        <v>123971.7</v>
      </c>
      <c r="X102" s="7" t="n">
        <v>104714.5</v>
      </c>
      <c r="Z102" s="7" t="n">
        <v>69035.3</v>
      </c>
      <c r="AB102" s="7" t="n">
        <v>1303178.5</v>
      </c>
    </row>
    <row r="103">
      <c r="A103" s="4" t="inlineStr">
        <is>
          <t>奖金及提成</t>
        </is>
      </c>
      <c r="D103" s="7" t="n">
        <v>15764.1</v>
      </c>
      <c r="F103" s="7" t="n">
        <v>22010</v>
      </c>
      <c r="H103" s="7" t="n">
        <v>30640.6</v>
      </c>
      <c r="J103" s="7" t="n">
        <v>34390.5</v>
      </c>
      <c r="L103" s="7" t="n">
        <v>49012</v>
      </c>
      <c r="N103" s="7" t="n">
        <v>34466.7</v>
      </c>
      <c r="P103" s="7" t="n">
        <v>25278</v>
      </c>
      <c r="R103" s="7" t="n">
        <v>39593.5</v>
      </c>
      <c r="T103" s="7" t="n">
        <v>38371.7</v>
      </c>
      <c r="V103" s="7" t="n">
        <v>41297.1</v>
      </c>
      <c r="X103" s="7" t="n">
        <v>34955.9</v>
      </c>
      <c r="Z103" s="7" t="n">
        <v>26623.6</v>
      </c>
      <c r="AB103" s="7" t="n">
        <v>392403.7</v>
      </c>
    </row>
    <row r="104">
      <c r="A104" s="4" t="inlineStr">
        <is>
          <t>社保</t>
        </is>
      </c>
      <c r="D104" s="7" t="n">
        <v>17224.7</v>
      </c>
      <c r="F104" s="7" t="n">
        <v>13685.4</v>
      </c>
      <c r="H104" s="7" t="n">
        <v>21176.5</v>
      </c>
      <c r="J104" s="7" t="n">
        <v>25405.1</v>
      </c>
      <c r="L104" s="7" t="n">
        <v>31574.5</v>
      </c>
      <c r="N104" s="7" t="n">
        <v>31730.8</v>
      </c>
      <c r="P104" s="7" t="n">
        <v>25206</v>
      </c>
      <c r="R104" s="7" t="n">
        <v>31891.7</v>
      </c>
      <c r="T104" s="7" t="n">
        <v>30976.5</v>
      </c>
      <c r="V104" s="7" t="n">
        <v>22286.5</v>
      </c>
      <c r="X104" s="7" t="n">
        <v>24153.6</v>
      </c>
      <c r="Z104" s="7" t="n">
        <v>17273.3</v>
      </c>
      <c r="AB104" s="7" t="n">
        <v>292584.6</v>
      </c>
    </row>
    <row r="105">
      <c r="A105" s="4" t="inlineStr">
        <is>
          <t>养老</t>
        </is>
      </c>
      <c r="D105" s="7" t="n">
        <v>880.8</v>
      </c>
      <c r="F105" s="7" t="n">
        <v>816.6</v>
      </c>
      <c r="H105" s="7" t="n">
        <v>1481.7</v>
      </c>
      <c r="J105" s="7" t="n">
        <v>1336.3</v>
      </c>
      <c r="L105" s="7" t="n">
        <v>1814.2</v>
      </c>
      <c r="N105" s="7" t="n">
        <v>2830.8</v>
      </c>
      <c r="P105" s="7" t="n">
        <v>1551.4</v>
      </c>
      <c r="R105" s="7" t="n">
        <v>1807.1</v>
      </c>
      <c r="T105" s="7" t="n">
        <v>1607.4</v>
      </c>
      <c r="V105" s="7" t="n">
        <v>1322.5</v>
      </c>
      <c r="X105" s="7" t="n">
        <v>2098.3</v>
      </c>
      <c r="Z105" s="7" t="n">
        <v>1755.1</v>
      </c>
      <c r="AB105" s="7" t="n">
        <v>19302.2</v>
      </c>
    </row>
    <row r="106">
      <c r="A106" s="4" t="inlineStr">
        <is>
          <t>医疗</t>
        </is>
      </c>
      <c r="D106" s="7" t="n">
        <v>542.1</v>
      </c>
      <c r="F106" s="7" t="n">
        <v>338.6</v>
      </c>
      <c r="H106" s="7" t="n">
        <v>617.8</v>
      </c>
      <c r="J106" s="7" t="n">
        <v>795</v>
      </c>
      <c r="L106" s="7" t="n">
        <v>918.3</v>
      </c>
      <c r="N106" s="7" t="n">
        <v>1081.5</v>
      </c>
      <c r="P106" s="7" t="n">
        <v>620.7</v>
      </c>
      <c r="R106" s="7" t="n">
        <v>847.2</v>
      </c>
      <c r="T106" s="7" t="n">
        <v>1161.9</v>
      </c>
      <c r="V106" s="7" t="n">
        <v>646.4</v>
      </c>
      <c r="X106" s="7" t="n">
        <v>1036.8</v>
      </c>
      <c r="Z106" s="7" t="n">
        <v>495.2</v>
      </c>
      <c r="AB106" s="7" t="n">
        <v>9101.5</v>
      </c>
    </row>
    <row r="107">
      <c r="A107" s="4" t="inlineStr">
        <is>
          <t>工伤</t>
        </is>
      </c>
      <c r="D107" s="7" t="n">
        <v>1046</v>
      </c>
      <c r="F107" s="7" t="n">
        <v>714.7</v>
      </c>
      <c r="H107" s="7" t="n">
        <v>763.2</v>
      </c>
      <c r="J107" s="7" t="n">
        <v>1553.9</v>
      </c>
      <c r="L107" s="7" t="n">
        <v>2211.9</v>
      </c>
      <c r="N107" s="7" t="n">
        <v>1308.8</v>
      </c>
      <c r="P107" s="7" t="n">
        <v>1368</v>
      </c>
      <c r="R107" s="7" t="n">
        <v>1460.6</v>
      </c>
      <c r="T107" s="7" t="n">
        <v>1895.6</v>
      </c>
      <c r="V107" s="7" t="n">
        <v>1902.9</v>
      </c>
      <c r="X107" s="7" t="n">
        <v>1316.2</v>
      </c>
      <c r="Z107" s="7" t="n">
        <v>1286.1</v>
      </c>
      <c r="AB107" s="7" t="n">
        <v>16827.9</v>
      </c>
    </row>
    <row r="108">
      <c r="A108" s="4" t="inlineStr">
        <is>
          <t>失业</t>
        </is>
      </c>
      <c r="D108" s="7" t="n">
        <v>51.1</v>
      </c>
      <c r="F108" s="7" t="n">
        <v>50.3</v>
      </c>
      <c r="H108" s="7" t="n">
        <v>59.6</v>
      </c>
      <c r="J108" s="7" t="n">
        <v>126.8</v>
      </c>
      <c r="L108" s="7" t="n">
        <v>159.5</v>
      </c>
      <c r="N108" s="7" t="n">
        <v>163.3</v>
      </c>
      <c r="P108" s="7" t="n">
        <v>127.7</v>
      </c>
      <c r="R108" s="7" t="n">
        <v>149</v>
      </c>
      <c r="T108" s="7" t="n">
        <v>120.9</v>
      </c>
      <c r="V108" s="7" t="n">
        <v>124.2</v>
      </c>
      <c r="X108" s="7" t="n">
        <v>149.2</v>
      </c>
      <c r="Z108" s="7" t="n">
        <v>62.8</v>
      </c>
      <c r="AB108" s="7" t="n">
        <v>1344.4</v>
      </c>
    </row>
    <row r="109">
      <c r="A109" s="4" t="inlineStr">
        <is>
          <t>生育</t>
        </is>
      </c>
      <c r="D109" s="7" t="n">
        <v>754.1</v>
      </c>
      <c r="F109" s="7" t="n">
        <v>468.3</v>
      </c>
      <c r="H109" s="7" t="n">
        <v>477.4</v>
      </c>
      <c r="J109" s="7" t="n">
        <v>1047.4</v>
      </c>
      <c r="L109" s="7" t="n">
        <v>1407.2</v>
      </c>
      <c r="N109" s="7" t="n">
        <v>975.6</v>
      </c>
      <c r="P109" s="7" t="n">
        <v>691.4</v>
      </c>
      <c r="R109" s="7" t="n">
        <v>1197.7</v>
      </c>
      <c r="T109" s="7" t="n">
        <v>1403.5</v>
      </c>
      <c r="V109" s="7" t="n">
        <v>1172.8</v>
      </c>
      <c r="X109" s="7" t="n">
        <v>1310.3</v>
      </c>
      <c r="Z109" s="7" t="n">
        <v>761.3</v>
      </c>
      <c r="AB109" s="7" t="n">
        <v>11667</v>
      </c>
    </row>
    <row r="110">
      <c r="A110" s="4" t="inlineStr">
        <is>
          <t>公积金</t>
        </is>
      </c>
      <c r="D110" s="7" t="n">
        <v>1196.4</v>
      </c>
      <c r="F110" s="7" t="n">
        <v>979.6</v>
      </c>
      <c r="H110" s="7" t="n">
        <v>874.5</v>
      </c>
      <c r="J110" s="7" t="n">
        <v>1858.5</v>
      </c>
      <c r="L110" s="7" t="n">
        <v>1913.8</v>
      </c>
      <c r="N110" s="7" t="n">
        <v>2394.6</v>
      </c>
      <c r="P110" s="7" t="n">
        <v>1461.1</v>
      </c>
      <c r="R110" s="7" t="n">
        <v>1624.3</v>
      </c>
      <c r="T110" s="7" t="n">
        <v>1579.7</v>
      </c>
      <c r="V110" s="7" t="n">
        <v>1366.6</v>
      </c>
      <c r="X110" s="7" t="n">
        <v>1554.2</v>
      </c>
      <c r="Z110" s="7" t="n">
        <v>1482.1</v>
      </c>
      <c r="AB110" s="7" t="n">
        <v>18285.4</v>
      </c>
    </row>
    <row r="111">
      <c r="A111" s="4" t="inlineStr">
        <is>
          <t>工会经费</t>
        </is>
      </c>
      <c r="D111" s="7" t="n">
        <v>1476.1</v>
      </c>
      <c r="F111" s="7" t="n">
        <v>954.2</v>
      </c>
      <c r="H111" s="7" t="n">
        <v>1579.9</v>
      </c>
      <c r="J111" s="7" t="n">
        <v>2105.5</v>
      </c>
      <c r="L111" s="7" t="n">
        <v>2329.5</v>
      </c>
      <c r="N111" s="7" t="n">
        <v>2191.4</v>
      </c>
      <c r="P111" s="7" t="n">
        <v>2243.9</v>
      </c>
      <c r="R111" s="7" t="n">
        <v>2492.6</v>
      </c>
      <c r="T111" s="7" t="n">
        <v>2008.9</v>
      </c>
      <c r="V111" s="7" t="n">
        <v>1603.4</v>
      </c>
      <c r="X111" s="7" t="n">
        <v>2025</v>
      </c>
      <c r="Z111" s="7" t="n">
        <v>1231.4</v>
      </c>
      <c r="AB111" s="7" t="n">
        <v>22241.8</v>
      </c>
    </row>
    <row r="112">
      <c r="A112" s="4" t="inlineStr">
        <is>
          <t>职工教育经费</t>
        </is>
      </c>
      <c r="D112" s="7" t="n">
        <v>260.5</v>
      </c>
      <c r="F112" s="7" t="n">
        <v>207.5</v>
      </c>
      <c r="H112" s="7" t="n">
        <v>204.1</v>
      </c>
      <c r="J112" s="7" t="n">
        <v>410.5</v>
      </c>
      <c r="L112" s="7" t="n">
        <v>483</v>
      </c>
      <c r="N112" s="7" t="n">
        <v>376.9</v>
      </c>
      <c r="P112" s="7" t="n">
        <v>401.3</v>
      </c>
      <c r="R112" s="7" t="n">
        <v>415.7</v>
      </c>
      <c r="T112" s="7" t="n">
        <v>295.6</v>
      </c>
      <c r="V112" s="7" t="n">
        <v>337.5</v>
      </c>
      <c r="X112" s="7" t="n">
        <v>430.3</v>
      </c>
      <c r="Z112" s="7" t="n">
        <v>264.3</v>
      </c>
      <c r="AB112" s="7" t="n">
        <v>4087.2</v>
      </c>
    </row>
    <row r="113">
      <c r="A113" s="4" t="inlineStr">
        <is>
          <t>福利费</t>
        </is>
      </c>
      <c r="D113" s="7" t="n">
        <v>3699.9</v>
      </c>
      <c r="F113" s="7" t="n">
        <v>2506.9</v>
      </c>
      <c r="H113" s="7" t="n">
        <v>4011.4</v>
      </c>
      <c r="J113" s="7" t="n">
        <v>5846.9</v>
      </c>
      <c r="L113" s="7" t="n">
        <v>7594.9</v>
      </c>
      <c r="N113" s="7" t="n">
        <v>6042.1</v>
      </c>
      <c r="P113" s="7" t="n">
        <v>5551.8</v>
      </c>
      <c r="R113" s="7" t="n">
        <v>6725.8</v>
      </c>
      <c r="T113" s="7" t="n">
        <v>6670.4</v>
      </c>
      <c r="V113" s="7" t="n">
        <v>7045.9</v>
      </c>
      <c r="X113" s="7" t="n">
        <v>6215.1</v>
      </c>
      <c r="Z113" s="7" t="n">
        <v>4482.7</v>
      </c>
      <c r="AB113" s="7" t="n">
        <v>66393.8</v>
      </c>
    </row>
    <row r="114">
      <c r="A114" s="4" t="inlineStr">
        <is>
          <t>职工房租</t>
        </is>
      </c>
      <c r="D114" s="7" t="n">
        <v>324.2</v>
      </c>
      <c r="F114" s="7" t="n">
        <v>201.5</v>
      </c>
      <c r="H114" s="7" t="n">
        <v>363.5</v>
      </c>
      <c r="J114" s="7" t="n">
        <v>486.6</v>
      </c>
      <c r="L114" s="7" t="n">
        <v>620.3</v>
      </c>
      <c r="N114" s="7" t="n">
        <v>404.4</v>
      </c>
      <c r="P114" s="7" t="n">
        <v>460.1</v>
      </c>
      <c r="R114" s="7" t="n">
        <v>451.5</v>
      </c>
      <c r="T114" s="7" t="n">
        <v>549.6</v>
      </c>
      <c r="V114" s="7" t="n">
        <v>541.5</v>
      </c>
      <c r="X114" s="7" t="n">
        <v>521.8</v>
      </c>
      <c r="Z114" s="7" t="n">
        <v>352.6</v>
      </c>
      <c r="AB114" s="7" t="n">
        <v>5277.6</v>
      </c>
    </row>
    <row r="115">
      <c r="A115" s="4" t="inlineStr">
        <is>
          <t>水电物业费</t>
        </is>
      </c>
      <c r="D115" s="7" t="n">
        <v>972.1</v>
      </c>
      <c r="F115" s="7" t="n">
        <v>784.5</v>
      </c>
      <c r="H115" s="7" t="n">
        <v>1369.1</v>
      </c>
      <c r="J115" s="7" t="n">
        <v>2283.2</v>
      </c>
      <c r="L115" s="7" t="n">
        <v>2826.1</v>
      </c>
      <c r="N115" s="7" t="n">
        <v>1941.2</v>
      </c>
      <c r="P115" s="7" t="n">
        <v>1555</v>
      </c>
      <c r="R115" s="7" t="n">
        <v>2550.6</v>
      </c>
      <c r="T115" s="7" t="n">
        <v>2142.1</v>
      </c>
      <c r="V115" s="7" t="n">
        <v>2542.4</v>
      </c>
      <c r="X115" s="7" t="n">
        <v>1687.9</v>
      </c>
      <c r="Z115" s="7" t="n">
        <v>1279.3</v>
      </c>
      <c r="AB115" s="7" t="n">
        <v>21933.5</v>
      </c>
    </row>
    <row r="116">
      <c r="A116" s="4" t="inlineStr">
        <is>
          <t>员工餐</t>
        </is>
      </c>
      <c r="D116" s="7" t="n">
        <v>322</v>
      </c>
      <c r="F116" s="7" t="n">
        <v>167.8</v>
      </c>
      <c r="H116" s="7" t="n">
        <v>294</v>
      </c>
      <c r="J116" s="7" t="n">
        <v>496.7</v>
      </c>
      <c r="L116" s="7" t="n">
        <v>605</v>
      </c>
      <c r="N116" s="7" t="n">
        <v>394.9</v>
      </c>
      <c r="P116" s="7" t="n">
        <v>334.9</v>
      </c>
      <c r="R116" s="7" t="n">
        <v>410.3</v>
      </c>
      <c r="T116" s="7" t="n">
        <v>493.3</v>
      </c>
      <c r="V116" s="7" t="n">
        <v>494</v>
      </c>
      <c r="X116" s="7" t="n">
        <v>375</v>
      </c>
      <c r="Z116" s="7" t="n">
        <v>266.3</v>
      </c>
      <c r="AB116" s="7" t="n">
        <v>4654.2</v>
      </c>
    </row>
    <row r="117">
      <c r="A117" s="4" t="inlineStr">
        <is>
          <t>节日礼品</t>
        </is>
      </c>
      <c r="D117" s="7" t="n">
        <v>436.7</v>
      </c>
      <c r="F117" s="7" t="n">
        <v>350.7</v>
      </c>
      <c r="H117" s="7" t="n">
        <v>297.9</v>
      </c>
      <c r="J117" s="7" t="n">
        <v>588</v>
      </c>
      <c r="L117" s="7" t="n">
        <v>837</v>
      </c>
      <c r="N117" s="7" t="n">
        <v>870.4</v>
      </c>
      <c r="P117" s="7" t="n">
        <v>590.9</v>
      </c>
      <c r="R117" s="7" t="n">
        <v>624.8</v>
      </c>
      <c r="T117" s="7" t="n">
        <v>497.4</v>
      </c>
      <c r="V117" s="7" t="n">
        <v>735.5</v>
      </c>
      <c r="X117" s="7" t="n">
        <v>776.1</v>
      </c>
      <c r="Z117" s="7" t="n">
        <v>516</v>
      </c>
      <c r="AB117" s="7" t="n">
        <v>7121.4</v>
      </c>
    </row>
    <row r="118">
      <c r="A118" s="4" t="inlineStr">
        <is>
          <t>生日礼品</t>
        </is>
      </c>
      <c r="D118" s="7" t="n">
        <v>53.1</v>
      </c>
      <c r="F118" s="7" t="n">
        <v>36.6</v>
      </c>
      <c r="H118" s="7" t="n">
        <v>54.9</v>
      </c>
      <c r="J118" s="7" t="n">
        <v>111.1</v>
      </c>
      <c r="L118" s="7" t="n">
        <v>93</v>
      </c>
      <c r="N118" s="7" t="n">
        <v>167.7</v>
      </c>
      <c r="P118" s="7" t="n">
        <v>126.5</v>
      </c>
      <c r="R118" s="7" t="n">
        <v>91.8</v>
      </c>
      <c r="T118" s="7" t="n">
        <v>142.2</v>
      </c>
      <c r="V118" s="7" t="n">
        <v>99</v>
      </c>
      <c r="X118" s="7" t="n">
        <v>134.4</v>
      </c>
      <c r="Z118" s="7" t="n">
        <v>69.59999999999999</v>
      </c>
      <c r="AB118" s="7" t="n">
        <v>1179.9</v>
      </c>
    </row>
    <row r="119">
      <c r="A119" s="4" t="inlineStr">
        <is>
          <t>体检</t>
        </is>
      </c>
      <c r="D119" s="7" t="n">
        <v>712.8</v>
      </c>
      <c r="F119" s="7" t="n">
        <v>517.9</v>
      </c>
      <c r="H119" s="7" t="n">
        <v>612.5</v>
      </c>
      <c r="J119" s="7" t="n">
        <v>1019.1</v>
      </c>
      <c r="L119" s="7" t="n">
        <v>1144</v>
      </c>
      <c r="N119" s="7" t="n">
        <v>1055.5</v>
      </c>
      <c r="P119" s="7" t="n">
        <v>1215.6</v>
      </c>
      <c r="R119" s="7" t="n">
        <v>1421.8</v>
      </c>
      <c r="T119" s="7" t="n">
        <v>1058.4</v>
      </c>
      <c r="V119" s="7" t="n">
        <v>1439.5</v>
      </c>
      <c r="X119" s="7" t="n">
        <v>999.9</v>
      </c>
      <c r="Z119" s="7" t="n">
        <v>816.7</v>
      </c>
      <c r="AB119" s="7" t="n">
        <v>12013.7</v>
      </c>
    </row>
    <row r="120">
      <c r="A120" s="4" t="inlineStr">
        <is>
          <t>其他福利支出</t>
        </is>
      </c>
      <c r="D120" s="7" t="n">
        <v>879</v>
      </c>
      <c r="F120" s="7" t="n">
        <v>447.9</v>
      </c>
      <c r="H120" s="7" t="n">
        <v>1019.5</v>
      </c>
      <c r="J120" s="7" t="n">
        <v>862.2</v>
      </c>
      <c r="L120" s="7" t="n">
        <v>1469.5</v>
      </c>
      <c r="N120" s="7" t="n">
        <v>1208</v>
      </c>
      <c r="P120" s="7" t="n">
        <v>1268.8</v>
      </c>
      <c r="R120" s="7" t="n">
        <v>1175</v>
      </c>
      <c r="T120" s="7" t="n">
        <v>1787.4</v>
      </c>
      <c r="V120" s="7" t="n">
        <v>1194</v>
      </c>
      <c r="X120" s="7" t="n">
        <v>1720</v>
      </c>
      <c r="Z120" s="7" t="n">
        <v>1182.2</v>
      </c>
      <c r="AB120" s="7" t="n">
        <v>14213.5</v>
      </c>
    </row>
    <row r="121">
      <c r="A121" s="4" t="inlineStr">
        <is>
          <t>招聘费</t>
        </is>
      </c>
      <c r="D121" s="7" t="n">
        <v>128.8</v>
      </c>
      <c r="F121" s="7" t="n">
        <v>96</v>
      </c>
      <c r="H121" s="7" t="n">
        <v>136.7</v>
      </c>
      <c r="J121" s="7" t="n">
        <v>337.8</v>
      </c>
      <c r="L121" s="7" t="n">
        <v>308.8</v>
      </c>
      <c r="N121" s="7" t="n">
        <v>360.1</v>
      </c>
      <c r="P121" s="7" t="n">
        <v>196.6</v>
      </c>
      <c r="R121" s="7" t="n">
        <v>387.5</v>
      </c>
      <c r="T121" s="7" t="n">
        <v>400.6</v>
      </c>
      <c r="V121" s="7" t="n">
        <v>348.8</v>
      </c>
      <c r="X121" s="7" t="n">
        <v>326.4</v>
      </c>
      <c r="Z121" s="7" t="n">
        <v>175.6</v>
      </c>
      <c r="AB121" s="7" t="n">
        <v>3203.7</v>
      </c>
    </row>
    <row r="122">
      <c r="A122" s="4" t="inlineStr">
        <is>
          <t>办公费</t>
        </is>
      </c>
      <c r="D122" s="7" t="n">
        <v>6660.6</v>
      </c>
      <c r="F122" s="7" t="n">
        <v>5406.8</v>
      </c>
      <c r="H122" s="7" t="n">
        <v>8097.1</v>
      </c>
      <c r="J122" s="7" t="n">
        <v>8529</v>
      </c>
      <c r="L122" s="7" t="n">
        <v>15122.5</v>
      </c>
      <c r="N122" s="7" t="n">
        <v>12071.8</v>
      </c>
      <c r="P122" s="7" t="n">
        <v>12357.9</v>
      </c>
      <c r="R122" s="7" t="n">
        <v>11433.5</v>
      </c>
      <c r="T122" s="7" t="n">
        <v>9928.9</v>
      </c>
      <c r="V122" s="7" t="n">
        <v>14336.5</v>
      </c>
      <c r="X122" s="7" t="n">
        <v>13714.4</v>
      </c>
      <c r="Z122" s="7" t="n">
        <v>11158.4</v>
      </c>
      <c r="AB122" s="7" t="n">
        <v>128817.4</v>
      </c>
    </row>
    <row r="123">
      <c r="A123" s="4" t="inlineStr">
        <is>
          <t>市内交通费</t>
        </is>
      </c>
      <c r="D123" s="7" t="n">
        <v>1306</v>
      </c>
      <c r="F123" s="7" t="n">
        <v>674.3</v>
      </c>
      <c r="H123" s="7" t="n">
        <v>908.5</v>
      </c>
      <c r="J123" s="7" t="n">
        <v>2409.9</v>
      </c>
      <c r="L123" s="7" t="n">
        <v>1922</v>
      </c>
      <c r="N123" s="7" t="n">
        <v>2655.4</v>
      </c>
      <c r="P123" s="7" t="n">
        <v>1641</v>
      </c>
      <c r="R123" s="7" t="n">
        <v>2082.5</v>
      </c>
      <c r="T123" s="7" t="n">
        <v>2614.5</v>
      </c>
      <c r="V123" s="7" t="n">
        <v>2381.1</v>
      </c>
      <c r="X123" s="7" t="n">
        <v>2186.6</v>
      </c>
      <c r="Z123" s="7" t="n">
        <v>1162.2</v>
      </c>
      <c r="AB123" s="7" t="n">
        <v>21944</v>
      </c>
    </row>
    <row r="124">
      <c r="A124" s="4" t="inlineStr">
        <is>
          <t>差旅费</t>
        </is>
      </c>
      <c r="D124" s="7" t="n">
        <v>13692.9</v>
      </c>
      <c r="F124" s="7" t="n">
        <v>13017.4</v>
      </c>
      <c r="H124" s="7" t="n">
        <v>12677</v>
      </c>
      <c r="J124" s="7" t="n">
        <v>16283.8</v>
      </c>
      <c r="L124" s="7" t="n">
        <v>35646.1</v>
      </c>
      <c r="N124" s="7" t="n">
        <v>22175.4</v>
      </c>
      <c r="P124" s="7" t="n">
        <v>19327.9</v>
      </c>
      <c r="R124" s="7" t="n">
        <v>22428.2</v>
      </c>
      <c r="T124" s="7" t="n">
        <v>24857.7</v>
      </c>
      <c r="V124" s="7" t="n">
        <v>25605.8</v>
      </c>
      <c r="X124" s="7" t="n">
        <v>23711.6</v>
      </c>
      <c r="Z124" s="7" t="n">
        <v>20835.2</v>
      </c>
      <c r="AB124" s="7" t="n">
        <v>250259</v>
      </c>
    </row>
    <row r="125">
      <c r="A125" s="4" t="inlineStr">
        <is>
          <t>交通费</t>
        </is>
      </c>
      <c r="D125" s="7" t="n">
        <v>563.2</v>
      </c>
      <c r="F125" s="7" t="n">
        <v>406.2</v>
      </c>
      <c r="H125" s="7" t="n">
        <v>451.6</v>
      </c>
      <c r="J125" s="7" t="n">
        <v>748.4</v>
      </c>
      <c r="L125" s="7" t="n">
        <v>1000</v>
      </c>
      <c r="N125" s="7" t="n">
        <v>1019.1</v>
      </c>
      <c r="P125" s="7" t="n">
        <v>771.3</v>
      </c>
      <c r="R125" s="7" t="n">
        <v>1093.6</v>
      </c>
      <c r="T125" s="7" t="n">
        <v>883.6</v>
      </c>
      <c r="V125" s="7" t="n">
        <v>876.8</v>
      </c>
      <c r="X125" s="7" t="n">
        <v>868.5</v>
      </c>
      <c r="Z125" s="7" t="n">
        <v>675.8</v>
      </c>
      <c r="AB125" s="7" t="n">
        <v>9358.1</v>
      </c>
    </row>
    <row r="126">
      <c r="A126" s="4" t="inlineStr">
        <is>
          <t>住宿费</t>
        </is>
      </c>
      <c r="D126" s="7" t="n">
        <v>1139.2</v>
      </c>
      <c r="F126" s="7" t="n">
        <v>867.6</v>
      </c>
      <c r="H126" s="7" t="n">
        <v>932</v>
      </c>
      <c r="J126" s="7" t="n">
        <v>1148.2</v>
      </c>
      <c r="L126" s="7" t="n">
        <v>2700.6</v>
      </c>
      <c r="N126" s="7" t="n">
        <v>1475.4</v>
      </c>
      <c r="P126" s="7" t="n">
        <v>1628.6</v>
      </c>
      <c r="R126" s="7" t="n">
        <v>2430.1</v>
      </c>
      <c r="T126" s="7" t="n">
        <v>2472.8</v>
      </c>
      <c r="V126" s="7" t="n">
        <v>1279.4</v>
      </c>
      <c r="X126" s="7" t="n">
        <v>1723.7</v>
      </c>
      <c r="Z126" s="7" t="n">
        <v>1623.7</v>
      </c>
      <c r="AB126" s="7" t="n">
        <v>19421.3</v>
      </c>
    </row>
    <row r="127">
      <c r="A127" s="4" t="inlineStr">
        <is>
          <t>餐补</t>
        </is>
      </c>
      <c r="D127" s="7" t="n">
        <v>1476.4</v>
      </c>
      <c r="F127" s="7" t="n">
        <v>847.5</v>
      </c>
      <c r="H127" s="7" t="n">
        <v>1089.3</v>
      </c>
      <c r="J127" s="7" t="n">
        <v>2478.6</v>
      </c>
      <c r="L127" s="7" t="n">
        <v>3340.9</v>
      </c>
      <c r="N127" s="7" t="n">
        <v>3239.5</v>
      </c>
      <c r="P127" s="7" t="n">
        <v>1662.8</v>
      </c>
      <c r="R127" s="7" t="n">
        <v>2851.7</v>
      </c>
      <c r="T127" s="7" t="n">
        <v>1810</v>
      </c>
      <c r="V127" s="7" t="n">
        <v>1701.1</v>
      </c>
      <c r="X127" s="7" t="n">
        <v>3025.1</v>
      </c>
      <c r="Z127" s="7" t="n">
        <v>1883.5</v>
      </c>
      <c r="AB127" s="7" t="n">
        <v>25406.4</v>
      </c>
    </row>
    <row r="128">
      <c r="A128" s="4" t="inlineStr">
        <is>
          <t>交通补助</t>
        </is>
      </c>
      <c r="D128" s="7" t="n">
        <v>386.3</v>
      </c>
      <c r="F128" s="7" t="n">
        <v>538.3</v>
      </c>
      <c r="H128" s="7" t="n">
        <v>556.7</v>
      </c>
      <c r="J128" s="7" t="n">
        <v>998.2</v>
      </c>
      <c r="L128" s="7" t="n">
        <v>1244.6</v>
      </c>
      <c r="N128" s="7" t="n">
        <v>841.5</v>
      </c>
      <c r="P128" s="7" t="n">
        <v>1029.8</v>
      </c>
      <c r="R128" s="7" t="n">
        <v>1268.4</v>
      </c>
      <c r="T128" s="7" t="n">
        <v>771.6</v>
      </c>
      <c r="V128" s="7" t="n">
        <v>869.9</v>
      </c>
      <c r="X128" s="7" t="n">
        <v>770.9</v>
      </c>
      <c r="Z128" s="7" t="n">
        <v>545.4</v>
      </c>
      <c r="AB128" s="7" t="n">
        <v>9821.6</v>
      </c>
    </row>
    <row r="129">
      <c r="A129" s="4" t="inlineStr">
        <is>
          <t>通讯补助</t>
        </is>
      </c>
      <c r="D129" s="7" t="n">
        <v>966.9</v>
      </c>
      <c r="F129" s="7" t="n">
        <v>501.3</v>
      </c>
      <c r="H129" s="7" t="n">
        <v>736.2</v>
      </c>
      <c r="J129" s="7" t="n">
        <v>1539.2</v>
      </c>
      <c r="L129" s="7" t="n">
        <v>1964.3</v>
      </c>
      <c r="N129" s="7" t="n">
        <v>1908</v>
      </c>
      <c r="P129" s="7" t="n">
        <v>1136.1</v>
      </c>
      <c r="R129" s="7" t="n">
        <v>1481.7</v>
      </c>
      <c r="T129" s="7" t="n">
        <v>1462.2</v>
      </c>
      <c r="V129" s="7" t="n">
        <v>1668.2</v>
      </c>
      <c r="X129" s="7" t="n">
        <v>1737.5</v>
      </c>
      <c r="Z129" s="7" t="n">
        <v>961</v>
      </c>
      <c r="AB129" s="7" t="n">
        <v>16062.6</v>
      </c>
    </row>
    <row r="130">
      <c r="A130" s="4" t="inlineStr">
        <is>
          <t>招待费</t>
        </is>
      </c>
      <c r="D130" s="7" t="n">
        <v>6920.6</v>
      </c>
      <c r="F130" s="7" t="n">
        <v>8358.1</v>
      </c>
      <c r="H130" s="7" t="n">
        <v>7010.6</v>
      </c>
      <c r="J130" s="7" t="n">
        <v>16561.3</v>
      </c>
      <c r="L130" s="7" t="n">
        <v>18360.5</v>
      </c>
      <c r="N130" s="7" t="n">
        <v>12908.9</v>
      </c>
      <c r="P130" s="7" t="n">
        <v>16602.7</v>
      </c>
      <c r="R130" s="7" t="n">
        <v>18580.4</v>
      </c>
      <c r="T130" s="7" t="n">
        <v>21282.8</v>
      </c>
      <c r="V130" s="7" t="n">
        <v>15792.4</v>
      </c>
      <c r="X130" s="7" t="n">
        <v>19963.9</v>
      </c>
      <c r="Z130" s="7" t="n">
        <v>14780.5</v>
      </c>
      <c r="AB130" s="7" t="n">
        <v>177122.7</v>
      </c>
    </row>
    <row r="131">
      <c r="A131" s="4" t="inlineStr">
        <is>
          <t>通讯费</t>
        </is>
      </c>
      <c r="D131" s="7" t="n">
        <v>807.7</v>
      </c>
      <c r="F131" s="7" t="n">
        <v>534</v>
      </c>
      <c r="H131" s="7" t="n">
        <v>636.8</v>
      </c>
      <c r="J131" s="7" t="n">
        <v>1520.3</v>
      </c>
      <c r="L131" s="7" t="n">
        <v>1527.1</v>
      </c>
      <c r="N131" s="7" t="n">
        <v>1934.3</v>
      </c>
      <c r="P131" s="7" t="n">
        <v>882.6</v>
      </c>
      <c r="R131" s="7" t="n">
        <v>1141.2</v>
      </c>
      <c r="T131" s="7" t="n">
        <v>1530.8</v>
      </c>
      <c r="V131" s="7" t="n">
        <v>1046.2</v>
      </c>
      <c r="X131" s="7" t="n">
        <v>1111.1</v>
      </c>
      <c r="Z131" s="7" t="n">
        <v>1115.1</v>
      </c>
      <c r="AB131" s="7" t="n">
        <v>13787.2</v>
      </c>
    </row>
    <row r="132">
      <c r="A132" s="4" t="inlineStr">
        <is>
          <t>网络费</t>
        </is>
      </c>
      <c r="D132" s="7" t="n">
        <v>963.6</v>
      </c>
      <c r="F132" s="7" t="n">
        <v>742.2</v>
      </c>
      <c r="H132" s="7" t="n">
        <v>876.7</v>
      </c>
      <c r="J132" s="7" t="n">
        <v>1171.7</v>
      </c>
      <c r="L132" s="7" t="n">
        <v>1823.1</v>
      </c>
      <c r="N132" s="7" t="n">
        <v>2004.2</v>
      </c>
      <c r="P132" s="7" t="n">
        <v>1013.8</v>
      </c>
      <c r="R132" s="7" t="n">
        <v>1817.5</v>
      </c>
      <c r="T132" s="7" t="n">
        <v>1732.3</v>
      </c>
      <c r="V132" s="7" t="n">
        <v>1145.5</v>
      </c>
      <c r="X132" s="7" t="n">
        <v>1169.2</v>
      </c>
      <c r="Z132" s="7" t="n">
        <v>808.6</v>
      </c>
      <c r="AB132" s="7" t="n">
        <v>15268.4</v>
      </c>
    </row>
    <row r="133">
      <c r="A133" s="4" t="inlineStr">
        <is>
          <t>修理费</t>
        </is>
      </c>
      <c r="D133" s="7" t="n">
        <v>1041.7</v>
      </c>
      <c r="F133" s="7" t="n">
        <v>482.2</v>
      </c>
      <c r="H133" s="7" t="n">
        <v>837.9</v>
      </c>
      <c r="J133" s="7" t="n">
        <v>1458.7</v>
      </c>
      <c r="L133" s="7" t="n">
        <v>1339.4</v>
      </c>
      <c r="N133" s="7" t="n">
        <v>1912</v>
      </c>
      <c r="P133" s="7" t="n">
        <v>1579.2</v>
      </c>
      <c r="R133" s="7" t="n">
        <v>1468.4</v>
      </c>
      <c r="T133" s="7" t="n">
        <v>1770.4</v>
      </c>
      <c r="V133" s="7" t="n">
        <v>1638.1</v>
      </c>
      <c r="X133" s="7" t="n">
        <v>1185.8</v>
      </c>
      <c r="Z133" s="7" t="n">
        <v>1006.1</v>
      </c>
      <c r="AB133" s="7" t="n">
        <v>15719.9</v>
      </c>
    </row>
    <row r="134">
      <c r="A134" s="4" t="inlineStr">
        <is>
          <t>车辆费</t>
        </is>
      </c>
      <c r="D134" s="7" t="n">
        <v>1450.6</v>
      </c>
      <c r="F134" s="7" t="n">
        <v>1130.8</v>
      </c>
      <c r="H134" s="7" t="n">
        <v>1832.3</v>
      </c>
      <c r="J134" s="7" t="n">
        <v>1676.2</v>
      </c>
      <c r="L134" s="7" t="n">
        <v>2607.5</v>
      </c>
      <c r="N134" s="7" t="n">
        <v>3703.8</v>
      </c>
      <c r="P134" s="7" t="n">
        <v>1562.4</v>
      </c>
      <c r="R134" s="7" t="n">
        <v>2454.1</v>
      </c>
      <c r="T134" s="7" t="n">
        <v>2417.4</v>
      </c>
      <c r="V134" s="7" t="n">
        <v>2299.3</v>
      </c>
      <c r="X134" s="7" t="n">
        <v>2180.2</v>
      </c>
      <c r="Z134" s="7" t="n">
        <v>2176.7</v>
      </c>
      <c r="AB134" s="7" t="n">
        <v>25491.3</v>
      </c>
    </row>
    <row r="135">
      <c r="A135" s="4" t="inlineStr">
        <is>
          <t>租赁费</t>
        </is>
      </c>
      <c r="D135" s="7" t="n">
        <v>12377.8</v>
      </c>
      <c r="F135" s="7" t="n">
        <v>10920.6</v>
      </c>
      <c r="H135" s="7" t="n">
        <v>13665</v>
      </c>
      <c r="J135" s="7" t="n">
        <v>13644.7</v>
      </c>
      <c r="L135" s="7" t="n">
        <v>21631.2</v>
      </c>
      <c r="N135" s="7" t="n">
        <v>26147.6</v>
      </c>
      <c r="P135" s="7" t="n">
        <v>13158.5</v>
      </c>
      <c r="R135" s="7" t="n">
        <v>24830.3</v>
      </c>
      <c r="T135" s="7" t="n">
        <v>17150.7</v>
      </c>
      <c r="V135" s="7" t="n">
        <v>20119.3</v>
      </c>
      <c r="X135" s="7" t="n">
        <v>19361.7</v>
      </c>
      <c r="Z135" s="7" t="n">
        <v>15527.9</v>
      </c>
      <c r="AB135" s="7" t="n">
        <v>208535.3</v>
      </c>
    </row>
    <row r="136">
      <c r="A136" s="4" t="inlineStr">
        <is>
          <t>能源费</t>
        </is>
      </c>
      <c r="D136" s="7" t="n">
        <v>3309.3</v>
      </c>
      <c r="F136" s="7" t="n">
        <v>2536</v>
      </c>
      <c r="H136" s="7" t="n">
        <v>3401.4</v>
      </c>
      <c r="J136" s="7" t="n">
        <v>5902.1</v>
      </c>
      <c r="L136" s="7" t="n">
        <v>6006.4</v>
      </c>
      <c r="N136" s="7" t="n">
        <v>7971</v>
      </c>
      <c r="P136" s="7" t="n">
        <v>5035.4</v>
      </c>
      <c r="R136" s="7" t="n">
        <v>6384.4</v>
      </c>
      <c r="T136" s="7" t="n">
        <v>8087</v>
      </c>
      <c r="V136" s="7" t="n">
        <v>5211.3</v>
      </c>
      <c r="X136" s="7" t="n">
        <v>7046</v>
      </c>
      <c r="Z136" s="7" t="n">
        <v>5242.5</v>
      </c>
      <c r="AB136" s="7" t="n">
        <v>66132.8</v>
      </c>
    </row>
    <row r="137">
      <c r="A137" s="4" t="inlineStr">
        <is>
          <t>水费</t>
        </is>
      </c>
      <c r="D137" s="7" t="n">
        <v>1391.2</v>
      </c>
      <c r="F137" s="7" t="n">
        <v>1222.1</v>
      </c>
      <c r="H137" s="7" t="n">
        <v>1679.7</v>
      </c>
      <c r="J137" s="7" t="n">
        <v>2860.6</v>
      </c>
      <c r="L137" s="7" t="n">
        <v>2619.4</v>
      </c>
      <c r="N137" s="7" t="n">
        <v>3380.6</v>
      </c>
      <c r="P137" s="7" t="n">
        <v>1975.3</v>
      </c>
      <c r="R137" s="7" t="n">
        <v>2427.3</v>
      </c>
      <c r="T137" s="7" t="n">
        <v>3329.3</v>
      </c>
      <c r="V137" s="7" t="n">
        <v>2316.2</v>
      </c>
      <c r="X137" s="7" t="n">
        <v>3250.5</v>
      </c>
      <c r="Z137" s="7" t="n">
        <v>2172.7</v>
      </c>
      <c r="AB137" s="7" t="n">
        <v>28624.9</v>
      </c>
    </row>
    <row r="138">
      <c r="A138" s="4" t="inlineStr">
        <is>
          <t>电费</t>
        </is>
      </c>
      <c r="D138" s="7" t="n">
        <v>457.4</v>
      </c>
      <c r="F138" s="7" t="n">
        <v>460.9</v>
      </c>
      <c r="H138" s="7" t="n">
        <v>461.4</v>
      </c>
      <c r="J138" s="7" t="n">
        <v>723.9</v>
      </c>
      <c r="L138" s="7" t="n">
        <v>1253.7</v>
      </c>
      <c r="N138" s="7" t="n">
        <v>1159.3</v>
      </c>
      <c r="P138" s="7" t="n">
        <v>1040.3</v>
      </c>
      <c r="R138" s="7" t="n">
        <v>837.2</v>
      </c>
      <c r="T138" s="7" t="n">
        <v>1348.8</v>
      </c>
      <c r="V138" s="7" t="n">
        <v>999.5</v>
      </c>
      <c r="X138" s="7" t="n">
        <v>1357.2</v>
      </c>
      <c r="Z138" s="7" t="n">
        <v>877.2</v>
      </c>
      <c r="AB138" s="7" t="n">
        <v>10976.8</v>
      </c>
    </row>
    <row r="139">
      <c r="A139" s="4" t="inlineStr">
        <is>
          <t>燃气费</t>
        </is>
      </c>
      <c r="D139" s="7" t="n">
        <v>94.3</v>
      </c>
      <c r="F139" s="7" t="n">
        <v>86.3</v>
      </c>
      <c r="H139" s="7" t="n">
        <v>175.6</v>
      </c>
      <c r="J139" s="7" t="n">
        <v>163.9</v>
      </c>
      <c r="L139" s="7" t="n">
        <v>227.3</v>
      </c>
      <c r="N139" s="7" t="n">
        <v>239.7</v>
      </c>
      <c r="P139" s="7" t="n">
        <v>149</v>
      </c>
      <c r="R139" s="7" t="n">
        <v>193.5</v>
      </c>
      <c r="T139" s="7" t="n">
        <v>288.6</v>
      </c>
      <c r="V139" s="7" t="n">
        <v>186.8</v>
      </c>
      <c r="X139" s="7" t="n">
        <v>234.4</v>
      </c>
      <c r="Z139" s="7" t="n">
        <v>144.1</v>
      </c>
      <c r="AB139" s="7" t="n">
        <v>2183.5</v>
      </c>
    </row>
    <row r="140">
      <c r="A140" s="4" t="inlineStr">
        <is>
          <t>蒸汽费</t>
        </is>
      </c>
      <c r="D140" s="7" t="n">
        <v>1366.4</v>
      </c>
      <c r="F140" s="7" t="n">
        <v>766.7</v>
      </c>
      <c r="H140" s="7" t="n">
        <v>1084.7</v>
      </c>
      <c r="J140" s="7" t="n">
        <v>2153.7</v>
      </c>
      <c r="L140" s="7" t="n">
        <v>1906</v>
      </c>
      <c r="N140" s="7" t="n">
        <v>3191.4</v>
      </c>
      <c r="P140" s="7" t="n">
        <v>1870.8</v>
      </c>
      <c r="R140" s="7" t="n">
        <v>2926.4</v>
      </c>
      <c r="T140" s="7" t="n">
        <v>3120.3</v>
      </c>
      <c r="V140" s="7" t="n">
        <v>1708.8</v>
      </c>
      <c r="X140" s="7" t="n">
        <v>2203.9</v>
      </c>
      <c r="Z140" s="7" t="n">
        <v>2048.5</v>
      </c>
      <c r="AB140" s="7" t="n">
        <v>24347.6</v>
      </c>
    </row>
    <row r="141">
      <c r="A141" s="4" t="inlineStr">
        <is>
          <t>物业费</t>
        </is>
      </c>
      <c r="D141" s="7" t="n">
        <v>1258</v>
      </c>
      <c r="F141" s="7" t="n">
        <v>1177.7</v>
      </c>
      <c r="H141" s="7" t="n">
        <v>1526.6</v>
      </c>
      <c r="J141" s="7" t="n">
        <v>1926.6</v>
      </c>
      <c r="L141" s="7" t="n">
        <v>3504.3</v>
      </c>
      <c r="N141" s="7" t="n">
        <v>3164</v>
      </c>
      <c r="P141" s="7" t="n">
        <v>2316.4</v>
      </c>
      <c r="R141" s="7" t="n">
        <v>2843.3</v>
      </c>
      <c r="T141" s="7" t="n">
        <v>3102.2</v>
      </c>
      <c r="V141" s="7" t="n">
        <v>2021.7</v>
      </c>
      <c r="X141" s="7" t="n">
        <v>3102.9</v>
      </c>
      <c r="Z141" s="7" t="n">
        <v>1299.1</v>
      </c>
      <c r="AB141" s="7" t="n">
        <v>27242.8</v>
      </c>
    </row>
    <row r="142">
      <c r="A142" s="4" t="inlineStr">
        <is>
          <t>劳动保护费</t>
        </is>
      </c>
      <c r="D142" s="7" t="n">
        <v>1066.4</v>
      </c>
      <c r="F142" s="7" t="n">
        <v>756.2</v>
      </c>
      <c r="H142" s="7" t="n">
        <v>1280.7</v>
      </c>
      <c r="J142" s="7" t="n">
        <v>1497.1</v>
      </c>
      <c r="L142" s="7" t="n">
        <v>2390.7</v>
      </c>
      <c r="N142" s="7" t="n">
        <v>2497.3</v>
      </c>
      <c r="P142" s="7" t="n">
        <v>1463.4</v>
      </c>
      <c r="R142" s="7" t="n">
        <v>2297.2</v>
      </c>
      <c r="T142" s="7" t="n">
        <v>2636.1</v>
      </c>
      <c r="V142" s="7" t="n">
        <v>2652.5</v>
      </c>
      <c r="X142" s="7" t="n">
        <v>2281.8</v>
      </c>
      <c r="Z142" s="7" t="n">
        <v>1241.2</v>
      </c>
      <c r="AB142" s="7" t="n">
        <v>22060.6</v>
      </c>
    </row>
    <row r="143">
      <c r="A143" s="4" t="inlineStr">
        <is>
          <t>顾问费</t>
        </is>
      </c>
      <c r="D143" s="7" t="n">
        <v>1308.3</v>
      </c>
      <c r="F143" s="7" t="n">
        <v>1022.9</v>
      </c>
      <c r="H143" s="7" t="n">
        <v>1357.4</v>
      </c>
      <c r="J143" s="7" t="n">
        <v>1415.3</v>
      </c>
      <c r="L143" s="7" t="n">
        <v>1972.3</v>
      </c>
      <c r="N143" s="7" t="n">
        <v>1951.6</v>
      </c>
      <c r="P143" s="7" t="n">
        <v>2154.9</v>
      </c>
      <c r="R143" s="7" t="n">
        <v>1995.3</v>
      </c>
      <c r="T143" s="7" t="n">
        <v>2336.1</v>
      </c>
      <c r="V143" s="7" t="n">
        <v>1808.7</v>
      </c>
      <c r="X143" s="7" t="n">
        <v>1733.7</v>
      </c>
      <c r="Z143" s="7" t="n">
        <v>1024.3</v>
      </c>
      <c r="AB143" s="7" t="n">
        <v>20080.8</v>
      </c>
    </row>
    <row r="144">
      <c r="A144" s="4" t="inlineStr">
        <is>
          <t>快递费</t>
        </is>
      </c>
      <c r="D144" s="7" t="n">
        <v>218.7</v>
      </c>
      <c r="F144" s="7" t="n">
        <v>188.3</v>
      </c>
      <c r="H144" s="7" t="n">
        <v>222</v>
      </c>
      <c r="J144" s="7" t="n">
        <v>264.1</v>
      </c>
      <c r="L144" s="7" t="n">
        <v>496.2</v>
      </c>
      <c r="N144" s="7" t="n">
        <v>433</v>
      </c>
      <c r="P144" s="7" t="n">
        <v>445.9</v>
      </c>
      <c r="R144" s="7" t="n">
        <v>392.6</v>
      </c>
      <c r="T144" s="7" t="n">
        <v>424.8</v>
      </c>
      <c r="V144" s="7" t="n">
        <v>384.3</v>
      </c>
      <c r="X144" s="7" t="n">
        <v>311.7</v>
      </c>
      <c r="Z144" s="7" t="n">
        <v>368.1</v>
      </c>
      <c r="AB144" s="7" t="n">
        <v>4149.7</v>
      </c>
    </row>
    <row r="145">
      <c r="A145" s="4" t="inlineStr">
        <is>
          <t>诉讼费</t>
        </is>
      </c>
      <c r="D145" s="7" t="n">
        <v>1512.1</v>
      </c>
      <c r="F145" s="7" t="n">
        <v>915.6</v>
      </c>
      <c r="H145" s="7" t="n">
        <v>1646.1</v>
      </c>
      <c r="J145" s="7" t="n">
        <v>1686.1</v>
      </c>
      <c r="L145" s="7" t="n">
        <v>2122.1</v>
      </c>
      <c r="N145" s="7" t="n">
        <v>2690.9</v>
      </c>
      <c r="P145" s="7" t="n">
        <v>1899.9</v>
      </c>
      <c r="R145" s="7" t="n">
        <v>2952.5</v>
      </c>
      <c r="T145" s="7" t="n">
        <v>3316.1</v>
      </c>
      <c r="V145" s="7" t="n">
        <v>2424.2</v>
      </c>
      <c r="X145" s="7" t="n">
        <v>2868.1</v>
      </c>
      <c r="Z145" s="7" t="n">
        <v>1578.2</v>
      </c>
      <c r="AB145" s="7" t="n">
        <v>25611.9</v>
      </c>
    </row>
    <row r="146">
      <c r="A146" s="4" t="inlineStr">
        <is>
          <t>会员费</t>
        </is>
      </c>
      <c r="D146" s="7" t="n">
        <v>897.1</v>
      </c>
      <c r="F146" s="7" t="n">
        <v>1149.4</v>
      </c>
      <c r="H146" s="7" t="n">
        <v>1201.3</v>
      </c>
      <c r="J146" s="7" t="n">
        <v>2257.3</v>
      </c>
      <c r="L146" s="7" t="n">
        <v>1992.8</v>
      </c>
      <c r="N146" s="7" t="n">
        <v>2262.7</v>
      </c>
      <c r="P146" s="7" t="n">
        <v>1792.9</v>
      </c>
      <c r="R146" s="7" t="n">
        <v>2249.8</v>
      </c>
      <c r="T146" s="7" t="n">
        <v>2632.3</v>
      </c>
      <c r="V146" s="7" t="n">
        <v>1658.6</v>
      </c>
      <c r="X146" s="7" t="n">
        <v>2537.3</v>
      </c>
      <c r="Z146" s="7" t="n">
        <v>1467.8</v>
      </c>
      <c r="AB146" s="7" t="n">
        <v>22099.3</v>
      </c>
    </row>
    <row r="147">
      <c r="A147" s="4" t="inlineStr">
        <is>
          <t>广告宣传费</t>
        </is>
      </c>
      <c r="D147" s="7" t="n">
        <v>7298</v>
      </c>
      <c r="F147" s="7" t="n">
        <v>4762.5</v>
      </c>
      <c r="H147" s="7" t="n">
        <v>5160.7</v>
      </c>
      <c r="J147" s="7" t="n">
        <v>12627.8</v>
      </c>
      <c r="L147" s="7" t="n">
        <v>14544.1</v>
      </c>
      <c r="N147" s="7" t="n">
        <v>10232.1</v>
      </c>
      <c r="P147" s="7" t="n">
        <v>11426.1</v>
      </c>
      <c r="R147" s="7" t="n">
        <v>13456.9</v>
      </c>
      <c r="T147" s="7" t="n">
        <v>11646.6</v>
      </c>
      <c r="V147" s="7" t="n">
        <v>14819.2</v>
      </c>
      <c r="X147" s="7" t="n">
        <v>15793.9</v>
      </c>
      <c r="Z147" s="7" t="n">
        <v>10148.3</v>
      </c>
      <c r="AB147" s="7" t="n">
        <v>131916.2</v>
      </c>
    </row>
    <row r="148">
      <c r="A148" s="4" t="inlineStr">
        <is>
          <t>会务费</t>
        </is>
      </c>
      <c r="D148" s="7" t="n">
        <v>937.3</v>
      </c>
      <c r="F148" s="7" t="n">
        <v>649.3</v>
      </c>
      <c r="H148" s="7" t="n">
        <v>1148</v>
      </c>
      <c r="J148" s="7" t="n">
        <v>1370.6</v>
      </c>
      <c r="L148" s="7" t="n">
        <v>2696.8</v>
      </c>
      <c r="N148" s="7" t="n">
        <v>1695.1</v>
      </c>
      <c r="P148" s="7" t="n">
        <v>2142.9</v>
      </c>
      <c r="R148" s="7" t="n">
        <v>1911.6</v>
      </c>
      <c r="T148" s="7" t="n">
        <v>2123.3</v>
      </c>
      <c r="V148" s="7" t="n">
        <v>1297.2</v>
      </c>
      <c r="X148" s="7" t="n">
        <v>1953.4</v>
      </c>
      <c r="Z148" s="7" t="n">
        <v>1710.9</v>
      </c>
      <c r="AB148" s="7" t="n">
        <v>19636.4</v>
      </c>
    </row>
    <row r="149">
      <c r="A149" s="4" t="inlineStr">
        <is>
          <t>装修费</t>
        </is>
      </c>
      <c r="D149" s="7" t="n">
        <v>174.3</v>
      </c>
      <c r="F149" s="7" t="n">
        <v>179.7</v>
      </c>
      <c r="H149" s="7" t="n">
        <v>152.4</v>
      </c>
      <c r="J149" s="7" t="n">
        <v>246.5</v>
      </c>
      <c r="L149" s="7" t="n">
        <v>486.2</v>
      </c>
      <c r="N149" s="7" t="n">
        <v>358.5</v>
      </c>
      <c r="P149" s="7" t="n">
        <v>293.1</v>
      </c>
      <c r="R149" s="7" t="n">
        <v>276.4</v>
      </c>
      <c r="T149" s="7" t="n">
        <v>331.6</v>
      </c>
      <c r="V149" s="7" t="n">
        <v>286.5</v>
      </c>
      <c r="X149" s="7" t="n">
        <v>436.8</v>
      </c>
      <c r="Z149" s="7" t="n">
        <v>312.3</v>
      </c>
      <c r="AB149" s="7" t="n">
        <v>3534.3</v>
      </c>
    </row>
    <row r="150">
      <c r="A150" s="4" t="inlineStr">
        <is>
          <t>推广费</t>
        </is>
      </c>
      <c r="D150" s="7" t="n">
        <v>584.4</v>
      </c>
      <c r="F150" s="7" t="n">
        <v>764.4</v>
      </c>
      <c r="H150" s="7" t="n">
        <v>654.1</v>
      </c>
      <c r="J150" s="7" t="n">
        <v>1684.9</v>
      </c>
      <c r="L150" s="7" t="n">
        <v>1735</v>
      </c>
      <c r="N150" s="7" t="n">
        <v>2109</v>
      </c>
      <c r="P150" s="7" t="n">
        <v>1465.3</v>
      </c>
      <c r="R150" s="7" t="n">
        <v>1727.5</v>
      </c>
      <c r="T150" s="7" t="n">
        <v>1598.8</v>
      </c>
      <c r="V150" s="7" t="n">
        <v>1368.6</v>
      </c>
      <c r="X150" s="7" t="n">
        <v>1436.4</v>
      </c>
      <c r="Z150" s="7" t="n">
        <v>1145.3</v>
      </c>
      <c r="AB150" s="7" t="n">
        <v>16273.7</v>
      </c>
    </row>
    <row r="151">
      <c r="A151" s="4" t="inlineStr">
        <is>
          <t>展会费</t>
        </is>
      </c>
      <c r="D151" s="7" t="n">
        <v>866.9</v>
      </c>
      <c r="F151" s="7" t="n">
        <v>448.1</v>
      </c>
      <c r="H151" s="7" t="n">
        <v>673.3</v>
      </c>
      <c r="J151" s="7" t="n">
        <v>1181.3</v>
      </c>
      <c r="L151" s="7" t="n">
        <v>1266.9</v>
      </c>
      <c r="N151" s="7" t="n">
        <v>1656.2</v>
      </c>
      <c r="P151" s="7" t="n">
        <v>1217.5</v>
      </c>
      <c r="R151" s="7" t="n">
        <v>1336.1</v>
      </c>
      <c r="T151" s="7" t="n">
        <v>1797.7</v>
      </c>
      <c r="V151" s="7" t="n">
        <v>1460.2</v>
      </c>
      <c r="X151" s="7" t="n">
        <v>1376</v>
      </c>
      <c r="Z151" s="7" t="n">
        <v>881.2</v>
      </c>
      <c r="AB151" s="7" t="n">
        <v>14161.4</v>
      </c>
    </row>
    <row r="152">
      <c r="A152" s="4" t="inlineStr">
        <is>
          <t>设计费</t>
        </is>
      </c>
      <c r="D152" s="7" t="n">
        <v>1113.2</v>
      </c>
      <c r="F152" s="7" t="n">
        <v>840</v>
      </c>
      <c r="H152" s="7" t="n">
        <v>1285.9</v>
      </c>
      <c r="J152" s="7" t="n">
        <v>1732.4</v>
      </c>
      <c r="L152" s="7" t="n">
        <v>1420.6</v>
      </c>
      <c r="N152" s="7" t="n">
        <v>2025</v>
      </c>
      <c r="P152" s="7" t="n">
        <v>1505.7</v>
      </c>
      <c r="R152" s="7" t="n">
        <v>1614.8</v>
      </c>
      <c r="T152" s="7" t="n">
        <v>1762.3</v>
      </c>
      <c r="V152" s="7" t="n">
        <v>1790.5</v>
      </c>
      <c r="X152" s="7" t="n">
        <v>2129.7</v>
      </c>
      <c r="Z152" s="7" t="n">
        <v>912.6</v>
      </c>
      <c r="AB152" s="7" t="n">
        <v>18132.7</v>
      </c>
    </row>
    <row r="153">
      <c r="A153" s="4" t="inlineStr">
        <is>
          <t>折旧费</t>
        </is>
      </c>
      <c r="D153" s="7" t="n">
        <v>8428.700000000001</v>
      </c>
      <c r="F153" s="7" t="n">
        <v>7134</v>
      </c>
      <c r="H153" s="7" t="n">
        <v>7013.6</v>
      </c>
      <c r="J153" s="7" t="n">
        <v>12578.3</v>
      </c>
      <c r="L153" s="7" t="n">
        <v>17451.8</v>
      </c>
      <c r="N153" s="7" t="n">
        <v>15233.1</v>
      </c>
      <c r="P153" s="7" t="n">
        <v>13463.3</v>
      </c>
      <c r="R153" s="7" t="n">
        <v>15573.6</v>
      </c>
      <c r="T153" s="7" t="n">
        <v>14193.4</v>
      </c>
      <c r="V153" s="7" t="n">
        <v>15016.2</v>
      </c>
      <c r="X153" s="7" t="n">
        <v>12912.4</v>
      </c>
      <c r="Z153" s="7" t="n">
        <v>15124</v>
      </c>
      <c r="AB153" s="7" t="n">
        <v>154122.4</v>
      </c>
    </row>
    <row r="154">
      <c r="A154" s="4" t="inlineStr">
        <is>
          <t>认证费</t>
        </is>
      </c>
      <c r="D154" s="7" t="n">
        <v>1238.5</v>
      </c>
      <c r="F154" s="7" t="n">
        <v>1215.2</v>
      </c>
      <c r="H154" s="7" t="n">
        <v>1639.1</v>
      </c>
      <c r="J154" s="7" t="n">
        <v>2468.6</v>
      </c>
      <c r="L154" s="7" t="n">
        <v>1934.5</v>
      </c>
      <c r="N154" s="7" t="n">
        <v>2531.8</v>
      </c>
      <c r="P154" s="7" t="n">
        <v>1730.3</v>
      </c>
      <c r="R154" s="7" t="n">
        <v>2186.6</v>
      </c>
      <c r="T154" s="7" t="n">
        <v>3194.7</v>
      </c>
      <c r="V154" s="7" t="n">
        <v>1968</v>
      </c>
      <c r="X154" s="7" t="n">
        <v>3004.8</v>
      </c>
      <c r="Z154" s="7" t="n">
        <v>2083</v>
      </c>
      <c r="AB154" s="7" t="n">
        <v>25195.1</v>
      </c>
    </row>
    <row r="155">
      <c r="A155" s="4" t="inlineStr">
        <is>
          <t>样品费</t>
        </is>
      </c>
      <c r="D155" s="7" t="n">
        <v>4137.5</v>
      </c>
      <c r="F155" s="7" t="n">
        <v>2873.8</v>
      </c>
      <c r="H155" s="7" t="n">
        <v>6043.6</v>
      </c>
      <c r="J155" s="7" t="n">
        <v>6827.4</v>
      </c>
      <c r="L155" s="7" t="n">
        <v>6498.9</v>
      </c>
      <c r="N155" s="7" t="n">
        <v>7235.6</v>
      </c>
      <c r="P155" s="7" t="n">
        <v>6398.6</v>
      </c>
      <c r="R155" s="7" t="n">
        <v>9978.5</v>
      </c>
      <c r="T155" s="7" t="n">
        <v>10349.9</v>
      </c>
      <c r="V155" s="7" t="n">
        <v>8106.3</v>
      </c>
      <c r="X155" s="7" t="n">
        <v>7509.5</v>
      </c>
      <c r="Z155" s="7" t="n">
        <v>7532</v>
      </c>
      <c r="AB155" s="7" t="n">
        <v>83491.60000000001</v>
      </c>
    </row>
    <row r="156">
      <c r="A156" s="4" t="inlineStr">
        <is>
          <t>劳务费</t>
        </is>
      </c>
      <c r="D156" s="7" t="n">
        <v>1199.6</v>
      </c>
      <c r="F156" s="7" t="n">
        <v>1421.7</v>
      </c>
      <c r="H156" s="7" t="n">
        <v>1293.8</v>
      </c>
      <c r="J156" s="7" t="n">
        <v>2545.5</v>
      </c>
      <c r="L156" s="7" t="n">
        <v>3570.4</v>
      </c>
      <c r="N156" s="7" t="n">
        <v>3511.4</v>
      </c>
      <c r="P156" s="7" t="n">
        <v>2357.8</v>
      </c>
      <c r="R156" s="7" t="n">
        <v>2121.7</v>
      </c>
      <c r="T156" s="7" t="n">
        <v>3057.5</v>
      </c>
      <c r="V156" s="7" t="n">
        <v>3202.5</v>
      </c>
      <c r="X156" s="7" t="n">
        <v>2181.8</v>
      </c>
      <c r="Z156" s="7" t="n">
        <v>2388.4</v>
      </c>
      <c r="AB156" s="7" t="n">
        <v>28852.1</v>
      </c>
    </row>
    <row r="157">
      <c r="A157" s="4" t="inlineStr">
        <is>
          <t>销售佣金</t>
        </is>
      </c>
      <c r="D157" s="7" t="n">
        <v>711.8</v>
      </c>
      <c r="F157" s="7" t="n">
        <v>438.3</v>
      </c>
      <c r="H157" s="7" t="n">
        <v>975.9</v>
      </c>
      <c r="J157" s="7" t="n">
        <v>1223.6</v>
      </c>
      <c r="L157" s="7" t="n">
        <v>1676.4</v>
      </c>
      <c r="N157" s="7" t="n">
        <v>1813.7</v>
      </c>
      <c r="P157" s="7" t="n">
        <v>1415.2</v>
      </c>
      <c r="R157" s="7" t="n">
        <v>1530.7</v>
      </c>
      <c r="T157" s="7" t="n">
        <v>1260.7</v>
      </c>
      <c r="V157" s="7" t="n">
        <v>1338.2</v>
      </c>
      <c r="X157" s="7" t="n">
        <v>1794</v>
      </c>
      <c r="Z157" s="7" t="n">
        <v>823.5</v>
      </c>
      <c r="AB157" s="7" t="n">
        <v>15002</v>
      </c>
    </row>
    <row r="158">
      <c r="A158" s="4" t="inlineStr">
        <is>
          <t>检测费</t>
        </is>
      </c>
      <c r="D158" s="7" t="n">
        <v>128.3</v>
      </c>
      <c r="F158" s="7" t="n">
        <v>112</v>
      </c>
      <c r="H158" s="7" t="n">
        <v>157.4</v>
      </c>
      <c r="J158" s="7" t="n">
        <v>157.7</v>
      </c>
      <c r="L158" s="7" t="n">
        <v>315.1</v>
      </c>
      <c r="N158" s="7" t="n">
        <v>349.9</v>
      </c>
      <c r="P158" s="7" t="n">
        <v>158.1</v>
      </c>
      <c r="R158" s="7" t="n">
        <v>238.3</v>
      </c>
      <c r="T158" s="7" t="n">
        <v>304.1</v>
      </c>
      <c r="V158" s="7" t="n">
        <v>182</v>
      </c>
      <c r="X158" s="7" t="n">
        <v>247.8</v>
      </c>
      <c r="Z158" s="7" t="n">
        <v>194.8</v>
      </c>
      <c r="AB158" s="7" t="n">
        <v>2545.5</v>
      </c>
    </row>
    <row r="159">
      <c r="A159" s="4" t="inlineStr">
        <is>
          <t>质量赔偿</t>
        </is>
      </c>
      <c r="D159" s="7" t="n">
        <v>432.1</v>
      </c>
      <c r="F159" s="7" t="n">
        <v>494.7</v>
      </c>
      <c r="H159" s="7" t="n">
        <v>502.5</v>
      </c>
      <c r="J159" s="7" t="n">
        <v>862.9</v>
      </c>
      <c r="L159" s="7" t="n">
        <v>911.4</v>
      </c>
      <c r="N159" s="7" t="n">
        <v>1252.9</v>
      </c>
      <c r="P159" s="7" t="n">
        <v>952</v>
      </c>
      <c r="R159" s="7" t="n">
        <v>1144.3</v>
      </c>
      <c r="T159" s="7" t="n">
        <v>1116.9</v>
      </c>
      <c r="V159" s="7" t="n">
        <v>776.7</v>
      </c>
      <c r="X159" s="7" t="n">
        <v>1234</v>
      </c>
      <c r="Z159" s="7" t="n">
        <v>746.4</v>
      </c>
      <c r="AB159" s="7" t="n">
        <v>10426.8</v>
      </c>
    </row>
    <row r="160">
      <c r="A160" s="4" t="inlineStr">
        <is>
          <t>保险费</t>
        </is>
      </c>
      <c r="D160" s="7" t="n">
        <v>956.2</v>
      </c>
      <c r="F160" s="7" t="n">
        <v>542.5</v>
      </c>
      <c r="H160" s="7" t="n">
        <v>995</v>
      </c>
      <c r="J160" s="7" t="n">
        <v>1592.9</v>
      </c>
      <c r="L160" s="7" t="n">
        <v>1465.6</v>
      </c>
      <c r="N160" s="7" t="n">
        <v>1662.6</v>
      </c>
      <c r="P160" s="7" t="n">
        <v>1791.3</v>
      </c>
      <c r="R160" s="7" t="n">
        <v>1326.2</v>
      </c>
      <c r="T160" s="7" t="n">
        <v>1811.1</v>
      </c>
      <c r="V160" s="7" t="n">
        <v>1467.6</v>
      </c>
      <c r="X160" s="7" t="n">
        <v>2098.5</v>
      </c>
      <c r="Z160" s="7" t="n">
        <v>1155</v>
      </c>
      <c r="AB160" s="7" t="n">
        <v>16864.5</v>
      </c>
    </row>
    <row r="161">
      <c r="A161" s="4" t="inlineStr">
        <is>
          <t>清洁费</t>
        </is>
      </c>
      <c r="D161" s="7" t="n">
        <v>500.7</v>
      </c>
      <c r="F161" s="7" t="n">
        <v>407.5</v>
      </c>
      <c r="H161" s="7" t="n">
        <v>1000.8</v>
      </c>
      <c r="J161" s="7" t="n">
        <v>864.1</v>
      </c>
      <c r="L161" s="7" t="n">
        <v>1640.9</v>
      </c>
      <c r="N161" s="7" t="n">
        <v>1360.7</v>
      </c>
      <c r="P161" s="7" t="n">
        <v>989.5</v>
      </c>
      <c r="R161" s="7" t="n">
        <v>1680.7</v>
      </c>
      <c r="T161" s="7" t="n">
        <v>1656.7</v>
      </c>
      <c r="V161" s="7" t="n">
        <v>994.7</v>
      </c>
      <c r="X161" s="7" t="n">
        <v>947.4</v>
      </c>
      <c r="Z161" s="7" t="n">
        <v>767.4</v>
      </c>
      <c r="AB161" s="7" t="n">
        <v>12811.1</v>
      </c>
    </row>
    <row r="162">
      <c r="A162" s="4" t="inlineStr">
        <is>
          <t>低值易耗品</t>
        </is>
      </c>
      <c r="D162" s="7" t="n">
        <v>863</v>
      </c>
      <c r="F162" s="7" t="n">
        <v>454.8</v>
      </c>
      <c r="H162" s="7" t="n">
        <v>1165.3</v>
      </c>
      <c r="J162" s="7" t="n">
        <v>1735</v>
      </c>
      <c r="L162" s="7" t="n">
        <v>1687.7</v>
      </c>
      <c r="N162" s="7" t="n">
        <v>1815.4</v>
      </c>
      <c r="P162" s="7" t="n">
        <v>1323</v>
      </c>
      <c r="R162" s="7" t="n">
        <v>1239.9</v>
      </c>
      <c r="T162" s="7" t="n">
        <v>1849.2</v>
      </c>
      <c r="V162" s="7" t="n">
        <v>1786.5</v>
      </c>
      <c r="X162" s="7" t="n">
        <v>1264.5</v>
      </c>
      <c r="Z162" s="7" t="n">
        <v>788.3</v>
      </c>
      <c r="AB162" s="7" t="n">
        <v>15972.6</v>
      </c>
    </row>
    <row r="163">
      <c r="A163" s="4" t="inlineStr">
        <is>
          <t>物料消耗</t>
        </is>
      </c>
      <c r="D163" s="7" t="n">
        <v>33.2</v>
      </c>
      <c r="F163" s="7" t="n">
        <v>20.3</v>
      </c>
      <c r="H163" s="7" t="n">
        <v>44.9</v>
      </c>
      <c r="J163" s="7" t="n">
        <v>41.8</v>
      </c>
      <c r="L163" s="7" t="n">
        <v>57.5</v>
      </c>
      <c r="N163" s="7" t="n">
        <v>61.9</v>
      </c>
      <c r="P163" s="7" t="n">
        <v>43.5</v>
      </c>
      <c r="R163" s="7" t="n">
        <v>72</v>
      </c>
      <c r="T163" s="7" t="n">
        <v>82.90000000000001</v>
      </c>
      <c r="V163" s="7" t="n">
        <v>49.7</v>
      </c>
      <c r="X163" s="7" t="n">
        <v>62.3</v>
      </c>
      <c r="Z163" s="7" t="n">
        <v>56.7</v>
      </c>
      <c r="AB163" s="7" t="n">
        <v>626.7</v>
      </c>
    </row>
    <row r="164">
      <c r="A164" s="4" t="inlineStr">
        <is>
          <t>盘盈盘亏</t>
        </is>
      </c>
      <c r="D164" s="7" t="n">
        <v>513.7</v>
      </c>
      <c r="F164" s="7" t="n">
        <v>340.7</v>
      </c>
      <c r="H164" s="7" t="n">
        <v>638.9</v>
      </c>
      <c r="J164" s="7" t="n">
        <v>820.3</v>
      </c>
      <c r="L164" s="7" t="n">
        <v>1055</v>
      </c>
      <c r="N164" s="7" t="n">
        <v>981.3</v>
      </c>
      <c r="P164" s="7" t="n">
        <v>645.2</v>
      </c>
      <c r="R164" s="7" t="n">
        <v>770.2</v>
      </c>
      <c r="T164" s="7" t="n">
        <v>1103.6</v>
      </c>
      <c r="V164" s="7" t="n">
        <v>1077.1</v>
      </c>
      <c r="X164" s="7" t="n">
        <v>827.3</v>
      </c>
      <c r="Z164" s="7" t="n">
        <v>631.4</v>
      </c>
      <c r="AB164" s="7" t="n">
        <v>9404.700000000001</v>
      </c>
    </row>
    <row r="165">
      <c r="A165" s="4" t="inlineStr">
        <is>
          <t>平台服务费</t>
        </is>
      </c>
      <c r="D165" s="7" t="n">
        <v>967.9</v>
      </c>
      <c r="F165" s="7" t="n">
        <v>577.3</v>
      </c>
      <c r="H165" s="7" t="n">
        <v>1097.1</v>
      </c>
      <c r="J165" s="7" t="n">
        <v>1752</v>
      </c>
      <c r="L165" s="7" t="n">
        <v>1740.5</v>
      </c>
      <c r="N165" s="7" t="n">
        <v>2149.8</v>
      </c>
      <c r="P165" s="7" t="n">
        <v>1263.6</v>
      </c>
      <c r="R165" s="7" t="n">
        <v>1842.4</v>
      </c>
      <c r="T165" s="7" t="n">
        <v>1976.4</v>
      </c>
      <c r="V165" s="7" t="n">
        <v>1571.4</v>
      </c>
      <c r="X165" s="7" t="n">
        <v>1697.5</v>
      </c>
      <c r="Z165" s="7" t="n">
        <v>1082.1</v>
      </c>
      <c r="AB165" s="7" t="n">
        <v>17718</v>
      </c>
    </row>
    <row r="166">
      <c r="A166" s="4" t="inlineStr">
        <is>
          <t>无形资产摊销</t>
        </is>
      </c>
      <c r="D166" s="7" t="n">
        <v>749.5</v>
      </c>
      <c r="F166" s="7" t="n">
        <v>682.8</v>
      </c>
      <c r="H166" s="7" t="n">
        <v>669.3</v>
      </c>
      <c r="J166" s="7" t="n">
        <v>1071</v>
      </c>
      <c r="L166" s="7" t="n">
        <v>1227.1</v>
      </c>
      <c r="N166" s="7" t="n">
        <v>1710.3</v>
      </c>
      <c r="P166" s="7" t="n">
        <v>1353.8</v>
      </c>
      <c r="R166" s="7" t="n">
        <v>1366</v>
      </c>
      <c r="T166" s="7" t="n">
        <v>1931</v>
      </c>
      <c r="V166" s="7" t="n">
        <v>1545.9</v>
      </c>
      <c r="X166" s="7" t="n">
        <v>1982.2</v>
      </c>
      <c r="Z166" s="7" t="n">
        <v>1000.7</v>
      </c>
      <c r="AB166" s="7" t="n">
        <v>15289.6</v>
      </c>
    </row>
    <row r="167">
      <c r="A167" s="4" t="inlineStr">
        <is>
          <t>研发材料</t>
        </is>
      </c>
      <c r="D167" s="7" t="n">
        <v>34.6</v>
      </c>
      <c r="F167" s="7" t="n">
        <v>29.8</v>
      </c>
      <c r="H167" s="7" t="n">
        <v>56.2</v>
      </c>
      <c r="J167" s="7" t="n">
        <v>64.59999999999999</v>
      </c>
      <c r="L167" s="7" t="n">
        <v>66.90000000000001</v>
      </c>
      <c r="N167" s="7" t="n">
        <v>98.09999999999999</v>
      </c>
      <c r="P167" s="7" t="n">
        <v>62.7</v>
      </c>
      <c r="R167" s="7" t="n">
        <v>96.09999999999999</v>
      </c>
      <c r="T167" s="7" t="n">
        <v>65.90000000000001</v>
      </c>
      <c r="V167" s="7" t="n">
        <v>66.90000000000001</v>
      </c>
      <c r="X167" s="7" t="n">
        <v>57.8</v>
      </c>
      <c r="Z167" s="7" t="n">
        <v>52</v>
      </c>
      <c r="AB167" s="7" t="n">
        <v>751.6</v>
      </c>
    </row>
    <row r="168">
      <c r="A168" s="4" t="inlineStr">
        <is>
          <t>项目名称</t>
        </is>
      </c>
      <c r="D168" s="7" t="n">
        <v>783.2</v>
      </c>
      <c r="F168" s="7" t="n">
        <v>643.1</v>
      </c>
      <c r="H168" s="7" t="n">
        <v>771.1</v>
      </c>
      <c r="J168" s="7" t="n">
        <v>1022.7</v>
      </c>
      <c r="L168" s="7" t="n">
        <v>1483.4</v>
      </c>
      <c r="N168" s="7" t="n">
        <v>1416.7</v>
      </c>
      <c r="P168" s="7" t="n">
        <v>804.3</v>
      </c>
      <c r="R168" s="7" t="n">
        <v>1109</v>
      </c>
      <c r="T168" s="7" t="n">
        <v>1410.6</v>
      </c>
      <c r="V168" s="7" t="n">
        <v>1435.3</v>
      </c>
      <c r="X168" s="7" t="n">
        <v>1546.3</v>
      </c>
      <c r="Z168" s="7" t="n">
        <v>671.2</v>
      </c>
      <c r="AB168" s="7" t="n">
        <v>13096.9</v>
      </c>
    </row>
    <row r="169">
      <c r="A169" s="4" t="inlineStr">
        <is>
          <t>研发费</t>
        </is>
      </c>
      <c r="D169" s="7" t="n">
        <v>1216.3</v>
      </c>
      <c r="F169" s="7" t="n">
        <v>1148.5</v>
      </c>
      <c r="H169" s="7" t="n">
        <v>1270.4</v>
      </c>
      <c r="J169" s="7" t="n">
        <v>1878.9</v>
      </c>
      <c r="L169" s="7" t="n">
        <v>2194.2</v>
      </c>
      <c r="N169" s="7" t="n">
        <v>3159.4</v>
      </c>
      <c r="P169" s="7" t="n">
        <v>2023.7</v>
      </c>
      <c r="R169" s="7" t="n">
        <v>3176</v>
      </c>
      <c r="T169" s="7" t="n">
        <v>2421.1</v>
      </c>
      <c r="V169" s="7" t="n">
        <v>1733.5</v>
      </c>
      <c r="X169" s="7" t="n">
        <v>1957.9</v>
      </c>
      <c r="Z169" s="7" t="n">
        <v>1548.8</v>
      </c>
      <c r="AB169" s="7" t="n">
        <v>23728.7</v>
      </c>
    </row>
    <row r="170">
      <c r="A170" s="4" t="inlineStr">
        <is>
          <t>残保金</t>
        </is>
      </c>
      <c r="D170" s="7" t="n">
        <v>572.5</v>
      </c>
      <c r="F170" s="7" t="n">
        <v>371.9</v>
      </c>
      <c r="H170" s="7" t="n">
        <v>664.5</v>
      </c>
      <c r="J170" s="7" t="n">
        <v>1096.3</v>
      </c>
      <c r="L170" s="7" t="n">
        <v>1486.8</v>
      </c>
      <c r="N170" s="7" t="n">
        <v>1430</v>
      </c>
      <c r="P170" s="7" t="n">
        <v>756.3</v>
      </c>
      <c r="R170" s="7" t="n">
        <v>1268.3</v>
      </c>
      <c r="T170" s="7" t="n">
        <v>1026.4</v>
      </c>
      <c r="V170" s="7" t="n">
        <v>1188</v>
      </c>
      <c r="X170" s="7" t="n">
        <v>1308.6</v>
      </c>
      <c r="Z170" s="7" t="n">
        <v>536.3</v>
      </c>
      <c r="AB170" s="7" t="n">
        <v>11705.9</v>
      </c>
    </row>
    <row r="171">
      <c r="A171" s="4" t="inlineStr">
        <is>
          <t>环保费</t>
        </is>
      </c>
      <c r="D171" s="7" t="n">
        <v>683.7</v>
      </c>
      <c r="F171" s="7" t="n">
        <v>544.4</v>
      </c>
      <c r="H171" s="7" t="n">
        <v>1217.2</v>
      </c>
      <c r="J171" s="7" t="n">
        <v>1725.1</v>
      </c>
      <c r="L171" s="7" t="n">
        <v>1675</v>
      </c>
      <c r="N171" s="7" t="n">
        <v>2225.2</v>
      </c>
      <c r="P171" s="7" t="n">
        <v>1375.4</v>
      </c>
      <c r="R171" s="7" t="n">
        <v>1832.7</v>
      </c>
      <c r="T171" s="7" t="n">
        <v>1629.8</v>
      </c>
      <c r="V171" s="7" t="n">
        <v>1725.7</v>
      </c>
      <c r="X171" s="7" t="n">
        <v>1649.1</v>
      </c>
      <c r="Z171" s="7" t="n">
        <v>1395.5</v>
      </c>
      <c r="AB171" s="7" t="n">
        <v>17678.8</v>
      </c>
    </row>
    <row r="172">
      <c r="A172" s="4" t="inlineStr">
        <is>
          <t>报废损失</t>
        </is>
      </c>
      <c r="D172" s="7" t="n">
        <v>785.9</v>
      </c>
      <c r="F172" s="7" t="n">
        <v>649</v>
      </c>
      <c r="H172" s="7" t="n">
        <v>561.4</v>
      </c>
      <c r="J172" s="7" t="n">
        <v>991.4</v>
      </c>
      <c r="L172" s="7" t="n">
        <v>1462.2</v>
      </c>
      <c r="N172" s="7" t="n">
        <v>977</v>
      </c>
      <c r="P172" s="7" t="n">
        <v>751.6</v>
      </c>
      <c r="R172" s="7" t="n">
        <v>882.6</v>
      </c>
      <c r="T172" s="7" t="n">
        <v>987.5</v>
      </c>
      <c r="V172" s="7" t="n">
        <v>1018.7</v>
      </c>
      <c r="X172" s="7" t="n">
        <v>1382</v>
      </c>
      <c r="Z172" s="7" t="n">
        <v>846.2</v>
      </c>
      <c r="AB172" s="7" t="n">
        <v>11295.5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146463</v>
      </c>
      <c r="D173" s="7" t="n">
        <v>52061.5</v>
      </c>
      <c r="E173" s="7" t="n">
        <v>159268.6</v>
      </c>
      <c r="F173" s="7" t="n">
        <v>61812.9</v>
      </c>
      <c r="G173" s="7" t="n">
        <v>173541.4</v>
      </c>
      <c r="H173" s="7" t="n">
        <v>176917.3</v>
      </c>
      <c r="I173" s="7" t="n">
        <v>183599.9</v>
      </c>
      <c r="J173" s="7" t="n">
        <v>131812</v>
      </c>
      <c r="K173" s="7" t="n">
        <v>156276.4</v>
      </c>
      <c r="L173" s="7" t="n">
        <v>242739</v>
      </c>
      <c r="M173" s="7" t="n">
        <v>151262</v>
      </c>
      <c r="N173" s="7" t="n">
        <v>275855.1</v>
      </c>
      <c r="O173" s="7" t="n">
        <v>149621.5</v>
      </c>
      <c r="P173" s="7" t="n">
        <v>284492</v>
      </c>
      <c r="Q173" s="7" t="n">
        <v>165884</v>
      </c>
      <c r="R173" s="7" t="n">
        <v>221492.5</v>
      </c>
      <c r="S173" s="7" t="n">
        <v>149043.7</v>
      </c>
      <c r="T173" s="7" t="n">
        <v>104247.6</v>
      </c>
      <c r="U173" s="7" t="n">
        <v>186088.1</v>
      </c>
      <c r="V173" s="7" t="n">
        <v>232850.2</v>
      </c>
      <c r="W173" s="7" t="n">
        <v>180606</v>
      </c>
      <c r="X173" s="7" t="n">
        <v>72885.5</v>
      </c>
      <c r="Y173" s="7" t="n">
        <v>187392.6</v>
      </c>
      <c r="Z173" s="7" t="n">
        <v>157195.5</v>
      </c>
      <c r="AA173" s="8" t="n">
        <v>1989047.2</v>
      </c>
      <c r="AB173" s="8" t="n">
        <v>2014361.1</v>
      </c>
    </row>
    <row r="174">
      <c r="A174" s="4" t="inlineStr">
        <is>
          <t>职工薪酬</t>
        </is>
      </c>
      <c r="D174" s="7" t="n">
        <v>26645.1</v>
      </c>
      <c r="F174" s="7" t="n">
        <v>25045.1</v>
      </c>
      <c r="H174" s="7" t="n">
        <v>86932.7</v>
      </c>
      <c r="J174" s="7" t="n">
        <v>76510.39999999999</v>
      </c>
      <c r="L174" s="7" t="n">
        <v>137170.2</v>
      </c>
      <c r="N174" s="7" t="n">
        <v>153642.7</v>
      </c>
      <c r="P174" s="7" t="n">
        <v>140045.5</v>
      </c>
      <c r="R174" s="7" t="n">
        <v>96578.8</v>
      </c>
      <c r="T174" s="7" t="n">
        <v>59971.3</v>
      </c>
      <c r="V174" s="7" t="n">
        <v>96482.2</v>
      </c>
      <c r="X174" s="7" t="n">
        <v>28565.5</v>
      </c>
      <c r="Z174" s="7" t="n">
        <v>75209</v>
      </c>
      <c r="AB174" s="7" t="n">
        <v>1002798.5</v>
      </c>
    </row>
    <row r="175">
      <c r="A175" s="4" t="inlineStr">
        <is>
          <t>工资</t>
        </is>
      </c>
      <c r="D175" s="7" t="n">
        <v>13708.9</v>
      </c>
      <c r="F175" s="7" t="n">
        <v>13901.9</v>
      </c>
      <c r="H175" s="7" t="n">
        <v>54938.6</v>
      </c>
      <c r="J175" s="7" t="n">
        <v>48390.4</v>
      </c>
      <c r="L175" s="7" t="n">
        <v>79789.89999999999</v>
      </c>
      <c r="N175" s="7" t="n">
        <v>94438.5</v>
      </c>
      <c r="P175" s="7" t="n">
        <v>70286.7</v>
      </c>
      <c r="R175" s="7" t="n">
        <v>49623.8</v>
      </c>
      <c r="T175" s="7" t="n">
        <v>40126.8</v>
      </c>
      <c r="V175" s="7" t="n">
        <v>51424.5</v>
      </c>
      <c r="X175" s="7" t="n">
        <v>15478.2</v>
      </c>
      <c r="Z175" s="7" t="n">
        <v>39126.6</v>
      </c>
      <c r="AB175" s="7" t="n">
        <v>571234.8</v>
      </c>
    </row>
    <row r="176">
      <c r="A176" s="4" t="inlineStr">
        <is>
          <t>奖金及提成</t>
        </is>
      </c>
      <c r="D176" s="7" t="n">
        <v>6201.1</v>
      </c>
      <c r="F176" s="7" t="n">
        <v>5023.8</v>
      </c>
      <c r="H176" s="7" t="n">
        <v>13493.9</v>
      </c>
      <c r="J176" s="7" t="n">
        <v>10877.1</v>
      </c>
      <c r="L176" s="7" t="n">
        <v>25592.3</v>
      </c>
      <c r="N176" s="7" t="n">
        <v>28043.1</v>
      </c>
      <c r="P176" s="7" t="n">
        <v>34567.9</v>
      </c>
      <c r="R176" s="7" t="n">
        <v>25611</v>
      </c>
      <c r="T176" s="7" t="n">
        <v>9247.799999999999</v>
      </c>
      <c r="V176" s="7" t="n">
        <v>22642.7</v>
      </c>
      <c r="X176" s="7" t="n">
        <v>5775.4</v>
      </c>
      <c r="Z176" s="7" t="n">
        <v>15762.1</v>
      </c>
      <c r="AB176" s="7" t="n">
        <v>202838.2</v>
      </c>
    </row>
    <row r="177">
      <c r="A177" s="4" t="inlineStr">
        <is>
          <t>社保</t>
        </is>
      </c>
      <c r="D177" s="7" t="n">
        <v>5199.8</v>
      </c>
      <c r="F177" s="7" t="n">
        <v>4110.7</v>
      </c>
      <c r="H177" s="7" t="n">
        <v>12995.4</v>
      </c>
      <c r="J177" s="7" t="n">
        <v>13550.7</v>
      </c>
      <c r="L177" s="7" t="n">
        <v>23705.2</v>
      </c>
      <c r="N177" s="7" t="n">
        <v>22246.7</v>
      </c>
      <c r="P177" s="7" t="n">
        <v>26583.2</v>
      </c>
      <c r="R177" s="7" t="n">
        <v>14401.8</v>
      </c>
      <c r="T177" s="7" t="n">
        <v>7228.1</v>
      </c>
      <c r="V177" s="7" t="n">
        <v>14874.8</v>
      </c>
      <c r="X177" s="7" t="n">
        <v>5156.1</v>
      </c>
      <c r="Z177" s="7" t="n">
        <v>15366.2</v>
      </c>
      <c r="AB177" s="7" t="n">
        <v>165418.7</v>
      </c>
    </row>
    <row r="178">
      <c r="A178" s="4" t="inlineStr">
        <is>
          <t>养老</t>
        </is>
      </c>
      <c r="D178" s="7" t="n">
        <v>174.5</v>
      </c>
      <c r="F178" s="7" t="n">
        <v>322.1</v>
      </c>
      <c r="H178" s="7" t="n">
        <v>862.8</v>
      </c>
      <c r="J178" s="7" t="n">
        <v>473.2</v>
      </c>
      <c r="L178" s="7" t="n">
        <v>1276.1</v>
      </c>
      <c r="N178" s="7" t="n">
        <v>952.6</v>
      </c>
      <c r="P178" s="7" t="n">
        <v>867.4</v>
      </c>
      <c r="R178" s="7" t="n">
        <v>1033.2</v>
      </c>
      <c r="T178" s="7" t="n">
        <v>430.6</v>
      </c>
      <c r="V178" s="7" t="n">
        <v>850.8</v>
      </c>
      <c r="X178" s="7" t="n">
        <v>389.3</v>
      </c>
      <c r="Z178" s="7" t="n">
        <v>501.6</v>
      </c>
      <c r="AB178" s="7" t="n">
        <v>8134.2</v>
      </c>
    </row>
    <row r="179">
      <c r="A179" s="4" t="inlineStr">
        <is>
          <t>医疗</t>
        </is>
      </c>
      <c r="D179" s="7" t="n">
        <v>116.4</v>
      </c>
      <c r="F179" s="7" t="n">
        <v>175.1</v>
      </c>
      <c r="H179" s="7" t="n">
        <v>502.9</v>
      </c>
      <c r="J179" s="7" t="n">
        <v>273</v>
      </c>
      <c r="L179" s="7" t="n">
        <v>593.1</v>
      </c>
      <c r="N179" s="7" t="n">
        <v>592.1</v>
      </c>
      <c r="P179" s="7" t="n">
        <v>876.7</v>
      </c>
      <c r="R179" s="7" t="n">
        <v>713.9</v>
      </c>
      <c r="T179" s="7" t="n">
        <v>281.3</v>
      </c>
      <c r="V179" s="7" t="n">
        <v>577.4</v>
      </c>
      <c r="X179" s="7" t="n">
        <v>194.2</v>
      </c>
      <c r="Z179" s="7" t="n">
        <v>469.9</v>
      </c>
      <c r="AB179" s="7" t="n">
        <v>5366</v>
      </c>
    </row>
    <row r="180">
      <c r="A180" s="4" t="inlineStr">
        <is>
          <t>工伤</t>
        </is>
      </c>
      <c r="D180" s="7" t="n">
        <v>180.1</v>
      </c>
      <c r="F180" s="7" t="n">
        <v>206.1</v>
      </c>
      <c r="H180" s="7" t="n">
        <v>681.1</v>
      </c>
      <c r="J180" s="7" t="n">
        <v>497.9</v>
      </c>
      <c r="L180" s="7" t="n">
        <v>1075</v>
      </c>
      <c r="N180" s="7" t="n">
        <v>796.7</v>
      </c>
      <c r="P180" s="7" t="n">
        <v>723</v>
      </c>
      <c r="R180" s="7" t="n">
        <v>554.9</v>
      </c>
      <c r="T180" s="7" t="n">
        <v>311.2</v>
      </c>
      <c r="V180" s="7" t="n">
        <v>598</v>
      </c>
      <c r="X180" s="7" t="n">
        <v>192.5</v>
      </c>
      <c r="Z180" s="7" t="n">
        <v>456.3</v>
      </c>
      <c r="AB180" s="7" t="n">
        <v>6272.8</v>
      </c>
    </row>
    <row r="181">
      <c r="A181" s="4" t="inlineStr">
        <is>
          <t>失业</t>
        </is>
      </c>
      <c r="D181" s="7" t="n">
        <v>239.2</v>
      </c>
      <c r="F181" s="7" t="n">
        <v>235.1</v>
      </c>
      <c r="H181" s="7" t="n">
        <v>547.4</v>
      </c>
      <c r="J181" s="7" t="n">
        <v>611.3</v>
      </c>
      <c r="L181" s="7" t="n">
        <v>1212</v>
      </c>
      <c r="N181" s="7" t="n">
        <v>965.9</v>
      </c>
      <c r="P181" s="7" t="n">
        <v>952.7</v>
      </c>
      <c r="R181" s="7" t="n">
        <v>1055.2</v>
      </c>
      <c r="T181" s="7" t="n">
        <v>385.2</v>
      </c>
      <c r="V181" s="7" t="n">
        <v>826.5</v>
      </c>
      <c r="X181" s="7" t="n">
        <v>313.6</v>
      </c>
      <c r="Z181" s="7" t="n">
        <v>729</v>
      </c>
      <c r="AB181" s="7" t="n">
        <v>8073.1</v>
      </c>
    </row>
    <row r="182">
      <c r="A182" s="4" t="inlineStr">
        <is>
          <t>生育</t>
        </is>
      </c>
      <c r="D182" s="7" t="n">
        <v>32.2</v>
      </c>
      <c r="F182" s="7" t="n">
        <v>42.8</v>
      </c>
      <c r="H182" s="7" t="n">
        <v>107.8</v>
      </c>
      <c r="J182" s="7" t="n">
        <v>71.90000000000001</v>
      </c>
      <c r="L182" s="7" t="n">
        <v>186.6</v>
      </c>
      <c r="N182" s="7" t="n">
        <v>143.7</v>
      </c>
      <c r="P182" s="7" t="n">
        <v>156.3</v>
      </c>
      <c r="R182" s="7" t="n">
        <v>101.5</v>
      </c>
      <c r="T182" s="7" t="n">
        <v>52.3</v>
      </c>
      <c r="V182" s="7" t="n">
        <v>178.4</v>
      </c>
      <c r="X182" s="7" t="n">
        <v>35.4</v>
      </c>
      <c r="Z182" s="7" t="n">
        <v>68.7</v>
      </c>
      <c r="AB182" s="7" t="n">
        <v>1177.6</v>
      </c>
    </row>
    <row r="183">
      <c r="A183" s="4" t="inlineStr">
        <is>
          <t>公积金</t>
        </is>
      </c>
      <c r="D183" s="7" t="n">
        <v>145.9</v>
      </c>
      <c r="F183" s="7" t="n">
        <v>155.1</v>
      </c>
      <c r="H183" s="7" t="n">
        <v>472.6</v>
      </c>
      <c r="J183" s="7" t="n">
        <v>306.1</v>
      </c>
      <c r="L183" s="7" t="n">
        <v>836.7</v>
      </c>
      <c r="N183" s="7" t="n">
        <v>1040.4</v>
      </c>
      <c r="P183" s="7" t="n">
        <v>935.3</v>
      </c>
      <c r="R183" s="7" t="n">
        <v>883.5</v>
      </c>
      <c r="T183" s="7" t="n">
        <v>340.6</v>
      </c>
      <c r="V183" s="7" t="n">
        <v>719.6</v>
      </c>
      <c r="X183" s="7" t="n">
        <v>192.5</v>
      </c>
      <c r="Z183" s="7" t="n">
        <v>374.6</v>
      </c>
      <c r="AB183" s="7" t="n">
        <v>6402.9</v>
      </c>
    </row>
    <row r="184">
      <c r="A184" s="4" t="inlineStr">
        <is>
          <t>工会经费</t>
        </is>
      </c>
      <c r="D184" s="7" t="n">
        <v>290.9</v>
      </c>
      <c r="F184" s="7" t="n">
        <v>429.6</v>
      </c>
      <c r="H184" s="7" t="n">
        <v>1141.2</v>
      </c>
      <c r="J184" s="7" t="n">
        <v>718.6</v>
      </c>
      <c r="L184" s="7" t="n">
        <v>1043.3</v>
      </c>
      <c r="N184" s="7" t="n">
        <v>1167.2</v>
      </c>
      <c r="P184" s="7" t="n">
        <v>1155.5</v>
      </c>
      <c r="R184" s="7" t="n">
        <v>1050</v>
      </c>
      <c r="T184" s="7" t="n">
        <v>639.1</v>
      </c>
      <c r="V184" s="7" t="n">
        <v>1214.9</v>
      </c>
      <c r="X184" s="7" t="n">
        <v>446.5</v>
      </c>
      <c r="Z184" s="7" t="n">
        <v>1092.2</v>
      </c>
      <c r="AB184" s="7" t="n">
        <v>10389</v>
      </c>
    </row>
    <row r="185">
      <c r="A185" s="4" t="inlineStr">
        <is>
          <t>职工教育经费</t>
        </is>
      </c>
      <c r="D185" s="7" t="n">
        <v>87.09999999999999</v>
      </c>
      <c r="F185" s="7" t="n">
        <v>95.8</v>
      </c>
      <c r="H185" s="7" t="n">
        <v>211.4</v>
      </c>
      <c r="J185" s="7" t="n">
        <v>202.8</v>
      </c>
      <c r="L185" s="7" t="n">
        <v>461.3</v>
      </c>
      <c r="N185" s="7" t="n">
        <v>574.8</v>
      </c>
      <c r="P185" s="7" t="n">
        <v>559.1</v>
      </c>
      <c r="R185" s="7" t="n">
        <v>453.8</v>
      </c>
      <c r="T185" s="7" t="n">
        <v>218.4</v>
      </c>
      <c r="V185" s="7" t="n">
        <v>415.5</v>
      </c>
      <c r="X185" s="7" t="n">
        <v>94.40000000000001</v>
      </c>
      <c r="Z185" s="7" t="n">
        <v>294.8</v>
      </c>
      <c r="AB185" s="7" t="n">
        <v>3669.2</v>
      </c>
    </row>
    <row r="186">
      <c r="A186" s="4" t="inlineStr">
        <is>
          <t>福利费</t>
        </is>
      </c>
      <c r="D186" s="7" t="n">
        <v>1011.4</v>
      </c>
      <c r="F186" s="7" t="n">
        <v>1328.2</v>
      </c>
      <c r="H186" s="7" t="n">
        <v>3679.6</v>
      </c>
      <c r="J186" s="7" t="n">
        <v>2464.7</v>
      </c>
      <c r="L186" s="7" t="n">
        <v>5741.5</v>
      </c>
      <c r="N186" s="7" t="n">
        <v>6132</v>
      </c>
      <c r="P186" s="7" t="n">
        <v>5957.8</v>
      </c>
      <c r="R186" s="7" t="n">
        <v>4554.9</v>
      </c>
      <c r="T186" s="7" t="n">
        <v>2170.5</v>
      </c>
      <c r="V186" s="7" t="n">
        <v>5190.2</v>
      </c>
      <c r="X186" s="7" t="n">
        <v>1422.4</v>
      </c>
      <c r="Z186" s="7" t="n">
        <v>3192.5</v>
      </c>
      <c r="AB186" s="7" t="n">
        <v>42845.7</v>
      </c>
    </row>
    <row r="187">
      <c r="A187" s="4" t="inlineStr">
        <is>
          <t>职工房租</t>
        </is>
      </c>
      <c r="D187" s="7" t="n">
        <v>84.2</v>
      </c>
      <c r="F187" s="7" t="n">
        <v>85.09999999999999</v>
      </c>
      <c r="H187" s="7" t="n">
        <v>287.7</v>
      </c>
      <c r="J187" s="7" t="n">
        <v>205.5</v>
      </c>
      <c r="L187" s="7" t="n">
        <v>341.6</v>
      </c>
      <c r="N187" s="7" t="n">
        <v>434.6</v>
      </c>
      <c r="P187" s="7" t="n">
        <v>350.6</v>
      </c>
      <c r="R187" s="7" t="n">
        <v>359</v>
      </c>
      <c r="T187" s="7" t="n">
        <v>134.6</v>
      </c>
      <c r="V187" s="7" t="n">
        <v>254.3</v>
      </c>
      <c r="X187" s="7" t="n">
        <v>102.6</v>
      </c>
      <c r="Z187" s="7" t="n">
        <v>246.3</v>
      </c>
      <c r="AB187" s="7" t="n">
        <v>2886.1</v>
      </c>
    </row>
    <row r="188">
      <c r="A188" s="4" t="inlineStr">
        <is>
          <t>水电物业费</t>
        </is>
      </c>
      <c r="D188" s="7" t="n">
        <v>126.9</v>
      </c>
      <c r="F188" s="7" t="n">
        <v>205.5</v>
      </c>
      <c r="H188" s="7" t="n">
        <v>401.7</v>
      </c>
      <c r="J188" s="7" t="n">
        <v>244.9</v>
      </c>
      <c r="L188" s="7" t="n">
        <v>629.9</v>
      </c>
      <c r="N188" s="7" t="n">
        <v>640.8</v>
      </c>
      <c r="P188" s="7" t="n">
        <v>778.6</v>
      </c>
      <c r="R188" s="7" t="n">
        <v>545.3</v>
      </c>
      <c r="T188" s="7" t="n">
        <v>260.1</v>
      </c>
      <c r="V188" s="7" t="n">
        <v>764.8</v>
      </c>
      <c r="X188" s="7" t="n">
        <v>219.7</v>
      </c>
      <c r="Z188" s="7" t="n">
        <v>351.9</v>
      </c>
      <c r="AB188" s="7" t="n">
        <v>5170.1</v>
      </c>
    </row>
    <row r="189">
      <c r="A189" s="4" t="inlineStr">
        <is>
          <t>员工餐</t>
        </is>
      </c>
      <c r="D189" s="7" t="n">
        <v>330.8</v>
      </c>
      <c r="F189" s="7" t="n">
        <v>436.7</v>
      </c>
      <c r="H189" s="7" t="n">
        <v>1102</v>
      </c>
      <c r="J189" s="7" t="n">
        <v>662.1</v>
      </c>
      <c r="L189" s="7" t="n">
        <v>1975.2</v>
      </c>
      <c r="N189" s="7" t="n">
        <v>1883.9</v>
      </c>
      <c r="P189" s="7" t="n">
        <v>1986.9</v>
      </c>
      <c r="R189" s="7" t="n">
        <v>1242.2</v>
      </c>
      <c r="T189" s="7" t="n">
        <v>578.5</v>
      </c>
      <c r="V189" s="7" t="n">
        <v>1746.5</v>
      </c>
      <c r="X189" s="7" t="n">
        <v>328.7</v>
      </c>
      <c r="Z189" s="7" t="n">
        <v>724.1</v>
      </c>
      <c r="AB189" s="7" t="n">
        <v>12997.6</v>
      </c>
    </row>
    <row r="190">
      <c r="A190" s="4" t="inlineStr">
        <is>
          <t>节日礼品</t>
        </is>
      </c>
      <c r="D190" s="7" t="n">
        <v>102</v>
      </c>
      <c r="F190" s="7" t="n">
        <v>84</v>
      </c>
      <c r="H190" s="7" t="n">
        <v>290.1</v>
      </c>
      <c r="J190" s="7" t="n">
        <v>234.4</v>
      </c>
      <c r="L190" s="7" t="n">
        <v>493.8</v>
      </c>
      <c r="N190" s="7" t="n">
        <v>358.6</v>
      </c>
      <c r="P190" s="7" t="n">
        <v>449.2</v>
      </c>
      <c r="R190" s="7" t="n">
        <v>374.1</v>
      </c>
      <c r="T190" s="7" t="n">
        <v>168.3</v>
      </c>
      <c r="V190" s="7" t="n">
        <v>525.2</v>
      </c>
      <c r="X190" s="7" t="n">
        <v>148.7</v>
      </c>
      <c r="Z190" s="7" t="n">
        <v>338.8</v>
      </c>
      <c r="AB190" s="7" t="n">
        <v>3567.2</v>
      </c>
    </row>
    <row r="191">
      <c r="A191" s="4" t="inlineStr">
        <is>
          <t>生日礼品</t>
        </is>
      </c>
      <c r="D191" s="7" t="n">
        <v>39.8</v>
      </c>
      <c r="F191" s="7" t="n">
        <v>54.2</v>
      </c>
      <c r="H191" s="7" t="n">
        <v>233.4</v>
      </c>
      <c r="J191" s="7" t="n">
        <v>109.6</v>
      </c>
      <c r="L191" s="7" t="n">
        <v>259.4</v>
      </c>
      <c r="N191" s="7" t="n">
        <v>209.9</v>
      </c>
      <c r="P191" s="7" t="n">
        <v>240.4</v>
      </c>
      <c r="R191" s="7" t="n">
        <v>221.6</v>
      </c>
      <c r="T191" s="7" t="n">
        <v>96.7</v>
      </c>
      <c r="V191" s="7" t="n">
        <v>281</v>
      </c>
      <c r="X191" s="7" t="n">
        <v>80.2</v>
      </c>
      <c r="Z191" s="7" t="n">
        <v>152.4</v>
      </c>
      <c r="AB191" s="7" t="n">
        <v>1978.6</v>
      </c>
    </row>
    <row r="192">
      <c r="A192" s="4" t="inlineStr">
        <is>
          <t>体检</t>
        </is>
      </c>
      <c r="D192" s="7" t="n">
        <v>250.5</v>
      </c>
      <c r="F192" s="7" t="n">
        <v>335.8</v>
      </c>
      <c r="H192" s="7" t="n">
        <v>988.5</v>
      </c>
      <c r="J192" s="7" t="n">
        <v>740.8</v>
      </c>
      <c r="L192" s="7" t="n">
        <v>1598.1</v>
      </c>
      <c r="N192" s="7" t="n">
        <v>1936.8</v>
      </c>
      <c r="P192" s="7" t="n">
        <v>1611.7</v>
      </c>
      <c r="R192" s="7" t="n">
        <v>1470.2</v>
      </c>
      <c r="T192" s="7" t="n">
        <v>733.7</v>
      </c>
      <c r="V192" s="7" t="n">
        <v>1210.2</v>
      </c>
      <c r="X192" s="7" t="n">
        <v>361.1</v>
      </c>
      <c r="Z192" s="7" t="n">
        <v>1029.1</v>
      </c>
      <c r="AB192" s="7" t="n">
        <v>12266.5</v>
      </c>
    </row>
    <row r="193">
      <c r="A193" s="4" t="inlineStr">
        <is>
          <t>其他福利支出</t>
        </is>
      </c>
      <c r="D193" s="7" t="n">
        <v>77.2</v>
      </c>
      <c r="F193" s="7" t="n">
        <v>126.9</v>
      </c>
      <c r="H193" s="7" t="n">
        <v>376.2</v>
      </c>
      <c r="J193" s="7" t="n">
        <v>267.4</v>
      </c>
      <c r="L193" s="7" t="n">
        <v>443.5</v>
      </c>
      <c r="N193" s="7" t="n">
        <v>667.4</v>
      </c>
      <c r="P193" s="7" t="n">
        <v>540.4</v>
      </c>
      <c r="R193" s="7" t="n">
        <v>342.5</v>
      </c>
      <c r="T193" s="7" t="n">
        <v>198.6</v>
      </c>
      <c r="V193" s="7" t="n">
        <v>408.2</v>
      </c>
      <c r="X193" s="7" t="n">
        <v>181.4</v>
      </c>
      <c r="Z193" s="7" t="n">
        <v>349.9</v>
      </c>
      <c r="AB193" s="7" t="n">
        <v>3979.6</v>
      </c>
    </row>
    <row r="194">
      <c r="A194" s="4" t="inlineStr">
        <is>
          <t>招聘费</t>
        </is>
      </c>
      <c r="D194" s="7" t="n">
        <v>153</v>
      </c>
      <c r="F194" s="7" t="n">
        <v>180.8</v>
      </c>
      <c r="H194" s="7" t="n">
        <v>514.1</v>
      </c>
      <c r="J194" s="7" t="n">
        <v>290.1</v>
      </c>
      <c r="L194" s="7" t="n">
        <v>771.9</v>
      </c>
      <c r="N194" s="7" t="n">
        <v>1079.8</v>
      </c>
      <c r="P194" s="7" t="n">
        <v>832.3</v>
      </c>
      <c r="R194" s="7" t="n">
        <v>784.7</v>
      </c>
      <c r="T194" s="7" t="n">
        <v>342.3</v>
      </c>
      <c r="V194" s="7" t="n">
        <v>630.4</v>
      </c>
      <c r="X194" s="7" t="n">
        <v>189.3</v>
      </c>
      <c r="Z194" s="7" t="n">
        <v>486.3</v>
      </c>
      <c r="AB194" s="7" t="n">
        <v>6255</v>
      </c>
    </row>
    <row r="195">
      <c r="A195" s="4" t="inlineStr">
        <is>
          <t>办公费</t>
        </is>
      </c>
      <c r="D195" s="7" t="n">
        <v>1212.6</v>
      </c>
      <c r="F195" s="7" t="n">
        <v>1902.5</v>
      </c>
      <c r="H195" s="7" t="n">
        <v>5516.3</v>
      </c>
      <c r="J195" s="7" t="n">
        <v>3464</v>
      </c>
      <c r="L195" s="7" t="n">
        <v>8397.799999999999</v>
      </c>
      <c r="N195" s="7" t="n">
        <v>7742.7</v>
      </c>
      <c r="P195" s="7" t="n">
        <v>8037.7</v>
      </c>
      <c r="R195" s="7" t="n">
        <v>4675.1</v>
      </c>
      <c r="T195" s="7" t="n">
        <v>3704.4</v>
      </c>
      <c r="V195" s="7" t="n">
        <v>8556.9</v>
      </c>
      <c r="X195" s="7" t="n">
        <v>2134.4</v>
      </c>
      <c r="Z195" s="7" t="n">
        <v>3454.9</v>
      </c>
      <c r="AB195" s="7" t="n">
        <v>58799.3</v>
      </c>
    </row>
    <row r="196">
      <c r="A196" s="4" t="inlineStr">
        <is>
          <t>市内交通费</t>
        </is>
      </c>
      <c r="D196" s="7" t="n">
        <v>22.4</v>
      </c>
      <c r="F196" s="7" t="n">
        <v>24.2</v>
      </c>
      <c r="H196" s="7" t="n">
        <v>57.1</v>
      </c>
      <c r="J196" s="7" t="n">
        <v>35.9</v>
      </c>
      <c r="L196" s="7" t="n">
        <v>76.09999999999999</v>
      </c>
      <c r="N196" s="7" t="n">
        <v>97.8</v>
      </c>
      <c r="P196" s="7" t="n">
        <v>91.7</v>
      </c>
      <c r="R196" s="7" t="n">
        <v>58.5</v>
      </c>
      <c r="T196" s="7" t="n">
        <v>42.8</v>
      </c>
      <c r="V196" s="7" t="n">
        <v>92.2</v>
      </c>
      <c r="X196" s="7" t="n">
        <v>29.9</v>
      </c>
      <c r="Z196" s="7" t="n">
        <v>41.3</v>
      </c>
      <c r="AB196" s="7" t="n">
        <v>669.9</v>
      </c>
    </row>
    <row r="197">
      <c r="A197" s="4" t="inlineStr">
        <is>
          <t>差旅费</t>
        </is>
      </c>
      <c r="D197" s="7" t="n">
        <v>2570.9</v>
      </c>
      <c r="F197" s="7" t="n">
        <v>2916.9</v>
      </c>
      <c r="H197" s="7" t="n">
        <v>12146.3</v>
      </c>
      <c r="J197" s="7" t="n">
        <v>7886.4</v>
      </c>
      <c r="L197" s="7" t="n">
        <v>12148.5</v>
      </c>
      <c r="N197" s="7" t="n">
        <v>18296</v>
      </c>
      <c r="P197" s="7" t="n">
        <v>20677.2</v>
      </c>
      <c r="R197" s="7" t="n">
        <v>11701.9</v>
      </c>
      <c r="T197" s="7" t="n">
        <v>5545.1</v>
      </c>
      <c r="V197" s="7" t="n">
        <v>18071.4</v>
      </c>
      <c r="X197" s="7" t="n">
        <v>3078.1</v>
      </c>
      <c r="Z197" s="7" t="n">
        <v>9346.6</v>
      </c>
      <c r="AB197" s="7" t="n">
        <v>124385.3</v>
      </c>
    </row>
    <row r="198">
      <c r="A198" s="4" t="inlineStr">
        <is>
          <t>交通费</t>
        </is>
      </c>
      <c r="D198" s="7" t="n">
        <v>180.5</v>
      </c>
      <c r="F198" s="7" t="n">
        <v>195.1</v>
      </c>
      <c r="H198" s="7" t="n">
        <v>847.6</v>
      </c>
      <c r="J198" s="7" t="n">
        <v>459.3</v>
      </c>
      <c r="L198" s="7" t="n">
        <v>830</v>
      </c>
      <c r="N198" s="7" t="n">
        <v>1023.4</v>
      </c>
      <c r="P198" s="7" t="n">
        <v>1262.8</v>
      </c>
      <c r="R198" s="7" t="n">
        <v>1198.4</v>
      </c>
      <c r="T198" s="7" t="n">
        <v>454.3</v>
      </c>
      <c r="V198" s="7" t="n">
        <v>770.2</v>
      </c>
      <c r="X198" s="7" t="n">
        <v>254.1</v>
      </c>
      <c r="Z198" s="7" t="n">
        <v>668.4</v>
      </c>
      <c r="AB198" s="7" t="n">
        <v>8144.1</v>
      </c>
    </row>
    <row r="199">
      <c r="A199" s="4" t="inlineStr">
        <is>
          <t>住宿费</t>
        </is>
      </c>
      <c r="D199" s="7" t="n">
        <v>399.9</v>
      </c>
      <c r="F199" s="7" t="n">
        <v>480</v>
      </c>
      <c r="H199" s="7" t="n">
        <v>1172</v>
      </c>
      <c r="J199" s="7" t="n">
        <v>1013.3</v>
      </c>
      <c r="L199" s="7" t="n">
        <v>1734.4</v>
      </c>
      <c r="N199" s="7" t="n">
        <v>2160.8</v>
      </c>
      <c r="P199" s="7" t="n">
        <v>1962.1</v>
      </c>
      <c r="R199" s="7" t="n">
        <v>1369.3</v>
      </c>
      <c r="T199" s="7" t="n">
        <v>726.7</v>
      </c>
      <c r="V199" s="7" t="n">
        <v>1216.7</v>
      </c>
      <c r="X199" s="7" t="n">
        <v>559.4</v>
      </c>
      <c r="Z199" s="7" t="n">
        <v>1108.7</v>
      </c>
      <c r="AB199" s="7" t="n">
        <v>13903.3</v>
      </c>
    </row>
    <row r="200">
      <c r="A200" s="4" t="inlineStr">
        <is>
          <t>餐补</t>
        </is>
      </c>
      <c r="D200" s="7" t="n">
        <v>66.8</v>
      </c>
      <c r="F200" s="7" t="n">
        <v>71.2</v>
      </c>
      <c r="H200" s="7" t="n">
        <v>195.3</v>
      </c>
      <c r="J200" s="7" t="n">
        <v>129</v>
      </c>
      <c r="L200" s="7" t="n">
        <v>299.2</v>
      </c>
      <c r="N200" s="7" t="n">
        <v>394</v>
      </c>
      <c r="P200" s="7" t="n">
        <v>317.2</v>
      </c>
      <c r="R200" s="7" t="n">
        <v>273</v>
      </c>
      <c r="T200" s="7" t="n">
        <v>109.1</v>
      </c>
      <c r="V200" s="7" t="n">
        <v>291.7</v>
      </c>
      <c r="X200" s="7" t="n">
        <v>62.4</v>
      </c>
      <c r="Z200" s="7" t="n">
        <v>167.3</v>
      </c>
      <c r="AB200" s="7" t="n">
        <v>2376.2</v>
      </c>
    </row>
    <row r="201">
      <c r="A201" s="4" t="inlineStr">
        <is>
          <t>交通补助</t>
        </is>
      </c>
      <c r="D201" s="7" t="n">
        <v>104</v>
      </c>
      <c r="F201" s="7" t="n">
        <v>167.8</v>
      </c>
      <c r="H201" s="7" t="n">
        <v>511.8</v>
      </c>
      <c r="J201" s="7" t="n">
        <v>259.5</v>
      </c>
      <c r="L201" s="7" t="n">
        <v>596.2</v>
      </c>
      <c r="N201" s="7" t="n">
        <v>835.4</v>
      </c>
      <c r="P201" s="7" t="n">
        <v>979.5</v>
      </c>
      <c r="R201" s="7" t="n">
        <v>661.4</v>
      </c>
      <c r="T201" s="7" t="n">
        <v>210.7</v>
      </c>
      <c r="V201" s="7" t="n">
        <v>807.1</v>
      </c>
      <c r="X201" s="7" t="n">
        <v>259.4</v>
      </c>
      <c r="Z201" s="7" t="n">
        <v>429.5</v>
      </c>
      <c r="AB201" s="7" t="n">
        <v>5822.3</v>
      </c>
    </row>
    <row r="202">
      <c r="A202" s="4" t="inlineStr">
        <is>
          <t>通讯补助</t>
        </is>
      </c>
      <c r="D202" s="7" t="n">
        <v>213.8</v>
      </c>
      <c r="F202" s="7" t="n">
        <v>377.8</v>
      </c>
      <c r="H202" s="7" t="n">
        <v>767.2</v>
      </c>
      <c r="J202" s="7" t="n">
        <v>758.4</v>
      </c>
      <c r="L202" s="7" t="n">
        <v>1153.1</v>
      </c>
      <c r="N202" s="7" t="n">
        <v>1189.3</v>
      </c>
      <c r="P202" s="7" t="n">
        <v>1515.8</v>
      </c>
      <c r="R202" s="7" t="n">
        <v>981.3</v>
      </c>
      <c r="T202" s="7" t="n">
        <v>364.6</v>
      </c>
      <c r="V202" s="7" t="n">
        <v>1207.3</v>
      </c>
      <c r="X202" s="7" t="n">
        <v>314.9</v>
      </c>
      <c r="Z202" s="7" t="n">
        <v>843.4</v>
      </c>
      <c r="AB202" s="7" t="n">
        <v>9686.9</v>
      </c>
    </row>
    <row r="203">
      <c r="A203" s="4" t="inlineStr">
        <is>
          <t>招待费</t>
        </is>
      </c>
      <c r="D203" s="7" t="n">
        <v>1881.7</v>
      </c>
      <c r="F203" s="7" t="n">
        <v>2791.7</v>
      </c>
      <c r="H203" s="7" t="n">
        <v>8294</v>
      </c>
      <c r="J203" s="7" t="n">
        <v>4571.3</v>
      </c>
      <c r="L203" s="7" t="n">
        <v>11239.4</v>
      </c>
      <c r="N203" s="7" t="n">
        <v>9729.5</v>
      </c>
      <c r="P203" s="7" t="n">
        <v>10655.4</v>
      </c>
      <c r="R203" s="7" t="n">
        <v>11071.9</v>
      </c>
      <c r="T203" s="7" t="n">
        <v>4533</v>
      </c>
      <c r="V203" s="7" t="n">
        <v>8624</v>
      </c>
      <c r="X203" s="7" t="n">
        <v>2866</v>
      </c>
      <c r="Z203" s="7" t="n">
        <v>6887.6</v>
      </c>
      <c r="AB203" s="7" t="n">
        <v>83145.5</v>
      </c>
    </row>
    <row r="204">
      <c r="A204" s="4" t="inlineStr">
        <is>
          <t>通讯费</t>
        </is>
      </c>
      <c r="D204" s="7" t="n">
        <v>247.1</v>
      </c>
      <c r="F204" s="7" t="n">
        <v>272.1</v>
      </c>
      <c r="H204" s="7" t="n">
        <v>678.5</v>
      </c>
      <c r="J204" s="7" t="n">
        <v>387.2</v>
      </c>
      <c r="L204" s="7" t="n">
        <v>820.1</v>
      </c>
      <c r="N204" s="7" t="n">
        <v>1326.6</v>
      </c>
      <c r="P204" s="7" t="n">
        <v>976.7</v>
      </c>
      <c r="R204" s="7" t="n">
        <v>895.6</v>
      </c>
      <c r="T204" s="7" t="n">
        <v>371</v>
      </c>
      <c r="V204" s="7" t="n">
        <v>639.4</v>
      </c>
      <c r="X204" s="7" t="n">
        <v>333.5</v>
      </c>
      <c r="Z204" s="7" t="n">
        <v>472.4</v>
      </c>
      <c r="AB204" s="7" t="n">
        <v>7420.2</v>
      </c>
    </row>
    <row r="205">
      <c r="A205" s="4" t="inlineStr">
        <is>
          <t>网络费</t>
        </is>
      </c>
      <c r="D205" s="7" t="n">
        <v>25.2</v>
      </c>
      <c r="F205" s="7" t="n">
        <v>49.3</v>
      </c>
      <c r="H205" s="7" t="n">
        <v>110.4</v>
      </c>
      <c r="J205" s="7" t="n">
        <v>96.5</v>
      </c>
      <c r="L205" s="7" t="n">
        <v>198</v>
      </c>
      <c r="N205" s="7" t="n">
        <v>207</v>
      </c>
      <c r="P205" s="7" t="n">
        <v>205.2</v>
      </c>
      <c r="R205" s="7" t="n">
        <v>118.1</v>
      </c>
      <c r="T205" s="7" t="n">
        <v>81.8</v>
      </c>
      <c r="V205" s="7" t="n">
        <v>118.6</v>
      </c>
      <c r="X205" s="7" t="n">
        <v>57</v>
      </c>
      <c r="Z205" s="7" t="n">
        <v>114.8</v>
      </c>
      <c r="AB205" s="7" t="n">
        <v>1381.9</v>
      </c>
    </row>
    <row r="206">
      <c r="A206" s="4" t="inlineStr">
        <is>
          <t>修理费</t>
        </is>
      </c>
      <c r="D206" s="7" t="n">
        <v>105.9</v>
      </c>
      <c r="F206" s="7" t="n">
        <v>181.7</v>
      </c>
      <c r="H206" s="7" t="n">
        <v>374.6</v>
      </c>
      <c r="J206" s="7" t="n">
        <v>438.6</v>
      </c>
      <c r="L206" s="7" t="n">
        <v>497.3</v>
      </c>
      <c r="N206" s="7" t="n">
        <v>879.9</v>
      </c>
      <c r="P206" s="7" t="n">
        <v>833.7</v>
      </c>
      <c r="R206" s="7" t="n">
        <v>734.8</v>
      </c>
      <c r="T206" s="7" t="n">
        <v>360.1</v>
      </c>
      <c r="V206" s="7" t="n">
        <v>572.6</v>
      </c>
      <c r="X206" s="7" t="n">
        <v>224.7</v>
      </c>
      <c r="Z206" s="7" t="n">
        <v>401.2</v>
      </c>
      <c r="AB206" s="7" t="n">
        <v>5605.1</v>
      </c>
    </row>
    <row r="207">
      <c r="A207" s="4" t="inlineStr">
        <is>
          <t>车辆费</t>
        </is>
      </c>
      <c r="D207" s="7" t="n">
        <v>352.5</v>
      </c>
      <c r="F207" s="7" t="n">
        <v>328.6</v>
      </c>
      <c r="H207" s="7" t="n">
        <v>976.8</v>
      </c>
      <c r="J207" s="7" t="n">
        <v>822.7</v>
      </c>
      <c r="L207" s="7" t="n">
        <v>1372</v>
      </c>
      <c r="N207" s="7" t="n">
        <v>1468.1</v>
      </c>
      <c r="P207" s="7" t="n">
        <v>1470.7</v>
      </c>
      <c r="R207" s="7" t="n">
        <v>1706.7</v>
      </c>
      <c r="T207" s="7" t="n">
        <v>801.2</v>
      </c>
      <c r="V207" s="7" t="n">
        <v>1231.1</v>
      </c>
      <c r="X207" s="7" t="n">
        <v>495.9</v>
      </c>
      <c r="Z207" s="7" t="n">
        <v>1098.3</v>
      </c>
      <c r="AB207" s="7" t="n">
        <v>12124.6</v>
      </c>
    </row>
    <row r="208">
      <c r="A208" s="4" t="inlineStr">
        <is>
          <t>租赁费</t>
        </is>
      </c>
      <c r="D208" s="7" t="n">
        <v>2866.5</v>
      </c>
      <c r="F208" s="7" t="n">
        <v>2540.9</v>
      </c>
      <c r="H208" s="7" t="n">
        <v>10491.2</v>
      </c>
      <c r="J208" s="7" t="n">
        <v>8145.8</v>
      </c>
      <c r="L208" s="7" t="n">
        <v>11114.2</v>
      </c>
      <c r="N208" s="7" t="n">
        <v>13031.6</v>
      </c>
      <c r="P208" s="7" t="n">
        <v>14622.2</v>
      </c>
      <c r="R208" s="7" t="n">
        <v>8230.4</v>
      </c>
      <c r="T208" s="7" t="n">
        <v>4228.2</v>
      </c>
      <c r="V208" s="7" t="n">
        <v>13249</v>
      </c>
      <c r="X208" s="7" t="n">
        <v>4542.9</v>
      </c>
      <c r="Z208" s="7" t="n">
        <v>8530.5</v>
      </c>
      <c r="AB208" s="7" t="n">
        <v>101593.4</v>
      </c>
    </row>
    <row r="209">
      <c r="A209" s="4" t="inlineStr">
        <is>
          <t>能源费</t>
        </is>
      </c>
      <c r="D209" s="7" t="n">
        <v>508.4</v>
      </c>
      <c r="F209" s="7" t="n">
        <v>423.9</v>
      </c>
      <c r="H209" s="7" t="n">
        <v>1482.9</v>
      </c>
      <c r="J209" s="7" t="n">
        <v>1247.4</v>
      </c>
      <c r="L209" s="7" t="n">
        <v>2447.4</v>
      </c>
      <c r="N209" s="7" t="n">
        <v>2246.2</v>
      </c>
      <c r="P209" s="7" t="n">
        <v>2326.3</v>
      </c>
      <c r="R209" s="7" t="n">
        <v>1620.3</v>
      </c>
      <c r="T209" s="7" t="n">
        <v>1012.1</v>
      </c>
      <c r="V209" s="7" t="n">
        <v>1645.8</v>
      </c>
      <c r="X209" s="7" t="n">
        <v>641.4</v>
      </c>
      <c r="Z209" s="7" t="n">
        <v>1506.4</v>
      </c>
      <c r="AB209" s="7" t="n">
        <v>17108.5</v>
      </c>
    </row>
    <row r="210">
      <c r="A210" s="4" t="inlineStr">
        <is>
          <t>水费</t>
        </is>
      </c>
      <c r="D210" s="7" t="n">
        <v>31.2</v>
      </c>
      <c r="F210" s="7" t="n">
        <v>27.8</v>
      </c>
      <c r="H210" s="7" t="n">
        <v>69.90000000000001</v>
      </c>
      <c r="J210" s="7" t="n">
        <v>56.6</v>
      </c>
      <c r="L210" s="7" t="n">
        <v>132</v>
      </c>
      <c r="N210" s="7" t="n">
        <v>127</v>
      </c>
      <c r="P210" s="7" t="n">
        <v>121.6</v>
      </c>
      <c r="R210" s="7" t="n">
        <v>143.5</v>
      </c>
      <c r="T210" s="7" t="n">
        <v>67</v>
      </c>
      <c r="V210" s="7" t="n">
        <v>101.5</v>
      </c>
      <c r="X210" s="7" t="n">
        <v>41.9</v>
      </c>
      <c r="Z210" s="7" t="n">
        <v>59.7</v>
      </c>
      <c r="AB210" s="7" t="n">
        <v>979.7</v>
      </c>
    </row>
    <row r="211">
      <c r="A211" s="4" t="inlineStr">
        <is>
          <t>电费</t>
        </is>
      </c>
      <c r="D211" s="7" t="n">
        <v>381.1</v>
      </c>
      <c r="F211" s="7" t="n">
        <v>263.1</v>
      </c>
      <c r="H211" s="7" t="n">
        <v>1056.7</v>
      </c>
      <c r="J211" s="7" t="n">
        <v>912.9</v>
      </c>
      <c r="L211" s="7" t="n">
        <v>1746.5</v>
      </c>
      <c r="N211" s="7" t="n">
        <v>1576.4</v>
      </c>
      <c r="P211" s="7" t="n">
        <v>1527.4</v>
      </c>
      <c r="R211" s="7" t="n">
        <v>929</v>
      </c>
      <c r="T211" s="7" t="n">
        <v>666.3</v>
      </c>
      <c r="V211" s="7" t="n">
        <v>1020</v>
      </c>
      <c r="X211" s="7" t="n">
        <v>409.3</v>
      </c>
      <c r="Z211" s="7" t="n">
        <v>1123.3</v>
      </c>
      <c r="AB211" s="7" t="n">
        <v>11612</v>
      </c>
    </row>
    <row r="212">
      <c r="A212" s="4" t="inlineStr">
        <is>
          <t>燃气费</t>
        </is>
      </c>
      <c r="D212" s="7" t="n">
        <v>64.5</v>
      </c>
      <c r="F212" s="7" t="n">
        <v>96.3</v>
      </c>
      <c r="H212" s="7" t="n">
        <v>261.4</v>
      </c>
      <c r="J212" s="7" t="n">
        <v>204.8</v>
      </c>
      <c r="L212" s="7" t="n">
        <v>485.2</v>
      </c>
      <c r="N212" s="7" t="n">
        <v>372.8</v>
      </c>
      <c r="P212" s="7" t="n">
        <v>504.6</v>
      </c>
      <c r="R212" s="7" t="n">
        <v>435.7</v>
      </c>
      <c r="T212" s="7" t="n">
        <v>225.6</v>
      </c>
      <c r="V212" s="7" t="n">
        <v>441</v>
      </c>
      <c r="X212" s="7" t="n">
        <v>154.3</v>
      </c>
      <c r="Z212" s="7" t="n">
        <v>228.1</v>
      </c>
      <c r="AB212" s="7" t="n">
        <v>3474.3</v>
      </c>
    </row>
    <row r="213">
      <c r="A213" s="4" t="inlineStr">
        <is>
          <t>蒸汽费</t>
        </is>
      </c>
      <c r="D213" s="7" t="n">
        <v>31.6</v>
      </c>
      <c r="F213" s="7" t="n">
        <v>36.7</v>
      </c>
      <c r="H213" s="7" t="n">
        <v>94.90000000000001</v>
      </c>
      <c r="J213" s="7" t="n">
        <v>73.09999999999999</v>
      </c>
      <c r="L213" s="7" t="n">
        <v>83.7</v>
      </c>
      <c r="N213" s="7" t="n">
        <v>170</v>
      </c>
      <c r="P213" s="7" t="n">
        <v>172.7</v>
      </c>
      <c r="R213" s="7" t="n">
        <v>112.1</v>
      </c>
      <c r="T213" s="7" t="n">
        <v>53.2</v>
      </c>
      <c r="V213" s="7" t="n">
        <v>83.3</v>
      </c>
      <c r="X213" s="7" t="n">
        <v>35.9</v>
      </c>
      <c r="Z213" s="7" t="n">
        <v>95.3</v>
      </c>
      <c r="AB213" s="7" t="n">
        <v>1042.5</v>
      </c>
    </row>
    <row r="214">
      <c r="A214" s="4" t="inlineStr">
        <is>
          <t>物业费</t>
        </is>
      </c>
      <c r="D214" s="7" t="n">
        <v>67</v>
      </c>
      <c r="F214" s="7" t="n">
        <v>79.09999999999999</v>
      </c>
      <c r="H214" s="7" t="n">
        <v>315.3</v>
      </c>
      <c r="J214" s="7" t="n">
        <v>254.9</v>
      </c>
      <c r="L214" s="7" t="n">
        <v>412.9</v>
      </c>
      <c r="N214" s="7" t="n">
        <v>431.6</v>
      </c>
      <c r="P214" s="7" t="n">
        <v>610.6</v>
      </c>
      <c r="R214" s="7" t="n">
        <v>504</v>
      </c>
      <c r="T214" s="7" t="n">
        <v>131.8</v>
      </c>
      <c r="V214" s="7" t="n">
        <v>302.8</v>
      </c>
      <c r="X214" s="7" t="n">
        <v>150.5</v>
      </c>
      <c r="Z214" s="7" t="n">
        <v>330.9</v>
      </c>
      <c r="AB214" s="7" t="n">
        <v>3591.4</v>
      </c>
    </row>
    <row r="215">
      <c r="A215" s="4" t="inlineStr">
        <is>
          <t>劳动保护费</t>
        </is>
      </c>
      <c r="D215" s="7" t="n">
        <v>221.8</v>
      </c>
      <c r="F215" s="7" t="n">
        <v>240.2</v>
      </c>
      <c r="H215" s="7" t="n">
        <v>708.2</v>
      </c>
      <c r="J215" s="7" t="n">
        <v>476.3</v>
      </c>
      <c r="L215" s="7" t="n">
        <v>621.8</v>
      </c>
      <c r="N215" s="7" t="n">
        <v>1120.3</v>
      </c>
      <c r="P215" s="7" t="n">
        <v>1113.4</v>
      </c>
      <c r="R215" s="7" t="n">
        <v>743.1</v>
      </c>
      <c r="T215" s="7" t="n">
        <v>349.1</v>
      </c>
      <c r="V215" s="7" t="n">
        <v>638.4</v>
      </c>
      <c r="X215" s="7" t="n">
        <v>245.8</v>
      </c>
      <c r="Z215" s="7" t="n">
        <v>681.8</v>
      </c>
      <c r="AB215" s="7" t="n">
        <v>7160.2</v>
      </c>
    </row>
    <row r="216">
      <c r="A216" s="4" t="inlineStr">
        <is>
          <t>顾问费</t>
        </is>
      </c>
      <c r="D216" s="7" t="n">
        <v>308.8</v>
      </c>
      <c r="F216" s="7" t="n">
        <v>325</v>
      </c>
      <c r="H216" s="7" t="n">
        <v>1096.4</v>
      </c>
      <c r="J216" s="7" t="n">
        <v>624</v>
      </c>
      <c r="L216" s="7" t="n">
        <v>1312.5</v>
      </c>
      <c r="N216" s="7" t="n">
        <v>1871.8</v>
      </c>
      <c r="P216" s="7" t="n">
        <v>1532.8</v>
      </c>
      <c r="R216" s="7" t="n">
        <v>1638.9</v>
      </c>
      <c r="T216" s="7" t="n">
        <v>828.1</v>
      </c>
      <c r="V216" s="7" t="n">
        <v>1764.1</v>
      </c>
      <c r="X216" s="7" t="n">
        <v>488.8</v>
      </c>
      <c r="Z216" s="7" t="n">
        <v>1311.1</v>
      </c>
      <c r="AB216" s="7" t="n">
        <v>13102.3</v>
      </c>
    </row>
    <row r="217">
      <c r="A217" s="4" t="inlineStr">
        <is>
          <t>快递费</t>
        </is>
      </c>
      <c r="D217" s="7" t="n">
        <v>5.8</v>
      </c>
      <c r="F217" s="7" t="n">
        <v>7.2</v>
      </c>
      <c r="H217" s="7" t="n">
        <v>12.9</v>
      </c>
      <c r="J217" s="7" t="n">
        <v>10</v>
      </c>
      <c r="L217" s="7" t="n">
        <v>19.2</v>
      </c>
      <c r="N217" s="7" t="n">
        <v>19.6</v>
      </c>
      <c r="P217" s="7" t="n">
        <v>25.3</v>
      </c>
      <c r="R217" s="7" t="n">
        <v>23.7</v>
      </c>
      <c r="T217" s="7" t="n">
        <v>8.6</v>
      </c>
      <c r="V217" s="7" t="n">
        <v>19.9</v>
      </c>
      <c r="X217" s="7" t="n">
        <v>7.6</v>
      </c>
      <c r="Z217" s="7" t="n">
        <v>15.2</v>
      </c>
      <c r="AB217" s="7" t="n">
        <v>175</v>
      </c>
    </row>
    <row r="218">
      <c r="A218" s="4" t="inlineStr">
        <is>
          <t>诉讼费</t>
        </is>
      </c>
      <c r="D218" s="7" t="n">
        <v>31.2</v>
      </c>
      <c r="F218" s="7" t="n">
        <v>42.2</v>
      </c>
      <c r="H218" s="7" t="n">
        <v>145.7</v>
      </c>
      <c r="J218" s="7" t="n">
        <v>105.5</v>
      </c>
      <c r="L218" s="7" t="n">
        <v>222.3</v>
      </c>
      <c r="N218" s="7" t="n">
        <v>202.4</v>
      </c>
      <c r="P218" s="7" t="n">
        <v>285.2</v>
      </c>
      <c r="R218" s="7" t="n">
        <v>147.9</v>
      </c>
      <c r="T218" s="7" t="n">
        <v>94.40000000000001</v>
      </c>
      <c r="V218" s="7" t="n">
        <v>236.3</v>
      </c>
      <c r="X218" s="7" t="n">
        <v>68.3</v>
      </c>
      <c r="Z218" s="7" t="n">
        <v>110.5</v>
      </c>
      <c r="AB218" s="7" t="n">
        <v>1691.9</v>
      </c>
    </row>
    <row r="219">
      <c r="A219" s="4" t="inlineStr">
        <is>
          <t>会员费</t>
        </is>
      </c>
      <c r="D219" s="7" t="n">
        <v>226.7</v>
      </c>
      <c r="F219" s="7" t="n">
        <v>228</v>
      </c>
      <c r="H219" s="7" t="n">
        <v>848.3</v>
      </c>
      <c r="J219" s="7" t="n">
        <v>566.1</v>
      </c>
      <c r="L219" s="7" t="n">
        <v>762</v>
      </c>
      <c r="N219" s="7" t="n">
        <v>1466.4</v>
      </c>
      <c r="P219" s="7" t="n">
        <v>1369.7</v>
      </c>
      <c r="R219" s="7" t="n">
        <v>1018.8</v>
      </c>
      <c r="T219" s="7" t="n">
        <v>387.8</v>
      </c>
      <c r="V219" s="7" t="n">
        <v>820.5</v>
      </c>
      <c r="X219" s="7" t="n">
        <v>244.4</v>
      </c>
      <c r="Z219" s="7" t="n">
        <v>866.2</v>
      </c>
      <c r="AB219" s="7" t="n">
        <v>8804.9</v>
      </c>
    </row>
    <row r="220">
      <c r="A220" s="4" t="inlineStr">
        <is>
          <t>广告宣传费</t>
        </is>
      </c>
      <c r="D220" s="7" t="n">
        <v>1309.3</v>
      </c>
      <c r="F220" s="7" t="n">
        <v>2123.5</v>
      </c>
      <c r="H220" s="7" t="n">
        <v>4386.5</v>
      </c>
      <c r="J220" s="7" t="n">
        <v>3651.6</v>
      </c>
      <c r="L220" s="7" t="n">
        <v>8664.5</v>
      </c>
      <c r="N220" s="7" t="n">
        <v>6497.9</v>
      </c>
      <c r="P220" s="7" t="n">
        <v>10982.1</v>
      </c>
      <c r="R220" s="7" t="n">
        <v>7435.5</v>
      </c>
      <c r="T220" s="7" t="n">
        <v>3408.7</v>
      </c>
      <c r="V220" s="7" t="n">
        <v>6791.7</v>
      </c>
      <c r="X220" s="7" t="n">
        <v>1680.5</v>
      </c>
      <c r="Z220" s="7" t="n">
        <v>4712.8</v>
      </c>
      <c r="AB220" s="7" t="n">
        <v>61644.6</v>
      </c>
    </row>
    <row r="221">
      <c r="A221" s="4" t="inlineStr">
        <is>
          <t>会务费</t>
        </is>
      </c>
      <c r="D221" s="7" t="n">
        <v>10</v>
      </c>
      <c r="F221" s="7" t="n">
        <v>12.7</v>
      </c>
      <c r="H221" s="7" t="n">
        <v>46.8</v>
      </c>
      <c r="J221" s="7" t="n">
        <v>21.9</v>
      </c>
      <c r="L221" s="7" t="n">
        <v>46.6</v>
      </c>
      <c r="N221" s="7" t="n">
        <v>65.09999999999999</v>
      </c>
      <c r="P221" s="7" t="n">
        <v>62.8</v>
      </c>
      <c r="R221" s="7" t="n">
        <v>59.7</v>
      </c>
      <c r="T221" s="7" t="n">
        <v>21.5</v>
      </c>
      <c r="V221" s="7" t="n">
        <v>37.5</v>
      </c>
      <c r="X221" s="7" t="n">
        <v>13.3</v>
      </c>
      <c r="Z221" s="7" t="n">
        <v>28.2</v>
      </c>
      <c r="AB221" s="7" t="n">
        <v>426.1</v>
      </c>
    </row>
    <row r="222">
      <c r="A222" s="4" t="inlineStr">
        <is>
          <t>装修费</t>
        </is>
      </c>
      <c r="D222" s="7" t="n">
        <v>107.6</v>
      </c>
      <c r="F222" s="7" t="n">
        <v>154.3</v>
      </c>
      <c r="H222" s="7" t="n">
        <v>512.6</v>
      </c>
      <c r="J222" s="7" t="n">
        <v>338.6</v>
      </c>
      <c r="L222" s="7" t="n">
        <v>491</v>
      </c>
      <c r="N222" s="7" t="n">
        <v>830.7</v>
      </c>
      <c r="P222" s="7" t="n">
        <v>993.9</v>
      </c>
      <c r="R222" s="7" t="n">
        <v>784.9</v>
      </c>
      <c r="T222" s="7" t="n">
        <v>366.7</v>
      </c>
      <c r="V222" s="7" t="n">
        <v>780.7</v>
      </c>
      <c r="X222" s="7" t="n">
        <v>217.3</v>
      </c>
      <c r="Z222" s="7" t="n">
        <v>512.9</v>
      </c>
      <c r="AB222" s="7" t="n">
        <v>6091.2</v>
      </c>
    </row>
    <row r="223">
      <c r="A223" s="4" t="inlineStr">
        <is>
          <t>推广费</t>
        </is>
      </c>
      <c r="D223" s="7" t="n">
        <v>139.4</v>
      </c>
      <c r="F223" s="7" t="n">
        <v>132.7</v>
      </c>
      <c r="H223" s="7" t="n">
        <v>378.3</v>
      </c>
      <c r="J223" s="7" t="n">
        <v>335.2</v>
      </c>
      <c r="L223" s="7" t="n">
        <v>619.3</v>
      </c>
      <c r="N223" s="7" t="n">
        <v>452.8</v>
      </c>
      <c r="P223" s="7" t="n">
        <v>486.9</v>
      </c>
      <c r="R223" s="7" t="n">
        <v>461.9</v>
      </c>
      <c r="T223" s="7" t="n">
        <v>264</v>
      </c>
      <c r="V223" s="7" t="n">
        <v>576.2</v>
      </c>
      <c r="X223" s="7" t="n">
        <v>198</v>
      </c>
      <c r="Z223" s="7" t="n">
        <v>443.8</v>
      </c>
      <c r="AB223" s="7" t="n">
        <v>4488.5</v>
      </c>
    </row>
    <row r="224">
      <c r="A224" s="4" t="inlineStr">
        <is>
          <t>展会费</t>
        </is>
      </c>
      <c r="D224" s="7" t="n">
        <v>165.1</v>
      </c>
      <c r="F224" s="7" t="n">
        <v>195.6</v>
      </c>
      <c r="H224" s="7" t="n">
        <v>543.8</v>
      </c>
      <c r="J224" s="7" t="n">
        <v>319.5</v>
      </c>
      <c r="L224" s="7" t="n">
        <v>685.2</v>
      </c>
      <c r="N224" s="7" t="n">
        <v>962</v>
      </c>
      <c r="P224" s="7" t="n">
        <v>1085</v>
      </c>
      <c r="R224" s="7" t="n">
        <v>524.5</v>
      </c>
      <c r="T224" s="7" t="n">
        <v>224.7</v>
      </c>
      <c r="V224" s="7" t="n">
        <v>834.9</v>
      </c>
      <c r="X224" s="7" t="n">
        <v>281.5</v>
      </c>
      <c r="Z224" s="7" t="n">
        <v>359</v>
      </c>
      <c r="AB224" s="7" t="n">
        <v>6180.8</v>
      </c>
    </row>
    <row r="225">
      <c r="A225" s="4" t="inlineStr">
        <is>
          <t>设计费</t>
        </is>
      </c>
      <c r="D225" s="7" t="n">
        <v>87.5</v>
      </c>
      <c r="F225" s="7" t="n">
        <v>91.40000000000001</v>
      </c>
      <c r="H225" s="7" t="n">
        <v>271.6</v>
      </c>
      <c r="J225" s="7" t="n">
        <v>231</v>
      </c>
      <c r="L225" s="7" t="n">
        <v>364.8</v>
      </c>
      <c r="N225" s="7" t="n">
        <v>495.3</v>
      </c>
      <c r="P225" s="7" t="n">
        <v>545.3</v>
      </c>
      <c r="R225" s="7" t="n">
        <v>430.6</v>
      </c>
      <c r="T225" s="7" t="n">
        <v>181.9</v>
      </c>
      <c r="V225" s="7" t="n">
        <v>295.6</v>
      </c>
      <c r="X225" s="7" t="n">
        <v>124.4</v>
      </c>
      <c r="Z225" s="7" t="n">
        <v>230</v>
      </c>
      <c r="AB225" s="7" t="n">
        <v>3349.4</v>
      </c>
    </row>
    <row r="226">
      <c r="A226" s="4" t="inlineStr">
        <is>
          <t>折旧费</t>
        </is>
      </c>
      <c r="D226" s="7" t="n">
        <v>1788.2</v>
      </c>
      <c r="F226" s="7" t="n">
        <v>1996</v>
      </c>
      <c r="H226" s="7" t="n">
        <v>6918.4</v>
      </c>
      <c r="J226" s="7" t="n">
        <v>5082.4</v>
      </c>
      <c r="L226" s="7" t="n">
        <v>9514</v>
      </c>
      <c r="N226" s="7" t="n">
        <v>14118.6</v>
      </c>
      <c r="P226" s="7" t="n">
        <v>11244.5</v>
      </c>
      <c r="R226" s="7" t="n">
        <v>10690.1</v>
      </c>
      <c r="T226" s="7" t="n">
        <v>3464</v>
      </c>
      <c r="V226" s="7" t="n">
        <v>6847.2</v>
      </c>
      <c r="X226" s="7" t="n">
        <v>3683.1</v>
      </c>
      <c r="Z226" s="7" t="n">
        <v>5444.4</v>
      </c>
      <c r="AB226" s="7" t="n">
        <v>80790.89999999999</v>
      </c>
    </row>
    <row r="227">
      <c r="A227" s="4" t="inlineStr">
        <is>
          <t>认证费</t>
        </is>
      </c>
      <c r="D227" s="7" t="n">
        <v>185.1</v>
      </c>
      <c r="F227" s="7" t="n">
        <v>182.7</v>
      </c>
      <c r="H227" s="7" t="n">
        <v>572</v>
      </c>
      <c r="J227" s="7" t="n">
        <v>611.7</v>
      </c>
      <c r="L227" s="7" t="n">
        <v>841</v>
      </c>
      <c r="N227" s="7" t="n">
        <v>1348.5</v>
      </c>
      <c r="P227" s="7" t="n">
        <v>883.9</v>
      </c>
      <c r="R227" s="7" t="n">
        <v>955.8</v>
      </c>
      <c r="T227" s="7" t="n">
        <v>328.8</v>
      </c>
      <c r="V227" s="7" t="n">
        <v>997.9</v>
      </c>
      <c r="X227" s="7" t="n">
        <v>212.9</v>
      </c>
      <c r="Z227" s="7" t="n">
        <v>483.6</v>
      </c>
      <c r="AB227" s="7" t="n">
        <v>7603.9</v>
      </c>
    </row>
    <row r="228">
      <c r="A228" s="4" t="inlineStr">
        <is>
          <t>样品费</t>
        </is>
      </c>
      <c r="D228" s="7" t="n">
        <v>752.9</v>
      </c>
      <c r="F228" s="7" t="n">
        <v>1373.1</v>
      </c>
      <c r="H228" s="7" t="n">
        <v>4303.8</v>
      </c>
      <c r="J228" s="7" t="n">
        <v>2762.6</v>
      </c>
      <c r="L228" s="7" t="n">
        <v>3520.6</v>
      </c>
      <c r="N228" s="7" t="n">
        <v>6236.6</v>
      </c>
      <c r="P228" s="7" t="n">
        <v>4190.5</v>
      </c>
      <c r="R228" s="7" t="n">
        <v>5000.1</v>
      </c>
      <c r="T228" s="7" t="n">
        <v>1783.5</v>
      </c>
      <c r="V228" s="7" t="n">
        <v>3979.3</v>
      </c>
      <c r="X228" s="7" t="n">
        <v>1613.7</v>
      </c>
      <c r="Z228" s="7" t="n">
        <v>3818.3</v>
      </c>
      <c r="AB228" s="7" t="n">
        <v>39335</v>
      </c>
    </row>
    <row r="229">
      <c r="A229" s="4" t="inlineStr">
        <is>
          <t>劳务费</t>
        </is>
      </c>
      <c r="D229" s="7" t="n">
        <v>136.4</v>
      </c>
      <c r="F229" s="7" t="n">
        <v>151.9</v>
      </c>
      <c r="H229" s="7" t="n">
        <v>373</v>
      </c>
      <c r="J229" s="7" t="n">
        <v>228</v>
      </c>
      <c r="L229" s="7" t="n">
        <v>543.5</v>
      </c>
      <c r="N229" s="7" t="n">
        <v>643.4</v>
      </c>
      <c r="P229" s="7" t="n">
        <v>555.1</v>
      </c>
      <c r="R229" s="7" t="n">
        <v>459.5</v>
      </c>
      <c r="T229" s="7" t="n">
        <v>222.9</v>
      </c>
      <c r="V229" s="7" t="n">
        <v>644</v>
      </c>
      <c r="X229" s="7" t="n">
        <v>160.4</v>
      </c>
      <c r="Z229" s="7" t="n">
        <v>395.2</v>
      </c>
      <c r="AB229" s="7" t="n">
        <v>4513.3</v>
      </c>
    </row>
    <row r="230">
      <c r="A230" s="4" t="inlineStr">
        <is>
          <t>销售佣金</t>
        </is>
      </c>
      <c r="D230" s="7" t="n">
        <v>235</v>
      </c>
      <c r="F230" s="7" t="n">
        <v>318.1</v>
      </c>
      <c r="H230" s="7" t="n">
        <v>1191.8</v>
      </c>
      <c r="J230" s="7" t="n">
        <v>682.1</v>
      </c>
      <c r="L230" s="7" t="n">
        <v>1317.3</v>
      </c>
      <c r="N230" s="7" t="n">
        <v>1728.8</v>
      </c>
      <c r="P230" s="7" t="n">
        <v>1605.2</v>
      </c>
      <c r="R230" s="7" t="n">
        <v>1633.5</v>
      </c>
      <c r="T230" s="7" t="n">
        <v>642.5</v>
      </c>
      <c r="V230" s="7" t="n">
        <v>1064.8</v>
      </c>
      <c r="X230" s="7" t="n">
        <v>304.2</v>
      </c>
      <c r="Z230" s="7" t="n">
        <v>1135.9</v>
      </c>
      <c r="AB230" s="7" t="n">
        <v>11859.2</v>
      </c>
    </row>
    <row r="231">
      <c r="A231" s="4" t="inlineStr">
        <is>
          <t>检测费</t>
        </is>
      </c>
      <c r="D231" s="7" t="n">
        <v>222.7</v>
      </c>
      <c r="F231" s="7" t="n">
        <v>393.8</v>
      </c>
      <c r="H231" s="7" t="n">
        <v>1253.4</v>
      </c>
      <c r="J231" s="7" t="n">
        <v>793.3</v>
      </c>
      <c r="L231" s="7" t="n">
        <v>1696.1</v>
      </c>
      <c r="N231" s="7" t="n">
        <v>1657.6</v>
      </c>
      <c r="P231" s="7" t="n">
        <v>1784.3</v>
      </c>
      <c r="R231" s="7" t="n">
        <v>1200.5</v>
      </c>
      <c r="T231" s="7" t="n">
        <v>516.7</v>
      </c>
      <c r="V231" s="7" t="n">
        <v>1668.6</v>
      </c>
      <c r="X231" s="7" t="n">
        <v>313.6</v>
      </c>
      <c r="Z231" s="7" t="n">
        <v>1067.6</v>
      </c>
      <c r="AB231" s="7" t="n">
        <v>12568.2</v>
      </c>
    </row>
    <row r="232">
      <c r="A232" s="4" t="inlineStr">
        <is>
          <t>质量赔偿</t>
        </is>
      </c>
      <c r="D232" s="7" t="n">
        <v>169</v>
      </c>
      <c r="F232" s="7" t="n">
        <v>115.4</v>
      </c>
      <c r="H232" s="7" t="n">
        <v>330</v>
      </c>
      <c r="J232" s="7" t="n">
        <v>415.5</v>
      </c>
      <c r="L232" s="7" t="n">
        <v>506.4</v>
      </c>
      <c r="N232" s="7" t="n">
        <v>690.8</v>
      </c>
      <c r="P232" s="7" t="n">
        <v>742.7</v>
      </c>
      <c r="R232" s="7" t="n">
        <v>569.5</v>
      </c>
      <c r="T232" s="7" t="n">
        <v>247.7</v>
      </c>
      <c r="V232" s="7" t="n">
        <v>663.2</v>
      </c>
      <c r="X232" s="7" t="n">
        <v>220.1</v>
      </c>
      <c r="Z232" s="7" t="n">
        <v>399.4</v>
      </c>
      <c r="AB232" s="7" t="n">
        <v>5069.7</v>
      </c>
    </row>
    <row r="233">
      <c r="A233" s="4" t="inlineStr">
        <is>
          <t>保险费</t>
        </is>
      </c>
      <c r="D233" s="7" t="n">
        <v>17.3</v>
      </c>
      <c r="F233" s="7" t="n">
        <v>21.2</v>
      </c>
      <c r="H233" s="7" t="n">
        <v>57.6</v>
      </c>
      <c r="J233" s="7" t="n">
        <v>38.3</v>
      </c>
      <c r="L233" s="7" t="n">
        <v>98.40000000000001</v>
      </c>
      <c r="N233" s="7" t="n">
        <v>81.5</v>
      </c>
      <c r="P233" s="7" t="n">
        <v>81.2</v>
      </c>
      <c r="R233" s="7" t="n">
        <v>63.2</v>
      </c>
      <c r="T233" s="7" t="n">
        <v>40.8</v>
      </c>
      <c r="V233" s="7" t="n">
        <v>72</v>
      </c>
      <c r="X233" s="7" t="n">
        <v>23.9</v>
      </c>
      <c r="Z233" s="7" t="n">
        <v>60.9</v>
      </c>
      <c r="AB233" s="7" t="n">
        <v>656.3</v>
      </c>
    </row>
    <row r="234">
      <c r="A234" s="4" t="inlineStr">
        <is>
          <t>清洁费</t>
        </is>
      </c>
      <c r="D234" s="7" t="n">
        <v>33.3</v>
      </c>
      <c r="F234" s="7" t="n">
        <v>53.3</v>
      </c>
      <c r="H234" s="7" t="n">
        <v>164.4</v>
      </c>
      <c r="J234" s="7" t="n">
        <v>91.5</v>
      </c>
      <c r="L234" s="7" t="n">
        <v>167.4</v>
      </c>
      <c r="N234" s="7" t="n">
        <v>209.5</v>
      </c>
      <c r="P234" s="7" t="n">
        <v>268.9</v>
      </c>
      <c r="R234" s="7" t="n">
        <v>183.1</v>
      </c>
      <c r="T234" s="7" t="n">
        <v>83.90000000000001</v>
      </c>
      <c r="V234" s="7" t="n">
        <v>170.8</v>
      </c>
      <c r="X234" s="7" t="n">
        <v>52.5</v>
      </c>
      <c r="Z234" s="7" t="n">
        <v>123.9</v>
      </c>
      <c r="AB234" s="7" t="n">
        <v>1602.5</v>
      </c>
    </row>
    <row r="235">
      <c r="A235" s="4" t="inlineStr">
        <is>
          <t>低值易耗品</t>
        </is>
      </c>
      <c r="D235" s="7" t="n">
        <v>218.8</v>
      </c>
      <c r="F235" s="7" t="n">
        <v>342.7</v>
      </c>
      <c r="H235" s="7" t="n">
        <v>1118.3</v>
      </c>
      <c r="J235" s="7" t="n">
        <v>675</v>
      </c>
      <c r="L235" s="7" t="n">
        <v>1382.9</v>
      </c>
      <c r="N235" s="7" t="n">
        <v>1170.8</v>
      </c>
      <c r="P235" s="7" t="n">
        <v>1320.5</v>
      </c>
      <c r="R235" s="7" t="n">
        <v>1047.3</v>
      </c>
      <c r="T235" s="7" t="n">
        <v>502.1</v>
      </c>
      <c r="V235" s="7" t="n">
        <v>945.4</v>
      </c>
      <c r="X235" s="7" t="n">
        <v>376.4</v>
      </c>
      <c r="Z235" s="7" t="n">
        <v>1099.3</v>
      </c>
      <c r="AB235" s="7" t="n">
        <v>10199.5</v>
      </c>
    </row>
    <row r="236">
      <c r="A236" s="4" t="inlineStr">
        <is>
          <t>物料消耗</t>
        </is>
      </c>
      <c r="D236" s="7" t="n">
        <v>212.3</v>
      </c>
      <c r="F236" s="7" t="n">
        <v>271.7</v>
      </c>
      <c r="H236" s="7" t="n">
        <v>828.6</v>
      </c>
      <c r="J236" s="7" t="n">
        <v>610.3</v>
      </c>
      <c r="L236" s="7" t="n">
        <v>650.3</v>
      </c>
      <c r="N236" s="7" t="n">
        <v>804.9</v>
      </c>
      <c r="P236" s="7" t="n">
        <v>922</v>
      </c>
      <c r="R236" s="7" t="n">
        <v>864</v>
      </c>
      <c r="T236" s="7" t="n">
        <v>495.4</v>
      </c>
      <c r="V236" s="7" t="n">
        <v>1007.7</v>
      </c>
      <c r="X236" s="7" t="n">
        <v>213.6</v>
      </c>
      <c r="Z236" s="7" t="n">
        <v>427.8</v>
      </c>
      <c r="AB236" s="7" t="n">
        <v>7308.6</v>
      </c>
    </row>
    <row r="237">
      <c r="A237" s="4" t="inlineStr">
        <is>
          <t>盘盈盘亏</t>
        </is>
      </c>
      <c r="D237" s="7" t="n">
        <v>164.1</v>
      </c>
      <c r="F237" s="7" t="n">
        <v>226.3</v>
      </c>
      <c r="H237" s="7" t="n">
        <v>390.1</v>
      </c>
      <c r="J237" s="7" t="n">
        <v>455</v>
      </c>
      <c r="L237" s="7" t="n">
        <v>859.2</v>
      </c>
      <c r="N237" s="7" t="n">
        <v>969.7</v>
      </c>
      <c r="P237" s="7" t="n">
        <v>734.5</v>
      </c>
      <c r="R237" s="7" t="n">
        <v>589.9</v>
      </c>
      <c r="T237" s="7" t="n">
        <v>305</v>
      </c>
      <c r="V237" s="7" t="n">
        <v>742.5</v>
      </c>
      <c r="X237" s="7" t="n">
        <v>159.1</v>
      </c>
      <c r="Z237" s="7" t="n">
        <v>550.7</v>
      </c>
      <c r="AB237" s="7" t="n">
        <v>6146.1</v>
      </c>
    </row>
    <row r="238">
      <c r="A238" s="4" t="inlineStr">
        <is>
          <t>平台服务费</t>
        </is>
      </c>
      <c r="D238" s="7" t="n">
        <v>323.5</v>
      </c>
      <c r="F238" s="7" t="n">
        <v>389.6</v>
      </c>
      <c r="H238" s="7" t="n">
        <v>1351.2</v>
      </c>
      <c r="J238" s="7" t="n">
        <v>564.6</v>
      </c>
      <c r="L238" s="7" t="n">
        <v>1634.8</v>
      </c>
      <c r="N238" s="7" t="n">
        <v>1483.6</v>
      </c>
      <c r="P238" s="7" t="n">
        <v>1624.5</v>
      </c>
      <c r="R238" s="7" t="n">
        <v>1233.4</v>
      </c>
      <c r="T238" s="7" t="n">
        <v>595.6</v>
      </c>
      <c r="V238" s="7" t="n">
        <v>1647.2</v>
      </c>
      <c r="X238" s="7" t="n">
        <v>375.1</v>
      </c>
      <c r="Z238" s="7" t="n">
        <v>913.3</v>
      </c>
      <c r="AB238" s="7" t="n">
        <v>12136.4</v>
      </c>
    </row>
    <row r="239">
      <c r="A239" s="4" t="inlineStr">
        <is>
          <t>无形资产摊销</t>
        </is>
      </c>
      <c r="D239" s="7" t="n">
        <v>37.2</v>
      </c>
      <c r="F239" s="7" t="n">
        <v>63.3</v>
      </c>
      <c r="H239" s="7" t="n">
        <v>195.2</v>
      </c>
      <c r="J239" s="7" t="n">
        <v>146.8</v>
      </c>
      <c r="L239" s="7" t="n">
        <v>160.8</v>
      </c>
      <c r="N239" s="7" t="n">
        <v>301.3</v>
      </c>
      <c r="P239" s="7" t="n">
        <v>265.2</v>
      </c>
      <c r="R239" s="7" t="n">
        <v>180.2</v>
      </c>
      <c r="T239" s="7" t="n">
        <v>100.3</v>
      </c>
      <c r="V239" s="7" t="n">
        <v>190.7</v>
      </c>
      <c r="X239" s="7" t="n">
        <v>62</v>
      </c>
      <c r="Z239" s="7" t="n">
        <v>139.5</v>
      </c>
      <c r="AB239" s="7" t="n">
        <v>1842.5</v>
      </c>
    </row>
    <row r="240">
      <c r="A240" s="4" t="inlineStr">
        <is>
          <t>研发材料</t>
        </is>
      </c>
      <c r="D240" s="7" t="n">
        <v>254.3</v>
      </c>
      <c r="F240" s="7" t="n">
        <v>180.7</v>
      </c>
      <c r="H240" s="7" t="n">
        <v>599.3</v>
      </c>
      <c r="J240" s="7" t="n">
        <v>459.8</v>
      </c>
      <c r="L240" s="7" t="n">
        <v>972.1</v>
      </c>
      <c r="N240" s="7" t="n">
        <v>1317.4</v>
      </c>
      <c r="P240" s="7" t="n">
        <v>1149.6</v>
      </c>
      <c r="R240" s="7" t="n">
        <v>1030.5</v>
      </c>
      <c r="T240" s="7" t="n">
        <v>384.3</v>
      </c>
      <c r="V240" s="7" t="n">
        <v>802.5</v>
      </c>
      <c r="X240" s="7" t="n">
        <v>250.5</v>
      </c>
      <c r="Z240" s="7" t="n">
        <v>489.2</v>
      </c>
      <c r="AB240" s="7" t="n">
        <v>7890.2</v>
      </c>
    </row>
    <row r="241">
      <c r="A241" s="4" t="inlineStr">
        <is>
          <t>项目名称</t>
        </is>
      </c>
      <c r="D241" s="7" t="n">
        <v>58.1</v>
      </c>
      <c r="F241" s="7" t="n">
        <v>66.2</v>
      </c>
      <c r="H241" s="7" t="n">
        <v>214.9</v>
      </c>
      <c r="J241" s="7" t="n">
        <v>102.3</v>
      </c>
      <c r="L241" s="7" t="n">
        <v>230.5</v>
      </c>
      <c r="N241" s="7" t="n">
        <v>270.7</v>
      </c>
      <c r="P241" s="7" t="n">
        <v>285.6</v>
      </c>
      <c r="R241" s="7" t="n">
        <v>158</v>
      </c>
      <c r="T241" s="7" t="n">
        <v>85.2</v>
      </c>
      <c r="V241" s="7" t="n">
        <v>168.6</v>
      </c>
      <c r="X241" s="7" t="n">
        <v>59.2</v>
      </c>
      <c r="Z241" s="7" t="n">
        <v>142.2</v>
      </c>
      <c r="AB241" s="7" t="n">
        <v>1841.5</v>
      </c>
    </row>
    <row r="242">
      <c r="A242" s="4" t="inlineStr">
        <is>
          <t>研发费</t>
        </is>
      </c>
      <c r="D242" s="7" t="n">
        <v>263.9</v>
      </c>
      <c r="F242" s="7" t="n">
        <v>448.8</v>
      </c>
      <c r="H242" s="7" t="n">
        <v>1328.3</v>
      </c>
      <c r="J242" s="7" t="n">
        <v>881.6</v>
      </c>
      <c r="L242" s="7" t="n">
        <v>1768.2</v>
      </c>
      <c r="N242" s="7" t="n">
        <v>1761.4</v>
      </c>
      <c r="P242" s="7" t="n">
        <v>1295.9</v>
      </c>
      <c r="R242" s="7" t="n">
        <v>1059.7</v>
      </c>
      <c r="T242" s="7" t="n">
        <v>728.2</v>
      </c>
      <c r="V242" s="7" t="n">
        <v>1558.5</v>
      </c>
      <c r="X242" s="7" t="n">
        <v>303.1</v>
      </c>
      <c r="Z242" s="7" t="n">
        <v>1133</v>
      </c>
      <c r="AB242" s="7" t="n">
        <v>12530.6</v>
      </c>
    </row>
    <row r="243">
      <c r="A243" s="4" t="inlineStr">
        <is>
          <t>残保金</t>
        </is>
      </c>
      <c r="D243" s="7" t="n">
        <v>335.5</v>
      </c>
      <c r="F243" s="7" t="n">
        <v>458.9</v>
      </c>
      <c r="H243" s="7" t="n">
        <v>783.9</v>
      </c>
      <c r="J243" s="7" t="n">
        <v>995.2</v>
      </c>
      <c r="L243" s="7" t="n">
        <v>1093.1</v>
      </c>
      <c r="N243" s="7" t="n">
        <v>1427</v>
      </c>
      <c r="P243" s="7" t="n">
        <v>2265.3</v>
      </c>
      <c r="R243" s="7" t="n">
        <v>1453.6</v>
      </c>
      <c r="T243" s="7" t="n">
        <v>747.5</v>
      </c>
      <c r="V243" s="7" t="n">
        <v>1484</v>
      </c>
      <c r="X243" s="7" t="n">
        <v>549.9</v>
      </c>
      <c r="Z243" s="7" t="n">
        <v>867.7</v>
      </c>
      <c r="AB243" s="7" t="n">
        <v>12461.6</v>
      </c>
    </row>
    <row r="244">
      <c r="A244" s="4" t="inlineStr">
        <is>
          <t>环保费</t>
        </is>
      </c>
      <c r="D244" s="7" t="n">
        <v>42.1</v>
      </c>
      <c r="F244" s="7" t="n">
        <v>53.6</v>
      </c>
      <c r="H244" s="7" t="n">
        <v>122.9</v>
      </c>
      <c r="J244" s="7" t="n">
        <v>90.90000000000001</v>
      </c>
      <c r="L244" s="7" t="n">
        <v>149.7</v>
      </c>
      <c r="N244" s="7" t="n">
        <v>241.6</v>
      </c>
      <c r="P244" s="7" t="n">
        <v>265</v>
      </c>
      <c r="R244" s="7" t="n">
        <v>181.3</v>
      </c>
      <c r="T244" s="7" t="n">
        <v>57.7</v>
      </c>
      <c r="V244" s="7" t="n">
        <v>152.7</v>
      </c>
      <c r="X244" s="7" t="n">
        <v>39.2</v>
      </c>
      <c r="Z244" s="7" t="n">
        <v>132.9</v>
      </c>
      <c r="AB244" s="7" t="n">
        <v>1529.6</v>
      </c>
    </row>
    <row r="245">
      <c r="A245" s="4" t="inlineStr">
        <is>
          <t>报废损失</t>
        </is>
      </c>
      <c r="D245" s="7" t="n">
        <v>222.6</v>
      </c>
      <c r="F245" s="7" t="n">
        <v>296.1</v>
      </c>
      <c r="H245" s="7" t="n">
        <v>730.5</v>
      </c>
      <c r="J245" s="7" t="n">
        <v>678</v>
      </c>
      <c r="L245" s="7" t="n">
        <v>1166.7</v>
      </c>
      <c r="N245" s="7" t="n">
        <v>1534.4</v>
      </c>
      <c r="P245" s="7" t="n">
        <v>1525.3</v>
      </c>
      <c r="R245" s="7" t="n">
        <v>939</v>
      </c>
      <c r="T245" s="7" t="n">
        <v>623.9</v>
      </c>
      <c r="V245" s="7" t="n">
        <v>1066.2</v>
      </c>
      <c r="X245" s="7" t="n">
        <v>437.8</v>
      </c>
      <c r="Z245" s="7" t="n">
        <v>882.1</v>
      </c>
      <c r="AB245" s="7" t="n">
        <v>10102.6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6287.9</v>
      </c>
      <c r="D246" s="7" t="n">
        <v>2938.2</v>
      </c>
      <c r="E246" s="7" t="n">
        <v>7683.4</v>
      </c>
      <c r="F246" s="7" t="n">
        <v>16035.8</v>
      </c>
      <c r="G246" s="7" t="n">
        <v>7514.2</v>
      </c>
      <c r="H246" s="7" t="n">
        <v>11528.3</v>
      </c>
      <c r="I246" s="7" t="n">
        <v>6564.2</v>
      </c>
      <c r="J246" s="7" t="n">
        <v>16939.3</v>
      </c>
      <c r="K246" s="7" t="n">
        <v>6387.2</v>
      </c>
      <c r="L246" s="7" t="n">
        <v>-4109.1</v>
      </c>
      <c r="M246" s="7" t="n">
        <v>7814</v>
      </c>
      <c r="N246" s="7" t="n">
        <v>10862.4</v>
      </c>
      <c r="O246" s="7" t="n">
        <v>7971.9</v>
      </c>
      <c r="P246" s="7" t="n">
        <v>-4800.7</v>
      </c>
      <c r="Q246" s="7" t="n">
        <v>7774.6</v>
      </c>
      <c r="R246" s="7" t="n">
        <v>-1578.1</v>
      </c>
      <c r="S246" s="7" t="n">
        <v>7547.7</v>
      </c>
      <c r="T246" s="7" t="n">
        <v>4405.2</v>
      </c>
      <c r="U246" s="7" t="n">
        <v>5975.6</v>
      </c>
      <c r="V246" s="7" t="n">
        <v>18579.1</v>
      </c>
      <c r="W246" s="7" t="n">
        <v>6110.6</v>
      </c>
      <c r="X246" s="7" t="n">
        <v>11833.7</v>
      </c>
      <c r="Y246" s="7" t="n">
        <v>7143.8</v>
      </c>
      <c r="Z246" s="7" t="n">
        <v>1632.2</v>
      </c>
      <c r="AA246" s="8" t="n">
        <v>84775.10000000001</v>
      </c>
      <c r="AB246" s="8" t="n">
        <v>84266.3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-2914.5</v>
      </c>
      <c r="E248" s="7" t="n">
        <v>0</v>
      </c>
      <c r="F248" s="7" t="n">
        <v>-3218.8</v>
      </c>
      <c r="G248" s="7" t="n">
        <v>0</v>
      </c>
      <c r="H248" s="7" t="n">
        <v>-818.4</v>
      </c>
      <c r="I248" s="7" t="n">
        <v>0</v>
      </c>
      <c r="J248" s="7" t="n">
        <v>-2369.3</v>
      </c>
      <c r="K248" s="7" t="n">
        <v>0</v>
      </c>
      <c r="L248" s="7" t="n">
        <v>-1197.1</v>
      </c>
      <c r="M248" s="7" t="n">
        <v>0</v>
      </c>
      <c r="N248" s="7" t="n">
        <v>839</v>
      </c>
      <c r="O248" s="7" t="n">
        <v>0</v>
      </c>
      <c r="P248" s="7" t="n">
        <v>1377.1</v>
      </c>
      <c r="Q248" s="7" t="n">
        <v>0</v>
      </c>
      <c r="R248" s="7" t="n">
        <v>-157.7</v>
      </c>
      <c r="S248" s="7" t="n">
        <v>0</v>
      </c>
      <c r="T248" s="7" t="n">
        <v>1569.4</v>
      </c>
      <c r="U248" s="7" t="n">
        <v>0</v>
      </c>
      <c r="V248" s="7" t="n">
        <v>-3199.4</v>
      </c>
      <c r="W248" s="7" t="n">
        <v>0</v>
      </c>
      <c r="X248" s="7" t="n">
        <v>-1999</v>
      </c>
      <c r="Y248" s="7" t="n">
        <v>0</v>
      </c>
      <c r="Z248" s="7" t="n">
        <v>-2681.1</v>
      </c>
      <c r="AA248" s="7" t="n">
        <v>0</v>
      </c>
      <c r="AB248" s="7" t="n">
        <v>-14769.8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13990.7</v>
      </c>
      <c r="D253" s="7" t="n">
        <v>8763.5</v>
      </c>
      <c r="E253" s="7" t="n">
        <v>15483.4</v>
      </c>
      <c r="F253" s="7" t="n">
        <v>14551.8</v>
      </c>
      <c r="G253" s="7" t="n">
        <v>13062.4</v>
      </c>
      <c r="H253" s="7" t="n">
        <v>23902.4</v>
      </c>
      <c r="I253" s="7" t="n">
        <v>14607.8</v>
      </c>
      <c r="J253" s="7" t="n">
        <v>11766.3</v>
      </c>
      <c r="K253" s="7" t="n">
        <v>13961.9</v>
      </c>
      <c r="L253" s="7" t="n">
        <v>10713.8</v>
      </c>
      <c r="M253" s="7" t="n">
        <v>13052.3</v>
      </c>
      <c r="N253" s="7" t="n">
        <v>14428.8</v>
      </c>
      <c r="O253" s="7" t="n">
        <v>15636.4</v>
      </c>
      <c r="P253" s="7" t="n">
        <v>2896</v>
      </c>
      <c r="Q253" s="7" t="n">
        <v>15671.2</v>
      </c>
      <c r="R253" s="7" t="n">
        <v>3371</v>
      </c>
      <c r="S253" s="7" t="n">
        <v>15976.2</v>
      </c>
      <c r="T253" s="7" t="n">
        <v>26426.9</v>
      </c>
      <c r="U253" s="7" t="n">
        <v>14692</v>
      </c>
      <c r="V253" s="7" t="n">
        <v>22648.8</v>
      </c>
      <c r="W253" s="7" t="n">
        <v>16113.7</v>
      </c>
      <c r="X253" s="7" t="n">
        <v>8618.1</v>
      </c>
      <c r="Y253" s="7" t="n">
        <v>14716.1</v>
      </c>
      <c r="Z253" s="7" t="n">
        <v>29080.9</v>
      </c>
      <c r="AA253" s="7" t="n">
        <v>176964.1</v>
      </c>
      <c r="AB253" s="7" t="n">
        <v>177168.3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563912</v>
      </c>
      <c r="D254" s="7" t="n">
        <v>328780.6</v>
      </c>
      <c r="E254" s="7" t="n">
        <v>653539</v>
      </c>
      <c r="F254" s="7" t="n">
        <v>323734.9</v>
      </c>
      <c r="G254" s="7" t="n">
        <v>541166.8</v>
      </c>
      <c r="H254" s="7" t="n">
        <v>415268.1</v>
      </c>
      <c r="I254" s="7" t="n">
        <v>621403.5</v>
      </c>
      <c r="J254" s="7" t="n">
        <v>697650.4</v>
      </c>
      <c r="K254" s="7" t="n">
        <v>553646.1</v>
      </c>
      <c r="L254" s="7" t="n">
        <v>890972.5</v>
      </c>
      <c r="M254" s="7" t="n">
        <v>637165.3</v>
      </c>
      <c r="N254" s="7" t="n">
        <v>917514.7</v>
      </c>
      <c r="O254" s="7" t="n">
        <v>548179.6</v>
      </c>
      <c r="P254" s="7" t="n">
        <v>485199.4</v>
      </c>
      <c r="Q254" s="7" t="n">
        <v>565854.3</v>
      </c>
      <c r="R254" s="7" t="n">
        <v>835701</v>
      </c>
      <c r="S254" s="7" t="n">
        <v>594240.7</v>
      </c>
      <c r="T254" s="7" t="n">
        <v>511685.5</v>
      </c>
      <c r="U254" s="7" t="n">
        <v>523408.1</v>
      </c>
      <c r="V254" s="7" t="n">
        <v>616114.2</v>
      </c>
      <c r="W254" s="7" t="n">
        <v>530328.9</v>
      </c>
      <c r="X254" s="7" t="n">
        <v>526119.7</v>
      </c>
      <c r="Y254" s="7" t="n">
        <v>603449.7</v>
      </c>
      <c r="Z254" s="7" t="n">
        <v>430340.1</v>
      </c>
      <c r="AA254" s="8" t="n">
        <v>6936294</v>
      </c>
      <c r="AB254" s="8" t="n">
        <v>6979081.1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4739.4</v>
      </c>
      <c r="E255" s="7" t="n">
        <v>0</v>
      </c>
      <c r="F255" s="7" t="n">
        <v>3066.5</v>
      </c>
      <c r="G255" s="7" t="n">
        <v>0</v>
      </c>
      <c r="H255" s="7" t="n">
        <v>1648.4</v>
      </c>
      <c r="I255" s="7" t="n">
        <v>0</v>
      </c>
      <c r="J255" s="7" t="n">
        <v>3024.8</v>
      </c>
      <c r="K255" s="7" t="n">
        <v>0</v>
      </c>
      <c r="L255" s="7" t="n">
        <v>99.59999999999999</v>
      </c>
      <c r="M255" s="7" t="n">
        <v>0</v>
      </c>
      <c r="N255" s="7" t="n">
        <v>3611.1</v>
      </c>
      <c r="O255" s="7" t="n">
        <v>0</v>
      </c>
      <c r="P255" s="7" t="n">
        <v>4012.1</v>
      </c>
      <c r="Q255" s="7" t="n">
        <v>0</v>
      </c>
      <c r="R255" s="7" t="n">
        <v>451.3</v>
      </c>
      <c r="S255" s="7" t="n">
        <v>0</v>
      </c>
      <c r="T255" s="7" t="n">
        <v>3523.7</v>
      </c>
      <c r="U255" s="7" t="n">
        <v>0</v>
      </c>
      <c r="V255" s="7" t="n">
        <v>4561.1</v>
      </c>
      <c r="W255" s="7" t="n">
        <v>0</v>
      </c>
      <c r="X255" s="7" t="n">
        <v>3834.2</v>
      </c>
      <c r="Y255" s="7" t="n">
        <v>0</v>
      </c>
      <c r="Z255" s="7" t="n">
        <v>2764.5</v>
      </c>
      <c r="AA255" s="7" t="n">
        <v>0</v>
      </c>
      <c r="AB255" s="7" t="n">
        <v>35336.7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1964.8</v>
      </c>
      <c r="E256" s="7" t="n">
        <v>0</v>
      </c>
      <c r="F256" s="7" t="n">
        <v>1555.9</v>
      </c>
      <c r="G256" s="7" t="n">
        <v>0</v>
      </c>
      <c r="H256" s="7" t="n">
        <v>1086.3</v>
      </c>
      <c r="I256" s="7" t="n">
        <v>0</v>
      </c>
      <c r="J256" s="7" t="n">
        <v>595.3</v>
      </c>
      <c r="K256" s="7" t="n">
        <v>0</v>
      </c>
      <c r="L256" s="7" t="n">
        <v>471</v>
      </c>
      <c r="M256" s="7" t="n">
        <v>0</v>
      </c>
      <c r="N256" s="7" t="n">
        <v>1607.1</v>
      </c>
      <c r="O256" s="7" t="n">
        <v>0</v>
      </c>
      <c r="P256" s="7" t="n">
        <v>2579.2</v>
      </c>
      <c r="Q256" s="7" t="n">
        <v>0</v>
      </c>
      <c r="R256" s="7" t="n">
        <v>688</v>
      </c>
      <c r="S256" s="7" t="n">
        <v>0</v>
      </c>
      <c r="T256" s="7" t="n">
        <v>2403.9</v>
      </c>
      <c r="U256" s="7" t="n">
        <v>0</v>
      </c>
      <c r="V256" s="7" t="n">
        <v>2732</v>
      </c>
      <c r="W256" s="7" t="n">
        <v>0</v>
      </c>
      <c r="X256" s="7" t="n">
        <v>994.5</v>
      </c>
      <c r="Y256" s="7" t="n">
        <v>0</v>
      </c>
      <c r="Z256" s="7" t="n">
        <v>646.8</v>
      </c>
      <c r="AA256" s="7" t="n">
        <v>0</v>
      </c>
      <c r="AB256" s="7" t="n">
        <v>17324.8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527250.4</v>
      </c>
      <c r="D257" s="7" t="n">
        <v>344123.8</v>
      </c>
      <c r="E257" s="7" t="n">
        <v>531554.7</v>
      </c>
      <c r="F257" s="7" t="n">
        <v>352224.5</v>
      </c>
      <c r="G257" s="7" t="n">
        <v>506085</v>
      </c>
      <c r="H257" s="7" t="n">
        <v>376737.4</v>
      </c>
      <c r="I257" s="7" t="n">
        <v>619114</v>
      </c>
      <c r="J257" s="7" t="n">
        <v>630679.9</v>
      </c>
      <c r="K257" s="7" t="n">
        <v>597073.7</v>
      </c>
      <c r="L257" s="7" t="n">
        <v>969441.4</v>
      </c>
      <c r="M257" s="7" t="n">
        <v>507377.2</v>
      </c>
      <c r="N257" s="7" t="n">
        <v>844576.1</v>
      </c>
      <c r="O257" s="7" t="n">
        <v>611664.2</v>
      </c>
      <c r="P257" s="7" t="n">
        <v>475295.3</v>
      </c>
      <c r="Q257" s="7" t="n">
        <v>531133.7</v>
      </c>
      <c r="R257" s="7" t="n">
        <v>833177.2</v>
      </c>
      <c r="S257" s="7" t="n">
        <v>499457</v>
      </c>
      <c r="T257" s="7" t="n">
        <v>476578.3</v>
      </c>
      <c r="U257" s="7" t="n">
        <v>497569.9</v>
      </c>
      <c r="V257" s="7" t="n">
        <v>591650.3</v>
      </c>
      <c r="W257" s="7" t="n">
        <v>608512.8</v>
      </c>
      <c r="X257" s="7" t="n">
        <v>497709.8</v>
      </c>
      <c r="Y257" s="7" t="n">
        <v>615405.6</v>
      </c>
      <c r="Z257" s="7" t="n">
        <v>453786</v>
      </c>
      <c r="AA257" s="8" t="n">
        <v>6652198.2</v>
      </c>
      <c r="AB257" s="8" t="n">
        <v>6845980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139003.9</v>
      </c>
      <c r="D258" s="7" t="n">
        <v>86030.89999999999</v>
      </c>
      <c r="E258" s="7" t="n">
        <v>121861.7</v>
      </c>
      <c r="F258" s="7" t="n">
        <v>88056.10000000001</v>
      </c>
      <c r="G258" s="7" t="n">
        <v>156755.2</v>
      </c>
      <c r="H258" s="7" t="n">
        <v>94184.39999999999</v>
      </c>
      <c r="I258" s="7" t="n">
        <v>147111.8</v>
      </c>
      <c r="J258" s="7" t="n">
        <v>157670</v>
      </c>
      <c r="K258" s="7" t="n">
        <v>127728.1</v>
      </c>
      <c r="L258" s="7" t="n">
        <v>242360.4</v>
      </c>
      <c r="M258" s="7" t="n">
        <v>152717</v>
      </c>
      <c r="N258" s="7" t="n">
        <v>211144</v>
      </c>
      <c r="O258" s="7" t="n">
        <v>155145</v>
      </c>
      <c r="P258" s="7" t="n">
        <v>118823.8</v>
      </c>
      <c r="Q258" s="7" t="n">
        <v>129543.8</v>
      </c>
      <c r="R258" s="7" t="n">
        <v>208294.3</v>
      </c>
      <c r="S258" s="7" t="n">
        <v>147146.8</v>
      </c>
      <c r="T258" s="7" t="n">
        <v>119144.6</v>
      </c>
      <c r="U258" s="7" t="n">
        <v>134588.7</v>
      </c>
      <c r="V258" s="7" t="n">
        <v>147912.6</v>
      </c>
      <c r="W258" s="7" t="n">
        <v>135082.3</v>
      </c>
      <c r="X258" s="7" t="n">
        <v>124427.4</v>
      </c>
      <c r="Y258" s="7" t="n">
        <v>143153.2</v>
      </c>
      <c r="Z258" s="7" t="n">
        <v>113446.5</v>
      </c>
      <c r="AA258" s="7" t="n">
        <v>1689837.5</v>
      </c>
      <c r="AB258" s="7" t="n">
        <v>1711495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438296.5</v>
      </c>
      <c r="D259" s="7" t="n">
        <v>258092.9</v>
      </c>
      <c r="E259" s="7" t="n">
        <v>512329.4</v>
      </c>
      <c r="F259" s="7" t="n">
        <v>264168.4</v>
      </c>
      <c r="G259" s="7" t="n">
        <v>301343.9</v>
      </c>
      <c r="H259" s="7" t="n">
        <v>282553</v>
      </c>
      <c r="I259" s="7" t="n">
        <v>373805.3</v>
      </c>
      <c r="J259" s="7" t="n">
        <v>473009.9</v>
      </c>
      <c r="K259" s="7" t="n">
        <v>358722.8</v>
      </c>
      <c r="L259" s="7" t="n">
        <v>727081</v>
      </c>
      <c r="M259" s="7" t="n">
        <v>483151.6</v>
      </c>
      <c r="N259" s="7" t="n">
        <v>633432.1</v>
      </c>
      <c r="O259" s="7" t="n">
        <v>337130.8</v>
      </c>
      <c r="P259" s="7" t="n">
        <v>356471.5</v>
      </c>
      <c r="Q259" s="7" t="n">
        <v>323208.6</v>
      </c>
      <c r="R259" s="7" t="n">
        <v>624882.9</v>
      </c>
      <c r="S259" s="7" t="n">
        <v>384760.7</v>
      </c>
      <c r="T259" s="7" t="n">
        <v>357433.7</v>
      </c>
      <c r="U259" s="7" t="n">
        <v>378393.2</v>
      </c>
      <c r="V259" s="7" t="n">
        <v>443737.7</v>
      </c>
      <c r="W259" s="7" t="n">
        <v>344250.3</v>
      </c>
      <c r="X259" s="7" t="n">
        <v>373282.4</v>
      </c>
      <c r="Y259" s="7" t="n">
        <v>337404.7</v>
      </c>
      <c r="Z259" s="7" t="n">
        <v>340339.5</v>
      </c>
      <c r="AA259" s="8" t="n">
        <v>4572797.8</v>
      </c>
      <c r="AB259" s="8" t="n">
        <v>5134485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1814.3</v>
      </c>
      <c r="E260" s="7" t="n">
        <v>0</v>
      </c>
      <c r="F260" s="7" t="n">
        <v>21718.6</v>
      </c>
      <c r="G260" s="7" t="n">
        <v>0</v>
      </c>
      <c r="H260" s="7" t="n">
        <v>17179.2</v>
      </c>
      <c r="I260" s="7" t="n">
        <v>0</v>
      </c>
      <c r="J260" s="7" t="n">
        <v>37500.7</v>
      </c>
      <c r="K260" s="7" t="n">
        <v>0</v>
      </c>
      <c r="L260" s="7" t="n">
        <v>143100.6</v>
      </c>
      <c r="M260" s="7" t="n">
        <v>0</v>
      </c>
      <c r="N260" s="7" t="n">
        <v>89580</v>
      </c>
      <c r="O260" s="7" t="n">
        <v>0</v>
      </c>
      <c r="P260" s="7" t="n">
        <v>31145.5</v>
      </c>
      <c r="Q260" s="7" t="n">
        <v>0</v>
      </c>
      <c r="R260" s="7" t="n">
        <v>17445.9</v>
      </c>
      <c r="S260" s="7" t="n">
        <v>0</v>
      </c>
      <c r="T260" s="7" t="n">
        <v>103679.3</v>
      </c>
      <c r="U260" s="7" t="n">
        <v>0</v>
      </c>
      <c r="V260" s="7" t="n">
        <v>74680.60000000001</v>
      </c>
      <c r="W260" s="7" t="n">
        <v>0</v>
      </c>
      <c r="X260" s="7" t="n">
        <v>54127.8</v>
      </c>
      <c r="Y260" s="7" t="n">
        <v>0</v>
      </c>
      <c r="Z260" s="7" t="n">
        <v>92674.39999999999</v>
      </c>
      <c r="AA260" s="7" t="n">
        <v>0</v>
      </c>
      <c r="AB260" s="7" t="n">
        <v>684646.9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438296.5</v>
      </c>
      <c r="D261" s="7" t="n">
        <v>256278.6</v>
      </c>
      <c r="E261" s="7" t="n">
        <v>512329.4</v>
      </c>
      <c r="F261" s="7" t="n">
        <v>242449.8</v>
      </c>
      <c r="G261" s="7" t="n">
        <v>301343.9</v>
      </c>
      <c r="H261" s="7" t="n">
        <v>265373.8</v>
      </c>
      <c r="I261" s="7" t="n">
        <v>373805.3</v>
      </c>
      <c r="J261" s="7" t="n">
        <v>435509.2</v>
      </c>
      <c r="K261" s="7" t="n">
        <v>358722.8</v>
      </c>
      <c r="L261" s="7" t="n">
        <v>583980.4</v>
      </c>
      <c r="M261" s="7" t="n">
        <v>483151.6</v>
      </c>
      <c r="N261" s="7" t="n">
        <v>543852.1</v>
      </c>
      <c r="O261" s="7" t="n">
        <v>337130.8</v>
      </c>
      <c r="P261" s="7" t="n">
        <v>325326</v>
      </c>
      <c r="Q261" s="7" t="n">
        <v>323208.6</v>
      </c>
      <c r="R261" s="7" t="n">
        <v>607437</v>
      </c>
      <c r="S261" s="7" t="n">
        <v>384760.7</v>
      </c>
      <c r="T261" s="7" t="n">
        <v>253754.4</v>
      </c>
      <c r="U261" s="7" t="n">
        <v>378393.2</v>
      </c>
      <c r="V261" s="7" t="n">
        <v>369057.1</v>
      </c>
      <c r="W261" s="7" t="n">
        <v>344250.3</v>
      </c>
      <c r="X261" s="7" t="n">
        <v>319154.6</v>
      </c>
      <c r="Y261" s="7" t="n">
        <v>337404.7</v>
      </c>
      <c r="Z261" s="7" t="n">
        <v>247665.1</v>
      </c>
      <c r="AA261" s="8" t="n">
        <v>4572797.8</v>
      </c>
      <c r="AB261" s="8" t="n">
        <v>4449838.1</v>
      </c>
    </row>
    <row r="262">
      <c r="A262" s="4" t="inlineStr">
        <is>
          <t>净利率</t>
        </is>
      </c>
      <c r="D262" s="13" t="n">
        <v>7.5</v>
      </c>
      <c r="F262" s="13" t="n">
        <v>6.7</v>
      </c>
      <c r="H262" s="13" t="n">
        <v>5.9</v>
      </c>
      <c r="J262" s="13" t="n">
        <v>7.6</v>
      </c>
      <c r="L262" s="13" t="n">
        <v>11.1</v>
      </c>
      <c r="N262" s="13" t="n">
        <v>9.1</v>
      </c>
      <c r="P262" s="13" t="n">
        <v>4.8</v>
      </c>
      <c r="R262" s="13" t="n">
        <v>10.2</v>
      </c>
      <c r="T262" s="13" t="n">
        <v>6.1</v>
      </c>
      <c r="V262" s="13" t="n">
        <v>6.4</v>
      </c>
      <c r="X262" s="13" t="n">
        <v>6.8</v>
      </c>
      <c r="Z262" s="13" t="n">
        <v>8.300000000000001</v>
      </c>
    </row>
    <row r="263">
      <c r="A263" s="4" t="inlineStr">
        <is>
          <t>销售达成率</t>
        </is>
      </c>
      <c r="D263" s="13" t="n">
        <v>58.7</v>
      </c>
      <c r="F263" s="13" t="n">
        <v>74.8</v>
      </c>
      <c r="H263" s="13" t="n">
        <v>91.09999999999999</v>
      </c>
      <c r="J263" s="13" t="n">
        <v>125.6</v>
      </c>
      <c r="L263" s="13" t="n">
        <v>110.2</v>
      </c>
      <c r="N263" s="13" t="n">
        <v>132.4</v>
      </c>
      <c r="P263" s="13" t="n">
        <v>116.7</v>
      </c>
      <c r="R263" s="13" t="n">
        <v>97</v>
      </c>
      <c r="T263" s="13" t="n">
        <v>117.7</v>
      </c>
      <c r="V263" s="13" t="n">
        <v>131.8</v>
      </c>
      <c r="X263" s="13" t="n">
        <v>91.09999999999999</v>
      </c>
      <c r="Z263" s="13" t="n">
        <v>78.3</v>
      </c>
    </row>
    <row r="264">
      <c r="A264" s="4" t="inlineStr">
        <is>
          <t>净利达成率</t>
        </is>
      </c>
      <c r="D264" s="13" t="n">
        <v>58.9</v>
      </c>
      <c r="F264" s="13" t="n">
        <v>51.6</v>
      </c>
      <c r="H264" s="13" t="n">
        <v>93.8</v>
      </c>
      <c r="J264" s="13" t="n">
        <v>126.5</v>
      </c>
      <c r="L264" s="13" t="n">
        <v>202.7</v>
      </c>
      <c r="N264" s="13" t="n">
        <v>131.1</v>
      </c>
      <c r="P264" s="13" t="n">
        <v>105.7</v>
      </c>
      <c r="R264" s="13" t="n">
        <v>193.3</v>
      </c>
      <c r="T264" s="13" t="n">
        <v>92.90000000000001</v>
      </c>
      <c r="V264" s="13" t="n">
        <v>117.3</v>
      </c>
      <c r="X264" s="13" t="n">
        <v>108.4</v>
      </c>
      <c r="Z264" s="13" t="n">
        <v>100.9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浙江区域利润表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11045190.8</v>
      </c>
      <c r="D6" s="7" t="n">
        <v>6411587.5</v>
      </c>
      <c r="E6" s="7" t="n">
        <v>9756843.1</v>
      </c>
      <c r="F6" s="7" t="n">
        <v>6512290.9</v>
      </c>
      <c r="G6" s="7" t="n">
        <v>10923829.1</v>
      </c>
      <c r="H6" s="7" t="n">
        <v>8480283.699999999</v>
      </c>
      <c r="I6" s="7" t="n">
        <v>8538163.300000001</v>
      </c>
      <c r="J6" s="7" t="n">
        <v>9756578.699999999</v>
      </c>
      <c r="K6" s="7" t="n">
        <v>11014065.8</v>
      </c>
      <c r="L6" s="7" t="n">
        <v>10676052.8</v>
      </c>
      <c r="M6" s="7" t="n">
        <v>8721240.199999999</v>
      </c>
      <c r="N6" s="7" t="n">
        <v>11517684.8</v>
      </c>
      <c r="O6" s="7" t="n">
        <v>10991288.2</v>
      </c>
      <c r="P6" s="7" t="n">
        <v>12919221.8</v>
      </c>
      <c r="Q6" s="7" t="n">
        <v>8972863.1</v>
      </c>
      <c r="R6" s="7" t="n">
        <v>11863961.2</v>
      </c>
      <c r="S6" s="7" t="n">
        <v>8518070.199999999</v>
      </c>
      <c r="T6" s="7" t="n">
        <v>9747745.6</v>
      </c>
      <c r="U6" s="7" t="n">
        <v>9462500.300000001</v>
      </c>
      <c r="V6" s="7" t="n">
        <v>10758055.5</v>
      </c>
      <c r="W6" s="7" t="n">
        <v>10313750.6</v>
      </c>
      <c r="X6" s="7" t="n">
        <v>9531122.699999999</v>
      </c>
      <c r="Y6" s="7" t="n">
        <v>9112462.4</v>
      </c>
      <c r="Z6" s="7" t="n">
        <v>6685254.8</v>
      </c>
      <c r="AA6" s="8" t="n">
        <v>117370267.1</v>
      </c>
      <c r="AB6" s="8" t="n">
        <v>114859840</v>
      </c>
    </row>
    <row r="7">
      <c r="A7" s="4" t="inlineStr">
        <is>
          <t>数控机床</t>
        </is>
      </c>
      <c r="D7" s="7" t="n">
        <v>1125059.3</v>
      </c>
      <c r="F7" s="7" t="n">
        <v>940653.9</v>
      </c>
      <c r="H7" s="7" t="n">
        <v>1672654.6</v>
      </c>
      <c r="J7" s="7" t="n">
        <v>1917706.3</v>
      </c>
      <c r="L7" s="7" t="n">
        <v>1561589.3</v>
      </c>
      <c r="N7" s="7" t="n">
        <v>1740855</v>
      </c>
      <c r="P7" s="7" t="n">
        <v>1753784</v>
      </c>
      <c r="R7" s="7" t="n">
        <v>2151965.3</v>
      </c>
      <c r="T7" s="7" t="n">
        <v>1824456.7</v>
      </c>
      <c r="V7" s="7" t="n">
        <v>1905413.9</v>
      </c>
      <c r="X7" s="7" t="n">
        <v>1766663.9</v>
      </c>
      <c r="Z7" s="7" t="n">
        <v>1246998.8</v>
      </c>
      <c r="AB7" s="7" t="n">
        <v>19607801</v>
      </c>
    </row>
    <row r="8">
      <c r="A8" s="4" t="inlineStr">
        <is>
          <t>精密轴承</t>
        </is>
      </c>
      <c r="D8" s="7" t="n">
        <v>886990.1</v>
      </c>
      <c r="F8" s="7" t="n">
        <v>886149.1</v>
      </c>
      <c r="H8" s="7" t="n">
        <v>921958.9</v>
      </c>
      <c r="J8" s="7" t="n">
        <v>1246334.9</v>
      </c>
      <c r="L8" s="7" t="n">
        <v>1181761.4</v>
      </c>
      <c r="N8" s="7" t="n">
        <v>1242990.2</v>
      </c>
      <c r="P8" s="7" t="n">
        <v>1679911.7</v>
      </c>
      <c r="R8" s="7" t="n">
        <v>1224361.6</v>
      </c>
      <c r="T8" s="7" t="n">
        <v>1439265.4</v>
      </c>
      <c r="V8" s="7" t="n">
        <v>1550379.4</v>
      </c>
      <c r="X8" s="7" t="n">
        <v>1084223</v>
      </c>
      <c r="Z8" s="7" t="n">
        <v>879382.4</v>
      </c>
      <c r="AB8" s="7" t="n">
        <v>14223708.1</v>
      </c>
    </row>
    <row r="9">
      <c r="A9" s="4" t="inlineStr">
        <is>
          <t>液压件</t>
        </is>
      </c>
      <c r="D9" s="7" t="n">
        <v>649630.7</v>
      </c>
      <c r="F9" s="7" t="n">
        <v>668499.2</v>
      </c>
      <c r="H9" s="7" t="n">
        <v>825134.3</v>
      </c>
      <c r="J9" s="7" t="n">
        <v>1096937.6</v>
      </c>
      <c r="L9" s="7" t="n">
        <v>1077903.5</v>
      </c>
      <c r="N9" s="7" t="n">
        <v>1433150.8</v>
      </c>
      <c r="P9" s="7" t="n">
        <v>1146858.7</v>
      </c>
      <c r="R9" s="7" t="n">
        <v>1286168.9</v>
      </c>
      <c r="T9" s="7" t="n">
        <v>1147723.5</v>
      </c>
      <c r="V9" s="7" t="n">
        <v>1032135.2</v>
      </c>
      <c r="X9" s="7" t="n">
        <v>969907.1</v>
      </c>
      <c r="Z9" s="7" t="n">
        <v>833531.5</v>
      </c>
      <c r="AB9" s="7" t="n">
        <v>12167581</v>
      </c>
    </row>
    <row r="10">
      <c r="A10" s="4" t="inlineStr">
        <is>
          <t>气动元件</t>
        </is>
      </c>
      <c r="D10" s="7" t="n">
        <v>316950.8</v>
      </c>
      <c r="F10" s="7" t="n">
        <v>349599.1</v>
      </c>
      <c r="H10" s="7" t="n">
        <v>360191.9</v>
      </c>
      <c r="J10" s="7" t="n">
        <v>395102.4</v>
      </c>
      <c r="L10" s="7" t="n">
        <v>468711.2</v>
      </c>
      <c r="N10" s="7" t="n">
        <v>611514.1</v>
      </c>
      <c r="P10" s="7" t="n">
        <v>642149.4</v>
      </c>
      <c r="R10" s="7" t="n">
        <v>513302.8</v>
      </c>
      <c r="T10" s="7" t="n">
        <v>533689.2</v>
      </c>
      <c r="V10" s="7" t="n">
        <v>545350.3</v>
      </c>
      <c r="X10" s="7" t="n">
        <v>338126.7</v>
      </c>
      <c r="Z10" s="7" t="n">
        <v>346150.2</v>
      </c>
      <c r="AB10" s="7" t="n">
        <v>5420838.1</v>
      </c>
    </row>
    <row r="11">
      <c r="A11" s="4" t="inlineStr">
        <is>
          <t>模具</t>
        </is>
      </c>
      <c r="D11" s="7" t="n">
        <v>1493764.5</v>
      </c>
      <c r="F11" s="7" t="n">
        <v>1372547.3</v>
      </c>
      <c r="H11" s="7" t="n">
        <v>2531674</v>
      </c>
      <c r="J11" s="7" t="n">
        <v>2483665.5</v>
      </c>
      <c r="L11" s="7" t="n">
        <v>2771655.3</v>
      </c>
      <c r="N11" s="7" t="n">
        <v>2490831.2</v>
      </c>
      <c r="P11" s="7" t="n">
        <v>3676998</v>
      </c>
      <c r="R11" s="7" t="n">
        <v>3070223.5</v>
      </c>
      <c r="T11" s="7" t="n">
        <v>2156313.5</v>
      </c>
      <c r="V11" s="7" t="n">
        <v>2461968.5</v>
      </c>
      <c r="X11" s="7" t="n">
        <v>2532576.9</v>
      </c>
      <c r="Z11" s="7" t="n">
        <v>1789837.3</v>
      </c>
      <c r="AB11" s="7" t="n">
        <v>28832055.5</v>
      </c>
    </row>
    <row r="12">
      <c r="A12" s="4" t="inlineStr">
        <is>
          <t>工装夹具</t>
        </is>
      </c>
      <c r="D12" s="7" t="n">
        <v>2025402.6</v>
      </c>
      <c r="F12" s="7" t="n">
        <v>2318562.9</v>
      </c>
      <c r="H12" s="7" t="n">
        <v>2147419.9</v>
      </c>
      <c r="J12" s="7" t="n">
        <v>2748263.3</v>
      </c>
      <c r="L12" s="7" t="n">
        <v>3632390.4</v>
      </c>
      <c r="N12" s="7" t="n">
        <v>3974647.5</v>
      </c>
      <c r="P12" s="7" t="n">
        <v>4270059.6</v>
      </c>
      <c r="R12" s="7" t="n">
        <v>3723039.1</v>
      </c>
      <c r="T12" s="7" t="n">
        <v>2618931.1</v>
      </c>
      <c r="V12" s="7" t="n">
        <v>3479085.8</v>
      </c>
      <c r="X12" s="7" t="n">
        <v>2964648.9</v>
      </c>
      <c r="Z12" s="7" t="n">
        <v>1669290</v>
      </c>
      <c r="AB12" s="7" t="n">
        <v>35571741.1</v>
      </c>
    </row>
    <row r="13">
      <c r="A13" s="4" t="inlineStr">
        <is>
          <t>返利</t>
        </is>
      </c>
      <c r="D13" s="7" t="n">
        <v>-134271</v>
      </c>
      <c r="F13" s="7" t="n">
        <v>-97336.10000000001</v>
      </c>
      <c r="H13" s="7" t="n">
        <v>-87502.39999999999</v>
      </c>
      <c r="J13" s="7" t="n">
        <v>-197173.8</v>
      </c>
      <c r="L13" s="7" t="n">
        <v>-191133</v>
      </c>
      <c r="N13" s="7" t="n">
        <v>-200624.7</v>
      </c>
      <c r="P13" s="7" t="n">
        <v>-275664.6</v>
      </c>
      <c r="R13" s="7" t="n">
        <v>-145616.6</v>
      </c>
      <c r="T13" s="7" t="n">
        <v>-140762.9</v>
      </c>
      <c r="V13" s="7" t="n">
        <v>-323784.7</v>
      </c>
      <c r="X13" s="7" t="n">
        <v>-173298.6</v>
      </c>
      <c r="Z13" s="7" t="n">
        <v>-99058</v>
      </c>
      <c r="AB13" s="7" t="n">
        <v>-2066226.4</v>
      </c>
    </row>
    <row r="14">
      <c r="A14" s="4" t="inlineStr">
        <is>
          <t>其他</t>
        </is>
      </c>
      <c r="D14" s="7" t="n">
        <v>48060.5</v>
      </c>
      <c r="F14" s="7" t="n">
        <v>73615.5</v>
      </c>
      <c r="H14" s="7" t="n">
        <v>108752.5</v>
      </c>
      <c r="J14" s="7" t="n">
        <v>65742.5</v>
      </c>
      <c r="L14" s="7" t="n">
        <v>173174.7</v>
      </c>
      <c r="N14" s="7" t="n">
        <v>224320.7</v>
      </c>
      <c r="P14" s="7" t="n">
        <v>25125</v>
      </c>
      <c r="R14" s="7" t="n">
        <v>40516.6</v>
      </c>
      <c r="T14" s="7" t="n">
        <v>168129.1</v>
      </c>
      <c r="V14" s="7" t="n">
        <v>107507.1</v>
      </c>
      <c r="X14" s="7" t="n">
        <v>48274.8</v>
      </c>
      <c r="Z14" s="7" t="n">
        <v>19122.6</v>
      </c>
      <c r="AB14" s="7" t="n">
        <v>1102341.6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6984026.8</v>
      </c>
      <c r="D15" s="7" t="n">
        <v>4872871.1</v>
      </c>
      <c r="E15" s="7" t="n">
        <v>6119691.2</v>
      </c>
      <c r="F15" s="7" t="n">
        <v>4870337.2</v>
      </c>
      <c r="G15" s="7" t="n">
        <v>7595936.7</v>
      </c>
      <c r="H15" s="7" t="n">
        <v>6373409.2</v>
      </c>
      <c r="I15" s="7" t="n">
        <v>7735279.4</v>
      </c>
      <c r="J15" s="7" t="n">
        <v>7412520.4</v>
      </c>
      <c r="K15" s="7" t="n">
        <v>7820767.9</v>
      </c>
      <c r="L15" s="7" t="n">
        <v>7892228.1</v>
      </c>
      <c r="M15" s="7" t="n">
        <v>7283779.8</v>
      </c>
      <c r="N15" s="7" t="n">
        <v>8668616.4</v>
      </c>
      <c r="O15" s="7" t="n">
        <v>6782434.3</v>
      </c>
      <c r="P15" s="7" t="n">
        <v>9741072.800000001</v>
      </c>
      <c r="Q15" s="7" t="n">
        <v>7513184</v>
      </c>
      <c r="R15" s="7" t="n">
        <v>8854464.199999999</v>
      </c>
      <c r="S15" s="7" t="n">
        <v>6801451</v>
      </c>
      <c r="T15" s="7" t="n">
        <v>7231478.8</v>
      </c>
      <c r="U15" s="7" t="n">
        <v>7635753.4</v>
      </c>
      <c r="V15" s="7" t="n">
        <v>8070783.4</v>
      </c>
      <c r="W15" s="7" t="n">
        <v>7216614.8</v>
      </c>
      <c r="X15" s="7" t="n">
        <v>7151679.8</v>
      </c>
      <c r="Y15" s="7" t="n">
        <v>7958637.2</v>
      </c>
      <c r="Z15" s="7" t="n">
        <v>5086614.9</v>
      </c>
      <c r="AA15" s="8" t="n">
        <v>87447556.5</v>
      </c>
      <c r="AB15" s="8" t="n">
        <v>86226076.3</v>
      </c>
    </row>
    <row r="16">
      <c r="A16" s="4" t="inlineStr">
        <is>
          <t>数控机床</t>
        </is>
      </c>
      <c r="D16" s="7" t="n">
        <v>748898.4</v>
      </c>
      <c r="F16" s="7" t="n">
        <v>626148.5</v>
      </c>
      <c r="H16" s="7" t="n">
        <v>1113406.5</v>
      </c>
      <c r="J16" s="7" t="n">
        <v>1276525.8</v>
      </c>
      <c r="L16" s="7" t="n">
        <v>1039475.7</v>
      </c>
      <c r="N16" s="7" t="n">
        <v>1158804.3</v>
      </c>
      <c r="P16" s="7" t="n">
        <v>1167410.5</v>
      </c>
      <c r="R16" s="7" t="n">
        <v>1432460.8</v>
      </c>
      <c r="T16" s="7" t="n">
        <v>1214454</v>
      </c>
      <c r="V16" s="7" t="n">
        <v>1268343.3</v>
      </c>
      <c r="X16" s="7" t="n">
        <v>1175984</v>
      </c>
      <c r="Z16" s="7" t="n">
        <v>830067.7</v>
      </c>
      <c r="AB16" s="7" t="n">
        <v>13051979.5</v>
      </c>
    </row>
    <row r="17">
      <c r="A17" s="4" t="inlineStr">
        <is>
          <t>精密轴承</t>
        </is>
      </c>
      <c r="D17" s="7" t="n">
        <v>685528.6</v>
      </c>
      <c r="F17" s="7" t="n">
        <v>684878.6</v>
      </c>
      <c r="H17" s="7" t="n">
        <v>712554.9</v>
      </c>
      <c r="J17" s="7" t="n">
        <v>963255.6</v>
      </c>
      <c r="L17" s="7" t="n">
        <v>913348.6</v>
      </c>
      <c r="N17" s="7" t="n">
        <v>960670.6</v>
      </c>
      <c r="P17" s="7" t="n">
        <v>1298354.3</v>
      </c>
      <c r="R17" s="7" t="n">
        <v>946273.1</v>
      </c>
      <c r="T17" s="7" t="n">
        <v>1112365.9</v>
      </c>
      <c r="V17" s="7" t="n">
        <v>1198242.6</v>
      </c>
      <c r="X17" s="7" t="n">
        <v>837964.1</v>
      </c>
      <c r="Z17" s="7" t="n">
        <v>679648.8</v>
      </c>
      <c r="AB17" s="7" t="n">
        <v>10993085.7</v>
      </c>
    </row>
    <row r="18">
      <c r="A18" s="4" t="inlineStr">
        <is>
          <t>液压件</t>
        </is>
      </c>
      <c r="D18" s="7" t="n">
        <v>515402.6</v>
      </c>
      <c r="F18" s="7" t="n">
        <v>530372.4</v>
      </c>
      <c r="H18" s="7" t="n">
        <v>654643.3</v>
      </c>
      <c r="J18" s="7" t="n">
        <v>870286</v>
      </c>
      <c r="L18" s="7" t="n">
        <v>855184.7</v>
      </c>
      <c r="N18" s="7" t="n">
        <v>1137030.1</v>
      </c>
      <c r="P18" s="7" t="n">
        <v>909892.3</v>
      </c>
      <c r="R18" s="7" t="n">
        <v>1020417.9</v>
      </c>
      <c r="T18" s="7" t="n">
        <v>910578.4</v>
      </c>
      <c r="V18" s="7" t="n">
        <v>818873.2</v>
      </c>
      <c r="X18" s="7" t="n">
        <v>769502.8</v>
      </c>
      <c r="Z18" s="7" t="n">
        <v>661305.4</v>
      </c>
      <c r="AB18" s="7" t="n">
        <v>9653489.1</v>
      </c>
    </row>
    <row r="19">
      <c r="A19" s="4" t="inlineStr">
        <is>
          <t>气动元件</t>
        </is>
      </c>
      <c r="D19" s="7" t="n">
        <v>207864.3</v>
      </c>
      <c r="F19" s="7" t="n">
        <v>229275.8</v>
      </c>
      <c r="H19" s="7" t="n">
        <v>236222.9</v>
      </c>
      <c r="J19" s="7" t="n">
        <v>259118</v>
      </c>
      <c r="L19" s="7" t="n">
        <v>307392.5</v>
      </c>
      <c r="N19" s="7" t="n">
        <v>401046.2</v>
      </c>
      <c r="P19" s="7" t="n">
        <v>421137.6</v>
      </c>
      <c r="R19" s="7" t="n">
        <v>336636.8</v>
      </c>
      <c r="T19" s="7" t="n">
        <v>350006.7</v>
      </c>
      <c r="V19" s="7" t="n">
        <v>357654.4</v>
      </c>
      <c r="X19" s="7" t="n">
        <v>221751.9</v>
      </c>
      <c r="Z19" s="7" t="n">
        <v>227014</v>
      </c>
      <c r="AB19" s="7" t="n">
        <v>3555121.1</v>
      </c>
    </row>
    <row r="20">
      <c r="A20" s="4" t="inlineStr">
        <is>
          <t>模具</t>
        </is>
      </c>
      <c r="D20" s="7" t="n">
        <v>1087903.2</v>
      </c>
      <c r="F20" s="7" t="n">
        <v>999621.2</v>
      </c>
      <c r="H20" s="7" t="n">
        <v>1843808.9</v>
      </c>
      <c r="J20" s="7" t="n">
        <v>1808844.5</v>
      </c>
      <c r="L20" s="7" t="n">
        <v>2018586.4</v>
      </c>
      <c r="N20" s="7" t="n">
        <v>1814063.3</v>
      </c>
      <c r="P20" s="7" t="n">
        <v>2677944.2</v>
      </c>
      <c r="R20" s="7" t="n">
        <v>2236032.6</v>
      </c>
      <c r="T20" s="7" t="n">
        <v>1570435.2</v>
      </c>
      <c r="V20" s="7" t="n">
        <v>1793042.7</v>
      </c>
      <c r="X20" s="7" t="n">
        <v>1844466.5</v>
      </c>
      <c r="Z20" s="7" t="n">
        <v>1303532</v>
      </c>
      <c r="AB20" s="7" t="n">
        <v>20998280.7</v>
      </c>
    </row>
    <row r="21">
      <c r="A21" s="4" t="inlineStr">
        <is>
          <t>工装夹具</t>
        </is>
      </c>
      <c r="D21" s="7" t="n">
        <v>1377143.5</v>
      </c>
      <c r="F21" s="7" t="n">
        <v>1576473.6</v>
      </c>
      <c r="H21" s="7" t="n">
        <v>1460107.4</v>
      </c>
      <c r="J21" s="7" t="n">
        <v>1868642.3</v>
      </c>
      <c r="L21" s="7" t="n">
        <v>2469791.8</v>
      </c>
      <c r="N21" s="7" t="n">
        <v>2702504.6</v>
      </c>
      <c r="P21" s="7" t="n">
        <v>2903365.9</v>
      </c>
      <c r="R21" s="7" t="n">
        <v>2531427.1</v>
      </c>
      <c r="T21" s="7" t="n">
        <v>1780704.7</v>
      </c>
      <c r="V21" s="7" t="n">
        <v>2365554.6</v>
      </c>
      <c r="X21" s="7" t="n">
        <v>2015770.6</v>
      </c>
      <c r="Z21" s="7" t="n">
        <v>1135009.8</v>
      </c>
      <c r="AB21" s="7" t="n">
        <v>24186495.9</v>
      </c>
    </row>
    <row r="22">
      <c r="A22" s="4" t="inlineStr">
        <is>
          <t>其他</t>
        </is>
      </c>
      <c r="D22" s="7" t="n">
        <v>91785</v>
      </c>
      <c r="F22" s="7" t="n">
        <v>7568.1</v>
      </c>
      <c r="H22" s="7" t="n">
        <v>12648.8</v>
      </c>
      <c r="J22" s="7" t="n">
        <v>98548.5</v>
      </c>
      <c r="L22" s="7" t="n">
        <v>57132.7</v>
      </c>
      <c r="N22" s="7" t="n">
        <v>123737.6</v>
      </c>
      <c r="P22" s="7" t="n">
        <v>30402.5</v>
      </c>
      <c r="R22" s="7" t="n">
        <v>127233.9</v>
      </c>
      <c r="T22" s="7" t="n">
        <v>23063.3</v>
      </c>
      <c r="V22" s="7" t="n">
        <v>68280.8</v>
      </c>
      <c r="X22" s="7" t="n">
        <v>133452.7</v>
      </c>
      <c r="Z22" s="7" t="n">
        <v>3778.5</v>
      </c>
      <c r="AB22" s="7" t="n">
        <v>777632.4</v>
      </c>
    </row>
    <row r="23">
      <c r="A23" s="4" t="inlineStr">
        <is>
          <t>运费</t>
        </is>
      </c>
      <c r="D23" s="7" t="n">
        <v>250130.5</v>
      </c>
      <c r="F23" s="7" t="n">
        <v>223567.1</v>
      </c>
      <c r="H23" s="7" t="n">
        <v>352665.3</v>
      </c>
      <c r="J23" s="7" t="n">
        <v>365848.2</v>
      </c>
      <c r="L23" s="7" t="n">
        <v>288448.4</v>
      </c>
      <c r="N23" s="7" t="n">
        <v>494497.3</v>
      </c>
      <c r="P23" s="7" t="n">
        <v>362968</v>
      </c>
      <c r="R23" s="7" t="n">
        <v>351215.9</v>
      </c>
      <c r="T23" s="7" t="n">
        <v>292933.9</v>
      </c>
      <c r="V23" s="7" t="n">
        <v>269072.6</v>
      </c>
      <c r="X23" s="7" t="n">
        <v>286239.9</v>
      </c>
      <c r="Z23" s="7" t="n">
        <v>250037.2</v>
      </c>
      <c r="AB23" s="7" t="n">
        <v>3787624.3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4061164</v>
      </c>
      <c r="D24" s="7" t="n">
        <v>1538716.4</v>
      </c>
      <c r="E24" s="7" t="n">
        <v>3637151.9</v>
      </c>
      <c r="F24" s="7" t="n">
        <v>1641953.7</v>
      </c>
      <c r="G24" s="7" t="n">
        <v>3327892.4</v>
      </c>
      <c r="H24" s="7" t="n">
        <v>2106874.5</v>
      </c>
      <c r="I24" s="7" t="n">
        <v>802883.9</v>
      </c>
      <c r="J24" s="7" t="n">
        <v>2344058.3</v>
      </c>
      <c r="K24" s="7" t="n">
        <v>3193297.9</v>
      </c>
      <c r="L24" s="7" t="n">
        <v>2783824.7</v>
      </c>
      <c r="M24" s="7" t="n">
        <v>1437460.4</v>
      </c>
      <c r="N24" s="7" t="n">
        <v>2849068.4</v>
      </c>
      <c r="O24" s="7" t="n">
        <v>4208853.9</v>
      </c>
      <c r="P24" s="7" t="n">
        <v>3178149</v>
      </c>
      <c r="Q24" s="7" t="n">
        <v>1459679.1</v>
      </c>
      <c r="R24" s="7" t="n">
        <v>3009497</v>
      </c>
      <c r="S24" s="7" t="n">
        <v>1716619.2</v>
      </c>
      <c r="T24" s="7" t="n">
        <v>2516266.8</v>
      </c>
      <c r="U24" s="7" t="n">
        <v>1826746.9</v>
      </c>
      <c r="V24" s="7" t="n">
        <v>2687272.1</v>
      </c>
      <c r="W24" s="7" t="n">
        <v>3097135.8</v>
      </c>
      <c r="X24" s="7" t="n">
        <v>2379442.9</v>
      </c>
      <c r="Y24" s="7" t="n">
        <v>1153825.2</v>
      </c>
      <c r="Z24" s="7" t="n">
        <v>1598639.9</v>
      </c>
      <c r="AA24" s="8" t="n">
        <v>29922710.6</v>
      </c>
      <c r="AB24" s="8" t="n">
        <v>28633763.7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36.8</v>
      </c>
      <c r="D25" s="13" t="n">
        <v>24</v>
      </c>
      <c r="E25" s="13" t="n">
        <v>37.3</v>
      </c>
      <c r="F25" s="13" t="n">
        <v>25.2</v>
      </c>
      <c r="G25" s="13" t="n">
        <v>30.5</v>
      </c>
      <c r="H25" s="13" t="n">
        <v>24.8</v>
      </c>
      <c r="I25" s="13" t="n">
        <v>9.4</v>
      </c>
      <c r="J25" s="13" t="n">
        <v>24</v>
      </c>
      <c r="K25" s="13" t="n">
        <v>29</v>
      </c>
      <c r="L25" s="13" t="n">
        <v>26.1</v>
      </c>
      <c r="M25" s="13" t="n">
        <v>16.5</v>
      </c>
      <c r="N25" s="13" t="n">
        <v>24.7</v>
      </c>
      <c r="O25" s="13" t="n">
        <v>38.3</v>
      </c>
      <c r="P25" s="13" t="n">
        <v>24.6</v>
      </c>
      <c r="Q25" s="13" t="n">
        <v>16.3</v>
      </c>
      <c r="R25" s="13" t="n">
        <v>25.4</v>
      </c>
      <c r="S25" s="13" t="n">
        <v>20.2</v>
      </c>
      <c r="T25" s="13" t="n">
        <v>25.8</v>
      </c>
      <c r="U25" s="13" t="n">
        <v>19.3</v>
      </c>
      <c r="V25" s="13" t="n">
        <v>25</v>
      </c>
      <c r="W25" s="13" t="n">
        <v>30</v>
      </c>
      <c r="X25" s="13" t="n">
        <v>25</v>
      </c>
      <c r="Y25" s="13" t="n">
        <v>12.7</v>
      </c>
      <c r="Z25" s="13" t="n">
        <v>23.9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97759.2</v>
      </c>
      <c r="D26" s="7" t="n">
        <v>59254.8</v>
      </c>
      <c r="E26" s="7" t="n">
        <v>100457.4</v>
      </c>
      <c r="F26" s="7" t="n">
        <v>43679.4</v>
      </c>
      <c r="G26" s="7" t="n">
        <v>93364.8</v>
      </c>
      <c r="H26" s="7" t="n">
        <v>110511.1</v>
      </c>
      <c r="I26" s="7" t="n">
        <v>101480.5</v>
      </c>
      <c r="J26" s="7" t="n">
        <v>96316.3</v>
      </c>
      <c r="K26" s="7" t="n">
        <v>86661.3</v>
      </c>
      <c r="L26" s="7" t="n">
        <v>133343.2</v>
      </c>
      <c r="M26" s="7" t="n">
        <v>97781.7</v>
      </c>
      <c r="N26" s="7" t="n">
        <v>120600</v>
      </c>
      <c r="O26" s="7" t="n">
        <v>88495</v>
      </c>
      <c r="P26" s="7" t="n">
        <v>116196.2</v>
      </c>
      <c r="Q26" s="7" t="n">
        <v>100425.3</v>
      </c>
      <c r="R26" s="7" t="n">
        <v>94526.2</v>
      </c>
      <c r="S26" s="7" t="n">
        <v>103352.3</v>
      </c>
      <c r="T26" s="7" t="n">
        <v>91188.2</v>
      </c>
      <c r="U26" s="7" t="n">
        <v>97668.89999999999</v>
      </c>
      <c r="V26" s="7" t="n">
        <v>85443</v>
      </c>
      <c r="W26" s="7" t="n">
        <v>89857.60000000001</v>
      </c>
      <c r="X26" s="7" t="n">
        <v>135529.7</v>
      </c>
      <c r="Y26" s="7" t="n">
        <v>96023</v>
      </c>
      <c r="Z26" s="7" t="n">
        <v>78664.3</v>
      </c>
      <c r="AA26" s="8" t="n">
        <v>1153327</v>
      </c>
      <c r="AB26" s="8" t="n">
        <v>1165252.4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1175614.1</v>
      </c>
      <c r="D27" s="7" t="n">
        <v>1113181.4</v>
      </c>
      <c r="E27" s="7" t="n">
        <v>1129202.9</v>
      </c>
      <c r="F27" s="7" t="n">
        <v>1124724.5</v>
      </c>
      <c r="G27" s="7" t="n">
        <v>1318475.9</v>
      </c>
      <c r="H27" s="7" t="n">
        <v>1289113.6</v>
      </c>
      <c r="I27" s="7" t="n">
        <v>1260048.4</v>
      </c>
      <c r="J27" s="7" t="n">
        <v>1612173.3</v>
      </c>
      <c r="K27" s="7" t="n">
        <v>1182788.7</v>
      </c>
      <c r="L27" s="7" t="n">
        <v>998573.1</v>
      </c>
      <c r="M27" s="7" t="n">
        <v>1081894.4</v>
      </c>
      <c r="N27" s="7" t="n">
        <v>1525377.4</v>
      </c>
      <c r="O27" s="7" t="n">
        <v>1234243.4</v>
      </c>
      <c r="P27" s="7" t="n">
        <v>2105068.4</v>
      </c>
      <c r="Q27" s="7" t="n">
        <v>1117532.8</v>
      </c>
      <c r="R27" s="7" t="n">
        <v>960768.7</v>
      </c>
      <c r="S27" s="7" t="n">
        <v>1190046.7</v>
      </c>
      <c r="T27" s="7" t="n">
        <v>1185621.2</v>
      </c>
      <c r="U27" s="7" t="n">
        <v>1268056.6</v>
      </c>
      <c r="V27" s="7" t="n">
        <v>1022390.8</v>
      </c>
      <c r="W27" s="7" t="n">
        <v>1143539.4</v>
      </c>
      <c r="X27" s="7" t="n">
        <v>826394.1</v>
      </c>
      <c r="Y27" s="7" t="n">
        <v>1294096.5</v>
      </c>
      <c r="Z27" s="7" t="n">
        <v>1187953.8</v>
      </c>
      <c r="AA27" s="8" t="n">
        <v>14395539.8</v>
      </c>
      <c r="AB27" s="8" t="n">
        <v>14951340.3</v>
      </c>
    </row>
    <row r="28">
      <c r="A28" s="4" t="inlineStr">
        <is>
          <t>职工薪酬</t>
        </is>
      </c>
      <c r="D28" s="7" t="n">
        <v>499231</v>
      </c>
      <c r="F28" s="7" t="n">
        <v>657026.8</v>
      </c>
      <c r="H28" s="7" t="n">
        <v>581683.4</v>
      </c>
      <c r="J28" s="7" t="n">
        <v>735640.4</v>
      </c>
      <c r="L28" s="7" t="n">
        <v>407366.7</v>
      </c>
      <c r="N28" s="7" t="n">
        <v>885140.8</v>
      </c>
      <c r="P28" s="7" t="n">
        <v>1138167.5</v>
      </c>
      <c r="R28" s="7" t="n">
        <v>504810.4</v>
      </c>
      <c r="T28" s="7" t="n">
        <v>556999.3</v>
      </c>
      <c r="V28" s="7" t="n">
        <v>541593.4</v>
      </c>
      <c r="X28" s="7" t="n">
        <v>408411.4</v>
      </c>
      <c r="Z28" s="7" t="n">
        <v>569265.3</v>
      </c>
      <c r="AB28" s="7" t="n">
        <v>7485336.4</v>
      </c>
    </row>
    <row r="29">
      <c r="A29" s="4" t="inlineStr">
        <is>
          <t>工资</t>
        </is>
      </c>
      <c r="D29" s="7" t="n">
        <v>264309.3</v>
      </c>
      <c r="F29" s="7" t="n">
        <v>384114.2</v>
      </c>
      <c r="H29" s="7" t="n">
        <v>335681.8</v>
      </c>
      <c r="J29" s="7" t="n">
        <v>414858.6</v>
      </c>
      <c r="L29" s="7" t="n">
        <v>228092.1</v>
      </c>
      <c r="N29" s="7" t="n">
        <v>539128.2</v>
      </c>
      <c r="P29" s="7" t="n">
        <v>664606</v>
      </c>
      <c r="R29" s="7" t="n">
        <v>334241.6</v>
      </c>
      <c r="T29" s="7" t="n">
        <v>319440.5</v>
      </c>
      <c r="V29" s="7" t="n">
        <v>356769.6</v>
      </c>
      <c r="X29" s="7" t="n">
        <v>261628.6</v>
      </c>
      <c r="Z29" s="7" t="n">
        <v>308752.5</v>
      </c>
      <c r="AB29" s="7" t="n">
        <v>4411623</v>
      </c>
    </row>
    <row r="30">
      <c r="A30" s="4" t="inlineStr">
        <is>
          <t>奖金及提成</t>
        </is>
      </c>
      <c r="D30" s="7" t="n">
        <v>131843</v>
      </c>
      <c r="F30" s="7" t="n">
        <v>137531.5</v>
      </c>
      <c r="H30" s="7" t="n">
        <v>141944.1</v>
      </c>
      <c r="J30" s="7" t="n">
        <v>158645</v>
      </c>
      <c r="L30" s="7" t="n">
        <v>79971.7</v>
      </c>
      <c r="N30" s="7" t="n">
        <v>178472</v>
      </c>
      <c r="P30" s="7" t="n">
        <v>272280.6</v>
      </c>
      <c r="R30" s="7" t="n">
        <v>72519.10000000001</v>
      </c>
      <c r="T30" s="7" t="n">
        <v>140141.9</v>
      </c>
      <c r="V30" s="7" t="n">
        <v>80553.7</v>
      </c>
      <c r="X30" s="7" t="n">
        <v>66019.89999999999</v>
      </c>
      <c r="Z30" s="7" t="n">
        <v>145496.8</v>
      </c>
      <c r="AB30" s="7" t="n">
        <v>1605419.3</v>
      </c>
    </row>
    <row r="31">
      <c r="A31" s="4" t="inlineStr">
        <is>
          <t>社保</t>
        </is>
      </c>
      <c r="D31" s="7" t="n">
        <v>79615</v>
      </c>
      <c r="F31" s="7" t="n">
        <v>111354.2</v>
      </c>
      <c r="H31" s="7" t="n">
        <v>75419.7</v>
      </c>
      <c r="J31" s="7" t="n">
        <v>129879.7</v>
      </c>
      <c r="L31" s="7" t="n">
        <v>76995.10000000001</v>
      </c>
      <c r="N31" s="7" t="n">
        <v>134099.6</v>
      </c>
      <c r="P31" s="7" t="n">
        <v>150934</v>
      </c>
      <c r="R31" s="7" t="n">
        <v>76878.8</v>
      </c>
      <c r="T31" s="7" t="n">
        <v>73070.10000000001</v>
      </c>
      <c r="V31" s="7" t="n">
        <v>84742.89999999999</v>
      </c>
      <c r="X31" s="7" t="n">
        <v>61244.8</v>
      </c>
      <c r="Z31" s="7" t="n">
        <v>88509</v>
      </c>
      <c r="AB31" s="7" t="n">
        <v>1142742.9</v>
      </c>
    </row>
    <row r="32">
      <c r="A32" s="4" t="inlineStr">
        <is>
          <t>养老</t>
        </is>
      </c>
      <c r="D32" s="7" t="n">
        <v>3072.3</v>
      </c>
      <c r="F32" s="7" t="n">
        <v>3545.6</v>
      </c>
      <c r="H32" s="7" t="n">
        <v>4084.7</v>
      </c>
      <c r="J32" s="7" t="n">
        <v>6169.5</v>
      </c>
      <c r="L32" s="7" t="n">
        <v>3744.8</v>
      </c>
      <c r="N32" s="7" t="n">
        <v>6042.6</v>
      </c>
      <c r="P32" s="7" t="n">
        <v>8300.200000000001</v>
      </c>
      <c r="R32" s="7" t="n">
        <v>3587.6</v>
      </c>
      <c r="T32" s="7" t="n">
        <v>4156.6</v>
      </c>
      <c r="V32" s="7" t="n">
        <v>3829.7</v>
      </c>
      <c r="X32" s="7" t="n">
        <v>2664.5</v>
      </c>
      <c r="Z32" s="7" t="n">
        <v>3674.1</v>
      </c>
      <c r="AB32" s="7" t="n">
        <v>52872.2</v>
      </c>
    </row>
    <row r="33">
      <c r="A33" s="4" t="inlineStr">
        <is>
          <t>医疗</t>
        </is>
      </c>
      <c r="D33" s="7" t="n">
        <v>6399.6</v>
      </c>
      <c r="F33" s="7" t="n">
        <v>6021</v>
      </c>
      <c r="H33" s="7" t="n">
        <v>6410.8</v>
      </c>
      <c r="J33" s="7" t="n">
        <v>7580.9</v>
      </c>
      <c r="L33" s="7" t="n">
        <v>3694.7</v>
      </c>
      <c r="N33" s="7" t="n">
        <v>7255.6</v>
      </c>
      <c r="P33" s="7" t="n">
        <v>10669</v>
      </c>
      <c r="R33" s="7" t="n">
        <v>5477.7</v>
      </c>
      <c r="T33" s="7" t="n">
        <v>6974.8</v>
      </c>
      <c r="V33" s="7" t="n">
        <v>4381</v>
      </c>
      <c r="X33" s="7" t="n">
        <v>4428.8</v>
      </c>
      <c r="Z33" s="7" t="n">
        <v>7982</v>
      </c>
      <c r="AB33" s="7" t="n">
        <v>77275.89999999999</v>
      </c>
    </row>
    <row r="34">
      <c r="A34" s="4" t="inlineStr">
        <is>
          <t>工伤</t>
        </is>
      </c>
      <c r="D34" s="7" t="n">
        <v>6373.6</v>
      </c>
      <c r="F34" s="7" t="n">
        <v>5594</v>
      </c>
      <c r="H34" s="7" t="n">
        <v>9120.9</v>
      </c>
      <c r="J34" s="7" t="n">
        <v>7015.3</v>
      </c>
      <c r="L34" s="7" t="n">
        <v>5937.5</v>
      </c>
      <c r="N34" s="7" t="n">
        <v>9543</v>
      </c>
      <c r="P34" s="7" t="n">
        <v>9120.799999999999</v>
      </c>
      <c r="R34" s="7" t="n">
        <v>5245.1</v>
      </c>
      <c r="T34" s="7" t="n">
        <v>5524.8</v>
      </c>
      <c r="V34" s="7" t="n">
        <v>5802.5</v>
      </c>
      <c r="X34" s="7" t="n">
        <v>4338.5</v>
      </c>
      <c r="Z34" s="7" t="n">
        <v>9168.799999999999</v>
      </c>
      <c r="AB34" s="7" t="n">
        <v>82784.8</v>
      </c>
    </row>
    <row r="35">
      <c r="A35" s="4" t="inlineStr">
        <is>
          <t>失业</t>
        </is>
      </c>
      <c r="D35" s="7" t="n">
        <v>3189.5</v>
      </c>
      <c r="F35" s="7" t="n">
        <v>3870.8</v>
      </c>
      <c r="H35" s="7" t="n">
        <v>5063.7</v>
      </c>
      <c r="J35" s="7" t="n">
        <v>4659.2</v>
      </c>
      <c r="L35" s="7" t="n">
        <v>4439.2</v>
      </c>
      <c r="N35" s="7" t="n">
        <v>5169.9</v>
      </c>
      <c r="P35" s="7" t="n">
        <v>9005.299999999999</v>
      </c>
      <c r="R35" s="7" t="n">
        <v>4903.4</v>
      </c>
      <c r="T35" s="7" t="n">
        <v>5632.6</v>
      </c>
      <c r="V35" s="7" t="n">
        <v>4954.4</v>
      </c>
      <c r="X35" s="7" t="n">
        <v>4131.6</v>
      </c>
      <c r="Z35" s="7" t="n">
        <v>6136.8</v>
      </c>
      <c r="AB35" s="7" t="n">
        <v>61156.4</v>
      </c>
    </row>
    <row r="36">
      <c r="A36" s="4" t="inlineStr">
        <is>
          <t>生育</t>
        </is>
      </c>
      <c r="D36" s="7" t="n">
        <v>4588.2</v>
      </c>
      <c r="F36" s="7" t="n">
        <v>4588.6</v>
      </c>
      <c r="H36" s="7" t="n">
        <v>6546.8</v>
      </c>
      <c r="J36" s="7" t="n">
        <v>7688.7</v>
      </c>
      <c r="L36" s="7" t="n">
        <v>4903.6</v>
      </c>
      <c r="N36" s="7" t="n">
        <v>4571.7</v>
      </c>
      <c r="P36" s="7" t="n">
        <v>6260.1</v>
      </c>
      <c r="R36" s="7" t="n">
        <v>4925.4</v>
      </c>
      <c r="T36" s="7" t="n">
        <v>3892.6</v>
      </c>
      <c r="V36" s="7" t="n">
        <v>4839.4</v>
      </c>
      <c r="X36" s="7" t="n">
        <v>4188.6</v>
      </c>
      <c r="Z36" s="7" t="n">
        <v>3836.6</v>
      </c>
      <c r="AB36" s="7" t="n">
        <v>60830.3</v>
      </c>
    </row>
    <row r="37">
      <c r="A37" s="4" t="inlineStr">
        <is>
          <t>公积金</t>
        </is>
      </c>
      <c r="D37" s="7" t="n">
        <v>3698.1</v>
      </c>
      <c r="F37" s="7" t="n">
        <v>2270.2</v>
      </c>
      <c r="H37" s="7" t="n">
        <v>3839.3</v>
      </c>
      <c r="J37" s="7" t="n">
        <v>3270.8</v>
      </c>
      <c r="L37" s="7" t="n">
        <v>2083.8</v>
      </c>
      <c r="N37" s="7" t="n">
        <v>4307.8</v>
      </c>
      <c r="P37" s="7" t="n">
        <v>7471.5</v>
      </c>
      <c r="R37" s="7" t="n">
        <v>2158.3</v>
      </c>
      <c r="T37" s="7" t="n">
        <v>3485.1</v>
      </c>
      <c r="V37" s="7" t="n">
        <v>1997.2</v>
      </c>
      <c r="X37" s="7" t="n">
        <v>2733.8</v>
      </c>
      <c r="Z37" s="7" t="n">
        <v>3951.3</v>
      </c>
      <c r="AB37" s="7" t="n">
        <v>41267.2</v>
      </c>
    </row>
    <row r="38">
      <c r="A38" s="4" t="inlineStr">
        <is>
          <t>工会经费</t>
        </is>
      </c>
      <c r="D38" s="7" t="n">
        <v>2600.3</v>
      </c>
      <c r="F38" s="7" t="n">
        <v>2902.3</v>
      </c>
      <c r="H38" s="7" t="n">
        <v>2814.7</v>
      </c>
      <c r="J38" s="7" t="n">
        <v>4237.6</v>
      </c>
      <c r="L38" s="7" t="n">
        <v>2092.6</v>
      </c>
      <c r="N38" s="7" t="n">
        <v>4002.3</v>
      </c>
      <c r="P38" s="7" t="n">
        <v>4114.8</v>
      </c>
      <c r="R38" s="7" t="n">
        <v>2397.9</v>
      </c>
      <c r="T38" s="7" t="n">
        <v>2710.9</v>
      </c>
      <c r="V38" s="7" t="n">
        <v>1567.9</v>
      </c>
      <c r="X38" s="7" t="n">
        <v>2049.5</v>
      </c>
      <c r="Z38" s="7" t="n">
        <v>2467.6</v>
      </c>
      <c r="AB38" s="7" t="n">
        <v>33958.4</v>
      </c>
    </row>
    <row r="39">
      <c r="A39" s="4" t="inlineStr">
        <is>
          <t>职工教育经费</t>
        </is>
      </c>
      <c r="D39" s="7" t="n">
        <v>3992.8</v>
      </c>
      <c r="F39" s="7" t="n">
        <v>5193.7</v>
      </c>
      <c r="H39" s="7" t="n">
        <v>5332.1</v>
      </c>
      <c r="J39" s="7" t="n">
        <v>6313</v>
      </c>
      <c r="L39" s="7" t="n">
        <v>4788.9</v>
      </c>
      <c r="N39" s="7" t="n">
        <v>5860.7</v>
      </c>
      <c r="P39" s="7" t="n">
        <v>11552.5</v>
      </c>
      <c r="R39" s="7" t="n">
        <v>5523.5</v>
      </c>
      <c r="T39" s="7" t="n">
        <v>3978.1</v>
      </c>
      <c r="V39" s="7" t="n">
        <v>4223.7</v>
      </c>
      <c r="X39" s="7" t="n">
        <v>3596.3</v>
      </c>
      <c r="Z39" s="7" t="n">
        <v>5138.3</v>
      </c>
      <c r="AB39" s="7" t="n">
        <v>65493.6</v>
      </c>
    </row>
    <row r="40">
      <c r="A40" s="4" t="inlineStr">
        <is>
          <t>福利费</t>
        </is>
      </c>
      <c r="D40" s="7" t="n">
        <v>13172.5</v>
      </c>
      <c r="F40" s="7" t="n">
        <v>13660.7</v>
      </c>
      <c r="H40" s="7" t="n">
        <v>16651.7</v>
      </c>
      <c r="J40" s="7" t="n">
        <v>18435.7</v>
      </c>
      <c r="L40" s="7" t="n">
        <v>13342.5</v>
      </c>
      <c r="N40" s="7" t="n">
        <v>19270.2</v>
      </c>
      <c r="P40" s="7" t="n">
        <v>27208.1</v>
      </c>
      <c r="R40" s="7" t="n">
        <v>11091.2</v>
      </c>
      <c r="T40" s="7" t="n">
        <v>14172.7</v>
      </c>
      <c r="V40" s="7" t="n">
        <v>11738.4</v>
      </c>
      <c r="X40" s="7" t="n">
        <v>11138.5</v>
      </c>
      <c r="Z40" s="7" t="n">
        <v>14949.8</v>
      </c>
      <c r="AB40" s="7" t="n">
        <v>184832</v>
      </c>
    </row>
    <row r="41">
      <c r="A41" s="4" t="inlineStr">
        <is>
          <t>职工房租</t>
        </is>
      </c>
      <c r="D41" s="7" t="n">
        <v>1468.3</v>
      </c>
      <c r="F41" s="7" t="n">
        <v>1201.2</v>
      </c>
      <c r="H41" s="7" t="n">
        <v>2086.2</v>
      </c>
      <c r="J41" s="7" t="n">
        <v>1950.2</v>
      </c>
      <c r="L41" s="7" t="n">
        <v>1712.6</v>
      </c>
      <c r="N41" s="7" t="n">
        <v>2361.6</v>
      </c>
      <c r="P41" s="7" t="n">
        <v>3726</v>
      </c>
      <c r="R41" s="7" t="n">
        <v>1116.4</v>
      </c>
      <c r="T41" s="7" t="n">
        <v>1950.8</v>
      </c>
      <c r="V41" s="7" t="n">
        <v>1137</v>
      </c>
      <c r="X41" s="7" t="n">
        <v>862.9</v>
      </c>
      <c r="Z41" s="7" t="n">
        <v>1903.8</v>
      </c>
      <c r="AB41" s="7" t="n">
        <v>21477</v>
      </c>
    </row>
    <row r="42">
      <c r="A42" s="4" t="inlineStr">
        <is>
          <t>水电物业费</t>
        </is>
      </c>
      <c r="D42" s="7" t="n">
        <v>1019</v>
      </c>
      <c r="F42" s="7" t="n">
        <v>1167.5</v>
      </c>
      <c r="H42" s="7" t="n">
        <v>1257.3</v>
      </c>
      <c r="J42" s="7" t="n">
        <v>1529.8</v>
      </c>
      <c r="L42" s="7" t="n">
        <v>1433.8</v>
      </c>
      <c r="N42" s="7" t="n">
        <v>1435.5</v>
      </c>
      <c r="P42" s="7" t="n">
        <v>2154.8</v>
      </c>
      <c r="R42" s="7" t="n">
        <v>1254.4</v>
      </c>
      <c r="T42" s="7" t="n">
        <v>1188.4</v>
      </c>
      <c r="V42" s="7" t="n">
        <v>1186.1</v>
      </c>
      <c r="X42" s="7" t="n">
        <v>1010.1</v>
      </c>
      <c r="Z42" s="7" t="n">
        <v>1260.9</v>
      </c>
      <c r="AB42" s="7" t="n">
        <v>15897.6</v>
      </c>
    </row>
    <row r="43">
      <c r="A43" s="4" t="inlineStr">
        <is>
          <t>员工餐</t>
        </is>
      </c>
      <c r="D43" s="7" t="n">
        <v>4543.6</v>
      </c>
      <c r="F43" s="7" t="n">
        <v>5105.8</v>
      </c>
      <c r="H43" s="7" t="n">
        <v>6505.4</v>
      </c>
      <c r="J43" s="7" t="n">
        <v>4899.1</v>
      </c>
      <c r="L43" s="7" t="n">
        <v>5046.7</v>
      </c>
      <c r="N43" s="7" t="n">
        <v>5979.5</v>
      </c>
      <c r="P43" s="7" t="n">
        <v>9061.299999999999</v>
      </c>
      <c r="R43" s="7" t="n">
        <v>3341.6</v>
      </c>
      <c r="T43" s="7" t="n">
        <v>5595.3</v>
      </c>
      <c r="V43" s="7" t="n">
        <v>3907.7</v>
      </c>
      <c r="X43" s="7" t="n">
        <v>4126.9</v>
      </c>
      <c r="Z43" s="7" t="n">
        <v>5888.5</v>
      </c>
      <c r="AB43" s="7" t="n">
        <v>64001.4</v>
      </c>
    </row>
    <row r="44">
      <c r="A44" s="4" t="inlineStr">
        <is>
          <t>节日礼品</t>
        </is>
      </c>
      <c r="D44" s="7" t="n">
        <v>1695.7</v>
      </c>
      <c r="F44" s="7" t="n">
        <v>1533.4</v>
      </c>
      <c r="H44" s="7" t="n">
        <v>2100.7</v>
      </c>
      <c r="J44" s="7" t="n">
        <v>2580.3</v>
      </c>
      <c r="L44" s="7" t="n">
        <v>1024.8</v>
      </c>
      <c r="N44" s="7" t="n">
        <v>2415.4</v>
      </c>
      <c r="P44" s="7" t="n">
        <v>2448.1</v>
      </c>
      <c r="R44" s="7" t="n">
        <v>1281.6</v>
      </c>
      <c r="T44" s="7" t="n">
        <v>1159.4</v>
      </c>
      <c r="V44" s="7" t="n">
        <v>1069.7</v>
      </c>
      <c r="X44" s="7" t="n">
        <v>1230.9</v>
      </c>
      <c r="Z44" s="7" t="n">
        <v>1311.9</v>
      </c>
      <c r="AB44" s="7" t="n">
        <v>19851.9</v>
      </c>
    </row>
    <row r="45">
      <c r="A45" s="4" t="inlineStr">
        <is>
          <t>生日礼品</t>
        </is>
      </c>
      <c r="D45" s="7" t="n">
        <v>1073.8</v>
      </c>
      <c r="F45" s="7" t="n">
        <v>952.2</v>
      </c>
      <c r="H45" s="7" t="n">
        <v>1095.3</v>
      </c>
      <c r="J45" s="7" t="n">
        <v>1556.5</v>
      </c>
      <c r="L45" s="7" t="n">
        <v>659.5</v>
      </c>
      <c r="N45" s="7" t="n">
        <v>1567.4</v>
      </c>
      <c r="P45" s="7" t="n">
        <v>2079.9</v>
      </c>
      <c r="R45" s="7" t="n">
        <v>1076</v>
      </c>
      <c r="T45" s="7" t="n">
        <v>766.1</v>
      </c>
      <c r="V45" s="7" t="n">
        <v>893.1</v>
      </c>
      <c r="X45" s="7" t="n">
        <v>682.5</v>
      </c>
      <c r="Z45" s="7" t="n">
        <v>1185.8</v>
      </c>
      <c r="AB45" s="7" t="n">
        <v>13588.1</v>
      </c>
    </row>
    <row r="46">
      <c r="A46" s="4" t="inlineStr">
        <is>
          <t>体检</t>
        </is>
      </c>
      <c r="D46" s="7" t="n">
        <v>912.8</v>
      </c>
      <c r="F46" s="7" t="n">
        <v>653.2</v>
      </c>
      <c r="H46" s="7" t="n">
        <v>830.2</v>
      </c>
      <c r="J46" s="7" t="n">
        <v>859.9</v>
      </c>
      <c r="L46" s="7" t="n">
        <v>467.9</v>
      </c>
      <c r="N46" s="7" t="n">
        <v>1188.3</v>
      </c>
      <c r="P46" s="7" t="n">
        <v>1347.1</v>
      </c>
      <c r="R46" s="7" t="n">
        <v>660.1</v>
      </c>
      <c r="T46" s="7" t="n">
        <v>748.7</v>
      </c>
      <c r="V46" s="7" t="n">
        <v>631.2</v>
      </c>
      <c r="X46" s="7" t="n">
        <v>651.9</v>
      </c>
      <c r="Z46" s="7" t="n">
        <v>664.7</v>
      </c>
      <c r="AB46" s="7" t="n">
        <v>9616</v>
      </c>
    </row>
    <row r="47">
      <c r="A47" s="4" t="inlineStr">
        <is>
          <t>其他福利支出</t>
        </is>
      </c>
      <c r="D47" s="7" t="n">
        <v>2459.3</v>
      </c>
      <c r="F47" s="7" t="n">
        <v>3047.4</v>
      </c>
      <c r="H47" s="7" t="n">
        <v>2776.6</v>
      </c>
      <c r="J47" s="7" t="n">
        <v>5059.9</v>
      </c>
      <c r="L47" s="7" t="n">
        <v>2997.2</v>
      </c>
      <c r="N47" s="7" t="n">
        <v>4322.5</v>
      </c>
      <c r="P47" s="7" t="n">
        <v>6390.9</v>
      </c>
      <c r="R47" s="7" t="n">
        <v>2361.1</v>
      </c>
      <c r="T47" s="7" t="n">
        <v>2764</v>
      </c>
      <c r="V47" s="7" t="n">
        <v>2913.6</v>
      </c>
      <c r="X47" s="7" t="n">
        <v>2573.3</v>
      </c>
      <c r="Z47" s="7" t="n">
        <v>2734.2</v>
      </c>
      <c r="AB47" s="7" t="n">
        <v>40400</v>
      </c>
    </row>
    <row r="48">
      <c r="A48" s="4" t="inlineStr">
        <is>
          <t>招聘费</t>
        </is>
      </c>
      <c r="D48" s="7" t="n">
        <v>210</v>
      </c>
      <c r="F48" s="7" t="n">
        <v>264</v>
      </c>
      <c r="H48" s="7" t="n">
        <v>297.4</v>
      </c>
      <c r="J48" s="7" t="n">
        <v>386.1</v>
      </c>
      <c r="L48" s="7" t="n">
        <v>236.7</v>
      </c>
      <c r="N48" s="7" t="n">
        <v>233.9</v>
      </c>
      <c r="P48" s="7" t="n">
        <v>505.9</v>
      </c>
      <c r="R48" s="7" t="n">
        <v>207.1</v>
      </c>
      <c r="T48" s="7" t="n">
        <v>172.7</v>
      </c>
      <c r="V48" s="7" t="n">
        <v>172.3</v>
      </c>
      <c r="X48" s="7" t="n">
        <v>197.4</v>
      </c>
      <c r="Z48" s="7" t="n">
        <v>285.2</v>
      </c>
      <c r="AB48" s="7" t="n">
        <v>3168.7</v>
      </c>
    </row>
    <row r="49">
      <c r="A49" s="4" t="inlineStr">
        <is>
          <t>办公费</t>
        </is>
      </c>
      <c r="D49" s="7" t="n">
        <v>29573.8</v>
      </c>
      <c r="F49" s="7" t="n">
        <v>39123.3</v>
      </c>
      <c r="H49" s="7" t="n">
        <v>45669.2</v>
      </c>
      <c r="J49" s="7" t="n">
        <v>47167.1</v>
      </c>
      <c r="L49" s="7" t="n">
        <v>23941.9</v>
      </c>
      <c r="N49" s="7" t="n">
        <v>32056.1</v>
      </c>
      <c r="P49" s="7" t="n">
        <v>49795.1</v>
      </c>
      <c r="R49" s="7" t="n">
        <v>35445.8</v>
      </c>
      <c r="T49" s="7" t="n">
        <v>31327.8</v>
      </c>
      <c r="V49" s="7" t="n">
        <v>22949.4</v>
      </c>
      <c r="X49" s="7" t="n">
        <v>20867.5</v>
      </c>
      <c r="Z49" s="7" t="n">
        <v>29294.7</v>
      </c>
      <c r="AB49" s="7" t="n">
        <v>407211.7</v>
      </c>
    </row>
    <row r="50">
      <c r="A50" s="4" t="inlineStr">
        <is>
          <t>市内交通费</t>
        </is>
      </c>
      <c r="D50" s="7" t="n">
        <v>557.4</v>
      </c>
      <c r="F50" s="7" t="n">
        <v>738.7</v>
      </c>
      <c r="H50" s="7" t="n">
        <v>920.3</v>
      </c>
      <c r="J50" s="7" t="n">
        <v>881.3</v>
      </c>
      <c r="L50" s="7" t="n">
        <v>582.4</v>
      </c>
      <c r="N50" s="7" t="n">
        <v>817.9</v>
      </c>
      <c r="P50" s="7" t="n">
        <v>1222.8</v>
      </c>
      <c r="R50" s="7" t="n">
        <v>631.7</v>
      </c>
      <c r="T50" s="7" t="n">
        <v>784.6</v>
      </c>
      <c r="V50" s="7" t="n">
        <v>754.2</v>
      </c>
      <c r="X50" s="7" t="n">
        <v>538</v>
      </c>
      <c r="Z50" s="7" t="n">
        <v>842</v>
      </c>
      <c r="AB50" s="7" t="n">
        <v>9271.299999999999</v>
      </c>
    </row>
    <row r="51">
      <c r="A51" s="4" t="inlineStr">
        <is>
          <t>差旅费</t>
        </is>
      </c>
      <c r="D51" s="7" t="n">
        <v>75055.2</v>
      </c>
      <c r="F51" s="7" t="n">
        <v>78134.60000000001</v>
      </c>
      <c r="H51" s="7" t="n">
        <v>58589.8</v>
      </c>
      <c r="J51" s="7" t="n">
        <v>75169.3</v>
      </c>
      <c r="L51" s="7" t="n">
        <v>69370.5</v>
      </c>
      <c r="N51" s="7" t="n">
        <v>71398.3</v>
      </c>
      <c r="P51" s="7" t="n">
        <v>147012.5</v>
      </c>
      <c r="R51" s="7" t="n">
        <v>71412.8</v>
      </c>
      <c r="T51" s="7" t="n">
        <v>84786.7</v>
      </c>
      <c r="V51" s="7" t="n">
        <v>69822.5</v>
      </c>
      <c r="X51" s="7" t="n">
        <v>47340.3</v>
      </c>
      <c r="Z51" s="7" t="n">
        <v>66737.60000000001</v>
      </c>
      <c r="AB51" s="7" t="n">
        <v>914830.1</v>
      </c>
    </row>
    <row r="52">
      <c r="A52" s="4" t="inlineStr">
        <is>
          <t>交通费</t>
        </is>
      </c>
      <c r="D52" s="7" t="n">
        <v>519.4</v>
      </c>
      <c r="F52" s="7" t="n">
        <v>604.7</v>
      </c>
      <c r="H52" s="7" t="n">
        <v>637.1</v>
      </c>
      <c r="J52" s="7" t="n">
        <v>631</v>
      </c>
      <c r="L52" s="7" t="n">
        <v>499.8</v>
      </c>
      <c r="N52" s="7" t="n">
        <v>831.9</v>
      </c>
      <c r="P52" s="7" t="n">
        <v>911.5</v>
      </c>
      <c r="R52" s="7" t="n">
        <v>408.1</v>
      </c>
      <c r="T52" s="7" t="n">
        <v>665.1</v>
      </c>
      <c r="V52" s="7" t="n">
        <v>512.3</v>
      </c>
      <c r="X52" s="7" t="n">
        <v>446.9</v>
      </c>
      <c r="Z52" s="7" t="n">
        <v>697</v>
      </c>
      <c r="AB52" s="7" t="n">
        <v>7364.8</v>
      </c>
    </row>
    <row r="53">
      <c r="A53" s="4" t="inlineStr">
        <is>
          <t>住宿费</t>
        </is>
      </c>
      <c r="D53" s="7" t="n">
        <v>3689.1</v>
      </c>
      <c r="F53" s="7" t="n">
        <v>3869.9</v>
      </c>
      <c r="H53" s="7" t="n">
        <v>4511.7</v>
      </c>
      <c r="J53" s="7" t="n">
        <v>6560.3</v>
      </c>
      <c r="L53" s="7" t="n">
        <v>3820.4</v>
      </c>
      <c r="N53" s="7" t="n">
        <v>7054.2</v>
      </c>
      <c r="P53" s="7" t="n">
        <v>8514.200000000001</v>
      </c>
      <c r="R53" s="7" t="n">
        <v>3542.5</v>
      </c>
      <c r="T53" s="7" t="n">
        <v>4678.2</v>
      </c>
      <c r="V53" s="7" t="n">
        <v>5162.4</v>
      </c>
      <c r="X53" s="7" t="n">
        <v>2522</v>
      </c>
      <c r="Z53" s="7" t="n">
        <v>6412.5</v>
      </c>
      <c r="AB53" s="7" t="n">
        <v>60337.4</v>
      </c>
    </row>
    <row r="54">
      <c r="A54" s="4" t="inlineStr">
        <is>
          <t>餐补</t>
        </is>
      </c>
      <c r="D54" s="7" t="n">
        <v>2457</v>
      </c>
      <c r="F54" s="7" t="n">
        <v>3450.7</v>
      </c>
      <c r="H54" s="7" t="n">
        <v>4280</v>
      </c>
      <c r="J54" s="7" t="n">
        <v>4364.6</v>
      </c>
      <c r="L54" s="7" t="n">
        <v>2070</v>
      </c>
      <c r="N54" s="7" t="n">
        <v>4689.4</v>
      </c>
      <c r="P54" s="7" t="n">
        <v>4429.3</v>
      </c>
      <c r="R54" s="7" t="n">
        <v>3234.8</v>
      </c>
      <c r="T54" s="7" t="n">
        <v>3876</v>
      </c>
      <c r="V54" s="7" t="n">
        <v>1999.9</v>
      </c>
      <c r="X54" s="7" t="n">
        <v>2037.2</v>
      </c>
      <c r="Z54" s="7" t="n">
        <v>3432.5</v>
      </c>
      <c r="AB54" s="7" t="n">
        <v>40321.4</v>
      </c>
    </row>
    <row r="55">
      <c r="A55" s="4" t="inlineStr">
        <is>
          <t>交通补助</t>
        </is>
      </c>
      <c r="D55" s="7" t="n">
        <v>2726.8</v>
      </c>
      <c r="F55" s="7" t="n">
        <v>2808.5</v>
      </c>
      <c r="H55" s="7" t="n">
        <v>4141.7</v>
      </c>
      <c r="J55" s="7" t="n">
        <v>3820</v>
      </c>
      <c r="L55" s="7" t="n">
        <v>2923.8</v>
      </c>
      <c r="N55" s="7" t="n">
        <v>3386.8</v>
      </c>
      <c r="P55" s="7" t="n">
        <v>4532.9</v>
      </c>
      <c r="R55" s="7" t="n">
        <v>2613.9</v>
      </c>
      <c r="T55" s="7" t="n">
        <v>3171</v>
      </c>
      <c r="V55" s="7" t="n">
        <v>3041.5</v>
      </c>
      <c r="X55" s="7" t="n">
        <v>2018.7</v>
      </c>
      <c r="Z55" s="7" t="n">
        <v>2763</v>
      </c>
      <c r="AB55" s="7" t="n">
        <v>37948.6</v>
      </c>
    </row>
    <row r="56">
      <c r="A56" s="4" t="inlineStr">
        <is>
          <t>通讯补助</t>
        </is>
      </c>
      <c r="D56" s="7" t="n">
        <v>3114.6</v>
      </c>
      <c r="F56" s="7" t="n">
        <v>3565.9</v>
      </c>
      <c r="H56" s="7" t="n">
        <v>3678.4</v>
      </c>
      <c r="J56" s="7" t="n">
        <v>5863.7</v>
      </c>
      <c r="L56" s="7" t="n">
        <v>3995.2</v>
      </c>
      <c r="N56" s="7" t="n">
        <v>4826.8</v>
      </c>
      <c r="P56" s="7" t="n">
        <v>6079.7</v>
      </c>
      <c r="R56" s="7" t="n">
        <v>3296.2</v>
      </c>
      <c r="T56" s="7" t="n">
        <v>2909.3</v>
      </c>
      <c r="V56" s="7" t="n">
        <v>2864.5</v>
      </c>
      <c r="X56" s="7" t="n">
        <v>3234.6</v>
      </c>
      <c r="Z56" s="7" t="n">
        <v>3888.4</v>
      </c>
      <c r="AB56" s="7" t="n">
        <v>47317.3</v>
      </c>
    </row>
    <row r="57">
      <c r="A57" s="4" t="inlineStr">
        <is>
          <t>招待费</t>
        </is>
      </c>
      <c r="D57" s="7" t="n">
        <v>36448.6</v>
      </c>
      <c r="F57" s="7" t="n">
        <v>53433.5</v>
      </c>
      <c r="H57" s="7" t="n">
        <v>58607.1</v>
      </c>
      <c r="J57" s="7" t="n">
        <v>62745.4</v>
      </c>
      <c r="L57" s="7" t="n">
        <v>29123.4</v>
      </c>
      <c r="N57" s="7" t="n">
        <v>53023.8</v>
      </c>
      <c r="P57" s="7" t="n">
        <v>65082.9</v>
      </c>
      <c r="R57" s="7" t="n">
        <v>38191.4</v>
      </c>
      <c r="T57" s="7" t="n">
        <v>43643.3</v>
      </c>
      <c r="V57" s="7" t="n">
        <v>50444.7</v>
      </c>
      <c r="X57" s="7" t="n">
        <v>36752.5</v>
      </c>
      <c r="Z57" s="7" t="n">
        <v>40456.8</v>
      </c>
      <c r="AB57" s="7" t="n">
        <v>567953.4</v>
      </c>
    </row>
    <row r="58">
      <c r="A58" s="4" t="inlineStr">
        <is>
          <t>通讯费</t>
        </is>
      </c>
      <c r="D58" s="7" t="n">
        <v>2162</v>
      </c>
      <c r="F58" s="7" t="n">
        <v>2965.5</v>
      </c>
      <c r="H58" s="7" t="n">
        <v>2925.8</v>
      </c>
      <c r="J58" s="7" t="n">
        <v>2879.8</v>
      </c>
      <c r="L58" s="7" t="n">
        <v>2020</v>
      </c>
      <c r="N58" s="7" t="n">
        <v>2398.3</v>
      </c>
      <c r="P58" s="7" t="n">
        <v>4168.1</v>
      </c>
      <c r="R58" s="7" t="n">
        <v>2299.5</v>
      </c>
      <c r="T58" s="7" t="n">
        <v>2774.4</v>
      </c>
      <c r="V58" s="7" t="n">
        <v>2068.6</v>
      </c>
      <c r="X58" s="7" t="n">
        <v>1320.3</v>
      </c>
      <c r="Z58" s="7" t="n">
        <v>3005.2</v>
      </c>
      <c r="AB58" s="7" t="n">
        <v>30987.5</v>
      </c>
    </row>
    <row r="59">
      <c r="A59" s="4" t="inlineStr">
        <is>
          <t>网络费</t>
        </is>
      </c>
      <c r="D59" s="7" t="n">
        <v>1361.9</v>
      </c>
      <c r="F59" s="7" t="n">
        <v>1387.6</v>
      </c>
      <c r="H59" s="7" t="n">
        <v>2387.7</v>
      </c>
      <c r="J59" s="7" t="n">
        <v>2838</v>
      </c>
      <c r="L59" s="7" t="n">
        <v>1560.7</v>
      </c>
      <c r="N59" s="7" t="n">
        <v>2150.7</v>
      </c>
      <c r="P59" s="7" t="n">
        <v>4403.6</v>
      </c>
      <c r="R59" s="7" t="n">
        <v>1744</v>
      </c>
      <c r="T59" s="7" t="n">
        <v>1636.2</v>
      </c>
      <c r="V59" s="7" t="n">
        <v>1992.4</v>
      </c>
      <c r="X59" s="7" t="n">
        <v>1618</v>
      </c>
      <c r="Z59" s="7" t="n">
        <v>2207.2</v>
      </c>
      <c r="AB59" s="7" t="n">
        <v>25288</v>
      </c>
    </row>
    <row r="60">
      <c r="A60" s="4" t="inlineStr">
        <is>
          <t>修理费</t>
        </is>
      </c>
      <c r="D60" s="7" t="n">
        <v>3726.4</v>
      </c>
      <c r="F60" s="7" t="n">
        <v>2880.3</v>
      </c>
      <c r="H60" s="7" t="n">
        <v>4088</v>
      </c>
      <c r="J60" s="7" t="n">
        <v>4361.8</v>
      </c>
      <c r="L60" s="7" t="n">
        <v>4409.1</v>
      </c>
      <c r="N60" s="7" t="n">
        <v>5669.9</v>
      </c>
      <c r="P60" s="7" t="n">
        <v>8883.700000000001</v>
      </c>
      <c r="R60" s="7" t="n">
        <v>3064.8</v>
      </c>
      <c r="T60" s="7" t="n">
        <v>5243.4</v>
      </c>
      <c r="V60" s="7" t="n">
        <v>2622.9</v>
      </c>
      <c r="X60" s="7" t="n">
        <v>3564.8</v>
      </c>
      <c r="Z60" s="7" t="n">
        <v>4688.4</v>
      </c>
      <c r="AB60" s="7" t="n">
        <v>53203.5</v>
      </c>
    </row>
    <row r="61">
      <c r="A61" s="4" t="inlineStr">
        <is>
          <t>车辆费</t>
        </is>
      </c>
      <c r="D61" s="7" t="n">
        <v>2200.4</v>
      </c>
      <c r="F61" s="7" t="n">
        <v>3958.3</v>
      </c>
      <c r="H61" s="7" t="n">
        <v>3050.7</v>
      </c>
      <c r="J61" s="7" t="n">
        <v>4876.6</v>
      </c>
      <c r="L61" s="7" t="n">
        <v>3402.4</v>
      </c>
      <c r="N61" s="7" t="n">
        <v>5080.5</v>
      </c>
      <c r="P61" s="7" t="n">
        <v>5599.5</v>
      </c>
      <c r="R61" s="7" t="n">
        <v>2049.3</v>
      </c>
      <c r="T61" s="7" t="n">
        <v>2677.2</v>
      </c>
      <c r="V61" s="7" t="n">
        <v>2426.5</v>
      </c>
      <c r="X61" s="7" t="n">
        <v>2019.3</v>
      </c>
      <c r="Z61" s="7" t="n">
        <v>3319.2</v>
      </c>
      <c r="AB61" s="7" t="n">
        <v>40659.9</v>
      </c>
    </row>
    <row r="62">
      <c r="A62" s="4" t="inlineStr">
        <is>
          <t>租赁费</t>
        </is>
      </c>
      <c r="D62" s="7" t="n">
        <v>67489.2</v>
      </c>
      <c r="F62" s="7" t="n">
        <v>47590</v>
      </c>
      <c r="H62" s="7" t="n">
        <v>76017.3</v>
      </c>
      <c r="J62" s="7" t="n">
        <v>74526.10000000001</v>
      </c>
      <c r="L62" s="7" t="n">
        <v>49117.4</v>
      </c>
      <c r="N62" s="7" t="n">
        <v>88199.7</v>
      </c>
      <c r="P62" s="7" t="n">
        <v>101271.4</v>
      </c>
      <c r="R62" s="7" t="n">
        <v>55154</v>
      </c>
      <c r="T62" s="7" t="n">
        <v>69180.10000000001</v>
      </c>
      <c r="V62" s="7" t="n">
        <v>44275.3</v>
      </c>
      <c r="X62" s="7" t="n">
        <v>45570</v>
      </c>
      <c r="Z62" s="7" t="n">
        <v>63126.3</v>
      </c>
      <c r="AB62" s="7" t="n">
        <v>781516.8</v>
      </c>
    </row>
    <row r="63">
      <c r="A63" s="4" t="inlineStr">
        <is>
          <t>能源费</t>
        </is>
      </c>
      <c r="D63" s="7" t="n">
        <v>4859.6</v>
      </c>
      <c r="F63" s="7" t="n">
        <v>6060.6</v>
      </c>
      <c r="H63" s="7" t="n">
        <v>6373.9</v>
      </c>
      <c r="J63" s="7" t="n">
        <v>6643.8</v>
      </c>
      <c r="L63" s="7" t="n">
        <v>4881.2</v>
      </c>
      <c r="N63" s="7" t="n">
        <v>8012.3</v>
      </c>
      <c r="P63" s="7" t="n">
        <v>8114.8</v>
      </c>
      <c r="R63" s="7" t="n">
        <v>4188.8</v>
      </c>
      <c r="T63" s="7" t="n">
        <v>5678.9</v>
      </c>
      <c r="V63" s="7" t="n">
        <v>5365.5</v>
      </c>
      <c r="X63" s="7" t="n">
        <v>4052.8</v>
      </c>
      <c r="Z63" s="7" t="n">
        <v>6604.8</v>
      </c>
      <c r="AB63" s="7" t="n">
        <v>70837</v>
      </c>
    </row>
    <row r="64">
      <c r="A64" s="4" t="inlineStr">
        <is>
          <t>水费</t>
        </is>
      </c>
      <c r="D64" s="7" t="n">
        <v>118</v>
      </c>
      <c r="F64" s="7" t="n">
        <v>98.40000000000001</v>
      </c>
      <c r="H64" s="7" t="n">
        <v>133.3</v>
      </c>
      <c r="J64" s="7" t="n">
        <v>215.4</v>
      </c>
      <c r="L64" s="7" t="n">
        <v>141.6</v>
      </c>
      <c r="N64" s="7" t="n">
        <v>190.3</v>
      </c>
      <c r="P64" s="7" t="n">
        <v>269.6</v>
      </c>
      <c r="R64" s="7" t="n">
        <v>102.2</v>
      </c>
      <c r="T64" s="7" t="n">
        <v>131.2</v>
      </c>
      <c r="V64" s="7" t="n">
        <v>152.4</v>
      </c>
      <c r="X64" s="7" t="n">
        <v>69.3</v>
      </c>
      <c r="Z64" s="7" t="n">
        <v>127.3</v>
      </c>
      <c r="AB64" s="7" t="n">
        <v>1749</v>
      </c>
    </row>
    <row r="65">
      <c r="A65" s="4" t="inlineStr">
        <is>
          <t>电费</t>
        </is>
      </c>
      <c r="D65" s="7" t="n">
        <v>2443.9</v>
      </c>
      <c r="F65" s="7" t="n">
        <v>2496.2</v>
      </c>
      <c r="H65" s="7" t="n">
        <v>3354</v>
      </c>
      <c r="J65" s="7" t="n">
        <v>3025.9</v>
      </c>
      <c r="L65" s="7" t="n">
        <v>2537.1</v>
      </c>
      <c r="N65" s="7" t="n">
        <v>3824.1</v>
      </c>
      <c r="P65" s="7" t="n">
        <v>4080.3</v>
      </c>
      <c r="R65" s="7" t="n">
        <v>1569.8</v>
      </c>
      <c r="T65" s="7" t="n">
        <v>3262</v>
      </c>
      <c r="V65" s="7" t="n">
        <v>2973.8</v>
      </c>
      <c r="X65" s="7" t="n">
        <v>2024.9</v>
      </c>
      <c r="Z65" s="7" t="n">
        <v>2797.4</v>
      </c>
      <c r="AB65" s="7" t="n">
        <v>34389.4</v>
      </c>
    </row>
    <row r="66">
      <c r="A66" s="4" t="inlineStr">
        <is>
          <t>燃气费</t>
        </is>
      </c>
      <c r="D66" s="7" t="n">
        <v>2078.3</v>
      </c>
      <c r="F66" s="7" t="n">
        <v>3287.5</v>
      </c>
      <c r="H66" s="7" t="n">
        <v>2689.8</v>
      </c>
      <c r="J66" s="7" t="n">
        <v>3194.4</v>
      </c>
      <c r="L66" s="7" t="n">
        <v>2010.5</v>
      </c>
      <c r="N66" s="7" t="n">
        <v>3815.5</v>
      </c>
      <c r="P66" s="7" t="n">
        <v>3421</v>
      </c>
      <c r="R66" s="7" t="n">
        <v>2338.4</v>
      </c>
      <c r="T66" s="7" t="n">
        <v>2147.7</v>
      </c>
      <c r="V66" s="7" t="n">
        <v>2108.9</v>
      </c>
      <c r="X66" s="7" t="n">
        <v>1794.3</v>
      </c>
      <c r="Z66" s="7" t="n">
        <v>3490</v>
      </c>
      <c r="AB66" s="7" t="n">
        <v>32376.3</v>
      </c>
    </row>
    <row r="67">
      <c r="A67" s="4" t="inlineStr">
        <is>
          <t>蒸汽费</t>
        </is>
      </c>
      <c r="D67" s="7" t="n">
        <v>219.4</v>
      </c>
      <c r="F67" s="7" t="n">
        <v>178.5</v>
      </c>
      <c r="H67" s="7" t="n">
        <v>196.8</v>
      </c>
      <c r="J67" s="7" t="n">
        <v>208.1</v>
      </c>
      <c r="L67" s="7" t="n">
        <v>192</v>
      </c>
      <c r="N67" s="7" t="n">
        <v>182.4</v>
      </c>
      <c r="P67" s="7" t="n">
        <v>343.9</v>
      </c>
      <c r="R67" s="7" t="n">
        <v>178.4</v>
      </c>
      <c r="T67" s="7" t="n">
        <v>138</v>
      </c>
      <c r="V67" s="7" t="n">
        <v>130.4</v>
      </c>
      <c r="X67" s="7" t="n">
        <v>164.3</v>
      </c>
      <c r="Z67" s="7" t="n">
        <v>190.1</v>
      </c>
      <c r="AB67" s="7" t="n">
        <v>2322.3</v>
      </c>
    </row>
    <row r="68">
      <c r="A68" s="4" t="inlineStr">
        <is>
          <t>物业费</t>
        </is>
      </c>
      <c r="D68" s="7" t="n">
        <v>1037.2</v>
      </c>
      <c r="F68" s="7" t="n">
        <v>1536.7</v>
      </c>
      <c r="H68" s="7" t="n">
        <v>1722.3</v>
      </c>
      <c r="J68" s="7" t="n">
        <v>1776.3</v>
      </c>
      <c r="L68" s="7" t="n">
        <v>1105.4</v>
      </c>
      <c r="N68" s="7" t="n">
        <v>2056</v>
      </c>
      <c r="P68" s="7" t="n">
        <v>2344.6</v>
      </c>
      <c r="R68" s="7" t="n">
        <v>1192.4</v>
      </c>
      <c r="T68" s="7" t="n">
        <v>1238.2</v>
      </c>
      <c r="V68" s="7" t="n">
        <v>1099.2</v>
      </c>
      <c r="X68" s="7" t="n">
        <v>738.9</v>
      </c>
      <c r="Z68" s="7" t="n">
        <v>1712.7</v>
      </c>
      <c r="AB68" s="7" t="n">
        <v>17559.9</v>
      </c>
    </row>
    <row r="69">
      <c r="A69" s="4" t="inlineStr">
        <is>
          <t>劳动保护费</t>
        </is>
      </c>
      <c r="D69" s="7" t="n">
        <v>8110.1</v>
      </c>
      <c r="F69" s="7" t="n">
        <v>6307.7</v>
      </c>
      <c r="H69" s="7" t="n">
        <v>8290.6</v>
      </c>
      <c r="J69" s="7" t="n">
        <v>9494.5</v>
      </c>
      <c r="L69" s="7" t="n">
        <v>7642.2</v>
      </c>
      <c r="N69" s="7" t="n">
        <v>9575</v>
      </c>
      <c r="P69" s="7" t="n">
        <v>12967.9</v>
      </c>
      <c r="R69" s="7" t="n">
        <v>7233.4</v>
      </c>
      <c r="T69" s="7" t="n">
        <v>7239</v>
      </c>
      <c r="V69" s="7" t="n">
        <v>8075</v>
      </c>
      <c r="X69" s="7" t="n">
        <v>4197</v>
      </c>
      <c r="Z69" s="7" t="n">
        <v>6530.5</v>
      </c>
      <c r="AB69" s="7" t="n">
        <v>95662.89999999999</v>
      </c>
    </row>
    <row r="70">
      <c r="A70" s="4" t="inlineStr">
        <is>
          <t>顾问费</t>
        </is>
      </c>
      <c r="D70" s="7" t="n">
        <v>3501.1</v>
      </c>
      <c r="F70" s="7" t="n">
        <v>3843.7</v>
      </c>
      <c r="H70" s="7" t="n">
        <v>3617.3</v>
      </c>
      <c r="J70" s="7" t="n">
        <v>7007.2</v>
      </c>
      <c r="L70" s="7" t="n">
        <v>3243.8</v>
      </c>
      <c r="N70" s="7" t="n">
        <v>5817.4</v>
      </c>
      <c r="P70" s="7" t="n">
        <v>9445</v>
      </c>
      <c r="R70" s="7" t="n">
        <v>3175.2</v>
      </c>
      <c r="T70" s="7" t="n">
        <v>4480.2</v>
      </c>
      <c r="V70" s="7" t="n">
        <v>3825.8</v>
      </c>
      <c r="X70" s="7" t="n">
        <v>2260.5</v>
      </c>
      <c r="Z70" s="7" t="n">
        <v>4447.9</v>
      </c>
      <c r="AB70" s="7" t="n">
        <v>54665.1</v>
      </c>
    </row>
    <row r="71">
      <c r="A71" s="4" t="inlineStr">
        <is>
          <t>快递费</t>
        </is>
      </c>
      <c r="D71" s="7" t="n">
        <v>7727.2</v>
      </c>
      <c r="F71" s="7" t="n">
        <v>8393.4</v>
      </c>
      <c r="H71" s="7" t="n">
        <v>10701</v>
      </c>
      <c r="J71" s="7" t="n">
        <v>9451.4</v>
      </c>
      <c r="L71" s="7" t="n">
        <v>5559.5</v>
      </c>
      <c r="N71" s="7" t="n">
        <v>10407.1</v>
      </c>
      <c r="P71" s="7" t="n">
        <v>13556.3</v>
      </c>
      <c r="R71" s="7" t="n">
        <v>4748.8</v>
      </c>
      <c r="T71" s="7" t="n">
        <v>7161.7</v>
      </c>
      <c r="V71" s="7" t="n">
        <v>7673.2</v>
      </c>
      <c r="X71" s="7" t="n">
        <v>6658.7</v>
      </c>
      <c r="Z71" s="7" t="n">
        <v>8500.9</v>
      </c>
      <c r="AB71" s="7" t="n">
        <v>100539.2</v>
      </c>
    </row>
    <row r="72">
      <c r="A72" s="4" t="inlineStr">
        <is>
          <t>诉讼费</t>
        </is>
      </c>
      <c r="D72" s="7" t="n">
        <v>4908.5</v>
      </c>
      <c r="F72" s="7" t="n">
        <v>4927.3</v>
      </c>
      <c r="H72" s="7" t="n">
        <v>3718.5</v>
      </c>
      <c r="J72" s="7" t="n">
        <v>5377.6</v>
      </c>
      <c r="L72" s="7" t="n">
        <v>4427.5</v>
      </c>
      <c r="N72" s="7" t="n">
        <v>4445.9</v>
      </c>
      <c r="P72" s="7" t="n">
        <v>9619.200000000001</v>
      </c>
      <c r="R72" s="7" t="n">
        <v>4357.4</v>
      </c>
      <c r="T72" s="7" t="n">
        <v>3835.5</v>
      </c>
      <c r="V72" s="7" t="n">
        <v>3241.4</v>
      </c>
      <c r="X72" s="7" t="n">
        <v>3699.6</v>
      </c>
      <c r="Z72" s="7" t="n">
        <v>3544.4</v>
      </c>
      <c r="AB72" s="7" t="n">
        <v>56102.8</v>
      </c>
    </row>
    <row r="73">
      <c r="A73" s="4" t="inlineStr">
        <is>
          <t>会员费</t>
        </is>
      </c>
      <c r="D73" s="7" t="n">
        <v>2851.4</v>
      </c>
      <c r="F73" s="7" t="n">
        <v>3612</v>
      </c>
      <c r="H73" s="7" t="n">
        <v>5043.9</v>
      </c>
      <c r="J73" s="7" t="n">
        <v>5743.5</v>
      </c>
      <c r="L73" s="7" t="n">
        <v>3876.5</v>
      </c>
      <c r="N73" s="7" t="n">
        <v>4613.5</v>
      </c>
      <c r="P73" s="7" t="n">
        <v>4880.8</v>
      </c>
      <c r="R73" s="7" t="n">
        <v>3086.8</v>
      </c>
      <c r="T73" s="7" t="n">
        <v>3222.5</v>
      </c>
      <c r="V73" s="7" t="n">
        <v>3871.3</v>
      </c>
      <c r="X73" s="7" t="n">
        <v>1988.2</v>
      </c>
      <c r="Z73" s="7" t="n">
        <v>3511.1</v>
      </c>
      <c r="AB73" s="7" t="n">
        <v>46301.5</v>
      </c>
    </row>
    <row r="74">
      <c r="A74" s="4" t="inlineStr">
        <is>
          <t>广告宣传费</t>
        </is>
      </c>
      <c r="D74" s="7" t="n">
        <v>42662.2</v>
      </c>
      <c r="F74" s="7" t="n">
        <v>23758.6</v>
      </c>
      <c r="H74" s="7" t="n">
        <v>27821.4</v>
      </c>
      <c r="J74" s="7" t="n">
        <v>53497.9</v>
      </c>
      <c r="L74" s="7" t="n">
        <v>36554.9</v>
      </c>
      <c r="N74" s="7" t="n">
        <v>59367.1</v>
      </c>
      <c r="P74" s="7" t="n">
        <v>76875.10000000001</v>
      </c>
      <c r="R74" s="7" t="n">
        <v>21393</v>
      </c>
      <c r="T74" s="7" t="n">
        <v>33799.2</v>
      </c>
      <c r="V74" s="7" t="n">
        <v>26255.5</v>
      </c>
      <c r="X74" s="7" t="n">
        <v>28004.5</v>
      </c>
      <c r="Z74" s="7" t="n">
        <v>27534</v>
      </c>
      <c r="AB74" s="7" t="n">
        <v>457523.4</v>
      </c>
    </row>
    <row r="75">
      <c r="A75" s="4" t="inlineStr">
        <is>
          <t>会务费</t>
        </is>
      </c>
      <c r="D75" s="7" t="n">
        <v>6169.1</v>
      </c>
      <c r="F75" s="7" t="n">
        <v>5845</v>
      </c>
      <c r="H75" s="7" t="n">
        <v>4688.7</v>
      </c>
      <c r="J75" s="7" t="n">
        <v>8115.3</v>
      </c>
      <c r="L75" s="7" t="n">
        <v>5774.8</v>
      </c>
      <c r="N75" s="7" t="n">
        <v>6802.9</v>
      </c>
      <c r="P75" s="7" t="n">
        <v>10066.4</v>
      </c>
      <c r="R75" s="7" t="n">
        <v>5838.8</v>
      </c>
      <c r="T75" s="7" t="n">
        <v>7011.3</v>
      </c>
      <c r="V75" s="7" t="n">
        <v>4779.7</v>
      </c>
      <c r="X75" s="7" t="n">
        <v>4755.3</v>
      </c>
      <c r="Z75" s="7" t="n">
        <v>6091.5</v>
      </c>
      <c r="AB75" s="7" t="n">
        <v>75938.8</v>
      </c>
    </row>
    <row r="76">
      <c r="A76" s="4" t="inlineStr">
        <is>
          <t>装修费</t>
        </is>
      </c>
      <c r="D76" s="7" t="n">
        <v>4538.8</v>
      </c>
      <c r="F76" s="7" t="n">
        <v>3710.5</v>
      </c>
      <c r="H76" s="7" t="n">
        <v>4325</v>
      </c>
      <c r="J76" s="7" t="n">
        <v>5889</v>
      </c>
      <c r="L76" s="7" t="n">
        <v>5083.9</v>
      </c>
      <c r="N76" s="7" t="n">
        <v>7486.5</v>
      </c>
      <c r="P76" s="7" t="n">
        <v>6878.6</v>
      </c>
      <c r="R76" s="7" t="n">
        <v>3279.8</v>
      </c>
      <c r="T76" s="7" t="n">
        <v>4786.6</v>
      </c>
      <c r="V76" s="7" t="n">
        <v>3936.7</v>
      </c>
      <c r="X76" s="7" t="n">
        <v>4392.6</v>
      </c>
      <c r="Z76" s="7" t="n">
        <v>5957.9</v>
      </c>
      <c r="AB76" s="7" t="n">
        <v>60265.9</v>
      </c>
    </row>
    <row r="77">
      <c r="A77" s="4" t="inlineStr">
        <is>
          <t>推广费</t>
        </is>
      </c>
      <c r="D77" s="7" t="n">
        <v>1162.8</v>
      </c>
      <c r="F77" s="7" t="n">
        <v>1681.5</v>
      </c>
      <c r="H77" s="7" t="n">
        <v>1322</v>
      </c>
      <c r="J77" s="7" t="n">
        <v>2752.9</v>
      </c>
      <c r="L77" s="7" t="n">
        <v>1368.7</v>
      </c>
      <c r="N77" s="7" t="n">
        <v>1779.5</v>
      </c>
      <c r="P77" s="7" t="n">
        <v>2482.4</v>
      </c>
      <c r="R77" s="7" t="n">
        <v>1161</v>
      </c>
      <c r="T77" s="7" t="n">
        <v>1579.1</v>
      </c>
      <c r="V77" s="7" t="n">
        <v>1651.3</v>
      </c>
      <c r="X77" s="7" t="n">
        <v>1274.8</v>
      </c>
      <c r="Z77" s="7" t="n">
        <v>1703.5</v>
      </c>
      <c r="AB77" s="7" t="n">
        <v>19919.5</v>
      </c>
    </row>
    <row r="78">
      <c r="A78" s="4" t="inlineStr">
        <is>
          <t>展会费</t>
        </is>
      </c>
      <c r="D78" s="7" t="n">
        <v>5019.4</v>
      </c>
      <c r="F78" s="7" t="n">
        <v>3458.2</v>
      </c>
      <c r="H78" s="7" t="n">
        <v>4387</v>
      </c>
      <c r="J78" s="7" t="n">
        <v>5232.2</v>
      </c>
      <c r="L78" s="7" t="n">
        <v>3590.7</v>
      </c>
      <c r="N78" s="7" t="n">
        <v>5456</v>
      </c>
      <c r="P78" s="7" t="n">
        <v>7177.5</v>
      </c>
      <c r="R78" s="7" t="n">
        <v>4744.4</v>
      </c>
      <c r="T78" s="7" t="n">
        <v>3673.9</v>
      </c>
      <c r="V78" s="7" t="n">
        <v>4305.3</v>
      </c>
      <c r="X78" s="7" t="n">
        <v>3173.4</v>
      </c>
      <c r="Z78" s="7" t="n">
        <v>4463.4</v>
      </c>
      <c r="AB78" s="7" t="n">
        <v>54681.4</v>
      </c>
    </row>
    <row r="79">
      <c r="A79" s="4" t="inlineStr">
        <is>
          <t>设计费</t>
        </is>
      </c>
      <c r="D79" s="7" t="n">
        <v>2467.3</v>
      </c>
      <c r="F79" s="7" t="n">
        <v>2429.4</v>
      </c>
      <c r="H79" s="7" t="n">
        <v>1964</v>
      </c>
      <c r="J79" s="7" t="n">
        <v>2728.9</v>
      </c>
      <c r="L79" s="7" t="n">
        <v>1796.8</v>
      </c>
      <c r="N79" s="7" t="n">
        <v>3191.6</v>
      </c>
      <c r="P79" s="7" t="n">
        <v>2917.7</v>
      </c>
      <c r="R79" s="7" t="n">
        <v>1536.4</v>
      </c>
      <c r="T79" s="7" t="n">
        <v>2021.5</v>
      </c>
      <c r="V79" s="7" t="n">
        <v>2076.8</v>
      </c>
      <c r="X79" s="7" t="n">
        <v>1367.3</v>
      </c>
      <c r="Z79" s="7" t="n">
        <v>2601.9</v>
      </c>
      <c r="AB79" s="7" t="n">
        <v>27099.6</v>
      </c>
    </row>
    <row r="80">
      <c r="A80" s="4" t="inlineStr">
        <is>
          <t>折旧费</t>
        </is>
      </c>
      <c r="D80" s="7" t="n">
        <v>51085</v>
      </c>
      <c r="F80" s="7" t="n">
        <v>58380.9</v>
      </c>
      <c r="H80" s="7" t="n">
        <v>48651.5</v>
      </c>
      <c r="J80" s="7" t="n">
        <v>69070.39999999999</v>
      </c>
      <c r="L80" s="7" t="n">
        <v>32044.1</v>
      </c>
      <c r="N80" s="7" t="n">
        <v>55311.9</v>
      </c>
      <c r="P80" s="7" t="n">
        <v>66817.10000000001</v>
      </c>
      <c r="R80" s="7" t="n">
        <v>46561.4</v>
      </c>
      <c r="T80" s="7" t="n">
        <v>42140.7</v>
      </c>
      <c r="V80" s="7" t="n">
        <v>37812.8</v>
      </c>
      <c r="X80" s="7" t="n">
        <v>40303.1</v>
      </c>
      <c r="Z80" s="7" t="n">
        <v>47097.5</v>
      </c>
      <c r="AB80" s="7" t="n">
        <v>595276.4</v>
      </c>
    </row>
    <row r="81">
      <c r="A81" s="4" t="inlineStr">
        <is>
          <t>认证费</t>
        </is>
      </c>
      <c r="D81" s="7" t="n">
        <v>1253.2</v>
      </c>
      <c r="F81" s="7" t="n">
        <v>1004.4</v>
      </c>
      <c r="H81" s="7" t="n">
        <v>1770.3</v>
      </c>
      <c r="J81" s="7" t="n">
        <v>1266.8</v>
      </c>
      <c r="L81" s="7" t="n">
        <v>1404.4</v>
      </c>
      <c r="N81" s="7" t="n">
        <v>1531.6</v>
      </c>
      <c r="P81" s="7" t="n">
        <v>2067.4</v>
      </c>
      <c r="R81" s="7" t="n">
        <v>889.2</v>
      </c>
      <c r="T81" s="7" t="n">
        <v>1140</v>
      </c>
      <c r="V81" s="7" t="n">
        <v>1323</v>
      </c>
      <c r="X81" s="7" t="n">
        <v>1075.5</v>
      </c>
      <c r="Z81" s="7" t="n">
        <v>1436</v>
      </c>
      <c r="AB81" s="7" t="n">
        <v>16161.8</v>
      </c>
    </row>
    <row r="82">
      <c r="A82" s="4" t="inlineStr">
        <is>
          <t>样品费</t>
        </is>
      </c>
      <c r="D82" s="7" t="n">
        <v>20346.7</v>
      </c>
      <c r="F82" s="7" t="n">
        <v>21945.5</v>
      </c>
      <c r="H82" s="7" t="n">
        <v>32166.5</v>
      </c>
      <c r="J82" s="7" t="n">
        <v>40103.8</v>
      </c>
      <c r="L82" s="7" t="n">
        <v>24045.4</v>
      </c>
      <c r="N82" s="7" t="n">
        <v>36836.3</v>
      </c>
      <c r="P82" s="7" t="n">
        <v>49252.4</v>
      </c>
      <c r="R82" s="7" t="n">
        <v>19493.4</v>
      </c>
      <c r="T82" s="7" t="n">
        <v>19847.8</v>
      </c>
      <c r="V82" s="7" t="n">
        <v>16798.2</v>
      </c>
      <c r="X82" s="7" t="n">
        <v>18156.6</v>
      </c>
      <c r="Z82" s="7" t="n">
        <v>22312</v>
      </c>
      <c r="AB82" s="7" t="n">
        <v>321304.6</v>
      </c>
    </row>
    <row r="83">
      <c r="A83" s="4" t="inlineStr">
        <is>
          <t>劳务费</t>
        </is>
      </c>
      <c r="D83" s="7" t="n">
        <v>647.7</v>
      </c>
      <c r="F83" s="7" t="n">
        <v>539.7</v>
      </c>
      <c r="H83" s="7" t="n">
        <v>862.2</v>
      </c>
      <c r="J83" s="7" t="n">
        <v>1066.7</v>
      </c>
      <c r="L83" s="7" t="n">
        <v>740.9</v>
      </c>
      <c r="N83" s="7" t="n">
        <v>1209.7</v>
      </c>
      <c r="P83" s="7" t="n">
        <v>1749.5</v>
      </c>
      <c r="R83" s="7" t="n">
        <v>456.8</v>
      </c>
      <c r="T83" s="7" t="n">
        <v>799.2</v>
      </c>
      <c r="V83" s="7" t="n">
        <v>562.4</v>
      </c>
      <c r="X83" s="7" t="n">
        <v>457.2</v>
      </c>
      <c r="Z83" s="7" t="n">
        <v>880.6</v>
      </c>
      <c r="AB83" s="7" t="n">
        <v>9972.6</v>
      </c>
    </row>
    <row r="84">
      <c r="A84" s="4" t="inlineStr">
        <is>
          <t>销售佣金</t>
        </is>
      </c>
      <c r="D84" s="7" t="n">
        <v>5490</v>
      </c>
      <c r="F84" s="7" t="n">
        <v>4308.7</v>
      </c>
      <c r="H84" s="7" t="n">
        <v>6493.5</v>
      </c>
      <c r="J84" s="7" t="n">
        <v>7099</v>
      </c>
      <c r="L84" s="7" t="n">
        <v>3270.3</v>
      </c>
      <c r="N84" s="7" t="n">
        <v>7350.4</v>
      </c>
      <c r="P84" s="7" t="n">
        <v>9817.299999999999</v>
      </c>
      <c r="R84" s="7" t="n">
        <v>3279.8</v>
      </c>
      <c r="T84" s="7" t="n">
        <v>4364.8</v>
      </c>
      <c r="V84" s="7" t="n">
        <v>5541.3</v>
      </c>
      <c r="X84" s="7" t="n">
        <v>2759</v>
      </c>
      <c r="Z84" s="7" t="n">
        <v>6672.2</v>
      </c>
      <c r="AB84" s="7" t="n">
        <v>66446.3</v>
      </c>
    </row>
    <row r="85">
      <c r="A85" s="4" t="inlineStr">
        <is>
          <t>检测费</t>
        </is>
      </c>
      <c r="D85" s="7" t="n">
        <v>2809.4</v>
      </c>
      <c r="F85" s="7" t="n">
        <v>3224.1</v>
      </c>
      <c r="H85" s="7" t="n">
        <v>4644.4</v>
      </c>
      <c r="J85" s="7" t="n">
        <v>5793.7</v>
      </c>
      <c r="L85" s="7" t="n">
        <v>3348.4</v>
      </c>
      <c r="N85" s="7" t="n">
        <v>5342.7</v>
      </c>
      <c r="P85" s="7" t="n">
        <v>8431.200000000001</v>
      </c>
      <c r="R85" s="7" t="n">
        <v>2934.4</v>
      </c>
      <c r="T85" s="7" t="n">
        <v>4389.1</v>
      </c>
      <c r="V85" s="7" t="n">
        <v>2865.2</v>
      </c>
      <c r="X85" s="7" t="n">
        <v>2180</v>
      </c>
      <c r="Z85" s="7" t="n">
        <v>3053.1</v>
      </c>
      <c r="AB85" s="7" t="n">
        <v>49015.7</v>
      </c>
    </row>
    <row r="86">
      <c r="A86" s="4" t="inlineStr">
        <is>
          <t>质量赔偿</t>
        </is>
      </c>
      <c r="D86" s="7" t="n">
        <v>1477.5</v>
      </c>
      <c r="F86" s="7" t="n">
        <v>1206.9</v>
      </c>
      <c r="H86" s="7" t="n">
        <v>1655.8</v>
      </c>
      <c r="J86" s="7" t="n">
        <v>2173.6</v>
      </c>
      <c r="L86" s="7" t="n">
        <v>1355.9</v>
      </c>
      <c r="N86" s="7" t="n">
        <v>2402.3</v>
      </c>
      <c r="P86" s="7" t="n">
        <v>2089.7</v>
      </c>
      <c r="R86" s="7" t="n">
        <v>1532</v>
      </c>
      <c r="T86" s="7" t="n">
        <v>1790.1</v>
      </c>
      <c r="V86" s="7" t="n">
        <v>1081</v>
      </c>
      <c r="X86" s="7" t="n">
        <v>1265.9</v>
      </c>
      <c r="Z86" s="7" t="n">
        <v>1643.2</v>
      </c>
      <c r="AB86" s="7" t="n">
        <v>19673.9</v>
      </c>
    </row>
    <row r="87">
      <c r="A87" s="4" t="inlineStr">
        <is>
          <t>保险费</t>
        </is>
      </c>
      <c r="D87" s="7" t="n">
        <v>2332.3</v>
      </c>
      <c r="F87" s="7" t="n">
        <v>3878.9</v>
      </c>
      <c r="H87" s="7" t="n">
        <v>4091.4</v>
      </c>
      <c r="J87" s="7" t="n">
        <v>4802</v>
      </c>
      <c r="L87" s="7" t="n">
        <v>2407.7</v>
      </c>
      <c r="N87" s="7" t="n">
        <v>4583.6</v>
      </c>
      <c r="P87" s="7" t="n">
        <v>6351.7</v>
      </c>
      <c r="R87" s="7" t="n">
        <v>3653</v>
      </c>
      <c r="T87" s="7" t="n">
        <v>3120.7</v>
      </c>
      <c r="V87" s="7" t="n">
        <v>3732.9</v>
      </c>
      <c r="X87" s="7" t="n">
        <v>2100.1</v>
      </c>
      <c r="Z87" s="7" t="n">
        <v>3075</v>
      </c>
      <c r="AB87" s="7" t="n">
        <v>44129.3</v>
      </c>
    </row>
    <row r="88">
      <c r="A88" s="4" t="inlineStr">
        <is>
          <t>清洁费</t>
        </is>
      </c>
      <c r="D88" s="7" t="n">
        <v>3627</v>
      </c>
      <c r="F88" s="7" t="n">
        <v>3990.5</v>
      </c>
      <c r="H88" s="7" t="n">
        <v>6103</v>
      </c>
      <c r="J88" s="7" t="n">
        <v>7520.2</v>
      </c>
      <c r="L88" s="7" t="n">
        <v>3647.8</v>
      </c>
      <c r="N88" s="7" t="n">
        <v>5005</v>
      </c>
      <c r="P88" s="7" t="n">
        <v>9952.6</v>
      </c>
      <c r="R88" s="7" t="n">
        <v>3473.5</v>
      </c>
      <c r="T88" s="7" t="n">
        <v>3481.6</v>
      </c>
      <c r="V88" s="7" t="n">
        <v>2782</v>
      </c>
      <c r="X88" s="7" t="n">
        <v>2917.4</v>
      </c>
      <c r="Z88" s="7" t="n">
        <v>3859.7</v>
      </c>
      <c r="AB88" s="7" t="n">
        <v>56360.3</v>
      </c>
    </row>
    <row r="89">
      <c r="A89" s="4" t="inlineStr">
        <is>
          <t>低值易耗品</t>
        </is>
      </c>
      <c r="D89" s="7" t="n">
        <v>6524</v>
      </c>
      <c r="F89" s="7" t="n">
        <v>7388.8</v>
      </c>
      <c r="H89" s="7" t="n">
        <v>8002.8</v>
      </c>
      <c r="J89" s="7" t="n">
        <v>7919.3</v>
      </c>
      <c r="L89" s="7" t="n">
        <v>7072.3</v>
      </c>
      <c r="N89" s="7" t="n">
        <v>10714.9</v>
      </c>
      <c r="P89" s="7" t="n">
        <v>10574.8</v>
      </c>
      <c r="R89" s="7" t="n">
        <v>5835.7</v>
      </c>
      <c r="T89" s="7" t="n">
        <v>6416.9</v>
      </c>
      <c r="V89" s="7" t="n">
        <v>6316.5</v>
      </c>
      <c r="X89" s="7" t="n">
        <v>3819.5</v>
      </c>
      <c r="Z89" s="7" t="n">
        <v>6343.2</v>
      </c>
      <c r="AB89" s="7" t="n">
        <v>86928.7</v>
      </c>
    </row>
    <row r="90">
      <c r="A90" s="4" t="inlineStr">
        <is>
          <t>物料消耗</t>
        </is>
      </c>
      <c r="D90" s="7" t="n">
        <v>4638.8</v>
      </c>
      <c r="F90" s="7" t="n">
        <v>3563.8</v>
      </c>
      <c r="H90" s="7" t="n">
        <v>4090.2</v>
      </c>
      <c r="J90" s="7" t="n">
        <v>7473.6</v>
      </c>
      <c r="L90" s="7" t="n">
        <v>4675.6</v>
      </c>
      <c r="N90" s="7" t="n">
        <v>7385.7</v>
      </c>
      <c r="P90" s="7" t="n">
        <v>8969.700000000001</v>
      </c>
      <c r="R90" s="7" t="n">
        <v>3050.1</v>
      </c>
      <c r="T90" s="7" t="n">
        <v>6037.4</v>
      </c>
      <c r="V90" s="7" t="n">
        <v>5266.1</v>
      </c>
      <c r="X90" s="7" t="n">
        <v>3607.2</v>
      </c>
      <c r="Z90" s="7" t="n">
        <v>5570.7</v>
      </c>
      <c r="AB90" s="7" t="n">
        <v>64328.9</v>
      </c>
    </row>
    <row r="91">
      <c r="A91" s="4" t="inlineStr">
        <is>
          <t>盘盈盘亏</t>
        </is>
      </c>
      <c r="D91" s="7" t="n">
        <v>4904.3</v>
      </c>
      <c r="F91" s="7" t="n">
        <v>7244.4</v>
      </c>
      <c r="H91" s="7" t="n">
        <v>6480.6</v>
      </c>
      <c r="J91" s="7" t="n">
        <v>10005.2</v>
      </c>
      <c r="L91" s="7" t="n">
        <v>4504.2</v>
      </c>
      <c r="N91" s="7" t="n">
        <v>6138.1</v>
      </c>
      <c r="P91" s="7" t="n">
        <v>9689.700000000001</v>
      </c>
      <c r="R91" s="7" t="n">
        <v>4482</v>
      </c>
      <c r="T91" s="7" t="n">
        <v>6954.2</v>
      </c>
      <c r="V91" s="7" t="n">
        <v>5069.9</v>
      </c>
      <c r="X91" s="7" t="n">
        <v>4036.1</v>
      </c>
      <c r="Z91" s="7" t="n">
        <v>5686.2</v>
      </c>
      <c r="AB91" s="7" t="n">
        <v>75194.89999999999</v>
      </c>
    </row>
    <row r="92">
      <c r="A92" s="4" t="inlineStr">
        <is>
          <t>平台服务费</t>
        </is>
      </c>
      <c r="D92" s="7" t="n">
        <v>3523.9</v>
      </c>
      <c r="F92" s="7" t="n">
        <v>2899.3</v>
      </c>
      <c r="H92" s="7" t="n">
        <v>4517.6</v>
      </c>
      <c r="J92" s="7" t="n">
        <v>4022.4</v>
      </c>
      <c r="L92" s="7" t="n">
        <v>3231.8</v>
      </c>
      <c r="N92" s="7" t="n">
        <v>5361.3</v>
      </c>
      <c r="P92" s="7" t="n">
        <v>6680.4</v>
      </c>
      <c r="R92" s="7" t="n">
        <v>1870.3</v>
      </c>
      <c r="T92" s="7" t="n">
        <v>3640.6</v>
      </c>
      <c r="V92" s="7" t="n">
        <v>2307.6</v>
      </c>
      <c r="X92" s="7" t="n">
        <v>2554.2</v>
      </c>
      <c r="Z92" s="7" t="n">
        <v>2849.3</v>
      </c>
      <c r="AB92" s="7" t="n">
        <v>43458.7</v>
      </c>
    </row>
    <row r="93">
      <c r="A93" s="4" t="inlineStr">
        <is>
          <t>无形资产摊销</t>
        </is>
      </c>
      <c r="D93" s="7" t="n">
        <v>2434.8</v>
      </c>
      <c r="F93" s="7" t="n">
        <v>3235.3</v>
      </c>
      <c r="H93" s="7" t="n">
        <v>2826.9</v>
      </c>
      <c r="J93" s="7" t="n">
        <v>4090.3</v>
      </c>
      <c r="L93" s="7" t="n">
        <v>2004.5</v>
      </c>
      <c r="N93" s="7" t="n">
        <v>3096.8</v>
      </c>
      <c r="P93" s="7" t="n">
        <v>5164.5</v>
      </c>
      <c r="R93" s="7" t="n">
        <v>2856.1</v>
      </c>
      <c r="T93" s="7" t="n">
        <v>2218.6</v>
      </c>
      <c r="V93" s="7" t="n">
        <v>2118</v>
      </c>
      <c r="X93" s="7" t="n">
        <v>1811.9</v>
      </c>
      <c r="Z93" s="7" t="n">
        <v>2873.9</v>
      </c>
      <c r="AB93" s="7" t="n">
        <v>34731.6</v>
      </c>
    </row>
    <row r="94">
      <c r="A94" s="4" t="inlineStr">
        <is>
          <t>研发材料</t>
        </is>
      </c>
      <c r="D94" s="7" t="n">
        <v>5169.7</v>
      </c>
      <c r="F94" s="7" t="n">
        <v>6823.2</v>
      </c>
      <c r="H94" s="7" t="n">
        <v>4436.2</v>
      </c>
      <c r="J94" s="7" t="n">
        <v>8354.299999999999</v>
      </c>
      <c r="L94" s="7" t="n">
        <v>5255</v>
      </c>
      <c r="N94" s="7" t="n">
        <v>8984.4</v>
      </c>
      <c r="P94" s="7" t="n">
        <v>9878.700000000001</v>
      </c>
      <c r="R94" s="7" t="n">
        <v>3944.6</v>
      </c>
      <c r="T94" s="7" t="n">
        <v>5966.5</v>
      </c>
      <c r="V94" s="7" t="n">
        <v>4472.9</v>
      </c>
      <c r="X94" s="7" t="n">
        <v>2973.8</v>
      </c>
      <c r="Z94" s="7" t="n">
        <v>6089.3</v>
      </c>
      <c r="AB94" s="7" t="n">
        <v>72348.60000000001</v>
      </c>
    </row>
    <row r="95">
      <c r="A95" s="4" t="inlineStr">
        <is>
          <t>项目名称</t>
        </is>
      </c>
      <c r="D95" s="7" t="n">
        <v>1857.2</v>
      </c>
      <c r="F95" s="7" t="n">
        <v>2553.4</v>
      </c>
      <c r="H95" s="7" t="n">
        <v>1788.9</v>
      </c>
      <c r="J95" s="7" t="n">
        <v>2277.9</v>
      </c>
      <c r="L95" s="7" t="n">
        <v>2078.5</v>
      </c>
      <c r="N95" s="7" t="n">
        <v>2470.5</v>
      </c>
      <c r="P95" s="7" t="n">
        <v>4439.7</v>
      </c>
      <c r="R95" s="7" t="n">
        <v>1649.2</v>
      </c>
      <c r="T95" s="7" t="n">
        <v>1697.7</v>
      </c>
      <c r="V95" s="7" t="n">
        <v>1462.5</v>
      </c>
      <c r="X95" s="7" t="n">
        <v>1315.4</v>
      </c>
      <c r="Z95" s="7" t="n">
        <v>1763.3</v>
      </c>
      <c r="AB95" s="7" t="n">
        <v>25354.2</v>
      </c>
    </row>
    <row r="96">
      <c r="A96" s="4" t="inlineStr">
        <is>
          <t>研发费</t>
        </is>
      </c>
      <c r="D96" s="7" t="n">
        <v>544.2</v>
      </c>
      <c r="F96" s="7" t="n">
        <v>677.4</v>
      </c>
      <c r="H96" s="7" t="n">
        <v>861.2</v>
      </c>
      <c r="J96" s="7" t="n">
        <v>796.8</v>
      </c>
      <c r="L96" s="7" t="n">
        <v>587</v>
      </c>
      <c r="N96" s="7" t="n">
        <v>770.1</v>
      </c>
      <c r="P96" s="7" t="n">
        <v>866.3</v>
      </c>
      <c r="R96" s="7" t="n">
        <v>645</v>
      </c>
      <c r="T96" s="7" t="n">
        <v>506.9</v>
      </c>
      <c r="V96" s="7" t="n">
        <v>691.2</v>
      </c>
      <c r="X96" s="7" t="n">
        <v>537.4</v>
      </c>
      <c r="Z96" s="7" t="n">
        <v>609</v>
      </c>
      <c r="AB96" s="7" t="n">
        <v>8092.5</v>
      </c>
    </row>
    <row r="97">
      <c r="A97" s="4" t="inlineStr">
        <is>
          <t>残保金</t>
        </is>
      </c>
      <c r="D97" s="7" t="n">
        <v>7743.9</v>
      </c>
      <c r="F97" s="7" t="n">
        <v>6089.7</v>
      </c>
      <c r="H97" s="7" t="n">
        <v>8878.9</v>
      </c>
      <c r="J97" s="7" t="n">
        <v>7312.3</v>
      </c>
      <c r="L97" s="7" t="n">
        <v>5482.1</v>
      </c>
      <c r="N97" s="7" t="n">
        <v>8335.700000000001</v>
      </c>
      <c r="P97" s="7" t="n">
        <v>10600.2</v>
      </c>
      <c r="R97" s="7" t="n">
        <v>5949.9</v>
      </c>
      <c r="T97" s="7" t="n">
        <v>7447.4</v>
      </c>
      <c r="V97" s="7" t="n">
        <v>4881.7</v>
      </c>
      <c r="X97" s="7" t="n">
        <v>5311.9</v>
      </c>
      <c r="Z97" s="7" t="n">
        <v>4746</v>
      </c>
      <c r="AB97" s="7" t="n">
        <v>82779.7</v>
      </c>
    </row>
    <row r="98">
      <c r="A98" s="4" t="inlineStr">
        <is>
          <t>环保费</t>
        </is>
      </c>
      <c r="D98" s="7" t="n">
        <v>823.5</v>
      </c>
      <c r="F98" s="7" t="n">
        <v>824.4</v>
      </c>
      <c r="H98" s="7" t="n">
        <v>999.3</v>
      </c>
      <c r="J98" s="7" t="n">
        <v>918.3</v>
      </c>
      <c r="L98" s="7" t="n">
        <v>793.8</v>
      </c>
      <c r="N98" s="7" t="n">
        <v>1487.6</v>
      </c>
      <c r="P98" s="7" t="n">
        <v>1657.4</v>
      </c>
      <c r="R98" s="7" t="n">
        <v>532.9</v>
      </c>
      <c r="T98" s="7" t="n">
        <v>891.7</v>
      </c>
      <c r="V98" s="7" t="n">
        <v>574.7</v>
      </c>
      <c r="X98" s="7" t="n">
        <v>647.5</v>
      </c>
      <c r="Z98" s="7" t="n">
        <v>1094.6</v>
      </c>
      <c r="AB98" s="7" t="n">
        <v>11245.7</v>
      </c>
    </row>
    <row r="99">
      <c r="A99" s="4" t="inlineStr">
        <is>
          <t>报废损失</t>
        </is>
      </c>
      <c r="D99" s="7" t="n">
        <v>5740</v>
      </c>
      <c r="F99" s="7" t="n">
        <v>6089</v>
      </c>
      <c r="H99" s="7" t="n">
        <v>7217.7</v>
      </c>
      <c r="J99" s="7" t="n">
        <v>9528</v>
      </c>
      <c r="L99" s="7" t="n">
        <v>5376.6</v>
      </c>
      <c r="N99" s="7" t="n">
        <v>10152.1</v>
      </c>
      <c r="P99" s="7" t="n">
        <v>12743</v>
      </c>
      <c r="R99" s="7" t="n">
        <v>5072.8</v>
      </c>
      <c r="T99" s="7" t="n">
        <v>7243.5</v>
      </c>
      <c r="V99" s="7" t="n">
        <v>6397.9</v>
      </c>
      <c r="X99" s="7" t="n">
        <v>3222.6</v>
      </c>
      <c r="Z99" s="7" t="n">
        <v>7715.4</v>
      </c>
      <c r="AB99" s="7" t="n">
        <v>86498.60000000001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541213.2</v>
      </c>
      <c r="D100" s="7" t="n">
        <v>387911.1</v>
      </c>
      <c r="E100" s="7" t="n">
        <v>573262.2</v>
      </c>
      <c r="F100" s="7" t="n">
        <v>518687.6</v>
      </c>
      <c r="G100" s="7" t="n">
        <v>601382.9</v>
      </c>
      <c r="H100" s="7" t="n">
        <v>573227.9</v>
      </c>
      <c r="I100" s="7" t="n">
        <v>623150.3</v>
      </c>
      <c r="J100" s="7" t="n">
        <v>666918.4</v>
      </c>
      <c r="K100" s="7" t="n">
        <v>557004.9</v>
      </c>
      <c r="L100" s="7" t="n">
        <v>550322.1</v>
      </c>
      <c r="M100" s="7" t="n">
        <v>486919.3</v>
      </c>
      <c r="N100" s="7" t="n">
        <v>504972.7</v>
      </c>
      <c r="O100" s="7" t="n">
        <v>581282.7</v>
      </c>
      <c r="P100" s="7" t="n">
        <v>679091.5</v>
      </c>
      <c r="Q100" s="7" t="n">
        <v>484338.8</v>
      </c>
      <c r="R100" s="7" t="n">
        <v>878253.8</v>
      </c>
      <c r="S100" s="7" t="n">
        <v>624517.2</v>
      </c>
      <c r="T100" s="7" t="n">
        <v>652580.7</v>
      </c>
      <c r="U100" s="7" t="n">
        <v>486473.8</v>
      </c>
      <c r="V100" s="7" t="n">
        <v>672617.1</v>
      </c>
      <c r="W100" s="7" t="n">
        <v>521670.4</v>
      </c>
      <c r="X100" s="7" t="n">
        <v>320734.6</v>
      </c>
      <c r="Y100" s="7" t="n">
        <v>556109.9</v>
      </c>
      <c r="Z100" s="7" t="n">
        <v>417106.4</v>
      </c>
      <c r="AA100" s="8" t="n">
        <v>6637325.6</v>
      </c>
      <c r="AB100" s="8" t="n">
        <v>6822423.9</v>
      </c>
    </row>
    <row r="101">
      <c r="A101" s="4" t="inlineStr">
        <is>
          <t>职工薪酬</t>
        </is>
      </c>
      <c r="D101" s="7" t="n">
        <v>206809.2</v>
      </c>
      <c r="F101" s="7" t="n">
        <v>236693.5</v>
      </c>
      <c r="H101" s="7" t="n">
        <v>262940.5</v>
      </c>
      <c r="J101" s="7" t="n">
        <v>270055.5</v>
      </c>
      <c r="L101" s="7" t="n">
        <v>303344.7</v>
      </c>
      <c r="N101" s="7" t="n">
        <v>276752.1</v>
      </c>
      <c r="P101" s="7" t="n">
        <v>363781.2</v>
      </c>
      <c r="R101" s="7" t="n">
        <v>426977.8</v>
      </c>
      <c r="T101" s="7" t="n">
        <v>408895.4</v>
      </c>
      <c r="V101" s="7" t="n">
        <v>305984.1</v>
      </c>
      <c r="X101" s="7" t="n">
        <v>152543.5</v>
      </c>
      <c r="Z101" s="7" t="n">
        <v>196374.4</v>
      </c>
      <c r="AB101" s="7" t="n">
        <v>3411151.9</v>
      </c>
    </row>
    <row r="102">
      <c r="A102" s="4" t="inlineStr">
        <is>
          <t>工资</t>
        </is>
      </c>
      <c r="D102" s="7" t="n">
        <v>135434.7</v>
      </c>
      <c r="F102" s="7" t="n">
        <v>128170.8</v>
      </c>
      <c r="H102" s="7" t="n">
        <v>139114.2</v>
      </c>
      <c r="J102" s="7" t="n">
        <v>143201</v>
      </c>
      <c r="L102" s="7" t="n">
        <v>175192.8</v>
      </c>
      <c r="N102" s="7" t="n">
        <v>182823.2</v>
      </c>
      <c r="P102" s="7" t="n">
        <v>237888</v>
      </c>
      <c r="R102" s="7" t="n">
        <v>269811.6</v>
      </c>
      <c r="T102" s="7" t="n">
        <v>249180.7</v>
      </c>
      <c r="V102" s="7" t="n">
        <v>180895.7</v>
      </c>
      <c r="X102" s="7" t="n">
        <v>85559.3</v>
      </c>
      <c r="Z102" s="7" t="n">
        <v>104868.3</v>
      </c>
      <c r="AB102" s="7" t="n">
        <v>2032140.3</v>
      </c>
    </row>
    <row r="103">
      <c r="A103" s="4" t="inlineStr">
        <is>
          <t>奖金及提成</t>
        </is>
      </c>
      <c r="D103" s="7" t="n">
        <v>32013.7</v>
      </c>
      <c r="F103" s="7" t="n">
        <v>45735.7</v>
      </c>
      <c r="H103" s="7" t="n">
        <v>54718.6</v>
      </c>
      <c r="J103" s="7" t="n">
        <v>57531.5</v>
      </c>
      <c r="L103" s="7" t="n">
        <v>69438.60000000001</v>
      </c>
      <c r="N103" s="7" t="n">
        <v>41930</v>
      </c>
      <c r="P103" s="7" t="n">
        <v>62015.1</v>
      </c>
      <c r="R103" s="7" t="n">
        <v>68713.5</v>
      </c>
      <c r="T103" s="7" t="n">
        <v>80876.10000000001</v>
      </c>
      <c r="V103" s="7" t="n">
        <v>64825.8</v>
      </c>
      <c r="X103" s="7" t="n">
        <v>38504</v>
      </c>
      <c r="Z103" s="7" t="n">
        <v>38585.2</v>
      </c>
      <c r="AB103" s="7" t="n">
        <v>654887.8</v>
      </c>
    </row>
    <row r="104">
      <c r="A104" s="4" t="inlineStr">
        <is>
          <t>社保</t>
        </is>
      </c>
      <c r="D104" s="7" t="n">
        <v>29989.3</v>
      </c>
      <c r="F104" s="7" t="n">
        <v>47568.4</v>
      </c>
      <c r="H104" s="7" t="n">
        <v>52459.4</v>
      </c>
      <c r="J104" s="7" t="n">
        <v>49525.4</v>
      </c>
      <c r="L104" s="7" t="n">
        <v>42620.8</v>
      </c>
      <c r="N104" s="7" t="n">
        <v>37954</v>
      </c>
      <c r="P104" s="7" t="n">
        <v>44732</v>
      </c>
      <c r="R104" s="7" t="n">
        <v>65222.8</v>
      </c>
      <c r="T104" s="7" t="n">
        <v>62057.8</v>
      </c>
      <c r="V104" s="7" t="n">
        <v>40664.3</v>
      </c>
      <c r="X104" s="7" t="n">
        <v>20656.8</v>
      </c>
      <c r="Z104" s="7" t="n">
        <v>41642.9</v>
      </c>
      <c r="AB104" s="7" t="n">
        <v>535093.9</v>
      </c>
    </row>
    <row r="105">
      <c r="A105" s="4" t="inlineStr">
        <is>
          <t>养老</t>
        </is>
      </c>
      <c r="D105" s="7" t="n">
        <v>1424.6</v>
      </c>
      <c r="F105" s="7" t="n">
        <v>2843.7</v>
      </c>
      <c r="H105" s="7" t="n">
        <v>2103</v>
      </c>
      <c r="J105" s="7" t="n">
        <v>3147.8</v>
      </c>
      <c r="L105" s="7" t="n">
        <v>2779</v>
      </c>
      <c r="N105" s="7" t="n">
        <v>2758.5</v>
      </c>
      <c r="P105" s="7" t="n">
        <v>2871.8</v>
      </c>
      <c r="R105" s="7" t="n">
        <v>3398.9</v>
      </c>
      <c r="T105" s="7" t="n">
        <v>4002.9</v>
      </c>
      <c r="V105" s="7" t="n">
        <v>3770.4</v>
      </c>
      <c r="X105" s="7" t="n">
        <v>1395.7</v>
      </c>
      <c r="Z105" s="7" t="n">
        <v>1690.7</v>
      </c>
      <c r="AB105" s="7" t="n">
        <v>32187</v>
      </c>
    </row>
    <row r="106">
      <c r="A106" s="4" t="inlineStr">
        <is>
          <t>医疗</t>
        </is>
      </c>
      <c r="D106" s="7" t="n">
        <v>277.5</v>
      </c>
      <c r="F106" s="7" t="n">
        <v>268.3</v>
      </c>
      <c r="H106" s="7" t="n">
        <v>497.6</v>
      </c>
      <c r="J106" s="7" t="n">
        <v>460.5</v>
      </c>
      <c r="L106" s="7" t="n">
        <v>490.8</v>
      </c>
      <c r="N106" s="7" t="n">
        <v>338.5</v>
      </c>
      <c r="P106" s="7" t="n">
        <v>632.1</v>
      </c>
      <c r="R106" s="7" t="n">
        <v>775.2</v>
      </c>
      <c r="T106" s="7" t="n">
        <v>460.3</v>
      </c>
      <c r="V106" s="7" t="n">
        <v>597</v>
      </c>
      <c r="X106" s="7" t="n">
        <v>207.4</v>
      </c>
      <c r="Z106" s="7" t="n">
        <v>398.2</v>
      </c>
      <c r="AB106" s="7" t="n">
        <v>5403.4</v>
      </c>
    </row>
    <row r="107">
      <c r="A107" s="4" t="inlineStr">
        <is>
          <t>工伤</t>
        </is>
      </c>
      <c r="D107" s="7" t="n">
        <v>233.3</v>
      </c>
      <c r="F107" s="7" t="n">
        <v>268.2</v>
      </c>
      <c r="H107" s="7" t="n">
        <v>312</v>
      </c>
      <c r="J107" s="7" t="n">
        <v>469.3</v>
      </c>
      <c r="L107" s="7" t="n">
        <v>263.6</v>
      </c>
      <c r="N107" s="7" t="n">
        <v>304.4</v>
      </c>
      <c r="P107" s="7" t="n">
        <v>336.2</v>
      </c>
      <c r="R107" s="7" t="n">
        <v>381.5</v>
      </c>
      <c r="T107" s="7" t="n">
        <v>307</v>
      </c>
      <c r="V107" s="7" t="n">
        <v>386.9</v>
      </c>
      <c r="X107" s="7" t="n">
        <v>138</v>
      </c>
      <c r="Z107" s="7" t="n">
        <v>183.3</v>
      </c>
      <c r="AB107" s="7" t="n">
        <v>3583.7</v>
      </c>
    </row>
    <row r="108">
      <c r="A108" s="4" t="inlineStr">
        <is>
          <t>失业</t>
        </is>
      </c>
      <c r="D108" s="7" t="n">
        <v>2046.3</v>
      </c>
      <c r="F108" s="7" t="n">
        <v>1741.6</v>
      </c>
      <c r="H108" s="7" t="n">
        <v>3086.7</v>
      </c>
      <c r="J108" s="7" t="n">
        <v>3707.9</v>
      </c>
      <c r="L108" s="7" t="n">
        <v>2750.5</v>
      </c>
      <c r="N108" s="7" t="n">
        <v>2124.4</v>
      </c>
      <c r="P108" s="7" t="n">
        <v>2937.1</v>
      </c>
      <c r="R108" s="7" t="n">
        <v>3180.3</v>
      </c>
      <c r="T108" s="7" t="n">
        <v>2389.8</v>
      </c>
      <c r="V108" s="7" t="n">
        <v>3868.2</v>
      </c>
      <c r="X108" s="7" t="n">
        <v>1870</v>
      </c>
      <c r="Z108" s="7" t="n">
        <v>2177.1</v>
      </c>
      <c r="AB108" s="7" t="n">
        <v>31879.9</v>
      </c>
    </row>
    <row r="109">
      <c r="A109" s="4" t="inlineStr">
        <is>
          <t>生育</t>
        </is>
      </c>
      <c r="D109" s="7" t="n">
        <v>1667.4</v>
      </c>
      <c r="F109" s="7" t="n">
        <v>3382.9</v>
      </c>
      <c r="H109" s="7" t="n">
        <v>2332</v>
      </c>
      <c r="J109" s="7" t="n">
        <v>2825.8</v>
      </c>
      <c r="L109" s="7" t="n">
        <v>2919.9</v>
      </c>
      <c r="N109" s="7" t="n">
        <v>2371</v>
      </c>
      <c r="P109" s="7" t="n">
        <v>3879.7</v>
      </c>
      <c r="R109" s="7" t="n">
        <v>5811.8</v>
      </c>
      <c r="T109" s="7" t="n">
        <v>2979</v>
      </c>
      <c r="V109" s="7" t="n">
        <v>3190.3</v>
      </c>
      <c r="X109" s="7" t="n">
        <v>1993.9</v>
      </c>
      <c r="Z109" s="7" t="n">
        <v>1992.4</v>
      </c>
      <c r="AB109" s="7" t="n">
        <v>35346.1</v>
      </c>
    </row>
    <row r="110">
      <c r="A110" s="4" t="inlineStr">
        <is>
          <t>公积金</t>
        </is>
      </c>
      <c r="D110" s="7" t="n">
        <v>1629</v>
      </c>
      <c r="F110" s="7" t="n">
        <v>3697.9</v>
      </c>
      <c r="H110" s="7" t="n">
        <v>4170</v>
      </c>
      <c r="J110" s="7" t="n">
        <v>2829.4</v>
      </c>
      <c r="L110" s="7" t="n">
        <v>2970.8</v>
      </c>
      <c r="N110" s="7" t="n">
        <v>3117.1</v>
      </c>
      <c r="P110" s="7" t="n">
        <v>4017.8</v>
      </c>
      <c r="R110" s="7" t="n">
        <v>4068.9</v>
      </c>
      <c r="T110" s="7" t="n">
        <v>2696.5</v>
      </c>
      <c r="V110" s="7" t="n">
        <v>4854.5</v>
      </c>
      <c r="X110" s="7" t="n">
        <v>1411.9</v>
      </c>
      <c r="Z110" s="7" t="n">
        <v>3143.1</v>
      </c>
      <c r="AB110" s="7" t="n">
        <v>38606.9</v>
      </c>
    </row>
    <row r="111">
      <c r="A111" s="4" t="inlineStr">
        <is>
          <t>工会经费</t>
        </is>
      </c>
      <c r="D111" s="7" t="n">
        <v>281.8</v>
      </c>
      <c r="F111" s="7" t="n">
        <v>493.2</v>
      </c>
      <c r="H111" s="7" t="n">
        <v>512.8</v>
      </c>
      <c r="J111" s="7" t="n">
        <v>502.4</v>
      </c>
      <c r="L111" s="7" t="n">
        <v>316.7</v>
      </c>
      <c r="N111" s="7" t="n">
        <v>395.3</v>
      </c>
      <c r="P111" s="7" t="n">
        <v>541.7</v>
      </c>
      <c r="R111" s="7" t="n">
        <v>574.1</v>
      </c>
      <c r="T111" s="7" t="n">
        <v>472.2</v>
      </c>
      <c r="V111" s="7" t="n">
        <v>615.6</v>
      </c>
      <c r="X111" s="7" t="n">
        <v>183.7</v>
      </c>
      <c r="Z111" s="7" t="n">
        <v>336.3</v>
      </c>
      <c r="AB111" s="7" t="n">
        <v>5225.8</v>
      </c>
    </row>
    <row r="112">
      <c r="A112" s="4" t="inlineStr">
        <is>
          <t>职工教育经费</t>
        </is>
      </c>
      <c r="D112" s="7" t="n">
        <v>993.3</v>
      </c>
      <c r="F112" s="7" t="n">
        <v>1404.8</v>
      </c>
      <c r="H112" s="7" t="n">
        <v>1355.9</v>
      </c>
      <c r="J112" s="7" t="n">
        <v>1837.4</v>
      </c>
      <c r="L112" s="7" t="n">
        <v>1597.9</v>
      </c>
      <c r="N112" s="7" t="n">
        <v>990</v>
      </c>
      <c r="P112" s="7" t="n">
        <v>1353.8</v>
      </c>
      <c r="R112" s="7" t="n">
        <v>1637.8</v>
      </c>
      <c r="T112" s="7" t="n">
        <v>1979.6</v>
      </c>
      <c r="V112" s="7" t="n">
        <v>1346.9</v>
      </c>
      <c r="X112" s="7" t="n">
        <v>576.1</v>
      </c>
      <c r="Z112" s="7" t="n">
        <v>756.8</v>
      </c>
      <c r="AB112" s="7" t="n">
        <v>15830.3</v>
      </c>
    </row>
    <row r="113">
      <c r="A113" s="4" t="inlineStr">
        <is>
          <t>福利费</t>
        </is>
      </c>
      <c r="D113" s="7" t="n">
        <v>6467.4</v>
      </c>
      <c r="F113" s="7" t="n">
        <v>9622.700000000001</v>
      </c>
      <c r="H113" s="7" t="n">
        <v>10609.6</v>
      </c>
      <c r="J113" s="7" t="n">
        <v>14628.4</v>
      </c>
      <c r="L113" s="7" t="n">
        <v>11207.1</v>
      </c>
      <c r="N113" s="7" t="n">
        <v>9542.5</v>
      </c>
      <c r="P113" s="7" t="n">
        <v>13232.8</v>
      </c>
      <c r="R113" s="7" t="n">
        <v>16949.1</v>
      </c>
      <c r="T113" s="7" t="n">
        <v>11632.5</v>
      </c>
      <c r="V113" s="7" t="n">
        <v>12781.3</v>
      </c>
      <c r="X113" s="7" t="n">
        <v>5651.7</v>
      </c>
      <c r="Z113" s="7" t="n">
        <v>7041.8</v>
      </c>
      <c r="AB113" s="7" t="n">
        <v>129366.9</v>
      </c>
    </row>
    <row r="114">
      <c r="A114" s="4" t="inlineStr">
        <is>
          <t>职工房租</t>
        </is>
      </c>
      <c r="D114" s="7" t="n">
        <v>1505.8</v>
      </c>
      <c r="F114" s="7" t="n">
        <v>2463.6</v>
      </c>
      <c r="H114" s="7" t="n">
        <v>3132.6</v>
      </c>
      <c r="J114" s="7" t="n">
        <v>3481.4</v>
      </c>
      <c r="L114" s="7" t="n">
        <v>3457.3</v>
      </c>
      <c r="N114" s="7" t="n">
        <v>1813</v>
      </c>
      <c r="P114" s="7" t="n">
        <v>4208.2</v>
      </c>
      <c r="R114" s="7" t="n">
        <v>4074.4</v>
      </c>
      <c r="T114" s="7" t="n">
        <v>2369.9</v>
      </c>
      <c r="V114" s="7" t="n">
        <v>2744.1</v>
      </c>
      <c r="X114" s="7" t="n">
        <v>1293.4</v>
      </c>
      <c r="Z114" s="7" t="n">
        <v>1633.2</v>
      </c>
      <c r="AB114" s="7" t="n">
        <v>32176.9</v>
      </c>
    </row>
    <row r="115">
      <c r="A115" s="4" t="inlineStr">
        <is>
          <t>水电物业费</t>
        </is>
      </c>
      <c r="D115" s="7" t="n">
        <v>102.1</v>
      </c>
      <c r="F115" s="7" t="n">
        <v>92.5</v>
      </c>
      <c r="H115" s="7" t="n">
        <v>114.6</v>
      </c>
      <c r="J115" s="7" t="n">
        <v>155.6</v>
      </c>
      <c r="L115" s="7" t="n">
        <v>121.9</v>
      </c>
      <c r="N115" s="7" t="n">
        <v>102.4</v>
      </c>
      <c r="P115" s="7" t="n">
        <v>163.6</v>
      </c>
      <c r="R115" s="7" t="n">
        <v>233.8</v>
      </c>
      <c r="T115" s="7" t="n">
        <v>152.7</v>
      </c>
      <c r="V115" s="7" t="n">
        <v>146.1</v>
      </c>
      <c r="X115" s="7" t="n">
        <v>59.5</v>
      </c>
      <c r="Z115" s="7" t="n">
        <v>100.1</v>
      </c>
      <c r="AB115" s="7" t="n">
        <v>1544.9</v>
      </c>
    </row>
    <row r="116">
      <c r="A116" s="4" t="inlineStr">
        <is>
          <t>员工餐</t>
        </is>
      </c>
      <c r="D116" s="7" t="n">
        <v>1070.1</v>
      </c>
      <c r="F116" s="7" t="n">
        <v>1610.8</v>
      </c>
      <c r="H116" s="7" t="n">
        <v>2382.5</v>
      </c>
      <c r="J116" s="7" t="n">
        <v>2994.4</v>
      </c>
      <c r="L116" s="7" t="n">
        <v>1777.5</v>
      </c>
      <c r="N116" s="7" t="n">
        <v>2233.3</v>
      </c>
      <c r="P116" s="7" t="n">
        <v>2073.9</v>
      </c>
      <c r="R116" s="7" t="n">
        <v>3722.8</v>
      </c>
      <c r="T116" s="7" t="n">
        <v>2318.2</v>
      </c>
      <c r="V116" s="7" t="n">
        <v>2478.3</v>
      </c>
      <c r="X116" s="7" t="n">
        <v>1260.5</v>
      </c>
      <c r="Z116" s="7" t="n">
        <v>1643.6</v>
      </c>
      <c r="AB116" s="7" t="n">
        <v>25565.9</v>
      </c>
    </row>
    <row r="117">
      <c r="A117" s="4" t="inlineStr">
        <is>
          <t>节日礼品</t>
        </is>
      </c>
      <c r="D117" s="7" t="n">
        <v>880.9</v>
      </c>
      <c r="F117" s="7" t="n">
        <v>859.2</v>
      </c>
      <c r="H117" s="7" t="n">
        <v>1183</v>
      </c>
      <c r="J117" s="7" t="n">
        <v>1625.1</v>
      </c>
      <c r="L117" s="7" t="n">
        <v>1580</v>
      </c>
      <c r="N117" s="7" t="n">
        <v>879.5</v>
      </c>
      <c r="P117" s="7" t="n">
        <v>1275</v>
      </c>
      <c r="R117" s="7" t="n">
        <v>1921.4</v>
      </c>
      <c r="T117" s="7" t="n">
        <v>1123.3</v>
      </c>
      <c r="V117" s="7" t="n">
        <v>1555.8</v>
      </c>
      <c r="X117" s="7" t="n">
        <v>631.8</v>
      </c>
      <c r="Z117" s="7" t="n">
        <v>1146.2</v>
      </c>
      <c r="AB117" s="7" t="n">
        <v>14661.2</v>
      </c>
    </row>
    <row r="118">
      <c r="A118" s="4" t="inlineStr">
        <is>
          <t>生日礼品</t>
        </is>
      </c>
      <c r="D118" s="7" t="n">
        <v>751.1</v>
      </c>
      <c r="F118" s="7" t="n">
        <v>1347.7</v>
      </c>
      <c r="H118" s="7" t="n">
        <v>865.3</v>
      </c>
      <c r="J118" s="7" t="n">
        <v>1638.4</v>
      </c>
      <c r="L118" s="7" t="n">
        <v>1111.1</v>
      </c>
      <c r="N118" s="7" t="n">
        <v>954.2</v>
      </c>
      <c r="P118" s="7" t="n">
        <v>1729.2</v>
      </c>
      <c r="R118" s="7" t="n">
        <v>2297.1</v>
      </c>
      <c r="T118" s="7" t="n">
        <v>1073.3</v>
      </c>
      <c r="V118" s="7" t="n">
        <v>1630.5</v>
      </c>
      <c r="X118" s="7" t="n">
        <v>538</v>
      </c>
      <c r="Z118" s="7" t="n">
        <v>596.3</v>
      </c>
      <c r="AB118" s="7" t="n">
        <v>14532.2</v>
      </c>
    </row>
    <row r="119">
      <c r="A119" s="4" t="inlineStr">
        <is>
          <t>体检</t>
        </is>
      </c>
      <c r="D119" s="7" t="n">
        <v>1702.1</v>
      </c>
      <c r="F119" s="7" t="n">
        <v>2645.6</v>
      </c>
      <c r="H119" s="7" t="n">
        <v>2180.8</v>
      </c>
      <c r="J119" s="7" t="n">
        <v>3900</v>
      </c>
      <c r="L119" s="7" t="n">
        <v>2686.4</v>
      </c>
      <c r="N119" s="7" t="n">
        <v>2866.1</v>
      </c>
      <c r="P119" s="7" t="n">
        <v>2996.8</v>
      </c>
      <c r="R119" s="7" t="n">
        <v>3540.6</v>
      </c>
      <c r="T119" s="7" t="n">
        <v>3980.5</v>
      </c>
      <c r="V119" s="7" t="n">
        <v>3294.7</v>
      </c>
      <c r="X119" s="7" t="n">
        <v>1426.3</v>
      </c>
      <c r="Z119" s="7" t="n">
        <v>1524.7</v>
      </c>
      <c r="AB119" s="7" t="n">
        <v>32744.6</v>
      </c>
    </row>
    <row r="120">
      <c r="A120" s="4" t="inlineStr">
        <is>
          <t>其他福利支出</t>
        </is>
      </c>
      <c r="D120" s="7" t="n">
        <v>455.3</v>
      </c>
      <c r="F120" s="7" t="n">
        <v>603.3</v>
      </c>
      <c r="H120" s="7" t="n">
        <v>750.8</v>
      </c>
      <c r="J120" s="7" t="n">
        <v>833.5</v>
      </c>
      <c r="L120" s="7" t="n">
        <v>472.9</v>
      </c>
      <c r="N120" s="7" t="n">
        <v>694</v>
      </c>
      <c r="P120" s="7" t="n">
        <v>786.1</v>
      </c>
      <c r="R120" s="7" t="n">
        <v>1159</v>
      </c>
      <c r="T120" s="7" t="n">
        <v>614.6</v>
      </c>
      <c r="V120" s="7" t="n">
        <v>931.8</v>
      </c>
      <c r="X120" s="7" t="n">
        <v>442.2</v>
      </c>
      <c r="Z120" s="7" t="n">
        <v>397.7</v>
      </c>
      <c r="AB120" s="7" t="n">
        <v>8141.2</v>
      </c>
    </row>
    <row r="121">
      <c r="A121" s="4" t="inlineStr">
        <is>
          <t>招聘费</t>
        </is>
      </c>
      <c r="D121" s="7" t="n">
        <v>2940.8</v>
      </c>
      <c r="F121" s="7" t="n">
        <v>3788.3</v>
      </c>
      <c r="H121" s="7" t="n">
        <v>3321.6</v>
      </c>
      <c r="J121" s="7" t="n">
        <v>3079.9</v>
      </c>
      <c r="L121" s="7" t="n">
        <v>4106</v>
      </c>
      <c r="N121" s="7" t="n">
        <v>2089</v>
      </c>
      <c r="P121" s="7" t="n">
        <v>3413.4</v>
      </c>
      <c r="R121" s="7" t="n">
        <v>5362.2</v>
      </c>
      <c r="T121" s="7" t="n">
        <v>3419.6</v>
      </c>
      <c r="V121" s="7" t="n">
        <v>4982.4</v>
      </c>
      <c r="X121" s="7" t="n">
        <v>2023.5</v>
      </c>
      <c r="Z121" s="7" t="n">
        <v>3143.3</v>
      </c>
      <c r="AB121" s="7" t="n">
        <v>41670</v>
      </c>
    </row>
    <row r="122">
      <c r="A122" s="4" t="inlineStr">
        <is>
          <t>办公费</t>
        </is>
      </c>
      <c r="D122" s="7" t="n">
        <v>8559.6</v>
      </c>
      <c r="F122" s="7" t="n">
        <v>14723.9</v>
      </c>
      <c r="H122" s="7" t="n">
        <v>13521.4</v>
      </c>
      <c r="J122" s="7" t="n">
        <v>23878.3</v>
      </c>
      <c r="L122" s="7" t="n">
        <v>19130.7</v>
      </c>
      <c r="N122" s="7" t="n">
        <v>17939.6</v>
      </c>
      <c r="P122" s="7" t="n">
        <v>25884.5</v>
      </c>
      <c r="R122" s="7" t="n">
        <v>22276.3</v>
      </c>
      <c r="T122" s="7" t="n">
        <v>22940.6</v>
      </c>
      <c r="V122" s="7" t="n">
        <v>21947.2</v>
      </c>
      <c r="X122" s="7" t="n">
        <v>8992.799999999999</v>
      </c>
      <c r="Z122" s="7" t="n">
        <v>10211</v>
      </c>
      <c r="AB122" s="7" t="n">
        <v>210005.9</v>
      </c>
    </row>
    <row r="123">
      <c r="A123" s="4" t="inlineStr">
        <is>
          <t>市内交通费</t>
        </is>
      </c>
      <c r="D123" s="7" t="n">
        <v>1575.4</v>
      </c>
      <c r="F123" s="7" t="n">
        <v>3626.7</v>
      </c>
      <c r="H123" s="7" t="n">
        <v>2715</v>
      </c>
      <c r="J123" s="7" t="n">
        <v>4508.3</v>
      </c>
      <c r="L123" s="7" t="n">
        <v>2330.6</v>
      </c>
      <c r="N123" s="7" t="n">
        <v>3160</v>
      </c>
      <c r="P123" s="7" t="n">
        <v>4705.8</v>
      </c>
      <c r="R123" s="7" t="n">
        <v>3801.2</v>
      </c>
      <c r="T123" s="7" t="n">
        <v>3449</v>
      </c>
      <c r="V123" s="7" t="n">
        <v>4060.2</v>
      </c>
      <c r="X123" s="7" t="n">
        <v>2029.1</v>
      </c>
      <c r="Z123" s="7" t="n">
        <v>1612.1</v>
      </c>
      <c r="AB123" s="7" t="n">
        <v>37573.4</v>
      </c>
    </row>
    <row r="124">
      <c r="A124" s="4" t="inlineStr">
        <is>
          <t>差旅费</t>
        </is>
      </c>
      <c r="D124" s="7" t="n">
        <v>17930.2</v>
      </c>
      <c r="F124" s="7" t="n">
        <v>27595.1</v>
      </c>
      <c r="H124" s="7" t="n">
        <v>26193.1</v>
      </c>
      <c r="J124" s="7" t="n">
        <v>43101.4</v>
      </c>
      <c r="L124" s="7" t="n">
        <v>32447</v>
      </c>
      <c r="N124" s="7" t="n">
        <v>33214.7</v>
      </c>
      <c r="P124" s="7" t="n">
        <v>35827.2</v>
      </c>
      <c r="R124" s="7" t="n">
        <v>40834.5</v>
      </c>
      <c r="T124" s="7" t="n">
        <v>44861.5</v>
      </c>
      <c r="V124" s="7" t="n">
        <v>39252.1</v>
      </c>
      <c r="X124" s="7" t="n">
        <v>14283.8</v>
      </c>
      <c r="Z124" s="7" t="n">
        <v>32218.9</v>
      </c>
      <c r="AB124" s="7" t="n">
        <v>387759.5</v>
      </c>
    </row>
    <row r="125">
      <c r="A125" s="4" t="inlineStr">
        <is>
          <t>交通费</t>
        </is>
      </c>
      <c r="D125" s="7" t="n">
        <v>2095.6</v>
      </c>
      <c r="F125" s="7" t="n">
        <v>2673.4</v>
      </c>
      <c r="H125" s="7" t="n">
        <v>4424.5</v>
      </c>
      <c r="J125" s="7" t="n">
        <v>3698.8</v>
      </c>
      <c r="L125" s="7" t="n">
        <v>4056.8</v>
      </c>
      <c r="N125" s="7" t="n">
        <v>2314.6</v>
      </c>
      <c r="P125" s="7" t="n">
        <v>3973.1</v>
      </c>
      <c r="R125" s="7" t="n">
        <v>5511</v>
      </c>
      <c r="T125" s="7" t="n">
        <v>4775.8</v>
      </c>
      <c r="V125" s="7" t="n">
        <v>4477.2</v>
      </c>
      <c r="X125" s="7" t="n">
        <v>2253.3</v>
      </c>
      <c r="Z125" s="7" t="n">
        <v>2876.5</v>
      </c>
      <c r="AB125" s="7" t="n">
        <v>43130.6</v>
      </c>
    </row>
    <row r="126">
      <c r="A126" s="4" t="inlineStr">
        <is>
          <t>住宿费</t>
        </is>
      </c>
      <c r="D126" s="7" t="n">
        <v>435.3</v>
      </c>
      <c r="F126" s="7" t="n">
        <v>992.1</v>
      </c>
      <c r="H126" s="7" t="n">
        <v>896.7</v>
      </c>
      <c r="J126" s="7" t="n">
        <v>1040.8</v>
      </c>
      <c r="L126" s="7" t="n">
        <v>743.8</v>
      </c>
      <c r="N126" s="7" t="n">
        <v>908.7</v>
      </c>
      <c r="P126" s="7" t="n">
        <v>1099.3</v>
      </c>
      <c r="R126" s="7" t="n">
        <v>1555</v>
      </c>
      <c r="T126" s="7" t="n">
        <v>1228.4</v>
      </c>
      <c r="V126" s="7" t="n">
        <v>944.2</v>
      </c>
      <c r="X126" s="7" t="n">
        <v>511.6</v>
      </c>
      <c r="Z126" s="7" t="n">
        <v>749</v>
      </c>
      <c r="AB126" s="7" t="n">
        <v>11104.9</v>
      </c>
    </row>
    <row r="127">
      <c r="A127" s="4" t="inlineStr">
        <is>
          <t>餐补</t>
        </is>
      </c>
      <c r="D127" s="7" t="n">
        <v>808.6</v>
      </c>
      <c r="F127" s="7" t="n">
        <v>824.9</v>
      </c>
      <c r="H127" s="7" t="n">
        <v>896.3</v>
      </c>
      <c r="J127" s="7" t="n">
        <v>1231.1</v>
      </c>
      <c r="L127" s="7" t="n">
        <v>962.4</v>
      </c>
      <c r="N127" s="7" t="n">
        <v>1115.1</v>
      </c>
      <c r="P127" s="7" t="n">
        <v>1609.4</v>
      </c>
      <c r="R127" s="7" t="n">
        <v>1210</v>
      </c>
      <c r="T127" s="7" t="n">
        <v>912.1</v>
      </c>
      <c r="V127" s="7" t="n">
        <v>1462.8</v>
      </c>
      <c r="X127" s="7" t="n">
        <v>498.4</v>
      </c>
      <c r="Z127" s="7" t="n">
        <v>764.1</v>
      </c>
      <c r="AB127" s="7" t="n">
        <v>12295.2</v>
      </c>
    </row>
    <row r="128">
      <c r="A128" s="4" t="inlineStr">
        <is>
          <t>交通补助</t>
        </is>
      </c>
      <c r="D128" s="7" t="n">
        <v>1652.9</v>
      </c>
      <c r="F128" s="7" t="n">
        <v>1532.7</v>
      </c>
      <c r="H128" s="7" t="n">
        <v>2596.3</v>
      </c>
      <c r="J128" s="7" t="n">
        <v>2908.4</v>
      </c>
      <c r="L128" s="7" t="n">
        <v>2210.7</v>
      </c>
      <c r="N128" s="7" t="n">
        <v>2353.5</v>
      </c>
      <c r="P128" s="7" t="n">
        <v>2436</v>
      </c>
      <c r="R128" s="7" t="n">
        <v>3442.8</v>
      </c>
      <c r="T128" s="7" t="n">
        <v>3174.7</v>
      </c>
      <c r="V128" s="7" t="n">
        <v>2423.4</v>
      </c>
      <c r="X128" s="7" t="n">
        <v>1319</v>
      </c>
      <c r="Z128" s="7" t="n">
        <v>1704.3</v>
      </c>
      <c r="AB128" s="7" t="n">
        <v>27754.7</v>
      </c>
    </row>
    <row r="129">
      <c r="A129" s="4" t="inlineStr">
        <is>
          <t>通讯补助</t>
        </is>
      </c>
      <c r="D129" s="7" t="n">
        <v>2568.6</v>
      </c>
      <c r="F129" s="7" t="n">
        <v>2821.7</v>
      </c>
      <c r="H129" s="7" t="n">
        <v>2298.4</v>
      </c>
      <c r="J129" s="7" t="n">
        <v>4020.4</v>
      </c>
      <c r="L129" s="7" t="n">
        <v>2624.5</v>
      </c>
      <c r="N129" s="7" t="n">
        <v>2900</v>
      </c>
      <c r="P129" s="7" t="n">
        <v>4390.1</v>
      </c>
      <c r="R129" s="7" t="n">
        <v>4356</v>
      </c>
      <c r="T129" s="7" t="n">
        <v>3179.5</v>
      </c>
      <c r="V129" s="7" t="n">
        <v>4013.3</v>
      </c>
      <c r="X129" s="7" t="n">
        <v>1516.2</v>
      </c>
      <c r="Z129" s="7" t="n">
        <v>2545.9</v>
      </c>
      <c r="AB129" s="7" t="n">
        <v>37234.6</v>
      </c>
    </row>
    <row r="130">
      <c r="A130" s="4" t="inlineStr">
        <is>
          <t>招待费</t>
        </is>
      </c>
      <c r="D130" s="7" t="n">
        <v>18795.7</v>
      </c>
      <c r="F130" s="7" t="n">
        <v>21660.5</v>
      </c>
      <c r="H130" s="7" t="n">
        <v>23242.3</v>
      </c>
      <c r="J130" s="7" t="n">
        <v>33722.5</v>
      </c>
      <c r="L130" s="7" t="n">
        <v>26149</v>
      </c>
      <c r="N130" s="7" t="n">
        <v>21751.6</v>
      </c>
      <c r="P130" s="7" t="n">
        <v>31688.5</v>
      </c>
      <c r="R130" s="7" t="n">
        <v>38693.8</v>
      </c>
      <c r="T130" s="7" t="n">
        <v>18673.8</v>
      </c>
      <c r="V130" s="7" t="n">
        <v>27985.1</v>
      </c>
      <c r="X130" s="7" t="n">
        <v>9166.4</v>
      </c>
      <c r="Z130" s="7" t="n">
        <v>21148.5</v>
      </c>
      <c r="AB130" s="7" t="n">
        <v>292677.7</v>
      </c>
    </row>
    <row r="131">
      <c r="A131" s="4" t="inlineStr">
        <is>
          <t>通讯费</t>
        </is>
      </c>
      <c r="D131" s="7" t="n">
        <v>314.8</v>
      </c>
      <c r="F131" s="7" t="n">
        <v>396.9</v>
      </c>
      <c r="H131" s="7" t="n">
        <v>422.4</v>
      </c>
      <c r="J131" s="7" t="n">
        <v>522.7</v>
      </c>
      <c r="L131" s="7" t="n">
        <v>303.8</v>
      </c>
      <c r="N131" s="7" t="n">
        <v>389.7</v>
      </c>
      <c r="P131" s="7" t="n">
        <v>398.8</v>
      </c>
      <c r="R131" s="7" t="n">
        <v>730.7</v>
      </c>
      <c r="T131" s="7" t="n">
        <v>359.1</v>
      </c>
      <c r="V131" s="7" t="n">
        <v>421.7</v>
      </c>
      <c r="X131" s="7" t="n">
        <v>151.4</v>
      </c>
      <c r="Z131" s="7" t="n">
        <v>263.5</v>
      </c>
      <c r="AB131" s="7" t="n">
        <v>4675.5</v>
      </c>
    </row>
    <row r="132">
      <c r="A132" s="4" t="inlineStr">
        <is>
          <t>网络费</t>
        </is>
      </c>
      <c r="D132" s="7" t="n">
        <v>2162.5</v>
      </c>
      <c r="F132" s="7" t="n">
        <v>3964.4</v>
      </c>
      <c r="H132" s="7" t="n">
        <v>3075.4</v>
      </c>
      <c r="J132" s="7" t="n">
        <v>5037.9</v>
      </c>
      <c r="L132" s="7" t="n">
        <v>3677.5</v>
      </c>
      <c r="N132" s="7" t="n">
        <v>2930.7</v>
      </c>
      <c r="P132" s="7" t="n">
        <v>4151.6</v>
      </c>
      <c r="R132" s="7" t="n">
        <v>5188.4</v>
      </c>
      <c r="T132" s="7" t="n">
        <v>5043.3</v>
      </c>
      <c r="V132" s="7" t="n">
        <v>5274.8</v>
      </c>
      <c r="X132" s="7" t="n">
        <v>2530.2</v>
      </c>
      <c r="Z132" s="7" t="n">
        <v>2440.1</v>
      </c>
      <c r="AB132" s="7" t="n">
        <v>45476.8</v>
      </c>
    </row>
    <row r="133">
      <c r="A133" s="4" t="inlineStr">
        <is>
          <t>修理费</t>
        </is>
      </c>
      <c r="D133" s="7" t="n">
        <v>1793.6</v>
      </c>
      <c r="F133" s="7" t="n">
        <v>2519.5</v>
      </c>
      <c r="H133" s="7" t="n">
        <v>1938.3</v>
      </c>
      <c r="J133" s="7" t="n">
        <v>3227.3</v>
      </c>
      <c r="L133" s="7" t="n">
        <v>1692.3</v>
      </c>
      <c r="N133" s="7" t="n">
        <v>2312.9</v>
      </c>
      <c r="P133" s="7" t="n">
        <v>2974.5</v>
      </c>
      <c r="R133" s="7" t="n">
        <v>3151.4</v>
      </c>
      <c r="T133" s="7" t="n">
        <v>2633.3</v>
      </c>
      <c r="V133" s="7" t="n">
        <v>2206.8</v>
      </c>
      <c r="X133" s="7" t="n">
        <v>1205.2</v>
      </c>
      <c r="Z133" s="7" t="n">
        <v>1447.9</v>
      </c>
      <c r="AB133" s="7" t="n">
        <v>27103</v>
      </c>
    </row>
    <row r="134">
      <c r="A134" s="4" t="inlineStr">
        <is>
          <t>车辆费</t>
        </is>
      </c>
      <c r="D134" s="7" t="n">
        <v>1638.1</v>
      </c>
      <c r="F134" s="7" t="n">
        <v>2847.6</v>
      </c>
      <c r="H134" s="7" t="n">
        <v>3290.4</v>
      </c>
      <c r="J134" s="7" t="n">
        <v>3566.5</v>
      </c>
      <c r="L134" s="7" t="n">
        <v>3256.3</v>
      </c>
      <c r="N134" s="7" t="n">
        <v>2093.3</v>
      </c>
      <c r="P134" s="7" t="n">
        <v>2415.8</v>
      </c>
      <c r="R134" s="7" t="n">
        <v>4274</v>
      </c>
      <c r="T134" s="7" t="n">
        <v>3769.6</v>
      </c>
      <c r="V134" s="7" t="n">
        <v>3494.9</v>
      </c>
      <c r="X134" s="7" t="n">
        <v>1541.8</v>
      </c>
      <c r="Z134" s="7" t="n">
        <v>2232.9</v>
      </c>
      <c r="AB134" s="7" t="n">
        <v>34421.2</v>
      </c>
    </row>
    <row r="135">
      <c r="A135" s="4" t="inlineStr">
        <is>
          <t>租赁费</t>
        </is>
      </c>
      <c r="D135" s="7" t="n">
        <v>19840.7</v>
      </c>
      <c r="F135" s="7" t="n">
        <v>24346.7</v>
      </c>
      <c r="H135" s="7" t="n">
        <v>32025.7</v>
      </c>
      <c r="J135" s="7" t="n">
        <v>27316</v>
      </c>
      <c r="L135" s="7" t="n">
        <v>20756.1</v>
      </c>
      <c r="N135" s="7" t="n">
        <v>26732.8</v>
      </c>
      <c r="P135" s="7" t="n">
        <v>41633.7</v>
      </c>
      <c r="R135" s="7" t="n">
        <v>41400.1</v>
      </c>
      <c r="T135" s="7" t="n">
        <v>27996.4</v>
      </c>
      <c r="V135" s="7" t="n">
        <v>37987.2</v>
      </c>
      <c r="X135" s="7" t="n">
        <v>16352.6</v>
      </c>
      <c r="Z135" s="7" t="n">
        <v>19563.4</v>
      </c>
      <c r="AB135" s="7" t="n">
        <v>335951.4</v>
      </c>
    </row>
    <row r="136">
      <c r="A136" s="4" t="inlineStr">
        <is>
          <t>能源费</t>
        </is>
      </c>
      <c r="D136" s="7" t="n">
        <v>5665.4</v>
      </c>
      <c r="F136" s="7" t="n">
        <v>8233</v>
      </c>
      <c r="H136" s="7" t="n">
        <v>10520.2</v>
      </c>
      <c r="J136" s="7" t="n">
        <v>12227</v>
      </c>
      <c r="L136" s="7" t="n">
        <v>8694.9</v>
      </c>
      <c r="N136" s="7" t="n">
        <v>7693.3</v>
      </c>
      <c r="P136" s="7" t="n">
        <v>12422.9</v>
      </c>
      <c r="R136" s="7" t="n">
        <v>13591.7</v>
      </c>
      <c r="T136" s="7" t="n">
        <v>11440.7</v>
      </c>
      <c r="V136" s="7" t="n">
        <v>11929.2</v>
      </c>
      <c r="X136" s="7" t="n">
        <v>4693.8</v>
      </c>
      <c r="Z136" s="7" t="n">
        <v>7605.8</v>
      </c>
      <c r="AB136" s="7" t="n">
        <v>114717.9</v>
      </c>
    </row>
    <row r="137">
      <c r="A137" s="4" t="inlineStr">
        <is>
          <t>水费</t>
        </is>
      </c>
      <c r="D137" s="7" t="n">
        <v>1467.5</v>
      </c>
      <c r="F137" s="7" t="n">
        <v>2262.9</v>
      </c>
      <c r="H137" s="7" t="n">
        <v>3010.8</v>
      </c>
      <c r="J137" s="7" t="n">
        <v>3765.7</v>
      </c>
      <c r="L137" s="7" t="n">
        <v>2040.8</v>
      </c>
      <c r="N137" s="7" t="n">
        <v>1846.8</v>
      </c>
      <c r="P137" s="7" t="n">
        <v>3236.3</v>
      </c>
      <c r="R137" s="7" t="n">
        <v>3189.1</v>
      </c>
      <c r="T137" s="7" t="n">
        <v>2020.8</v>
      </c>
      <c r="V137" s="7" t="n">
        <v>2491.4</v>
      </c>
      <c r="X137" s="7" t="n">
        <v>1000.2</v>
      </c>
      <c r="Z137" s="7" t="n">
        <v>1948.7</v>
      </c>
      <c r="AB137" s="7" t="n">
        <v>28281</v>
      </c>
    </row>
    <row r="138">
      <c r="A138" s="4" t="inlineStr">
        <is>
          <t>电费</t>
        </is>
      </c>
      <c r="D138" s="7" t="n">
        <v>2022.1</v>
      </c>
      <c r="F138" s="7" t="n">
        <v>2937.6</v>
      </c>
      <c r="H138" s="7" t="n">
        <v>3278.3</v>
      </c>
      <c r="J138" s="7" t="n">
        <v>3471.7</v>
      </c>
      <c r="L138" s="7" t="n">
        <v>3655</v>
      </c>
      <c r="N138" s="7" t="n">
        <v>2909.3</v>
      </c>
      <c r="P138" s="7" t="n">
        <v>4016.3</v>
      </c>
      <c r="R138" s="7" t="n">
        <v>5950.8</v>
      </c>
      <c r="T138" s="7" t="n">
        <v>4616.5</v>
      </c>
      <c r="V138" s="7" t="n">
        <v>4243</v>
      </c>
      <c r="X138" s="7" t="n">
        <v>1980.9</v>
      </c>
      <c r="Z138" s="7" t="n">
        <v>2954.5</v>
      </c>
      <c r="AB138" s="7" t="n">
        <v>42036</v>
      </c>
    </row>
    <row r="139">
      <c r="A139" s="4" t="inlineStr">
        <is>
          <t>燃气费</t>
        </is>
      </c>
      <c r="D139" s="7" t="n">
        <v>1753.7</v>
      </c>
      <c r="F139" s="7" t="n">
        <v>2519.9</v>
      </c>
      <c r="H139" s="7" t="n">
        <v>3744.9</v>
      </c>
      <c r="J139" s="7" t="n">
        <v>4434.7</v>
      </c>
      <c r="L139" s="7" t="n">
        <v>2586.4</v>
      </c>
      <c r="N139" s="7" t="n">
        <v>2432.2</v>
      </c>
      <c r="P139" s="7" t="n">
        <v>4561.1</v>
      </c>
      <c r="R139" s="7" t="n">
        <v>3612.3</v>
      </c>
      <c r="T139" s="7" t="n">
        <v>4180.5</v>
      </c>
      <c r="V139" s="7" t="n">
        <v>4577.5</v>
      </c>
      <c r="X139" s="7" t="n">
        <v>1433.1</v>
      </c>
      <c r="Z139" s="7" t="n">
        <v>2247.9</v>
      </c>
      <c r="AB139" s="7" t="n">
        <v>38084.2</v>
      </c>
    </row>
    <row r="140">
      <c r="A140" s="4" t="inlineStr">
        <is>
          <t>蒸汽费</t>
        </is>
      </c>
      <c r="D140" s="7" t="n">
        <v>422.1</v>
      </c>
      <c r="F140" s="7" t="n">
        <v>512.6</v>
      </c>
      <c r="H140" s="7" t="n">
        <v>486.2</v>
      </c>
      <c r="J140" s="7" t="n">
        <v>554.9</v>
      </c>
      <c r="L140" s="7" t="n">
        <v>412.7</v>
      </c>
      <c r="N140" s="7" t="n">
        <v>505</v>
      </c>
      <c r="P140" s="7" t="n">
        <v>609.2</v>
      </c>
      <c r="R140" s="7" t="n">
        <v>839.5</v>
      </c>
      <c r="T140" s="7" t="n">
        <v>622.9</v>
      </c>
      <c r="V140" s="7" t="n">
        <v>617.3</v>
      </c>
      <c r="X140" s="7" t="n">
        <v>279.6</v>
      </c>
      <c r="Z140" s="7" t="n">
        <v>454.7</v>
      </c>
      <c r="AB140" s="7" t="n">
        <v>6316.7</v>
      </c>
    </row>
    <row r="141">
      <c r="A141" s="4" t="inlineStr">
        <is>
          <t>物业费</t>
        </is>
      </c>
      <c r="D141" s="7" t="n">
        <v>1236.3</v>
      </c>
      <c r="F141" s="7" t="n">
        <v>1158.3</v>
      </c>
      <c r="H141" s="7" t="n">
        <v>1873.6</v>
      </c>
      <c r="J141" s="7" t="n">
        <v>2031.3</v>
      </c>
      <c r="L141" s="7" t="n">
        <v>1614.8</v>
      </c>
      <c r="N141" s="7" t="n">
        <v>1959.6</v>
      </c>
      <c r="P141" s="7" t="n">
        <v>1663.4</v>
      </c>
      <c r="R141" s="7" t="n">
        <v>2776</v>
      </c>
      <c r="T141" s="7" t="n">
        <v>2061.5</v>
      </c>
      <c r="V141" s="7" t="n">
        <v>1507.4</v>
      </c>
      <c r="X141" s="7" t="n">
        <v>889.1</v>
      </c>
      <c r="Z141" s="7" t="n">
        <v>1553.3</v>
      </c>
      <c r="AB141" s="7" t="n">
        <v>20324.6</v>
      </c>
    </row>
    <row r="142">
      <c r="A142" s="4" t="inlineStr">
        <is>
          <t>劳动保护费</t>
        </is>
      </c>
      <c r="D142" s="7" t="n">
        <v>417.2</v>
      </c>
      <c r="F142" s="7" t="n">
        <v>371.8</v>
      </c>
      <c r="H142" s="7" t="n">
        <v>628.9</v>
      </c>
      <c r="J142" s="7" t="n">
        <v>673.8</v>
      </c>
      <c r="L142" s="7" t="n">
        <v>676.9</v>
      </c>
      <c r="N142" s="7" t="n">
        <v>556.6</v>
      </c>
      <c r="P142" s="7" t="n">
        <v>742.9</v>
      </c>
      <c r="R142" s="7" t="n">
        <v>847</v>
      </c>
      <c r="T142" s="7" t="n">
        <v>710.4</v>
      </c>
      <c r="V142" s="7" t="n">
        <v>825.5</v>
      </c>
      <c r="X142" s="7" t="n">
        <v>401.7</v>
      </c>
      <c r="Z142" s="7" t="n">
        <v>335.4</v>
      </c>
      <c r="AB142" s="7" t="n">
        <v>7188.1</v>
      </c>
    </row>
    <row r="143">
      <c r="A143" s="4" t="inlineStr">
        <is>
          <t>顾问费</t>
        </is>
      </c>
      <c r="D143" s="7" t="n">
        <v>1176.5</v>
      </c>
      <c r="F143" s="7" t="n">
        <v>1698.9</v>
      </c>
      <c r="H143" s="7" t="n">
        <v>1526.6</v>
      </c>
      <c r="J143" s="7" t="n">
        <v>2060.1</v>
      </c>
      <c r="L143" s="7" t="n">
        <v>1999.6</v>
      </c>
      <c r="N143" s="7" t="n">
        <v>1897.9</v>
      </c>
      <c r="P143" s="7" t="n">
        <v>1583.5</v>
      </c>
      <c r="R143" s="7" t="n">
        <v>2665.6</v>
      </c>
      <c r="T143" s="7" t="n">
        <v>2145.2</v>
      </c>
      <c r="V143" s="7" t="n">
        <v>1772.1</v>
      </c>
      <c r="X143" s="7" t="n">
        <v>669.5</v>
      </c>
      <c r="Z143" s="7" t="n">
        <v>1317.9</v>
      </c>
      <c r="AB143" s="7" t="n">
        <v>20513.4</v>
      </c>
    </row>
    <row r="144">
      <c r="A144" s="4" t="inlineStr">
        <is>
          <t>快递费</t>
        </is>
      </c>
      <c r="D144" s="7" t="n">
        <v>1657.4</v>
      </c>
      <c r="F144" s="7" t="n">
        <v>1869.4</v>
      </c>
      <c r="H144" s="7" t="n">
        <v>3443.4</v>
      </c>
      <c r="J144" s="7" t="n">
        <v>3327</v>
      </c>
      <c r="L144" s="7" t="n">
        <v>2615.7</v>
      </c>
      <c r="N144" s="7" t="n">
        <v>2684</v>
      </c>
      <c r="P144" s="7" t="n">
        <v>3613.6</v>
      </c>
      <c r="R144" s="7" t="n">
        <v>3483</v>
      </c>
      <c r="T144" s="7" t="n">
        <v>3232.9</v>
      </c>
      <c r="V144" s="7" t="n">
        <v>3628.6</v>
      </c>
      <c r="X144" s="7" t="n">
        <v>1209.6</v>
      </c>
      <c r="Z144" s="7" t="n">
        <v>1575.2</v>
      </c>
      <c r="AB144" s="7" t="n">
        <v>32339.8</v>
      </c>
    </row>
    <row r="145">
      <c r="A145" s="4" t="inlineStr">
        <is>
          <t>诉讼费</t>
        </is>
      </c>
      <c r="D145" s="7" t="n">
        <v>1646.9</v>
      </c>
      <c r="F145" s="7" t="n">
        <v>1704.5</v>
      </c>
      <c r="H145" s="7" t="n">
        <v>1839.2</v>
      </c>
      <c r="J145" s="7" t="n">
        <v>3600.2</v>
      </c>
      <c r="L145" s="7" t="n">
        <v>2447.6</v>
      </c>
      <c r="N145" s="7" t="n">
        <v>2729.7</v>
      </c>
      <c r="P145" s="7" t="n">
        <v>2696.6</v>
      </c>
      <c r="R145" s="7" t="n">
        <v>3532.6</v>
      </c>
      <c r="T145" s="7" t="n">
        <v>3106.5</v>
      </c>
      <c r="V145" s="7" t="n">
        <v>2243</v>
      </c>
      <c r="X145" s="7" t="n">
        <v>1237.4</v>
      </c>
      <c r="Z145" s="7" t="n">
        <v>1345.5</v>
      </c>
      <c r="AB145" s="7" t="n">
        <v>28129.7</v>
      </c>
    </row>
    <row r="146">
      <c r="A146" s="4" t="inlineStr">
        <is>
          <t>会员费</t>
        </is>
      </c>
      <c r="D146" s="7" t="n">
        <v>1015.8</v>
      </c>
      <c r="F146" s="7" t="n">
        <v>1482.7</v>
      </c>
      <c r="H146" s="7" t="n">
        <v>1334.7</v>
      </c>
      <c r="J146" s="7" t="n">
        <v>1259.2</v>
      </c>
      <c r="L146" s="7" t="n">
        <v>1205.8</v>
      </c>
      <c r="N146" s="7" t="n">
        <v>983.1</v>
      </c>
      <c r="P146" s="7" t="n">
        <v>2042.4</v>
      </c>
      <c r="R146" s="7" t="n">
        <v>2208.6</v>
      </c>
      <c r="T146" s="7" t="n">
        <v>1373.6</v>
      </c>
      <c r="V146" s="7" t="n">
        <v>1803.1</v>
      </c>
      <c r="X146" s="7" t="n">
        <v>757.7</v>
      </c>
      <c r="Z146" s="7" t="n">
        <v>691.9</v>
      </c>
      <c r="AB146" s="7" t="n">
        <v>16158.6</v>
      </c>
    </row>
    <row r="147">
      <c r="A147" s="4" t="inlineStr">
        <is>
          <t>广告宣传费</t>
        </is>
      </c>
      <c r="D147" s="7" t="n">
        <v>12378.6</v>
      </c>
      <c r="F147" s="7" t="n">
        <v>20060.9</v>
      </c>
      <c r="H147" s="7" t="n">
        <v>12648.1</v>
      </c>
      <c r="J147" s="7" t="n">
        <v>18484.7</v>
      </c>
      <c r="L147" s="7" t="n">
        <v>13226</v>
      </c>
      <c r="N147" s="7" t="n">
        <v>19363.1</v>
      </c>
      <c r="P147" s="7" t="n">
        <v>20728.7</v>
      </c>
      <c r="R147" s="7" t="n">
        <v>18517</v>
      </c>
      <c r="T147" s="7" t="n">
        <v>18223.7</v>
      </c>
      <c r="V147" s="7" t="n">
        <v>14459.8</v>
      </c>
      <c r="X147" s="7" t="n">
        <v>11961</v>
      </c>
      <c r="Z147" s="7" t="n">
        <v>12988.9</v>
      </c>
      <c r="AB147" s="7" t="n">
        <v>193040.5</v>
      </c>
    </row>
    <row r="148">
      <c r="A148" s="4" t="inlineStr">
        <is>
          <t>会务费</t>
        </is>
      </c>
      <c r="D148" s="7" t="n">
        <v>2783.6</v>
      </c>
      <c r="F148" s="7" t="n">
        <v>2376.6</v>
      </c>
      <c r="H148" s="7" t="n">
        <v>3464.5</v>
      </c>
      <c r="J148" s="7" t="n">
        <v>3040.6</v>
      </c>
      <c r="L148" s="7" t="n">
        <v>2577.1</v>
      </c>
      <c r="N148" s="7" t="n">
        <v>2581.4</v>
      </c>
      <c r="P148" s="7" t="n">
        <v>4681.1</v>
      </c>
      <c r="R148" s="7" t="n">
        <v>6174.3</v>
      </c>
      <c r="T148" s="7" t="n">
        <v>3897.4</v>
      </c>
      <c r="V148" s="7" t="n">
        <v>3958.5</v>
      </c>
      <c r="X148" s="7" t="n">
        <v>2231.9</v>
      </c>
      <c r="Z148" s="7" t="n">
        <v>2641.5</v>
      </c>
      <c r="AB148" s="7" t="n">
        <v>40408.5</v>
      </c>
    </row>
    <row r="149">
      <c r="A149" s="4" t="inlineStr">
        <is>
          <t>装修费</t>
        </is>
      </c>
      <c r="D149" s="7" t="n">
        <v>1804.6</v>
      </c>
      <c r="F149" s="7" t="n">
        <v>2361.6</v>
      </c>
      <c r="H149" s="7" t="n">
        <v>3939.4</v>
      </c>
      <c r="J149" s="7" t="n">
        <v>2762.9</v>
      </c>
      <c r="L149" s="7" t="n">
        <v>2296</v>
      </c>
      <c r="N149" s="7" t="n">
        <v>2978.6</v>
      </c>
      <c r="P149" s="7" t="n">
        <v>4993.8</v>
      </c>
      <c r="R149" s="7" t="n">
        <v>6405.6</v>
      </c>
      <c r="T149" s="7" t="n">
        <v>4458.2</v>
      </c>
      <c r="V149" s="7" t="n">
        <v>3441.5</v>
      </c>
      <c r="X149" s="7" t="n">
        <v>1618.6</v>
      </c>
      <c r="Z149" s="7" t="n">
        <v>2188.1</v>
      </c>
      <c r="AB149" s="7" t="n">
        <v>39248.9</v>
      </c>
    </row>
    <row r="150">
      <c r="A150" s="4" t="inlineStr">
        <is>
          <t>推广费</t>
        </is>
      </c>
      <c r="D150" s="7" t="n">
        <v>464</v>
      </c>
      <c r="F150" s="7" t="n">
        <v>761</v>
      </c>
      <c r="H150" s="7" t="n">
        <v>677.2</v>
      </c>
      <c r="J150" s="7" t="n">
        <v>838</v>
      </c>
      <c r="L150" s="7" t="n">
        <v>845.3</v>
      </c>
      <c r="N150" s="7" t="n">
        <v>748</v>
      </c>
      <c r="P150" s="7" t="n">
        <v>1014.5</v>
      </c>
      <c r="R150" s="7" t="n">
        <v>1306.2</v>
      </c>
      <c r="T150" s="7" t="n">
        <v>794.3</v>
      </c>
      <c r="V150" s="7" t="n">
        <v>742.7</v>
      </c>
      <c r="X150" s="7" t="n">
        <v>367.6</v>
      </c>
      <c r="Z150" s="7" t="n">
        <v>379.9</v>
      </c>
      <c r="AB150" s="7" t="n">
        <v>8938.700000000001</v>
      </c>
    </row>
    <row r="151">
      <c r="A151" s="4" t="inlineStr">
        <is>
          <t>展会费</t>
        </is>
      </c>
      <c r="D151" s="7" t="n">
        <v>1273.6</v>
      </c>
      <c r="F151" s="7" t="n">
        <v>1733.9</v>
      </c>
      <c r="H151" s="7" t="n">
        <v>1758.3</v>
      </c>
      <c r="J151" s="7" t="n">
        <v>2886.8</v>
      </c>
      <c r="L151" s="7" t="n">
        <v>1626.7</v>
      </c>
      <c r="N151" s="7" t="n">
        <v>1730.5</v>
      </c>
      <c r="P151" s="7" t="n">
        <v>2259.2</v>
      </c>
      <c r="R151" s="7" t="n">
        <v>3991.4</v>
      </c>
      <c r="T151" s="7" t="n">
        <v>2972.2</v>
      </c>
      <c r="V151" s="7" t="n">
        <v>2901.7</v>
      </c>
      <c r="X151" s="7" t="n">
        <v>1452.8</v>
      </c>
      <c r="Z151" s="7" t="n">
        <v>1705.5</v>
      </c>
      <c r="AB151" s="7" t="n">
        <v>26292.6</v>
      </c>
    </row>
    <row r="152">
      <c r="A152" s="4" t="inlineStr">
        <is>
          <t>设计费</t>
        </is>
      </c>
      <c r="D152" s="7" t="n">
        <v>1620.5</v>
      </c>
      <c r="F152" s="7" t="n">
        <v>2887.8</v>
      </c>
      <c r="H152" s="7" t="n">
        <v>3463.4</v>
      </c>
      <c r="J152" s="7" t="n">
        <v>3274.3</v>
      </c>
      <c r="L152" s="7" t="n">
        <v>3077.6</v>
      </c>
      <c r="N152" s="7" t="n">
        <v>2903.6</v>
      </c>
      <c r="P152" s="7" t="n">
        <v>3808</v>
      </c>
      <c r="R152" s="7" t="n">
        <v>4525.4</v>
      </c>
      <c r="T152" s="7" t="n">
        <v>3690.4</v>
      </c>
      <c r="V152" s="7" t="n">
        <v>3036.7</v>
      </c>
      <c r="X152" s="7" t="n">
        <v>1574.4</v>
      </c>
      <c r="Z152" s="7" t="n">
        <v>2223.2</v>
      </c>
      <c r="AB152" s="7" t="n">
        <v>36085.3</v>
      </c>
    </row>
    <row r="153">
      <c r="A153" s="4" t="inlineStr">
        <is>
          <t>折旧费</t>
        </is>
      </c>
      <c r="D153" s="7" t="n">
        <v>12705.3</v>
      </c>
      <c r="F153" s="7" t="n">
        <v>26277.7</v>
      </c>
      <c r="H153" s="7" t="n">
        <v>21915.5</v>
      </c>
      <c r="J153" s="7" t="n">
        <v>25638.6</v>
      </c>
      <c r="L153" s="7" t="n">
        <v>16497.2</v>
      </c>
      <c r="N153" s="7" t="n">
        <v>14428.1</v>
      </c>
      <c r="P153" s="7" t="n">
        <v>20714.8</v>
      </c>
      <c r="R153" s="7" t="n">
        <v>36421.2</v>
      </c>
      <c r="T153" s="7" t="n">
        <v>27820.8</v>
      </c>
      <c r="V153" s="7" t="n">
        <v>23771.3</v>
      </c>
      <c r="X153" s="7" t="n">
        <v>16618.8</v>
      </c>
      <c r="Z153" s="7" t="n">
        <v>19394.5</v>
      </c>
      <c r="AB153" s="7" t="n">
        <v>262203.8</v>
      </c>
    </row>
    <row r="154">
      <c r="A154" s="4" t="inlineStr">
        <is>
          <t>认证费</t>
        </is>
      </c>
      <c r="D154" s="7" t="n">
        <v>2194.8</v>
      </c>
      <c r="F154" s="7" t="n">
        <v>2665.2</v>
      </c>
      <c r="H154" s="7" t="n">
        <v>2100.6</v>
      </c>
      <c r="J154" s="7" t="n">
        <v>4274.8</v>
      </c>
      <c r="L154" s="7" t="n">
        <v>2459.8</v>
      </c>
      <c r="N154" s="7" t="n">
        <v>2686.4</v>
      </c>
      <c r="P154" s="7" t="n">
        <v>4257</v>
      </c>
      <c r="R154" s="7" t="n">
        <v>4553.3</v>
      </c>
      <c r="T154" s="7" t="n">
        <v>3577.5</v>
      </c>
      <c r="V154" s="7" t="n">
        <v>3887.9</v>
      </c>
      <c r="X154" s="7" t="n">
        <v>1654.6</v>
      </c>
      <c r="Z154" s="7" t="n">
        <v>1535.6</v>
      </c>
      <c r="AB154" s="7" t="n">
        <v>35847.5</v>
      </c>
    </row>
    <row r="155">
      <c r="A155" s="4" t="inlineStr">
        <is>
          <t>样品费</t>
        </is>
      </c>
      <c r="D155" s="7" t="n">
        <v>6840.9</v>
      </c>
      <c r="F155" s="7" t="n">
        <v>8433.299999999999</v>
      </c>
      <c r="H155" s="7" t="n">
        <v>14657.6</v>
      </c>
      <c r="J155" s="7" t="n">
        <v>9756.5</v>
      </c>
      <c r="L155" s="7" t="n">
        <v>13155.3</v>
      </c>
      <c r="N155" s="7" t="n">
        <v>12364</v>
      </c>
      <c r="P155" s="7" t="n">
        <v>15525.7</v>
      </c>
      <c r="R155" s="7" t="n">
        <v>17817.8</v>
      </c>
      <c r="T155" s="7" t="n">
        <v>10532.3</v>
      </c>
      <c r="V155" s="7" t="n">
        <v>12409.7</v>
      </c>
      <c r="X155" s="7" t="n">
        <v>7181.3</v>
      </c>
      <c r="Z155" s="7" t="n">
        <v>10397.6</v>
      </c>
      <c r="AB155" s="7" t="n">
        <v>139072</v>
      </c>
    </row>
    <row r="156">
      <c r="A156" s="4" t="inlineStr">
        <is>
          <t>劳务费</t>
        </is>
      </c>
      <c r="D156" s="7" t="n">
        <v>318.7</v>
      </c>
      <c r="F156" s="7" t="n">
        <v>414.5</v>
      </c>
      <c r="H156" s="7" t="n">
        <v>418.1</v>
      </c>
      <c r="J156" s="7" t="n">
        <v>320.9</v>
      </c>
      <c r="L156" s="7" t="n">
        <v>292.7</v>
      </c>
      <c r="N156" s="7" t="n">
        <v>269.2</v>
      </c>
      <c r="P156" s="7" t="n">
        <v>476.3</v>
      </c>
      <c r="R156" s="7" t="n">
        <v>403</v>
      </c>
      <c r="T156" s="7" t="n">
        <v>529.1</v>
      </c>
      <c r="V156" s="7" t="n">
        <v>358.4</v>
      </c>
      <c r="X156" s="7" t="n">
        <v>231.1</v>
      </c>
      <c r="Z156" s="7" t="n">
        <v>338.5</v>
      </c>
      <c r="AB156" s="7" t="n">
        <v>4370.5</v>
      </c>
    </row>
    <row r="157">
      <c r="A157" s="4" t="inlineStr">
        <is>
          <t>销售佣金</t>
        </is>
      </c>
      <c r="D157" s="7" t="n">
        <v>10.2</v>
      </c>
      <c r="F157" s="7" t="n">
        <v>19.2</v>
      </c>
      <c r="H157" s="7" t="n">
        <v>21.4</v>
      </c>
      <c r="J157" s="7" t="n">
        <v>26.7</v>
      </c>
      <c r="L157" s="7" t="n">
        <v>22.1</v>
      </c>
      <c r="N157" s="7" t="n">
        <v>18.8</v>
      </c>
      <c r="P157" s="7" t="n">
        <v>19.5</v>
      </c>
      <c r="R157" s="7" t="n">
        <v>32.8</v>
      </c>
      <c r="T157" s="7" t="n">
        <v>14.7</v>
      </c>
      <c r="V157" s="7" t="n">
        <v>16.4</v>
      </c>
      <c r="X157" s="7" t="n">
        <v>8.4</v>
      </c>
      <c r="Z157" s="7" t="n">
        <v>14.3</v>
      </c>
      <c r="AB157" s="7" t="n">
        <v>224.5</v>
      </c>
    </row>
    <row r="158">
      <c r="A158" s="4" t="inlineStr">
        <is>
          <t>检测费</t>
        </is>
      </c>
      <c r="D158" s="7" t="n">
        <v>2139.5</v>
      </c>
      <c r="F158" s="7" t="n">
        <v>3126.7</v>
      </c>
      <c r="H158" s="7" t="n">
        <v>4038.6</v>
      </c>
      <c r="J158" s="7" t="n">
        <v>4149</v>
      </c>
      <c r="L158" s="7" t="n">
        <v>2619.1</v>
      </c>
      <c r="N158" s="7" t="n">
        <v>3583.9</v>
      </c>
      <c r="P158" s="7" t="n">
        <v>4485</v>
      </c>
      <c r="R158" s="7" t="n">
        <v>4386.2</v>
      </c>
      <c r="T158" s="7" t="n">
        <v>4204.9</v>
      </c>
      <c r="V158" s="7" t="n">
        <v>3693.6</v>
      </c>
      <c r="X158" s="7" t="n">
        <v>1758.8</v>
      </c>
      <c r="Z158" s="7" t="n">
        <v>2091</v>
      </c>
      <c r="AB158" s="7" t="n">
        <v>40276.3</v>
      </c>
    </row>
    <row r="159">
      <c r="A159" s="4" t="inlineStr">
        <is>
          <t>质量赔偿</t>
        </is>
      </c>
      <c r="D159" s="7" t="n">
        <v>2727.6</v>
      </c>
      <c r="F159" s="7" t="n">
        <v>3043.1</v>
      </c>
      <c r="H159" s="7" t="n">
        <v>3590.5</v>
      </c>
      <c r="J159" s="7" t="n">
        <v>4239.8</v>
      </c>
      <c r="L159" s="7" t="n">
        <v>3047.7</v>
      </c>
      <c r="N159" s="7" t="n">
        <v>3334.6</v>
      </c>
      <c r="P159" s="7" t="n">
        <v>3890.1</v>
      </c>
      <c r="R159" s="7" t="n">
        <v>5696.7</v>
      </c>
      <c r="T159" s="7" t="n">
        <v>3215</v>
      </c>
      <c r="V159" s="7" t="n">
        <v>4302.4</v>
      </c>
      <c r="X159" s="7" t="n">
        <v>1457.7</v>
      </c>
      <c r="Z159" s="7" t="n">
        <v>3059.3</v>
      </c>
      <c r="AB159" s="7" t="n">
        <v>41604.5</v>
      </c>
    </row>
    <row r="160">
      <c r="A160" s="4" t="inlineStr">
        <is>
          <t>保险费</t>
        </is>
      </c>
      <c r="D160" s="7" t="n">
        <v>1006.6</v>
      </c>
      <c r="F160" s="7" t="n">
        <v>1489.5</v>
      </c>
      <c r="H160" s="7" t="n">
        <v>2325</v>
      </c>
      <c r="J160" s="7" t="n">
        <v>1824.3</v>
      </c>
      <c r="L160" s="7" t="n">
        <v>1954.3</v>
      </c>
      <c r="N160" s="7" t="n">
        <v>2035.7</v>
      </c>
      <c r="P160" s="7" t="n">
        <v>2042.6</v>
      </c>
      <c r="R160" s="7" t="n">
        <v>2874.7</v>
      </c>
      <c r="T160" s="7" t="n">
        <v>1820.5</v>
      </c>
      <c r="V160" s="7" t="n">
        <v>2245.4</v>
      </c>
      <c r="X160" s="7" t="n">
        <v>786.1</v>
      </c>
      <c r="Z160" s="7" t="n">
        <v>1031.1</v>
      </c>
      <c r="AB160" s="7" t="n">
        <v>21435.8</v>
      </c>
    </row>
    <row r="161">
      <c r="A161" s="4" t="inlineStr">
        <is>
          <t>清洁费</t>
        </is>
      </c>
      <c r="D161" s="7" t="n">
        <v>2575.4</v>
      </c>
      <c r="F161" s="7" t="n">
        <v>3554.8</v>
      </c>
      <c r="H161" s="7" t="n">
        <v>3194.7</v>
      </c>
      <c r="J161" s="7" t="n">
        <v>3594.2</v>
      </c>
      <c r="L161" s="7" t="n">
        <v>2305.1</v>
      </c>
      <c r="N161" s="7" t="n">
        <v>3535</v>
      </c>
      <c r="P161" s="7" t="n">
        <v>3596.1</v>
      </c>
      <c r="R161" s="7" t="n">
        <v>3628.2</v>
      </c>
      <c r="T161" s="7" t="n">
        <v>2948</v>
      </c>
      <c r="V161" s="7" t="n">
        <v>4354.7</v>
      </c>
      <c r="X161" s="7" t="n">
        <v>1403</v>
      </c>
      <c r="Z161" s="7" t="n">
        <v>2605.2</v>
      </c>
      <c r="AB161" s="7" t="n">
        <v>37294.4</v>
      </c>
    </row>
    <row r="162">
      <c r="A162" s="4" t="inlineStr">
        <is>
          <t>低值易耗品</t>
        </is>
      </c>
      <c r="D162" s="7" t="n">
        <v>1733.4</v>
      </c>
      <c r="F162" s="7" t="n">
        <v>2932.6</v>
      </c>
      <c r="H162" s="7" t="n">
        <v>2918.6</v>
      </c>
      <c r="J162" s="7" t="n">
        <v>2770.7</v>
      </c>
      <c r="L162" s="7" t="n">
        <v>3079.4</v>
      </c>
      <c r="N162" s="7" t="n">
        <v>1935</v>
      </c>
      <c r="P162" s="7" t="n">
        <v>4525.3</v>
      </c>
      <c r="R162" s="7" t="n">
        <v>5387.6</v>
      </c>
      <c r="T162" s="7" t="n">
        <v>2806.8</v>
      </c>
      <c r="V162" s="7" t="n">
        <v>2938.8</v>
      </c>
      <c r="X162" s="7" t="n">
        <v>1510.7</v>
      </c>
      <c r="Z162" s="7" t="n">
        <v>2296.7</v>
      </c>
      <c r="AB162" s="7" t="n">
        <v>34835.6</v>
      </c>
    </row>
    <row r="163">
      <c r="A163" s="4" t="inlineStr">
        <is>
          <t>物料消耗</t>
        </is>
      </c>
      <c r="D163" s="7" t="n">
        <v>2183.2</v>
      </c>
      <c r="F163" s="7" t="n">
        <v>4098.3</v>
      </c>
      <c r="H163" s="7" t="n">
        <v>4468.1</v>
      </c>
      <c r="J163" s="7" t="n">
        <v>3775.3</v>
      </c>
      <c r="L163" s="7" t="n">
        <v>2808.3</v>
      </c>
      <c r="N163" s="7" t="n">
        <v>3412.7</v>
      </c>
      <c r="P163" s="7" t="n">
        <v>3948.7</v>
      </c>
      <c r="R163" s="7" t="n">
        <v>4325.9</v>
      </c>
      <c r="T163" s="7" t="n">
        <v>3552.2</v>
      </c>
      <c r="V163" s="7" t="n">
        <v>3088.5</v>
      </c>
      <c r="X163" s="7" t="n">
        <v>1616.7</v>
      </c>
      <c r="Z163" s="7" t="n">
        <v>2118.7</v>
      </c>
      <c r="AB163" s="7" t="n">
        <v>39396.6</v>
      </c>
    </row>
    <row r="164">
      <c r="A164" s="4" t="inlineStr">
        <is>
          <t>盘盈盘亏</t>
        </is>
      </c>
      <c r="D164" s="7" t="n">
        <v>1612.4</v>
      </c>
      <c r="F164" s="7" t="n">
        <v>2736.7</v>
      </c>
      <c r="H164" s="7" t="n">
        <v>1834.3</v>
      </c>
      <c r="J164" s="7" t="n">
        <v>2438.7</v>
      </c>
      <c r="L164" s="7" t="n">
        <v>2415.2</v>
      </c>
      <c r="N164" s="7" t="n">
        <v>2253.2</v>
      </c>
      <c r="P164" s="7" t="n">
        <v>2303.2</v>
      </c>
      <c r="R164" s="7" t="n">
        <v>4844.9</v>
      </c>
      <c r="T164" s="7" t="n">
        <v>2066.9</v>
      </c>
      <c r="V164" s="7" t="n">
        <v>3224</v>
      </c>
      <c r="X164" s="7" t="n">
        <v>1309.1</v>
      </c>
      <c r="Z164" s="7" t="n">
        <v>1836.8</v>
      </c>
      <c r="AB164" s="7" t="n">
        <v>28875.4</v>
      </c>
    </row>
    <row r="165">
      <c r="A165" s="4" t="inlineStr">
        <is>
          <t>平台服务费</t>
        </is>
      </c>
      <c r="D165" s="7" t="n">
        <v>1261.9</v>
      </c>
      <c r="F165" s="7" t="n">
        <v>2650.3</v>
      </c>
      <c r="H165" s="7" t="n">
        <v>2144.3</v>
      </c>
      <c r="J165" s="7" t="n">
        <v>2126.6</v>
      </c>
      <c r="L165" s="7" t="n">
        <v>1701.6</v>
      </c>
      <c r="N165" s="7" t="n">
        <v>1721</v>
      </c>
      <c r="P165" s="7" t="n">
        <v>2558.3</v>
      </c>
      <c r="R165" s="7" t="n">
        <v>3696.5</v>
      </c>
      <c r="T165" s="7" t="n">
        <v>3145.3</v>
      </c>
      <c r="V165" s="7" t="n">
        <v>3168.2</v>
      </c>
      <c r="X165" s="7" t="n">
        <v>1004.1</v>
      </c>
      <c r="Z165" s="7" t="n">
        <v>1412.3</v>
      </c>
      <c r="AB165" s="7" t="n">
        <v>26590.4</v>
      </c>
    </row>
    <row r="166">
      <c r="A166" s="4" t="inlineStr">
        <is>
          <t>无形资产摊销</t>
        </is>
      </c>
      <c r="D166" s="7" t="n">
        <v>1659.2</v>
      </c>
      <c r="F166" s="7" t="n">
        <v>1590.6</v>
      </c>
      <c r="H166" s="7" t="n">
        <v>2572.6</v>
      </c>
      <c r="J166" s="7" t="n">
        <v>3424.9</v>
      </c>
      <c r="L166" s="7" t="n">
        <v>2862</v>
      </c>
      <c r="N166" s="7" t="n">
        <v>2261.2</v>
      </c>
      <c r="P166" s="7" t="n">
        <v>2432.6</v>
      </c>
      <c r="R166" s="7" t="n">
        <v>3870.3</v>
      </c>
      <c r="T166" s="7" t="n">
        <v>2607.4</v>
      </c>
      <c r="V166" s="7" t="n">
        <v>3183.6</v>
      </c>
      <c r="X166" s="7" t="n">
        <v>1466.4</v>
      </c>
      <c r="Z166" s="7" t="n">
        <v>1834.5</v>
      </c>
      <c r="AB166" s="7" t="n">
        <v>29765.3</v>
      </c>
    </row>
    <row r="167">
      <c r="A167" s="4" t="inlineStr">
        <is>
          <t>研发材料</t>
        </is>
      </c>
      <c r="D167" s="7" t="n">
        <v>1135</v>
      </c>
      <c r="F167" s="7" t="n">
        <v>1142.2</v>
      </c>
      <c r="H167" s="7" t="n">
        <v>1623.8</v>
      </c>
      <c r="J167" s="7" t="n">
        <v>1195.3</v>
      </c>
      <c r="L167" s="7" t="n">
        <v>1272.8</v>
      </c>
      <c r="N167" s="7" t="n">
        <v>1047</v>
      </c>
      <c r="P167" s="7" t="n">
        <v>1209</v>
      </c>
      <c r="R167" s="7" t="n">
        <v>2151.2</v>
      </c>
      <c r="T167" s="7" t="n">
        <v>1188.4</v>
      </c>
      <c r="V167" s="7" t="n">
        <v>1949.2</v>
      </c>
      <c r="X167" s="7" t="n">
        <v>943.3</v>
      </c>
      <c r="Z167" s="7" t="n">
        <v>1160.4</v>
      </c>
      <c r="AB167" s="7" t="n">
        <v>16017.6</v>
      </c>
    </row>
    <row r="168">
      <c r="A168" s="4" t="inlineStr">
        <is>
          <t>项目名称</t>
        </is>
      </c>
      <c r="D168" s="7" t="n">
        <v>667.2</v>
      </c>
      <c r="F168" s="7" t="n">
        <v>1481.4</v>
      </c>
      <c r="H168" s="7" t="n">
        <v>1088</v>
      </c>
      <c r="J168" s="7" t="n">
        <v>1571</v>
      </c>
      <c r="L168" s="7" t="n">
        <v>1496.2</v>
      </c>
      <c r="N168" s="7" t="n">
        <v>1249.2</v>
      </c>
      <c r="P168" s="7" t="n">
        <v>1370.6</v>
      </c>
      <c r="R168" s="7" t="n">
        <v>1995.4</v>
      </c>
      <c r="T168" s="7" t="n">
        <v>1896.5</v>
      </c>
      <c r="V168" s="7" t="n">
        <v>1480.2</v>
      </c>
      <c r="X168" s="7" t="n">
        <v>979.4</v>
      </c>
      <c r="Z168" s="7" t="n">
        <v>959.1</v>
      </c>
      <c r="AB168" s="7" t="n">
        <v>16234.2</v>
      </c>
    </row>
    <row r="169">
      <c r="A169" s="4" t="inlineStr">
        <is>
          <t>研发费</t>
        </is>
      </c>
      <c r="D169" s="7" t="n">
        <v>1211.4</v>
      </c>
      <c r="F169" s="7" t="n">
        <v>1373</v>
      </c>
      <c r="H169" s="7" t="n">
        <v>1465.1</v>
      </c>
      <c r="J169" s="7" t="n">
        <v>1677.3</v>
      </c>
      <c r="L169" s="7" t="n">
        <v>1350.1</v>
      </c>
      <c r="N169" s="7" t="n">
        <v>1299.3</v>
      </c>
      <c r="P169" s="7" t="n">
        <v>2109.4</v>
      </c>
      <c r="R169" s="7" t="n">
        <v>1981.2</v>
      </c>
      <c r="T169" s="7" t="n">
        <v>1484</v>
      </c>
      <c r="V169" s="7" t="n">
        <v>1500.8</v>
      </c>
      <c r="X169" s="7" t="n">
        <v>717.6</v>
      </c>
      <c r="Z169" s="7" t="n">
        <v>1398.6</v>
      </c>
      <c r="AB169" s="7" t="n">
        <v>17567.8</v>
      </c>
    </row>
    <row r="170">
      <c r="A170" s="4" t="inlineStr">
        <is>
          <t>残保金</t>
        </is>
      </c>
      <c r="D170" s="7" t="n">
        <v>1796.7</v>
      </c>
      <c r="F170" s="7" t="n">
        <v>2781.2</v>
      </c>
      <c r="H170" s="7" t="n">
        <v>2550</v>
      </c>
      <c r="J170" s="7" t="n">
        <v>3340.1</v>
      </c>
      <c r="L170" s="7" t="n">
        <v>2248.2</v>
      </c>
      <c r="N170" s="7" t="n">
        <v>2371.9</v>
      </c>
      <c r="P170" s="7" t="n">
        <v>2431.3</v>
      </c>
      <c r="R170" s="7" t="n">
        <v>2979.9</v>
      </c>
      <c r="T170" s="7" t="n">
        <v>2158.9</v>
      </c>
      <c r="V170" s="7" t="n">
        <v>3173.7</v>
      </c>
      <c r="X170" s="7" t="n">
        <v>1220.5</v>
      </c>
      <c r="Z170" s="7" t="n">
        <v>2163.5</v>
      </c>
      <c r="AB170" s="7" t="n">
        <v>29215.9</v>
      </c>
    </row>
    <row r="171">
      <c r="A171" s="4" t="inlineStr">
        <is>
          <t>环保费</t>
        </is>
      </c>
      <c r="D171" s="7" t="n">
        <v>2116.4</v>
      </c>
      <c r="F171" s="7" t="n">
        <v>1924.6</v>
      </c>
      <c r="H171" s="7" t="n">
        <v>2417.5</v>
      </c>
      <c r="J171" s="7" t="n">
        <v>3492.5</v>
      </c>
      <c r="L171" s="7" t="n">
        <v>2219.5</v>
      </c>
      <c r="N171" s="7" t="n">
        <v>2386.8</v>
      </c>
      <c r="P171" s="7" t="n">
        <v>3485.5</v>
      </c>
      <c r="R171" s="7" t="n">
        <v>3605.2</v>
      </c>
      <c r="T171" s="7" t="n">
        <v>3201.2</v>
      </c>
      <c r="V171" s="7" t="n">
        <v>3814</v>
      </c>
      <c r="X171" s="7" t="n">
        <v>1517.6</v>
      </c>
      <c r="Z171" s="7" t="n">
        <v>2330.8</v>
      </c>
      <c r="AB171" s="7" t="n">
        <v>32511.6</v>
      </c>
    </row>
    <row r="172">
      <c r="A172" s="4" t="inlineStr">
        <is>
          <t>报废损失</t>
        </is>
      </c>
      <c r="D172" s="7" t="n">
        <v>797.8</v>
      </c>
      <c r="F172" s="7" t="n">
        <v>965</v>
      </c>
      <c r="H172" s="7" t="n">
        <v>815.2</v>
      </c>
      <c r="J172" s="7" t="n">
        <v>1124.9</v>
      </c>
      <c r="L172" s="7" t="n">
        <v>1153.1</v>
      </c>
      <c r="N172" s="7" t="n">
        <v>740.9</v>
      </c>
      <c r="P172" s="7" t="n">
        <v>1152.3</v>
      </c>
      <c r="R172" s="7" t="n">
        <v>1544.4</v>
      </c>
      <c r="T172" s="7" t="n">
        <v>1427.9</v>
      </c>
      <c r="V172" s="7" t="n">
        <v>938.3</v>
      </c>
      <c r="X172" s="7" t="n">
        <v>723.6</v>
      </c>
      <c r="Z172" s="7" t="n">
        <v>665.1</v>
      </c>
      <c r="AB172" s="7" t="n">
        <v>12048.5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279364.7</v>
      </c>
      <c r="D173" s="7" t="n">
        <v>243580.1</v>
      </c>
      <c r="E173" s="7" t="n">
        <v>227099.1</v>
      </c>
      <c r="F173" s="7" t="n">
        <v>184752</v>
      </c>
      <c r="G173" s="7" t="n">
        <v>223179.6</v>
      </c>
      <c r="H173" s="7" t="n">
        <v>271873.9</v>
      </c>
      <c r="I173" s="7" t="n">
        <v>227847.4</v>
      </c>
      <c r="J173" s="7" t="n">
        <v>353944.3</v>
      </c>
      <c r="K173" s="7" t="n">
        <v>274792.9</v>
      </c>
      <c r="L173" s="7" t="n">
        <v>323331.5</v>
      </c>
      <c r="M173" s="7" t="n">
        <v>239061.1</v>
      </c>
      <c r="N173" s="7" t="n">
        <v>387096.3</v>
      </c>
      <c r="O173" s="7" t="n">
        <v>279921.3</v>
      </c>
      <c r="P173" s="7" t="n">
        <v>162426.9</v>
      </c>
      <c r="Q173" s="7" t="n">
        <v>255553.7</v>
      </c>
      <c r="R173" s="7" t="n">
        <v>121725</v>
      </c>
      <c r="S173" s="7" t="n">
        <v>273863.7</v>
      </c>
      <c r="T173" s="7" t="n">
        <v>349627.1</v>
      </c>
      <c r="U173" s="7" t="n">
        <v>247449</v>
      </c>
      <c r="V173" s="7" t="n">
        <v>124606.1</v>
      </c>
      <c r="W173" s="7" t="n">
        <v>264540.5</v>
      </c>
      <c r="X173" s="7" t="n">
        <v>339098.5</v>
      </c>
      <c r="Y173" s="7" t="n">
        <v>233586.3</v>
      </c>
      <c r="Z173" s="7" t="n">
        <v>129686</v>
      </c>
      <c r="AA173" s="8" t="n">
        <v>3026259.3</v>
      </c>
      <c r="AB173" s="8" t="n">
        <v>2991747.7</v>
      </c>
    </row>
    <row r="174">
      <c r="A174" s="4" t="inlineStr">
        <is>
          <t>职工薪酬</t>
        </is>
      </c>
      <c r="D174" s="7" t="n">
        <v>141547</v>
      </c>
      <c r="F174" s="7" t="n">
        <v>112723.3</v>
      </c>
      <c r="H174" s="7" t="n">
        <v>146593.6</v>
      </c>
      <c r="J174" s="7" t="n">
        <v>145138.3</v>
      </c>
      <c r="L174" s="7" t="n">
        <v>176480</v>
      </c>
      <c r="N174" s="7" t="n">
        <v>230494.8</v>
      </c>
      <c r="P174" s="7" t="n">
        <v>77462.5</v>
      </c>
      <c r="R174" s="7" t="n">
        <v>62241</v>
      </c>
      <c r="T174" s="7" t="n">
        <v>173794.5</v>
      </c>
      <c r="V174" s="7" t="n">
        <v>60807.6</v>
      </c>
      <c r="X174" s="7" t="n">
        <v>157377</v>
      </c>
      <c r="Z174" s="7" t="n">
        <v>64327.3</v>
      </c>
      <c r="AB174" s="7" t="n">
        <v>1548986.9</v>
      </c>
    </row>
    <row r="175">
      <c r="A175" s="4" t="inlineStr">
        <is>
          <t>工资</t>
        </is>
      </c>
      <c r="D175" s="7" t="n">
        <v>90771.89999999999</v>
      </c>
      <c r="F175" s="7" t="n">
        <v>71259.3</v>
      </c>
      <c r="H175" s="7" t="n">
        <v>89581.5</v>
      </c>
      <c r="J175" s="7" t="n">
        <v>83671.10000000001</v>
      </c>
      <c r="L175" s="7" t="n">
        <v>93792.89999999999</v>
      </c>
      <c r="N175" s="7" t="n">
        <v>133943.5</v>
      </c>
      <c r="P175" s="7" t="n">
        <v>38074.1</v>
      </c>
      <c r="R175" s="7" t="n">
        <v>33909</v>
      </c>
      <c r="T175" s="7" t="n">
        <v>97296.5</v>
      </c>
      <c r="V175" s="7" t="n">
        <v>29990.5</v>
      </c>
      <c r="X175" s="7" t="n">
        <v>72428.60000000001</v>
      </c>
      <c r="Z175" s="7" t="n">
        <v>43297.2</v>
      </c>
      <c r="AB175" s="7" t="n">
        <v>878016.1</v>
      </c>
    </row>
    <row r="176">
      <c r="A176" s="4" t="inlineStr">
        <is>
          <t>奖金及提成</t>
        </is>
      </c>
      <c r="D176" s="7" t="n">
        <v>29004.8</v>
      </c>
      <c r="F176" s="7" t="n">
        <v>23252.2</v>
      </c>
      <c r="H176" s="7" t="n">
        <v>28572.2</v>
      </c>
      <c r="J176" s="7" t="n">
        <v>28637.6</v>
      </c>
      <c r="L176" s="7" t="n">
        <v>39976.5</v>
      </c>
      <c r="N176" s="7" t="n">
        <v>49632.6</v>
      </c>
      <c r="P176" s="7" t="n">
        <v>20595.1</v>
      </c>
      <c r="R176" s="7" t="n">
        <v>12660.2</v>
      </c>
      <c r="T176" s="7" t="n">
        <v>43051.8</v>
      </c>
      <c r="V176" s="7" t="n">
        <v>16107.7</v>
      </c>
      <c r="X176" s="7" t="n">
        <v>41773.4</v>
      </c>
      <c r="Z176" s="7" t="n">
        <v>9614.1</v>
      </c>
      <c r="AB176" s="7" t="n">
        <v>342878.2</v>
      </c>
    </row>
    <row r="177">
      <c r="A177" s="4" t="inlineStr">
        <is>
          <t>社保</t>
        </is>
      </c>
      <c r="D177" s="7" t="n">
        <v>15218.2</v>
      </c>
      <c r="F177" s="7" t="n">
        <v>13007.5</v>
      </c>
      <c r="H177" s="7" t="n">
        <v>20361.6</v>
      </c>
      <c r="J177" s="7" t="n">
        <v>22360.5</v>
      </c>
      <c r="L177" s="7" t="n">
        <v>33516.2</v>
      </c>
      <c r="N177" s="7" t="n">
        <v>36374.1</v>
      </c>
      <c r="P177" s="7" t="n">
        <v>14311</v>
      </c>
      <c r="R177" s="7" t="n">
        <v>12434.9</v>
      </c>
      <c r="T177" s="7" t="n">
        <v>24961.1</v>
      </c>
      <c r="V177" s="7" t="n">
        <v>11232.9</v>
      </c>
      <c r="X177" s="7" t="n">
        <v>34432.3</v>
      </c>
      <c r="Z177" s="7" t="n">
        <v>7779.5</v>
      </c>
      <c r="AB177" s="7" t="n">
        <v>245989.8</v>
      </c>
    </row>
    <row r="178">
      <c r="A178" s="4" t="inlineStr">
        <is>
          <t>养老</t>
        </is>
      </c>
      <c r="D178" s="7" t="n">
        <v>1135.8</v>
      </c>
      <c r="F178" s="7" t="n">
        <v>518.2</v>
      </c>
      <c r="H178" s="7" t="n">
        <v>1326.8</v>
      </c>
      <c r="J178" s="7" t="n">
        <v>1330</v>
      </c>
      <c r="L178" s="7" t="n">
        <v>1024.3</v>
      </c>
      <c r="N178" s="7" t="n">
        <v>1852.6</v>
      </c>
      <c r="P178" s="7" t="n">
        <v>523.4</v>
      </c>
      <c r="R178" s="7" t="n">
        <v>417.7</v>
      </c>
      <c r="T178" s="7" t="n">
        <v>1399</v>
      </c>
      <c r="V178" s="7" t="n">
        <v>615.5</v>
      </c>
      <c r="X178" s="7" t="n">
        <v>1332.1</v>
      </c>
      <c r="Z178" s="7" t="n">
        <v>637.5</v>
      </c>
      <c r="AB178" s="7" t="n">
        <v>12112.9</v>
      </c>
    </row>
    <row r="179">
      <c r="A179" s="4" t="inlineStr">
        <is>
          <t>医疗</t>
        </is>
      </c>
      <c r="D179" s="7" t="n">
        <v>70.09999999999999</v>
      </c>
      <c r="F179" s="7" t="n">
        <v>55.7</v>
      </c>
      <c r="H179" s="7" t="n">
        <v>89.90000000000001</v>
      </c>
      <c r="J179" s="7" t="n">
        <v>115.9</v>
      </c>
      <c r="L179" s="7" t="n">
        <v>79.90000000000001</v>
      </c>
      <c r="N179" s="7" t="n">
        <v>151.8</v>
      </c>
      <c r="P179" s="7" t="n">
        <v>64</v>
      </c>
      <c r="R179" s="7" t="n">
        <v>40.5</v>
      </c>
      <c r="T179" s="7" t="n">
        <v>89.2</v>
      </c>
      <c r="V179" s="7" t="n">
        <v>43.8</v>
      </c>
      <c r="X179" s="7" t="n">
        <v>90</v>
      </c>
      <c r="Z179" s="7" t="n">
        <v>56.9</v>
      </c>
      <c r="AB179" s="7" t="n">
        <v>947.7</v>
      </c>
    </row>
    <row r="180">
      <c r="A180" s="4" t="inlineStr">
        <is>
          <t>工伤</t>
        </is>
      </c>
      <c r="D180" s="7" t="n">
        <v>1137.3</v>
      </c>
      <c r="F180" s="7" t="n">
        <v>538</v>
      </c>
      <c r="H180" s="7" t="n">
        <v>1033.1</v>
      </c>
      <c r="J180" s="7" t="n">
        <v>1800.3</v>
      </c>
      <c r="L180" s="7" t="n">
        <v>1228.1</v>
      </c>
      <c r="N180" s="7" t="n">
        <v>1143.3</v>
      </c>
      <c r="P180" s="7" t="n">
        <v>733.4</v>
      </c>
      <c r="R180" s="7" t="n">
        <v>557.1</v>
      </c>
      <c r="T180" s="7" t="n">
        <v>1289.9</v>
      </c>
      <c r="V180" s="7" t="n">
        <v>602.8</v>
      </c>
      <c r="X180" s="7" t="n">
        <v>1682.4</v>
      </c>
      <c r="Z180" s="7" t="n">
        <v>621.3</v>
      </c>
      <c r="AB180" s="7" t="n">
        <v>12367</v>
      </c>
    </row>
    <row r="181">
      <c r="A181" s="4" t="inlineStr">
        <is>
          <t>失业</t>
        </is>
      </c>
      <c r="D181" s="7" t="n">
        <v>588.8</v>
      </c>
      <c r="F181" s="7" t="n">
        <v>624.4</v>
      </c>
      <c r="H181" s="7" t="n">
        <v>821.4</v>
      </c>
      <c r="J181" s="7" t="n">
        <v>974.8</v>
      </c>
      <c r="L181" s="7" t="n">
        <v>857.6</v>
      </c>
      <c r="N181" s="7" t="n">
        <v>888.9</v>
      </c>
      <c r="P181" s="7" t="n">
        <v>541.3</v>
      </c>
      <c r="R181" s="7" t="n">
        <v>406.7</v>
      </c>
      <c r="T181" s="7" t="n">
        <v>701</v>
      </c>
      <c r="V181" s="7" t="n">
        <v>365.9</v>
      </c>
      <c r="X181" s="7" t="n">
        <v>806.9</v>
      </c>
      <c r="Z181" s="7" t="n">
        <v>348.1</v>
      </c>
      <c r="AB181" s="7" t="n">
        <v>7925.8</v>
      </c>
    </row>
    <row r="182">
      <c r="A182" s="4" t="inlineStr">
        <is>
          <t>生育</t>
        </is>
      </c>
      <c r="D182" s="7" t="n">
        <v>215.1</v>
      </c>
      <c r="F182" s="7" t="n">
        <v>162.8</v>
      </c>
      <c r="H182" s="7" t="n">
        <v>154.7</v>
      </c>
      <c r="J182" s="7" t="n">
        <v>196.2</v>
      </c>
      <c r="L182" s="7" t="n">
        <v>222.4</v>
      </c>
      <c r="N182" s="7" t="n">
        <v>228.3</v>
      </c>
      <c r="P182" s="7" t="n">
        <v>142.8</v>
      </c>
      <c r="R182" s="7" t="n">
        <v>105.8</v>
      </c>
      <c r="T182" s="7" t="n">
        <v>317.1</v>
      </c>
      <c r="V182" s="7" t="n">
        <v>65.5</v>
      </c>
      <c r="X182" s="7" t="n">
        <v>178.7</v>
      </c>
      <c r="Z182" s="7" t="n">
        <v>114.3</v>
      </c>
      <c r="AB182" s="7" t="n">
        <v>2103.7</v>
      </c>
    </row>
    <row r="183">
      <c r="A183" s="4" t="inlineStr">
        <is>
          <t>公积金</t>
        </is>
      </c>
      <c r="D183" s="7" t="n">
        <v>1487.8</v>
      </c>
      <c r="F183" s="7" t="n">
        <v>836.8</v>
      </c>
      <c r="H183" s="7" t="n">
        <v>1668.7</v>
      </c>
      <c r="J183" s="7" t="n">
        <v>2469.6</v>
      </c>
      <c r="L183" s="7" t="n">
        <v>1801.5</v>
      </c>
      <c r="N183" s="7" t="n">
        <v>2703.6</v>
      </c>
      <c r="P183" s="7" t="n">
        <v>1085.9</v>
      </c>
      <c r="R183" s="7" t="n">
        <v>530.3</v>
      </c>
      <c r="T183" s="7" t="n">
        <v>1542.5</v>
      </c>
      <c r="V183" s="7" t="n">
        <v>798.1</v>
      </c>
      <c r="X183" s="7" t="n">
        <v>1586</v>
      </c>
      <c r="Z183" s="7" t="n">
        <v>849.2</v>
      </c>
      <c r="AB183" s="7" t="n">
        <v>17360</v>
      </c>
    </row>
    <row r="184">
      <c r="A184" s="4" t="inlineStr">
        <is>
          <t>工会经费</t>
        </is>
      </c>
      <c r="D184" s="7" t="n">
        <v>97.90000000000001</v>
      </c>
      <c r="F184" s="7" t="n">
        <v>124.9</v>
      </c>
      <c r="H184" s="7" t="n">
        <v>101.6</v>
      </c>
      <c r="J184" s="7" t="n">
        <v>221.3</v>
      </c>
      <c r="L184" s="7" t="n">
        <v>144.5</v>
      </c>
      <c r="N184" s="7" t="n">
        <v>150.4</v>
      </c>
      <c r="P184" s="7" t="n">
        <v>64.59999999999999</v>
      </c>
      <c r="R184" s="7" t="n">
        <v>57.8</v>
      </c>
      <c r="T184" s="7" t="n">
        <v>189.3</v>
      </c>
      <c r="V184" s="7" t="n">
        <v>65.40000000000001</v>
      </c>
      <c r="X184" s="7" t="n">
        <v>147.7</v>
      </c>
      <c r="Z184" s="7" t="n">
        <v>89.2</v>
      </c>
      <c r="AB184" s="7" t="n">
        <v>1454.6</v>
      </c>
    </row>
    <row r="185">
      <c r="A185" s="4" t="inlineStr">
        <is>
          <t>职工教育经费</t>
        </is>
      </c>
      <c r="D185" s="7" t="n">
        <v>784.9</v>
      </c>
      <c r="F185" s="7" t="n">
        <v>640.2</v>
      </c>
      <c r="H185" s="7" t="n">
        <v>1193.5</v>
      </c>
      <c r="J185" s="7" t="n">
        <v>1713</v>
      </c>
      <c r="L185" s="7" t="n">
        <v>945.8</v>
      </c>
      <c r="N185" s="7" t="n">
        <v>1246.3</v>
      </c>
      <c r="P185" s="7" t="n">
        <v>453.9</v>
      </c>
      <c r="R185" s="7" t="n">
        <v>389.3</v>
      </c>
      <c r="T185" s="7" t="n">
        <v>1136.3</v>
      </c>
      <c r="V185" s="7" t="n">
        <v>389</v>
      </c>
      <c r="X185" s="7" t="n">
        <v>1380.2</v>
      </c>
      <c r="Z185" s="7" t="n">
        <v>660.9</v>
      </c>
      <c r="AB185" s="7" t="n">
        <v>10933.3</v>
      </c>
    </row>
    <row r="186">
      <c r="A186" s="4" t="inlineStr">
        <is>
          <t>福利费</t>
        </is>
      </c>
      <c r="D186" s="7" t="n">
        <v>4181.5</v>
      </c>
      <c r="F186" s="7" t="n">
        <v>3602.4</v>
      </c>
      <c r="H186" s="7" t="n">
        <v>5114.5</v>
      </c>
      <c r="J186" s="7" t="n">
        <v>6065.2</v>
      </c>
      <c r="L186" s="7" t="n">
        <v>6302.6</v>
      </c>
      <c r="N186" s="7" t="n">
        <v>6444.3</v>
      </c>
      <c r="P186" s="7" t="n">
        <v>2877.9</v>
      </c>
      <c r="R186" s="7" t="n">
        <v>2259.5</v>
      </c>
      <c r="T186" s="7" t="n">
        <v>5617</v>
      </c>
      <c r="V186" s="7" t="n">
        <v>2224</v>
      </c>
      <c r="X186" s="7" t="n">
        <v>5628.8</v>
      </c>
      <c r="Z186" s="7" t="n">
        <v>2037.2</v>
      </c>
      <c r="AB186" s="7" t="n">
        <v>52354.9</v>
      </c>
    </row>
    <row r="187">
      <c r="A187" s="4" t="inlineStr">
        <is>
          <t>职工房租</t>
        </is>
      </c>
      <c r="D187" s="7" t="n">
        <v>813.9</v>
      </c>
      <c r="F187" s="7" t="n">
        <v>589.7</v>
      </c>
      <c r="H187" s="7" t="n">
        <v>774.3</v>
      </c>
      <c r="J187" s="7" t="n">
        <v>1081.9</v>
      </c>
      <c r="L187" s="7" t="n">
        <v>1158.3</v>
      </c>
      <c r="N187" s="7" t="n">
        <v>921.3</v>
      </c>
      <c r="P187" s="7" t="n">
        <v>523.6</v>
      </c>
      <c r="R187" s="7" t="n">
        <v>251.5</v>
      </c>
      <c r="T187" s="7" t="n">
        <v>721.3</v>
      </c>
      <c r="V187" s="7" t="n">
        <v>315.9</v>
      </c>
      <c r="X187" s="7" t="n">
        <v>1081</v>
      </c>
      <c r="Z187" s="7" t="n">
        <v>388.8</v>
      </c>
      <c r="AB187" s="7" t="n">
        <v>8621.5</v>
      </c>
    </row>
    <row r="188">
      <c r="A188" s="4" t="inlineStr">
        <is>
          <t>水电物业费</t>
        </is>
      </c>
      <c r="D188" s="7" t="n">
        <v>976.9</v>
      </c>
      <c r="F188" s="7" t="n">
        <v>1147.8</v>
      </c>
      <c r="H188" s="7" t="n">
        <v>1646.8</v>
      </c>
      <c r="J188" s="7" t="n">
        <v>1342.2</v>
      </c>
      <c r="L188" s="7" t="n">
        <v>1987.8</v>
      </c>
      <c r="N188" s="7" t="n">
        <v>1562.8</v>
      </c>
      <c r="P188" s="7" t="n">
        <v>917</v>
      </c>
      <c r="R188" s="7" t="n">
        <v>815.7</v>
      </c>
      <c r="T188" s="7" t="n">
        <v>1718.9</v>
      </c>
      <c r="V188" s="7" t="n">
        <v>740.7</v>
      </c>
      <c r="X188" s="7" t="n">
        <v>2012.6</v>
      </c>
      <c r="Z188" s="7" t="n">
        <v>514.2</v>
      </c>
      <c r="AB188" s="7" t="n">
        <v>15383.4</v>
      </c>
    </row>
    <row r="189">
      <c r="A189" s="4" t="inlineStr">
        <is>
          <t>员工餐</t>
        </is>
      </c>
      <c r="D189" s="7" t="n">
        <v>504.6</v>
      </c>
      <c r="F189" s="7" t="n">
        <v>308.6</v>
      </c>
      <c r="H189" s="7" t="n">
        <v>535.9</v>
      </c>
      <c r="J189" s="7" t="n">
        <v>602</v>
      </c>
      <c r="L189" s="7" t="n">
        <v>556.3</v>
      </c>
      <c r="N189" s="7" t="n">
        <v>771.4</v>
      </c>
      <c r="P189" s="7" t="n">
        <v>248.2</v>
      </c>
      <c r="R189" s="7" t="n">
        <v>272.2</v>
      </c>
      <c r="T189" s="7" t="n">
        <v>489.9</v>
      </c>
      <c r="V189" s="7" t="n">
        <v>225.7</v>
      </c>
      <c r="X189" s="7" t="n">
        <v>423.4</v>
      </c>
      <c r="Z189" s="7" t="n">
        <v>203.5</v>
      </c>
      <c r="AB189" s="7" t="n">
        <v>5141.7</v>
      </c>
    </row>
    <row r="190">
      <c r="A190" s="4" t="inlineStr">
        <is>
          <t>节日礼品</t>
        </is>
      </c>
      <c r="D190" s="7" t="n">
        <v>725.5</v>
      </c>
      <c r="F190" s="7" t="n">
        <v>706.4</v>
      </c>
      <c r="H190" s="7" t="n">
        <v>1001.2</v>
      </c>
      <c r="J190" s="7" t="n">
        <v>1384.9</v>
      </c>
      <c r="L190" s="7" t="n">
        <v>964.3</v>
      </c>
      <c r="N190" s="7" t="n">
        <v>1462.8</v>
      </c>
      <c r="P190" s="7" t="n">
        <v>481</v>
      </c>
      <c r="R190" s="7" t="n">
        <v>291.4</v>
      </c>
      <c r="T190" s="7" t="n">
        <v>1226.2</v>
      </c>
      <c r="V190" s="7" t="n">
        <v>361.6</v>
      </c>
      <c r="X190" s="7" t="n">
        <v>738.9</v>
      </c>
      <c r="Z190" s="7" t="n">
        <v>309.9</v>
      </c>
      <c r="AB190" s="7" t="n">
        <v>9654.1</v>
      </c>
    </row>
    <row r="191">
      <c r="A191" s="4" t="inlineStr">
        <is>
          <t>生日礼品</t>
        </is>
      </c>
      <c r="D191" s="7" t="n">
        <v>654.5</v>
      </c>
      <c r="F191" s="7" t="n">
        <v>414.1</v>
      </c>
      <c r="H191" s="7" t="n">
        <v>530.6</v>
      </c>
      <c r="J191" s="7" t="n">
        <v>520.7</v>
      </c>
      <c r="L191" s="7" t="n">
        <v>788.9</v>
      </c>
      <c r="N191" s="7" t="n">
        <v>882</v>
      </c>
      <c r="P191" s="7" t="n">
        <v>271.1</v>
      </c>
      <c r="R191" s="7" t="n">
        <v>266.9</v>
      </c>
      <c r="T191" s="7" t="n">
        <v>588.4</v>
      </c>
      <c r="V191" s="7" t="n">
        <v>195.9</v>
      </c>
      <c r="X191" s="7" t="n">
        <v>658.3</v>
      </c>
      <c r="Z191" s="7" t="n">
        <v>212.8</v>
      </c>
      <c r="AB191" s="7" t="n">
        <v>5984.2</v>
      </c>
    </row>
    <row r="192">
      <c r="A192" s="4" t="inlineStr">
        <is>
          <t>体检</t>
        </is>
      </c>
      <c r="D192" s="7" t="n">
        <v>384.2</v>
      </c>
      <c r="F192" s="7" t="n">
        <v>382.2</v>
      </c>
      <c r="H192" s="7" t="n">
        <v>530.5</v>
      </c>
      <c r="J192" s="7" t="n">
        <v>996.7</v>
      </c>
      <c r="L192" s="7" t="n">
        <v>736.3</v>
      </c>
      <c r="N192" s="7" t="n">
        <v>716.4</v>
      </c>
      <c r="P192" s="7" t="n">
        <v>356.4</v>
      </c>
      <c r="R192" s="7" t="n">
        <v>305.4</v>
      </c>
      <c r="T192" s="7" t="n">
        <v>742.2</v>
      </c>
      <c r="V192" s="7" t="n">
        <v>349.6</v>
      </c>
      <c r="X192" s="7" t="n">
        <v>597</v>
      </c>
      <c r="Z192" s="7" t="n">
        <v>367.6</v>
      </c>
      <c r="AB192" s="7" t="n">
        <v>6464.5</v>
      </c>
    </row>
    <row r="193">
      <c r="A193" s="4" t="inlineStr">
        <is>
          <t>其他福利支出</t>
        </is>
      </c>
      <c r="D193" s="7" t="n">
        <v>121.9</v>
      </c>
      <c r="F193" s="7" t="n">
        <v>53.6</v>
      </c>
      <c r="H193" s="7" t="n">
        <v>95.2</v>
      </c>
      <c r="J193" s="7" t="n">
        <v>136.8</v>
      </c>
      <c r="L193" s="7" t="n">
        <v>110.7</v>
      </c>
      <c r="N193" s="7" t="n">
        <v>127.6</v>
      </c>
      <c r="P193" s="7" t="n">
        <v>80.59999999999999</v>
      </c>
      <c r="R193" s="7" t="n">
        <v>56.4</v>
      </c>
      <c r="T193" s="7" t="n">
        <v>130.1</v>
      </c>
      <c r="V193" s="7" t="n">
        <v>34.6</v>
      </c>
      <c r="X193" s="7" t="n">
        <v>117.6</v>
      </c>
      <c r="Z193" s="7" t="n">
        <v>40.4</v>
      </c>
      <c r="AB193" s="7" t="n">
        <v>1105.5</v>
      </c>
    </row>
    <row r="194">
      <c r="A194" s="4" t="inlineStr">
        <is>
          <t>招聘费</t>
        </is>
      </c>
      <c r="D194" s="7" t="n">
        <v>1118.2</v>
      </c>
      <c r="F194" s="7" t="n">
        <v>731.3</v>
      </c>
      <c r="H194" s="7" t="n">
        <v>869</v>
      </c>
      <c r="J194" s="7" t="n">
        <v>1137.9</v>
      </c>
      <c r="L194" s="7" t="n">
        <v>1161.8</v>
      </c>
      <c r="N194" s="7" t="n">
        <v>1816.1</v>
      </c>
      <c r="P194" s="7" t="n">
        <v>795.2</v>
      </c>
      <c r="R194" s="7" t="n">
        <v>613.2</v>
      </c>
      <c r="T194" s="7" t="n">
        <v>1332.3</v>
      </c>
      <c r="V194" s="7" t="n">
        <v>660.5</v>
      </c>
      <c r="X194" s="7" t="n">
        <v>1034.4</v>
      </c>
      <c r="Z194" s="7" t="n">
        <v>519.1</v>
      </c>
      <c r="AB194" s="7" t="n">
        <v>11789</v>
      </c>
    </row>
    <row r="195">
      <c r="A195" s="4" t="inlineStr">
        <is>
          <t>办公费</t>
        </is>
      </c>
      <c r="D195" s="7" t="n">
        <v>6943.5</v>
      </c>
      <c r="F195" s="7" t="n">
        <v>4576.3</v>
      </c>
      <c r="H195" s="7" t="n">
        <v>7305.7</v>
      </c>
      <c r="J195" s="7" t="n">
        <v>8920.1</v>
      </c>
      <c r="L195" s="7" t="n">
        <v>11864.2</v>
      </c>
      <c r="N195" s="7" t="n">
        <v>10306.7</v>
      </c>
      <c r="P195" s="7" t="n">
        <v>6088.3</v>
      </c>
      <c r="R195" s="7" t="n">
        <v>4687.1</v>
      </c>
      <c r="T195" s="7" t="n">
        <v>12293.8</v>
      </c>
      <c r="V195" s="7" t="n">
        <v>3861.5</v>
      </c>
      <c r="X195" s="7" t="n">
        <v>10644.3</v>
      </c>
      <c r="Z195" s="7" t="n">
        <v>3496.2</v>
      </c>
      <c r="AB195" s="7" t="n">
        <v>90987.7</v>
      </c>
    </row>
    <row r="196">
      <c r="A196" s="4" t="inlineStr">
        <is>
          <t>市内交通费</t>
        </is>
      </c>
      <c r="D196" s="7" t="n">
        <v>241</v>
      </c>
      <c r="F196" s="7" t="n">
        <v>210.3</v>
      </c>
      <c r="H196" s="7" t="n">
        <v>374.1</v>
      </c>
      <c r="J196" s="7" t="n">
        <v>578.7</v>
      </c>
      <c r="L196" s="7" t="n">
        <v>345.1</v>
      </c>
      <c r="N196" s="7" t="n">
        <v>520.9</v>
      </c>
      <c r="P196" s="7" t="n">
        <v>174.4</v>
      </c>
      <c r="R196" s="7" t="n">
        <v>184.9</v>
      </c>
      <c r="T196" s="7" t="n">
        <v>442.6</v>
      </c>
      <c r="V196" s="7" t="n">
        <v>155.9</v>
      </c>
      <c r="X196" s="7" t="n">
        <v>307.6</v>
      </c>
      <c r="Z196" s="7" t="n">
        <v>166.4</v>
      </c>
      <c r="AB196" s="7" t="n">
        <v>3701.9</v>
      </c>
    </row>
    <row r="197">
      <c r="A197" s="4" t="inlineStr">
        <is>
          <t>差旅费</t>
        </is>
      </c>
      <c r="D197" s="7" t="n">
        <v>11068.5</v>
      </c>
      <c r="F197" s="7" t="n">
        <v>12749.2</v>
      </c>
      <c r="H197" s="7" t="n">
        <v>17522.2</v>
      </c>
      <c r="J197" s="7" t="n">
        <v>15901.7</v>
      </c>
      <c r="L197" s="7" t="n">
        <v>19294.4</v>
      </c>
      <c r="N197" s="7" t="n">
        <v>24655.6</v>
      </c>
      <c r="P197" s="7" t="n">
        <v>12031.4</v>
      </c>
      <c r="R197" s="7" t="n">
        <v>9311.700000000001</v>
      </c>
      <c r="T197" s="7" t="n">
        <v>18032.5</v>
      </c>
      <c r="V197" s="7" t="n">
        <v>7249.8</v>
      </c>
      <c r="X197" s="7" t="n">
        <v>23732.7</v>
      </c>
      <c r="Z197" s="7" t="n">
        <v>9141.1</v>
      </c>
      <c r="AB197" s="7" t="n">
        <v>180690.8</v>
      </c>
    </row>
    <row r="198">
      <c r="A198" s="4" t="inlineStr">
        <is>
          <t>交通费</t>
        </is>
      </c>
      <c r="D198" s="7" t="n">
        <v>346.7</v>
      </c>
      <c r="F198" s="7" t="n">
        <v>404.4</v>
      </c>
      <c r="H198" s="7" t="n">
        <v>362.1</v>
      </c>
      <c r="J198" s="7" t="n">
        <v>543.6</v>
      </c>
      <c r="L198" s="7" t="n">
        <v>632.4</v>
      </c>
      <c r="N198" s="7" t="n">
        <v>628.4</v>
      </c>
      <c r="P198" s="7" t="n">
        <v>351.5</v>
      </c>
      <c r="R198" s="7" t="n">
        <v>218.2</v>
      </c>
      <c r="T198" s="7" t="n">
        <v>498.8</v>
      </c>
      <c r="V198" s="7" t="n">
        <v>194.9</v>
      </c>
      <c r="X198" s="7" t="n">
        <v>547.9</v>
      </c>
      <c r="Z198" s="7" t="n">
        <v>303.3</v>
      </c>
      <c r="AB198" s="7" t="n">
        <v>5032.2</v>
      </c>
    </row>
    <row r="199">
      <c r="A199" s="4" t="inlineStr">
        <is>
          <t>住宿费</t>
        </is>
      </c>
      <c r="D199" s="7" t="n">
        <v>987</v>
      </c>
      <c r="F199" s="7" t="n">
        <v>875.2</v>
      </c>
      <c r="H199" s="7" t="n">
        <v>1172.5</v>
      </c>
      <c r="J199" s="7" t="n">
        <v>1789.1</v>
      </c>
      <c r="L199" s="7" t="n">
        <v>1357.3</v>
      </c>
      <c r="N199" s="7" t="n">
        <v>1185.4</v>
      </c>
      <c r="P199" s="7" t="n">
        <v>734.4</v>
      </c>
      <c r="R199" s="7" t="n">
        <v>550.9</v>
      </c>
      <c r="T199" s="7" t="n">
        <v>1132.7</v>
      </c>
      <c r="V199" s="7" t="n">
        <v>582.8</v>
      </c>
      <c r="X199" s="7" t="n">
        <v>1169.2</v>
      </c>
      <c r="Z199" s="7" t="n">
        <v>604</v>
      </c>
      <c r="AB199" s="7" t="n">
        <v>12140.5</v>
      </c>
    </row>
    <row r="200">
      <c r="A200" s="4" t="inlineStr">
        <is>
          <t>餐补</t>
        </is>
      </c>
      <c r="D200" s="7" t="n">
        <v>804.8</v>
      </c>
      <c r="F200" s="7" t="n">
        <v>362.1</v>
      </c>
      <c r="H200" s="7" t="n">
        <v>646</v>
      </c>
      <c r="J200" s="7" t="n">
        <v>772.1</v>
      </c>
      <c r="L200" s="7" t="n">
        <v>641.4</v>
      </c>
      <c r="N200" s="7" t="n">
        <v>1171.4</v>
      </c>
      <c r="P200" s="7" t="n">
        <v>521.4</v>
      </c>
      <c r="R200" s="7" t="n">
        <v>252.3</v>
      </c>
      <c r="T200" s="7" t="n">
        <v>949.4</v>
      </c>
      <c r="V200" s="7" t="n">
        <v>430.6</v>
      </c>
      <c r="X200" s="7" t="n">
        <v>741.7</v>
      </c>
      <c r="Z200" s="7" t="n">
        <v>386.9</v>
      </c>
      <c r="AB200" s="7" t="n">
        <v>7680.1</v>
      </c>
    </row>
    <row r="201">
      <c r="A201" s="4" t="inlineStr">
        <is>
          <t>交通补助</t>
        </is>
      </c>
      <c r="D201" s="7" t="n">
        <v>936.8</v>
      </c>
      <c r="F201" s="7" t="n">
        <v>777</v>
      </c>
      <c r="H201" s="7" t="n">
        <v>756.9</v>
      </c>
      <c r="J201" s="7" t="n">
        <v>1113.6</v>
      </c>
      <c r="L201" s="7" t="n">
        <v>1019</v>
      </c>
      <c r="N201" s="7" t="n">
        <v>1583.9</v>
      </c>
      <c r="P201" s="7" t="n">
        <v>574.8</v>
      </c>
      <c r="R201" s="7" t="n">
        <v>353.6</v>
      </c>
      <c r="T201" s="7" t="n">
        <v>989.3</v>
      </c>
      <c r="V201" s="7" t="n">
        <v>577.9</v>
      </c>
      <c r="X201" s="7" t="n">
        <v>956.1</v>
      </c>
      <c r="Z201" s="7" t="n">
        <v>576.4</v>
      </c>
      <c r="AB201" s="7" t="n">
        <v>10215.3</v>
      </c>
    </row>
    <row r="202">
      <c r="A202" s="4" t="inlineStr">
        <is>
          <t>通讯补助</t>
        </is>
      </c>
      <c r="D202" s="7" t="n">
        <v>813.1</v>
      </c>
      <c r="F202" s="7" t="n">
        <v>595.2</v>
      </c>
      <c r="H202" s="7" t="n">
        <v>1115.5</v>
      </c>
      <c r="J202" s="7" t="n">
        <v>1321.1</v>
      </c>
      <c r="L202" s="7" t="n">
        <v>1262.2</v>
      </c>
      <c r="N202" s="7" t="n">
        <v>1525.8</v>
      </c>
      <c r="P202" s="7" t="n">
        <v>551.7</v>
      </c>
      <c r="R202" s="7" t="n">
        <v>395.2</v>
      </c>
      <c r="T202" s="7" t="n">
        <v>1522.3</v>
      </c>
      <c r="V202" s="7" t="n">
        <v>325.4</v>
      </c>
      <c r="X202" s="7" t="n">
        <v>1068.7</v>
      </c>
      <c r="Z202" s="7" t="n">
        <v>488.4</v>
      </c>
      <c r="AB202" s="7" t="n">
        <v>10984.6</v>
      </c>
    </row>
    <row r="203">
      <c r="A203" s="4" t="inlineStr">
        <is>
          <t>招待费</t>
        </is>
      </c>
      <c r="D203" s="7" t="n">
        <v>10143.8</v>
      </c>
      <c r="F203" s="7" t="n">
        <v>9089.5</v>
      </c>
      <c r="H203" s="7" t="n">
        <v>7976.9</v>
      </c>
      <c r="J203" s="7" t="n">
        <v>16003.4</v>
      </c>
      <c r="L203" s="7" t="n">
        <v>10076.6</v>
      </c>
      <c r="N203" s="7" t="n">
        <v>11432.1</v>
      </c>
      <c r="P203" s="7" t="n">
        <v>4812.6</v>
      </c>
      <c r="R203" s="7" t="n">
        <v>3851.1</v>
      </c>
      <c r="T203" s="7" t="n">
        <v>14176.2</v>
      </c>
      <c r="V203" s="7" t="n">
        <v>6300.5</v>
      </c>
      <c r="X203" s="7" t="n">
        <v>11407.4</v>
      </c>
      <c r="Z203" s="7" t="n">
        <v>5980.1</v>
      </c>
      <c r="AB203" s="7" t="n">
        <v>111250.2</v>
      </c>
    </row>
    <row r="204">
      <c r="A204" s="4" t="inlineStr">
        <is>
          <t>通讯费</t>
        </is>
      </c>
      <c r="D204" s="7" t="n">
        <v>1402.2</v>
      </c>
      <c r="F204" s="7" t="n">
        <v>1116.2</v>
      </c>
      <c r="H204" s="7" t="n">
        <v>1994.3</v>
      </c>
      <c r="J204" s="7" t="n">
        <v>2246.5</v>
      </c>
      <c r="L204" s="7" t="n">
        <v>2117.3</v>
      </c>
      <c r="N204" s="7" t="n">
        <v>2504.6</v>
      </c>
      <c r="P204" s="7" t="n">
        <v>1123.7</v>
      </c>
      <c r="R204" s="7" t="n">
        <v>727.7</v>
      </c>
      <c r="T204" s="7" t="n">
        <v>1767.7</v>
      </c>
      <c r="V204" s="7" t="n">
        <v>948.4</v>
      </c>
      <c r="X204" s="7" t="n">
        <v>2569.8</v>
      </c>
      <c r="Z204" s="7" t="n">
        <v>801.3</v>
      </c>
      <c r="AB204" s="7" t="n">
        <v>19319.7</v>
      </c>
    </row>
    <row r="205">
      <c r="A205" s="4" t="inlineStr">
        <is>
          <t>网络费</t>
        </is>
      </c>
      <c r="D205" s="7" t="n">
        <v>229.5</v>
      </c>
      <c r="F205" s="7" t="n">
        <v>119.6</v>
      </c>
      <c r="H205" s="7" t="n">
        <v>173.3</v>
      </c>
      <c r="J205" s="7" t="n">
        <v>290.7</v>
      </c>
      <c r="L205" s="7" t="n">
        <v>252.8</v>
      </c>
      <c r="N205" s="7" t="n">
        <v>214</v>
      </c>
      <c r="P205" s="7" t="n">
        <v>148</v>
      </c>
      <c r="R205" s="7" t="n">
        <v>76.8</v>
      </c>
      <c r="T205" s="7" t="n">
        <v>191.7</v>
      </c>
      <c r="V205" s="7" t="n">
        <v>78.3</v>
      </c>
      <c r="X205" s="7" t="n">
        <v>215.2</v>
      </c>
      <c r="Z205" s="7" t="n">
        <v>77.59999999999999</v>
      </c>
      <c r="AB205" s="7" t="n">
        <v>2067.5</v>
      </c>
    </row>
    <row r="206">
      <c r="A206" s="4" t="inlineStr">
        <is>
          <t>修理费</t>
        </is>
      </c>
      <c r="D206" s="7" t="n">
        <v>1390.9</v>
      </c>
      <c r="F206" s="7" t="n">
        <v>942.6</v>
      </c>
      <c r="H206" s="7" t="n">
        <v>1790.2</v>
      </c>
      <c r="J206" s="7" t="n">
        <v>2226.7</v>
      </c>
      <c r="L206" s="7" t="n">
        <v>1313.2</v>
      </c>
      <c r="N206" s="7" t="n">
        <v>2561.6</v>
      </c>
      <c r="P206" s="7" t="n">
        <v>922.8</v>
      </c>
      <c r="R206" s="7" t="n">
        <v>765.5</v>
      </c>
      <c r="T206" s="7" t="n">
        <v>2231.7</v>
      </c>
      <c r="V206" s="7" t="n">
        <v>732.6</v>
      </c>
      <c r="X206" s="7" t="n">
        <v>1401.5</v>
      </c>
      <c r="Z206" s="7" t="n">
        <v>780.1</v>
      </c>
      <c r="AB206" s="7" t="n">
        <v>17059.4</v>
      </c>
    </row>
    <row r="207">
      <c r="A207" s="4" t="inlineStr">
        <is>
          <t>车辆费</t>
        </is>
      </c>
      <c r="D207" s="7" t="n">
        <v>350.1</v>
      </c>
      <c r="F207" s="7" t="n">
        <v>178.2</v>
      </c>
      <c r="H207" s="7" t="n">
        <v>417.4</v>
      </c>
      <c r="J207" s="7" t="n">
        <v>508.4</v>
      </c>
      <c r="L207" s="7" t="n">
        <v>407.7</v>
      </c>
      <c r="N207" s="7" t="n">
        <v>656.9</v>
      </c>
      <c r="P207" s="7" t="n">
        <v>177.6</v>
      </c>
      <c r="R207" s="7" t="n">
        <v>138</v>
      </c>
      <c r="T207" s="7" t="n">
        <v>489.2</v>
      </c>
      <c r="V207" s="7" t="n">
        <v>213.1</v>
      </c>
      <c r="X207" s="7" t="n">
        <v>532.4</v>
      </c>
      <c r="Z207" s="7" t="n">
        <v>154.3</v>
      </c>
      <c r="AB207" s="7" t="n">
        <v>4223.3</v>
      </c>
    </row>
    <row r="208">
      <c r="A208" s="4" t="inlineStr">
        <is>
          <t>租赁费</t>
        </is>
      </c>
      <c r="D208" s="7" t="n">
        <v>12590.1</v>
      </c>
      <c r="F208" s="7" t="n">
        <v>9297.9</v>
      </c>
      <c r="H208" s="7" t="n">
        <v>10819.5</v>
      </c>
      <c r="J208" s="7" t="n">
        <v>14528.6</v>
      </c>
      <c r="L208" s="7" t="n">
        <v>17210.5</v>
      </c>
      <c r="N208" s="7" t="n">
        <v>17432.7</v>
      </c>
      <c r="P208" s="7" t="n">
        <v>7278.6</v>
      </c>
      <c r="R208" s="7" t="n">
        <v>5211.1</v>
      </c>
      <c r="T208" s="7" t="n">
        <v>13486.9</v>
      </c>
      <c r="V208" s="7" t="n">
        <v>5428</v>
      </c>
      <c r="X208" s="7" t="n">
        <v>12161.6</v>
      </c>
      <c r="Z208" s="7" t="n">
        <v>6886.5</v>
      </c>
      <c r="AB208" s="7" t="n">
        <v>132332</v>
      </c>
    </row>
    <row r="209">
      <c r="A209" s="4" t="inlineStr">
        <is>
          <t>能源费</t>
        </is>
      </c>
      <c r="D209" s="7" t="n">
        <v>3277.6</v>
      </c>
      <c r="F209" s="7" t="n">
        <v>2392.3</v>
      </c>
      <c r="H209" s="7" t="n">
        <v>2938.5</v>
      </c>
      <c r="J209" s="7" t="n">
        <v>3334.4</v>
      </c>
      <c r="L209" s="7" t="n">
        <v>3811</v>
      </c>
      <c r="N209" s="7" t="n">
        <v>4367.2</v>
      </c>
      <c r="P209" s="7" t="n">
        <v>1883</v>
      </c>
      <c r="R209" s="7" t="n">
        <v>1179.6</v>
      </c>
      <c r="T209" s="7" t="n">
        <v>3730.9</v>
      </c>
      <c r="V209" s="7" t="n">
        <v>1404.2</v>
      </c>
      <c r="X209" s="7" t="n">
        <v>4000.3</v>
      </c>
      <c r="Z209" s="7" t="n">
        <v>1591.4</v>
      </c>
      <c r="AB209" s="7" t="n">
        <v>33910.4</v>
      </c>
    </row>
    <row r="210">
      <c r="A210" s="4" t="inlineStr">
        <is>
          <t>水费</t>
        </is>
      </c>
      <c r="D210" s="7" t="n">
        <v>1326.7</v>
      </c>
      <c r="F210" s="7" t="n">
        <v>972.6</v>
      </c>
      <c r="H210" s="7" t="n">
        <v>1101.7</v>
      </c>
      <c r="J210" s="7" t="n">
        <v>1146.4</v>
      </c>
      <c r="L210" s="7" t="n">
        <v>1537.6</v>
      </c>
      <c r="N210" s="7" t="n">
        <v>1780</v>
      </c>
      <c r="P210" s="7" t="n">
        <v>883.7</v>
      </c>
      <c r="R210" s="7" t="n">
        <v>458.2</v>
      </c>
      <c r="T210" s="7" t="n">
        <v>1556</v>
      </c>
      <c r="V210" s="7" t="n">
        <v>488.1</v>
      </c>
      <c r="X210" s="7" t="n">
        <v>1244.1</v>
      </c>
      <c r="Z210" s="7" t="n">
        <v>463.6</v>
      </c>
      <c r="AB210" s="7" t="n">
        <v>12958.7</v>
      </c>
    </row>
    <row r="211">
      <c r="A211" s="4" t="inlineStr">
        <is>
          <t>电费</t>
        </is>
      </c>
      <c r="D211" s="7" t="n">
        <v>533.2</v>
      </c>
      <c r="F211" s="7" t="n">
        <v>457.9</v>
      </c>
      <c r="H211" s="7" t="n">
        <v>673.9</v>
      </c>
      <c r="J211" s="7" t="n">
        <v>755.5</v>
      </c>
      <c r="L211" s="7" t="n">
        <v>661.6</v>
      </c>
      <c r="N211" s="7" t="n">
        <v>976.7</v>
      </c>
      <c r="P211" s="7" t="n">
        <v>445.5</v>
      </c>
      <c r="R211" s="7" t="n">
        <v>263.4</v>
      </c>
      <c r="T211" s="7" t="n">
        <v>810</v>
      </c>
      <c r="V211" s="7" t="n">
        <v>321.1</v>
      </c>
      <c r="X211" s="7" t="n">
        <v>816.9</v>
      </c>
      <c r="Z211" s="7" t="n">
        <v>358.6</v>
      </c>
      <c r="AB211" s="7" t="n">
        <v>7074.3</v>
      </c>
    </row>
    <row r="212">
      <c r="A212" s="4" t="inlineStr">
        <is>
          <t>燃气费</t>
        </is>
      </c>
      <c r="D212" s="7" t="n">
        <v>94.8</v>
      </c>
      <c r="F212" s="7" t="n">
        <v>65.90000000000001</v>
      </c>
      <c r="H212" s="7" t="n">
        <v>99.5</v>
      </c>
      <c r="J212" s="7" t="n">
        <v>131.6</v>
      </c>
      <c r="L212" s="7" t="n">
        <v>116.4</v>
      </c>
      <c r="N212" s="7" t="n">
        <v>170.5</v>
      </c>
      <c r="P212" s="7" t="n">
        <v>57.9</v>
      </c>
      <c r="R212" s="7" t="n">
        <v>60</v>
      </c>
      <c r="T212" s="7" t="n">
        <v>202.5</v>
      </c>
      <c r="V212" s="7" t="n">
        <v>81</v>
      </c>
      <c r="X212" s="7" t="n">
        <v>131</v>
      </c>
      <c r="Z212" s="7" t="n">
        <v>60.8</v>
      </c>
      <c r="AB212" s="7" t="n">
        <v>1271.9</v>
      </c>
    </row>
    <row r="213">
      <c r="A213" s="4" t="inlineStr">
        <is>
          <t>蒸汽费</t>
        </is>
      </c>
      <c r="D213" s="7" t="n">
        <v>1322.9</v>
      </c>
      <c r="F213" s="7" t="n">
        <v>895.9</v>
      </c>
      <c r="H213" s="7" t="n">
        <v>1063.4</v>
      </c>
      <c r="J213" s="7" t="n">
        <v>1300.9</v>
      </c>
      <c r="L213" s="7" t="n">
        <v>1495.4</v>
      </c>
      <c r="N213" s="7" t="n">
        <v>1440</v>
      </c>
      <c r="P213" s="7" t="n">
        <v>495.9</v>
      </c>
      <c r="R213" s="7" t="n">
        <v>398</v>
      </c>
      <c r="T213" s="7" t="n">
        <v>1162.4</v>
      </c>
      <c r="V213" s="7" t="n">
        <v>514</v>
      </c>
      <c r="X213" s="7" t="n">
        <v>1808.3</v>
      </c>
      <c r="Z213" s="7" t="n">
        <v>708.4</v>
      </c>
      <c r="AB213" s="7" t="n">
        <v>12605.5</v>
      </c>
    </row>
    <row r="214">
      <c r="A214" s="4" t="inlineStr">
        <is>
          <t>物业费</t>
        </is>
      </c>
      <c r="D214" s="7" t="n">
        <v>1128</v>
      </c>
      <c r="F214" s="7" t="n">
        <v>1198.9</v>
      </c>
      <c r="H214" s="7" t="n">
        <v>2073.1</v>
      </c>
      <c r="J214" s="7" t="n">
        <v>2495.5</v>
      </c>
      <c r="L214" s="7" t="n">
        <v>2381.5</v>
      </c>
      <c r="N214" s="7" t="n">
        <v>2923.3</v>
      </c>
      <c r="P214" s="7" t="n">
        <v>783.9</v>
      </c>
      <c r="R214" s="7" t="n">
        <v>560.3</v>
      </c>
      <c r="T214" s="7" t="n">
        <v>2379.6</v>
      </c>
      <c r="V214" s="7" t="n">
        <v>727.2</v>
      </c>
      <c r="X214" s="7" t="n">
        <v>2505.2</v>
      </c>
      <c r="Z214" s="7" t="n">
        <v>868.7</v>
      </c>
      <c r="AB214" s="7" t="n">
        <v>20025.2</v>
      </c>
    </row>
    <row r="215">
      <c r="A215" s="4" t="inlineStr">
        <is>
          <t>劳动保护费</t>
        </is>
      </c>
      <c r="D215" s="7" t="n">
        <v>311.3</v>
      </c>
      <c r="F215" s="7" t="n">
        <v>343.5</v>
      </c>
      <c r="H215" s="7" t="n">
        <v>359.3</v>
      </c>
      <c r="J215" s="7" t="n">
        <v>706.9</v>
      </c>
      <c r="L215" s="7" t="n">
        <v>480.2</v>
      </c>
      <c r="N215" s="7" t="n">
        <v>650.7</v>
      </c>
      <c r="P215" s="7" t="n">
        <v>269.5</v>
      </c>
      <c r="R215" s="7" t="n">
        <v>157.5</v>
      </c>
      <c r="T215" s="7" t="n">
        <v>600.8</v>
      </c>
      <c r="V215" s="7" t="n">
        <v>218.6</v>
      </c>
      <c r="X215" s="7" t="n">
        <v>488.9</v>
      </c>
      <c r="Z215" s="7" t="n">
        <v>164.4</v>
      </c>
      <c r="AB215" s="7" t="n">
        <v>4751.6</v>
      </c>
    </row>
    <row r="216">
      <c r="A216" s="4" t="inlineStr">
        <is>
          <t>顾问费</t>
        </is>
      </c>
      <c r="D216" s="7" t="n">
        <v>1568.1</v>
      </c>
      <c r="F216" s="7" t="n">
        <v>1386.9</v>
      </c>
      <c r="H216" s="7" t="n">
        <v>1961.2</v>
      </c>
      <c r="J216" s="7" t="n">
        <v>2345.2</v>
      </c>
      <c r="L216" s="7" t="n">
        <v>2152.6</v>
      </c>
      <c r="N216" s="7" t="n">
        <v>1871.6</v>
      </c>
      <c r="P216" s="7" t="n">
        <v>822.4</v>
      </c>
      <c r="R216" s="7" t="n">
        <v>789.9</v>
      </c>
      <c r="T216" s="7" t="n">
        <v>2629.2</v>
      </c>
      <c r="V216" s="7" t="n">
        <v>596</v>
      </c>
      <c r="X216" s="7" t="n">
        <v>2222.6</v>
      </c>
      <c r="Z216" s="7" t="n">
        <v>905.3</v>
      </c>
      <c r="AB216" s="7" t="n">
        <v>19251</v>
      </c>
    </row>
    <row r="217">
      <c r="A217" s="4" t="inlineStr">
        <is>
          <t>快递费</t>
        </is>
      </c>
      <c r="D217" s="7" t="n">
        <v>1155.5</v>
      </c>
      <c r="F217" s="7" t="n">
        <v>1252.2</v>
      </c>
      <c r="H217" s="7" t="n">
        <v>2155.6</v>
      </c>
      <c r="J217" s="7" t="n">
        <v>2393</v>
      </c>
      <c r="L217" s="7" t="n">
        <v>2368.5</v>
      </c>
      <c r="N217" s="7" t="n">
        <v>2970.6</v>
      </c>
      <c r="P217" s="7" t="n">
        <v>1197.8</v>
      </c>
      <c r="R217" s="7" t="n">
        <v>910.5</v>
      </c>
      <c r="T217" s="7" t="n">
        <v>1990.7</v>
      </c>
      <c r="V217" s="7" t="n">
        <v>612.7</v>
      </c>
      <c r="X217" s="7" t="n">
        <v>2038</v>
      </c>
      <c r="Z217" s="7" t="n">
        <v>1009.8</v>
      </c>
      <c r="AB217" s="7" t="n">
        <v>20054.9</v>
      </c>
    </row>
    <row r="218">
      <c r="A218" s="4" t="inlineStr">
        <is>
          <t>诉讼费</t>
        </is>
      </c>
      <c r="D218" s="7" t="n">
        <v>803.7</v>
      </c>
      <c r="F218" s="7" t="n">
        <v>818.8</v>
      </c>
      <c r="H218" s="7" t="n">
        <v>1102.7</v>
      </c>
      <c r="J218" s="7" t="n">
        <v>1294.9</v>
      </c>
      <c r="L218" s="7" t="n">
        <v>1030.4</v>
      </c>
      <c r="N218" s="7" t="n">
        <v>1497.9</v>
      </c>
      <c r="P218" s="7" t="n">
        <v>547.7</v>
      </c>
      <c r="R218" s="7" t="n">
        <v>455.6</v>
      </c>
      <c r="T218" s="7" t="n">
        <v>1152.7</v>
      </c>
      <c r="V218" s="7" t="n">
        <v>574.1</v>
      </c>
      <c r="X218" s="7" t="n">
        <v>1405.2</v>
      </c>
      <c r="Z218" s="7" t="n">
        <v>365.2</v>
      </c>
      <c r="AB218" s="7" t="n">
        <v>11048.9</v>
      </c>
    </row>
    <row r="219">
      <c r="A219" s="4" t="inlineStr">
        <is>
          <t>会员费</t>
        </is>
      </c>
      <c r="D219" s="7" t="n">
        <v>1325.4</v>
      </c>
      <c r="F219" s="7" t="n">
        <v>900.8</v>
      </c>
      <c r="H219" s="7" t="n">
        <v>1132.9</v>
      </c>
      <c r="J219" s="7" t="n">
        <v>1993.4</v>
      </c>
      <c r="L219" s="7" t="n">
        <v>1072.3</v>
      </c>
      <c r="N219" s="7" t="n">
        <v>1454.6</v>
      </c>
      <c r="P219" s="7" t="n">
        <v>560.7</v>
      </c>
      <c r="R219" s="7" t="n">
        <v>673.7</v>
      </c>
      <c r="T219" s="7" t="n">
        <v>1676.8</v>
      </c>
      <c r="V219" s="7" t="n">
        <v>533.4</v>
      </c>
      <c r="X219" s="7" t="n">
        <v>1530.9</v>
      </c>
      <c r="Z219" s="7" t="n">
        <v>633.9</v>
      </c>
      <c r="AB219" s="7" t="n">
        <v>13488.8</v>
      </c>
    </row>
    <row r="220">
      <c r="A220" s="4" t="inlineStr">
        <is>
          <t>广告宣传费</t>
        </is>
      </c>
      <c r="D220" s="7" t="n">
        <v>9016.200000000001</v>
      </c>
      <c r="F220" s="7" t="n">
        <v>5022</v>
      </c>
      <c r="H220" s="7" t="n">
        <v>10203.3</v>
      </c>
      <c r="J220" s="7" t="n">
        <v>13693.7</v>
      </c>
      <c r="L220" s="7" t="n">
        <v>7634.2</v>
      </c>
      <c r="N220" s="7" t="n">
        <v>10509.5</v>
      </c>
      <c r="P220" s="7" t="n">
        <v>5260.8</v>
      </c>
      <c r="R220" s="7" t="n">
        <v>4188.1</v>
      </c>
      <c r="T220" s="7" t="n">
        <v>12698.4</v>
      </c>
      <c r="V220" s="7" t="n">
        <v>3903.5</v>
      </c>
      <c r="X220" s="7" t="n">
        <v>13085.9</v>
      </c>
      <c r="Z220" s="7" t="n">
        <v>4572.9</v>
      </c>
      <c r="AB220" s="7" t="n">
        <v>99788.5</v>
      </c>
    </row>
    <row r="221">
      <c r="A221" s="4" t="inlineStr">
        <is>
          <t>会务费</t>
        </is>
      </c>
      <c r="D221" s="7" t="n">
        <v>1235.3</v>
      </c>
      <c r="F221" s="7" t="n">
        <v>1193</v>
      </c>
      <c r="H221" s="7" t="n">
        <v>1806.1</v>
      </c>
      <c r="J221" s="7" t="n">
        <v>2477.4</v>
      </c>
      <c r="L221" s="7" t="n">
        <v>1794.7</v>
      </c>
      <c r="N221" s="7" t="n">
        <v>2117.9</v>
      </c>
      <c r="P221" s="7" t="n">
        <v>918.1</v>
      </c>
      <c r="R221" s="7" t="n">
        <v>561.4</v>
      </c>
      <c r="T221" s="7" t="n">
        <v>1947.9</v>
      </c>
      <c r="V221" s="7" t="n">
        <v>852.7</v>
      </c>
      <c r="X221" s="7" t="n">
        <v>2097.5</v>
      </c>
      <c r="Z221" s="7" t="n">
        <v>778.7</v>
      </c>
      <c r="AB221" s="7" t="n">
        <v>17780.7</v>
      </c>
    </row>
    <row r="222">
      <c r="A222" s="4" t="inlineStr">
        <is>
          <t>装修费</t>
        </is>
      </c>
      <c r="D222" s="7" t="n">
        <v>1250</v>
      </c>
      <c r="F222" s="7" t="n">
        <v>854.4</v>
      </c>
      <c r="H222" s="7" t="n">
        <v>1687.8</v>
      </c>
      <c r="J222" s="7" t="n">
        <v>1689.3</v>
      </c>
      <c r="L222" s="7" t="n">
        <v>2108</v>
      </c>
      <c r="N222" s="7" t="n">
        <v>2027.2</v>
      </c>
      <c r="P222" s="7" t="n">
        <v>999.8</v>
      </c>
      <c r="R222" s="7" t="n">
        <v>522.8</v>
      </c>
      <c r="T222" s="7" t="n">
        <v>1644.7</v>
      </c>
      <c r="V222" s="7" t="n">
        <v>608.1</v>
      </c>
      <c r="X222" s="7" t="n">
        <v>2016</v>
      </c>
      <c r="Z222" s="7" t="n">
        <v>511.7</v>
      </c>
      <c r="AB222" s="7" t="n">
        <v>15919.8</v>
      </c>
    </row>
    <row r="223">
      <c r="A223" s="4" t="inlineStr">
        <is>
          <t>推广费</t>
        </is>
      </c>
      <c r="D223" s="7" t="n">
        <v>994.5</v>
      </c>
      <c r="F223" s="7" t="n">
        <v>931.6</v>
      </c>
      <c r="H223" s="7" t="n">
        <v>1412.6</v>
      </c>
      <c r="J223" s="7" t="n">
        <v>1208.5</v>
      </c>
      <c r="L223" s="7" t="n">
        <v>951</v>
      </c>
      <c r="N223" s="7" t="n">
        <v>1912.1</v>
      </c>
      <c r="P223" s="7" t="n">
        <v>684</v>
      </c>
      <c r="R223" s="7" t="n">
        <v>390.9</v>
      </c>
      <c r="T223" s="7" t="n">
        <v>1155</v>
      </c>
      <c r="V223" s="7" t="n">
        <v>389</v>
      </c>
      <c r="X223" s="7" t="n">
        <v>1808.8</v>
      </c>
      <c r="Z223" s="7" t="n">
        <v>460.3</v>
      </c>
      <c r="AB223" s="7" t="n">
        <v>12298.3</v>
      </c>
    </row>
    <row r="224">
      <c r="A224" s="4" t="inlineStr">
        <is>
          <t>展会费</t>
        </is>
      </c>
      <c r="D224" s="7" t="n">
        <v>775.3</v>
      </c>
      <c r="F224" s="7" t="n">
        <v>504.4</v>
      </c>
      <c r="H224" s="7" t="n">
        <v>548.8</v>
      </c>
      <c r="J224" s="7" t="n">
        <v>1120.4</v>
      </c>
      <c r="L224" s="7" t="n">
        <v>614.9</v>
      </c>
      <c r="N224" s="7" t="n">
        <v>740.8</v>
      </c>
      <c r="P224" s="7" t="n">
        <v>334.2</v>
      </c>
      <c r="R224" s="7" t="n">
        <v>263</v>
      </c>
      <c r="T224" s="7" t="n">
        <v>1085.3</v>
      </c>
      <c r="V224" s="7" t="n">
        <v>246.5</v>
      </c>
      <c r="X224" s="7" t="n">
        <v>769.5</v>
      </c>
      <c r="Z224" s="7" t="n">
        <v>438.8</v>
      </c>
      <c r="AB224" s="7" t="n">
        <v>7441.9</v>
      </c>
    </row>
    <row r="225">
      <c r="A225" s="4" t="inlineStr">
        <is>
          <t>设计费</t>
        </is>
      </c>
      <c r="D225" s="7" t="n">
        <v>616.3</v>
      </c>
      <c r="F225" s="7" t="n">
        <v>481.4</v>
      </c>
      <c r="H225" s="7" t="n">
        <v>841.5</v>
      </c>
      <c r="J225" s="7" t="n">
        <v>861.9</v>
      </c>
      <c r="L225" s="7" t="n">
        <v>834.3</v>
      </c>
      <c r="N225" s="7" t="n">
        <v>883.6</v>
      </c>
      <c r="P225" s="7" t="n">
        <v>430.1</v>
      </c>
      <c r="R225" s="7" t="n">
        <v>354.9</v>
      </c>
      <c r="T225" s="7" t="n">
        <v>954.8</v>
      </c>
      <c r="V225" s="7" t="n">
        <v>368.5</v>
      </c>
      <c r="X225" s="7" t="n">
        <v>680.3</v>
      </c>
      <c r="Z225" s="7" t="n">
        <v>356.9</v>
      </c>
      <c r="AB225" s="7" t="n">
        <v>7664.5</v>
      </c>
    </row>
    <row r="226">
      <c r="A226" s="4" t="inlineStr">
        <is>
          <t>折旧费</t>
        </is>
      </c>
      <c r="D226" s="7" t="n">
        <v>7004.5</v>
      </c>
      <c r="F226" s="7" t="n">
        <v>6590.3</v>
      </c>
      <c r="H226" s="7" t="n">
        <v>7815</v>
      </c>
      <c r="J226" s="7" t="n">
        <v>15862.1</v>
      </c>
      <c r="L226" s="7" t="n">
        <v>15736</v>
      </c>
      <c r="N226" s="7" t="n">
        <v>14403.9</v>
      </c>
      <c r="P226" s="7" t="n">
        <v>6649.2</v>
      </c>
      <c r="R226" s="7" t="n">
        <v>3694.6</v>
      </c>
      <c r="T226" s="7" t="n">
        <v>15567.6</v>
      </c>
      <c r="V226" s="7" t="n">
        <v>5343.8</v>
      </c>
      <c r="X226" s="7" t="n">
        <v>12351.8</v>
      </c>
      <c r="Z226" s="7" t="n">
        <v>6654.5</v>
      </c>
      <c r="AB226" s="7" t="n">
        <v>117673.3</v>
      </c>
    </row>
    <row r="227">
      <c r="A227" s="4" t="inlineStr">
        <is>
          <t>认证费</t>
        </is>
      </c>
      <c r="D227" s="7" t="n">
        <v>561</v>
      </c>
      <c r="F227" s="7" t="n">
        <v>429.6</v>
      </c>
      <c r="H227" s="7" t="n">
        <v>867.5</v>
      </c>
      <c r="J227" s="7" t="n">
        <v>1415.1</v>
      </c>
      <c r="L227" s="7" t="n">
        <v>1023.9</v>
      </c>
      <c r="N227" s="7" t="n">
        <v>1277.2</v>
      </c>
      <c r="P227" s="7" t="n">
        <v>391.6</v>
      </c>
      <c r="R227" s="7" t="n">
        <v>444</v>
      </c>
      <c r="T227" s="7" t="n">
        <v>1269.5</v>
      </c>
      <c r="V227" s="7" t="n">
        <v>502.1</v>
      </c>
      <c r="X227" s="7" t="n">
        <v>1060.6</v>
      </c>
      <c r="Z227" s="7" t="n">
        <v>479.3</v>
      </c>
      <c r="AB227" s="7" t="n">
        <v>9721.4</v>
      </c>
    </row>
    <row r="228">
      <c r="A228" s="4" t="inlineStr">
        <is>
          <t>样品费</t>
        </is>
      </c>
      <c r="D228" s="7" t="n">
        <v>4115.7</v>
      </c>
      <c r="F228" s="7" t="n">
        <v>4768.1</v>
      </c>
      <c r="H228" s="7" t="n">
        <v>3918.3</v>
      </c>
      <c r="J228" s="7" t="n">
        <v>6271.1</v>
      </c>
      <c r="L228" s="7" t="n">
        <v>7542</v>
      </c>
      <c r="N228" s="7" t="n">
        <v>9389.299999999999</v>
      </c>
      <c r="P228" s="7" t="n">
        <v>2696.1</v>
      </c>
      <c r="R228" s="7" t="n">
        <v>2303.9</v>
      </c>
      <c r="T228" s="7" t="n">
        <v>4938</v>
      </c>
      <c r="V228" s="7" t="n">
        <v>1936.5</v>
      </c>
      <c r="X228" s="7" t="n">
        <v>8257.9</v>
      </c>
      <c r="Z228" s="7" t="n">
        <v>3030.8</v>
      </c>
      <c r="AB228" s="7" t="n">
        <v>59167.7</v>
      </c>
    </row>
    <row r="229">
      <c r="A229" s="4" t="inlineStr">
        <is>
          <t>劳务费</t>
        </is>
      </c>
      <c r="D229" s="7" t="n">
        <v>1444.5</v>
      </c>
      <c r="F229" s="7" t="n">
        <v>1134.8</v>
      </c>
      <c r="H229" s="7" t="n">
        <v>1631</v>
      </c>
      <c r="J229" s="7" t="n">
        <v>2428.2</v>
      </c>
      <c r="L229" s="7" t="n">
        <v>1850.5</v>
      </c>
      <c r="N229" s="7" t="n">
        <v>2980.2</v>
      </c>
      <c r="P229" s="7" t="n">
        <v>1088.3</v>
      </c>
      <c r="R229" s="7" t="n">
        <v>544.5</v>
      </c>
      <c r="T229" s="7" t="n">
        <v>2255.1</v>
      </c>
      <c r="V229" s="7" t="n">
        <v>855.3</v>
      </c>
      <c r="X229" s="7" t="n">
        <v>2069.1</v>
      </c>
      <c r="Z229" s="7" t="n">
        <v>987.6</v>
      </c>
      <c r="AB229" s="7" t="n">
        <v>19269.1</v>
      </c>
    </row>
    <row r="230">
      <c r="A230" s="4" t="inlineStr">
        <is>
          <t>销售佣金</t>
        </is>
      </c>
      <c r="D230" s="7" t="n">
        <v>373.8</v>
      </c>
      <c r="F230" s="7" t="n">
        <v>310.7</v>
      </c>
      <c r="H230" s="7" t="n">
        <v>470.1</v>
      </c>
      <c r="J230" s="7" t="n">
        <v>521.5</v>
      </c>
      <c r="L230" s="7" t="n">
        <v>493.2</v>
      </c>
      <c r="N230" s="7" t="n">
        <v>895.5</v>
      </c>
      <c r="P230" s="7" t="n">
        <v>256.1</v>
      </c>
      <c r="R230" s="7" t="n">
        <v>232.3</v>
      </c>
      <c r="T230" s="7" t="n">
        <v>473.1</v>
      </c>
      <c r="V230" s="7" t="n">
        <v>279.4</v>
      </c>
      <c r="X230" s="7" t="n">
        <v>772.5</v>
      </c>
      <c r="Z230" s="7" t="n">
        <v>310.2</v>
      </c>
      <c r="AB230" s="7" t="n">
        <v>5388.4</v>
      </c>
    </row>
    <row r="231">
      <c r="A231" s="4" t="inlineStr">
        <is>
          <t>检测费</t>
        </is>
      </c>
      <c r="D231" s="7" t="n">
        <v>896.1</v>
      </c>
      <c r="F231" s="7" t="n">
        <v>757.7</v>
      </c>
      <c r="H231" s="7" t="n">
        <v>1245</v>
      </c>
      <c r="J231" s="7" t="n">
        <v>1989.7</v>
      </c>
      <c r="L231" s="7" t="n">
        <v>1977.3</v>
      </c>
      <c r="N231" s="7" t="n">
        <v>1641.6</v>
      </c>
      <c r="P231" s="7" t="n">
        <v>795.4</v>
      </c>
      <c r="R231" s="7" t="n">
        <v>690.9</v>
      </c>
      <c r="T231" s="7" t="n">
        <v>2208.4</v>
      </c>
      <c r="V231" s="7" t="n">
        <v>480.3</v>
      </c>
      <c r="X231" s="7" t="n">
        <v>1345.8</v>
      </c>
      <c r="Z231" s="7" t="n">
        <v>751.6</v>
      </c>
      <c r="AB231" s="7" t="n">
        <v>14779.8</v>
      </c>
    </row>
    <row r="232">
      <c r="A232" s="4" t="inlineStr">
        <is>
          <t>质量赔偿</t>
        </is>
      </c>
      <c r="D232" s="7" t="n">
        <v>1569</v>
      </c>
      <c r="F232" s="7" t="n">
        <v>1104.3</v>
      </c>
      <c r="H232" s="7" t="n">
        <v>1552.7</v>
      </c>
      <c r="J232" s="7" t="n">
        <v>2459.4</v>
      </c>
      <c r="L232" s="7" t="n">
        <v>1429.7</v>
      </c>
      <c r="N232" s="7" t="n">
        <v>2439.3</v>
      </c>
      <c r="P232" s="7" t="n">
        <v>1125.5</v>
      </c>
      <c r="R232" s="7" t="n">
        <v>816.8</v>
      </c>
      <c r="T232" s="7" t="n">
        <v>1657.7</v>
      </c>
      <c r="V232" s="7" t="n">
        <v>761.3</v>
      </c>
      <c r="X232" s="7" t="n">
        <v>1825.8</v>
      </c>
      <c r="Z232" s="7" t="n">
        <v>832.7</v>
      </c>
      <c r="AB232" s="7" t="n">
        <v>17574.2</v>
      </c>
    </row>
    <row r="233">
      <c r="A233" s="4" t="inlineStr">
        <is>
          <t>保险费</t>
        </is>
      </c>
      <c r="D233" s="7" t="n">
        <v>498.5</v>
      </c>
      <c r="F233" s="7" t="n">
        <v>438.7</v>
      </c>
      <c r="H233" s="7" t="n">
        <v>955.4</v>
      </c>
      <c r="J233" s="7" t="n">
        <v>896.3</v>
      </c>
      <c r="L233" s="7" t="n">
        <v>842.3</v>
      </c>
      <c r="N233" s="7" t="n">
        <v>1341.5</v>
      </c>
      <c r="P233" s="7" t="n">
        <v>559.5</v>
      </c>
      <c r="R233" s="7" t="n">
        <v>413</v>
      </c>
      <c r="T233" s="7" t="n">
        <v>747.9</v>
      </c>
      <c r="V233" s="7" t="n">
        <v>275</v>
      </c>
      <c r="X233" s="7" t="n">
        <v>978.6</v>
      </c>
      <c r="Z233" s="7" t="n">
        <v>394.6</v>
      </c>
      <c r="AB233" s="7" t="n">
        <v>8341.299999999999</v>
      </c>
    </row>
    <row r="234">
      <c r="A234" s="4" t="inlineStr">
        <is>
          <t>清洁费</t>
        </is>
      </c>
      <c r="D234" s="7" t="n">
        <v>924.8</v>
      </c>
      <c r="F234" s="7" t="n">
        <v>499.4</v>
      </c>
      <c r="H234" s="7" t="n">
        <v>682.2</v>
      </c>
      <c r="J234" s="7" t="n">
        <v>766.3</v>
      </c>
      <c r="L234" s="7" t="n">
        <v>1110.4</v>
      </c>
      <c r="N234" s="7" t="n">
        <v>918.7</v>
      </c>
      <c r="P234" s="7" t="n">
        <v>450.4</v>
      </c>
      <c r="R234" s="7" t="n">
        <v>368.8</v>
      </c>
      <c r="T234" s="7" t="n">
        <v>858.4</v>
      </c>
      <c r="V234" s="7" t="n">
        <v>287.4</v>
      </c>
      <c r="X234" s="7" t="n">
        <v>773.7</v>
      </c>
      <c r="Z234" s="7" t="n">
        <v>425.2</v>
      </c>
      <c r="AB234" s="7" t="n">
        <v>8065.7</v>
      </c>
    </row>
    <row r="235">
      <c r="A235" s="4" t="inlineStr">
        <is>
          <t>低值易耗品</t>
        </is>
      </c>
      <c r="D235" s="7" t="n">
        <v>13.2</v>
      </c>
      <c r="F235" s="7" t="n">
        <v>15.9</v>
      </c>
      <c r="H235" s="7" t="n">
        <v>15.3</v>
      </c>
      <c r="J235" s="7" t="n">
        <v>28.6</v>
      </c>
      <c r="L235" s="7" t="n">
        <v>25</v>
      </c>
      <c r="N235" s="7" t="n">
        <v>20</v>
      </c>
      <c r="P235" s="7" t="n">
        <v>14.6</v>
      </c>
      <c r="R235" s="7" t="n">
        <v>7</v>
      </c>
      <c r="T235" s="7" t="n">
        <v>32.1</v>
      </c>
      <c r="V235" s="7" t="n">
        <v>11.1</v>
      </c>
      <c r="X235" s="7" t="n">
        <v>29.4</v>
      </c>
      <c r="Z235" s="7" t="n">
        <v>7.7</v>
      </c>
      <c r="AB235" s="7" t="n">
        <v>219.9</v>
      </c>
    </row>
    <row r="236">
      <c r="A236" s="4" t="inlineStr">
        <is>
          <t>物料消耗</t>
        </is>
      </c>
      <c r="D236" s="7" t="n">
        <v>748.6</v>
      </c>
      <c r="F236" s="7" t="n">
        <v>436.8</v>
      </c>
      <c r="H236" s="7" t="n">
        <v>789.4</v>
      </c>
      <c r="J236" s="7" t="n">
        <v>1190.1</v>
      </c>
      <c r="L236" s="7" t="n">
        <v>1031.6</v>
      </c>
      <c r="N236" s="7" t="n">
        <v>1424.8</v>
      </c>
      <c r="P236" s="7" t="n">
        <v>398.3</v>
      </c>
      <c r="R236" s="7" t="n">
        <v>294.1</v>
      </c>
      <c r="T236" s="7" t="n">
        <v>1094.9</v>
      </c>
      <c r="V236" s="7" t="n">
        <v>472</v>
      </c>
      <c r="X236" s="7" t="n">
        <v>782</v>
      </c>
      <c r="Z236" s="7" t="n">
        <v>407</v>
      </c>
      <c r="AB236" s="7" t="n">
        <v>9069.6</v>
      </c>
    </row>
    <row r="237">
      <c r="A237" s="4" t="inlineStr">
        <is>
          <t>盘盈盘亏</t>
        </is>
      </c>
      <c r="D237" s="7" t="n">
        <v>1639.7</v>
      </c>
      <c r="F237" s="7" t="n">
        <v>1014.6</v>
      </c>
      <c r="H237" s="7" t="n">
        <v>2027.9</v>
      </c>
      <c r="J237" s="7" t="n">
        <v>2758.8</v>
      </c>
      <c r="L237" s="7" t="n">
        <v>1919.7</v>
      </c>
      <c r="N237" s="7" t="n">
        <v>2093.2</v>
      </c>
      <c r="P237" s="7" t="n">
        <v>901.8</v>
      </c>
      <c r="R237" s="7" t="n">
        <v>579.9</v>
      </c>
      <c r="T237" s="7" t="n">
        <v>2171.1</v>
      </c>
      <c r="V237" s="7" t="n">
        <v>986.2</v>
      </c>
      <c r="X237" s="7" t="n">
        <v>2565.2</v>
      </c>
      <c r="Z237" s="7" t="n">
        <v>601.7</v>
      </c>
      <c r="AB237" s="7" t="n">
        <v>19259.8</v>
      </c>
    </row>
    <row r="238">
      <c r="A238" s="4" t="inlineStr">
        <is>
          <t>平台服务费</t>
        </is>
      </c>
      <c r="D238" s="7" t="n">
        <v>1350.1</v>
      </c>
      <c r="F238" s="7" t="n">
        <v>760.4</v>
      </c>
      <c r="H238" s="7" t="n">
        <v>1273.9</v>
      </c>
      <c r="J238" s="7" t="n">
        <v>1902.1</v>
      </c>
      <c r="L238" s="7" t="n">
        <v>1636.5</v>
      </c>
      <c r="N238" s="7" t="n">
        <v>1323.7</v>
      </c>
      <c r="P238" s="7" t="n">
        <v>764.7</v>
      </c>
      <c r="R238" s="7" t="n">
        <v>629.5</v>
      </c>
      <c r="T238" s="7" t="n">
        <v>1899</v>
      </c>
      <c r="V238" s="7" t="n">
        <v>596.9</v>
      </c>
      <c r="X238" s="7" t="n">
        <v>1722.4</v>
      </c>
      <c r="Z238" s="7" t="n">
        <v>453.7</v>
      </c>
      <c r="AB238" s="7" t="n">
        <v>14312.9</v>
      </c>
    </row>
    <row r="239">
      <c r="A239" s="4" t="inlineStr">
        <is>
          <t>无形资产摊销</t>
        </is>
      </c>
      <c r="D239" s="7" t="n">
        <v>834.8</v>
      </c>
      <c r="F239" s="7" t="n">
        <v>844.6</v>
      </c>
      <c r="H239" s="7" t="n">
        <v>1024.8</v>
      </c>
      <c r="J239" s="7" t="n">
        <v>998.9</v>
      </c>
      <c r="L239" s="7" t="n">
        <v>939.5</v>
      </c>
      <c r="N239" s="7" t="n">
        <v>1141.7</v>
      </c>
      <c r="P239" s="7" t="n">
        <v>787.9</v>
      </c>
      <c r="R239" s="7" t="n">
        <v>376.4</v>
      </c>
      <c r="T239" s="7" t="n">
        <v>1489.7</v>
      </c>
      <c r="V239" s="7" t="n">
        <v>451.1</v>
      </c>
      <c r="X239" s="7" t="n">
        <v>1246.6</v>
      </c>
      <c r="Z239" s="7" t="n">
        <v>498.5</v>
      </c>
      <c r="AB239" s="7" t="n">
        <v>10634.5</v>
      </c>
    </row>
    <row r="240">
      <c r="A240" s="4" t="inlineStr">
        <is>
          <t>研发材料</t>
        </is>
      </c>
      <c r="D240" s="7" t="n">
        <v>1611.2</v>
      </c>
      <c r="F240" s="7" t="n">
        <v>862.2</v>
      </c>
      <c r="H240" s="7" t="n">
        <v>1468.8</v>
      </c>
      <c r="J240" s="7" t="n">
        <v>1678.3</v>
      </c>
      <c r="L240" s="7" t="n">
        <v>1513.7</v>
      </c>
      <c r="N240" s="7" t="n">
        <v>2599.1</v>
      </c>
      <c r="P240" s="7" t="n">
        <v>865.2</v>
      </c>
      <c r="R240" s="7" t="n">
        <v>600</v>
      </c>
      <c r="T240" s="7" t="n">
        <v>2261.7</v>
      </c>
      <c r="V240" s="7" t="n">
        <v>733.8</v>
      </c>
      <c r="X240" s="7" t="n">
        <v>2004.2</v>
      </c>
      <c r="Z240" s="7" t="n">
        <v>860.4</v>
      </c>
      <c r="AB240" s="7" t="n">
        <v>17058.6</v>
      </c>
    </row>
    <row r="241">
      <c r="A241" s="4" t="inlineStr">
        <is>
          <t>项目名称</t>
        </is>
      </c>
      <c r="D241" s="7" t="n">
        <v>1060</v>
      </c>
      <c r="F241" s="7" t="n">
        <v>765.7</v>
      </c>
      <c r="H241" s="7" t="n">
        <v>1059.1</v>
      </c>
      <c r="J241" s="7" t="n">
        <v>1059.9</v>
      </c>
      <c r="L241" s="7" t="n">
        <v>1275.2</v>
      </c>
      <c r="N241" s="7" t="n">
        <v>1391</v>
      </c>
      <c r="P241" s="7" t="n">
        <v>651.2</v>
      </c>
      <c r="R241" s="7" t="n">
        <v>521.1</v>
      </c>
      <c r="T241" s="7" t="n">
        <v>1180.7</v>
      </c>
      <c r="V241" s="7" t="n">
        <v>425.7</v>
      </c>
      <c r="X241" s="7" t="n">
        <v>1161</v>
      </c>
      <c r="Z241" s="7" t="n">
        <v>449.5</v>
      </c>
      <c r="AB241" s="7" t="n">
        <v>11000.1</v>
      </c>
    </row>
    <row r="242">
      <c r="A242" s="4" t="inlineStr">
        <is>
          <t>研发费</t>
        </is>
      </c>
      <c r="D242" s="7" t="n">
        <v>728.2</v>
      </c>
      <c r="F242" s="7" t="n">
        <v>773.6</v>
      </c>
      <c r="H242" s="7" t="n">
        <v>1139.2</v>
      </c>
      <c r="J242" s="7" t="n">
        <v>1239.1</v>
      </c>
      <c r="L242" s="7" t="n">
        <v>989.8</v>
      </c>
      <c r="N242" s="7" t="n">
        <v>1152</v>
      </c>
      <c r="P242" s="7" t="n">
        <v>653.8</v>
      </c>
      <c r="R242" s="7" t="n">
        <v>414.2</v>
      </c>
      <c r="T242" s="7" t="n">
        <v>1114.8</v>
      </c>
      <c r="V242" s="7" t="n">
        <v>360.2</v>
      </c>
      <c r="X242" s="7" t="n">
        <v>1089.7</v>
      </c>
      <c r="Z242" s="7" t="n">
        <v>478.4</v>
      </c>
      <c r="AB242" s="7" t="n">
        <v>10133</v>
      </c>
    </row>
    <row r="243">
      <c r="A243" s="4" t="inlineStr">
        <is>
          <t>残保金</t>
        </is>
      </c>
      <c r="D243" s="7" t="n">
        <v>1514.8</v>
      </c>
      <c r="F243" s="7" t="n">
        <v>729.3</v>
      </c>
      <c r="H243" s="7" t="n">
        <v>1591.6</v>
      </c>
      <c r="J243" s="7" t="n">
        <v>1563.9</v>
      </c>
      <c r="L243" s="7" t="n">
        <v>1811.9</v>
      </c>
      <c r="N243" s="7" t="n">
        <v>1788.2</v>
      </c>
      <c r="P243" s="7" t="n">
        <v>839.3</v>
      </c>
      <c r="R243" s="7" t="n">
        <v>547.5</v>
      </c>
      <c r="T243" s="7" t="n">
        <v>2076.4</v>
      </c>
      <c r="V243" s="7" t="n">
        <v>658.6</v>
      </c>
      <c r="X243" s="7" t="n">
        <v>1373.7</v>
      </c>
      <c r="Z243" s="7" t="n">
        <v>741.4</v>
      </c>
      <c r="AB243" s="7" t="n">
        <v>15236.6</v>
      </c>
    </row>
    <row r="244">
      <c r="A244" s="4" t="inlineStr">
        <is>
          <t>环保费</t>
        </is>
      </c>
      <c r="D244" s="7" t="n">
        <v>1515.8</v>
      </c>
      <c r="F244" s="7" t="n">
        <v>874</v>
      </c>
      <c r="H244" s="7" t="n">
        <v>1833.7</v>
      </c>
      <c r="J244" s="7" t="n">
        <v>2436.6</v>
      </c>
      <c r="L244" s="7" t="n">
        <v>1504.4</v>
      </c>
      <c r="N244" s="7" t="n">
        <v>2420.7</v>
      </c>
      <c r="P244" s="7" t="n">
        <v>931.5</v>
      </c>
      <c r="R244" s="7" t="n">
        <v>592.6</v>
      </c>
      <c r="T244" s="7" t="n">
        <v>1989.8</v>
      </c>
      <c r="V244" s="7" t="n">
        <v>617.4</v>
      </c>
      <c r="X244" s="7" t="n">
        <v>2027.9</v>
      </c>
      <c r="Z244" s="7" t="n">
        <v>761.8</v>
      </c>
      <c r="AB244" s="7" t="n">
        <v>17506.2</v>
      </c>
    </row>
    <row r="245">
      <c r="A245" s="4" t="inlineStr">
        <is>
          <t>报废损失</t>
        </is>
      </c>
      <c r="D245" s="7" t="n">
        <v>248.6</v>
      </c>
      <c r="F245" s="7" t="n">
        <v>151</v>
      </c>
      <c r="H245" s="7" t="n">
        <v>333.9</v>
      </c>
      <c r="J245" s="7" t="n">
        <v>403.5</v>
      </c>
      <c r="L245" s="7" t="n">
        <v>400.3</v>
      </c>
      <c r="N245" s="7" t="n">
        <v>260.8</v>
      </c>
      <c r="P245" s="7" t="n">
        <v>126.8</v>
      </c>
      <c r="R245" s="7" t="n">
        <v>147.2</v>
      </c>
      <c r="T245" s="7" t="n">
        <v>421.6</v>
      </c>
      <c r="V245" s="7" t="n">
        <v>116.3</v>
      </c>
      <c r="X245" s="7" t="n">
        <v>421.2</v>
      </c>
      <c r="Z245" s="7" t="n">
        <v>130.7</v>
      </c>
      <c r="AB245" s="7" t="n">
        <v>3161.9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5053.4</v>
      </c>
      <c r="D246" s="7" t="n">
        <v>1927.3</v>
      </c>
      <c r="E246" s="7" t="n">
        <v>4015.1</v>
      </c>
      <c r="F246" s="7" t="n">
        <v>9186.299999999999</v>
      </c>
      <c r="G246" s="7" t="n">
        <v>5117.1</v>
      </c>
      <c r="H246" s="7" t="n">
        <v>-20.2</v>
      </c>
      <c r="I246" s="7" t="n">
        <v>4324.9</v>
      </c>
      <c r="J246" s="7" t="n">
        <v>-3725.2</v>
      </c>
      <c r="K246" s="7" t="n">
        <v>4701.9</v>
      </c>
      <c r="L246" s="7" t="n">
        <v>5692.7</v>
      </c>
      <c r="M246" s="7" t="n">
        <v>4312.5</v>
      </c>
      <c r="N246" s="7" t="n">
        <v>19542.4</v>
      </c>
      <c r="O246" s="7" t="n">
        <v>5029.1</v>
      </c>
      <c r="P246" s="7" t="n">
        <v>9881.799999999999</v>
      </c>
      <c r="Q246" s="7" t="n">
        <v>5226.4</v>
      </c>
      <c r="R246" s="7" t="n">
        <v>6909.2</v>
      </c>
      <c r="S246" s="7" t="n">
        <v>4894.1</v>
      </c>
      <c r="T246" s="7" t="n">
        <v>4672.1</v>
      </c>
      <c r="U246" s="7" t="n">
        <v>4224.2</v>
      </c>
      <c r="V246" s="7" t="n">
        <v>-2013.9</v>
      </c>
      <c r="W246" s="7" t="n">
        <v>5178.5</v>
      </c>
      <c r="X246" s="7" t="n">
        <v>-472.4</v>
      </c>
      <c r="Y246" s="7" t="n">
        <v>4727</v>
      </c>
      <c r="Z246" s="7" t="n">
        <v>4033.4</v>
      </c>
      <c r="AA246" s="8" t="n">
        <v>56804.2</v>
      </c>
      <c r="AB246" s="8" t="n">
        <v>55613.5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-4901.4</v>
      </c>
      <c r="E248" s="7" t="n">
        <v>0</v>
      </c>
      <c r="F248" s="7" t="n">
        <v>-1623.9</v>
      </c>
      <c r="G248" s="7" t="n">
        <v>0</v>
      </c>
      <c r="H248" s="7" t="n">
        <v>1243.6</v>
      </c>
      <c r="I248" s="7" t="n">
        <v>0</v>
      </c>
      <c r="J248" s="7" t="n">
        <v>-2228.3</v>
      </c>
      <c r="K248" s="7" t="n">
        <v>0</v>
      </c>
      <c r="L248" s="7" t="n">
        <v>-702</v>
      </c>
      <c r="M248" s="7" t="n">
        <v>0</v>
      </c>
      <c r="N248" s="7" t="n">
        <v>-2695.1</v>
      </c>
      <c r="O248" s="7" t="n">
        <v>0</v>
      </c>
      <c r="P248" s="7" t="n">
        <v>1183.1</v>
      </c>
      <c r="Q248" s="7" t="n">
        <v>0</v>
      </c>
      <c r="R248" s="7" t="n">
        <v>706.2</v>
      </c>
      <c r="S248" s="7" t="n">
        <v>0</v>
      </c>
      <c r="T248" s="7" t="n">
        <v>-2332.6</v>
      </c>
      <c r="U248" s="7" t="n">
        <v>0</v>
      </c>
      <c r="V248" s="7" t="n">
        <v>526.2</v>
      </c>
      <c r="W248" s="7" t="n">
        <v>0</v>
      </c>
      <c r="X248" s="7" t="n">
        <v>3407.7</v>
      </c>
      <c r="Y248" s="7" t="n">
        <v>0</v>
      </c>
      <c r="Z248" s="7" t="n">
        <v>-3483</v>
      </c>
      <c r="AA248" s="7" t="n">
        <v>0</v>
      </c>
      <c r="AB248" s="7" t="n">
        <v>-10899.5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16369.9</v>
      </c>
      <c r="D253" s="7" t="n">
        <v>16611.3</v>
      </c>
      <c r="E253" s="7" t="n">
        <v>14443.9</v>
      </c>
      <c r="F253" s="7" t="n">
        <v>9501.5</v>
      </c>
      <c r="G253" s="7" t="n">
        <v>18140.9</v>
      </c>
      <c r="H253" s="7" t="n">
        <v>6596.2</v>
      </c>
      <c r="I253" s="7" t="n">
        <v>15061.7</v>
      </c>
      <c r="J253" s="7" t="n">
        <v>24171.3</v>
      </c>
      <c r="K253" s="7" t="n">
        <v>16238</v>
      </c>
      <c r="L253" s="7" t="n">
        <v>24753.6</v>
      </c>
      <c r="M253" s="7" t="n">
        <v>14788.9</v>
      </c>
      <c r="N253" s="7" t="n">
        <v>6094.2</v>
      </c>
      <c r="O253" s="7" t="n">
        <v>14827.8</v>
      </c>
      <c r="P253" s="7" t="n">
        <v>18488.9</v>
      </c>
      <c r="Q253" s="7" t="n">
        <v>15058.6</v>
      </c>
      <c r="R253" s="7" t="n">
        <v>28634.2</v>
      </c>
      <c r="S253" s="7" t="n">
        <v>14501.6</v>
      </c>
      <c r="T253" s="7" t="n">
        <v>2735.3</v>
      </c>
      <c r="U253" s="7" t="n">
        <v>15149.5</v>
      </c>
      <c r="V253" s="7" t="n">
        <v>22213.7</v>
      </c>
      <c r="W253" s="7" t="n">
        <v>15493.3</v>
      </c>
      <c r="X253" s="7" t="n">
        <v>29360.2</v>
      </c>
      <c r="Y253" s="7" t="n">
        <v>16830.4</v>
      </c>
      <c r="Z253" s="7" t="n">
        <v>8091.9</v>
      </c>
      <c r="AA253" s="7" t="n">
        <v>186904.5</v>
      </c>
      <c r="AB253" s="7" t="n">
        <v>197252.3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736150.6</v>
      </c>
      <c r="D254" s="7" t="n">
        <v>584581.3</v>
      </c>
      <c r="E254" s="7" t="n">
        <v>880789.8</v>
      </c>
      <c r="F254" s="7" t="n">
        <v>518875.4</v>
      </c>
      <c r="G254" s="7" t="n">
        <v>788260.3</v>
      </c>
      <c r="H254" s="7" t="n">
        <v>556249.3</v>
      </c>
      <c r="I254" s="7" t="n">
        <v>858926.6</v>
      </c>
      <c r="J254" s="7" t="n">
        <v>539391.2</v>
      </c>
      <c r="K254" s="7" t="n">
        <v>795945.4</v>
      </c>
      <c r="L254" s="7" t="n">
        <v>625244.6</v>
      </c>
      <c r="M254" s="7" t="n">
        <v>748089.3</v>
      </c>
      <c r="N254" s="7" t="n">
        <v>1178738</v>
      </c>
      <c r="O254" s="7" t="n">
        <v>790041.3</v>
      </c>
      <c r="P254" s="7" t="n">
        <v>1057555.4</v>
      </c>
      <c r="Q254" s="7" t="n">
        <v>817686.3</v>
      </c>
      <c r="R254" s="7" t="n">
        <v>1269253.3</v>
      </c>
      <c r="S254" s="7" t="n">
        <v>870456.1</v>
      </c>
      <c r="T254" s="7" t="n">
        <v>793486.3</v>
      </c>
      <c r="U254" s="7" t="n">
        <v>815532.7</v>
      </c>
      <c r="V254" s="7" t="n">
        <v>1033298.8</v>
      </c>
      <c r="W254" s="7" t="n">
        <v>760152.2</v>
      </c>
      <c r="X254" s="7" t="n">
        <v>747261.2</v>
      </c>
      <c r="Y254" s="7" t="n">
        <v>838506.4</v>
      </c>
      <c r="Z254" s="7" t="n">
        <v>579314.1</v>
      </c>
      <c r="AA254" s="8" t="n">
        <v>9700537</v>
      </c>
      <c r="AB254" s="8" t="n">
        <v>9483248.9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3004.8</v>
      </c>
      <c r="E255" s="7" t="n">
        <v>0</v>
      </c>
      <c r="F255" s="7" t="n">
        <v>3494.6</v>
      </c>
      <c r="G255" s="7" t="n">
        <v>0</v>
      </c>
      <c r="H255" s="7" t="n">
        <v>1888.3</v>
      </c>
      <c r="I255" s="7" t="n">
        <v>0</v>
      </c>
      <c r="J255" s="7" t="n">
        <v>3940.3</v>
      </c>
      <c r="K255" s="7" t="n">
        <v>0</v>
      </c>
      <c r="L255" s="7" t="n">
        <v>1035.7</v>
      </c>
      <c r="M255" s="7" t="n">
        <v>0</v>
      </c>
      <c r="N255" s="7" t="n">
        <v>1571.1</v>
      </c>
      <c r="O255" s="7" t="n">
        <v>0</v>
      </c>
      <c r="P255" s="7" t="n">
        <v>2025.5</v>
      </c>
      <c r="Q255" s="7" t="n">
        <v>0</v>
      </c>
      <c r="R255" s="7" t="n">
        <v>1243.8</v>
      </c>
      <c r="S255" s="7" t="n">
        <v>0</v>
      </c>
      <c r="T255" s="7" t="n">
        <v>1453.4</v>
      </c>
      <c r="U255" s="7" t="n">
        <v>0</v>
      </c>
      <c r="V255" s="7" t="n">
        <v>1154.5</v>
      </c>
      <c r="W255" s="7" t="n">
        <v>0</v>
      </c>
      <c r="X255" s="7" t="n">
        <v>3002.2</v>
      </c>
      <c r="Y255" s="7" t="n">
        <v>0</v>
      </c>
      <c r="Z255" s="7" t="n">
        <v>2348.6</v>
      </c>
      <c r="AA255" s="7" t="n">
        <v>0</v>
      </c>
      <c r="AB255" s="7" t="n">
        <v>26162.8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72.8</v>
      </c>
      <c r="E256" s="7" t="n">
        <v>0</v>
      </c>
      <c r="F256" s="7" t="n">
        <v>2805.8</v>
      </c>
      <c r="G256" s="7" t="n">
        <v>0</v>
      </c>
      <c r="H256" s="7" t="n">
        <v>732.2</v>
      </c>
      <c r="I256" s="7" t="n">
        <v>0</v>
      </c>
      <c r="J256" s="7" t="n">
        <v>2092.7</v>
      </c>
      <c r="K256" s="7" t="n">
        <v>0</v>
      </c>
      <c r="L256" s="7" t="n">
        <v>1356.7</v>
      </c>
      <c r="M256" s="7" t="n">
        <v>0</v>
      </c>
      <c r="N256" s="7" t="n">
        <v>2400.3</v>
      </c>
      <c r="O256" s="7" t="n">
        <v>0</v>
      </c>
      <c r="P256" s="7" t="n">
        <v>1166.6</v>
      </c>
      <c r="Q256" s="7" t="n">
        <v>0</v>
      </c>
      <c r="R256" s="7" t="n">
        <v>1035.6</v>
      </c>
      <c r="S256" s="7" t="n">
        <v>0</v>
      </c>
      <c r="T256" s="7" t="n">
        <v>1142.9</v>
      </c>
      <c r="U256" s="7" t="n">
        <v>0</v>
      </c>
      <c r="V256" s="7" t="n">
        <v>1472.9</v>
      </c>
      <c r="W256" s="7" t="n">
        <v>0</v>
      </c>
      <c r="X256" s="7" t="n">
        <v>2172.5</v>
      </c>
      <c r="Y256" s="7" t="n">
        <v>0</v>
      </c>
      <c r="Z256" s="7" t="n">
        <v>2727.6</v>
      </c>
      <c r="AA256" s="7" t="n">
        <v>0</v>
      </c>
      <c r="AB256" s="7" t="n">
        <v>19178.6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912322.1</v>
      </c>
      <c r="D257" s="7" t="n">
        <v>536582.6</v>
      </c>
      <c r="E257" s="7" t="n">
        <v>765252.1</v>
      </c>
      <c r="F257" s="7" t="n">
        <v>493442.8</v>
      </c>
      <c r="G257" s="7" t="n">
        <v>860047.2</v>
      </c>
      <c r="H257" s="7" t="n">
        <v>526051.3</v>
      </c>
      <c r="I257" s="7" t="n">
        <v>699541</v>
      </c>
      <c r="J257" s="7" t="n">
        <v>524999.7</v>
      </c>
      <c r="K257" s="7" t="n">
        <v>897171.8</v>
      </c>
      <c r="L257" s="7" t="n">
        <v>687406.3</v>
      </c>
      <c r="M257" s="7" t="n">
        <v>700116.4</v>
      </c>
      <c r="N257" s="7" t="n">
        <v>1173676.7</v>
      </c>
      <c r="O257" s="7" t="n">
        <v>844397.7</v>
      </c>
      <c r="P257" s="7" t="n">
        <v>987448.3</v>
      </c>
      <c r="Q257" s="7" t="n">
        <v>689991.3</v>
      </c>
      <c r="R257" s="7" t="n">
        <v>1359026.8</v>
      </c>
      <c r="S257" s="7" t="n">
        <v>696976.4</v>
      </c>
      <c r="T257" s="7" t="n">
        <v>816498.8</v>
      </c>
      <c r="U257" s="7" t="n">
        <v>901038.9</v>
      </c>
      <c r="V257" s="7" t="n">
        <v>1053779.9</v>
      </c>
      <c r="W257" s="7" t="n">
        <v>786436.9</v>
      </c>
      <c r="X257" s="7" t="n">
        <v>793612.6</v>
      </c>
      <c r="Y257" s="7" t="n">
        <v>748161.7</v>
      </c>
      <c r="Z257" s="7" t="n">
        <v>619391.3</v>
      </c>
      <c r="AA257" s="8" t="n">
        <v>9501453.5</v>
      </c>
      <c r="AB257" s="8" t="n">
        <v>9571917.1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220862</v>
      </c>
      <c r="D258" s="7" t="n">
        <v>134145.6</v>
      </c>
      <c r="E258" s="7" t="n">
        <v>186164.6</v>
      </c>
      <c r="F258" s="7" t="n">
        <v>123360.7</v>
      </c>
      <c r="G258" s="7" t="n">
        <v>224299.7</v>
      </c>
      <c r="H258" s="7" t="n">
        <v>131512.8</v>
      </c>
      <c r="I258" s="7" t="n">
        <v>183207.8</v>
      </c>
      <c r="J258" s="7" t="n">
        <v>131249.9</v>
      </c>
      <c r="K258" s="7" t="n">
        <v>188143.9</v>
      </c>
      <c r="L258" s="7" t="n">
        <v>171851.6</v>
      </c>
      <c r="M258" s="7" t="n">
        <v>200641.8</v>
      </c>
      <c r="N258" s="7" t="n">
        <v>293419.2</v>
      </c>
      <c r="O258" s="7" t="n">
        <v>183370.9</v>
      </c>
      <c r="P258" s="7" t="n">
        <v>246862.1</v>
      </c>
      <c r="Q258" s="7" t="n">
        <v>175022.8</v>
      </c>
      <c r="R258" s="7" t="n">
        <v>339756.7</v>
      </c>
      <c r="S258" s="7" t="n">
        <v>172622.3</v>
      </c>
      <c r="T258" s="7" t="n">
        <v>204124.7</v>
      </c>
      <c r="U258" s="7" t="n">
        <v>208665.1</v>
      </c>
      <c r="V258" s="7" t="n">
        <v>263445</v>
      </c>
      <c r="W258" s="7" t="n">
        <v>216420.8</v>
      </c>
      <c r="X258" s="7" t="n">
        <v>198403.1</v>
      </c>
      <c r="Y258" s="7" t="n">
        <v>226565.6</v>
      </c>
      <c r="Z258" s="7" t="n">
        <v>154847.8</v>
      </c>
      <c r="AA258" s="7" t="n">
        <v>2385987.3</v>
      </c>
      <c r="AB258" s="7" t="n">
        <v>2392979.2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659873.8</v>
      </c>
      <c r="D259" s="7" t="n">
        <v>402437</v>
      </c>
      <c r="E259" s="7" t="n">
        <v>533041.3</v>
      </c>
      <c r="F259" s="7" t="n">
        <v>370082.1</v>
      </c>
      <c r="G259" s="7" t="n">
        <v>789192.7</v>
      </c>
      <c r="H259" s="7" t="n">
        <v>394538.5</v>
      </c>
      <c r="I259" s="7" t="n">
        <v>645209.2</v>
      </c>
      <c r="J259" s="7" t="n">
        <v>393749.8</v>
      </c>
      <c r="K259" s="7" t="n">
        <v>638190</v>
      </c>
      <c r="L259" s="7" t="n">
        <v>515554.7</v>
      </c>
      <c r="M259" s="7" t="n">
        <v>868408.2</v>
      </c>
      <c r="N259" s="7" t="n">
        <v>880257.5</v>
      </c>
      <c r="O259" s="7" t="n">
        <v>813122.6</v>
      </c>
      <c r="P259" s="7" t="n">
        <v>740586.2</v>
      </c>
      <c r="Q259" s="7" t="n">
        <v>632330.7</v>
      </c>
      <c r="R259" s="7" t="n">
        <v>1019270.1</v>
      </c>
      <c r="S259" s="7" t="n">
        <v>636193.8</v>
      </c>
      <c r="T259" s="7" t="n">
        <v>612374.1</v>
      </c>
      <c r="U259" s="7" t="n">
        <v>678913.4</v>
      </c>
      <c r="V259" s="7" t="n">
        <v>790334.9</v>
      </c>
      <c r="W259" s="7" t="n">
        <v>676330.4</v>
      </c>
      <c r="X259" s="7" t="n">
        <v>595209.5</v>
      </c>
      <c r="Y259" s="7" t="n">
        <v>630319</v>
      </c>
      <c r="Z259" s="7" t="n">
        <v>464543.5</v>
      </c>
      <c r="AA259" s="8" t="n">
        <v>8201125.1</v>
      </c>
      <c r="AB259" s="8" t="n">
        <v>7178937.9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113669.4</v>
      </c>
      <c r="E260" s="7" t="n">
        <v>0</v>
      </c>
      <c r="F260" s="7" t="n">
        <v>19534.1</v>
      </c>
      <c r="G260" s="7" t="n">
        <v>0</v>
      </c>
      <c r="H260" s="7" t="n">
        <v>64854.9</v>
      </c>
      <c r="I260" s="7" t="n">
        <v>0</v>
      </c>
      <c r="J260" s="7" t="n">
        <v>111275.6</v>
      </c>
      <c r="K260" s="7" t="n">
        <v>0</v>
      </c>
      <c r="L260" s="7" t="n">
        <v>138414.4</v>
      </c>
      <c r="M260" s="7" t="n">
        <v>0</v>
      </c>
      <c r="N260" s="7" t="n">
        <v>62387</v>
      </c>
      <c r="O260" s="7" t="n">
        <v>0</v>
      </c>
      <c r="P260" s="7" t="n">
        <v>179457.8</v>
      </c>
      <c r="Q260" s="7" t="n">
        <v>0</v>
      </c>
      <c r="R260" s="7" t="n">
        <v>59745</v>
      </c>
      <c r="S260" s="7" t="n">
        <v>0</v>
      </c>
      <c r="T260" s="7" t="n">
        <v>130900.3</v>
      </c>
      <c r="U260" s="7" t="n">
        <v>0</v>
      </c>
      <c r="V260" s="7" t="n">
        <v>15976.3</v>
      </c>
      <c r="W260" s="7" t="n">
        <v>0</v>
      </c>
      <c r="X260" s="7" t="n">
        <v>18126</v>
      </c>
      <c r="Y260" s="7" t="n">
        <v>0</v>
      </c>
      <c r="Z260" s="7" t="n">
        <v>113900</v>
      </c>
      <c r="AA260" s="7" t="n">
        <v>0</v>
      </c>
      <c r="AB260" s="7" t="n">
        <v>1028240.8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659873.8</v>
      </c>
      <c r="D261" s="7" t="n">
        <v>288767.6</v>
      </c>
      <c r="E261" s="7" t="n">
        <v>533041.3</v>
      </c>
      <c r="F261" s="7" t="n">
        <v>350548</v>
      </c>
      <c r="G261" s="7" t="n">
        <v>789192.7</v>
      </c>
      <c r="H261" s="7" t="n">
        <v>329683.6</v>
      </c>
      <c r="I261" s="7" t="n">
        <v>645209.2</v>
      </c>
      <c r="J261" s="7" t="n">
        <v>282474.2</v>
      </c>
      <c r="K261" s="7" t="n">
        <v>638190</v>
      </c>
      <c r="L261" s="7" t="n">
        <v>377140.3</v>
      </c>
      <c r="M261" s="7" t="n">
        <v>868408.2</v>
      </c>
      <c r="N261" s="7" t="n">
        <v>817870.5</v>
      </c>
      <c r="O261" s="7" t="n">
        <v>813122.6</v>
      </c>
      <c r="P261" s="7" t="n">
        <v>561128.4</v>
      </c>
      <c r="Q261" s="7" t="n">
        <v>632330.7</v>
      </c>
      <c r="R261" s="7" t="n">
        <v>959525.1</v>
      </c>
      <c r="S261" s="7" t="n">
        <v>636193.8</v>
      </c>
      <c r="T261" s="7" t="n">
        <v>481473.8</v>
      </c>
      <c r="U261" s="7" t="n">
        <v>678913.4</v>
      </c>
      <c r="V261" s="7" t="n">
        <v>774358.6</v>
      </c>
      <c r="W261" s="7" t="n">
        <v>676330.4</v>
      </c>
      <c r="X261" s="7" t="n">
        <v>577083.5</v>
      </c>
      <c r="Y261" s="7" t="n">
        <v>630319</v>
      </c>
      <c r="Z261" s="7" t="n">
        <v>350643.5</v>
      </c>
      <c r="AA261" s="8" t="n">
        <v>8201125.1</v>
      </c>
      <c r="AB261" s="8" t="n">
        <v>6150697.1</v>
      </c>
    </row>
    <row r="262">
      <c r="A262" s="4" t="inlineStr">
        <is>
          <t>净利率</t>
        </is>
      </c>
      <c r="D262" s="13" t="n">
        <v>6.3</v>
      </c>
      <c r="F262" s="13" t="n">
        <v>5.7</v>
      </c>
      <c r="H262" s="13" t="n">
        <v>4.7</v>
      </c>
      <c r="J262" s="13" t="n">
        <v>4</v>
      </c>
      <c r="L262" s="13" t="n">
        <v>4.8</v>
      </c>
      <c r="N262" s="13" t="n">
        <v>7.6</v>
      </c>
      <c r="P262" s="13" t="n">
        <v>5.7</v>
      </c>
      <c r="R262" s="13" t="n">
        <v>8.6</v>
      </c>
      <c r="T262" s="13" t="n">
        <v>6.3</v>
      </c>
      <c r="V262" s="13" t="n">
        <v>7.3</v>
      </c>
      <c r="X262" s="13" t="n">
        <v>6.2</v>
      </c>
      <c r="Z262" s="13" t="n">
        <v>6.9</v>
      </c>
    </row>
    <row r="263">
      <c r="A263" s="4" t="inlineStr">
        <is>
          <t>销售达成率</t>
        </is>
      </c>
      <c r="D263" s="13" t="n">
        <v>58</v>
      </c>
      <c r="F263" s="13" t="n">
        <v>66.7</v>
      </c>
      <c r="H263" s="13" t="n">
        <v>77.59999999999999</v>
      </c>
      <c r="J263" s="13" t="n">
        <v>114.3</v>
      </c>
      <c r="L263" s="13" t="n">
        <v>96.90000000000001</v>
      </c>
      <c r="N263" s="13" t="n">
        <v>132.1</v>
      </c>
      <c r="P263" s="13" t="n">
        <v>117.5</v>
      </c>
      <c r="R263" s="13" t="n">
        <v>132.2</v>
      </c>
      <c r="T263" s="13" t="n">
        <v>114.4</v>
      </c>
      <c r="V263" s="13" t="n">
        <v>113.7</v>
      </c>
      <c r="X263" s="13" t="n">
        <v>92.40000000000001</v>
      </c>
      <c r="Z263" s="13" t="n">
        <v>73.40000000000001</v>
      </c>
    </row>
    <row r="264">
      <c r="A264" s="4" t="inlineStr">
        <is>
          <t>净利达成率</t>
        </is>
      </c>
      <c r="D264" s="13" t="n">
        <v>61</v>
      </c>
      <c r="F264" s="13" t="n">
        <v>69.40000000000001</v>
      </c>
      <c r="H264" s="13" t="n">
        <v>50</v>
      </c>
      <c r="J264" s="13" t="n">
        <v>61</v>
      </c>
      <c r="L264" s="13" t="n">
        <v>80.8</v>
      </c>
      <c r="N264" s="13" t="n">
        <v>101.4</v>
      </c>
      <c r="P264" s="13" t="n">
        <v>91.09999999999999</v>
      </c>
      <c r="R264" s="13" t="n">
        <v>161.2</v>
      </c>
      <c r="T264" s="13" t="n">
        <v>96.3</v>
      </c>
      <c r="V264" s="13" t="n">
        <v>116.4</v>
      </c>
      <c r="X264" s="13" t="n">
        <v>88</v>
      </c>
      <c r="Z264" s="13" t="n">
        <v>73.7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广东区域利润表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2661127.3</v>
      </c>
      <c r="D6" s="7" t="n">
        <v>1876640.8</v>
      </c>
      <c r="E6" s="7" t="n">
        <v>2927591.5</v>
      </c>
      <c r="F6" s="7" t="n">
        <v>2226075.1</v>
      </c>
      <c r="G6" s="7" t="n">
        <v>3267691.3</v>
      </c>
      <c r="H6" s="7" t="n">
        <v>2743894.3</v>
      </c>
      <c r="I6" s="7" t="n">
        <v>3529079.7</v>
      </c>
      <c r="J6" s="7" t="n">
        <v>2993453.7</v>
      </c>
      <c r="K6" s="7" t="n">
        <v>3006426.4</v>
      </c>
      <c r="L6" s="7" t="n">
        <v>3477050.5</v>
      </c>
      <c r="M6" s="7" t="n">
        <v>3302751.6</v>
      </c>
      <c r="N6" s="7" t="n">
        <v>4043654.6</v>
      </c>
      <c r="O6" s="7" t="n">
        <v>2707962.6</v>
      </c>
      <c r="P6" s="7" t="n">
        <v>4304603.8</v>
      </c>
      <c r="Q6" s="7" t="n">
        <v>3280040.2</v>
      </c>
      <c r="R6" s="7" t="n">
        <v>3320096.1</v>
      </c>
      <c r="S6" s="7" t="n">
        <v>3221054.4</v>
      </c>
      <c r="T6" s="7" t="n">
        <v>3099998.4</v>
      </c>
      <c r="U6" s="7" t="n">
        <v>2732074.4</v>
      </c>
      <c r="V6" s="7" t="n">
        <v>3659164.1</v>
      </c>
      <c r="W6" s="7" t="n">
        <v>3356240.3</v>
      </c>
      <c r="X6" s="7" t="n">
        <v>2843098.8</v>
      </c>
      <c r="Y6" s="7" t="n">
        <v>3428666.9</v>
      </c>
      <c r="Z6" s="7" t="n">
        <v>2133727.5</v>
      </c>
      <c r="AA6" s="8" t="n">
        <v>37420706.6</v>
      </c>
      <c r="AB6" s="8" t="n">
        <v>36721457.7</v>
      </c>
    </row>
    <row r="7">
      <c r="A7" s="4" t="inlineStr">
        <is>
          <t>数控机床</t>
        </is>
      </c>
      <c r="D7" s="7" t="n">
        <v>282053.4</v>
      </c>
      <c r="F7" s="7" t="n">
        <v>324859.1</v>
      </c>
      <c r="H7" s="7" t="n">
        <v>331076.8</v>
      </c>
      <c r="J7" s="7" t="n">
        <v>319813.8</v>
      </c>
      <c r="L7" s="7" t="n">
        <v>427324.7</v>
      </c>
      <c r="N7" s="7" t="n">
        <v>509303.5</v>
      </c>
      <c r="P7" s="7" t="n">
        <v>507570.6</v>
      </c>
      <c r="R7" s="7" t="n">
        <v>434939.2</v>
      </c>
      <c r="T7" s="7" t="n">
        <v>447012.9</v>
      </c>
      <c r="V7" s="7" t="n">
        <v>399966.7</v>
      </c>
      <c r="X7" s="7" t="n">
        <v>378846</v>
      </c>
      <c r="Z7" s="7" t="n">
        <v>315415.7</v>
      </c>
      <c r="AB7" s="7" t="n">
        <v>4678182.4</v>
      </c>
    </row>
    <row r="8">
      <c r="A8" s="4" t="inlineStr">
        <is>
          <t>精密轴承</t>
        </is>
      </c>
      <c r="D8" s="7" t="n">
        <v>305119.3</v>
      </c>
      <c r="F8" s="7" t="n">
        <v>323935.4</v>
      </c>
      <c r="H8" s="7" t="n">
        <v>509213.9</v>
      </c>
      <c r="J8" s="7" t="n">
        <v>473829.3</v>
      </c>
      <c r="L8" s="7" t="n">
        <v>661253.9</v>
      </c>
      <c r="N8" s="7" t="n">
        <v>739633.9</v>
      </c>
      <c r="P8" s="7" t="n">
        <v>666840.2</v>
      </c>
      <c r="R8" s="7" t="n">
        <v>504293.8</v>
      </c>
      <c r="T8" s="7" t="n">
        <v>633206.8</v>
      </c>
      <c r="V8" s="7" t="n">
        <v>665239.1</v>
      </c>
      <c r="X8" s="7" t="n">
        <v>608547.2</v>
      </c>
      <c r="Z8" s="7" t="n">
        <v>328062.6</v>
      </c>
      <c r="AB8" s="7" t="n">
        <v>6419175.4</v>
      </c>
    </row>
    <row r="9">
      <c r="A9" s="4" t="inlineStr">
        <is>
          <t>液压件</t>
        </is>
      </c>
      <c r="D9" s="7" t="n">
        <v>407367.1</v>
      </c>
      <c r="F9" s="7" t="n">
        <v>516107.1</v>
      </c>
      <c r="H9" s="7" t="n">
        <v>645624.9</v>
      </c>
      <c r="J9" s="7" t="n">
        <v>799165.6</v>
      </c>
      <c r="L9" s="7" t="n">
        <v>826742.7</v>
      </c>
      <c r="N9" s="7" t="n">
        <v>938814.4</v>
      </c>
      <c r="P9" s="7" t="n">
        <v>1040992.9</v>
      </c>
      <c r="R9" s="7" t="n">
        <v>752376.9</v>
      </c>
      <c r="T9" s="7" t="n">
        <v>621118</v>
      </c>
      <c r="V9" s="7" t="n">
        <v>917336.9</v>
      </c>
      <c r="X9" s="7" t="n">
        <v>653409.9</v>
      </c>
      <c r="Z9" s="7" t="n">
        <v>401939.1</v>
      </c>
      <c r="AB9" s="7" t="n">
        <v>8520995.5</v>
      </c>
    </row>
    <row r="10">
      <c r="A10" s="4" t="inlineStr">
        <is>
          <t>气动元件</t>
        </is>
      </c>
      <c r="D10" s="7" t="n">
        <v>166147.9</v>
      </c>
      <c r="F10" s="7" t="n">
        <v>178686.4</v>
      </c>
      <c r="H10" s="7" t="n">
        <v>289428.9</v>
      </c>
      <c r="J10" s="7" t="n">
        <v>246415.3</v>
      </c>
      <c r="L10" s="7" t="n">
        <v>333873.9</v>
      </c>
      <c r="N10" s="7" t="n">
        <v>316126.5</v>
      </c>
      <c r="P10" s="7" t="n">
        <v>450791</v>
      </c>
      <c r="R10" s="7" t="n">
        <v>353953</v>
      </c>
      <c r="T10" s="7" t="n">
        <v>330140.2</v>
      </c>
      <c r="V10" s="7" t="n">
        <v>287342.3</v>
      </c>
      <c r="X10" s="7" t="n">
        <v>295824.1</v>
      </c>
      <c r="Z10" s="7" t="n">
        <v>246794</v>
      </c>
      <c r="AB10" s="7" t="n">
        <v>3495523.5</v>
      </c>
    </row>
    <row r="11">
      <c r="A11" s="4" t="inlineStr">
        <is>
          <t>模具</t>
        </is>
      </c>
      <c r="D11" s="7" t="n">
        <v>380296.6</v>
      </c>
      <c r="F11" s="7" t="n">
        <v>386942.6</v>
      </c>
      <c r="H11" s="7" t="n">
        <v>545733.7</v>
      </c>
      <c r="J11" s="7" t="n">
        <v>581550.1</v>
      </c>
      <c r="L11" s="7" t="n">
        <v>658376.8</v>
      </c>
      <c r="N11" s="7" t="n">
        <v>737070.9</v>
      </c>
      <c r="P11" s="7" t="n">
        <v>848611.3</v>
      </c>
      <c r="R11" s="7" t="n">
        <v>655557.4</v>
      </c>
      <c r="T11" s="7" t="n">
        <v>504621.6</v>
      </c>
      <c r="V11" s="7" t="n">
        <v>637986.6</v>
      </c>
      <c r="X11" s="7" t="n">
        <v>459353.3</v>
      </c>
      <c r="Z11" s="7" t="n">
        <v>385395.5</v>
      </c>
      <c r="AB11" s="7" t="n">
        <v>6781496.4</v>
      </c>
    </row>
    <row r="12">
      <c r="A12" s="4" t="inlineStr">
        <is>
          <t>工装夹具</t>
        </is>
      </c>
      <c r="D12" s="7" t="n">
        <v>360682.9</v>
      </c>
      <c r="F12" s="7" t="n">
        <v>500883.3</v>
      </c>
      <c r="H12" s="7" t="n">
        <v>473435.2</v>
      </c>
      <c r="J12" s="7" t="n">
        <v>641639.7</v>
      </c>
      <c r="L12" s="7" t="n">
        <v>653145.7</v>
      </c>
      <c r="N12" s="7" t="n">
        <v>843287.1</v>
      </c>
      <c r="P12" s="7" t="n">
        <v>904692.3</v>
      </c>
      <c r="R12" s="7" t="n">
        <v>611288.2</v>
      </c>
      <c r="T12" s="7" t="n">
        <v>543846.4</v>
      </c>
      <c r="V12" s="7" t="n">
        <v>809396.5</v>
      </c>
      <c r="X12" s="7" t="n">
        <v>504375.5</v>
      </c>
      <c r="Z12" s="7" t="n">
        <v>489382.1</v>
      </c>
      <c r="AB12" s="7" t="n">
        <v>7336054.9</v>
      </c>
    </row>
    <row r="13">
      <c r="A13" s="4" t="inlineStr">
        <is>
          <t>返利</t>
        </is>
      </c>
      <c r="D13" s="7" t="n">
        <v>-25814.4</v>
      </c>
      <c r="F13" s="7" t="n">
        <v>-27854.2</v>
      </c>
      <c r="H13" s="7" t="n">
        <v>-53796.5</v>
      </c>
      <c r="J13" s="7" t="n">
        <v>-77225.5</v>
      </c>
      <c r="L13" s="7" t="n">
        <v>-87110</v>
      </c>
      <c r="N13" s="7" t="n">
        <v>-53317.1</v>
      </c>
      <c r="P13" s="7" t="n">
        <v>-126587.7</v>
      </c>
      <c r="R13" s="7" t="n">
        <v>-49397.7</v>
      </c>
      <c r="T13" s="7" t="n">
        <v>-31338.2</v>
      </c>
      <c r="V13" s="7" t="n">
        <v>-100768.2</v>
      </c>
      <c r="X13" s="7" t="n">
        <v>-73457.3</v>
      </c>
      <c r="Z13" s="7" t="n">
        <v>-43913.9</v>
      </c>
      <c r="AB13" s="7" t="n">
        <v>-750580.7</v>
      </c>
    </row>
    <row r="14">
      <c r="A14" s="4" t="inlineStr">
        <is>
          <t>其他</t>
        </is>
      </c>
      <c r="D14" s="7" t="n">
        <v>788</v>
      </c>
      <c r="F14" s="7" t="n">
        <v>22515.4</v>
      </c>
      <c r="H14" s="7" t="n">
        <v>3177.4</v>
      </c>
      <c r="J14" s="7" t="n">
        <v>8265.4</v>
      </c>
      <c r="L14" s="7" t="n">
        <v>3442.8</v>
      </c>
      <c r="N14" s="7" t="n">
        <v>12735.4</v>
      </c>
      <c r="P14" s="7" t="n">
        <v>11693.2</v>
      </c>
      <c r="R14" s="7" t="n">
        <v>57085.3</v>
      </c>
      <c r="T14" s="7" t="n">
        <v>51390.7</v>
      </c>
      <c r="V14" s="7" t="n">
        <v>42664.2</v>
      </c>
      <c r="X14" s="7" t="n">
        <v>16200.1</v>
      </c>
      <c r="Z14" s="7" t="n">
        <v>10652.4</v>
      </c>
      <c r="AB14" s="7" t="n">
        <v>240610.3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2303222.7</v>
      </c>
      <c r="D15" s="7" t="n">
        <v>1386652.6</v>
      </c>
      <c r="E15" s="7" t="n">
        <v>2209334.1</v>
      </c>
      <c r="F15" s="7" t="n">
        <v>1605331.1</v>
      </c>
      <c r="G15" s="7" t="n">
        <v>2292017.7</v>
      </c>
      <c r="H15" s="7" t="n">
        <v>2047534.1</v>
      </c>
      <c r="I15" s="7" t="n">
        <v>2590296.7</v>
      </c>
      <c r="J15" s="7" t="n">
        <v>2251989</v>
      </c>
      <c r="K15" s="7" t="n">
        <v>2577452.8</v>
      </c>
      <c r="L15" s="7" t="n">
        <v>2653852.8</v>
      </c>
      <c r="M15" s="7" t="n">
        <v>2175235.5</v>
      </c>
      <c r="N15" s="7" t="n">
        <v>2946688.7</v>
      </c>
      <c r="O15" s="7" t="n">
        <v>2346934.1</v>
      </c>
      <c r="P15" s="7" t="n">
        <v>3232529.6</v>
      </c>
      <c r="Q15" s="7" t="n">
        <v>2423943.8</v>
      </c>
      <c r="R15" s="7" t="n">
        <v>2396943.2</v>
      </c>
      <c r="S15" s="7" t="n">
        <v>2445092</v>
      </c>
      <c r="T15" s="7" t="n">
        <v>2278595.1</v>
      </c>
      <c r="U15" s="7" t="n">
        <v>2446653.5</v>
      </c>
      <c r="V15" s="7" t="n">
        <v>2750568.4</v>
      </c>
      <c r="W15" s="7" t="n">
        <v>2290939.1</v>
      </c>
      <c r="X15" s="7" t="n">
        <v>2157188.2</v>
      </c>
      <c r="Y15" s="7" t="n">
        <v>2211913.7</v>
      </c>
      <c r="Z15" s="7" t="n">
        <v>1591180.3</v>
      </c>
      <c r="AA15" s="8" t="n">
        <v>28313035.7</v>
      </c>
      <c r="AB15" s="8" t="n">
        <v>27299053.1</v>
      </c>
    </row>
    <row r="16">
      <c r="A16" s="4" t="inlineStr">
        <is>
          <t>数控机床</t>
        </is>
      </c>
      <c r="D16" s="7" t="n">
        <v>203487.3</v>
      </c>
      <c r="F16" s="7" t="n">
        <v>234369.4</v>
      </c>
      <c r="H16" s="7" t="n">
        <v>238855.2</v>
      </c>
      <c r="J16" s="7" t="n">
        <v>230729.5</v>
      </c>
      <c r="L16" s="7" t="n">
        <v>308293.2</v>
      </c>
      <c r="N16" s="7" t="n">
        <v>367436.8</v>
      </c>
      <c r="P16" s="7" t="n">
        <v>366186.6</v>
      </c>
      <c r="R16" s="7" t="n">
        <v>313786.7</v>
      </c>
      <c r="T16" s="7" t="n">
        <v>322497.2</v>
      </c>
      <c r="V16" s="7" t="n">
        <v>288555.8</v>
      </c>
      <c r="X16" s="7" t="n">
        <v>273318.3</v>
      </c>
      <c r="Z16" s="7" t="n">
        <v>227556.5</v>
      </c>
      <c r="AB16" s="7" t="n">
        <v>3375072.5</v>
      </c>
    </row>
    <row r="17">
      <c r="A17" s="4" t="inlineStr">
        <is>
          <t>精密轴承</t>
        </is>
      </c>
      <c r="D17" s="7" t="n">
        <v>228712.9</v>
      </c>
      <c r="F17" s="7" t="n">
        <v>242817.2</v>
      </c>
      <c r="H17" s="7" t="n">
        <v>381699.2</v>
      </c>
      <c r="J17" s="7" t="n">
        <v>355175.4</v>
      </c>
      <c r="L17" s="7" t="n">
        <v>495666.1</v>
      </c>
      <c r="N17" s="7" t="n">
        <v>554418.6</v>
      </c>
      <c r="P17" s="7" t="n">
        <v>499853.5</v>
      </c>
      <c r="R17" s="7" t="n">
        <v>378011.1</v>
      </c>
      <c r="T17" s="7" t="n">
        <v>474642.4</v>
      </c>
      <c r="V17" s="7" t="n">
        <v>498653.3</v>
      </c>
      <c r="X17" s="7" t="n">
        <v>456157.9</v>
      </c>
      <c r="Z17" s="7" t="n">
        <v>245910.8</v>
      </c>
      <c r="AB17" s="7" t="n">
        <v>4811718.4</v>
      </c>
    </row>
    <row r="18">
      <c r="A18" s="4" t="inlineStr">
        <is>
          <t>液压件</t>
        </is>
      </c>
      <c r="D18" s="7" t="n">
        <v>253751.6</v>
      </c>
      <c r="F18" s="7" t="n">
        <v>321486.5</v>
      </c>
      <c r="H18" s="7" t="n">
        <v>402164</v>
      </c>
      <c r="J18" s="7" t="n">
        <v>497805.5</v>
      </c>
      <c r="L18" s="7" t="n">
        <v>514983.5</v>
      </c>
      <c r="N18" s="7" t="n">
        <v>584793.7</v>
      </c>
      <c r="P18" s="7" t="n">
        <v>648441.3</v>
      </c>
      <c r="R18" s="7" t="n">
        <v>468660.5</v>
      </c>
      <c r="T18" s="7" t="n">
        <v>386898.5</v>
      </c>
      <c r="V18" s="7" t="n">
        <v>571415.2</v>
      </c>
      <c r="X18" s="7" t="n">
        <v>407013.3</v>
      </c>
      <c r="Z18" s="7" t="n">
        <v>250370.5</v>
      </c>
      <c r="AB18" s="7" t="n">
        <v>5307784.1</v>
      </c>
    </row>
    <row r="19">
      <c r="A19" s="4" t="inlineStr">
        <is>
          <t>气动元件</t>
        </is>
      </c>
      <c r="D19" s="7" t="n">
        <v>126913.8</v>
      </c>
      <c r="F19" s="7" t="n">
        <v>136491.4</v>
      </c>
      <c r="H19" s="7" t="n">
        <v>221083.2</v>
      </c>
      <c r="J19" s="7" t="n">
        <v>188226.8</v>
      </c>
      <c r="L19" s="7" t="n">
        <v>255033</v>
      </c>
      <c r="N19" s="7" t="n">
        <v>241476.5</v>
      </c>
      <c r="P19" s="7" t="n">
        <v>344341.3</v>
      </c>
      <c r="R19" s="7" t="n">
        <v>270370.6</v>
      </c>
      <c r="T19" s="7" t="n">
        <v>252181</v>
      </c>
      <c r="V19" s="7" t="n">
        <v>219489.4</v>
      </c>
      <c r="X19" s="7" t="n">
        <v>225968.3</v>
      </c>
      <c r="Z19" s="7" t="n">
        <v>188516.1</v>
      </c>
      <c r="AB19" s="7" t="n">
        <v>2670091.4</v>
      </c>
    </row>
    <row r="20">
      <c r="A20" s="4" t="inlineStr">
        <is>
          <t>模具</t>
        </is>
      </c>
      <c r="D20" s="7" t="n">
        <v>301554</v>
      </c>
      <c r="F20" s="7" t="n">
        <v>306823.9</v>
      </c>
      <c r="H20" s="7" t="n">
        <v>432736.3</v>
      </c>
      <c r="J20" s="7" t="n">
        <v>461136.8</v>
      </c>
      <c r="L20" s="7" t="n">
        <v>522056</v>
      </c>
      <c r="N20" s="7" t="n">
        <v>584456.1</v>
      </c>
      <c r="P20" s="7" t="n">
        <v>672901.4</v>
      </c>
      <c r="R20" s="7" t="n">
        <v>519820.4</v>
      </c>
      <c r="T20" s="7" t="n">
        <v>400136.7</v>
      </c>
      <c r="V20" s="7" t="n">
        <v>505887.7</v>
      </c>
      <c r="X20" s="7" t="n">
        <v>364241.5</v>
      </c>
      <c r="Z20" s="7" t="n">
        <v>305597.1</v>
      </c>
      <c r="AB20" s="7" t="n">
        <v>5377347.9</v>
      </c>
    </row>
    <row r="21">
      <c r="A21" s="4" t="inlineStr">
        <is>
          <t>工装夹具</t>
        </is>
      </c>
      <c r="D21" s="7" t="n">
        <v>224207.6</v>
      </c>
      <c r="F21" s="7" t="n">
        <v>311359</v>
      </c>
      <c r="H21" s="7" t="n">
        <v>294296.7</v>
      </c>
      <c r="J21" s="7" t="n">
        <v>398855.9</v>
      </c>
      <c r="L21" s="7" t="n">
        <v>406008.3</v>
      </c>
      <c r="N21" s="7" t="n">
        <v>524203.9</v>
      </c>
      <c r="P21" s="7" t="n">
        <v>562374.6</v>
      </c>
      <c r="R21" s="7" t="n">
        <v>379988.8</v>
      </c>
      <c r="T21" s="7" t="n">
        <v>338065.7</v>
      </c>
      <c r="V21" s="7" t="n">
        <v>503136.8</v>
      </c>
      <c r="X21" s="7" t="n">
        <v>313529.8</v>
      </c>
      <c r="Z21" s="7" t="n">
        <v>304209.6</v>
      </c>
      <c r="AB21" s="7" t="n">
        <v>4560236.7</v>
      </c>
    </row>
    <row r="22">
      <c r="A22" s="4" t="inlineStr">
        <is>
          <t>其他</t>
        </is>
      </c>
      <c r="D22" s="7" t="n">
        <v>13470.7</v>
      </c>
      <c r="F22" s="7" t="n">
        <v>15525</v>
      </c>
      <c r="H22" s="7" t="n">
        <v>31724.1</v>
      </c>
      <c r="J22" s="7" t="n">
        <v>8821.6</v>
      </c>
      <c r="L22" s="7" t="n">
        <v>30014.4</v>
      </c>
      <c r="N22" s="7" t="n">
        <v>20997.4</v>
      </c>
      <c r="P22" s="7" t="n">
        <v>18468.2</v>
      </c>
      <c r="R22" s="7" t="n">
        <v>28172.6</v>
      </c>
      <c r="T22" s="7" t="n">
        <v>17935.2</v>
      </c>
      <c r="V22" s="7" t="n">
        <v>19452.4</v>
      </c>
      <c r="X22" s="7" t="n">
        <v>15245.5</v>
      </c>
      <c r="Z22" s="7" t="n">
        <v>9575.799999999999</v>
      </c>
      <c r="AB22" s="7" t="n">
        <v>229402.9</v>
      </c>
    </row>
    <row r="23">
      <c r="A23" s="4" t="inlineStr">
        <is>
          <t>运费</t>
        </is>
      </c>
      <c r="D23" s="7" t="n">
        <v>48025.4</v>
      </c>
      <c r="F23" s="7" t="n">
        <v>51983.7</v>
      </c>
      <c r="H23" s="7" t="n">
        <v>76699.5</v>
      </c>
      <c r="J23" s="7" t="n">
        <v>120059.1</v>
      </c>
      <c r="L23" s="7" t="n">
        <v>151812.7</v>
      </c>
      <c r="N23" s="7" t="n">
        <v>89903.10000000001</v>
      </c>
      <c r="P23" s="7" t="n">
        <v>138430.9</v>
      </c>
      <c r="R23" s="7" t="n">
        <v>66305.10000000001</v>
      </c>
      <c r="T23" s="7" t="n">
        <v>104173.6</v>
      </c>
      <c r="V23" s="7" t="n">
        <v>163430.2</v>
      </c>
      <c r="X23" s="7" t="n">
        <v>116959.1</v>
      </c>
      <c r="Z23" s="7" t="n">
        <v>69019.7</v>
      </c>
      <c r="AB23" s="7" t="n">
        <v>1196802.1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357904.6</v>
      </c>
      <c r="D24" s="7" t="n">
        <v>489988.2</v>
      </c>
      <c r="E24" s="7" t="n">
        <v>718257.4</v>
      </c>
      <c r="F24" s="7" t="n">
        <v>620744</v>
      </c>
      <c r="G24" s="7" t="n">
        <v>975673.6</v>
      </c>
      <c r="H24" s="7" t="n">
        <v>696360.2</v>
      </c>
      <c r="I24" s="7" t="n">
        <v>938783</v>
      </c>
      <c r="J24" s="7" t="n">
        <v>741464.7</v>
      </c>
      <c r="K24" s="7" t="n">
        <v>428973.6</v>
      </c>
      <c r="L24" s="7" t="n">
        <v>823197.7</v>
      </c>
      <c r="M24" s="7" t="n">
        <v>1127516.1</v>
      </c>
      <c r="N24" s="7" t="n">
        <v>1096965.9</v>
      </c>
      <c r="O24" s="7" t="n">
        <v>361028.5</v>
      </c>
      <c r="P24" s="7" t="n">
        <v>1072074.2</v>
      </c>
      <c r="Q24" s="7" t="n">
        <v>856096.4</v>
      </c>
      <c r="R24" s="7" t="n">
        <v>923152.9</v>
      </c>
      <c r="S24" s="7" t="n">
        <v>775962.4</v>
      </c>
      <c r="T24" s="7" t="n">
        <v>821403.3</v>
      </c>
      <c r="U24" s="7" t="n">
        <v>285420.9</v>
      </c>
      <c r="V24" s="7" t="n">
        <v>908595.7</v>
      </c>
      <c r="W24" s="7" t="n">
        <v>1065301.2</v>
      </c>
      <c r="X24" s="7" t="n">
        <v>685910.6</v>
      </c>
      <c r="Y24" s="7" t="n">
        <v>1216753.2</v>
      </c>
      <c r="Z24" s="7" t="n">
        <v>542547.2</v>
      </c>
      <c r="AA24" s="8" t="n">
        <v>9107670.9</v>
      </c>
      <c r="AB24" s="8" t="n">
        <v>9422404.6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13.4</v>
      </c>
      <c r="D25" s="13" t="n">
        <v>26.1</v>
      </c>
      <c r="E25" s="13" t="n">
        <v>24.5</v>
      </c>
      <c r="F25" s="13" t="n">
        <v>27.9</v>
      </c>
      <c r="G25" s="13" t="n">
        <v>29.9</v>
      </c>
      <c r="H25" s="13" t="n">
        <v>25.4</v>
      </c>
      <c r="I25" s="13" t="n">
        <v>26.6</v>
      </c>
      <c r="J25" s="13" t="n">
        <v>24.8</v>
      </c>
      <c r="K25" s="13" t="n">
        <v>14.3</v>
      </c>
      <c r="L25" s="13" t="n">
        <v>23.7</v>
      </c>
      <c r="M25" s="13" t="n">
        <v>34.1</v>
      </c>
      <c r="N25" s="13" t="n">
        <v>27.1</v>
      </c>
      <c r="O25" s="13" t="n">
        <v>13.3</v>
      </c>
      <c r="P25" s="13" t="n">
        <v>24.9</v>
      </c>
      <c r="Q25" s="13" t="n">
        <v>26.1</v>
      </c>
      <c r="R25" s="13" t="n">
        <v>27.8</v>
      </c>
      <c r="S25" s="13" t="n">
        <v>24.1</v>
      </c>
      <c r="T25" s="13" t="n">
        <v>26.5</v>
      </c>
      <c r="U25" s="13" t="n">
        <v>10.4</v>
      </c>
      <c r="V25" s="13" t="n">
        <v>24.8</v>
      </c>
      <c r="W25" s="13" t="n">
        <v>31.7</v>
      </c>
      <c r="X25" s="13" t="n">
        <v>24.1</v>
      </c>
      <c r="Y25" s="13" t="n">
        <v>35.5</v>
      </c>
      <c r="Z25" s="13" t="n">
        <v>25.4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27255.5</v>
      </c>
      <c r="D26" s="7" t="n">
        <v>13112.1</v>
      </c>
      <c r="E26" s="7" t="n">
        <v>29143.1</v>
      </c>
      <c r="F26" s="7" t="n">
        <v>11487.5</v>
      </c>
      <c r="G26" s="7" t="n">
        <v>29568.4</v>
      </c>
      <c r="H26" s="7" t="n">
        <v>25670.2</v>
      </c>
      <c r="I26" s="7" t="n">
        <v>29386.5</v>
      </c>
      <c r="J26" s="7" t="n">
        <v>34079.1</v>
      </c>
      <c r="K26" s="7" t="n">
        <v>29376.3</v>
      </c>
      <c r="L26" s="7" t="n">
        <v>22502.4</v>
      </c>
      <c r="M26" s="7" t="n">
        <v>33091.6</v>
      </c>
      <c r="N26" s="7" t="n">
        <v>55203.9</v>
      </c>
      <c r="O26" s="7" t="n">
        <v>29359.3</v>
      </c>
      <c r="P26" s="7" t="n">
        <v>55552</v>
      </c>
      <c r="Q26" s="7" t="n">
        <v>28936.3</v>
      </c>
      <c r="R26" s="7" t="n">
        <v>41475.5</v>
      </c>
      <c r="S26" s="7" t="n">
        <v>25690.5</v>
      </c>
      <c r="T26" s="7" t="n">
        <v>35621.2</v>
      </c>
      <c r="U26" s="7" t="n">
        <v>33673.6</v>
      </c>
      <c r="V26" s="7" t="n">
        <v>29345.5</v>
      </c>
      <c r="W26" s="7" t="n">
        <v>33222.1</v>
      </c>
      <c r="X26" s="7" t="n">
        <v>21166.6</v>
      </c>
      <c r="Y26" s="7" t="n">
        <v>33451.1</v>
      </c>
      <c r="Z26" s="7" t="n">
        <v>11018.1</v>
      </c>
      <c r="AA26" s="8" t="n">
        <v>362154.3</v>
      </c>
      <c r="AB26" s="8" t="n">
        <v>356234.1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398397.9</v>
      </c>
      <c r="D27" s="7" t="n">
        <v>205570.6</v>
      </c>
      <c r="E27" s="7" t="n">
        <v>383127.7</v>
      </c>
      <c r="F27" s="7" t="n">
        <v>189910.8</v>
      </c>
      <c r="G27" s="7" t="n">
        <v>364005.9</v>
      </c>
      <c r="H27" s="7" t="n">
        <v>347127.2</v>
      </c>
      <c r="I27" s="7" t="n">
        <v>451616.4</v>
      </c>
      <c r="J27" s="7" t="n">
        <v>355190.3</v>
      </c>
      <c r="K27" s="7" t="n">
        <v>360694.7</v>
      </c>
      <c r="L27" s="7" t="n">
        <v>505365.7</v>
      </c>
      <c r="M27" s="7" t="n">
        <v>460048.4</v>
      </c>
      <c r="N27" s="7" t="n">
        <v>498737.2</v>
      </c>
      <c r="O27" s="7" t="n">
        <v>358288.7</v>
      </c>
      <c r="P27" s="7" t="n">
        <v>601885.4</v>
      </c>
      <c r="Q27" s="7" t="n">
        <v>426255.8</v>
      </c>
      <c r="R27" s="7" t="n">
        <v>383396.2</v>
      </c>
      <c r="S27" s="7" t="n">
        <v>373161.3</v>
      </c>
      <c r="T27" s="7" t="n">
        <v>406893.9</v>
      </c>
      <c r="U27" s="7" t="n">
        <v>343706.5</v>
      </c>
      <c r="V27" s="7" t="n">
        <v>467314.8</v>
      </c>
      <c r="W27" s="7" t="n">
        <v>367038.2</v>
      </c>
      <c r="X27" s="7" t="n">
        <v>492986.8</v>
      </c>
      <c r="Y27" s="7" t="n">
        <v>403404.7</v>
      </c>
      <c r="Z27" s="7" t="n">
        <v>356040</v>
      </c>
      <c r="AA27" s="8" t="n">
        <v>4689746.2</v>
      </c>
      <c r="AB27" s="8" t="n">
        <v>4810418.9</v>
      </c>
    </row>
    <row r="28">
      <c r="A28" s="4" t="inlineStr">
        <is>
          <t>职工薪酬</t>
        </is>
      </c>
      <c r="D28" s="7" t="n">
        <v>81812.7</v>
      </c>
      <c r="F28" s="7" t="n">
        <v>113793.3</v>
      </c>
      <c r="H28" s="7" t="n">
        <v>182982.8</v>
      </c>
      <c r="J28" s="7" t="n">
        <v>193196.7</v>
      </c>
      <c r="L28" s="7" t="n">
        <v>209603.8</v>
      </c>
      <c r="N28" s="7" t="n">
        <v>276994.3</v>
      </c>
      <c r="P28" s="7" t="n">
        <v>362649.7</v>
      </c>
      <c r="R28" s="7" t="n">
        <v>199111.1</v>
      </c>
      <c r="T28" s="7" t="n">
        <v>215661.9</v>
      </c>
      <c r="V28" s="7" t="n">
        <v>232290.7</v>
      </c>
      <c r="X28" s="7" t="n">
        <v>272894.4</v>
      </c>
      <c r="Z28" s="7" t="n">
        <v>186284.6</v>
      </c>
      <c r="AB28" s="7" t="n">
        <v>2527276</v>
      </c>
    </row>
    <row r="29">
      <c r="A29" s="4" t="inlineStr">
        <is>
          <t>工资</t>
        </is>
      </c>
      <c r="D29" s="7" t="n">
        <v>44507.7</v>
      </c>
      <c r="F29" s="7" t="n">
        <v>66521.10000000001</v>
      </c>
      <c r="H29" s="7" t="n">
        <v>118425.8</v>
      </c>
      <c r="J29" s="7" t="n">
        <v>110799.2</v>
      </c>
      <c r="L29" s="7" t="n">
        <v>112247.8</v>
      </c>
      <c r="N29" s="7" t="n">
        <v>191646.4</v>
      </c>
      <c r="P29" s="7" t="n">
        <v>227470.9</v>
      </c>
      <c r="R29" s="7" t="n">
        <v>106594.3</v>
      </c>
      <c r="T29" s="7" t="n">
        <v>133831.8</v>
      </c>
      <c r="V29" s="7" t="n">
        <v>135135.8</v>
      </c>
      <c r="X29" s="7" t="n">
        <v>167644</v>
      </c>
      <c r="Z29" s="7" t="n">
        <v>91886.5</v>
      </c>
      <c r="AB29" s="7" t="n">
        <v>1506711.3</v>
      </c>
    </row>
    <row r="30">
      <c r="A30" s="4" t="inlineStr">
        <is>
          <t>奖金及提成</t>
        </is>
      </c>
      <c r="D30" s="7" t="n">
        <v>16144</v>
      </c>
      <c r="F30" s="7" t="n">
        <v>23719.8</v>
      </c>
      <c r="H30" s="7" t="n">
        <v>26239.8</v>
      </c>
      <c r="J30" s="7" t="n">
        <v>33044.6</v>
      </c>
      <c r="L30" s="7" t="n">
        <v>47334.6</v>
      </c>
      <c r="N30" s="7" t="n">
        <v>36165.2</v>
      </c>
      <c r="P30" s="7" t="n">
        <v>53071</v>
      </c>
      <c r="R30" s="7" t="n">
        <v>48773.2</v>
      </c>
      <c r="T30" s="7" t="n">
        <v>33230.9</v>
      </c>
      <c r="V30" s="7" t="n">
        <v>48674.4</v>
      </c>
      <c r="X30" s="7" t="n">
        <v>46861</v>
      </c>
      <c r="Z30" s="7" t="n">
        <v>42566.5</v>
      </c>
      <c r="AB30" s="7" t="n">
        <v>455825</v>
      </c>
    </row>
    <row r="31">
      <c r="A31" s="4" t="inlineStr">
        <is>
          <t>社保</t>
        </is>
      </c>
      <c r="D31" s="7" t="n">
        <v>13008.3</v>
      </c>
      <c r="F31" s="7" t="n">
        <v>15621.8</v>
      </c>
      <c r="H31" s="7" t="n">
        <v>23690.4</v>
      </c>
      <c r="J31" s="7" t="n">
        <v>35508.9</v>
      </c>
      <c r="L31" s="7" t="n">
        <v>28314.2</v>
      </c>
      <c r="N31" s="7" t="n">
        <v>29514.7</v>
      </c>
      <c r="P31" s="7" t="n">
        <v>58517.9</v>
      </c>
      <c r="R31" s="7" t="n">
        <v>26356.3</v>
      </c>
      <c r="T31" s="7" t="n">
        <v>32212.9</v>
      </c>
      <c r="V31" s="7" t="n">
        <v>27652.1</v>
      </c>
      <c r="X31" s="7" t="n">
        <v>38689</v>
      </c>
      <c r="Z31" s="7" t="n">
        <v>36706.8</v>
      </c>
      <c r="AB31" s="7" t="n">
        <v>365793.3</v>
      </c>
    </row>
    <row r="32">
      <c r="A32" s="4" t="inlineStr">
        <is>
          <t>养老</t>
        </is>
      </c>
      <c r="D32" s="7" t="n">
        <v>1241.8</v>
      </c>
      <c r="F32" s="7" t="n">
        <v>861.4</v>
      </c>
      <c r="H32" s="7" t="n">
        <v>2054.1</v>
      </c>
      <c r="J32" s="7" t="n">
        <v>2670.2</v>
      </c>
      <c r="L32" s="7" t="n">
        <v>3279.5</v>
      </c>
      <c r="N32" s="7" t="n">
        <v>3894.6</v>
      </c>
      <c r="P32" s="7" t="n">
        <v>4417.9</v>
      </c>
      <c r="R32" s="7" t="n">
        <v>2960.7</v>
      </c>
      <c r="T32" s="7" t="n">
        <v>2109.4</v>
      </c>
      <c r="V32" s="7" t="n">
        <v>2933.6</v>
      </c>
      <c r="X32" s="7" t="n">
        <v>3687.8</v>
      </c>
      <c r="Z32" s="7" t="n">
        <v>2566.5</v>
      </c>
      <c r="AB32" s="7" t="n">
        <v>32677.5</v>
      </c>
    </row>
    <row r="33">
      <c r="A33" s="4" t="inlineStr">
        <is>
          <t>医疗</t>
        </is>
      </c>
      <c r="D33" s="7" t="n">
        <v>489.8</v>
      </c>
      <c r="F33" s="7" t="n">
        <v>418.3</v>
      </c>
      <c r="H33" s="7" t="n">
        <v>828.3</v>
      </c>
      <c r="J33" s="7" t="n">
        <v>924.9</v>
      </c>
      <c r="L33" s="7" t="n">
        <v>1154.6</v>
      </c>
      <c r="N33" s="7" t="n">
        <v>1199.7</v>
      </c>
      <c r="P33" s="7" t="n">
        <v>1544.5</v>
      </c>
      <c r="R33" s="7" t="n">
        <v>969.9</v>
      </c>
      <c r="T33" s="7" t="n">
        <v>747.3</v>
      </c>
      <c r="V33" s="7" t="n">
        <v>1204.5</v>
      </c>
      <c r="X33" s="7" t="n">
        <v>1026.3</v>
      </c>
      <c r="Z33" s="7" t="n">
        <v>666.3</v>
      </c>
      <c r="AB33" s="7" t="n">
        <v>11174.4</v>
      </c>
    </row>
    <row r="34">
      <c r="A34" s="4" t="inlineStr">
        <is>
          <t>工伤</t>
        </is>
      </c>
      <c r="D34" s="7" t="n">
        <v>1115.4</v>
      </c>
      <c r="F34" s="7" t="n">
        <v>1502.5</v>
      </c>
      <c r="H34" s="7" t="n">
        <v>2770.2</v>
      </c>
      <c r="J34" s="7" t="n">
        <v>1599.8</v>
      </c>
      <c r="L34" s="7" t="n">
        <v>3286.2</v>
      </c>
      <c r="N34" s="7" t="n">
        <v>3630.4</v>
      </c>
      <c r="P34" s="7" t="n">
        <v>3170.3</v>
      </c>
      <c r="R34" s="7" t="n">
        <v>2822.6</v>
      </c>
      <c r="T34" s="7" t="n">
        <v>2590.7</v>
      </c>
      <c r="V34" s="7" t="n">
        <v>3475.7</v>
      </c>
      <c r="X34" s="7" t="n">
        <v>2526.2</v>
      </c>
      <c r="Z34" s="7" t="n">
        <v>2795.1</v>
      </c>
      <c r="AB34" s="7" t="n">
        <v>31285.1</v>
      </c>
    </row>
    <row r="35">
      <c r="A35" s="4" t="inlineStr">
        <is>
          <t>失业</t>
        </is>
      </c>
      <c r="D35" s="7" t="n">
        <v>495.7</v>
      </c>
      <c r="F35" s="7" t="n">
        <v>439</v>
      </c>
      <c r="H35" s="7" t="n">
        <v>1083.7</v>
      </c>
      <c r="J35" s="7" t="n">
        <v>992.6</v>
      </c>
      <c r="L35" s="7" t="n">
        <v>1762.7</v>
      </c>
      <c r="N35" s="7" t="n">
        <v>1445.1</v>
      </c>
      <c r="P35" s="7" t="n">
        <v>1647.1</v>
      </c>
      <c r="R35" s="7" t="n">
        <v>874</v>
      </c>
      <c r="T35" s="7" t="n">
        <v>988</v>
      </c>
      <c r="V35" s="7" t="n">
        <v>1406.9</v>
      </c>
      <c r="X35" s="7" t="n">
        <v>1886.9</v>
      </c>
      <c r="Z35" s="7" t="n">
        <v>802</v>
      </c>
      <c r="AB35" s="7" t="n">
        <v>13823.7</v>
      </c>
    </row>
    <row r="36">
      <c r="A36" s="4" t="inlineStr">
        <is>
          <t>生育</t>
        </is>
      </c>
      <c r="D36" s="7" t="n">
        <v>522.1</v>
      </c>
      <c r="F36" s="7" t="n">
        <v>375.9</v>
      </c>
      <c r="H36" s="7" t="n">
        <v>849.7</v>
      </c>
      <c r="J36" s="7" t="n">
        <v>579.5</v>
      </c>
      <c r="L36" s="7" t="n">
        <v>1023.7</v>
      </c>
      <c r="N36" s="7" t="n">
        <v>737.6</v>
      </c>
      <c r="P36" s="7" t="n">
        <v>1564.5</v>
      </c>
      <c r="R36" s="7" t="n">
        <v>608.5</v>
      </c>
      <c r="T36" s="7" t="n">
        <v>704.8</v>
      </c>
      <c r="V36" s="7" t="n">
        <v>1180.9</v>
      </c>
      <c r="X36" s="7" t="n">
        <v>1010</v>
      </c>
      <c r="Z36" s="7" t="n">
        <v>934.5</v>
      </c>
      <c r="AB36" s="7" t="n">
        <v>10091.7</v>
      </c>
    </row>
    <row r="37">
      <c r="A37" s="4" t="inlineStr">
        <is>
          <t>公积金</t>
        </is>
      </c>
      <c r="D37" s="7" t="n">
        <v>748.1</v>
      </c>
      <c r="F37" s="7" t="n">
        <v>886.4</v>
      </c>
      <c r="H37" s="7" t="n">
        <v>1167.8</v>
      </c>
      <c r="J37" s="7" t="n">
        <v>1461.4</v>
      </c>
      <c r="L37" s="7" t="n">
        <v>1557.9</v>
      </c>
      <c r="N37" s="7" t="n">
        <v>1530.9</v>
      </c>
      <c r="P37" s="7" t="n">
        <v>2081.5</v>
      </c>
      <c r="R37" s="7" t="n">
        <v>1370</v>
      </c>
      <c r="T37" s="7" t="n">
        <v>1177.1</v>
      </c>
      <c r="V37" s="7" t="n">
        <v>1351</v>
      </c>
      <c r="X37" s="7" t="n">
        <v>2240.2</v>
      </c>
      <c r="Z37" s="7" t="n">
        <v>968.6</v>
      </c>
      <c r="AB37" s="7" t="n">
        <v>16540.9</v>
      </c>
    </row>
    <row r="38">
      <c r="A38" s="4" t="inlineStr">
        <is>
          <t>工会经费</t>
        </is>
      </c>
      <c r="D38" s="7" t="n">
        <v>725.2</v>
      </c>
      <c r="F38" s="7" t="n">
        <v>508.3</v>
      </c>
      <c r="H38" s="7" t="n">
        <v>1576.9</v>
      </c>
      <c r="J38" s="7" t="n">
        <v>1491.2</v>
      </c>
      <c r="L38" s="7" t="n">
        <v>1949.7</v>
      </c>
      <c r="N38" s="7" t="n">
        <v>2288.7</v>
      </c>
      <c r="P38" s="7" t="n">
        <v>1495.6</v>
      </c>
      <c r="R38" s="7" t="n">
        <v>1095.7</v>
      </c>
      <c r="T38" s="7" t="n">
        <v>1124.7</v>
      </c>
      <c r="V38" s="7" t="n">
        <v>2136.5</v>
      </c>
      <c r="X38" s="7" t="n">
        <v>1607.2</v>
      </c>
      <c r="Z38" s="7" t="n">
        <v>1402.1</v>
      </c>
      <c r="AB38" s="7" t="n">
        <v>17401.8</v>
      </c>
    </row>
    <row r="39">
      <c r="A39" s="4" t="inlineStr">
        <is>
          <t>职工教育经费</t>
        </is>
      </c>
      <c r="D39" s="7" t="n">
        <v>1019</v>
      </c>
      <c r="F39" s="7" t="n">
        <v>1074.1</v>
      </c>
      <c r="H39" s="7" t="n">
        <v>1363</v>
      </c>
      <c r="J39" s="7" t="n">
        <v>2379.5</v>
      </c>
      <c r="L39" s="7" t="n">
        <v>2460.5</v>
      </c>
      <c r="N39" s="7" t="n">
        <v>1955.9</v>
      </c>
      <c r="P39" s="7" t="n">
        <v>3425.3</v>
      </c>
      <c r="R39" s="7" t="n">
        <v>2687.4</v>
      </c>
      <c r="T39" s="7" t="n">
        <v>2357.3</v>
      </c>
      <c r="V39" s="7" t="n">
        <v>3022.1</v>
      </c>
      <c r="X39" s="7" t="n">
        <v>2179.1</v>
      </c>
      <c r="Z39" s="7" t="n">
        <v>1548</v>
      </c>
      <c r="AB39" s="7" t="n">
        <v>25471.2</v>
      </c>
    </row>
    <row r="40">
      <c r="A40" s="4" t="inlineStr">
        <is>
          <t>福利费</t>
        </is>
      </c>
      <c r="D40" s="7" t="n">
        <v>5660.4</v>
      </c>
      <c r="F40" s="7" t="n">
        <v>5461.8</v>
      </c>
      <c r="H40" s="7" t="n">
        <v>10519.1</v>
      </c>
      <c r="J40" s="7" t="n">
        <v>8511.9</v>
      </c>
      <c r="L40" s="7" t="n">
        <v>15739.1</v>
      </c>
      <c r="N40" s="7" t="n">
        <v>13892.5</v>
      </c>
      <c r="P40" s="7" t="n">
        <v>16587.5</v>
      </c>
      <c r="R40" s="7" t="n">
        <v>12234.2</v>
      </c>
      <c r="T40" s="7" t="n">
        <v>11727.2</v>
      </c>
      <c r="V40" s="7" t="n">
        <v>14318.8</v>
      </c>
      <c r="X40" s="7" t="n">
        <v>13673.9</v>
      </c>
      <c r="Z40" s="7" t="n">
        <v>11206.1</v>
      </c>
      <c r="AB40" s="7" t="n">
        <v>139532.5</v>
      </c>
    </row>
    <row r="41">
      <c r="A41" s="4" t="inlineStr">
        <is>
          <t>职工房租</t>
        </is>
      </c>
      <c r="D41" s="7" t="n">
        <v>714.9</v>
      </c>
      <c r="F41" s="7" t="n">
        <v>927.3</v>
      </c>
      <c r="H41" s="7" t="n">
        <v>1773.9</v>
      </c>
      <c r="J41" s="7" t="n">
        <v>1172.5</v>
      </c>
      <c r="L41" s="7" t="n">
        <v>2809.6</v>
      </c>
      <c r="N41" s="7" t="n">
        <v>2515.7</v>
      </c>
      <c r="P41" s="7" t="n">
        <v>3085.6</v>
      </c>
      <c r="R41" s="7" t="n">
        <v>2087.3</v>
      </c>
      <c r="T41" s="7" t="n">
        <v>1709.3</v>
      </c>
      <c r="V41" s="7" t="n">
        <v>2156.3</v>
      </c>
      <c r="X41" s="7" t="n">
        <v>1982.6</v>
      </c>
      <c r="Z41" s="7" t="n">
        <v>1835.8</v>
      </c>
      <c r="AB41" s="7" t="n">
        <v>22770.8</v>
      </c>
    </row>
    <row r="42">
      <c r="A42" s="4" t="inlineStr">
        <is>
          <t>水电物业费</t>
        </is>
      </c>
      <c r="D42" s="7" t="n">
        <v>640.3</v>
      </c>
      <c r="F42" s="7" t="n">
        <v>420.1</v>
      </c>
      <c r="H42" s="7" t="n">
        <v>1178.4</v>
      </c>
      <c r="J42" s="7" t="n">
        <v>827.3</v>
      </c>
      <c r="L42" s="7" t="n">
        <v>1190.9</v>
      </c>
      <c r="N42" s="7" t="n">
        <v>1107.6</v>
      </c>
      <c r="P42" s="7" t="n">
        <v>1249.4</v>
      </c>
      <c r="R42" s="7" t="n">
        <v>799.8</v>
      </c>
      <c r="T42" s="7" t="n">
        <v>800.1</v>
      </c>
      <c r="V42" s="7" t="n">
        <v>1293.8</v>
      </c>
      <c r="X42" s="7" t="n">
        <v>999.2</v>
      </c>
      <c r="Z42" s="7" t="n">
        <v>716</v>
      </c>
      <c r="AB42" s="7" t="n">
        <v>11222.9</v>
      </c>
    </row>
    <row r="43">
      <c r="A43" s="4" t="inlineStr">
        <is>
          <t>员工餐</t>
        </is>
      </c>
      <c r="D43" s="7" t="n">
        <v>477.8</v>
      </c>
      <c r="F43" s="7" t="n">
        <v>416</v>
      </c>
      <c r="H43" s="7" t="n">
        <v>1187.6</v>
      </c>
      <c r="J43" s="7" t="n">
        <v>1163.4</v>
      </c>
      <c r="L43" s="7" t="n">
        <v>1558.4</v>
      </c>
      <c r="N43" s="7" t="n">
        <v>1660.8</v>
      </c>
      <c r="P43" s="7" t="n">
        <v>1703</v>
      </c>
      <c r="R43" s="7" t="n">
        <v>873.1</v>
      </c>
      <c r="T43" s="7" t="n">
        <v>1301.5</v>
      </c>
      <c r="V43" s="7" t="n">
        <v>1741</v>
      </c>
      <c r="X43" s="7" t="n">
        <v>1496.6</v>
      </c>
      <c r="Z43" s="7" t="n">
        <v>1103.2</v>
      </c>
      <c r="AB43" s="7" t="n">
        <v>14682.4</v>
      </c>
    </row>
    <row r="44">
      <c r="A44" s="4" t="inlineStr">
        <is>
          <t>节日礼品</t>
        </is>
      </c>
      <c r="D44" s="7" t="n">
        <v>1043.6</v>
      </c>
      <c r="F44" s="7" t="n">
        <v>1148.7</v>
      </c>
      <c r="H44" s="7" t="n">
        <v>1537</v>
      </c>
      <c r="J44" s="7" t="n">
        <v>1733.4</v>
      </c>
      <c r="L44" s="7" t="n">
        <v>2531.5</v>
      </c>
      <c r="N44" s="7" t="n">
        <v>2267.6</v>
      </c>
      <c r="P44" s="7" t="n">
        <v>2659.6</v>
      </c>
      <c r="R44" s="7" t="n">
        <v>2856</v>
      </c>
      <c r="T44" s="7" t="n">
        <v>2129.3</v>
      </c>
      <c r="V44" s="7" t="n">
        <v>2332.4</v>
      </c>
      <c r="X44" s="7" t="n">
        <v>3026.1</v>
      </c>
      <c r="Z44" s="7" t="n">
        <v>2396.5</v>
      </c>
      <c r="AB44" s="7" t="n">
        <v>25661.7</v>
      </c>
    </row>
    <row r="45">
      <c r="A45" s="4" t="inlineStr">
        <is>
          <t>生日礼品</t>
        </is>
      </c>
      <c r="D45" s="7" t="n">
        <v>603.1</v>
      </c>
      <c r="F45" s="7" t="n">
        <v>442.6</v>
      </c>
      <c r="H45" s="7" t="n">
        <v>705.5</v>
      </c>
      <c r="J45" s="7" t="n">
        <v>829.7</v>
      </c>
      <c r="L45" s="7" t="n">
        <v>1686.1</v>
      </c>
      <c r="N45" s="7" t="n">
        <v>1239.4</v>
      </c>
      <c r="P45" s="7" t="n">
        <v>1394.5</v>
      </c>
      <c r="R45" s="7" t="n">
        <v>1248.4</v>
      </c>
      <c r="T45" s="7" t="n">
        <v>1102.9</v>
      </c>
      <c r="V45" s="7" t="n">
        <v>1364.1</v>
      </c>
      <c r="X45" s="7" t="n">
        <v>905.2</v>
      </c>
      <c r="Z45" s="7" t="n">
        <v>1085.7</v>
      </c>
      <c r="AB45" s="7" t="n">
        <v>12607.2</v>
      </c>
    </row>
    <row r="46">
      <c r="A46" s="4" t="inlineStr">
        <is>
          <t>体检</t>
        </is>
      </c>
      <c r="D46" s="7" t="n">
        <v>1221.4</v>
      </c>
      <c r="F46" s="7" t="n">
        <v>1179</v>
      </c>
      <c r="H46" s="7" t="n">
        <v>2808.7</v>
      </c>
      <c r="J46" s="7" t="n">
        <v>1753.5</v>
      </c>
      <c r="L46" s="7" t="n">
        <v>3891.4</v>
      </c>
      <c r="N46" s="7" t="n">
        <v>2634.1</v>
      </c>
      <c r="P46" s="7" t="n">
        <v>4001.2</v>
      </c>
      <c r="R46" s="7" t="n">
        <v>3057.1</v>
      </c>
      <c r="T46" s="7" t="n">
        <v>3168.4</v>
      </c>
      <c r="V46" s="7" t="n">
        <v>3311.7</v>
      </c>
      <c r="X46" s="7" t="n">
        <v>2932.9</v>
      </c>
      <c r="Z46" s="7" t="n">
        <v>2590</v>
      </c>
      <c r="AB46" s="7" t="n">
        <v>32549.4</v>
      </c>
    </row>
    <row r="47">
      <c r="A47" s="4" t="inlineStr">
        <is>
          <t>其他福利支出</t>
        </is>
      </c>
      <c r="D47" s="7" t="n">
        <v>959.3</v>
      </c>
      <c r="F47" s="7" t="n">
        <v>928.1</v>
      </c>
      <c r="H47" s="7" t="n">
        <v>1328</v>
      </c>
      <c r="J47" s="7" t="n">
        <v>1032.1</v>
      </c>
      <c r="L47" s="7" t="n">
        <v>2071.2</v>
      </c>
      <c r="N47" s="7" t="n">
        <v>2467.3</v>
      </c>
      <c r="P47" s="7" t="n">
        <v>2494.2</v>
      </c>
      <c r="R47" s="7" t="n">
        <v>1312.5</v>
      </c>
      <c r="T47" s="7" t="n">
        <v>1515.7</v>
      </c>
      <c r="V47" s="7" t="n">
        <v>2119.5</v>
      </c>
      <c r="X47" s="7" t="n">
        <v>2331.3</v>
      </c>
      <c r="Z47" s="7" t="n">
        <v>1478.9</v>
      </c>
      <c r="AB47" s="7" t="n">
        <v>20038.1</v>
      </c>
    </row>
    <row r="48">
      <c r="A48" s="4" t="inlineStr">
        <is>
          <t>招聘费</t>
        </is>
      </c>
      <c r="D48" s="7" t="n">
        <v>882.9</v>
      </c>
      <c r="F48" s="7" t="n">
        <v>856.9</v>
      </c>
      <c r="H48" s="7" t="n">
        <v>1289.9</v>
      </c>
      <c r="J48" s="7" t="n">
        <v>1319.7</v>
      </c>
      <c r="L48" s="7" t="n">
        <v>1690.6</v>
      </c>
      <c r="N48" s="7" t="n">
        <v>2204.7</v>
      </c>
      <c r="P48" s="7" t="n">
        <v>2472.7</v>
      </c>
      <c r="R48" s="7" t="n">
        <v>1298.6</v>
      </c>
      <c r="T48" s="7" t="n">
        <v>1602.7</v>
      </c>
      <c r="V48" s="7" t="n">
        <v>1672.8</v>
      </c>
      <c r="X48" s="7" t="n">
        <v>1756.1</v>
      </c>
      <c r="Z48" s="7" t="n">
        <v>1429.6</v>
      </c>
      <c r="AB48" s="7" t="n">
        <v>18477.2</v>
      </c>
    </row>
    <row r="49">
      <c r="A49" s="4" t="inlineStr">
        <is>
          <t>办公费</t>
        </is>
      </c>
      <c r="D49" s="7" t="n">
        <v>4481.7</v>
      </c>
      <c r="F49" s="7" t="n">
        <v>5125.1</v>
      </c>
      <c r="H49" s="7" t="n">
        <v>9834.799999999999</v>
      </c>
      <c r="J49" s="7" t="n">
        <v>11467.9</v>
      </c>
      <c r="L49" s="7" t="n">
        <v>17815.7</v>
      </c>
      <c r="N49" s="7" t="n">
        <v>14733.4</v>
      </c>
      <c r="P49" s="7" t="n">
        <v>22154.3</v>
      </c>
      <c r="R49" s="7" t="n">
        <v>14462.8</v>
      </c>
      <c r="T49" s="7" t="n">
        <v>15239.8</v>
      </c>
      <c r="V49" s="7" t="n">
        <v>14934.3</v>
      </c>
      <c r="X49" s="7" t="n">
        <v>12402.1</v>
      </c>
      <c r="Z49" s="7" t="n">
        <v>9496.700000000001</v>
      </c>
      <c r="AB49" s="7" t="n">
        <v>152148.6</v>
      </c>
    </row>
    <row r="50">
      <c r="A50" s="4" t="inlineStr">
        <is>
          <t>市内交通费</t>
        </is>
      </c>
      <c r="D50" s="7" t="n">
        <v>772.3</v>
      </c>
      <c r="F50" s="7" t="n">
        <v>647.7</v>
      </c>
      <c r="H50" s="7" t="n">
        <v>1467.7</v>
      </c>
      <c r="J50" s="7" t="n">
        <v>995.3</v>
      </c>
      <c r="L50" s="7" t="n">
        <v>1640.3</v>
      </c>
      <c r="N50" s="7" t="n">
        <v>2401.3</v>
      </c>
      <c r="P50" s="7" t="n">
        <v>1988.1</v>
      </c>
      <c r="R50" s="7" t="n">
        <v>1276.4</v>
      </c>
      <c r="T50" s="7" t="n">
        <v>1605.7</v>
      </c>
      <c r="V50" s="7" t="n">
        <v>1311.5</v>
      </c>
      <c r="X50" s="7" t="n">
        <v>2428.2</v>
      </c>
      <c r="Z50" s="7" t="n">
        <v>1337.5</v>
      </c>
      <c r="AB50" s="7" t="n">
        <v>17872</v>
      </c>
    </row>
    <row r="51">
      <c r="A51" s="4" t="inlineStr">
        <is>
          <t>差旅费</t>
        </is>
      </c>
      <c r="D51" s="7" t="n">
        <v>11571.8</v>
      </c>
      <c r="F51" s="7" t="n">
        <v>10916.1</v>
      </c>
      <c r="H51" s="7" t="n">
        <v>26559</v>
      </c>
      <c r="J51" s="7" t="n">
        <v>25178</v>
      </c>
      <c r="L51" s="7" t="n">
        <v>26203.6</v>
      </c>
      <c r="N51" s="7" t="n">
        <v>35569.6</v>
      </c>
      <c r="P51" s="7" t="n">
        <v>37121.7</v>
      </c>
      <c r="R51" s="7" t="n">
        <v>21854.8</v>
      </c>
      <c r="T51" s="7" t="n">
        <v>24439.3</v>
      </c>
      <c r="V51" s="7" t="n">
        <v>35653.1</v>
      </c>
      <c r="X51" s="7" t="n">
        <v>34808.2</v>
      </c>
      <c r="Z51" s="7" t="n">
        <v>23157.1</v>
      </c>
      <c r="AB51" s="7" t="n">
        <v>313032.3</v>
      </c>
    </row>
    <row r="52">
      <c r="A52" s="4" t="inlineStr">
        <is>
          <t>交通费</t>
        </is>
      </c>
      <c r="D52" s="7" t="n">
        <v>437.6</v>
      </c>
      <c r="F52" s="7" t="n">
        <v>278.6</v>
      </c>
      <c r="H52" s="7" t="n">
        <v>901.4</v>
      </c>
      <c r="J52" s="7" t="n">
        <v>590.6</v>
      </c>
      <c r="L52" s="7" t="n">
        <v>1112.9</v>
      </c>
      <c r="N52" s="7" t="n">
        <v>873.8</v>
      </c>
      <c r="P52" s="7" t="n">
        <v>930</v>
      </c>
      <c r="R52" s="7" t="n">
        <v>647.3</v>
      </c>
      <c r="T52" s="7" t="n">
        <v>1056.8</v>
      </c>
      <c r="V52" s="7" t="n">
        <v>972.5</v>
      </c>
      <c r="X52" s="7" t="n">
        <v>888.1</v>
      </c>
      <c r="Z52" s="7" t="n">
        <v>734.2</v>
      </c>
      <c r="AB52" s="7" t="n">
        <v>9423.799999999999</v>
      </c>
    </row>
    <row r="53">
      <c r="A53" s="4" t="inlineStr">
        <is>
          <t>住宿费</t>
        </is>
      </c>
      <c r="D53" s="7" t="n">
        <v>299.9</v>
      </c>
      <c r="F53" s="7" t="n">
        <v>186.5</v>
      </c>
      <c r="H53" s="7" t="n">
        <v>496</v>
      </c>
      <c r="J53" s="7" t="n">
        <v>591.4</v>
      </c>
      <c r="L53" s="7" t="n">
        <v>472.8</v>
      </c>
      <c r="N53" s="7" t="n">
        <v>509.5</v>
      </c>
      <c r="P53" s="7" t="n">
        <v>908.6</v>
      </c>
      <c r="R53" s="7" t="n">
        <v>430.4</v>
      </c>
      <c r="T53" s="7" t="n">
        <v>584.8</v>
      </c>
      <c r="V53" s="7" t="n">
        <v>676.9</v>
      </c>
      <c r="X53" s="7" t="n">
        <v>614.6</v>
      </c>
      <c r="Z53" s="7" t="n">
        <v>581.4</v>
      </c>
      <c r="AB53" s="7" t="n">
        <v>6352.8</v>
      </c>
    </row>
    <row r="54">
      <c r="A54" s="4" t="inlineStr">
        <is>
          <t>餐补</t>
        </is>
      </c>
      <c r="D54" s="7" t="n">
        <v>219.6</v>
      </c>
      <c r="F54" s="7" t="n">
        <v>192.8</v>
      </c>
      <c r="H54" s="7" t="n">
        <v>584.9</v>
      </c>
      <c r="J54" s="7" t="n">
        <v>421</v>
      </c>
      <c r="L54" s="7" t="n">
        <v>693.5</v>
      </c>
      <c r="N54" s="7" t="n">
        <v>687</v>
      </c>
      <c r="P54" s="7" t="n">
        <v>597</v>
      </c>
      <c r="R54" s="7" t="n">
        <v>661.7</v>
      </c>
      <c r="T54" s="7" t="n">
        <v>666.5</v>
      </c>
      <c r="V54" s="7" t="n">
        <v>757.9</v>
      </c>
      <c r="X54" s="7" t="n">
        <v>463.2</v>
      </c>
      <c r="Z54" s="7" t="n">
        <v>402</v>
      </c>
      <c r="AB54" s="7" t="n">
        <v>6347.1</v>
      </c>
    </row>
    <row r="55">
      <c r="A55" s="4" t="inlineStr">
        <is>
          <t>交通补助</t>
        </is>
      </c>
      <c r="D55" s="7" t="n">
        <v>1235.1</v>
      </c>
      <c r="F55" s="7" t="n">
        <v>1228.2</v>
      </c>
      <c r="H55" s="7" t="n">
        <v>2267.1</v>
      </c>
      <c r="J55" s="7" t="n">
        <v>1392.9</v>
      </c>
      <c r="L55" s="7" t="n">
        <v>2505</v>
      </c>
      <c r="N55" s="7" t="n">
        <v>1968.1</v>
      </c>
      <c r="P55" s="7" t="n">
        <v>3563.7</v>
      </c>
      <c r="R55" s="7" t="n">
        <v>2286</v>
      </c>
      <c r="T55" s="7" t="n">
        <v>2034.3</v>
      </c>
      <c r="V55" s="7" t="n">
        <v>1845.1</v>
      </c>
      <c r="X55" s="7" t="n">
        <v>2770.9</v>
      </c>
      <c r="Z55" s="7" t="n">
        <v>1576.1</v>
      </c>
      <c r="AB55" s="7" t="n">
        <v>24672.5</v>
      </c>
    </row>
    <row r="56">
      <c r="A56" s="4" t="inlineStr">
        <is>
          <t>通讯补助</t>
        </is>
      </c>
      <c r="D56" s="7" t="n">
        <v>131.7</v>
      </c>
      <c r="F56" s="7" t="n">
        <v>94.59999999999999</v>
      </c>
      <c r="H56" s="7" t="n">
        <v>176.8</v>
      </c>
      <c r="J56" s="7" t="n">
        <v>157.8</v>
      </c>
      <c r="L56" s="7" t="n">
        <v>349.6</v>
      </c>
      <c r="N56" s="7" t="n">
        <v>309.1</v>
      </c>
      <c r="P56" s="7" t="n">
        <v>409.7</v>
      </c>
      <c r="R56" s="7" t="n">
        <v>224.5</v>
      </c>
      <c r="T56" s="7" t="n">
        <v>284.7</v>
      </c>
      <c r="V56" s="7" t="n">
        <v>296</v>
      </c>
      <c r="X56" s="7" t="n">
        <v>348.7</v>
      </c>
      <c r="Z56" s="7" t="n">
        <v>155</v>
      </c>
      <c r="AB56" s="7" t="n">
        <v>2938.2</v>
      </c>
    </row>
    <row r="57">
      <c r="A57" s="4" t="inlineStr">
        <is>
          <t>招待费</t>
        </is>
      </c>
      <c r="D57" s="7" t="n">
        <v>7443.8</v>
      </c>
      <c r="F57" s="7" t="n">
        <v>7697.1</v>
      </c>
      <c r="H57" s="7" t="n">
        <v>15464.1</v>
      </c>
      <c r="J57" s="7" t="n">
        <v>11600.5</v>
      </c>
      <c r="L57" s="7" t="n">
        <v>26171.2</v>
      </c>
      <c r="N57" s="7" t="n">
        <v>23029.5</v>
      </c>
      <c r="P57" s="7" t="n">
        <v>21928.6</v>
      </c>
      <c r="R57" s="7" t="n">
        <v>13865.3</v>
      </c>
      <c r="T57" s="7" t="n">
        <v>15194.5</v>
      </c>
      <c r="V57" s="7" t="n">
        <v>21572.3</v>
      </c>
      <c r="X57" s="7" t="n">
        <v>15029</v>
      </c>
      <c r="Z57" s="7" t="n">
        <v>14347.7</v>
      </c>
      <c r="AB57" s="7" t="n">
        <v>193343.6</v>
      </c>
    </row>
    <row r="58">
      <c r="A58" s="4" t="inlineStr">
        <is>
          <t>通讯费</t>
        </is>
      </c>
      <c r="D58" s="7" t="n">
        <v>905.5</v>
      </c>
      <c r="F58" s="7" t="n">
        <v>823</v>
      </c>
      <c r="H58" s="7" t="n">
        <v>2000.3</v>
      </c>
      <c r="J58" s="7" t="n">
        <v>2201</v>
      </c>
      <c r="L58" s="7" t="n">
        <v>3090.1</v>
      </c>
      <c r="N58" s="7" t="n">
        <v>1965</v>
      </c>
      <c r="P58" s="7" t="n">
        <v>4151.8</v>
      </c>
      <c r="R58" s="7" t="n">
        <v>1706.3</v>
      </c>
      <c r="T58" s="7" t="n">
        <v>2370.1</v>
      </c>
      <c r="V58" s="7" t="n">
        <v>3103.9</v>
      </c>
      <c r="X58" s="7" t="n">
        <v>2615.5</v>
      </c>
      <c r="Z58" s="7" t="n">
        <v>2203.3</v>
      </c>
      <c r="AB58" s="7" t="n">
        <v>27135.8</v>
      </c>
    </row>
    <row r="59">
      <c r="A59" s="4" t="inlineStr">
        <is>
          <t>网络费</t>
        </is>
      </c>
      <c r="D59" s="7" t="n">
        <v>566.7</v>
      </c>
      <c r="F59" s="7" t="n">
        <v>395.2</v>
      </c>
      <c r="H59" s="7" t="n">
        <v>639.3</v>
      </c>
      <c r="J59" s="7" t="n">
        <v>876.5</v>
      </c>
      <c r="L59" s="7" t="n">
        <v>901.2</v>
      </c>
      <c r="N59" s="7" t="n">
        <v>1156.7</v>
      </c>
      <c r="P59" s="7" t="n">
        <v>1975.7</v>
      </c>
      <c r="R59" s="7" t="n">
        <v>1227.1</v>
      </c>
      <c r="T59" s="7" t="n">
        <v>1125.5</v>
      </c>
      <c r="V59" s="7" t="n">
        <v>1126.6</v>
      </c>
      <c r="X59" s="7" t="n">
        <v>1505.5</v>
      </c>
      <c r="Z59" s="7" t="n">
        <v>1158.9</v>
      </c>
      <c r="AB59" s="7" t="n">
        <v>12654.9</v>
      </c>
    </row>
    <row r="60">
      <c r="A60" s="4" t="inlineStr">
        <is>
          <t>修理费</t>
        </is>
      </c>
      <c r="D60" s="7" t="n">
        <v>872.8</v>
      </c>
      <c r="F60" s="7" t="n">
        <v>1294.4</v>
      </c>
      <c r="H60" s="7" t="n">
        <v>2073.6</v>
      </c>
      <c r="J60" s="7" t="n">
        <v>2081.7</v>
      </c>
      <c r="L60" s="7" t="n">
        <v>2199.3</v>
      </c>
      <c r="N60" s="7" t="n">
        <v>2203</v>
      </c>
      <c r="P60" s="7" t="n">
        <v>3390.6</v>
      </c>
      <c r="R60" s="7" t="n">
        <v>2812.3</v>
      </c>
      <c r="T60" s="7" t="n">
        <v>2611.7</v>
      </c>
      <c r="V60" s="7" t="n">
        <v>2389</v>
      </c>
      <c r="X60" s="7" t="n">
        <v>2995.5</v>
      </c>
      <c r="Z60" s="7" t="n">
        <v>1448</v>
      </c>
      <c r="AB60" s="7" t="n">
        <v>26371.9</v>
      </c>
    </row>
    <row r="61">
      <c r="A61" s="4" t="inlineStr">
        <is>
          <t>车辆费</t>
        </is>
      </c>
      <c r="D61" s="7" t="n">
        <v>1002.3</v>
      </c>
      <c r="F61" s="7" t="n">
        <v>922.8</v>
      </c>
      <c r="H61" s="7" t="n">
        <v>2268.7</v>
      </c>
      <c r="J61" s="7" t="n">
        <v>1704.3</v>
      </c>
      <c r="L61" s="7" t="n">
        <v>3363.5</v>
      </c>
      <c r="N61" s="7" t="n">
        <v>2002.1</v>
      </c>
      <c r="P61" s="7" t="n">
        <v>2901.3</v>
      </c>
      <c r="R61" s="7" t="n">
        <v>2684.5</v>
      </c>
      <c r="T61" s="7" t="n">
        <v>1743</v>
      </c>
      <c r="V61" s="7" t="n">
        <v>2188.2</v>
      </c>
      <c r="X61" s="7" t="n">
        <v>2505</v>
      </c>
      <c r="Z61" s="7" t="n">
        <v>1544</v>
      </c>
      <c r="AB61" s="7" t="n">
        <v>24829.7</v>
      </c>
    </row>
    <row r="62">
      <c r="A62" s="4" t="inlineStr">
        <is>
          <t>租赁费</t>
        </is>
      </c>
      <c r="D62" s="7" t="n">
        <v>9291.4</v>
      </c>
      <c r="F62" s="7" t="n">
        <v>8994.299999999999</v>
      </c>
      <c r="H62" s="7" t="n">
        <v>12924.2</v>
      </c>
      <c r="J62" s="7" t="n">
        <v>18089.4</v>
      </c>
      <c r="L62" s="7" t="n">
        <v>18826.6</v>
      </c>
      <c r="N62" s="7" t="n">
        <v>22069.9</v>
      </c>
      <c r="P62" s="7" t="n">
        <v>26479.7</v>
      </c>
      <c r="R62" s="7" t="n">
        <v>13680.3</v>
      </c>
      <c r="T62" s="7" t="n">
        <v>26219.3</v>
      </c>
      <c r="V62" s="7" t="n">
        <v>20950.9</v>
      </c>
      <c r="X62" s="7" t="n">
        <v>27781.8</v>
      </c>
      <c r="Z62" s="7" t="n">
        <v>21748.8</v>
      </c>
      <c r="AB62" s="7" t="n">
        <v>227056.6</v>
      </c>
    </row>
    <row r="63">
      <c r="A63" s="4" t="inlineStr">
        <is>
          <t>能源费</t>
        </is>
      </c>
      <c r="D63" s="7" t="n">
        <v>2014.1</v>
      </c>
      <c r="F63" s="7" t="n">
        <v>2131.1</v>
      </c>
      <c r="H63" s="7" t="n">
        <v>3775.8</v>
      </c>
      <c r="J63" s="7" t="n">
        <v>4192.9</v>
      </c>
      <c r="L63" s="7" t="n">
        <v>5371.1</v>
      </c>
      <c r="N63" s="7" t="n">
        <v>4539</v>
      </c>
      <c r="P63" s="7" t="n">
        <v>5090.8</v>
      </c>
      <c r="R63" s="7" t="n">
        <v>4721</v>
      </c>
      <c r="T63" s="7" t="n">
        <v>4268.5</v>
      </c>
      <c r="V63" s="7" t="n">
        <v>4773.2</v>
      </c>
      <c r="X63" s="7" t="n">
        <v>5265.9</v>
      </c>
      <c r="Z63" s="7" t="n">
        <v>3535.7</v>
      </c>
      <c r="AB63" s="7" t="n">
        <v>49679.1</v>
      </c>
    </row>
    <row r="64">
      <c r="A64" s="4" t="inlineStr">
        <is>
          <t>水费</t>
        </is>
      </c>
      <c r="D64" s="7" t="n">
        <v>449.1</v>
      </c>
      <c r="F64" s="7" t="n">
        <v>354.7</v>
      </c>
      <c r="H64" s="7" t="n">
        <v>645</v>
      </c>
      <c r="J64" s="7" t="n">
        <v>782.9</v>
      </c>
      <c r="L64" s="7" t="n">
        <v>1087.6</v>
      </c>
      <c r="N64" s="7" t="n">
        <v>930.9</v>
      </c>
      <c r="P64" s="7" t="n">
        <v>1142</v>
      </c>
      <c r="R64" s="7" t="n">
        <v>774.6</v>
      </c>
      <c r="T64" s="7" t="n">
        <v>648</v>
      </c>
      <c r="V64" s="7" t="n">
        <v>874</v>
      </c>
      <c r="X64" s="7" t="n">
        <v>785.3</v>
      </c>
      <c r="Z64" s="7" t="n">
        <v>798.7</v>
      </c>
      <c r="AB64" s="7" t="n">
        <v>9272.799999999999</v>
      </c>
    </row>
    <row r="65">
      <c r="A65" s="4" t="inlineStr">
        <is>
          <t>电费</t>
        </is>
      </c>
      <c r="D65" s="7" t="n">
        <v>734.7</v>
      </c>
      <c r="F65" s="7" t="n">
        <v>1172.3</v>
      </c>
      <c r="H65" s="7" t="n">
        <v>1630.4</v>
      </c>
      <c r="J65" s="7" t="n">
        <v>1918.2</v>
      </c>
      <c r="L65" s="7" t="n">
        <v>2147.6</v>
      </c>
      <c r="N65" s="7" t="n">
        <v>1799.1</v>
      </c>
      <c r="P65" s="7" t="n">
        <v>2200.9</v>
      </c>
      <c r="R65" s="7" t="n">
        <v>2400.9</v>
      </c>
      <c r="T65" s="7" t="n">
        <v>2113.6</v>
      </c>
      <c r="V65" s="7" t="n">
        <v>1761.5</v>
      </c>
      <c r="X65" s="7" t="n">
        <v>2398.4</v>
      </c>
      <c r="Z65" s="7" t="n">
        <v>1724</v>
      </c>
      <c r="AB65" s="7" t="n">
        <v>22001.6</v>
      </c>
    </row>
    <row r="66">
      <c r="A66" s="4" t="inlineStr">
        <is>
          <t>燃气费</t>
        </is>
      </c>
      <c r="D66" s="7" t="n">
        <v>499.1</v>
      </c>
      <c r="F66" s="7" t="n">
        <v>386.1</v>
      </c>
      <c r="H66" s="7" t="n">
        <v>866.8</v>
      </c>
      <c r="J66" s="7" t="n">
        <v>872</v>
      </c>
      <c r="L66" s="7" t="n">
        <v>1407.9</v>
      </c>
      <c r="N66" s="7" t="n">
        <v>884.8</v>
      </c>
      <c r="P66" s="7" t="n">
        <v>1141.7</v>
      </c>
      <c r="R66" s="7" t="n">
        <v>988.8</v>
      </c>
      <c r="T66" s="7" t="n">
        <v>1003.4</v>
      </c>
      <c r="V66" s="7" t="n">
        <v>1350.1</v>
      </c>
      <c r="X66" s="7" t="n">
        <v>1259.1</v>
      </c>
      <c r="Z66" s="7" t="n">
        <v>598.7</v>
      </c>
      <c r="AB66" s="7" t="n">
        <v>11258.5</v>
      </c>
    </row>
    <row r="67">
      <c r="A67" s="4" t="inlineStr">
        <is>
          <t>蒸汽费</t>
        </is>
      </c>
      <c r="D67" s="7" t="n">
        <v>331.2</v>
      </c>
      <c r="F67" s="7" t="n">
        <v>218</v>
      </c>
      <c r="H67" s="7" t="n">
        <v>633.6</v>
      </c>
      <c r="J67" s="7" t="n">
        <v>619.8</v>
      </c>
      <c r="L67" s="7" t="n">
        <v>728</v>
      </c>
      <c r="N67" s="7" t="n">
        <v>924.2</v>
      </c>
      <c r="P67" s="7" t="n">
        <v>606.2</v>
      </c>
      <c r="R67" s="7" t="n">
        <v>556.7</v>
      </c>
      <c r="T67" s="7" t="n">
        <v>503.5</v>
      </c>
      <c r="V67" s="7" t="n">
        <v>787.6</v>
      </c>
      <c r="X67" s="7" t="n">
        <v>823.1</v>
      </c>
      <c r="Z67" s="7" t="n">
        <v>414.3</v>
      </c>
      <c r="AB67" s="7" t="n">
        <v>7146.2</v>
      </c>
    </row>
    <row r="68">
      <c r="A68" s="4" t="inlineStr">
        <is>
          <t>物业费</t>
        </is>
      </c>
      <c r="D68" s="7" t="n">
        <v>543</v>
      </c>
      <c r="F68" s="7" t="n">
        <v>563.7</v>
      </c>
      <c r="H68" s="7" t="n">
        <v>1371.2</v>
      </c>
      <c r="J68" s="7" t="n">
        <v>1040</v>
      </c>
      <c r="L68" s="7" t="n">
        <v>1844.8</v>
      </c>
      <c r="N68" s="7" t="n">
        <v>1623.4</v>
      </c>
      <c r="P68" s="7" t="n">
        <v>2037.3</v>
      </c>
      <c r="R68" s="7" t="n">
        <v>1451.6</v>
      </c>
      <c r="T68" s="7" t="n">
        <v>1821</v>
      </c>
      <c r="V68" s="7" t="n">
        <v>1464.2</v>
      </c>
      <c r="X68" s="7" t="n">
        <v>1503.6</v>
      </c>
      <c r="Z68" s="7" t="n">
        <v>1551.6</v>
      </c>
      <c r="AB68" s="7" t="n">
        <v>16815.4</v>
      </c>
    </row>
    <row r="69">
      <c r="A69" s="4" t="inlineStr">
        <is>
          <t>劳动保护费</t>
        </is>
      </c>
      <c r="D69" s="7" t="n">
        <v>160</v>
      </c>
      <c r="F69" s="7" t="n">
        <v>169</v>
      </c>
      <c r="H69" s="7" t="n">
        <v>283.3</v>
      </c>
      <c r="J69" s="7" t="n">
        <v>373.6</v>
      </c>
      <c r="L69" s="7" t="n">
        <v>389.7</v>
      </c>
      <c r="N69" s="7" t="n">
        <v>332.1</v>
      </c>
      <c r="P69" s="7" t="n">
        <v>419</v>
      </c>
      <c r="R69" s="7" t="n">
        <v>243.5</v>
      </c>
      <c r="T69" s="7" t="n">
        <v>269.6</v>
      </c>
      <c r="V69" s="7" t="n">
        <v>414.2</v>
      </c>
      <c r="X69" s="7" t="n">
        <v>311.1</v>
      </c>
      <c r="Z69" s="7" t="n">
        <v>320.9</v>
      </c>
      <c r="AB69" s="7" t="n">
        <v>3686</v>
      </c>
    </row>
    <row r="70">
      <c r="A70" s="4" t="inlineStr">
        <is>
          <t>顾问费</t>
        </is>
      </c>
      <c r="D70" s="7" t="n">
        <v>129.3</v>
      </c>
      <c r="F70" s="7" t="n">
        <v>214.2</v>
      </c>
      <c r="H70" s="7" t="n">
        <v>345.8</v>
      </c>
      <c r="J70" s="7" t="n">
        <v>351.3</v>
      </c>
      <c r="L70" s="7" t="n">
        <v>487.4</v>
      </c>
      <c r="N70" s="7" t="n">
        <v>337.8</v>
      </c>
      <c r="P70" s="7" t="n">
        <v>434.3</v>
      </c>
      <c r="R70" s="7" t="n">
        <v>424.8</v>
      </c>
      <c r="T70" s="7" t="n">
        <v>369.2</v>
      </c>
      <c r="V70" s="7" t="n">
        <v>442.8</v>
      </c>
      <c r="X70" s="7" t="n">
        <v>484</v>
      </c>
      <c r="Z70" s="7" t="n">
        <v>370.4</v>
      </c>
      <c r="AB70" s="7" t="n">
        <v>4391.3</v>
      </c>
    </row>
    <row r="71">
      <c r="A71" s="4" t="inlineStr">
        <is>
          <t>快递费</t>
        </is>
      </c>
      <c r="D71" s="7" t="n">
        <v>14.2</v>
      </c>
      <c r="F71" s="7" t="n">
        <v>14.1</v>
      </c>
      <c r="H71" s="7" t="n">
        <v>24.6</v>
      </c>
      <c r="J71" s="7" t="n">
        <v>36.4</v>
      </c>
      <c r="L71" s="7" t="n">
        <v>53.4</v>
      </c>
      <c r="N71" s="7" t="n">
        <v>55</v>
      </c>
      <c r="P71" s="7" t="n">
        <v>48.6</v>
      </c>
      <c r="R71" s="7" t="n">
        <v>32.7</v>
      </c>
      <c r="T71" s="7" t="n">
        <v>40.2</v>
      </c>
      <c r="V71" s="7" t="n">
        <v>46.7</v>
      </c>
      <c r="X71" s="7" t="n">
        <v>43</v>
      </c>
      <c r="Z71" s="7" t="n">
        <v>26.4</v>
      </c>
      <c r="AB71" s="7" t="n">
        <v>435.3</v>
      </c>
    </row>
    <row r="72">
      <c r="A72" s="4" t="inlineStr">
        <is>
          <t>诉讼费</t>
        </is>
      </c>
      <c r="D72" s="7" t="n">
        <v>705.4</v>
      </c>
      <c r="F72" s="7" t="n">
        <v>721.2</v>
      </c>
      <c r="H72" s="7" t="n">
        <v>1766.4</v>
      </c>
      <c r="J72" s="7" t="n">
        <v>1796.9</v>
      </c>
      <c r="L72" s="7" t="n">
        <v>2309.4</v>
      </c>
      <c r="N72" s="7" t="n">
        <v>2064.3</v>
      </c>
      <c r="P72" s="7" t="n">
        <v>3181.9</v>
      </c>
      <c r="R72" s="7" t="n">
        <v>1536.6</v>
      </c>
      <c r="T72" s="7" t="n">
        <v>1442.4</v>
      </c>
      <c r="V72" s="7" t="n">
        <v>1868.1</v>
      </c>
      <c r="X72" s="7" t="n">
        <v>1632.4</v>
      </c>
      <c r="Z72" s="7" t="n">
        <v>1733</v>
      </c>
      <c r="AB72" s="7" t="n">
        <v>20758</v>
      </c>
    </row>
    <row r="73">
      <c r="A73" s="4" t="inlineStr">
        <is>
          <t>会员费</t>
        </is>
      </c>
      <c r="D73" s="7" t="n">
        <v>1291.3</v>
      </c>
      <c r="F73" s="7" t="n">
        <v>1053.3</v>
      </c>
      <c r="H73" s="7" t="n">
        <v>1560.5</v>
      </c>
      <c r="J73" s="7" t="n">
        <v>1487.9</v>
      </c>
      <c r="L73" s="7" t="n">
        <v>2410</v>
      </c>
      <c r="N73" s="7" t="n">
        <v>2372.2</v>
      </c>
      <c r="P73" s="7" t="n">
        <v>2652.8</v>
      </c>
      <c r="R73" s="7" t="n">
        <v>2434.3</v>
      </c>
      <c r="T73" s="7" t="n">
        <v>2188.7</v>
      </c>
      <c r="V73" s="7" t="n">
        <v>2957.3</v>
      </c>
      <c r="X73" s="7" t="n">
        <v>1992.1</v>
      </c>
      <c r="Z73" s="7" t="n">
        <v>1893.2</v>
      </c>
      <c r="AB73" s="7" t="n">
        <v>24293.6</v>
      </c>
    </row>
    <row r="74">
      <c r="A74" s="4" t="inlineStr">
        <is>
          <t>广告宣传费</t>
        </is>
      </c>
      <c r="D74" s="7" t="n">
        <v>5438.9</v>
      </c>
      <c r="F74" s="7" t="n">
        <v>4754.9</v>
      </c>
      <c r="H74" s="7" t="n">
        <v>8545.1</v>
      </c>
      <c r="J74" s="7" t="n">
        <v>12981.9</v>
      </c>
      <c r="L74" s="7" t="n">
        <v>18249</v>
      </c>
      <c r="N74" s="7" t="n">
        <v>19123.2</v>
      </c>
      <c r="P74" s="7" t="n">
        <v>15560.9</v>
      </c>
      <c r="R74" s="7" t="n">
        <v>11366.3</v>
      </c>
      <c r="T74" s="7" t="n">
        <v>11753.7</v>
      </c>
      <c r="V74" s="7" t="n">
        <v>10936.5</v>
      </c>
      <c r="X74" s="7" t="n">
        <v>17283.2</v>
      </c>
      <c r="Z74" s="7" t="n">
        <v>11611.9</v>
      </c>
      <c r="AB74" s="7" t="n">
        <v>147605.5</v>
      </c>
    </row>
    <row r="75">
      <c r="A75" s="4" t="inlineStr">
        <is>
          <t>会务费</t>
        </is>
      </c>
      <c r="D75" s="7" t="n">
        <v>669.7</v>
      </c>
      <c r="F75" s="7" t="n">
        <v>493.8</v>
      </c>
      <c r="H75" s="7" t="n">
        <v>949.9</v>
      </c>
      <c r="J75" s="7" t="n">
        <v>704.8</v>
      </c>
      <c r="L75" s="7" t="n">
        <v>1096.8</v>
      </c>
      <c r="N75" s="7" t="n">
        <v>1160.3</v>
      </c>
      <c r="P75" s="7" t="n">
        <v>1294.6</v>
      </c>
      <c r="R75" s="7" t="n">
        <v>734.1</v>
      </c>
      <c r="T75" s="7" t="n">
        <v>1249</v>
      </c>
      <c r="V75" s="7" t="n">
        <v>1190.1</v>
      </c>
      <c r="X75" s="7" t="n">
        <v>1101.7</v>
      </c>
      <c r="Z75" s="7" t="n">
        <v>846</v>
      </c>
      <c r="AB75" s="7" t="n">
        <v>11490.8</v>
      </c>
    </row>
    <row r="76">
      <c r="A76" s="4" t="inlineStr">
        <is>
          <t>装修费</t>
        </is>
      </c>
      <c r="D76" s="7" t="n">
        <v>108.2</v>
      </c>
      <c r="F76" s="7" t="n">
        <v>59.9</v>
      </c>
      <c r="H76" s="7" t="n">
        <v>177.6</v>
      </c>
      <c r="J76" s="7" t="n">
        <v>124.8</v>
      </c>
      <c r="L76" s="7" t="n">
        <v>176.7</v>
      </c>
      <c r="N76" s="7" t="n">
        <v>262.5</v>
      </c>
      <c r="P76" s="7" t="n">
        <v>312.8</v>
      </c>
      <c r="R76" s="7" t="n">
        <v>192.1</v>
      </c>
      <c r="T76" s="7" t="n">
        <v>175.5</v>
      </c>
      <c r="V76" s="7" t="n">
        <v>242.1</v>
      </c>
      <c r="X76" s="7" t="n">
        <v>255.1</v>
      </c>
      <c r="Z76" s="7" t="n">
        <v>158.3</v>
      </c>
      <c r="AB76" s="7" t="n">
        <v>2245.6</v>
      </c>
    </row>
    <row r="77">
      <c r="A77" s="4" t="inlineStr">
        <is>
          <t>推广费</t>
        </is>
      </c>
      <c r="D77" s="7" t="n">
        <v>925</v>
      </c>
      <c r="F77" s="7" t="n">
        <v>1552.2</v>
      </c>
      <c r="H77" s="7" t="n">
        <v>1994.5</v>
      </c>
      <c r="J77" s="7" t="n">
        <v>2535.6</v>
      </c>
      <c r="L77" s="7" t="n">
        <v>3343.9</v>
      </c>
      <c r="N77" s="7" t="n">
        <v>3327</v>
      </c>
      <c r="P77" s="7" t="n">
        <v>2703.8</v>
      </c>
      <c r="R77" s="7" t="n">
        <v>2005.4</v>
      </c>
      <c r="T77" s="7" t="n">
        <v>1995.3</v>
      </c>
      <c r="V77" s="7" t="n">
        <v>2647.2</v>
      </c>
      <c r="X77" s="7" t="n">
        <v>3660.6</v>
      </c>
      <c r="Z77" s="7" t="n">
        <v>1941.3</v>
      </c>
      <c r="AB77" s="7" t="n">
        <v>28631.8</v>
      </c>
    </row>
    <row r="78">
      <c r="A78" s="4" t="inlineStr">
        <is>
          <t>展会费</t>
        </is>
      </c>
      <c r="D78" s="7" t="n">
        <v>1140.7</v>
      </c>
      <c r="F78" s="7" t="n">
        <v>1079.4</v>
      </c>
      <c r="H78" s="7" t="n">
        <v>2018.1</v>
      </c>
      <c r="J78" s="7" t="n">
        <v>2391.9</v>
      </c>
      <c r="L78" s="7" t="n">
        <v>2770.7</v>
      </c>
      <c r="N78" s="7" t="n">
        <v>2405.4</v>
      </c>
      <c r="P78" s="7" t="n">
        <v>2946.8</v>
      </c>
      <c r="R78" s="7" t="n">
        <v>2174.1</v>
      </c>
      <c r="T78" s="7" t="n">
        <v>2649.5</v>
      </c>
      <c r="V78" s="7" t="n">
        <v>2206.3</v>
      </c>
      <c r="X78" s="7" t="n">
        <v>3159.4</v>
      </c>
      <c r="Z78" s="7" t="n">
        <v>1717.2</v>
      </c>
      <c r="AB78" s="7" t="n">
        <v>26659.5</v>
      </c>
    </row>
    <row r="79">
      <c r="A79" s="4" t="inlineStr">
        <is>
          <t>设计费</t>
        </is>
      </c>
      <c r="D79" s="7" t="n">
        <v>1043</v>
      </c>
      <c r="F79" s="7" t="n">
        <v>941.2</v>
      </c>
      <c r="H79" s="7" t="n">
        <v>1655.8</v>
      </c>
      <c r="J79" s="7" t="n">
        <v>1833.8</v>
      </c>
      <c r="L79" s="7" t="n">
        <v>2801.3</v>
      </c>
      <c r="N79" s="7" t="n">
        <v>1891.1</v>
      </c>
      <c r="P79" s="7" t="n">
        <v>3706.9</v>
      </c>
      <c r="R79" s="7" t="n">
        <v>1600.4</v>
      </c>
      <c r="T79" s="7" t="n">
        <v>2470.3</v>
      </c>
      <c r="V79" s="7" t="n">
        <v>1913.9</v>
      </c>
      <c r="X79" s="7" t="n">
        <v>2324.4</v>
      </c>
      <c r="Z79" s="7" t="n">
        <v>2299.1</v>
      </c>
      <c r="AB79" s="7" t="n">
        <v>24481.2</v>
      </c>
    </row>
    <row r="80">
      <c r="A80" s="4" t="inlineStr">
        <is>
          <t>折旧费</t>
        </is>
      </c>
      <c r="D80" s="7" t="n">
        <v>6114.2</v>
      </c>
      <c r="F80" s="7" t="n">
        <v>8421.200000000001</v>
      </c>
      <c r="H80" s="7" t="n">
        <v>17850.1</v>
      </c>
      <c r="J80" s="7" t="n">
        <v>13707.1</v>
      </c>
      <c r="L80" s="7" t="n">
        <v>15796.4</v>
      </c>
      <c r="N80" s="7" t="n">
        <v>22798.6</v>
      </c>
      <c r="P80" s="7" t="n">
        <v>20008.7</v>
      </c>
      <c r="R80" s="7" t="n">
        <v>11626.3</v>
      </c>
      <c r="T80" s="7" t="n">
        <v>13897.4</v>
      </c>
      <c r="V80" s="7" t="n">
        <v>23383</v>
      </c>
      <c r="X80" s="7" t="n">
        <v>18644.4</v>
      </c>
      <c r="Z80" s="7" t="n">
        <v>18439.9</v>
      </c>
      <c r="AB80" s="7" t="n">
        <v>190687.3</v>
      </c>
    </row>
    <row r="81">
      <c r="A81" s="4" t="inlineStr">
        <is>
          <t>认证费</t>
        </is>
      </c>
      <c r="D81" s="7" t="n">
        <v>1069.5</v>
      </c>
      <c r="F81" s="7" t="n">
        <v>989.6</v>
      </c>
      <c r="H81" s="7" t="n">
        <v>1106.7</v>
      </c>
      <c r="J81" s="7" t="n">
        <v>1878.3</v>
      </c>
      <c r="L81" s="7" t="n">
        <v>2273.8</v>
      </c>
      <c r="N81" s="7" t="n">
        <v>1590</v>
      </c>
      <c r="P81" s="7" t="n">
        <v>2157.7</v>
      </c>
      <c r="R81" s="7" t="n">
        <v>1712</v>
      </c>
      <c r="T81" s="7" t="n">
        <v>1969.3</v>
      </c>
      <c r="V81" s="7" t="n">
        <v>2488.6</v>
      </c>
      <c r="X81" s="7" t="n">
        <v>1755.9</v>
      </c>
      <c r="Z81" s="7" t="n">
        <v>1479.6</v>
      </c>
      <c r="AB81" s="7" t="n">
        <v>20471</v>
      </c>
    </row>
    <row r="82">
      <c r="A82" s="4" t="inlineStr">
        <is>
          <t>样品费</t>
        </is>
      </c>
      <c r="D82" s="7" t="n">
        <v>3561.5</v>
      </c>
      <c r="F82" s="7" t="n">
        <v>3039.4</v>
      </c>
      <c r="H82" s="7" t="n">
        <v>8014.4</v>
      </c>
      <c r="J82" s="7" t="n">
        <v>8078.4</v>
      </c>
      <c r="L82" s="7" t="n">
        <v>12692.1</v>
      </c>
      <c r="N82" s="7" t="n">
        <v>9912.200000000001</v>
      </c>
      <c r="P82" s="7" t="n">
        <v>15593.1</v>
      </c>
      <c r="R82" s="7" t="n">
        <v>9028.5</v>
      </c>
      <c r="T82" s="7" t="n">
        <v>10029.8</v>
      </c>
      <c r="V82" s="7" t="n">
        <v>7103.7</v>
      </c>
      <c r="X82" s="7" t="n">
        <v>9881.6</v>
      </c>
      <c r="Z82" s="7" t="n">
        <v>5964.4</v>
      </c>
      <c r="AB82" s="7" t="n">
        <v>102899.1</v>
      </c>
    </row>
    <row r="83">
      <c r="A83" s="4" t="inlineStr">
        <is>
          <t>劳务费</t>
        </is>
      </c>
      <c r="D83" s="7" t="n">
        <v>543.3</v>
      </c>
      <c r="F83" s="7" t="n">
        <v>801.4</v>
      </c>
      <c r="H83" s="7" t="n">
        <v>1652.1</v>
      </c>
      <c r="J83" s="7" t="n">
        <v>1544.6</v>
      </c>
      <c r="L83" s="7" t="n">
        <v>1972.1</v>
      </c>
      <c r="N83" s="7" t="n">
        <v>1503.5</v>
      </c>
      <c r="P83" s="7" t="n">
        <v>2597.7</v>
      </c>
      <c r="R83" s="7" t="n">
        <v>1864.7</v>
      </c>
      <c r="T83" s="7" t="n">
        <v>1602.1</v>
      </c>
      <c r="V83" s="7" t="n">
        <v>1941.2</v>
      </c>
      <c r="X83" s="7" t="n">
        <v>1517.7</v>
      </c>
      <c r="Z83" s="7" t="n">
        <v>1603.9</v>
      </c>
      <c r="AB83" s="7" t="n">
        <v>19144.3</v>
      </c>
    </row>
    <row r="84">
      <c r="A84" s="4" t="inlineStr">
        <is>
          <t>销售佣金</t>
        </is>
      </c>
      <c r="D84" s="7" t="n">
        <v>229.6</v>
      </c>
      <c r="F84" s="7" t="n">
        <v>235.6</v>
      </c>
      <c r="H84" s="7" t="n">
        <v>637.8</v>
      </c>
      <c r="J84" s="7" t="n">
        <v>446.6</v>
      </c>
      <c r="L84" s="7" t="n">
        <v>680.7</v>
      </c>
      <c r="N84" s="7" t="n">
        <v>564.4</v>
      </c>
      <c r="P84" s="7" t="n">
        <v>896.4</v>
      </c>
      <c r="R84" s="7" t="n">
        <v>630.8</v>
      </c>
      <c r="T84" s="7" t="n">
        <v>449.3</v>
      </c>
      <c r="V84" s="7" t="n">
        <v>814.9</v>
      </c>
      <c r="X84" s="7" t="n">
        <v>859</v>
      </c>
      <c r="Z84" s="7" t="n">
        <v>503.1</v>
      </c>
      <c r="AB84" s="7" t="n">
        <v>6948.2</v>
      </c>
    </row>
    <row r="85">
      <c r="A85" s="4" t="inlineStr">
        <is>
          <t>检测费</t>
        </is>
      </c>
      <c r="D85" s="7" t="n">
        <v>1179.7</v>
      </c>
      <c r="F85" s="7" t="n">
        <v>1131.4</v>
      </c>
      <c r="H85" s="7" t="n">
        <v>1651.7</v>
      </c>
      <c r="J85" s="7" t="n">
        <v>1960.9</v>
      </c>
      <c r="L85" s="7" t="n">
        <v>3009.1</v>
      </c>
      <c r="N85" s="7" t="n">
        <v>1968.2</v>
      </c>
      <c r="P85" s="7" t="n">
        <v>2767.7</v>
      </c>
      <c r="R85" s="7" t="n">
        <v>1527.1</v>
      </c>
      <c r="T85" s="7" t="n">
        <v>1455.6</v>
      </c>
      <c r="V85" s="7" t="n">
        <v>1866.5</v>
      </c>
      <c r="X85" s="7" t="n">
        <v>2949</v>
      </c>
      <c r="Z85" s="7" t="n">
        <v>1682</v>
      </c>
      <c r="AB85" s="7" t="n">
        <v>23148.9</v>
      </c>
    </row>
    <row r="86">
      <c r="A86" s="4" t="inlineStr">
        <is>
          <t>质量赔偿</t>
        </is>
      </c>
      <c r="D86" s="7" t="n">
        <v>90.90000000000001</v>
      </c>
      <c r="F86" s="7" t="n">
        <v>78.59999999999999</v>
      </c>
      <c r="H86" s="7" t="n">
        <v>183.2</v>
      </c>
      <c r="J86" s="7" t="n">
        <v>189.8</v>
      </c>
      <c r="L86" s="7" t="n">
        <v>314.8</v>
      </c>
      <c r="N86" s="7" t="n">
        <v>221.9</v>
      </c>
      <c r="P86" s="7" t="n">
        <v>377.7</v>
      </c>
      <c r="R86" s="7" t="n">
        <v>240.6</v>
      </c>
      <c r="T86" s="7" t="n">
        <v>278.5</v>
      </c>
      <c r="V86" s="7" t="n">
        <v>264.8</v>
      </c>
      <c r="X86" s="7" t="n">
        <v>340.2</v>
      </c>
      <c r="Z86" s="7" t="n">
        <v>208.9</v>
      </c>
      <c r="AB86" s="7" t="n">
        <v>2789.9</v>
      </c>
    </row>
    <row r="87">
      <c r="A87" s="4" t="inlineStr">
        <is>
          <t>保险费</t>
        </is>
      </c>
      <c r="D87" s="7" t="n">
        <v>1363.2</v>
      </c>
      <c r="F87" s="7" t="n">
        <v>1075.7</v>
      </c>
      <c r="H87" s="7" t="n">
        <v>2127.8</v>
      </c>
      <c r="J87" s="7" t="n">
        <v>2682.3</v>
      </c>
      <c r="L87" s="7" t="n">
        <v>3367.9</v>
      </c>
      <c r="N87" s="7" t="n">
        <v>3448.7</v>
      </c>
      <c r="P87" s="7" t="n">
        <v>3148.5</v>
      </c>
      <c r="R87" s="7" t="n">
        <v>2344.4</v>
      </c>
      <c r="T87" s="7" t="n">
        <v>2061.6</v>
      </c>
      <c r="V87" s="7" t="n">
        <v>3543</v>
      </c>
      <c r="X87" s="7" t="n">
        <v>3007</v>
      </c>
      <c r="Z87" s="7" t="n">
        <v>1997.4</v>
      </c>
      <c r="AB87" s="7" t="n">
        <v>30167.5</v>
      </c>
    </row>
    <row r="88">
      <c r="A88" s="4" t="inlineStr">
        <is>
          <t>清洁费</t>
        </is>
      </c>
      <c r="D88" s="7" t="n">
        <v>1026.3</v>
      </c>
      <c r="F88" s="7" t="n">
        <v>890.1</v>
      </c>
      <c r="H88" s="7" t="n">
        <v>1657.9</v>
      </c>
      <c r="J88" s="7" t="n">
        <v>1154.8</v>
      </c>
      <c r="L88" s="7" t="n">
        <v>1762.7</v>
      </c>
      <c r="N88" s="7" t="n">
        <v>2307</v>
      </c>
      <c r="P88" s="7" t="n">
        <v>2342.4</v>
      </c>
      <c r="R88" s="7" t="n">
        <v>1150.2</v>
      </c>
      <c r="T88" s="7" t="n">
        <v>1696.7</v>
      </c>
      <c r="V88" s="7" t="n">
        <v>2188.5</v>
      </c>
      <c r="X88" s="7" t="n">
        <v>1521</v>
      </c>
      <c r="Z88" s="7" t="n">
        <v>1036.5</v>
      </c>
      <c r="AB88" s="7" t="n">
        <v>18734.1</v>
      </c>
    </row>
    <row r="89">
      <c r="A89" s="4" t="inlineStr">
        <is>
          <t>低值易耗品</t>
        </is>
      </c>
      <c r="D89" s="7" t="n">
        <v>1013.5</v>
      </c>
      <c r="F89" s="7" t="n">
        <v>1114.5</v>
      </c>
      <c r="H89" s="7" t="n">
        <v>1738.1</v>
      </c>
      <c r="J89" s="7" t="n">
        <v>1608</v>
      </c>
      <c r="L89" s="7" t="n">
        <v>2661.6</v>
      </c>
      <c r="N89" s="7" t="n">
        <v>2717.5</v>
      </c>
      <c r="P89" s="7" t="n">
        <v>3461.5</v>
      </c>
      <c r="R89" s="7" t="n">
        <v>1355.8</v>
      </c>
      <c r="T89" s="7" t="n">
        <v>1588.6</v>
      </c>
      <c r="V89" s="7" t="n">
        <v>2767.7</v>
      </c>
      <c r="X89" s="7" t="n">
        <v>2809.9</v>
      </c>
      <c r="Z89" s="7" t="n">
        <v>1452.7</v>
      </c>
      <c r="AB89" s="7" t="n">
        <v>24289.4</v>
      </c>
    </row>
    <row r="90">
      <c r="A90" s="4" t="inlineStr">
        <is>
          <t>物料消耗</t>
        </is>
      </c>
      <c r="D90" s="7" t="n">
        <v>83.09999999999999</v>
      </c>
      <c r="F90" s="7" t="n">
        <v>64.90000000000001</v>
      </c>
      <c r="H90" s="7" t="n">
        <v>86</v>
      </c>
      <c r="J90" s="7" t="n">
        <v>121</v>
      </c>
      <c r="L90" s="7" t="n">
        <v>126.2</v>
      </c>
      <c r="N90" s="7" t="n">
        <v>168.5</v>
      </c>
      <c r="P90" s="7" t="n">
        <v>151.5</v>
      </c>
      <c r="R90" s="7" t="n">
        <v>109.3</v>
      </c>
      <c r="T90" s="7" t="n">
        <v>139.4</v>
      </c>
      <c r="V90" s="7" t="n">
        <v>186.2</v>
      </c>
      <c r="X90" s="7" t="n">
        <v>119.2</v>
      </c>
      <c r="Z90" s="7" t="n">
        <v>117.8</v>
      </c>
      <c r="AB90" s="7" t="n">
        <v>1473.1</v>
      </c>
    </row>
    <row r="91">
      <c r="A91" s="4" t="inlineStr">
        <is>
          <t>盘盈盘亏</t>
        </is>
      </c>
      <c r="D91" s="7" t="n">
        <v>885.3</v>
      </c>
      <c r="F91" s="7" t="n">
        <v>1225</v>
      </c>
      <c r="H91" s="7" t="n">
        <v>2134.7</v>
      </c>
      <c r="J91" s="7" t="n">
        <v>1470.8</v>
      </c>
      <c r="L91" s="7" t="n">
        <v>2190</v>
      </c>
      <c r="N91" s="7" t="n">
        <v>2645.5</v>
      </c>
      <c r="P91" s="7" t="n">
        <v>3152.5</v>
      </c>
      <c r="R91" s="7" t="n">
        <v>2275.7</v>
      </c>
      <c r="T91" s="7" t="n">
        <v>1672.5</v>
      </c>
      <c r="V91" s="7" t="n">
        <v>2968.4</v>
      </c>
      <c r="X91" s="7" t="n">
        <v>2645.1</v>
      </c>
      <c r="Z91" s="7" t="n">
        <v>2169.1</v>
      </c>
      <c r="AB91" s="7" t="n">
        <v>25434.6</v>
      </c>
    </row>
    <row r="92">
      <c r="A92" s="4" t="inlineStr">
        <is>
          <t>平台服务费</t>
        </is>
      </c>
      <c r="D92" s="7" t="n">
        <v>1207.9</v>
      </c>
      <c r="F92" s="7" t="n">
        <v>890</v>
      </c>
      <c r="H92" s="7" t="n">
        <v>1597.5</v>
      </c>
      <c r="J92" s="7" t="n">
        <v>1656.5</v>
      </c>
      <c r="L92" s="7" t="n">
        <v>3615.3</v>
      </c>
      <c r="N92" s="7" t="n">
        <v>2319.8</v>
      </c>
      <c r="P92" s="7" t="n">
        <v>4646</v>
      </c>
      <c r="R92" s="7" t="n">
        <v>1792.5</v>
      </c>
      <c r="T92" s="7" t="n">
        <v>2366.7</v>
      </c>
      <c r="V92" s="7" t="n">
        <v>3512.3</v>
      </c>
      <c r="X92" s="7" t="n">
        <v>3802.3</v>
      </c>
      <c r="Z92" s="7" t="n">
        <v>2437.1</v>
      </c>
      <c r="AB92" s="7" t="n">
        <v>29843.9</v>
      </c>
    </row>
    <row r="93">
      <c r="A93" s="4" t="inlineStr">
        <is>
          <t>无形资产摊销</t>
        </is>
      </c>
      <c r="D93" s="7" t="n">
        <v>90.7</v>
      </c>
      <c r="F93" s="7" t="n">
        <v>130.9</v>
      </c>
      <c r="H93" s="7" t="n">
        <v>142.8</v>
      </c>
      <c r="J93" s="7" t="n">
        <v>225.2</v>
      </c>
      <c r="L93" s="7" t="n">
        <v>280.2</v>
      </c>
      <c r="N93" s="7" t="n">
        <v>249.4</v>
      </c>
      <c r="P93" s="7" t="n">
        <v>382.4</v>
      </c>
      <c r="R93" s="7" t="n">
        <v>238.7</v>
      </c>
      <c r="T93" s="7" t="n">
        <v>234.3</v>
      </c>
      <c r="V93" s="7" t="n">
        <v>286.5</v>
      </c>
      <c r="X93" s="7" t="n">
        <v>345.4</v>
      </c>
      <c r="Z93" s="7" t="n">
        <v>171.3</v>
      </c>
      <c r="AB93" s="7" t="n">
        <v>2777.8</v>
      </c>
    </row>
    <row r="94">
      <c r="A94" s="4" t="inlineStr">
        <is>
          <t>研发材料</t>
        </is>
      </c>
      <c r="D94" s="7" t="n">
        <v>1066.3</v>
      </c>
      <c r="F94" s="7" t="n">
        <v>839.1</v>
      </c>
      <c r="H94" s="7" t="n">
        <v>1337.1</v>
      </c>
      <c r="J94" s="7" t="n">
        <v>1370.3</v>
      </c>
      <c r="L94" s="7" t="n">
        <v>1772.1</v>
      </c>
      <c r="N94" s="7" t="n">
        <v>2258.7</v>
      </c>
      <c r="P94" s="7" t="n">
        <v>2092.6</v>
      </c>
      <c r="R94" s="7" t="n">
        <v>1860.4</v>
      </c>
      <c r="T94" s="7" t="n">
        <v>1836.5</v>
      </c>
      <c r="V94" s="7" t="n">
        <v>1796.8</v>
      </c>
      <c r="X94" s="7" t="n">
        <v>2201.9</v>
      </c>
      <c r="Z94" s="7" t="n">
        <v>1821.7</v>
      </c>
      <c r="AB94" s="7" t="n">
        <v>20253.5</v>
      </c>
    </row>
    <row r="95">
      <c r="A95" s="4" t="inlineStr">
        <is>
          <t>项目名称</t>
        </is>
      </c>
      <c r="D95" s="7" t="n">
        <v>242.5</v>
      </c>
      <c r="F95" s="7" t="n">
        <v>163.8</v>
      </c>
      <c r="H95" s="7" t="n">
        <v>367.8</v>
      </c>
      <c r="J95" s="7" t="n">
        <v>254.4</v>
      </c>
      <c r="L95" s="7" t="n">
        <v>462.9</v>
      </c>
      <c r="N95" s="7" t="n">
        <v>356.6</v>
      </c>
      <c r="P95" s="7" t="n">
        <v>571</v>
      </c>
      <c r="R95" s="7" t="n">
        <v>271</v>
      </c>
      <c r="T95" s="7" t="n">
        <v>425.7</v>
      </c>
      <c r="V95" s="7" t="n">
        <v>323.8</v>
      </c>
      <c r="X95" s="7" t="n">
        <v>417.1</v>
      </c>
      <c r="Z95" s="7" t="n">
        <v>297.9</v>
      </c>
      <c r="AB95" s="7" t="n">
        <v>4154.5</v>
      </c>
    </row>
    <row r="96">
      <c r="A96" s="4" t="inlineStr">
        <is>
          <t>研发费</t>
        </is>
      </c>
      <c r="D96" s="7" t="n">
        <v>421.3</v>
      </c>
      <c r="F96" s="7" t="n">
        <v>394.3</v>
      </c>
      <c r="H96" s="7" t="n">
        <v>793.6</v>
      </c>
      <c r="J96" s="7" t="n">
        <v>818.9</v>
      </c>
      <c r="L96" s="7" t="n">
        <v>1079.3</v>
      </c>
      <c r="N96" s="7" t="n">
        <v>1172.1</v>
      </c>
      <c r="P96" s="7" t="n">
        <v>1147</v>
      </c>
      <c r="R96" s="7" t="n">
        <v>685.5</v>
      </c>
      <c r="T96" s="7" t="n">
        <v>794</v>
      </c>
      <c r="V96" s="7" t="n">
        <v>885.5</v>
      </c>
      <c r="X96" s="7" t="n">
        <v>996.9</v>
      </c>
      <c r="Z96" s="7" t="n">
        <v>884.3</v>
      </c>
      <c r="AB96" s="7" t="n">
        <v>10072.7</v>
      </c>
    </row>
    <row r="97">
      <c r="A97" s="4" t="inlineStr">
        <is>
          <t>残保金</t>
        </is>
      </c>
      <c r="D97" s="7" t="n">
        <v>588.9</v>
      </c>
      <c r="F97" s="7" t="n">
        <v>534.1</v>
      </c>
      <c r="H97" s="7" t="n">
        <v>771.2</v>
      </c>
      <c r="J97" s="7" t="n">
        <v>618.5</v>
      </c>
      <c r="L97" s="7" t="n">
        <v>1369.6</v>
      </c>
      <c r="N97" s="7" t="n">
        <v>1287.5</v>
      </c>
      <c r="P97" s="7" t="n">
        <v>1057.7</v>
      </c>
      <c r="R97" s="7" t="n">
        <v>759.3</v>
      </c>
      <c r="T97" s="7" t="n">
        <v>924.5</v>
      </c>
      <c r="V97" s="7" t="n">
        <v>1361.9</v>
      </c>
      <c r="X97" s="7" t="n">
        <v>1225.2</v>
      </c>
      <c r="Z97" s="7" t="n">
        <v>915.6</v>
      </c>
      <c r="AB97" s="7" t="n">
        <v>11414</v>
      </c>
    </row>
    <row r="98">
      <c r="A98" s="4" t="inlineStr">
        <is>
          <t>环保费</t>
        </is>
      </c>
      <c r="D98" s="7" t="n">
        <v>753</v>
      </c>
      <c r="F98" s="7" t="n">
        <v>1052.6</v>
      </c>
      <c r="H98" s="7" t="n">
        <v>1936.7</v>
      </c>
      <c r="J98" s="7" t="n">
        <v>2314</v>
      </c>
      <c r="L98" s="7" t="n">
        <v>3270.5</v>
      </c>
      <c r="N98" s="7" t="n">
        <v>2085.7</v>
      </c>
      <c r="P98" s="7" t="n">
        <v>2293.1</v>
      </c>
      <c r="R98" s="7" t="n">
        <v>1701.9</v>
      </c>
      <c r="T98" s="7" t="n">
        <v>1528.2</v>
      </c>
      <c r="V98" s="7" t="n">
        <v>1864.2</v>
      </c>
      <c r="X98" s="7" t="n">
        <v>2377.3</v>
      </c>
      <c r="Z98" s="7" t="n">
        <v>2205.3</v>
      </c>
      <c r="AB98" s="7" t="n">
        <v>23382.5</v>
      </c>
    </row>
    <row r="99">
      <c r="A99" s="4" t="inlineStr">
        <is>
          <t>报废损失</t>
        </is>
      </c>
      <c r="D99" s="7" t="n">
        <v>173.1</v>
      </c>
      <c r="F99" s="7" t="n">
        <v>157.5</v>
      </c>
      <c r="H99" s="7" t="n">
        <v>198.8</v>
      </c>
      <c r="J99" s="7" t="n">
        <v>311.2</v>
      </c>
      <c r="L99" s="7" t="n">
        <v>352.2</v>
      </c>
      <c r="N99" s="7" t="n">
        <v>493.4</v>
      </c>
      <c r="P99" s="7" t="n">
        <v>395.5</v>
      </c>
      <c r="R99" s="7" t="n">
        <v>396.5</v>
      </c>
      <c r="T99" s="7" t="n">
        <v>331.2</v>
      </c>
      <c r="V99" s="7" t="n">
        <v>479.2</v>
      </c>
      <c r="X99" s="7" t="n">
        <v>405.5</v>
      </c>
      <c r="Z99" s="7" t="n">
        <v>268.9</v>
      </c>
      <c r="AB99" s="7" t="n">
        <v>3963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160691.6</v>
      </c>
      <c r="D100" s="7" t="n">
        <v>127973.1</v>
      </c>
      <c r="E100" s="7" t="n">
        <v>146131.9</v>
      </c>
      <c r="F100" s="7" t="n">
        <v>125586.4</v>
      </c>
      <c r="G100" s="7" t="n">
        <v>134902.6</v>
      </c>
      <c r="H100" s="7" t="n">
        <v>91120.10000000001</v>
      </c>
      <c r="I100" s="7" t="n">
        <v>138695.6</v>
      </c>
      <c r="J100" s="7" t="n">
        <v>129885.9</v>
      </c>
      <c r="K100" s="7" t="n">
        <v>146680.1</v>
      </c>
      <c r="L100" s="7" t="n">
        <v>131234.5</v>
      </c>
      <c r="M100" s="7" t="n">
        <v>160080.1</v>
      </c>
      <c r="N100" s="7" t="n">
        <v>134558.8</v>
      </c>
      <c r="O100" s="7" t="n">
        <v>144356.1</v>
      </c>
      <c r="P100" s="7" t="n">
        <v>279077.1</v>
      </c>
      <c r="Q100" s="7" t="n">
        <v>160451.5</v>
      </c>
      <c r="R100" s="7" t="n">
        <v>202372.3</v>
      </c>
      <c r="S100" s="7" t="n">
        <v>151573.2</v>
      </c>
      <c r="T100" s="7" t="n">
        <v>138748.4</v>
      </c>
      <c r="U100" s="7" t="n">
        <v>137395.1</v>
      </c>
      <c r="V100" s="7" t="n">
        <v>141037.2</v>
      </c>
      <c r="W100" s="7" t="n">
        <v>141710.6</v>
      </c>
      <c r="X100" s="7" t="n">
        <v>166523.2</v>
      </c>
      <c r="Y100" s="7" t="n">
        <v>162844.2</v>
      </c>
      <c r="Z100" s="7" t="n">
        <v>135437.8</v>
      </c>
      <c r="AA100" s="8" t="n">
        <v>1785512.6</v>
      </c>
      <c r="AB100" s="8" t="n">
        <v>1803554.8</v>
      </c>
    </row>
    <row r="101">
      <c r="A101" s="4" t="inlineStr">
        <is>
          <t>职工薪酬</t>
        </is>
      </c>
      <c r="D101" s="7" t="n">
        <v>55669</v>
      </c>
      <c r="F101" s="7" t="n">
        <v>70949.7</v>
      </c>
      <c r="H101" s="7" t="n">
        <v>44884.5</v>
      </c>
      <c r="J101" s="7" t="n">
        <v>71615</v>
      </c>
      <c r="L101" s="7" t="n">
        <v>61822.1</v>
      </c>
      <c r="N101" s="7" t="n">
        <v>81939.10000000001</v>
      </c>
      <c r="P101" s="7" t="n">
        <v>158781.6</v>
      </c>
      <c r="R101" s="7" t="n">
        <v>84844.60000000001</v>
      </c>
      <c r="T101" s="7" t="n">
        <v>57165.9</v>
      </c>
      <c r="V101" s="7" t="n">
        <v>70335.39999999999</v>
      </c>
      <c r="X101" s="7" t="n">
        <v>75899.5</v>
      </c>
      <c r="Z101" s="7" t="n">
        <v>69321.89999999999</v>
      </c>
      <c r="AB101" s="7" t="n">
        <v>903228.3</v>
      </c>
    </row>
    <row r="102">
      <c r="A102" s="4" t="inlineStr">
        <is>
          <t>工资</t>
        </is>
      </c>
      <c r="D102" s="7" t="n">
        <v>32151.2</v>
      </c>
      <c r="F102" s="7" t="n">
        <v>41648.9</v>
      </c>
      <c r="H102" s="7" t="n">
        <v>24710.6</v>
      </c>
      <c r="J102" s="7" t="n">
        <v>43248.5</v>
      </c>
      <c r="L102" s="7" t="n">
        <v>34500.2</v>
      </c>
      <c r="N102" s="7" t="n">
        <v>51490.2</v>
      </c>
      <c r="P102" s="7" t="n">
        <v>104391</v>
      </c>
      <c r="R102" s="7" t="n">
        <v>43345.6</v>
      </c>
      <c r="T102" s="7" t="n">
        <v>31250.2</v>
      </c>
      <c r="V102" s="7" t="n">
        <v>39195.5</v>
      </c>
      <c r="X102" s="7" t="n">
        <v>47295</v>
      </c>
      <c r="Z102" s="7" t="n">
        <v>35262.8</v>
      </c>
      <c r="AB102" s="7" t="n">
        <v>528489.7</v>
      </c>
    </row>
    <row r="103">
      <c r="A103" s="4" t="inlineStr">
        <is>
          <t>奖金及提成</t>
        </is>
      </c>
      <c r="D103" s="7" t="n">
        <v>11189.5</v>
      </c>
      <c r="F103" s="7" t="n">
        <v>13129.1</v>
      </c>
      <c r="H103" s="7" t="n">
        <v>10832.7</v>
      </c>
      <c r="J103" s="7" t="n">
        <v>13029.2</v>
      </c>
      <c r="L103" s="7" t="n">
        <v>16415.2</v>
      </c>
      <c r="N103" s="7" t="n">
        <v>15652.2</v>
      </c>
      <c r="P103" s="7" t="n">
        <v>31772</v>
      </c>
      <c r="R103" s="7" t="n">
        <v>18639</v>
      </c>
      <c r="T103" s="7" t="n">
        <v>14341.8</v>
      </c>
      <c r="V103" s="7" t="n">
        <v>14111.9</v>
      </c>
      <c r="X103" s="7" t="n">
        <v>13439.6</v>
      </c>
      <c r="Z103" s="7" t="n">
        <v>17463.1</v>
      </c>
      <c r="AB103" s="7" t="n">
        <v>190015.3</v>
      </c>
    </row>
    <row r="104">
      <c r="A104" s="4" t="inlineStr">
        <is>
          <t>社保</t>
        </is>
      </c>
      <c r="D104" s="7" t="n">
        <v>9203.1</v>
      </c>
      <c r="F104" s="7" t="n">
        <v>12895.1</v>
      </c>
      <c r="H104" s="7" t="n">
        <v>7139.5</v>
      </c>
      <c r="J104" s="7" t="n">
        <v>12459.2</v>
      </c>
      <c r="L104" s="7" t="n">
        <v>7736.7</v>
      </c>
      <c r="N104" s="7" t="n">
        <v>11980.6</v>
      </c>
      <c r="P104" s="7" t="n">
        <v>16131.2</v>
      </c>
      <c r="R104" s="7" t="n">
        <v>18004.6</v>
      </c>
      <c r="T104" s="7" t="n">
        <v>8153</v>
      </c>
      <c r="V104" s="7" t="n">
        <v>13672.5</v>
      </c>
      <c r="X104" s="7" t="n">
        <v>11234.2</v>
      </c>
      <c r="Z104" s="7" t="n">
        <v>13542.6</v>
      </c>
      <c r="AB104" s="7" t="n">
        <v>142152.3</v>
      </c>
    </row>
    <row r="105">
      <c r="A105" s="4" t="inlineStr">
        <is>
          <t>养老</t>
        </is>
      </c>
      <c r="D105" s="7" t="n">
        <v>203.2</v>
      </c>
      <c r="F105" s="7" t="n">
        <v>157.1</v>
      </c>
      <c r="H105" s="7" t="n">
        <v>149.5</v>
      </c>
      <c r="J105" s="7" t="n">
        <v>152.1</v>
      </c>
      <c r="L105" s="7" t="n">
        <v>159.9</v>
      </c>
      <c r="N105" s="7" t="n">
        <v>207.5</v>
      </c>
      <c r="P105" s="7" t="n">
        <v>358.2</v>
      </c>
      <c r="R105" s="7" t="n">
        <v>231</v>
      </c>
      <c r="T105" s="7" t="n">
        <v>149.2</v>
      </c>
      <c r="V105" s="7" t="n">
        <v>147.1</v>
      </c>
      <c r="X105" s="7" t="n">
        <v>172.7</v>
      </c>
      <c r="Z105" s="7" t="n">
        <v>196.7</v>
      </c>
      <c r="AB105" s="7" t="n">
        <v>2284.2</v>
      </c>
    </row>
    <row r="106">
      <c r="A106" s="4" t="inlineStr">
        <is>
          <t>医疗</t>
        </is>
      </c>
      <c r="D106" s="7" t="n">
        <v>500.2</v>
      </c>
      <c r="F106" s="7" t="n">
        <v>508.1</v>
      </c>
      <c r="H106" s="7" t="n">
        <v>322.8</v>
      </c>
      <c r="J106" s="7" t="n">
        <v>476.8</v>
      </c>
      <c r="L106" s="7" t="n">
        <v>370.9</v>
      </c>
      <c r="N106" s="7" t="n">
        <v>490.3</v>
      </c>
      <c r="P106" s="7" t="n">
        <v>1038.6</v>
      </c>
      <c r="R106" s="7" t="n">
        <v>571.8</v>
      </c>
      <c r="T106" s="7" t="n">
        <v>397.4</v>
      </c>
      <c r="V106" s="7" t="n">
        <v>458.9</v>
      </c>
      <c r="X106" s="7" t="n">
        <v>513.6</v>
      </c>
      <c r="Z106" s="7" t="n">
        <v>390.4</v>
      </c>
      <c r="AB106" s="7" t="n">
        <v>6039.8</v>
      </c>
    </row>
    <row r="107">
      <c r="A107" s="4" t="inlineStr">
        <is>
          <t>工伤</t>
        </is>
      </c>
      <c r="D107" s="7" t="n">
        <v>898.1</v>
      </c>
      <c r="F107" s="7" t="n">
        <v>824</v>
      </c>
      <c r="H107" s="7" t="n">
        <v>671.5</v>
      </c>
      <c r="J107" s="7" t="n">
        <v>940.1</v>
      </c>
      <c r="L107" s="7" t="n">
        <v>810.3</v>
      </c>
      <c r="N107" s="7" t="n">
        <v>780.9</v>
      </c>
      <c r="P107" s="7" t="n">
        <v>1865.1</v>
      </c>
      <c r="R107" s="7" t="n">
        <v>1049.7</v>
      </c>
      <c r="T107" s="7" t="n">
        <v>749.5</v>
      </c>
      <c r="V107" s="7" t="n">
        <v>797.3</v>
      </c>
      <c r="X107" s="7" t="n">
        <v>963.9</v>
      </c>
      <c r="Z107" s="7" t="n">
        <v>740</v>
      </c>
      <c r="AB107" s="7" t="n">
        <v>11090.4</v>
      </c>
    </row>
    <row r="108">
      <c r="A108" s="4" t="inlineStr">
        <is>
          <t>失业</t>
        </is>
      </c>
      <c r="D108" s="7" t="n">
        <v>565</v>
      </c>
      <c r="F108" s="7" t="n">
        <v>562</v>
      </c>
      <c r="H108" s="7" t="n">
        <v>233.2</v>
      </c>
      <c r="J108" s="7" t="n">
        <v>381.6</v>
      </c>
      <c r="L108" s="7" t="n">
        <v>566.9</v>
      </c>
      <c r="N108" s="7" t="n">
        <v>633</v>
      </c>
      <c r="P108" s="7" t="n">
        <v>725.7</v>
      </c>
      <c r="R108" s="7" t="n">
        <v>560.2</v>
      </c>
      <c r="T108" s="7" t="n">
        <v>586.8</v>
      </c>
      <c r="V108" s="7" t="n">
        <v>392.1</v>
      </c>
      <c r="X108" s="7" t="n">
        <v>468.7</v>
      </c>
      <c r="Z108" s="7" t="n">
        <v>519.3</v>
      </c>
      <c r="AB108" s="7" t="n">
        <v>6194.5</v>
      </c>
    </row>
    <row r="109">
      <c r="A109" s="4" t="inlineStr">
        <is>
          <t>生育</t>
        </is>
      </c>
      <c r="D109" s="7" t="n">
        <v>656.7</v>
      </c>
      <c r="F109" s="7" t="n">
        <v>705.2</v>
      </c>
      <c r="H109" s="7" t="n">
        <v>543.1</v>
      </c>
      <c r="J109" s="7" t="n">
        <v>883.1</v>
      </c>
      <c r="L109" s="7" t="n">
        <v>682.7</v>
      </c>
      <c r="N109" s="7" t="n">
        <v>709.7</v>
      </c>
      <c r="P109" s="7" t="n">
        <v>2177.7</v>
      </c>
      <c r="R109" s="7" t="n">
        <v>946.7</v>
      </c>
      <c r="T109" s="7" t="n">
        <v>954.4</v>
      </c>
      <c r="V109" s="7" t="n">
        <v>811.5</v>
      </c>
      <c r="X109" s="7" t="n">
        <v>708.4</v>
      </c>
      <c r="Z109" s="7" t="n">
        <v>880.5</v>
      </c>
      <c r="AB109" s="7" t="n">
        <v>10659.7</v>
      </c>
    </row>
    <row r="110">
      <c r="A110" s="4" t="inlineStr">
        <is>
          <t>公积金</t>
        </is>
      </c>
      <c r="D110" s="7" t="n">
        <v>165.1</v>
      </c>
      <c r="F110" s="7" t="n">
        <v>206.8</v>
      </c>
      <c r="H110" s="7" t="n">
        <v>99.59999999999999</v>
      </c>
      <c r="J110" s="7" t="n">
        <v>133.7</v>
      </c>
      <c r="L110" s="7" t="n">
        <v>163.1</v>
      </c>
      <c r="N110" s="7" t="n">
        <v>140</v>
      </c>
      <c r="P110" s="7" t="n">
        <v>302.7</v>
      </c>
      <c r="R110" s="7" t="n">
        <v>288</v>
      </c>
      <c r="T110" s="7" t="n">
        <v>226.1</v>
      </c>
      <c r="V110" s="7" t="n">
        <v>172.4</v>
      </c>
      <c r="X110" s="7" t="n">
        <v>238.8</v>
      </c>
      <c r="Z110" s="7" t="n">
        <v>158.6</v>
      </c>
      <c r="AB110" s="7" t="n">
        <v>2294.9</v>
      </c>
    </row>
    <row r="111">
      <c r="A111" s="4" t="inlineStr">
        <is>
          <t>工会经费</t>
        </is>
      </c>
      <c r="D111" s="7" t="n">
        <v>328.6</v>
      </c>
      <c r="F111" s="7" t="n">
        <v>393.3</v>
      </c>
      <c r="H111" s="7" t="n">
        <v>249.5</v>
      </c>
      <c r="J111" s="7" t="n">
        <v>390.2</v>
      </c>
      <c r="L111" s="7" t="n">
        <v>322.6</v>
      </c>
      <c r="N111" s="7" t="n">
        <v>281.1</v>
      </c>
      <c r="P111" s="7" t="n">
        <v>823.7</v>
      </c>
      <c r="R111" s="7" t="n">
        <v>666.4</v>
      </c>
      <c r="T111" s="7" t="n">
        <v>384.3</v>
      </c>
      <c r="V111" s="7" t="n">
        <v>368.5</v>
      </c>
      <c r="X111" s="7" t="n">
        <v>322.6</v>
      </c>
      <c r="Z111" s="7" t="n">
        <v>342.3</v>
      </c>
      <c r="AB111" s="7" t="n">
        <v>4873.1</v>
      </c>
    </row>
    <row r="112">
      <c r="A112" s="4" t="inlineStr">
        <is>
          <t>职工教育经费</t>
        </is>
      </c>
      <c r="D112" s="7" t="n">
        <v>267.5</v>
      </c>
      <c r="F112" s="7" t="n">
        <v>208.5</v>
      </c>
      <c r="H112" s="7" t="n">
        <v>252.4</v>
      </c>
      <c r="J112" s="7" t="n">
        <v>319</v>
      </c>
      <c r="L112" s="7" t="n">
        <v>350.3</v>
      </c>
      <c r="N112" s="7" t="n">
        <v>259.2</v>
      </c>
      <c r="P112" s="7" t="n">
        <v>620.6</v>
      </c>
      <c r="R112" s="7" t="n">
        <v>420.1</v>
      </c>
      <c r="T112" s="7" t="n">
        <v>350.2</v>
      </c>
      <c r="V112" s="7" t="n">
        <v>371.3</v>
      </c>
      <c r="X112" s="7" t="n">
        <v>394.7</v>
      </c>
      <c r="Z112" s="7" t="n">
        <v>347.3</v>
      </c>
      <c r="AB112" s="7" t="n">
        <v>4161.1</v>
      </c>
    </row>
    <row r="113">
      <c r="A113" s="4" t="inlineStr">
        <is>
          <t>福利费</t>
        </is>
      </c>
      <c r="D113" s="7" t="n">
        <v>2364</v>
      </c>
      <c r="F113" s="7" t="n">
        <v>2468</v>
      </c>
      <c r="H113" s="7" t="n">
        <v>1600.2</v>
      </c>
      <c r="J113" s="7" t="n">
        <v>2035.2</v>
      </c>
      <c r="L113" s="7" t="n">
        <v>2334</v>
      </c>
      <c r="N113" s="7" t="n">
        <v>2135.8</v>
      </c>
      <c r="P113" s="7" t="n">
        <v>4740.4</v>
      </c>
      <c r="R113" s="7" t="n">
        <v>3480.9</v>
      </c>
      <c r="T113" s="7" t="n">
        <v>2460.3</v>
      </c>
      <c r="V113" s="7" t="n">
        <v>2443.3</v>
      </c>
      <c r="X113" s="7" t="n">
        <v>2974.6</v>
      </c>
      <c r="Z113" s="7" t="n">
        <v>2205.2</v>
      </c>
      <c r="AB113" s="7" t="n">
        <v>31241.9</v>
      </c>
    </row>
    <row r="114">
      <c r="A114" s="4" t="inlineStr">
        <is>
          <t>职工房租</t>
        </is>
      </c>
      <c r="D114" s="7" t="n">
        <v>209.5</v>
      </c>
      <c r="F114" s="7" t="n">
        <v>160.8</v>
      </c>
      <c r="H114" s="7" t="n">
        <v>94.8</v>
      </c>
      <c r="J114" s="7" t="n">
        <v>153.5</v>
      </c>
      <c r="L114" s="7" t="n">
        <v>204.3</v>
      </c>
      <c r="N114" s="7" t="n">
        <v>128.2</v>
      </c>
      <c r="P114" s="7" t="n">
        <v>431.7</v>
      </c>
      <c r="R114" s="7" t="n">
        <v>183.4</v>
      </c>
      <c r="T114" s="7" t="n">
        <v>139.1</v>
      </c>
      <c r="V114" s="7" t="n">
        <v>173.7</v>
      </c>
      <c r="X114" s="7" t="n">
        <v>188</v>
      </c>
      <c r="Z114" s="7" t="n">
        <v>196.6</v>
      </c>
      <c r="AB114" s="7" t="n">
        <v>2263.6</v>
      </c>
    </row>
    <row r="115">
      <c r="A115" s="4" t="inlineStr">
        <is>
          <t>水电物业费</t>
        </is>
      </c>
      <c r="D115" s="7" t="n">
        <v>67.5</v>
      </c>
      <c r="F115" s="7" t="n">
        <v>68.40000000000001</v>
      </c>
      <c r="H115" s="7" t="n">
        <v>74</v>
      </c>
      <c r="J115" s="7" t="n">
        <v>77.8</v>
      </c>
      <c r="L115" s="7" t="n">
        <v>102.4</v>
      </c>
      <c r="N115" s="7" t="n">
        <v>88.7</v>
      </c>
      <c r="P115" s="7" t="n">
        <v>148.2</v>
      </c>
      <c r="R115" s="7" t="n">
        <v>138.4</v>
      </c>
      <c r="T115" s="7" t="n">
        <v>90.09999999999999</v>
      </c>
      <c r="V115" s="7" t="n">
        <v>111.7</v>
      </c>
      <c r="X115" s="7" t="n">
        <v>104.2</v>
      </c>
      <c r="Z115" s="7" t="n">
        <v>92</v>
      </c>
      <c r="AB115" s="7" t="n">
        <v>1163.4</v>
      </c>
    </row>
    <row r="116">
      <c r="A116" s="4" t="inlineStr">
        <is>
          <t>员工餐</t>
        </is>
      </c>
      <c r="D116" s="7" t="n">
        <v>812.3</v>
      </c>
      <c r="F116" s="7" t="n">
        <v>958.9</v>
      </c>
      <c r="H116" s="7" t="n">
        <v>646.4</v>
      </c>
      <c r="J116" s="7" t="n">
        <v>671.9</v>
      </c>
      <c r="L116" s="7" t="n">
        <v>992.4</v>
      </c>
      <c r="N116" s="7" t="n">
        <v>612.7</v>
      </c>
      <c r="P116" s="7" t="n">
        <v>1457.2</v>
      </c>
      <c r="R116" s="7" t="n">
        <v>1236.7</v>
      </c>
      <c r="T116" s="7" t="n">
        <v>965.8</v>
      </c>
      <c r="V116" s="7" t="n">
        <v>1077.5</v>
      </c>
      <c r="X116" s="7" t="n">
        <v>1151.1</v>
      </c>
      <c r="Z116" s="7" t="n">
        <v>725.8</v>
      </c>
      <c r="AB116" s="7" t="n">
        <v>11308.7</v>
      </c>
    </row>
    <row r="117">
      <c r="A117" s="4" t="inlineStr">
        <is>
          <t>节日礼品</t>
        </is>
      </c>
      <c r="D117" s="7" t="n">
        <v>242.6</v>
      </c>
      <c r="F117" s="7" t="n">
        <v>243.9</v>
      </c>
      <c r="H117" s="7" t="n">
        <v>162</v>
      </c>
      <c r="J117" s="7" t="n">
        <v>205.7</v>
      </c>
      <c r="L117" s="7" t="n">
        <v>193</v>
      </c>
      <c r="N117" s="7" t="n">
        <v>173.3</v>
      </c>
      <c r="P117" s="7" t="n">
        <v>472.3</v>
      </c>
      <c r="R117" s="7" t="n">
        <v>336.7</v>
      </c>
      <c r="T117" s="7" t="n">
        <v>167.3</v>
      </c>
      <c r="V117" s="7" t="n">
        <v>167.2</v>
      </c>
      <c r="X117" s="7" t="n">
        <v>239.1</v>
      </c>
      <c r="Z117" s="7" t="n">
        <v>235</v>
      </c>
      <c r="AB117" s="7" t="n">
        <v>2838.1</v>
      </c>
    </row>
    <row r="118">
      <c r="A118" s="4" t="inlineStr">
        <is>
          <t>生日礼品</t>
        </is>
      </c>
      <c r="D118" s="7" t="n">
        <v>18.1</v>
      </c>
      <c r="F118" s="7" t="n">
        <v>14.9</v>
      </c>
      <c r="H118" s="7" t="n">
        <v>14</v>
      </c>
      <c r="J118" s="7" t="n">
        <v>16.1</v>
      </c>
      <c r="L118" s="7" t="n">
        <v>11.5</v>
      </c>
      <c r="N118" s="7" t="n">
        <v>13.9</v>
      </c>
      <c r="P118" s="7" t="n">
        <v>34.5</v>
      </c>
      <c r="R118" s="7" t="n">
        <v>30.2</v>
      </c>
      <c r="T118" s="7" t="n">
        <v>18.5</v>
      </c>
      <c r="V118" s="7" t="n">
        <v>16.2</v>
      </c>
      <c r="X118" s="7" t="n">
        <v>16.8</v>
      </c>
      <c r="Z118" s="7" t="n">
        <v>19</v>
      </c>
      <c r="AB118" s="7" t="n">
        <v>223.7</v>
      </c>
    </row>
    <row r="119">
      <c r="A119" s="4" t="inlineStr">
        <is>
          <t>体检</t>
        </is>
      </c>
      <c r="D119" s="7" t="n">
        <v>357.9</v>
      </c>
      <c r="F119" s="7" t="n">
        <v>346.2</v>
      </c>
      <c r="H119" s="7" t="n">
        <v>304.6</v>
      </c>
      <c r="J119" s="7" t="n">
        <v>326.8</v>
      </c>
      <c r="L119" s="7" t="n">
        <v>372.6</v>
      </c>
      <c r="N119" s="7" t="n">
        <v>421.2</v>
      </c>
      <c r="P119" s="7" t="n">
        <v>900.7</v>
      </c>
      <c r="R119" s="7" t="n">
        <v>584.9</v>
      </c>
      <c r="T119" s="7" t="n">
        <v>439.2</v>
      </c>
      <c r="V119" s="7" t="n">
        <v>404.3</v>
      </c>
      <c r="X119" s="7" t="n">
        <v>508.4</v>
      </c>
      <c r="Z119" s="7" t="n">
        <v>410.6</v>
      </c>
      <c r="AB119" s="7" t="n">
        <v>5377.4</v>
      </c>
    </row>
    <row r="120">
      <c r="A120" s="4" t="inlineStr">
        <is>
          <t>其他福利支出</t>
        </is>
      </c>
      <c r="D120" s="7" t="n">
        <v>656.1</v>
      </c>
      <c r="F120" s="7" t="n">
        <v>674.9</v>
      </c>
      <c r="H120" s="7" t="n">
        <v>304.4</v>
      </c>
      <c r="J120" s="7" t="n">
        <v>583.4</v>
      </c>
      <c r="L120" s="7" t="n">
        <v>457.8</v>
      </c>
      <c r="N120" s="7" t="n">
        <v>697.8</v>
      </c>
      <c r="P120" s="7" t="n">
        <v>1295.8</v>
      </c>
      <c r="R120" s="7" t="n">
        <v>970.6</v>
      </c>
      <c r="T120" s="7" t="n">
        <v>640.3</v>
      </c>
      <c r="V120" s="7" t="n">
        <v>492.7</v>
      </c>
      <c r="X120" s="7" t="n">
        <v>767</v>
      </c>
      <c r="Z120" s="7" t="n">
        <v>526.2</v>
      </c>
      <c r="AB120" s="7" t="n">
        <v>8067</v>
      </c>
    </row>
    <row r="121">
      <c r="A121" s="4" t="inlineStr">
        <is>
          <t>招聘费</t>
        </is>
      </c>
      <c r="D121" s="7" t="n">
        <v>798.7</v>
      </c>
      <c r="F121" s="7" t="n">
        <v>662.5</v>
      </c>
      <c r="H121" s="7" t="n">
        <v>542.4</v>
      </c>
      <c r="J121" s="7" t="n">
        <v>798.6</v>
      </c>
      <c r="L121" s="7" t="n">
        <v>845.4</v>
      </c>
      <c r="N121" s="7" t="n">
        <v>841.1</v>
      </c>
      <c r="P121" s="7" t="n">
        <v>1081.2</v>
      </c>
      <c r="R121" s="7" t="n">
        <v>1233.4</v>
      </c>
      <c r="T121" s="7" t="n">
        <v>832.1</v>
      </c>
      <c r="V121" s="7" t="n">
        <v>595.6</v>
      </c>
      <c r="X121" s="7" t="n">
        <v>985.3</v>
      </c>
      <c r="Z121" s="7" t="n">
        <v>799.6</v>
      </c>
      <c r="AB121" s="7" t="n">
        <v>10015.9</v>
      </c>
    </row>
    <row r="122">
      <c r="A122" s="4" t="inlineStr">
        <is>
          <t>办公费</t>
        </is>
      </c>
      <c r="D122" s="7" t="n">
        <v>3677.7</v>
      </c>
      <c r="F122" s="7" t="n">
        <v>3912.1</v>
      </c>
      <c r="H122" s="7" t="n">
        <v>3489.1</v>
      </c>
      <c r="J122" s="7" t="n">
        <v>2855.7</v>
      </c>
      <c r="L122" s="7" t="n">
        <v>4225.7</v>
      </c>
      <c r="N122" s="7" t="n">
        <v>2881.3</v>
      </c>
      <c r="P122" s="7" t="n">
        <v>8663.200000000001</v>
      </c>
      <c r="R122" s="7" t="n">
        <v>4814.4</v>
      </c>
      <c r="T122" s="7" t="n">
        <v>4512.7</v>
      </c>
      <c r="V122" s="7" t="n">
        <v>4122.4</v>
      </c>
      <c r="X122" s="7" t="n">
        <v>4749</v>
      </c>
      <c r="Z122" s="7" t="n">
        <v>5017.8</v>
      </c>
      <c r="AB122" s="7" t="n">
        <v>52921.1</v>
      </c>
    </row>
    <row r="123">
      <c r="A123" s="4" t="inlineStr">
        <is>
          <t>市内交通费</t>
        </is>
      </c>
      <c r="D123" s="7" t="n">
        <v>433.3</v>
      </c>
      <c r="F123" s="7" t="n">
        <v>438.5</v>
      </c>
      <c r="H123" s="7" t="n">
        <v>397.8</v>
      </c>
      <c r="J123" s="7" t="n">
        <v>709</v>
      </c>
      <c r="L123" s="7" t="n">
        <v>462.3</v>
      </c>
      <c r="N123" s="7" t="n">
        <v>602.7</v>
      </c>
      <c r="P123" s="7" t="n">
        <v>1052</v>
      </c>
      <c r="R123" s="7" t="n">
        <v>934.9</v>
      </c>
      <c r="T123" s="7" t="n">
        <v>727</v>
      </c>
      <c r="V123" s="7" t="n">
        <v>647.2</v>
      </c>
      <c r="X123" s="7" t="n">
        <v>868.6</v>
      </c>
      <c r="Z123" s="7" t="n">
        <v>577</v>
      </c>
      <c r="AB123" s="7" t="n">
        <v>7850.3</v>
      </c>
    </row>
    <row r="124">
      <c r="A124" s="4" t="inlineStr">
        <is>
          <t>差旅费</t>
        </is>
      </c>
      <c r="D124" s="7" t="n">
        <v>8402.9</v>
      </c>
      <c r="F124" s="7" t="n">
        <v>7811.7</v>
      </c>
      <c r="H124" s="7" t="n">
        <v>3884.4</v>
      </c>
      <c r="J124" s="7" t="n">
        <v>9283.700000000001</v>
      </c>
      <c r="L124" s="7" t="n">
        <v>6856.9</v>
      </c>
      <c r="N124" s="7" t="n">
        <v>5666.4</v>
      </c>
      <c r="P124" s="7" t="n">
        <v>15184.2</v>
      </c>
      <c r="R124" s="7" t="n">
        <v>11468.2</v>
      </c>
      <c r="T124" s="7" t="n">
        <v>9142</v>
      </c>
      <c r="V124" s="7" t="n">
        <v>10907.5</v>
      </c>
      <c r="X124" s="7" t="n">
        <v>12402.8</v>
      </c>
      <c r="Z124" s="7" t="n">
        <v>8449.4</v>
      </c>
      <c r="AB124" s="7" t="n">
        <v>109460.1</v>
      </c>
    </row>
    <row r="125">
      <c r="A125" s="4" t="inlineStr">
        <is>
          <t>交通费</t>
        </is>
      </c>
      <c r="D125" s="7" t="n">
        <v>261.6</v>
      </c>
      <c r="F125" s="7" t="n">
        <v>422.9</v>
      </c>
      <c r="H125" s="7" t="n">
        <v>303.6</v>
      </c>
      <c r="J125" s="7" t="n">
        <v>349</v>
      </c>
      <c r="L125" s="7" t="n">
        <v>432.6</v>
      </c>
      <c r="N125" s="7" t="n">
        <v>393.3</v>
      </c>
      <c r="P125" s="7" t="n">
        <v>626</v>
      </c>
      <c r="R125" s="7" t="n">
        <v>631.8</v>
      </c>
      <c r="T125" s="7" t="n">
        <v>298.7</v>
      </c>
      <c r="V125" s="7" t="n">
        <v>413.7</v>
      </c>
      <c r="X125" s="7" t="n">
        <v>494.8</v>
      </c>
      <c r="Z125" s="7" t="n">
        <v>349.7</v>
      </c>
      <c r="AB125" s="7" t="n">
        <v>4977.7</v>
      </c>
    </row>
    <row r="126">
      <c r="A126" s="4" t="inlineStr">
        <is>
          <t>住宿费</t>
        </is>
      </c>
      <c r="D126" s="7" t="n">
        <v>663.4</v>
      </c>
      <c r="F126" s="7" t="n">
        <v>430.8</v>
      </c>
      <c r="H126" s="7" t="n">
        <v>390.6</v>
      </c>
      <c r="J126" s="7" t="n">
        <v>636.3</v>
      </c>
      <c r="L126" s="7" t="n">
        <v>411.7</v>
      </c>
      <c r="N126" s="7" t="n">
        <v>666.5</v>
      </c>
      <c r="P126" s="7" t="n">
        <v>1418.1</v>
      </c>
      <c r="R126" s="7" t="n">
        <v>970.2</v>
      </c>
      <c r="T126" s="7" t="n">
        <v>679.2</v>
      </c>
      <c r="V126" s="7" t="n">
        <v>517.8</v>
      </c>
      <c r="X126" s="7" t="n">
        <v>620.9</v>
      </c>
      <c r="Z126" s="7" t="n">
        <v>702.2</v>
      </c>
      <c r="AB126" s="7" t="n">
        <v>8107.7</v>
      </c>
    </row>
    <row r="127">
      <c r="A127" s="4" t="inlineStr">
        <is>
          <t>餐补</t>
        </is>
      </c>
      <c r="D127" s="7" t="n">
        <v>121.6</v>
      </c>
      <c r="F127" s="7" t="n">
        <v>115.4</v>
      </c>
      <c r="H127" s="7" t="n">
        <v>67.40000000000001</v>
      </c>
      <c r="J127" s="7" t="n">
        <v>80.8</v>
      </c>
      <c r="L127" s="7" t="n">
        <v>108.9</v>
      </c>
      <c r="N127" s="7" t="n">
        <v>123.4</v>
      </c>
      <c r="P127" s="7" t="n">
        <v>266.1</v>
      </c>
      <c r="R127" s="7" t="n">
        <v>137.7</v>
      </c>
      <c r="T127" s="7" t="n">
        <v>135.5</v>
      </c>
      <c r="V127" s="7" t="n">
        <v>134.8</v>
      </c>
      <c r="X127" s="7" t="n">
        <v>157.4</v>
      </c>
      <c r="Z127" s="7" t="n">
        <v>85.2</v>
      </c>
      <c r="AB127" s="7" t="n">
        <v>1534.2</v>
      </c>
    </row>
    <row r="128">
      <c r="A128" s="4" t="inlineStr">
        <is>
          <t>交通补助</t>
        </is>
      </c>
      <c r="D128" s="7" t="n">
        <v>442.3</v>
      </c>
      <c r="F128" s="7" t="n">
        <v>681.9</v>
      </c>
      <c r="H128" s="7" t="n">
        <v>453.3</v>
      </c>
      <c r="J128" s="7" t="n">
        <v>679.4</v>
      </c>
      <c r="L128" s="7" t="n">
        <v>805.7</v>
      </c>
      <c r="N128" s="7" t="n">
        <v>619.7</v>
      </c>
      <c r="P128" s="7" t="n">
        <v>1788.5</v>
      </c>
      <c r="R128" s="7" t="n">
        <v>768.8</v>
      </c>
      <c r="T128" s="7" t="n">
        <v>881.5</v>
      </c>
      <c r="V128" s="7" t="n">
        <v>648.7</v>
      </c>
      <c r="X128" s="7" t="n">
        <v>674.7</v>
      </c>
      <c r="Z128" s="7" t="n">
        <v>500.3</v>
      </c>
      <c r="AB128" s="7" t="n">
        <v>8944.799999999999</v>
      </c>
    </row>
    <row r="129">
      <c r="A129" s="4" t="inlineStr">
        <is>
          <t>通讯补助</t>
        </is>
      </c>
      <c r="D129" s="7" t="n">
        <v>173.1</v>
      </c>
      <c r="F129" s="7" t="n">
        <v>190.1</v>
      </c>
      <c r="H129" s="7" t="n">
        <v>137.9</v>
      </c>
      <c r="J129" s="7" t="n">
        <v>117.8</v>
      </c>
      <c r="L129" s="7" t="n">
        <v>210.8</v>
      </c>
      <c r="N129" s="7" t="n">
        <v>157.8</v>
      </c>
      <c r="P129" s="7" t="n">
        <v>259.5</v>
      </c>
      <c r="R129" s="7" t="n">
        <v>279.4</v>
      </c>
      <c r="T129" s="7" t="n">
        <v>131.6</v>
      </c>
      <c r="V129" s="7" t="n">
        <v>192.7</v>
      </c>
      <c r="X129" s="7" t="n">
        <v>157</v>
      </c>
      <c r="Z129" s="7" t="n">
        <v>196.2</v>
      </c>
      <c r="AB129" s="7" t="n">
        <v>2203.9</v>
      </c>
    </row>
    <row r="130">
      <c r="A130" s="4" t="inlineStr">
        <is>
          <t>招待费</t>
        </is>
      </c>
      <c r="D130" s="7" t="n">
        <v>3750.1</v>
      </c>
      <c r="F130" s="7" t="n">
        <v>4745.5</v>
      </c>
      <c r="H130" s="7" t="n">
        <v>2938.9</v>
      </c>
      <c r="J130" s="7" t="n">
        <v>5599.2</v>
      </c>
      <c r="L130" s="7" t="n">
        <v>4291.6</v>
      </c>
      <c r="N130" s="7" t="n">
        <v>5648.7</v>
      </c>
      <c r="P130" s="7" t="n">
        <v>10783.4</v>
      </c>
      <c r="R130" s="7" t="n">
        <v>7663.3</v>
      </c>
      <c r="T130" s="7" t="n">
        <v>4363.3</v>
      </c>
      <c r="V130" s="7" t="n">
        <v>6419.9</v>
      </c>
      <c r="X130" s="7" t="n">
        <v>5543.9</v>
      </c>
      <c r="Z130" s="7" t="n">
        <v>4701.8</v>
      </c>
      <c r="AB130" s="7" t="n">
        <v>66449.60000000001</v>
      </c>
    </row>
    <row r="131">
      <c r="A131" s="4" t="inlineStr">
        <is>
          <t>通讯费</t>
        </is>
      </c>
      <c r="D131" s="7" t="n">
        <v>14.1</v>
      </c>
      <c r="F131" s="7" t="n">
        <v>13.4</v>
      </c>
      <c r="H131" s="7" t="n">
        <v>8.699999999999999</v>
      </c>
      <c r="J131" s="7" t="n">
        <v>11.4</v>
      </c>
      <c r="L131" s="7" t="n">
        <v>16.3</v>
      </c>
      <c r="N131" s="7" t="n">
        <v>14.4</v>
      </c>
      <c r="P131" s="7" t="n">
        <v>24.1</v>
      </c>
      <c r="R131" s="7" t="n">
        <v>21</v>
      </c>
      <c r="T131" s="7" t="n">
        <v>18.6</v>
      </c>
      <c r="V131" s="7" t="n">
        <v>17.2</v>
      </c>
      <c r="X131" s="7" t="n">
        <v>19.4</v>
      </c>
      <c r="Z131" s="7" t="n">
        <v>13.5</v>
      </c>
      <c r="AB131" s="7" t="n">
        <v>192.1</v>
      </c>
    </row>
    <row r="132">
      <c r="A132" s="4" t="inlineStr">
        <is>
          <t>网络费</t>
        </is>
      </c>
      <c r="D132" s="7" t="n">
        <v>352</v>
      </c>
      <c r="F132" s="7" t="n">
        <v>559.7</v>
      </c>
      <c r="H132" s="7" t="n">
        <v>376.7</v>
      </c>
      <c r="J132" s="7" t="n">
        <v>565.6</v>
      </c>
      <c r="L132" s="7" t="n">
        <v>599.3</v>
      </c>
      <c r="N132" s="7" t="n">
        <v>614.5</v>
      </c>
      <c r="P132" s="7" t="n">
        <v>1310.5</v>
      </c>
      <c r="R132" s="7" t="n">
        <v>766.1</v>
      </c>
      <c r="T132" s="7" t="n">
        <v>636.5</v>
      </c>
      <c r="V132" s="7" t="n">
        <v>380.2</v>
      </c>
      <c r="X132" s="7" t="n">
        <v>707.6</v>
      </c>
      <c r="Z132" s="7" t="n">
        <v>352.1</v>
      </c>
      <c r="AB132" s="7" t="n">
        <v>7220.8</v>
      </c>
    </row>
    <row r="133">
      <c r="A133" s="4" t="inlineStr">
        <is>
          <t>修理费</t>
        </is>
      </c>
      <c r="D133" s="7" t="n">
        <v>868.3</v>
      </c>
      <c r="F133" s="7" t="n">
        <v>661.5</v>
      </c>
      <c r="H133" s="7" t="n">
        <v>717.5</v>
      </c>
      <c r="J133" s="7" t="n">
        <v>653.4</v>
      </c>
      <c r="L133" s="7" t="n">
        <v>783.7</v>
      </c>
      <c r="N133" s="7" t="n">
        <v>622.7</v>
      </c>
      <c r="P133" s="7" t="n">
        <v>1336.2</v>
      </c>
      <c r="R133" s="7" t="n">
        <v>1564.6</v>
      </c>
      <c r="T133" s="7" t="n">
        <v>779.5</v>
      </c>
      <c r="V133" s="7" t="n">
        <v>1090</v>
      </c>
      <c r="X133" s="7" t="n">
        <v>840.2</v>
      </c>
      <c r="Z133" s="7" t="n">
        <v>1039.3</v>
      </c>
      <c r="AB133" s="7" t="n">
        <v>10956.9</v>
      </c>
    </row>
    <row r="134">
      <c r="A134" s="4" t="inlineStr">
        <is>
          <t>车辆费</t>
        </is>
      </c>
      <c r="D134" s="7" t="n">
        <v>330.1</v>
      </c>
      <c r="F134" s="7" t="n">
        <v>415.2</v>
      </c>
      <c r="H134" s="7" t="n">
        <v>234.6</v>
      </c>
      <c r="J134" s="7" t="n">
        <v>281.3</v>
      </c>
      <c r="L134" s="7" t="n">
        <v>448.2</v>
      </c>
      <c r="N134" s="7" t="n">
        <v>440.7</v>
      </c>
      <c r="P134" s="7" t="n">
        <v>812.9</v>
      </c>
      <c r="R134" s="7" t="n">
        <v>397.9</v>
      </c>
      <c r="T134" s="7" t="n">
        <v>291.4</v>
      </c>
      <c r="V134" s="7" t="n">
        <v>344.4</v>
      </c>
      <c r="X134" s="7" t="n">
        <v>364.3</v>
      </c>
      <c r="Z134" s="7" t="n">
        <v>339.7</v>
      </c>
      <c r="AB134" s="7" t="n">
        <v>4700.7</v>
      </c>
    </row>
    <row r="135">
      <c r="A135" s="4" t="inlineStr">
        <is>
          <t>租赁费</t>
        </is>
      </c>
      <c r="D135" s="7" t="n">
        <v>7647</v>
      </c>
      <c r="F135" s="7" t="n">
        <v>8086</v>
      </c>
      <c r="H135" s="7" t="n">
        <v>4057.8</v>
      </c>
      <c r="J135" s="7" t="n">
        <v>6368.5</v>
      </c>
      <c r="L135" s="7" t="n">
        <v>6743.3</v>
      </c>
      <c r="N135" s="7" t="n">
        <v>8651.200000000001</v>
      </c>
      <c r="P135" s="7" t="n">
        <v>12915.5</v>
      </c>
      <c r="R135" s="7" t="n">
        <v>8238.9</v>
      </c>
      <c r="T135" s="7" t="n">
        <v>6718.8</v>
      </c>
      <c r="V135" s="7" t="n">
        <v>8707.9</v>
      </c>
      <c r="X135" s="7" t="n">
        <v>8551.9</v>
      </c>
      <c r="Z135" s="7" t="n">
        <v>5988.1</v>
      </c>
      <c r="AB135" s="7" t="n">
        <v>92674.89999999999</v>
      </c>
    </row>
    <row r="136">
      <c r="A136" s="4" t="inlineStr">
        <is>
          <t>能源费</t>
        </is>
      </c>
      <c r="D136" s="7" t="n">
        <v>1952.2</v>
      </c>
      <c r="F136" s="7" t="n">
        <v>1843.4</v>
      </c>
      <c r="H136" s="7" t="n">
        <v>1170.8</v>
      </c>
      <c r="J136" s="7" t="n">
        <v>2016.9</v>
      </c>
      <c r="L136" s="7" t="n">
        <v>1885.4</v>
      </c>
      <c r="N136" s="7" t="n">
        <v>1844.5</v>
      </c>
      <c r="P136" s="7" t="n">
        <v>4170.9</v>
      </c>
      <c r="R136" s="7" t="n">
        <v>3198.1</v>
      </c>
      <c r="T136" s="7" t="n">
        <v>1687.7</v>
      </c>
      <c r="V136" s="7" t="n">
        <v>2085</v>
      </c>
      <c r="X136" s="7" t="n">
        <v>2155</v>
      </c>
      <c r="Z136" s="7" t="n">
        <v>1703.6</v>
      </c>
      <c r="AB136" s="7" t="n">
        <v>25713.5</v>
      </c>
    </row>
    <row r="137">
      <c r="A137" s="4" t="inlineStr">
        <is>
          <t>水费</t>
        </is>
      </c>
      <c r="D137" s="7" t="n">
        <v>420.5</v>
      </c>
      <c r="F137" s="7" t="n">
        <v>446.1</v>
      </c>
      <c r="H137" s="7" t="n">
        <v>253.5</v>
      </c>
      <c r="J137" s="7" t="n">
        <v>392.6</v>
      </c>
      <c r="L137" s="7" t="n">
        <v>488.5</v>
      </c>
      <c r="N137" s="7" t="n">
        <v>495.5</v>
      </c>
      <c r="P137" s="7" t="n">
        <v>946.2</v>
      </c>
      <c r="R137" s="7" t="n">
        <v>599.3</v>
      </c>
      <c r="T137" s="7" t="n">
        <v>414.3</v>
      </c>
      <c r="V137" s="7" t="n">
        <v>521.9</v>
      </c>
      <c r="X137" s="7" t="n">
        <v>367.5</v>
      </c>
      <c r="Z137" s="7" t="n">
        <v>481.6</v>
      </c>
      <c r="AB137" s="7" t="n">
        <v>5827.5</v>
      </c>
    </row>
    <row r="138">
      <c r="A138" s="4" t="inlineStr">
        <is>
          <t>电费</t>
        </is>
      </c>
      <c r="D138" s="7" t="n">
        <v>658</v>
      </c>
      <c r="F138" s="7" t="n">
        <v>650.8</v>
      </c>
      <c r="H138" s="7" t="n">
        <v>402.2</v>
      </c>
      <c r="J138" s="7" t="n">
        <v>651.2</v>
      </c>
      <c r="L138" s="7" t="n">
        <v>418.7</v>
      </c>
      <c r="N138" s="7" t="n">
        <v>460.1</v>
      </c>
      <c r="P138" s="7" t="n">
        <v>1183.1</v>
      </c>
      <c r="R138" s="7" t="n">
        <v>1089.1</v>
      </c>
      <c r="T138" s="7" t="n">
        <v>466.9</v>
      </c>
      <c r="V138" s="7" t="n">
        <v>607.4</v>
      </c>
      <c r="X138" s="7" t="n">
        <v>796</v>
      </c>
      <c r="Z138" s="7" t="n">
        <v>564.6</v>
      </c>
      <c r="AB138" s="7" t="n">
        <v>7948.1</v>
      </c>
    </row>
    <row r="139">
      <c r="A139" s="4" t="inlineStr">
        <is>
          <t>燃气费</t>
        </is>
      </c>
      <c r="D139" s="7" t="n">
        <v>652.8</v>
      </c>
      <c r="F139" s="7" t="n">
        <v>506</v>
      </c>
      <c r="H139" s="7" t="n">
        <v>417.5</v>
      </c>
      <c r="J139" s="7" t="n">
        <v>744.7</v>
      </c>
      <c r="L139" s="7" t="n">
        <v>770.7</v>
      </c>
      <c r="N139" s="7" t="n">
        <v>660.4</v>
      </c>
      <c r="P139" s="7" t="n">
        <v>1640.6</v>
      </c>
      <c r="R139" s="7" t="n">
        <v>1173</v>
      </c>
      <c r="T139" s="7" t="n">
        <v>536.4</v>
      </c>
      <c r="V139" s="7" t="n">
        <v>749.9</v>
      </c>
      <c r="X139" s="7" t="n">
        <v>711.5</v>
      </c>
      <c r="Z139" s="7" t="n">
        <v>466</v>
      </c>
      <c r="AB139" s="7" t="n">
        <v>9029.5</v>
      </c>
    </row>
    <row r="140">
      <c r="A140" s="4" t="inlineStr">
        <is>
          <t>蒸汽费</t>
        </is>
      </c>
      <c r="D140" s="7" t="n">
        <v>220.9</v>
      </c>
      <c r="F140" s="7" t="n">
        <v>240.5</v>
      </c>
      <c r="H140" s="7" t="n">
        <v>97.59999999999999</v>
      </c>
      <c r="J140" s="7" t="n">
        <v>228.4</v>
      </c>
      <c r="L140" s="7" t="n">
        <v>207.5</v>
      </c>
      <c r="N140" s="7" t="n">
        <v>228.5</v>
      </c>
      <c r="P140" s="7" t="n">
        <v>401</v>
      </c>
      <c r="R140" s="7" t="n">
        <v>336.7</v>
      </c>
      <c r="T140" s="7" t="n">
        <v>270.1</v>
      </c>
      <c r="V140" s="7" t="n">
        <v>205.8</v>
      </c>
      <c r="X140" s="7" t="n">
        <v>280</v>
      </c>
      <c r="Z140" s="7" t="n">
        <v>191.4</v>
      </c>
      <c r="AB140" s="7" t="n">
        <v>2908.4</v>
      </c>
    </row>
    <row r="141">
      <c r="A141" s="4" t="inlineStr">
        <is>
          <t>物业费</t>
        </is>
      </c>
      <c r="D141" s="7" t="n">
        <v>662.6</v>
      </c>
      <c r="F141" s="7" t="n">
        <v>728.6</v>
      </c>
      <c r="H141" s="7" t="n">
        <v>654.7</v>
      </c>
      <c r="J141" s="7" t="n">
        <v>629.6</v>
      </c>
      <c r="L141" s="7" t="n">
        <v>949</v>
      </c>
      <c r="N141" s="7" t="n">
        <v>760.8</v>
      </c>
      <c r="P141" s="7" t="n">
        <v>1204.2</v>
      </c>
      <c r="R141" s="7" t="n">
        <v>1275.4</v>
      </c>
      <c r="T141" s="7" t="n">
        <v>640.7</v>
      </c>
      <c r="V141" s="7" t="n">
        <v>1045</v>
      </c>
      <c r="X141" s="7" t="n">
        <v>828</v>
      </c>
      <c r="Z141" s="7" t="n">
        <v>897.8</v>
      </c>
      <c r="AB141" s="7" t="n">
        <v>10276.4</v>
      </c>
    </row>
    <row r="142">
      <c r="A142" s="4" t="inlineStr">
        <is>
          <t>劳动保护费</t>
        </is>
      </c>
      <c r="D142" s="7" t="n">
        <v>218.9</v>
      </c>
      <c r="F142" s="7" t="n">
        <v>349.8</v>
      </c>
      <c r="H142" s="7" t="n">
        <v>216.9</v>
      </c>
      <c r="J142" s="7" t="n">
        <v>306</v>
      </c>
      <c r="L142" s="7" t="n">
        <v>200</v>
      </c>
      <c r="N142" s="7" t="n">
        <v>260.7</v>
      </c>
      <c r="P142" s="7" t="n">
        <v>776.1</v>
      </c>
      <c r="R142" s="7" t="n">
        <v>549.2</v>
      </c>
      <c r="T142" s="7" t="n">
        <v>331.7</v>
      </c>
      <c r="V142" s="7" t="n">
        <v>285.9</v>
      </c>
      <c r="X142" s="7" t="n">
        <v>282.9</v>
      </c>
      <c r="Z142" s="7" t="n">
        <v>216.6</v>
      </c>
      <c r="AB142" s="7" t="n">
        <v>3994.7</v>
      </c>
    </row>
    <row r="143">
      <c r="A143" s="4" t="inlineStr">
        <is>
          <t>顾问费</t>
        </is>
      </c>
      <c r="D143" s="7" t="n">
        <v>689.9</v>
      </c>
      <c r="F143" s="7" t="n">
        <v>398.9</v>
      </c>
      <c r="H143" s="7" t="n">
        <v>405.6</v>
      </c>
      <c r="J143" s="7" t="n">
        <v>497.3</v>
      </c>
      <c r="L143" s="7" t="n">
        <v>526.2</v>
      </c>
      <c r="N143" s="7" t="n">
        <v>559.8</v>
      </c>
      <c r="P143" s="7" t="n">
        <v>1259.2</v>
      </c>
      <c r="R143" s="7" t="n">
        <v>625.5</v>
      </c>
      <c r="T143" s="7" t="n">
        <v>624.8</v>
      </c>
      <c r="V143" s="7" t="n">
        <v>700.9</v>
      </c>
      <c r="X143" s="7" t="n">
        <v>612.4</v>
      </c>
      <c r="Z143" s="7" t="n">
        <v>554.1</v>
      </c>
      <c r="AB143" s="7" t="n">
        <v>7454.6</v>
      </c>
    </row>
    <row r="144">
      <c r="A144" s="4" t="inlineStr">
        <is>
          <t>快递费</t>
        </is>
      </c>
      <c r="D144" s="7" t="n">
        <v>446.3</v>
      </c>
      <c r="F144" s="7" t="n">
        <v>515.5</v>
      </c>
      <c r="H144" s="7" t="n">
        <v>258.2</v>
      </c>
      <c r="J144" s="7" t="n">
        <v>412.3</v>
      </c>
      <c r="L144" s="7" t="n">
        <v>647.4</v>
      </c>
      <c r="N144" s="7" t="n">
        <v>388.3</v>
      </c>
      <c r="P144" s="7" t="n">
        <v>1001.3</v>
      </c>
      <c r="R144" s="7" t="n">
        <v>582.1</v>
      </c>
      <c r="T144" s="7" t="n">
        <v>589</v>
      </c>
      <c r="V144" s="7" t="n">
        <v>640.8</v>
      </c>
      <c r="X144" s="7" t="n">
        <v>729.7</v>
      </c>
      <c r="Z144" s="7" t="n">
        <v>554.5</v>
      </c>
      <c r="AB144" s="7" t="n">
        <v>6765.4</v>
      </c>
    </row>
    <row r="145">
      <c r="A145" s="4" t="inlineStr">
        <is>
          <t>诉讼费</t>
        </is>
      </c>
      <c r="D145" s="7" t="n">
        <v>866.4</v>
      </c>
      <c r="F145" s="7" t="n">
        <v>895.1</v>
      </c>
      <c r="H145" s="7" t="n">
        <v>585.1</v>
      </c>
      <c r="J145" s="7" t="n">
        <v>726.7</v>
      </c>
      <c r="L145" s="7" t="n">
        <v>652.8</v>
      </c>
      <c r="N145" s="7" t="n">
        <v>1057.7</v>
      </c>
      <c r="P145" s="7" t="n">
        <v>1610.5</v>
      </c>
      <c r="R145" s="7" t="n">
        <v>1476.6</v>
      </c>
      <c r="T145" s="7" t="n">
        <v>893.6</v>
      </c>
      <c r="V145" s="7" t="n">
        <v>971.8</v>
      </c>
      <c r="X145" s="7" t="n">
        <v>1158.7</v>
      </c>
      <c r="Z145" s="7" t="n">
        <v>753.5</v>
      </c>
      <c r="AB145" s="7" t="n">
        <v>11648.5</v>
      </c>
    </row>
    <row r="146">
      <c r="A146" s="4" t="inlineStr">
        <is>
          <t>会员费</t>
        </is>
      </c>
      <c r="D146" s="7" t="n">
        <v>389.6</v>
      </c>
      <c r="F146" s="7" t="n">
        <v>362.7</v>
      </c>
      <c r="H146" s="7" t="n">
        <v>320.3</v>
      </c>
      <c r="J146" s="7" t="n">
        <v>480.2</v>
      </c>
      <c r="L146" s="7" t="n">
        <v>434.4</v>
      </c>
      <c r="N146" s="7" t="n">
        <v>384.7</v>
      </c>
      <c r="P146" s="7" t="n">
        <v>755.9</v>
      </c>
      <c r="R146" s="7" t="n">
        <v>484.2</v>
      </c>
      <c r="T146" s="7" t="n">
        <v>508.6</v>
      </c>
      <c r="V146" s="7" t="n">
        <v>393.2</v>
      </c>
      <c r="X146" s="7" t="n">
        <v>461</v>
      </c>
      <c r="Z146" s="7" t="n">
        <v>328.1</v>
      </c>
      <c r="AB146" s="7" t="n">
        <v>5302.9</v>
      </c>
    </row>
    <row r="147">
      <c r="A147" s="4" t="inlineStr">
        <is>
          <t>广告宣传费</t>
        </is>
      </c>
      <c r="D147" s="7" t="n">
        <v>4459.1</v>
      </c>
      <c r="F147" s="7" t="n">
        <v>4121.9</v>
      </c>
      <c r="H147" s="7" t="n">
        <v>1956.5</v>
      </c>
      <c r="J147" s="7" t="n">
        <v>4166.8</v>
      </c>
      <c r="L147" s="7" t="n">
        <v>3405.3</v>
      </c>
      <c r="N147" s="7" t="n">
        <v>4715.5</v>
      </c>
      <c r="P147" s="7" t="n">
        <v>10700.8</v>
      </c>
      <c r="R147" s="7" t="n">
        <v>4481.1</v>
      </c>
      <c r="T147" s="7" t="n">
        <v>4481.7</v>
      </c>
      <c r="V147" s="7" t="n">
        <v>5432.8</v>
      </c>
      <c r="X147" s="7" t="n">
        <v>4980.4</v>
      </c>
      <c r="Z147" s="7" t="n">
        <v>4141.6</v>
      </c>
      <c r="AB147" s="7" t="n">
        <v>57043.5</v>
      </c>
    </row>
    <row r="148">
      <c r="A148" s="4" t="inlineStr">
        <is>
          <t>会务费</t>
        </is>
      </c>
      <c r="D148" s="7" t="n">
        <v>254.9</v>
      </c>
      <c r="F148" s="7" t="n">
        <v>340.1</v>
      </c>
      <c r="H148" s="7" t="n">
        <v>287</v>
      </c>
      <c r="J148" s="7" t="n">
        <v>328.6</v>
      </c>
      <c r="L148" s="7" t="n">
        <v>374.2</v>
      </c>
      <c r="N148" s="7" t="n">
        <v>268.8</v>
      </c>
      <c r="P148" s="7" t="n">
        <v>844.6</v>
      </c>
      <c r="R148" s="7" t="n">
        <v>455.1</v>
      </c>
      <c r="T148" s="7" t="n">
        <v>365.9</v>
      </c>
      <c r="V148" s="7" t="n">
        <v>354.3</v>
      </c>
      <c r="X148" s="7" t="n">
        <v>482.7</v>
      </c>
      <c r="Z148" s="7" t="n">
        <v>401</v>
      </c>
      <c r="AB148" s="7" t="n">
        <v>4757.2</v>
      </c>
    </row>
    <row r="149">
      <c r="A149" s="4" t="inlineStr">
        <is>
          <t>装修费</t>
        </is>
      </c>
      <c r="D149" s="7" t="n">
        <v>495.2</v>
      </c>
      <c r="F149" s="7" t="n">
        <v>306.9</v>
      </c>
      <c r="H149" s="7" t="n">
        <v>345.3</v>
      </c>
      <c r="J149" s="7" t="n">
        <v>502.8</v>
      </c>
      <c r="L149" s="7" t="n">
        <v>538.3</v>
      </c>
      <c r="N149" s="7" t="n">
        <v>432.5</v>
      </c>
      <c r="P149" s="7" t="n">
        <v>1088.1</v>
      </c>
      <c r="R149" s="7" t="n">
        <v>868.5</v>
      </c>
      <c r="T149" s="7" t="n">
        <v>531.7</v>
      </c>
      <c r="V149" s="7" t="n">
        <v>600.7</v>
      </c>
      <c r="X149" s="7" t="n">
        <v>670.2</v>
      </c>
      <c r="Z149" s="7" t="n">
        <v>441.5</v>
      </c>
      <c r="AB149" s="7" t="n">
        <v>6821.7</v>
      </c>
    </row>
    <row r="150">
      <c r="A150" s="4" t="inlineStr">
        <is>
          <t>推广费</t>
        </is>
      </c>
      <c r="D150" s="7" t="n">
        <v>549.1</v>
      </c>
      <c r="F150" s="7" t="n">
        <v>583.7</v>
      </c>
      <c r="H150" s="7" t="n">
        <v>314.4</v>
      </c>
      <c r="J150" s="7" t="n">
        <v>684.1</v>
      </c>
      <c r="L150" s="7" t="n">
        <v>501.4</v>
      </c>
      <c r="N150" s="7" t="n">
        <v>796.1</v>
      </c>
      <c r="P150" s="7" t="n">
        <v>1072.7</v>
      </c>
      <c r="R150" s="7" t="n">
        <v>1108.5</v>
      </c>
      <c r="T150" s="7" t="n">
        <v>802.1</v>
      </c>
      <c r="V150" s="7" t="n">
        <v>579.4</v>
      </c>
      <c r="X150" s="7" t="n">
        <v>643.3</v>
      </c>
      <c r="Z150" s="7" t="n">
        <v>655.4</v>
      </c>
      <c r="AB150" s="7" t="n">
        <v>8290.200000000001</v>
      </c>
    </row>
    <row r="151">
      <c r="A151" s="4" t="inlineStr">
        <is>
          <t>展会费</t>
        </is>
      </c>
      <c r="D151" s="7" t="n">
        <v>362</v>
      </c>
      <c r="F151" s="7" t="n">
        <v>297.5</v>
      </c>
      <c r="H151" s="7" t="n">
        <v>329.2</v>
      </c>
      <c r="J151" s="7" t="n">
        <v>418.6</v>
      </c>
      <c r="L151" s="7" t="n">
        <v>321.7</v>
      </c>
      <c r="N151" s="7" t="n">
        <v>344.7</v>
      </c>
      <c r="P151" s="7" t="n">
        <v>1071.5</v>
      </c>
      <c r="R151" s="7" t="n">
        <v>678.7</v>
      </c>
      <c r="T151" s="7" t="n">
        <v>479.3</v>
      </c>
      <c r="V151" s="7" t="n">
        <v>514.7</v>
      </c>
      <c r="X151" s="7" t="n">
        <v>590.4</v>
      </c>
      <c r="Z151" s="7" t="n">
        <v>490.2</v>
      </c>
      <c r="AB151" s="7" t="n">
        <v>5898.5</v>
      </c>
    </row>
    <row r="152">
      <c r="A152" s="4" t="inlineStr">
        <is>
          <t>设计费</t>
        </is>
      </c>
      <c r="D152" s="7" t="n">
        <v>235.8</v>
      </c>
      <c r="F152" s="7" t="n">
        <v>188.1</v>
      </c>
      <c r="H152" s="7" t="n">
        <v>164.7</v>
      </c>
      <c r="J152" s="7" t="n">
        <v>197.5</v>
      </c>
      <c r="L152" s="7" t="n">
        <v>145.7</v>
      </c>
      <c r="N152" s="7" t="n">
        <v>184.9</v>
      </c>
      <c r="P152" s="7" t="n">
        <v>348.2</v>
      </c>
      <c r="R152" s="7" t="n">
        <v>327.5</v>
      </c>
      <c r="T152" s="7" t="n">
        <v>252.6</v>
      </c>
      <c r="V152" s="7" t="n">
        <v>166.9</v>
      </c>
      <c r="X152" s="7" t="n">
        <v>280.7</v>
      </c>
      <c r="Z152" s="7" t="n">
        <v>223.7</v>
      </c>
      <c r="AB152" s="7" t="n">
        <v>2716.3</v>
      </c>
    </row>
    <row r="153">
      <c r="A153" s="4" t="inlineStr">
        <is>
          <t>折旧费</t>
        </is>
      </c>
      <c r="D153" s="7" t="n">
        <v>6446.2</v>
      </c>
      <c r="F153" s="7" t="n">
        <v>4052.6</v>
      </c>
      <c r="H153" s="7" t="n">
        <v>4618</v>
      </c>
      <c r="J153" s="7" t="n">
        <v>4849.7</v>
      </c>
      <c r="L153" s="7" t="n">
        <v>6725.4</v>
      </c>
      <c r="N153" s="7" t="n">
        <v>4322.6</v>
      </c>
      <c r="P153" s="7" t="n">
        <v>14150.8</v>
      </c>
      <c r="R153" s="7" t="n">
        <v>6743</v>
      </c>
      <c r="T153" s="7" t="n">
        <v>6197.9</v>
      </c>
      <c r="V153" s="7" t="n">
        <v>5111.2</v>
      </c>
      <c r="X153" s="7" t="n">
        <v>7092.3</v>
      </c>
      <c r="Z153" s="7" t="n">
        <v>6023.5</v>
      </c>
      <c r="AB153" s="7" t="n">
        <v>76333.2</v>
      </c>
    </row>
    <row r="154">
      <c r="A154" s="4" t="inlineStr">
        <is>
          <t>认证费</t>
        </is>
      </c>
      <c r="D154" s="7" t="n">
        <v>104.3</v>
      </c>
      <c r="F154" s="7" t="n">
        <v>106.4</v>
      </c>
      <c r="H154" s="7" t="n">
        <v>46.6</v>
      </c>
      <c r="J154" s="7" t="n">
        <v>98.09999999999999</v>
      </c>
      <c r="L154" s="7" t="n">
        <v>81.09999999999999</v>
      </c>
      <c r="N154" s="7" t="n">
        <v>64.5</v>
      </c>
      <c r="P154" s="7" t="n">
        <v>203.4</v>
      </c>
      <c r="R154" s="7" t="n">
        <v>137.2</v>
      </c>
      <c r="T154" s="7" t="n">
        <v>118.5</v>
      </c>
      <c r="V154" s="7" t="n">
        <v>120</v>
      </c>
      <c r="X154" s="7" t="n">
        <v>115.6</v>
      </c>
      <c r="Z154" s="7" t="n">
        <v>64.40000000000001</v>
      </c>
      <c r="AB154" s="7" t="n">
        <v>1260.1</v>
      </c>
    </row>
    <row r="155">
      <c r="A155" s="4" t="inlineStr">
        <is>
          <t>样品费</t>
        </is>
      </c>
      <c r="D155" s="7" t="n">
        <v>2283.7</v>
      </c>
      <c r="F155" s="7" t="n">
        <v>2493.3</v>
      </c>
      <c r="H155" s="7" t="n">
        <v>2019.3</v>
      </c>
      <c r="J155" s="7" t="n">
        <v>3104.1</v>
      </c>
      <c r="L155" s="7" t="n">
        <v>2190.4</v>
      </c>
      <c r="N155" s="7" t="n">
        <v>2197.3</v>
      </c>
      <c r="P155" s="7" t="n">
        <v>6010.6</v>
      </c>
      <c r="R155" s="7" t="n">
        <v>3124.6</v>
      </c>
      <c r="T155" s="7" t="n">
        <v>3067.1</v>
      </c>
      <c r="V155" s="7" t="n">
        <v>2841.6</v>
      </c>
      <c r="X155" s="7" t="n">
        <v>3484.3</v>
      </c>
      <c r="Z155" s="7" t="n">
        <v>3401.6</v>
      </c>
      <c r="AB155" s="7" t="n">
        <v>36217.9</v>
      </c>
    </row>
    <row r="156">
      <c r="A156" s="4" t="inlineStr">
        <is>
          <t>劳务费</t>
        </is>
      </c>
      <c r="D156" s="7" t="n">
        <v>93.90000000000001</v>
      </c>
      <c r="F156" s="7" t="n">
        <v>92.3</v>
      </c>
      <c r="H156" s="7" t="n">
        <v>49.2</v>
      </c>
      <c r="J156" s="7" t="n">
        <v>97.7</v>
      </c>
      <c r="L156" s="7" t="n">
        <v>109.4</v>
      </c>
      <c r="N156" s="7" t="n">
        <v>104.8</v>
      </c>
      <c r="P156" s="7" t="n">
        <v>178.5</v>
      </c>
      <c r="R156" s="7" t="n">
        <v>108.5</v>
      </c>
      <c r="T156" s="7" t="n">
        <v>123.9</v>
      </c>
      <c r="V156" s="7" t="n">
        <v>86.5</v>
      </c>
      <c r="X156" s="7" t="n">
        <v>109.3</v>
      </c>
      <c r="Z156" s="7" t="n">
        <v>90</v>
      </c>
      <c r="AB156" s="7" t="n">
        <v>1244</v>
      </c>
    </row>
    <row r="157">
      <c r="A157" s="4" t="inlineStr">
        <is>
          <t>销售佣金</t>
        </is>
      </c>
      <c r="D157" s="7" t="n">
        <v>341.1</v>
      </c>
      <c r="F157" s="7" t="n">
        <v>335</v>
      </c>
      <c r="H157" s="7" t="n">
        <v>207.2</v>
      </c>
      <c r="J157" s="7" t="n">
        <v>439.5</v>
      </c>
      <c r="L157" s="7" t="n">
        <v>359</v>
      </c>
      <c r="N157" s="7" t="n">
        <v>493</v>
      </c>
      <c r="P157" s="7" t="n">
        <v>988.4</v>
      </c>
      <c r="R157" s="7" t="n">
        <v>593.3</v>
      </c>
      <c r="T157" s="7" t="n">
        <v>498.4</v>
      </c>
      <c r="V157" s="7" t="n">
        <v>425.7</v>
      </c>
      <c r="X157" s="7" t="n">
        <v>417.6</v>
      </c>
      <c r="Z157" s="7" t="n">
        <v>385.1</v>
      </c>
      <c r="AB157" s="7" t="n">
        <v>5483.3</v>
      </c>
    </row>
    <row r="158">
      <c r="A158" s="4" t="inlineStr">
        <is>
          <t>检测费</t>
        </is>
      </c>
      <c r="D158" s="7" t="n">
        <v>519.9</v>
      </c>
      <c r="F158" s="7" t="n">
        <v>894.7</v>
      </c>
      <c r="H158" s="7" t="n">
        <v>437.3</v>
      </c>
      <c r="J158" s="7" t="n">
        <v>876.1</v>
      </c>
      <c r="L158" s="7" t="n">
        <v>819.5</v>
      </c>
      <c r="N158" s="7" t="n">
        <v>816</v>
      </c>
      <c r="P158" s="7" t="n">
        <v>1192.9</v>
      </c>
      <c r="R158" s="7" t="n">
        <v>1435.4</v>
      </c>
      <c r="T158" s="7" t="n">
        <v>910.7</v>
      </c>
      <c r="V158" s="7" t="n">
        <v>567.9</v>
      </c>
      <c r="X158" s="7" t="n">
        <v>848.3</v>
      </c>
      <c r="Z158" s="7" t="n">
        <v>736.6</v>
      </c>
      <c r="AB158" s="7" t="n">
        <v>10055.3</v>
      </c>
    </row>
    <row r="159">
      <c r="A159" s="4" t="inlineStr">
        <is>
          <t>质量赔偿</t>
        </is>
      </c>
      <c r="D159" s="7" t="n">
        <v>655.6</v>
      </c>
      <c r="F159" s="7" t="n">
        <v>392.1</v>
      </c>
      <c r="H159" s="7" t="n">
        <v>388.1</v>
      </c>
      <c r="J159" s="7" t="n">
        <v>515.9</v>
      </c>
      <c r="L159" s="7" t="n">
        <v>390</v>
      </c>
      <c r="N159" s="7" t="n">
        <v>619.1</v>
      </c>
      <c r="P159" s="7" t="n">
        <v>877.7</v>
      </c>
      <c r="R159" s="7" t="n">
        <v>806.3</v>
      </c>
      <c r="T159" s="7" t="n">
        <v>483.5</v>
      </c>
      <c r="V159" s="7" t="n">
        <v>442.9</v>
      </c>
      <c r="X159" s="7" t="n">
        <v>811.4</v>
      </c>
      <c r="Z159" s="7" t="n">
        <v>555.6</v>
      </c>
      <c r="AB159" s="7" t="n">
        <v>6938.2</v>
      </c>
    </row>
    <row r="160">
      <c r="A160" s="4" t="inlineStr">
        <is>
          <t>保险费</t>
        </is>
      </c>
      <c r="D160" s="7" t="n">
        <v>653.3</v>
      </c>
      <c r="F160" s="7" t="n">
        <v>562.6</v>
      </c>
      <c r="H160" s="7" t="n">
        <v>400.2</v>
      </c>
      <c r="J160" s="7" t="n">
        <v>655.4</v>
      </c>
      <c r="L160" s="7" t="n">
        <v>873.7</v>
      </c>
      <c r="N160" s="7" t="n">
        <v>896</v>
      </c>
      <c r="P160" s="7" t="n">
        <v>1499.8</v>
      </c>
      <c r="R160" s="7" t="n">
        <v>835.4</v>
      </c>
      <c r="T160" s="7" t="n">
        <v>697.2</v>
      </c>
      <c r="V160" s="7" t="n">
        <v>921.8</v>
      </c>
      <c r="X160" s="7" t="n">
        <v>938.8</v>
      </c>
      <c r="Z160" s="7" t="n">
        <v>894</v>
      </c>
      <c r="AB160" s="7" t="n">
        <v>9828.200000000001</v>
      </c>
    </row>
    <row r="161">
      <c r="A161" s="4" t="inlineStr">
        <is>
          <t>清洁费</t>
        </is>
      </c>
      <c r="D161" s="7" t="n">
        <v>364.4</v>
      </c>
      <c r="F161" s="7" t="n">
        <v>325.7</v>
      </c>
      <c r="H161" s="7" t="n">
        <v>215.1</v>
      </c>
      <c r="J161" s="7" t="n">
        <v>381.4</v>
      </c>
      <c r="L161" s="7" t="n">
        <v>349.4</v>
      </c>
      <c r="N161" s="7" t="n">
        <v>358.1</v>
      </c>
      <c r="P161" s="7" t="n">
        <v>942</v>
      </c>
      <c r="R161" s="7" t="n">
        <v>657.5</v>
      </c>
      <c r="T161" s="7" t="n">
        <v>419.4</v>
      </c>
      <c r="V161" s="7" t="n">
        <v>375.9</v>
      </c>
      <c r="X161" s="7" t="n">
        <v>517.2</v>
      </c>
      <c r="Z161" s="7" t="n">
        <v>510.8</v>
      </c>
      <c r="AB161" s="7" t="n">
        <v>5416.9</v>
      </c>
    </row>
    <row r="162">
      <c r="A162" s="4" t="inlineStr">
        <is>
          <t>低值易耗品</t>
        </is>
      </c>
      <c r="D162" s="7" t="n">
        <v>595.2</v>
      </c>
      <c r="F162" s="7" t="n">
        <v>739.7</v>
      </c>
      <c r="H162" s="7" t="n">
        <v>508.4</v>
      </c>
      <c r="J162" s="7" t="n">
        <v>547.3</v>
      </c>
      <c r="L162" s="7" t="n">
        <v>532.9</v>
      </c>
      <c r="N162" s="7" t="n">
        <v>896</v>
      </c>
      <c r="P162" s="7" t="n">
        <v>1816.8</v>
      </c>
      <c r="R162" s="7" t="n">
        <v>1353.7</v>
      </c>
      <c r="T162" s="7" t="n">
        <v>860.6</v>
      </c>
      <c r="V162" s="7" t="n">
        <v>704.9</v>
      </c>
      <c r="X162" s="7" t="n">
        <v>782.3</v>
      </c>
      <c r="Z162" s="7" t="n">
        <v>553</v>
      </c>
      <c r="AB162" s="7" t="n">
        <v>9890.799999999999</v>
      </c>
    </row>
    <row r="163">
      <c r="A163" s="4" t="inlineStr">
        <is>
          <t>物料消耗</t>
        </is>
      </c>
      <c r="D163" s="7" t="n">
        <v>878</v>
      </c>
      <c r="F163" s="7" t="n">
        <v>508.6</v>
      </c>
      <c r="H163" s="7" t="n">
        <v>600.5</v>
      </c>
      <c r="J163" s="7" t="n">
        <v>669.4</v>
      </c>
      <c r="L163" s="7" t="n">
        <v>613.5</v>
      </c>
      <c r="N163" s="7" t="n">
        <v>817.3</v>
      </c>
      <c r="P163" s="7" t="n">
        <v>1307</v>
      </c>
      <c r="R163" s="7" t="n">
        <v>1440</v>
      </c>
      <c r="T163" s="7" t="n">
        <v>602.9</v>
      </c>
      <c r="V163" s="7" t="n">
        <v>965.3</v>
      </c>
      <c r="X163" s="7" t="n">
        <v>1142.9</v>
      </c>
      <c r="Z163" s="7" t="n">
        <v>904.1</v>
      </c>
      <c r="AB163" s="7" t="n">
        <v>10449.5</v>
      </c>
    </row>
    <row r="164">
      <c r="A164" s="4" t="inlineStr">
        <is>
          <t>盘盈盘亏</t>
        </is>
      </c>
      <c r="D164" s="7" t="n">
        <v>819.1</v>
      </c>
      <c r="F164" s="7" t="n">
        <v>488.1</v>
      </c>
      <c r="H164" s="7" t="n">
        <v>335.9</v>
      </c>
      <c r="J164" s="7" t="n">
        <v>615.4</v>
      </c>
      <c r="L164" s="7" t="n">
        <v>495.4</v>
      </c>
      <c r="N164" s="7" t="n">
        <v>580.1</v>
      </c>
      <c r="P164" s="7" t="n">
        <v>1579.5</v>
      </c>
      <c r="R164" s="7" t="n">
        <v>1096.1</v>
      </c>
      <c r="T164" s="7" t="n">
        <v>588.5</v>
      </c>
      <c r="V164" s="7" t="n">
        <v>562</v>
      </c>
      <c r="X164" s="7" t="n">
        <v>769.8</v>
      </c>
      <c r="Z164" s="7" t="n">
        <v>859.4</v>
      </c>
      <c r="AB164" s="7" t="n">
        <v>8789.299999999999</v>
      </c>
    </row>
    <row r="165">
      <c r="A165" s="4" t="inlineStr">
        <is>
          <t>平台服务费</t>
        </is>
      </c>
      <c r="D165" s="7" t="n">
        <v>409.5</v>
      </c>
      <c r="F165" s="7" t="n">
        <v>454.6</v>
      </c>
      <c r="H165" s="7" t="n">
        <v>406.7</v>
      </c>
      <c r="J165" s="7" t="n">
        <v>444.5</v>
      </c>
      <c r="L165" s="7" t="n">
        <v>451.5</v>
      </c>
      <c r="N165" s="7" t="n">
        <v>560.4</v>
      </c>
      <c r="P165" s="7" t="n">
        <v>1243</v>
      </c>
      <c r="R165" s="7" t="n">
        <v>580.3</v>
      </c>
      <c r="T165" s="7" t="n">
        <v>462.9</v>
      </c>
      <c r="V165" s="7" t="n">
        <v>525.3</v>
      </c>
      <c r="X165" s="7" t="n">
        <v>552.8</v>
      </c>
      <c r="Z165" s="7" t="n">
        <v>591.8</v>
      </c>
      <c r="AB165" s="7" t="n">
        <v>6683.3</v>
      </c>
    </row>
    <row r="166">
      <c r="A166" s="4" t="inlineStr">
        <is>
          <t>无形资产摊销</t>
        </is>
      </c>
      <c r="D166" s="7" t="n">
        <v>426.3</v>
      </c>
      <c r="F166" s="7" t="n">
        <v>372.8</v>
      </c>
      <c r="H166" s="7" t="n">
        <v>353.5</v>
      </c>
      <c r="J166" s="7" t="n">
        <v>552.8</v>
      </c>
      <c r="L166" s="7" t="n">
        <v>632.7</v>
      </c>
      <c r="N166" s="7" t="n">
        <v>454.3</v>
      </c>
      <c r="P166" s="7" t="n">
        <v>1084.3</v>
      </c>
      <c r="R166" s="7" t="n">
        <v>704.5</v>
      </c>
      <c r="T166" s="7" t="n">
        <v>746.2</v>
      </c>
      <c r="V166" s="7" t="n">
        <v>604</v>
      </c>
      <c r="X166" s="7" t="n">
        <v>831</v>
      </c>
      <c r="Z166" s="7" t="n">
        <v>459.1</v>
      </c>
      <c r="AB166" s="7" t="n">
        <v>7221.5</v>
      </c>
    </row>
    <row r="167">
      <c r="A167" s="4" t="inlineStr">
        <is>
          <t>研发材料</t>
        </is>
      </c>
      <c r="D167" s="7" t="n">
        <v>542.5</v>
      </c>
      <c r="F167" s="7" t="n">
        <v>511.1</v>
      </c>
      <c r="H167" s="7" t="n">
        <v>264.4</v>
      </c>
      <c r="J167" s="7" t="n">
        <v>341.4</v>
      </c>
      <c r="L167" s="7" t="n">
        <v>383.5</v>
      </c>
      <c r="N167" s="7" t="n">
        <v>376.8</v>
      </c>
      <c r="P167" s="7" t="n">
        <v>1197.9</v>
      </c>
      <c r="R167" s="7" t="n">
        <v>507.8</v>
      </c>
      <c r="T167" s="7" t="n">
        <v>436.5</v>
      </c>
      <c r="V167" s="7" t="n">
        <v>379.7</v>
      </c>
      <c r="X167" s="7" t="n">
        <v>549.6</v>
      </c>
      <c r="Z167" s="7" t="n">
        <v>340.1</v>
      </c>
      <c r="AB167" s="7" t="n">
        <v>5831.3</v>
      </c>
    </row>
    <row r="168">
      <c r="A168" s="4" t="inlineStr">
        <is>
          <t>项目名称</t>
        </is>
      </c>
      <c r="D168" s="7" t="n">
        <v>63.9</v>
      </c>
      <c r="F168" s="7" t="n">
        <v>63.4</v>
      </c>
      <c r="H168" s="7" t="n">
        <v>42.7</v>
      </c>
      <c r="J168" s="7" t="n">
        <v>86.5</v>
      </c>
      <c r="L168" s="7" t="n">
        <v>75.59999999999999</v>
      </c>
      <c r="N168" s="7" t="n">
        <v>56.6</v>
      </c>
      <c r="P168" s="7" t="n">
        <v>131.4</v>
      </c>
      <c r="R168" s="7" t="n">
        <v>117.2</v>
      </c>
      <c r="T168" s="7" t="n">
        <v>82.7</v>
      </c>
      <c r="V168" s="7" t="n">
        <v>62.5</v>
      </c>
      <c r="X168" s="7" t="n">
        <v>95.5</v>
      </c>
      <c r="Z168" s="7" t="n">
        <v>93.5</v>
      </c>
      <c r="AB168" s="7" t="n">
        <v>971.5</v>
      </c>
    </row>
    <row r="169">
      <c r="A169" s="4" t="inlineStr">
        <is>
          <t>研发费</t>
        </is>
      </c>
      <c r="D169" s="7" t="n">
        <v>746.1</v>
      </c>
      <c r="F169" s="7" t="n">
        <v>661.4</v>
      </c>
      <c r="H169" s="7" t="n">
        <v>617.3</v>
      </c>
      <c r="J169" s="7" t="n">
        <v>703.5</v>
      </c>
      <c r="L169" s="7" t="n">
        <v>833.7</v>
      </c>
      <c r="N169" s="7" t="n">
        <v>786.3</v>
      </c>
      <c r="P169" s="7" t="n">
        <v>1527.1</v>
      </c>
      <c r="R169" s="7" t="n">
        <v>1454</v>
      </c>
      <c r="T169" s="7" t="n">
        <v>1035.9</v>
      </c>
      <c r="V169" s="7" t="n">
        <v>745</v>
      </c>
      <c r="X169" s="7" t="n">
        <v>1052.5</v>
      </c>
      <c r="Z169" s="7" t="n">
        <v>804.4</v>
      </c>
      <c r="AB169" s="7" t="n">
        <v>10967.2</v>
      </c>
    </row>
    <row r="170">
      <c r="A170" s="4" t="inlineStr">
        <is>
          <t>残保金</t>
        </is>
      </c>
      <c r="D170" s="7" t="n">
        <v>717.1</v>
      </c>
      <c r="F170" s="7" t="n">
        <v>620.9</v>
      </c>
      <c r="H170" s="7" t="n">
        <v>574.5</v>
      </c>
      <c r="J170" s="7" t="n">
        <v>681.8</v>
      </c>
      <c r="L170" s="7" t="n">
        <v>759.3</v>
      </c>
      <c r="N170" s="7" t="n">
        <v>640.1</v>
      </c>
      <c r="P170" s="7" t="n">
        <v>1461.3</v>
      </c>
      <c r="R170" s="7" t="n">
        <v>832.6</v>
      </c>
      <c r="T170" s="7" t="n">
        <v>680</v>
      </c>
      <c r="V170" s="7" t="n">
        <v>554.1</v>
      </c>
      <c r="X170" s="7" t="n">
        <v>831</v>
      </c>
      <c r="Z170" s="7" t="n">
        <v>508.3</v>
      </c>
      <c r="AB170" s="7" t="n">
        <v>8861</v>
      </c>
    </row>
    <row r="171">
      <c r="A171" s="4" t="inlineStr">
        <is>
          <t>环保费</t>
        </is>
      </c>
      <c r="D171" s="7" t="n">
        <v>472.5</v>
      </c>
      <c r="F171" s="7" t="n">
        <v>663.7</v>
      </c>
      <c r="H171" s="7" t="n">
        <v>467</v>
      </c>
      <c r="J171" s="7" t="n">
        <v>735.1</v>
      </c>
      <c r="L171" s="7" t="n">
        <v>646.8</v>
      </c>
      <c r="N171" s="7" t="n">
        <v>776.4</v>
      </c>
      <c r="P171" s="7" t="n">
        <v>1602.8</v>
      </c>
      <c r="R171" s="7" t="n">
        <v>1145.5</v>
      </c>
      <c r="T171" s="7" t="n">
        <v>560.1</v>
      </c>
      <c r="V171" s="7" t="n">
        <v>510.9</v>
      </c>
      <c r="X171" s="7" t="n">
        <v>785.2</v>
      </c>
      <c r="Z171" s="7" t="n">
        <v>635.1</v>
      </c>
      <c r="AB171" s="7" t="n">
        <v>9001.1</v>
      </c>
    </row>
    <row r="172">
      <c r="A172" s="4" t="inlineStr">
        <is>
          <t>报废损失</t>
        </is>
      </c>
      <c r="D172" s="7" t="n">
        <v>590.5</v>
      </c>
      <c r="F172" s="7" t="n">
        <v>622.2</v>
      </c>
      <c r="H172" s="7" t="n">
        <v>467.7</v>
      </c>
      <c r="J172" s="7" t="n">
        <v>596.8</v>
      </c>
      <c r="L172" s="7" t="n">
        <v>624.1</v>
      </c>
      <c r="N172" s="7" t="n">
        <v>593.7</v>
      </c>
      <c r="P172" s="7" t="n">
        <v>1182.6</v>
      </c>
      <c r="R172" s="7" t="n">
        <v>884.6</v>
      </c>
      <c r="T172" s="7" t="n">
        <v>470.9</v>
      </c>
      <c r="V172" s="7" t="n">
        <v>585.9</v>
      </c>
      <c r="X172" s="7" t="n">
        <v>565.2</v>
      </c>
      <c r="Z172" s="7" t="n">
        <v>436.8</v>
      </c>
      <c r="AB172" s="7" t="n">
        <v>7621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87142.10000000001</v>
      </c>
      <c r="D173" s="7" t="n">
        <v>55547.8</v>
      </c>
      <c r="E173" s="7" t="n">
        <v>71578.7</v>
      </c>
      <c r="F173" s="7" t="n">
        <v>69173.3</v>
      </c>
      <c r="G173" s="7" t="n">
        <v>85400.5</v>
      </c>
      <c r="H173" s="7" t="n">
        <v>47567.2</v>
      </c>
      <c r="I173" s="7" t="n">
        <v>73243.2</v>
      </c>
      <c r="J173" s="7" t="n">
        <v>81805.60000000001</v>
      </c>
      <c r="K173" s="7" t="n">
        <v>88534.89999999999</v>
      </c>
      <c r="L173" s="7" t="n">
        <v>128079.4</v>
      </c>
      <c r="M173" s="7" t="n">
        <v>79837.8</v>
      </c>
      <c r="N173" s="7" t="n">
        <v>65085</v>
      </c>
      <c r="O173" s="7" t="n">
        <v>72567.7</v>
      </c>
      <c r="P173" s="7" t="n">
        <v>114839.6</v>
      </c>
      <c r="Q173" s="7" t="n">
        <v>72400.2</v>
      </c>
      <c r="R173" s="7" t="n">
        <v>63884.8</v>
      </c>
      <c r="S173" s="7" t="n">
        <v>85459.60000000001</v>
      </c>
      <c r="T173" s="7" t="n">
        <v>69862.39999999999</v>
      </c>
      <c r="U173" s="7" t="n">
        <v>84619.3</v>
      </c>
      <c r="V173" s="7" t="n">
        <v>90282.89999999999</v>
      </c>
      <c r="W173" s="7" t="n">
        <v>80779.8</v>
      </c>
      <c r="X173" s="7" t="n">
        <v>83411.39999999999</v>
      </c>
      <c r="Y173" s="7" t="n">
        <v>83449</v>
      </c>
      <c r="Z173" s="7" t="n">
        <v>68521.3</v>
      </c>
      <c r="AA173" s="8" t="n">
        <v>965012.8</v>
      </c>
      <c r="AB173" s="8" t="n">
        <v>938060.7</v>
      </c>
    </row>
    <row r="174">
      <c r="A174" s="4" t="inlineStr">
        <is>
          <t>职工薪酬</t>
        </is>
      </c>
      <c r="D174" s="7" t="n">
        <v>30245.9</v>
      </c>
      <c r="F174" s="7" t="n">
        <v>34444</v>
      </c>
      <c r="H174" s="7" t="n">
        <v>21517.2</v>
      </c>
      <c r="J174" s="7" t="n">
        <v>40786.9</v>
      </c>
      <c r="L174" s="7" t="n">
        <v>76420.5</v>
      </c>
      <c r="N174" s="7" t="n">
        <v>31854.6</v>
      </c>
      <c r="P174" s="7" t="n">
        <v>57911.4</v>
      </c>
      <c r="R174" s="7" t="n">
        <v>32301.4</v>
      </c>
      <c r="T174" s="7" t="n">
        <v>42638.9</v>
      </c>
      <c r="V174" s="7" t="n">
        <v>39396.7</v>
      </c>
      <c r="X174" s="7" t="n">
        <v>37050.2</v>
      </c>
      <c r="Z174" s="7" t="n">
        <v>37931.8</v>
      </c>
      <c r="AB174" s="7" t="n">
        <v>482499.5</v>
      </c>
    </row>
    <row r="175">
      <c r="A175" s="4" t="inlineStr">
        <is>
          <t>工资</t>
        </is>
      </c>
      <c r="D175" s="7" t="n">
        <v>16934.3</v>
      </c>
      <c r="F175" s="7" t="n">
        <v>20723.4</v>
      </c>
      <c r="H175" s="7" t="n">
        <v>10952.5</v>
      </c>
      <c r="J175" s="7" t="n">
        <v>24399.3</v>
      </c>
      <c r="L175" s="7" t="n">
        <v>47539.1</v>
      </c>
      <c r="N175" s="7" t="n">
        <v>17497.3</v>
      </c>
      <c r="P175" s="7" t="n">
        <v>36096.9</v>
      </c>
      <c r="R175" s="7" t="n">
        <v>19836</v>
      </c>
      <c r="T175" s="7" t="n">
        <v>26177.2</v>
      </c>
      <c r="V175" s="7" t="n">
        <v>22908.8</v>
      </c>
      <c r="X175" s="7" t="n">
        <v>19757.1</v>
      </c>
      <c r="Z175" s="7" t="n">
        <v>24408.5</v>
      </c>
      <c r="AB175" s="7" t="n">
        <v>287230.4</v>
      </c>
    </row>
    <row r="176">
      <c r="A176" s="4" t="inlineStr">
        <is>
          <t>奖金及提成</t>
        </is>
      </c>
      <c r="D176" s="7" t="n">
        <v>6397.2</v>
      </c>
      <c r="F176" s="7" t="n">
        <v>5251.2</v>
      </c>
      <c r="H176" s="7" t="n">
        <v>5593.6</v>
      </c>
      <c r="J176" s="7" t="n">
        <v>7675.6</v>
      </c>
      <c r="L176" s="7" t="n">
        <v>15041</v>
      </c>
      <c r="N176" s="7" t="n">
        <v>7926</v>
      </c>
      <c r="P176" s="7" t="n">
        <v>11814.6</v>
      </c>
      <c r="R176" s="7" t="n">
        <v>5136.1</v>
      </c>
      <c r="T176" s="7" t="n">
        <v>8593.200000000001</v>
      </c>
      <c r="V176" s="7" t="n">
        <v>7757</v>
      </c>
      <c r="X176" s="7" t="n">
        <v>8612.4</v>
      </c>
      <c r="Z176" s="7" t="n">
        <v>7290.3</v>
      </c>
      <c r="AB176" s="7" t="n">
        <v>97088.2</v>
      </c>
    </row>
    <row r="177">
      <c r="A177" s="4" t="inlineStr">
        <is>
          <t>社保</t>
        </is>
      </c>
      <c r="D177" s="7" t="n">
        <v>5616.3</v>
      </c>
      <c r="F177" s="7" t="n">
        <v>6811.6</v>
      </c>
      <c r="H177" s="7" t="n">
        <v>3847.9</v>
      </c>
      <c r="J177" s="7" t="n">
        <v>6567.7</v>
      </c>
      <c r="L177" s="7" t="n">
        <v>10670.1</v>
      </c>
      <c r="N177" s="7" t="n">
        <v>4736</v>
      </c>
      <c r="P177" s="7" t="n">
        <v>7591.8</v>
      </c>
      <c r="R177" s="7" t="n">
        <v>5846.7</v>
      </c>
      <c r="T177" s="7" t="n">
        <v>6276.3</v>
      </c>
      <c r="V177" s="7" t="n">
        <v>6668.8</v>
      </c>
      <c r="X177" s="7" t="n">
        <v>6730.3</v>
      </c>
      <c r="Z177" s="7" t="n">
        <v>4444.5</v>
      </c>
      <c r="AB177" s="7" t="n">
        <v>75808</v>
      </c>
    </row>
    <row r="178">
      <c r="A178" s="4" t="inlineStr">
        <is>
          <t>养老</t>
        </is>
      </c>
      <c r="D178" s="7" t="n">
        <v>217.5</v>
      </c>
      <c r="F178" s="7" t="n">
        <v>213</v>
      </c>
      <c r="H178" s="7" t="n">
        <v>239.1</v>
      </c>
      <c r="J178" s="7" t="n">
        <v>393.3</v>
      </c>
      <c r="L178" s="7" t="n">
        <v>695.2</v>
      </c>
      <c r="N178" s="7" t="n">
        <v>315.9</v>
      </c>
      <c r="P178" s="7" t="n">
        <v>394.2</v>
      </c>
      <c r="R178" s="7" t="n">
        <v>231.5</v>
      </c>
      <c r="T178" s="7" t="n">
        <v>257.3</v>
      </c>
      <c r="V178" s="7" t="n">
        <v>473</v>
      </c>
      <c r="X178" s="7" t="n">
        <v>379.1</v>
      </c>
      <c r="Z178" s="7" t="n">
        <v>340.5</v>
      </c>
      <c r="AB178" s="7" t="n">
        <v>4149.6</v>
      </c>
    </row>
    <row r="179">
      <c r="A179" s="4" t="inlineStr">
        <is>
          <t>医疗</t>
        </is>
      </c>
      <c r="D179" s="7" t="n">
        <v>325.3</v>
      </c>
      <c r="F179" s="7" t="n">
        <v>297</v>
      </c>
      <c r="H179" s="7" t="n">
        <v>197.4</v>
      </c>
      <c r="J179" s="7" t="n">
        <v>551</v>
      </c>
      <c r="L179" s="7" t="n">
        <v>573</v>
      </c>
      <c r="N179" s="7" t="n">
        <v>301.5</v>
      </c>
      <c r="P179" s="7" t="n">
        <v>732.1</v>
      </c>
      <c r="R179" s="7" t="n">
        <v>443.9</v>
      </c>
      <c r="T179" s="7" t="n">
        <v>478.2</v>
      </c>
      <c r="V179" s="7" t="n">
        <v>361.3</v>
      </c>
      <c r="X179" s="7" t="n">
        <v>369.3</v>
      </c>
      <c r="Z179" s="7" t="n">
        <v>402</v>
      </c>
      <c r="AB179" s="7" t="n">
        <v>5032</v>
      </c>
    </row>
    <row r="180">
      <c r="A180" s="4" t="inlineStr">
        <is>
          <t>工伤</t>
        </is>
      </c>
      <c r="D180" s="7" t="n">
        <v>323</v>
      </c>
      <c r="F180" s="7" t="n">
        <v>371.9</v>
      </c>
      <c r="H180" s="7" t="n">
        <v>220.9</v>
      </c>
      <c r="J180" s="7" t="n">
        <v>298.6</v>
      </c>
      <c r="L180" s="7" t="n">
        <v>577</v>
      </c>
      <c r="N180" s="7" t="n">
        <v>328.2</v>
      </c>
      <c r="P180" s="7" t="n">
        <v>640.9</v>
      </c>
      <c r="R180" s="7" t="n">
        <v>372.4</v>
      </c>
      <c r="T180" s="7" t="n">
        <v>291.2</v>
      </c>
      <c r="V180" s="7" t="n">
        <v>492.3</v>
      </c>
      <c r="X180" s="7" t="n">
        <v>348.5</v>
      </c>
      <c r="Z180" s="7" t="n">
        <v>246.1</v>
      </c>
      <c r="AB180" s="7" t="n">
        <v>4511</v>
      </c>
    </row>
    <row r="181">
      <c r="A181" s="4" t="inlineStr">
        <is>
          <t>失业</t>
        </is>
      </c>
      <c r="D181" s="7" t="n">
        <v>148.7</v>
      </c>
      <c r="F181" s="7" t="n">
        <v>155.8</v>
      </c>
      <c r="H181" s="7" t="n">
        <v>136.9</v>
      </c>
      <c r="J181" s="7" t="n">
        <v>168.5</v>
      </c>
      <c r="L181" s="7" t="n">
        <v>446.9</v>
      </c>
      <c r="N181" s="7" t="n">
        <v>139.6</v>
      </c>
      <c r="P181" s="7" t="n">
        <v>228.2</v>
      </c>
      <c r="R181" s="7" t="n">
        <v>137.6</v>
      </c>
      <c r="T181" s="7" t="n">
        <v>150.6</v>
      </c>
      <c r="V181" s="7" t="n">
        <v>202.8</v>
      </c>
      <c r="X181" s="7" t="n">
        <v>175.2</v>
      </c>
      <c r="Z181" s="7" t="n">
        <v>207.7</v>
      </c>
      <c r="AB181" s="7" t="n">
        <v>2298.5</v>
      </c>
    </row>
    <row r="182">
      <c r="A182" s="4" t="inlineStr">
        <is>
          <t>生育</t>
        </is>
      </c>
      <c r="D182" s="7" t="n">
        <v>249</v>
      </c>
      <c r="F182" s="7" t="n">
        <v>311.3</v>
      </c>
      <c r="H182" s="7" t="n">
        <v>239.5</v>
      </c>
      <c r="J182" s="7" t="n">
        <v>275.1</v>
      </c>
      <c r="L182" s="7" t="n">
        <v>625.6</v>
      </c>
      <c r="N182" s="7" t="n">
        <v>343</v>
      </c>
      <c r="P182" s="7" t="n">
        <v>397.4</v>
      </c>
      <c r="R182" s="7" t="n">
        <v>225.2</v>
      </c>
      <c r="T182" s="7" t="n">
        <v>302.1</v>
      </c>
      <c r="V182" s="7" t="n">
        <v>322.5</v>
      </c>
      <c r="X182" s="7" t="n">
        <v>309.7</v>
      </c>
      <c r="Z182" s="7" t="n">
        <v>243.1</v>
      </c>
      <c r="AB182" s="7" t="n">
        <v>3843.5</v>
      </c>
    </row>
    <row r="183">
      <c r="A183" s="4" t="inlineStr">
        <is>
          <t>公积金</t>
        </is>
      </c>
      <c r="D183" s="7" t="n">
        <v>254.4</v>
      </c>
      <c r="F183" s="7" t="n">
        <v>371.1</v>
      </c>
      <c r="H183" s="7" t="n">
        <v>246.9</v>
      </c>
      <c r="J183" s="7" t="n">
        <v>486</v>
      </c>
      <c r="L183" s="7" t="n">
        <v>700.6</v>
      </c>
      <c r="N183" s="7" t="n">
        <v>387.9</v>
      </c>
      <c r="P183" s="7" t="n">
        <v>445</v>
      </c>
      <c r="R183" s="7" t="n">
        <v>324.6</v>
      </c>
      <c r="T183" s="7" t="n">
        <v>376.2</v>
      </c>
      <c r="V183" s="7" t="n">
        <v>308.6</v>
      </c>
      <c r="X183" s="7" t="n">
        <v>411.7</v>
      </c>
      <c r="Z183" s="7" t="n">
        <v>310.9</v>
      </c>
      <c r="AB183" s="7" t="n">
        <v>4623.9</v>
      </c>
    </row>
    <row r="184">
      <c r="A184" s="4" t="inlineStr">
        <is>
          <t>工会经费</t>
        </is>
      </c>
      <c r="D184" s="7" t="n">
        <v>125.5</v>
      </c>
      <c r="F184" s="7" t="n">
        <v>167.7</v>
      </c>
      <c r="H184" s="7" t="n">
        <v>102.4</v>
      </c>
      <c r="J184" s="7" t="n">
        <v>221.9</v>
      </c>
      <c r="L184" s="7" t="n">
        <v>336.2</v>
      </c>
      <c r="N184" s="7" t="n">
        <v>167.9</v>
      </c>
      <c r="P184" s="7" t="n">
        <v>193.6</v>
      </c>
      <c r="R184" s="7" t="n">
        <v>163.7</v>
      </c>
      <c r="T184" s="7" t="n">
        <v>134.3</v>
      </c>
      <c r="V184" s="7" t="n">
        <v>151.8</v>
      </c>
      <c r="X184" s="7" t="n">
        <v>160.6</v>
      </c>
      <c r="Z184" s="7" t="n">
        <v>177.9</v>
      </c>
      <c r="AB184" s="7" t="n">
        <v>2103.5</v>
      </c>
    </row>
    <row r="185">
      <c r="A185" s="4" t="inlineStr">
        <is>
          <t>职工教育经费</t>
        </is>
      </c>
      <c r="D185" s="7" t="n">
        <v>267.5</v>
      </c>
      <c r="F185" s="7" t="n">
        <v>243</v>
      </c>
      <c r="H185" s="7" t="n">
        <v>192.2</v>
      </c>
      <c r="J185" s="7" t="n">
        <v>258.4</v>
      </c>
      <c r="L185" s="7" t="n">
        <v>630.4</v>
      </c>
      <c r="N185" s="7" t="n">
        <v>375.8</v>
      </c>
      <c r="P185" s="7" t="n">
        <v>406.4</v>
      </c>
      <c r="R185" s="7" t="n">
        <v>249.5</v>
      </c>
      <c r="T185" s="7" t="n">
        <v>243.2</v>
      </c>
      <c r="V185" s="7" t="n">
        <v>486.9</v>
      </c>
      <c r="X185" s="7" t="n">
        <v>394.1</v>
      </c>
      <c r="Z185" s="7" t="n">
        <v>343.8</v>
      </c>
      <c r="AB185" s="7" t="n">
        <v>4091.2</v>
      </c>
    </row>
    <row r="186">
      <c r="A186" s="4" t="inlineStr">
        <is>
          <t>福利费</t>
        </is>
      </c>
      <c r="D186" s="7" t="n">
        <v>650.7</v>
      </c>
      <c r="F186" s="7" t="n">
        <v>876</v>
      </c>
      <c r="H186" s="7" t="n">
        <v>581.7</v>
      </c>
      <c r="J186" s="7" t="n">
        <v>1178</v>
      </c>
      <c r="L186" s="7" t="n">
        <v>1503.1</v>
      </c>
      <c r="N186" s="7" t="n">
        <v>763.7</v>
      </c>
      <c r="P186" s="7" t="n">
        <v>1363.1</v>
      </c>
      <c r="R186" s="7" t="n">
        <v>744.8</v>
      </c>
      <c r="T186" s="7" t="n">
        <v>838.5</v>
      </c>
      <c r="V186" s="7" t="n">
        <v>1114.8</v>
      </c>
      <c r="X186" s="7" t="n">
        <v>984</v>
      </c>
      <c r="Z186" s="7" t="n">
        <v>955.9</v>
      </c>
      <c r="AB186" s="7" t="n">
        <v>11554.3</v>
      </c>
    </row>
    <row r="187">
      <c r="A187" s="4" t="inlineStr">
        <is>
          <t>职工房租</t>
        </is>
      </c>
      <c r="D187" s="7" t="n">
        <v>252.5</v>
      </c>
      <c r="F187" s="7" t="n">
        <v>223.8</v>
      </c>
      <c r="H187" s="7" t="n">
        <v>164.3</v>
      </c>
      <c r="J187" s="7" t="n">
        <v>477.4</v>
      </c>
      <c r="L187" s="7" t="n">
        <v>449.9</v>
      </c>
      <c r="N187" s="7" t="n">
        <v>256.5</v>
      </c>
      <c r="P187" s="7" t="n">
        <v>499.1</v>
      </c>
      <c r="R187" s="7" t="n">
        <v>266.4</v>
      </c>
      <c r="T187" s="7" t="n">
        <v>285.1</v>
      </c>
      <c r="V187" s="7" t="n">
        <v>378.3</v>
      </c>
      <c r="X187" s="7" t="n">
        <v>335.9</v>
      </c>
      <c r="Z187" s="7" t="n">
        <v>391.5</v>
      </c>
      <c r="AB187" s="7" t="n">
        <v>3980.7</v>
      </c>
    </row>
    <row r="188">
      <c r="A188" s="4" t="inlineStr">
        <is>
          <t>水电物业费</t>
        </is>
      </c>
      <c r="D188" s="7" t="n">
        <v>55.3</v>
      </c>
      <c r="F188" s="7" t="n">
        <v>121.6</v>
      </c>
      <c r="H188" s="7" t="n">
        <v>81.5</v>
      </c>
      <c r="J188" s="7" t="n">
        <v>132.7</v>
      </c>
      <c r="L188" s="7" t="n">
        <v>127.4</v>
      </c>
      <c r="N188" s="7" t="n">
        <v>117.1</v>
      </c>
      <c r="P188" s="7" t="n">
        <v>200.9</v>
      </c>
      <c r="R188" s="7" t="n">
        <v>84.7</v>
      </c>
      <c r="T188" s="7" t="n">
        <v>89.09999999999999</v>
      </c>
      <c r="V188" s="7" t="n">
        <v>100.1</v>
      </c>
      <c r="X188" s="7" t="n">
        <v>97.2</v>
      </c>
      <c r="Z188" s="7" t="n">
        <v>95</v>
      </c>
      <c r="AB188" s="7" t="n">
        <v>1302.6</v>
      </c>
    </row>
    <row r="189">
      <c r="A189" s="4" t="inlineStr">
        <is>
          <t>员工餐</t>
        </is>
      </c>
      <c r="D189" s="7" t="n">
        <v>23.3</v>
      </c>
      <c r="F189" s="7" t="n">
        <v>20.2</v>
      </c>
      <c r="H189" s="7" t="n">
        <v>21.3</v>
      </c>
      <c r="J189" s="7" t="n">
        <v>41.4</v>
      </c>
      <c r="L189" s="7" t="n">
        <v>48.6</v>
      </c>
      <c r="N189" s="7" t="n">
        <v>31.3</v>
      </c>
      <c r="P189" s="7" t="n">
        <v>32.4</v>
      </c>
      <c r="R189" s="7" t="n">
        <v>21.1</v>
      </c>
      <c r="T189" s="7" t="n">
        <v>21.4</v>
      </c>
      <c r="V189" s="7" t="n">
        <v>31</v>
      </c>
      <c r="X189" s="7" t="n">
        <v>36</v>
      </c>
      <c r="Z189" s="7" t="n">
        <v>33.6</v>
      </c>
      <c r="AB189" s="7" t="n">
        <v>361.6</v>
      </c>
    </row>
    <row r="190">
      <c r="A190" s="4" t="inlineStr">
        <is>
          <t>节日礼品</t>
        </is>
      </c>
      <c r="D190" s="7" t="n">
        <v>106.8</v>
      </c>
      <c r="F190" s="7" t="n">
        <v>189.2</v>
      </c>
      <c r="H190" s="7" t="n">
        <v>127.8</v>
      </c>
      <c r="J190" s="7" t="n">
        <v>204</v>
      </c>
      <c r="L190" s="7" t="n">
        <v>312.1</v>
      </c>
      <c r="N190" s="7" t="n">
        <v>121.7</v>
      </c>
      <c r="P190" s="7" t="n">
        <v>290.4</v>
      </c>
      <c r="R190" s="7" t="n">
        <v>125</v>
      </c>
      <c r="T190" s="7" t="n">
        <v>133.3</v>
      </c>
      <c r="V190" s="7" t="n">
        <v>157.1</v>
      </c>
      <c r="X190" s="7" t="n">
        <v>200.3</v>
      </c>
      <c r="Z190" s="7" t="n">
        <v>191.5</v>
      </c>
      <c r="AB190" s="7" t="n">
        <v>2159.2</v>
      </c>
    </row>
    <row r="191">
      <c r="A191" s="4" t="inlineStr">
        <is>
          <t>生日礼品</t>
        </is>
      </c>
      <c r="D191" s="7" t="n">
        <v>147.4</v>
      </c>
      <c r="F191" s="7" t="n">
        <v>229.7</v>
      </c>
      <c r="H191" s="7" t="n">
        <v>137.1</v>
      </c>
      <c r="J191" s="7" t="n">
        <v>200.4</v>
      </c>
      <c r="L191" s="7" t="n">
        <v>420.9</v>
      </c>
      <c r="N191" s="7" t="n">
        <v>153.2</v>
      </c>
      <c r="P191" s="7" t="n">
        <v>225.7</v>
      </c>
      <c r="R191" s="7" t="n">
        <v>164.1</v>
      </c>
      <c r="T191" s="7" t="n">
        <v>205.5</v>
      </c>
      <c r="V191" s="7" t="n">
        <v>311.8</v>
      </c>
      <c r="X191" s="7" t="n">
        <v>204.8</v>
      </c>
      <c r="Z191" s="7" t="n">
        <v>174</v>
      </c>
      <c r="AB191" s="7" t="n">
        <v>2574.6</v>
      </c>
    </row>
    <row r="192">
      <c r="A192" s="4" t="inlineStr">
        <is>
          <t>体检</t>
        </is>
      </c>
      <c r="D192" s="7" t="n">
        <v>53.3</v>
      </c>
      <c r="F192" s="7" t="n">
        <v>77.3</v>
      </c>
      <c r="H192" s="7" t="n">
        <v>41.1</v>
      </c>
      <c r="J192" s="7" t="n">
        <v>111.2</v>
      </c>
      <c r="L192" s="7" t="n">
        <v>123.2</v>
      </c>
      <c r="N192" s="7" t="n">
        <v>70.7</v>
      </c>
      <c r="P192" s="7" t="n">
        <v>99.5</v>
      </c>
      <c r="R192" s="7" t="n">
        <v>74.59999999999999</v>
      </c>
      <c r="T192" s="7" t="n">
        <v>91.8</v>
      </c>
      <c r="V192" s="7" t="n">
        <v>120.3</v>
      </c>
      <c r="X192" s="7" t="n">
        <v>95.09999999999999</v>
      </c>
      <c r="Z192" s="7" t="n">
        <v>56.1</v>
      </c>
      <c r="AB192" s="7" t="n">
        <v>1014.2</v>
      </c>
    </row>
    <row r="193">
      <c r="A193" s="4" t="inlineStr">
        <is>
          <t>其他福利支出</t>
        </is>
      </c>
      <c r="D193" s="7" t="n">
        <v>12.1</v>
      </c>
      <c r="F193" s="7" t="n">
        <v>14.2</v>
      </c>
      <c r="H193" s="7" t="n">
        <v>8.6</v>
      </c>
      <c r="J193" s="7" t="n">
        <v>10.9</v>
      </c>
      <c r="L193" s="7" t="n">
        <v>21</v>
      </c>
      <c r="N193" s="7" t="n">
        <v>13.2</v>
      </c>
      <c r="P193" s="7" t="n">
        <v>15.1</v>
      </c>
      <c r="R193" s="7" t="n">
        <v>8.9</v>
      </c>
      <c r="T193" s="7" t="n">
        <v>12.3</v>
      </c>
      <c r="V193" s="7" t="n">
        <v>16.2</v>
      </c>
      <c r="X193" s="7" t="n">
        <v>14.7</v>
      </c>
      <c r="Z193" s="7" t="n">
        <v>14.2</v>
      </c>
      <c r="AB193" s="7" t="n">
        <v>161.4</v>
      </c>
    </row>
    <row r="194">
      <c r="A194" s="4" t="inlineStr">
        <is>
          <t>招聘费</t>
        </is>
      </c>
      <c r="D194" s="7" t="n">
        <v>236.5</v>
      </c>
      <c r="F194" s="7" t="n">
        <v>239.8</v>
      </c>
      <c r="H194" s="7" t="n">
        <v>150.2</v>
      </c>
      <c r="J194" s="7" t="n">
        <v>406.9</v>
      </c>
      <c r="L194" s="7" t="n">
        <v>723</v>
      </c>
      <c r="N194" s="7" t="n">
        <v>321.1</v>
      </c>
      <c r="P194" s="7" t="n">
        <v>493.6</v>
      </c>
      <c r="R194" s="7" t="n">
        <v>229.5</v>
      </c>
      <c r="T194" s="7" t="n">
        <v>222.7</v>
      </c>
      <c r="V194" s="7" t="n">
        <v>385.6</v>
      </c>
      <c r="X194" s="7" t="n">
        <v>310.8</v>
      </c>
      <c r="Z194" s="7" t="n">
        <v>294.3</v>
      </c>
      <c r="AB194" s="7" t="n">
        <v>4014</v>
      </c>
    </row>
    <row r="195">
      <c r="A195" s="4" t="inlineStr">
        <is>
          <t>办公费</t>
        </is>
      </c>
      <c r="D195" s="7" t="n">
        <v>1395.7</v>
      </c>
      <c r="F195" s="7" t="n">
        <v>1551.9</v>
      </c>
      <c r="H195" s="7" t="n">
        <v>1039.8</v>
      </c>
      <c r="J195" s="7" t="n">
        <v>2999.3</v>
      </c>
      <c r="L195" s="7" t="n">
        <v>3522.2</v>
      </c>
      <c r="N195" s="7" t="n">
        <v>1988.5</v>
      </c>
      <c r="P195" s="7" t="n">
        <v>2981.2</v>
      </c>
      <c r="R195" s="7" t="n">
        <v>1686.8</v>
      </c>
      <c r="T195" s="7" t="n">
        <v>2474.4</v>
      </c>
      <c r="V195" s="7" t="n">
        <v>2180.3</v>
      </c>
      <c r="X195" s="7" t="n">
        <v>2808.7</v>
      </c>
      <c r="Z195" s="7" t="n">
        <v>1469.5</v>
      </c>
      <c r="AB195" s="7" t="n">
        <v>26098.3</v>
      </c>
    </row>
    <row r="196">
      <c r="A196" s="4" t="inlineStr">
        <is>
          <t>市内交通费</t>
        </is>
      </c>
      <c r="D196" s="7" t="n">
        <v>166.5</v>
      </c>
      <c r="F196" s="7" t="n">
        <v>261.2</v>
      </c>
      <c r="H196" s="7" t="n">
        <v>179.2</v>
      </c>
      <c r="J196" s="7" t="n">
        <v>276.8</v>
      </c>
      <c r="L196" s="7" t="n">
        <v>453.5</v>
      </c>
      <c r="N196" s="7" t="n">
        <v>231</v>
      </c>
      <c r="P196" s="7" t="n">
        <v>362.7</v>
      </c>
      <c r="R196" s="7" t="n">
        <v>169.9</v>
      </c>
      <c r="T196" s="7" t="n">
        <v>199.9</v>
      </c>
      <c r="V196" s="7" t="n">
        <v>235.3</v>
      </c>
      <c r="X196" s="7" t="n">
        <v>253.3</v>
      </c>
      <c r="Z196" s="7" t="n">
        <v>280</v>
      </c>
      <c r="AB196" s="7" t="n">
        <v>3069.3</v>
      </c>
    </row>
    <row r="197">
      <c r="A197" s="4" t="inlineStr">
        <is>
          <t>差旅费</t>
        </is>
      </c>
      <c r="D197" s="7" t="n">
        <v>4077.1</v>
      </c>
      <c r="F197" s="7" t="n">
        <v>3404.2</v>
      </c>
      <c r="H197" s="7" t="n">
        <v>2687.2</v>
      </c>
      <c r="J197" s="7" t="n">
        <v>5858.4</v>
      </c>
      <c r="L197" s="7" t="n">
        <v>9618.799999999999</v>
      </c>
      <c r="N197" s="7" t="n">
        <v>3763.3</v>
      </c>
      <c r="P197" s="7" t="n">
        <v>5874.3</v>
      </c>
      <c r="R197" s="7" t="n">
        <v>3689.3</v>
      </c>
      <c r="T197" s="7" t="n">
        <v>3924.2</v>
      </c>
      <c r="V197" s="7" t="n">
        <v>6467.4</v>
      </c>
      <c r="X197" s="7" t="n">
        <v>3740.3</v>
      </c>
      <c r="Z197" s="7" t="n">
        <v>4321.3</v>
      </c>
      <c r="AB197" s="7" t="n">
        <v>57425.8</v>
      </c>
    </row>
    <row r="198">
      <c r="A198" s="4" t="inlineStr">
        <is>
          <t>交通费</t>
        </is>
      </c>
      <c r="D198" s="7" t="n">
        <v>229</v>
      </c>
      <c r="F198" s="7" t="n">
        <v>266.4</v>
      </c>
      <c r="H198" s="7" t="n">
        <v>161.2</v>
      </c>
      <c r="J198" s="7" t="n">
        <v>202.4</v>
      </c>
      <c r="L198" s="7" t="n">
        <v>567.5</v>
      </c>
      <c r="N198" s="7" t="n">
        <v>210.9</v>
      </c>
      <c r="P198" s="7" t="n">
        <v>377.4</v>
      </c>
      <c r="R198" s="7" t="n">
        <v>194.8</v>
      </c>
      <c r="T198" s="7" t="n">
        <v>215.9</v>
      </c>
      <c r="V198" s="7" t="n">
        <v>327.2</v>
      </c>
      <c r="X198" s="7" t="n">
        <v>330.9</v>
      </c>
      <c r="Z198" s="7" t="n">
        <v>277.5</v>
      </c>
      <c r="AB198" s="7" t="n">
        <v>3361.1</v>
      </c>
    </row>
    <row r="199">
      <c r="A199" s="4" t="inlineStr">
        <is>
          <t>住宿费</t>
        </is>
      </c>
      <c r="D199" s="7" t="n">
        <v>19.4</v>
      </c>
      <c r="F199" s="7" t="n">
        <v>25.2</v>
      </c>
      <c r="H199" s="7" t="n">
        <v>12.2</v>
      </c>
      <c r="J199" s="7" t="n">
        <v>23.1</v>
      </c>
      <c r="L199" s="7" t="n">
        <v>30.2</v>
      </c>
      <c r="N199" s="7" t="n">
        <v>23.6</v>
      </c>
      <c r="P199" s="7" t="n">
        <v>40</v>
      </c>
      <c r="R199" s="7" t="n">
        <v>21.7</v>
      </c>
      <c r="T199" s="7" t="n">
        <v>29.3</v>
      </c>
      <c r="V199" s="7" t="n">
        <v>22.2</v>
      </c>
      <c r="X199" s="7" t="n">
        <v>31.2</v>
      </c>
      <c r="Z199" s="7" t="n">
        <v>26.2</v>
      </c>
      <c r="AB199" s="7" t="n">
        <v>304.3</v>
      </c>
    </row>
    <row r="200">
      <c r="A200" s="4" t="inlineStr">
        <is>
          <t>餐补</t>
        </is>
      </c>
      <c r="D200" s="7" t="n">
        <v>337.1</v>
      </c>
      <c r="F200" s="7" t="n">
        <v>335.3</v>
      </c>
      <c r="H200" s="7" t="n">
        <v>187.8</v>
      </c>
      <c r="J200" s="7" t="n">
        <v>391</v>
      </c>
      <c r="L200" s="7" t="n">
        <v>935.6</v>
      </c>
      <c r="N200" s="7" t="n">
        <v>270.8</v>
      </c>
      <c r="P200" s="7" t="n">
        <v>756.3</v>
      </c>
      <c r="R200" s="7" t="n">
        <v>260.7</v>
      </c>
      <c r="T200" s="7" t="n">
        <v>419.1</v>
      </c>
      <c r="V200" s="7" t="n">
        <v>508.5</v>
      </c>
      <c r="X200" s="7" t="n">
        <v>555.9</v>
      </c>
      <c r="Z200" s="7" t="n">
        <v>338.7</v>
      </c>
      <c r="AB200" s="7" t="n">
        <v>5296.8</v>
      </c>
    </row>
    <row r="201">
      <c r="A201" s="4" t="inlineStr">
        <is>
          <t>交通补助</t>
        </is>
      </c>
      <c r="D201" s="7" t="n">
        <v>360.7</v>
      </c>
      <c r="F201" s="7" t="n">
        <v>473.5</v>
      </c>
      <c r="H201" s="7" t="n">
        <v>242.6</v>
      </c>
      <c r="J201" s="7" t="n">
        <v>473.7</v>
      </c>
      <c r="L201" s="7" t="n">
        <v>902</v>
      </c>
      <c r="N201" s="7" t="n">
        <v>383.8</v>
      </c>
      <c r="P201" s="7" t="n">
        <v>680.6</v>
      </c>
      <c r="R201" s="7" t="n">
        <v>284.9</v>
      </c>
      <c r="T201" s="7" t="n">
        <v>400.9</v>
      </c>
      <c r="V201" s="7" t="n">
        <v>546.1</v>
      </c>
      <c r="X201" s="7" t="n">
        <v>539.5</v>
      </c>
      <c r="Z201" s="7" t="n">
        <v>346.6</v>
      </c>
      <c r="AB201" s="7" t="n">
        <v>5634.9</v>
      </c>
    </row>
    <row r="202">
      <c r="A202" s="4" t="inlineStr">
        <is>
          <t>通讯补助</t>
        </is>
      </c>
      <c r="D202" s="7" t="n">
        <v>177.5</v>
      </c>
      <c r="F202" s="7" t="n">
        <v>238.9</v>
      </c>
      <c r="H202" s="7" t="n">
        <v>161.3</v>
      </c>
      <c r="J202" s="7" t="n">
        <v>226.8</v>
      </c>
      <c r="L202" s="7" t="n">
        <v>387.9</v>
      </c>
      <c r="N202" s="7" t="n">
        <v>207.1</v>
      </c>
      <c r="P202" s="7" t="n">
        <v>305.7</v>
      </c>
      <c r="R202" s="7" t="n">
        <v>230.3</v>
      </c>
      <c r="T202" s="7" t="n">
        <v>219.2</v>
      </c>
      <c r="V202" s="7" t="n">
        <v>276.8</v>
      </c>
      <c r="X202" s="7" t="n">
        <v>244.9</v>
      </c>
      <c r="Z202" s="7" t="n">
        <v>223.4</v>
      </c>
      <c r="AB202" s="7" t="n">
        <v>2899.8</v>
      </c>
    </row>
    <row r="203">
      <c r="A203" s="4" t="inlineStr">
        <is>
          <t>招待费</t>
        </is>
      </c>
      <c r="D203" s="7" t="n">
        <v>1799.3</v>
      </c>
      <c r="F203" s="7" t="n">
        <v>3160.3</v>
      </c>
      <c r="H203" s="7" t="n">
        <v>2435.9</v>
      </c>
      <c r="J203" s="7" t="n">
        <v>3605.5</v>
      </c>
      <c r="L203" s="7" t="n">
        <v>5415.6</v>
      </c>
      <c r="N203" s="7" t="n">
        <v>2732.8</v>
      </c>
      <c r="P203" s="7" t="n">
        <v>5729</v>
      </c>
      <c r="R203" s="7" t="n">
        <v>3315.4</v>
      </c>
      <c r="T203" s="7" t="n">
        <v>2704.1</v>
      </c>
      <c r="V203" s="7" t="n">
        <v>2559.7</v>
      </c>
      <c r="X203" s="7" t="n">
        <v>3759.8</v>
      </c>
      <c r="Z203" s="7" t="n">
        <v>3416.9</v>
      </c>
      <c r="AB203" s="7" t="n">
        <v>40634.3</v>
      </c>
    </row>
    <row r="204">
      <c r="A204" s="4" t="inlineStr">
        <is>
          <t>通讯费</t>
        </is>
      </c>
      <c r="D204" s="7" t="n">
        <v>57.7</v>
      </c>
      <c r="F204" s="7" t="n">
        <v>96.8</v>
      </c>
      <c r="H204" s="7" t="n">
        <v>56.5</v>
      </c>
      <c r="J204" s="7" t="n">
        <v>63.4</v>
      </c>
      <c r="L204" s="7" t="n">
        <v>136</v>
      </c>
      <c r="N204" s="7" t="n">
        <v>71.09999999999999</v>
      </c>
      <c r="P204" s="7" t="n">
        <v>148.2</v>
      </c>
      <c r="R204" s="7" t="n">
        <v>70.90000000000001</v>
      </c>
      <c r="T204" s="7" t="n">
        <v>60.7</v>
      </c>
      <c r="V204" s="7" t="n">
        <v>73.7</v>
      </c>
      <c r="X204" s="7" t="n">
        <v>66.2</v>
      </c>
      <c r="Z204" s="7" t="n">
        <v>59</v>
      </c>
      <c r="AB204" s="7" t="n">
        <v>960.2</v>
      </c>
    </row>
    <row r="205">
      <c r="A205" s="4" t="inlineStr">
        <is>
          <t>网络费</t>
        </is>
      </c>
      <c r="D205" s="7" t="n">
        <v>173.6</v>
      </c>
      <c r="F205" s="7" t="n">
        <v>356.7</v>
      </c>
      <c r="H205" s="7" t="n">
        <v>223.4</v>
      </c>
      <c r="J205" s="7" t="n">
        <v>270.2</v>
      </c>
      <c r="L205" s="7" t="n">
        <v>703.3</v>
      </c>
      <c r="N205" s="7" t="n">
        <v>358.3</v>
      </c>
      <c r="P205" s="7" t="n">
        <v>634.4</v>
      </c>
      <c r="R205" s="7" t="n">
        <v>328.8</v>
      </c>
      <c r="T205" s="7" t="n">
        <v>256.4</v>
      </c>
      <c r="V205" s="7" t="n">
        <v>437.5</v>
      </c>
      <c r="X205" s="7" t="n">
        <v>418.7</v>
      </c>
      <c r="Z205" s="7" t="n">
        <v>311.8</v>
      </c>
      <c r="AB205" s="7" t="n">
        <v>4473.1</v>
      </c>
    </row>
    <row r="206">
      <c r="A206" s="4" t="inlineStr">
        <is>
          <t>修理费</t>
        </is>
      </c>
      <c r="D206" s="7" t="n">
        <v>267</v>
      </c>
      <c r="F206" s="7" t="n">
        <v>315.5</v>
      </c>
      <c r="H206" s="7" t="n">
        <v>180</v>
      </c>
      <c r="J206" s="7" t="n">
        <v>251.7</v>
      </c>
      <c r="L206" s="7" t="n">
        <v>383.7</v>
      </c>
      <c r="N206" s="7" t="n">
        <v>326.7</v>
      </c>
      <c r="P206" s="7" t="n">
        <v>572.9</v>
      </c>
      <c r="R206" s="7" t="n">
        <v>284</v>
      </c>
      <c r="T206" s="7" t="n">
        <v>278.9</v>
      </c>
      <c r="V206" s="7" t="n">
        <v>379.2</v>
      </c>
      <c r="X206" s="7" t="n">
        <v>416.5</v>
      </c>
      <c r="Z206" s="7" t="n">
        <v>336.2</v>
      </c>
      <c r="AB206" s="7" t="n">
        <v>3992.3</v>
      </c>
    </row>
    <row r="207">
      <c r="A207" s="4" t="inlineStr">
        <is>
          <t>车辆费</t>
        </is>
      </c>
      <c r="D207" s="7" t="n">
        <v>220.1</v>
      </c>
      <c r="F207" s="7" t="n">
        <v>279.1</v>
      </c>
      <c r="H207" s="7" t="n">
        <v>203.3</v>
      </c>
      <c r="J207" s="7" t="n">
        <v>342.6</v>
      </c>
      <c r="L207" s="7" t="n">
        <v>527.8</v>
      </c>
      <c r="N207" s="7" t="n">
        <v>191.4</v>
      </c>
      <c r="P207" s="7" t="n">
        <v>299.6</v>
      </c>
      <c r="R207" s="7" t="n">
        <v>245.8</v>
      </c>
      <c r="T207" s="7" t="n">
        <v>226</v>
      </c>
      <c r="V207" s="7" t="n">
        <v>369.5</v>
      </c>
      <c r="X207" s="7" t="n">
        <v>254</v>
      </c>
      <c r="Z207" s="7" t="n">
        <v>230.2</v>
      </c>
      <c r="AB207" s="7" t="n">
        <v>3389.4</v>
      </c>
    </row>
    <row r="208">
      <c r="A208" s="4" t="inlineStr">
        <is>
          <t>租赁费</t>
        </is>
      </c>
      <c r="D208" s="7" t="n">
        <v>3489.1</v>
      </c>
      <c r="F208" s="7" t="n">
        <v>3606.2</v>
      </c>
      <c r="H208" s="7" t="n">
        <v>2293.2</v>
      </c>
      <c r="J208" s="7" t="n">
        <v>4107.1</v>
      </c>
      <c r="L208" s="7" t="n">
        <v>6164.5</v>
      </c>
      <c r="N208" s="7" t="n">
        <v>2300.5</v>
      </c>
      <c r="P208" s="7" t="n">
        <v>4613.9</v>
      </c>
      <c r="R208" s="7" t="n">
        <v>3792</v>
      </c>
      <c r="T208" s="7" t="n">
        <v>2989.1</v>
      </c>
      <c r="V208" s="7" t="n">
        <v>3286.7</v>
      </c>
      <c r="X208" s="7" t="n">
        <v>4106.3</v>
      </c>
      <c r="Z208" s="7" t="n">
        <v>3371.1</v>
      </c>
      <c r="AB208" s="7" t="n">
        <v>44119.7</v>
      </c>
    </row>
    <row r="209">
      <c r="A209" s="4" t="inlineStr">
        <is>
          <t>能源费</t>
        </is>
      </c>
      <c r="D209" s="7" t="n">
        <v>1034.5</v>
      </c>
      <c r="F209" s="7" t="n">
        <v>1175.6</v>
      </c>
      <c r="H209" s="7" t="n">
        <v>678.1</v>
      </c>
      <c r="J209" s="7" t="n">
        <v>1370.8</v>
      </c>
      <c r="L209" s="7" t="n">
        <v>1699.2</v>
      </c>
      <c r="N209" s="7" t="n">
        <v>1104.6</v>
      </c>
      <c r="P209" s="7" t="n">
        <v>1723.5</v>
      </c>
      <c r="R209" s="7" t="n">
        <v>1176.8</v>
      </c>
      <c r="T209" s="7" t="n">
        <v>1061</v>
      </c>
      <c r="V209" s="7" t="n">
        <v>1533.1</v>
      </c>
      <c r="X209" s="7" t="n">
        <v>1198.8</v>
      </c>
      <c r="Z209" s="7" t="n">
        <v>939.6</v>
      </c>
      <c r="AB209" s="7" t="n">
        <v>14695.6</v>
      </c>
    </row>
    <row r="210">
      <c r="A210" s="4" t="inlineStr">
        <is>
          <t>水费</t>
        </is>
      </c>
      <c r="D210" s="7" t="n">
        <v>252.7</v>
      </c>
      <c r="F210" s="7" t="n">
        <v>283.9</v>
      </c>
      <c r="H210" s="7" t="n">
        <v>175.7</v>
      </c>
      <c r="J210" s="7" t="n">
        <v>393.5</v>
      </c>
      <c r="L210" s="7" t="n">
        <v>391.9</v>
      </c>
      <c r="N210" s="7" t="n">
        <v>286.2</v>
      </c>
      <c r="P210" s="7" t="n">
        <v>415.8</v>
      </c>
      <c r="R210" s="7" t="n">
        <v>313.1</v>
      </c>
      <c r="T210" s="7" t="n">
        <v>298.1</v>
      </c>
      <c r="V210" s="7" t="n">
        <v>422.5</v>
      </c>
      <c r="X210" s="7" t="n">
        <v>354.8</v>
      </c>
      <c r="Z210" s="7" t="n">
        <v>193.7</v>
      </c>
      <c r="AB210" s="7" t="n">
        <v>3781.9</v>
      </c>
    </row>
    <row r="211">
      <c r="A211" s="4" t="inlineStr">
        <is>
          <t>电费</t>
        </is>
      </c>
      <c r="D211" s="7" t="n">
        <v>14.3</v>
      </c>
      <c r="F211" s="7" t="n">
        <v>22.1</v>
      </c>
      <c r="H211" s="7" t="n">
        <v>11.5</v>
      </c>
      <c r="J211" s="7" t="n">
        <v>27.2</v>
      </c>
      <c r="L211" s="7" t="n">
        <v>42.5</v>
      </c>
      <c r="N211" s="7" t="n">
        <v>17.6</v>
      </c>
      <c r="P211" s="7" t="n">
        <v>29.6</v>
      </c>
      <c r="R211" s="7" t="n">
        <v>13.1</v>
      </c>
      <c r="T211" s="7" t="n">
        <v>24.5</v>
      </c>
      <c r="V211" s="7" t="n">
        <v>27.7</v>
      </c>
      <c r="X211" s="7" t="n">
        <v>19</v>
      </c>
      <c r="Z211" s="7" t="n">
        <v>16.9</v>
      </c>
      <c r="AB211" s="7" t="n">
        <v>266</v>
      </c>
    </row>
    <row r="212">
      <c r="A212" s="4" t="inlineStr">
        <is>
          <t>燃气费</t>
        </is>
      </c>
      <c r="D212" s="7" t="n">
        <v>362.8</v>
      </c>
      <c r="F212" s="7" t="n">
        <v>419.6</v>
      </c>
      <c r="H212" s="7" t="n">
        <v>250.9</v>
      </c>
      <c r="J212" s="7" t="n">
        <v>444.2</v>
      </c>
      <c r="L212" s="7" t="n">
        <v>573.6</v>
      </c>
      <c r="N212" s="7" t="n">
        <v>480.1</v>
      </c>
      <c r="P212" s="7" t="n">
        <v>705.8</v>
      </c>
      <c r="R212" s="7" t="n">
        <v>455.1</v>
      </c>
      <c r="T212" s="7" t="n">
        <v>448.4</v>
      </c>
      <c r="V212" s="7" t="n">
        <v>573.9</v>
      </c>
      <c r="X212" s="7" t="n">
        <v>395.5</v>
      </c>
      <c r="Z212" s="7" t="n">
        <v>435.3</v>
      </c>
      <c r="AB212" s="7" t="n">
        <v>5545.2</v>
      </c>
    </row>
    <row r="213">
      <c r="A213" s="4" t="inlineStr">
        <is>
          <t>蒸汽费</t>
        </is>
      </c>
      <c r="D213" s="7" t="n">
        <v>404.7</v>
      </c>
      <c r="F213" s="7" t="n">
        <v>450</v>
      </c>
      <c r="H213" s="7" t="n">
        <v>240</v>
      </c>
      <c r="J213" s="7" t="n">
        <v>505.9</v>
      </c>
      <c r="L213" s="7" t="n">
        <v>691.2</v>
      </c>
      <c r="N213" s="7" t="n">
        <v>320.7</v>
      </c>
      <c r="P213" s="7" t="n">
        <v>572.3</v>
      </c>
      <c r="R213" s="7" t="n">
        <v>395.5</v>
      </c>
      <c r="T213" s="7" t="n">
        <v>290</v>
      </c>
      <c r="V213" s="7" t="n">
        <v>509</v>
      </c>
      <c r="X213" s="7" t="n">
        <v>429.5</v>
      </c>
      <c r="Z213" s="7" t="n">
        <v>293.7</v>
      </c>
      <c r="AB213" s="7" t="n">
        <v>5102.5</v>
      </c>
    </row>
    <row r="214">
      <c r="A214" s="4" t="inlineStr">
        <is>
          <t>物业费</t>
        </is>
      </c>
      <c r="D214" s="7" t="n">
        <v>4.4</v>
      </c>
      <c r="F214" s="7" t="n">
        <v>4</v>
      </c>
      <c r="H214" s="7" t="n">
        <v>2.8</v>
      </c>
      <c r="J214" s="7" t="n">
        <v>8</v>
      </c>
      <c r="L214" s="7" t="n">
        <v>8.9</v>
      </c>
      <c r="N214" s="7" t="n">
        <v>5.7</v>
      </c>
      <c r="P214" s="7" t="n">
        <v>10.5</v>
      </c>
      <c r="R214" s="7" t="n">
        <v>4.6</v>
      </c>
      <c r="T214" s="7" t="n">
        <v>5.5</v>
      </c>
      <c r="V214" s="7" t="n">
        <v>5.3</v>
      </c>
      <c r="X214" s="7" t="n">
        <v>6.4</v>
      </c>
      <c r="Z214" s="7" t="n">
        <v>5.5</v>
      </c>
      <c r="AB214" s="7" t="n">
        <v>71.59999999999999</v>
      </c>
    </row>
    <row r="215">
      <c r="A215" s="4" t="inlineStr">
        <is>
          <t>劳动保护费</t>
        </is>
      </c>
      <c r="D215" s="7" t="n">
        <v>239.6</v>
      </c>
      <c r="F215" s="7" t="n">
        <v>365.5</v>
      </c>
      <c r="H215" s="7" t="n">
        <v>251</v>
      </c>
      <c r="J215" s="7" t="n">
        <v>423.9</v>
      </c>
      <c r="L215" s="7" t="n">
        <v>708.3</v>
      </c>
      <c r="N215" s="7" t="n">
        <v>413.8</v>
      </c>
      <c r="P215" s="7" t="n">
        <v>465.1</v>
      </c>
      <c r="R215" s="7" t="n">
        <v>282.8</v>
      </c>
      <c r="T215" s="7" t="n">
        <v>357.2</v>
      </c>
      <c r="V215" s="7" t="n">
        <v>604.9</v>
      </c>
      <c r="X215" s="7" t="n">
        <v>497.3</v>
      </c>
      <c r="Z215" s="7" t="n">
        <v>343</v>
      </c>
      <c r="AB215" s="7" t="n">
        <v>4952.4</v>
      </c>
    </row>
    <row r="216">
      <c r="A216" s="4" t="inlineStr">
        <is>
          <t>顾问费</t>
        </is>
      </c>
      <c r="D216" s="7" t="n">
        <v>200.3</v>
      </c>
      <c r="F216" s="7" t="n">
        <v>280.5</v>
      </c>
      <c r="H216" s="7" t="n">
        <v>132.5</v>
      </c>
      <c r="J216" s="7" t="n">
        <v>271.8</v>
      </c>
      <c r="L216" s="7" t="n">
        <v>400.7</v>
      </c>
      <c r="N216" s="7" t="n">
        <v>294.3</v>
      </c>
      <c r="P216" s="7" t="n">
        <v>456.1</v>
      </c>
      <c r="R216" s="7" t="n">
        <v>278.3</v>
      </c>
      <c r="T216" s="7" t="n">
        <v>299.3</v>
      </c>
      <c r="V216" s="7" t="n">
        <v>311.8</v>
      </c>
      <c r="X216" s="7" t="n">
        <v>363.2</v>
      </c>
      <c r="Z216" s="7" t="n">
        <v>274.2</v>
      </c>
      <c r="AB216" s="7" t="n">
        <v>3563</v>
      </c>
    </row>
    <row r="217">
      <c r="A217" s="4" t="inlineStr">
        <is>
          <t>快递费</t>
        </is>
      </c>
      <c r="D217" s="7" t="n">
        <v>385.6</v>
      </c>
      <c r="F217" s="7" t="n">
        <v>452.4</v>
      </c>
      <c r="H217" s="7" t="n">
        <v>286.9</v>
      </c>
      <c r="J217" s="7" t="n">
        <v>334.3</v>
      </c>
      <c r="L217" s="7" t="n">
        <v>566.7</v>
      </c>
      <c r="N217" s="7" t="n">
        <v>393.6</v>
      </c>
      <c r="P217" s="7" t="n">
        <v>758.9</v>
      </c>
      <c r="R217" s="7" t="n">
        <v>308.9</v>
      </c>
      <c r="T217" s="7" t="n">
        <v>481</v>
      </c>
      <c r="V217" s="7" t="n">
        <v>350.4</v>
      </c>
      <c r="X217" s="7" t="n">
        <v>380</v>
      </c>
      <c r="Z217" s="7" t="n">
        <v>378.5</v>
      </c>
      <c r="AB217" s="7" t="n">
        <v>5077.2</v>
      </c>
    </row>
    <row r="218">
      <c r="A218" s="4" t="inlineStr">
        <is>
          <t>诉讼费</t>
        </is>
      </c>
      <c r="D218" s="7" t="n">
        <v>30.9</v>
      </c>
      <c r="F218" s="7" t="n">
        <v>51.3</v>
      </c>
      <c r="H218" s="7" t="n">
        <v>21</v>
      </c>
      <c r="J218" s="7" t="n">
        <v>40.5</v>
      </c>
      <c r="L218" s="7" t="n">
        <v>98.59999999999999</v>
      </c>
      <c r="N218" s="7" t="n">
        <v>34.9</v>
      </c>
      <c r="P218" s="7" t="n">
        <v>62.6</v>
      </c>
      <c r="R218" s="7" t="n">
        <v>31.1</v>
      </c>
      <c r="T218" s="7" t="n">
        <v>33.5</v>
      </c>
      <c r="V218" s="7" t="n">
        <v>42.4</v>
      </c>
      <c r="X218" s="7" t="n">
        <v>46</v>
      </c>
      <c r="Z218" s="7" t="n">
        <v>30.5</v>
      </c>
      <c r="AB218" s="7" t="n">
        <v>523.3</v>
      </c>
    </row>
    <row r="219">
      <c r="A219" s="4" t="inlineStr">
        <is>
          <t>会员费</t>
        </is>
      </c>
      <c r="D219" s="7" t="n">
        <v>61.5</v>
      </c>
      <c r="F219" s="7" t="n">
        <v>62.8</v>
      </c>
      <c r="H219" s="7" t="n">
        <v>62.7</v>
      </c>
      <c r="J219" s="7" t="n">
        <v>97.59999999999999</v>
      </c>
      <c r="L219" s="7" t="n">
        <v>119.8</v>
      </c>
      <c r="N219" s="7" t="n">
        <v>95.09999999999999</v>
      </c>
      <c r="P219" s="7" t="n">
        <v>144.1</v>
      </c>
      <c r="R219" s="7" t="n">
        <v>100.9</v>
      </c>
      <c r="T219" s="7" t="n">
        <v>101.7</v>
      </c>
      <c r="V219" s="7" t="n">
        <v>133.1</v>
      </c>
      <c r="X219" s="7" t="n">
        <v>82</v>
      </c>
      <c r="Z219" s="7" t="n">
        <v>74.3</v>
      </c>
      <c r="AB219" s="7" t="n">
        <v>1135.6</v>
      </c>
    </row>
    <row r="220">
      <c r="A220" s="4" t="inlineStr">
        <is>
          <t>广告宣传费</t>
        </is>
      </c>
      <c r="D220" s="7" t="n">
        <v>1704.7</v>
      </c>
      <c r="F220" s="7" t="n">
        <v>2390.2</v>
      </c>
      <c r="H220" s="7" t="n">
        <v>1538.7</v>
      </c>
      <c r="J220" s="7" t="n">
        <v>2522.9</v>
      </c>
      <c r="L220" s="7" t="n">
        <v>4894.6</v>
      </c>
      <c r="N220" s="7" t="n">
        <v>2221.4</v>
      </c>
      <c r="P220" s="7" t="n">
        <v>4202.4</v>
      </c>
      <c r="R220" s="7" t="n">
        <v>1872.5</v>
      </c>
      <c r="T220" s="7" t="n">
        <v>2160.2</v>
      </c>
      <c r="V220" s="7" t="n">
        <v>2053.4</v>
      </c>
      <c r="X220" s="7" t="n">
        <v>1871.2</v>
      </c>
      <c r="Z220" s="7" t="n">
        <v>1773</v>
      </c>
      <c r="AB220" s="7" t="n">
        <v>29205.2</v>
      </c>
    </row>
    <row r="221">
      <c r="A221" s="4" t="inlineStr">
        <is>
          <t>会务费</t>
        </is>
      </c>
      <c r="D221" s="7" t="n">
        <v>244.3</v>
      </c>
      <c r="F221" s="7" t="n">
        <v>274.9</v>
      </c>
      <c r="H221" s="7" t="n">
        <v>194.1</v>
      </c>
      <c r="J221" s="7" t="n">
        <v>297.7</v>
      </c>
      <c r="L221" s="7" t="n">
        <v>543.4</v>
      </c>
      <c r="N221" s="7" t="n">
        <v>237.4</v>
      </c>
      <c r="P221" s="7" t="n">
        <v>493.8</v>
      </c>
      <c r="R221" s="7" t="n">
        <v>222.5</v>
      </c>
      <c r="T221" s="7" t="n">
        <v>253.4</v>
      </c>
      <c r="V221" s="7" t="n">
        <v>313.1</v>
      </c>
      <c r="X221" s="7" t="n">
        <v>334.5</v>
      </c>
      <c r="Z221" s="7" t="n">
        <v>197.3</v>
      </c>
      <c r="AB221" s="7" t="n">
        <v>3606.4</v>
      </c>
    </row>
    <row r="222">
      <c r="A222" s="4" t="inlineStr">
        <is>
          <t>装修费</t>
        </is>
      </c>
      <c r="D222" s="7" t="n">
        <v>333</v>
      </c>
      <c r="F222" s="7" t="n">
        <v>473.8</v>
      </c>
      <c r="H222" s="7" t="n">
        <v>293.3</v>
      </c>
      <c r="J222" s="7" t="n">
        <v>658.2</v>
      </c>
      <c r="L222" s="7" t="n">
        <v>760.7</v>
      </c>
      <c r="N222" s="7" t="n">
        <v>369.4</v>
      </c>
      <c r="P222" s="7" t="n">
        <v>907.4</v>
      </c>
      <c r="R222" s="7" t="n">
        <v>308.1</v>
      </c>
      <c r="T222" s="7" t="n">
        <v>404</v>
      </c>
      <c r="V222" s="7" t="n">
        <v>494.7</v>
      </c>
      <c r="X222" s="7" t="n">
        <v>473.8</v>
      </c>
      <c r="Z222" s="7" t="n">
        <v>480.2</v>
      </c>
      <c r="AB222" s="7" t="n">
        <v>5956.6</v>
      </c>
    </row>
    <row r="223">
      <c r="A223" s="4" t="inlineStr">
        <is>
          <t>推广费</t>
        </is>
      </c>
      <c r="D223" s="7" t="n">
        <v>43.1</v>
      </c>
      <c r="F223" s="7" t="n">
        <v>56.9</v>
      </c>
      <c r="H223" s="7" t="n">
        <v>38.2</v>
      </c>
      <c r="J223" s="7" t="n">
        <v>43.6</v>
      </c>
      <c r="L223" s="7" t="n">
        <v>103.4</v>
      </c>
      <c r="N223" s="7" t="n">
        <v>46.6</v>
      </c>
      <c r="P223" s="7" t="n">
        <v>76.40000000000001</v>
      </c>
      <c r="R223" s="7" t="n">
        <v>51.8</v>
      </c>
      <c r="T223" s="7" t="n">
        <v>47.1</v>
      </c>
      <c r="V223" s="7" t="n">
        <v>73.2</v>
      </c>
      <c r="X223" s="7" t="n">
        <v>55.1</v>
      </c>
      <c r="Z223" s="7" t="n">
        <v>36.9</v>
      </c>
      <c r="AB223" s="7" t="n">
        <v>672.3</v>
      </c>
    </row>
    <row r="224">
      <c r="A224" s="4" t="inlineStr">
        <is>
          <t>展会费</t>
        </is>
      </c>
      <c r="D224" s="7" t="n">
        <v>31.8</v>
      </c>
      <c r="F224" s="7" t="n">
        <v>26.3</v>
      </c>
      <c r="H224" s="7" t="n">
        <v>29.4</v>
      </c>
      <c r="J224" s="7" t="n">
        <v>43.1</v>
      </c>
      <c r="L224" s="7" t="n">
        <v>76.8</v>
      </c>
      <c r="N224" s="7" t="n">
        <v>39.7</v>
      </c>
      <c r="P224" s="7" t="n">
        <v>48.8</v>
      </c>
      <c r="R224" s="7" t="n">
        <v>29.3</v>
      </c>
      <c r="T224" s="7" t="n">
        <v>34.1</v>
      </c>
      <c r="V224" s="7" t="n">
        <v>52.4</v>
      </c>
      <c r="X224" s="7" t="n">
        <v>33.3</v>
      </c>
      <c r="Z224" s="7" t="n">
        <v>35.6</v>
      </c>
      <c r="AB224" s="7" t="n">
        <v>480.6</v>
      </c>
    </row>
    <row r="225">
      <c r="A225" s="4" t="inlineStr">
        <is>
          <t>设计费</t>
        </is>
      </c>
      <c r="D225" s="7" t="n">
        <v>87.40000000000001</v>
      </c>
      <c r="F225" s="7" t="n">
        <v>86.5</v>
      </c>
      <c r="H225" s="7" t="n">
        <v>80.40000000000001</v>
      </c>
      <c r="J225" s="7" t="n">
        <v>101.7</v>
      </c>
      <c r="L225" s="7" t="n">
        <v>230.6</v>
      </c>
      <c r="N225" s="7" t="n">
        <v>121</v>
      </c>
      <c r="P225" s="7" t="n">
        <v>172.4</v>
      </c>
      <c r="R225" s="7" t="n">
        <v>85.09999999999999</v>
      </c>
      <c r="T225" s="7" t="n">
        <v>121.2</v>
      </c>
      <c r="V225" s="7" t="n">
        <v>161.3</v>
      </c>
      <c r="X225" s="7" t="n">
        <v>114.8</v>
      </c>
      <c r="Z225" s="7" t="n">
        <v>102.3</v>
      </c>
      <c r="AB225" s="7" t="n">
        <v>1464.7</v>
      </c>
    </row>
    <row r="226">
      <c r="A226" s="4" t="inlineStr">
        <is>
          <t>折旧费</t>
        </is>
      </c>
      <c r="D226" s="7" t="n">
        <v>2057</v>
      </c>
      <c r="F226" s="7" t="n">
        <v>2559.5</v>
      </c>
      <c r="H226" s="7" t="n">
        <v>2319.6</v>
      </c>
      <c r="J226" s="7" t="n">
        <v>3832.8</v>
      </c>
      <c r="L226" s="7" t="n">
        <v>5862.6</v>
      </c>
      <c r="N226" s="7" t="n">
        <v>2692</v>
      </c>
      <c r="P226" s="7" t="n">
        <v>4414.2</v>
      </c>
      <c r="R226" s="7" t="n">
        <v>2551.6</v>
      </c>
      <c r="T226" s="7" t="n">
        <v>2040</v>
      </c>
      <c r="V226" s="7" t="n">
        <v>4237.9</v>
      </c>
      <c r="X226" s="7" t="n">
        <v>2860.3</v>
      </c>
      <c r="Z226" s="7" t="n">
        <v>1942.2</v>
      </c>
      <c r="AB226" s="7" t="n">
        <v>37369.7</v>
      </c>
    </row>
    <row r="227">
      <c r="A227" s="4" t="inlineStr">
        <is>
          <t>认证费</t>
        </is>
      </c>
      <c r="D227" s="7" t="n">
        <v>255.2</v>
      </c>
      <c r="F227" s="7" t="n">
        <v>342.1</v>
      </c>
      <c r="H227" s="7" t="n">
        <v>226.5</v>
      </c>
      <c r="J227" s="7" t="n">
        <v>489.3</v>
      </c>
      <c r="L227" s="7" t="n">
        <v>600.1</v>
      </c>
      <c r="N227" s="7" t="n">
        <v>416.8</v>
      </c>
      <c r="P227" s="7" t="n">
        <v>620.7</v>
      </c>
      <c r="R227" s="7" t="n">
        <v>387.3</v>
      </c>
      <c r="T227" s="7" t="n">
        <v>320.5</v>
      </c>
      <c r="V227" s="7" t="n">
        <v>417.1</v>
      </c>
      <c r="X227" s="7" t="n">
        <v>359.9</v>
      </c>
      <c r="Z227" s="7" t="n">
        <v>415.1</v>
      </c>
      <c r="AB227" s="7" t="n">
        <v>4850.6</v>
      </c>
    </row>
    <row r="228">
      <c r="A228" s="4" t="inlineStr">
        <is>
          <t>样品费</t>
        </is>
      </c>
      <c r="D228" s="7" t="n">
        <v>1314.4</v>
      </c>
      <c r="F228" s="7" t="n">
        <v>992.4</v>
      </c>
      <c r="H228" s="7" t="n">
        <v>740.6</v>
      </c>
      <c r="J228" s="7" t="n">
        <v>1986.6</v>
      </c>
      <c r="L228" s="7" t="n">
        <v>2361.1</v>
      </c>
      <c r="N228" s="7" t="n">
        <v>1535.2</v>
      </c>
      <c r="P228" s="7" t="n">
        <v>2814.8</v>
      </c>
      <c r="R228" s="7" t="n">
        <v>1494.9</v>
      </c>
      <c r="T228" s="7" t="n">
        <v>1694.3</v>
      </c>
      <c r="V228" s="7" t="n">
        <v>1463.7</v>
      </c>
      <c r="X228" s="7" t="n">
        <v>1586.9</v>
      </c>
      <c r="Z228" s="7" t="n">
        <v>1535.4</v>
      </c>
      <c r="AB228" s="7" t="n">
        <v>19520.3</v>
      </c>
    </row>
    <row r="229">
      <c r="A229" s="4" t="inlineStr">
        <is>
          <t>劳务费</t>
        </is>
      </c>
      <c r="D229" s="7" t="n">
        <v>18.5</v>
      </c>
      <c r="F229" s="7" t="n">
        <v>22.1</v>
      </c>
      <c r="H229" s="7" t="n">
        <v>18</v>
      </c>
      <c r="J229" s="7" t="n">
        <v>24.3</v>
      </c>
      <c r="L229" s="7" t="n">
        <v>33.3</v>
      </c>
      <c r="N229" s="7" t="n">
        <v>25.8</v>
      </c>
      <c r="P229" s="7" t="n">
        <v>45.1</v>
      </c>
      <c r="R229" s="7" t="n">
        <v>18.1</v>
      </c>
      <c r="T229" s="7" t="n">
        <v>20.2</v>
      </c>
      <c r="V229" s="7" t="n">
        <v>25.8</v>
      </c>
      <c r="X229" s="7" t="n">
        <v>26</v>
      </c>
      <c r="Z229" s="7" t="n">
        <v>31.1</v>
      </c>
      <c r="AB229" s="7" t="n">
        <v>308.3</v>
      </c>
    </row>
    <row r="230">
      <c r="A230" s="4" t="inlineStr">
        <is>
          <t>销售佣金</t>
        </is>
      </c>
      <c r="D230" s="7" t="n">
        <v>278.2</v>
      </c>
      <c r="F230" s="7" t="n">
        <v>444.9</v>
      </c>
      <c r="H230" s="7" t="n">
        <v>277.9</v>
      </c>
      <c r="J230" s="7" t="n">
        <v>421.5</v>
      </c>
      <c r="L230" s="7" t="n">
        <v>630.6</v>
      </c>
      <c r="N230" s="7" t="n">
        <v>394.6</v>
      </c>
      <c r="P230" s="7" t="n">
        <v>641.9</v>
      </c>
      <c r="R230" s="7" t="n">
        <v>312.3</v>
      </c>
      <c r="T230" s="7" t="n">
        <v>278.7</v>
      </c>
      <c r="V230" s="7" t="n">
        <v>380.9</v>
      </c>
      <c r="X230" s="7" t="n">
        <v>491.4</v>
      </c>
      <c r="Z230" s="7" t="n">
        <v>272.6</v>
      </c>
      <c r="AB230" s="7" t="n">
        <v>4825.5</v>
      </c>
    </row>
    <row r="231">
      <c r="A231" s="4" t="inlineStr">
        <is>
          <t>检测费</t>
        </is>
      </c>
      <c r="D231" s="7" t="n">
        <v>174.1</v>
      </c>
      <c r="F231" s="7" t="n">
        <v>169.3</v>
      </c>
      <c r="H231" s="7" t="n">
        <v>148</v>
      </c>
      <c r="J231" s="7" t="n">
        <v>203.8</v>
      </c>
      <c r="L231" s="7" t="n">
        <v>316.1</v>
      </c>
      <c r="N231" s="7" t="n">
        <v>148.3</v>
      </c>
      <c r="P231" s="7" t="n">
        <v>206.5</v>
      </c>
      <c r="R231" s="7" t="n">
        <v>180.4</v>
      </c>
      <c r="T231" s="7" t="n">
        <v>219.7</v>
      </c>
      <c r="V231" s="7" t="n">
        <v>156.4</v>
      </c>
      <c r="X231" s="7" t="n">
        <v>200.6</v>
      </c>
      <c r="Z231" s="7" t="n">
        <v>169</v>
      </c>
      <c r="AB231" s="7" t="n">
        <v>2292.2</v>
      </c>
    </row>
    <row r="232">
      <c r="A232" s="4" t="inlineStr">
        <is>
          <t>质量赔偿</t>
        </is>
      </c>
      <c r="D232" s="7" t="n">
        <v>162.5</v>
      </c>
      <c r="F232" s="7" t="n">
        <v>232.7</v>
      </c>
      <c r="H232" s="7" t="n">
        <v>96</v>
      </c>
      <c r="J232" s="7" t="n">
        <v>260.2</v>
      </c>
      <c r="L232" s="7" t="n">
        <v>267.4</v>
      </c>
      <c r="N232" s="7" t="n">
        <v>178.7</v>
      </c>
      <c r="P232" s="7" t="n">
        <v>377.3</v>
      </c>
      <c r="R232" s="7" t="n">
        <v>160.4</v>
      </c>
      <c r="T232" s="7" t="n">
        <v>212.5</v>
      </c>
      <c r="V232" s="7" t="n">
        <v>166.1</v>
      </c>
      <c r="X232" s="7" t="n">
        <v>255.9</v>
      </c>
      <c r="Z232" s="7" t="n">
        <v>172.2</v>
      </c>
      <c r="AB232" s="7" t="n">
        <v>2541.9</v>
      </c>
    </row>
    <row r="233">
      <c r="A233" s="4" t="inlineStr">
        <is>
          <t>保险费</t>
        </is>
      </c>
      <c r="D233" s="7" t="n">
        <v>342.3</v>
      </c>
      <c r="F233" s="7" t="n">
        <v>386.9</v>
      </c>
      <c r="H233" s="7" t="n">
        <v>247.6</v>
      </c>
      <c r="J233" s="7" t="n">
        <v>633.2</v>
      </c>
      <c r="L233" s="7" t="n">
        <v>622.7</v>
      </c>
      <c r="N233" s="7" t="n">
        <v>483</v>
      </c>
      <c r="P233" s="7" t="n">
        <v>937.1</v>
      </c>
      <c r="R233" s="7" t="n">
        <v>304.9</v>
      </c>
      <c r="T233" s="7" t="n">
        <v>463.3</v>
      </c>
      <c r="V233" s="7" t="n">
        <v>492.8</v>
      </c>
      <c r="X233" s="7" t="n">
        <v>628.5</v>
      </c>
      <c r="Z233" s="7" t="n">
        <v>441</v>
      </c>
      <c r="AB233" s="7" t="n">
        <v>5983.3</v>
      </c>
    </row>
    <row r="234">
      <c r="A234" s="4" t="inlineStr">
        <is>
          <t>清洁费</t>
        </is>
      </c>
      <c r="D234" s="7" t="n">
        <v>75.40000000000001</v>
      </c>
      <c r="F234" s="7" t="n">
        <v>108.9</v>
      </c>
      <c r="H234" s="7" t="n">
        <v>66.2</v>
      </c>
      <c r="J234" s="7" t="n">
        <v>140.8</v>
      </c>
      <c r="L234" s="7" t="n">
        <v>139.6</v>
      </c>
      <c r="N234" s="7" t="n">
        <v>100.5</v>
      </c>
      <c r="P234" s="7" t="n">
        <v>220.5</v>
      </c>
      <c r="R234" s="7" t="n">
        <v>103.3</v>
      </c>
      <c r="T234" s="7" t="n">
        <v>96.2</v>
      </c>
      <c r="V234" s="7" t="n">
        <v>115.9</v>
      </c>
      <c r="X234" s="7" t="n">
        <v>125.7</v>
      </c>
      <c r="Z234" s="7" t="n">
        <v>90.7</v>
      </c>
      <c r="AB234" s="7" t="n">
        <v>1383.7</v>
      </c>
    </row>
    <row r="235">
      <c r="A235" s="4" t="inlineStr">
        <is>
          <t>低值易耗品</t>
        </is>
      </c>
      <c r="D235" s="7" t="n">
        <v>46.5</v>
      </c>
      <c r="F235" s="7" t="n">
        <v>64.40000000000001</v>
      </c>
      <c r="H235" s="7" t="n">
        <v>38.6</v>
      </c>
      <c r="J235" s="7" t="n">
        <v>81.2</v>
      </c>
      <c r="L235" s="7" t="n">
        <v>95.09999999999999</v>
      </c>
      <c r="N235" s="7" t="n">
        <v>60.6</v>
      </c>
      <c r="P235" s="7" t="n">
        <v>118</v>
      </c>
      <c r="R235" s="7" t="n">
        <v>37.7</v>
      </c>
      <c r="T235" s="7" t="n">
        <v>62.5</v>
      </c>
      <c r="V235" s="7" t="n">
        <v>70</v>
      </c>
      <c r="X235" s="7" t="n">
        <v>59.6</v>
      </c>
      <c r="Z235" s="7" t="n">
        <v>51</v>
      </c>
      <c r="AB235" s="7" t="n">
        <v>785.2</v>
      </c>
    </row>
    <row r="236">
      <c r="A236" s="4" t="inlineStr">
        <is>
          <t>物料消耗</t>
        </is>
      </c>
      <c r="D236" s="7" t="n">
        <v>214.6</v>
      </c>
      <c r="F236" s="7" t="n">
        <v>232.9</v>
      </c>
      <c r="H236" s="7" t="n">
        <v>166.4</v>
      </c>
      <c r="J236" s="7" t="n">
        <v>429.6</v>
      </c>
      <c r="L236" s="7" t="n">
        <v>420</v>
      </c>
      <c r="N236" s="7" t="n">
        <v>352.6</v>
      </c>
      <c r="P236" s="7" t="n">
        <v>389.2</v>
      </c>
      <c r="R236" s="7" t="n">
        <v>308.1</v>
      </c>
      <c r="T236" s="7" t="n">
        <v>289.4</v>
      </c>
      <c r="V236" s="7" t="n">
        <v>448.6</v>
      </c>
      <c r="X236" s="7" t="n">
        <v>381.3</v>
      </c>
      <c r="Z236" s="7" t="n">
        <v>334.6</v>
      </c>
      <c r="AB236" s="7" t="n">
        <v>3967.3</v>
      </c>
    </row>
    <row r="237">
      <c r="A237" s="4" t="inlineStr">
        <is>
          <t>盘盈盘亏</t>
        </is>
      </c>
      <c r="D237" s="7" t="n">
        <v>394.8</v>
      </c>
      <c r="F237" s="7" t="n">
        <v>475.4</v>
      </c>
      <c r="H237" s="7" t="n">
        <v>362.5</v>
      </c>
      <c r="J237" s="7" t="n">
        <v>393.6</v>
      </c>
      <c r="L237" s="7" t="n">
        <v>790.3</v>
      </c>
      <c r="N237" s="7" t="n">
        <v>485.5</v>
      </c>
      <c r="P237" s="7" t="n">
        <v>852.5</v>
      </c>
      <c r="R237" s="7" t="n">
        <v>346.2</v>
      </c>
      <c r="T237" s="7" t="n">
        <v>392.2</v>
      </c>
      <c r="V237" s="7" t="n">
        <v>627.6</v>
      </c>
      <c r="X237" s="7" t="n">
        <v>612.2</v>
      </c>
      <c r="Z237" s="7" t="n">
        <v>436.2</v>
      </c>
      <c r="AB237" s="7" t="n">
        <v>6169</v>
      </c>
    </row>
    <row r="238">
      <c r="A238" s="4" t="inlineStr">
        <is>
          <t>平台服务费</t>
        </is>
      </c>
      <c r="D238" s="7" t="n">
        <v>13.7</v>
      </c>
      <c r="F238" s="7" t="n">
        <v>14.4</v>
      </c>
      <c r="H238" s="7" t="n">
        <v>8.9</v>
      </c>
      <c r="J238" s="7" t="n">
        <v>13.2</v>
      </c>
      <c r="L238" s="7" t="n">
        <v>19.2</v>
      </c>
      <c r="N238" s="7" t="n">
        <v>12.9</v>
      </c>
      <c r="P238" s="7" t="n">
        <v>26.1</v>
      </c>
      <c r="R238" s="7" t="n">
        <v>14.1</v>
      </c>
      <c r="T238" s="7" t="n">
        <v>10.4</v>
      </c>
      <c r="V238" s="7" t="n">
        <v>22</v>
      </c>
      <c r="X238" s="7" t="n">
        <v>17.9</v>
      </c>
      <c r="Z238" s="7" t="n">
        <v>12.9</v>
      </c>
      <c r="AB238" s="7" t="n">
        <v>185.7</v>
      </c>
    </row>
    <row r="239">
      <c r="A239" s="4" t="inlineStr">
        <is>
          <t>无形资产摊销</t>
        </is>
      </c>
      <c r="D239" s="7" t="n">
        <v>65.2</v>
      </c>
      <c r="F239" s="7" t="n">
        <v>100.5</v>
      </c>
      <c r="H239" s="7" t="n">
        <v>83.3</v>
      </c>
      <c r="J239" s="7" t="n">
        <v>95.40000000000001</v>
      </c>
      <c r="L239" s="7" t="n">
        <v>220.9</v>
      </c>
      <c r="N239" s="7" t="n">
        <v>123.9</v>
      </c>
      <c r="P239" s="7" t="n">
        <v>155.8</v>
      </c>
      <c r="R239" s="7" t="n">
        <v>117.1</v>
      </c>
      <c r="T239" s="7" t="n">
        <v>113.3</v>
      </c>
      <c r="V239" s="7" t="n">
        <v>115</v>
      </c>
      <c r="X239" s="7" t="n">
        <v>145.1</v>
      </c>
      <c r="Z239" s="7" t="n">
        <v>92.90000000000001</v>
      </c>
      <c r="AB239" s="7" t="n">
        <v>1428.4</v>
      </c>
    </row>
    <row r="240">
      <c r="A240" s="4" t="inlineStr">
        <is>
          <t>研发材料</t>
        </is>
      </c>
      <c r="D240" s="7" t="n">
        <v>379.4</v>
      </c>
      <c r="F240" s="7" t="n">
        <v>271.9</v>
      </c>
      <c r="H240" s="7" t="n">
        <v>321.2</v>
      </c>
      <c r="J240" s="7" t="n">
        <v>553.9</v>
      </c>
      <c r="L240" s="7" t="n">
        <v>835</v>
      </c>
      <c r="N240" s="7" t="n">
        <v>414</v>
      </c>
      <c r="P240" s="7" t="n">
        <v>644</v>
      </c>
      <c r="R240" s="7" t="n">
        <v>401</v>
      </c>
      <c r="T240" s="7" t="n">
        <v>364.2</v>
      </c>
      <c r="V240" s="7" t="n">
        <v>494.1</v>
      </c>
      <c r="X240" s="7" t="n">
        <v>404.3</v>
      </c>
      <c r="Z240" s="7" t="n">
        <v>473.5</v>
      </c>
      <c r="AB240" s="7" t="n">
        <v>5556.5</v>
      </c>
    </row>
    <row r="241">
      <c r="A241" s="4" t="inlineStr">
        <is>
          <t>项目名称</t>
        </is>
      </c>
      <c r="D241" s="7" t="n">
        <v>278.4</v>
      </c>
      <c r="F241" s="7" t="n">
        <v>307</v>
      </c>
      <c r="H241" s="7" t="n">
        <v>224</v>
      </c>
      <c r="J241" s="7" t="n">
        <v>565</v>
      </c>
      <c r="L241" s="7" t="n">
        <v>901</v>
      </c>
      <c r="N241" s="7" t="n">
        <v>308.2</v>
      </c>
      <c r="P241" s="7" t="n">
        <v>606.9</v>
      </c>
      <c r="R241" s="7" t="n">
        <v>422</v>
      </c>
      <c r="T241" s="7" t="n">
        <v>318.9</v>
      </c>
      <c r="V241" s="7" t="n">
        <v>509.3</v>
      </c>
      <c r="X241" s="7" t="n">
        <v>422.6</v>
      </c>
      <c r="Z241" s="7" t="n">
        <v>280</v>
      </c>
      <c r="AB241" s="7" t="n">
        <v>5143.3</v>
      </c>
    </row>
    <row r="242">
      <c r="A242" s="4" t="inlineStr">
        <is>
          <t>研发费</t>
        </is>
      </c>
      <c r="D242" s="7" t="n">
        <v>182.3</v>
      </c>
      <c r="F242" s="7" t="n">
        <v>307</v>
      </c>
      <c r="H242" s="7" t="n">
        <v>193.9</v>
      </c>
      <c r="J242" s="7" t="n">
        <v>229.4</v>
      </c>
      <c r="L242" s="7" t="n">
        <v>562.8</v>
      </c>
      <c r="N242" s="7" t="n">
        <v>296.7</v>
      </c>
      <c r="P242" s="7" t="n">
        <v>535.7</v>
      </c>
      <c r="R242" s="7" t="n">
        <v>278.2</v>
      </c>
      <c r="T242" s="7" t="n">
        <v>233.2</v>
      </c>
      <c r="V242" s="7" t="n">
        <v>377.4</v>
      </c>
      <c r="X242" s="7" t="n">
        <v>259.9</v>
      </c>
      <c r="Z242" s="7" t="n">
        <v>263.8</v>
      </c>
      <c r="AB242" s="7" t="n">
        <v>3720.3</v>
      </c>
    </row>
    <row r="243">
      <c r="A243" s="4" t="inlineStr">
        <is>
          <t>残保金</t>
        </is>
      </c>
      <c r="D243" s="7" t="n">
        <v>200.7</v>
      </c>
      <c r="F243" s="7" t="n">
        <v>279</v>
      </c>
      <c r="H243" s="7" t="n">
        <v>178.8</v>
      </c>
      <c r="J243" s="7" t="n">
        <v>318.6</v>
      </c>
      <c r="L243" s="7" t="n">
        <v>439.1</v>
      </c>
      <c r="N243" s="7" t="n">
        <v>204.8</v>
      </c>
      <c r="P243" s="7" t="n">
        <v>397.9</v>
      </c>
      <c r="R243" s="7" t="n">
        <v>212.3</v>
      </c>
      <c r="T243" s="7" t="n">
        <v>182.5</v>
      </c>
      <c r="V243" s="7" t="n">
        <v>366.4</v>
      </c>
      <c r="X243" s="7" t="n">
        <v>306.2</v>
      </c>
      <c r="Z243" s="7" t="n">
        <v>166.2</v>
      </c>
      <c r="AB243" s="7" t="n">
        <v>3252.5</v>
      </c>
    </row>
    <row r="244">
      <c r="A244" s="4" t="inlineStr">
        <is>
          <t>环保费</t>
        </is>
      </c>
      <c r="D244" s="7" t="n">
        <v>321.5</v>
      </c>
      <c r="F244" s="7" t="n">
        <v>471.8</v>
      </c>
      <c r="H244" s="7" t="n">
        <v>241.6</v>
      </c>
      <c r="J244" s="7" t="n">
        <v>526.2</v>
      </c>
      <c r="L244" s="7" t="n">
        <v>721.2</v>
      </c>
      <c r="N244" s="7" t="n">
        <v>411</v>
      </c>
      <c r="P244" s="7" t="n">
        <v>585.3</v>
      </c>
      <c r="R244" s="7" t="n">
        <v>385.3</v>
      </c>
      <c r="T244" s="7" t="n">
        <v>328.4</v>
      </c>
      <c r="V244" s="7" t="n">
        <v>443.2</v>
      </c>
      <c r="X244" s="7" t="n">
        <v>617.9</v>
      </c>
      <c r="Z244" s="7" t="n">
        <v>472.6</v>
      </c>
      <c r="AB244" s="7" t="n">
        <v>5526</v>
      </c>
    </row>
    <row r="245">
      <c r="A245" s="4" t="inlineStr">
        <is>
          <t>报废损失</t>
        </is>
      </c>
      <c r="D245" s="7" t="n">
        <v>253</v>
      </c>
      <c r="F245" s="7" t="n">
        <v>288.8</v>
      </c>
      <c r="H245" s="7" t="n">
        <v>200.7</v>
      </c>
      <c r="J245" s="7" t="n">
        <v>498.4</v>
      </c>
      <c r="L245" s="7" t="n">
        <v>752.9</v>
      </c>
      <c r="N245" s="7" t="n">
        <v>347.6</v>
      </c>
      <c r="P245" s="7" t="n">
        <v>594.3</v>
      </c>
      <c r="R245" s="7" t="n">
        <v>249.8</v>
      </c>
      <c r="T245" s="7" t="n">
        <v>288.2</v>
      </c>
      <c r="V245" s="7" t="n">
        <v>460.7</v>
      </c>
      <c r="X245" s="7" t="n">
        <v>311.6</v>
      </c>
      <c r="Z245" s="7" t="n">
        <v>431.9</v>
      </c>
      <c r="AB245" s="7" t="n">
        <v>4677.9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11992.3</v>
      </c>
      <c r="D246" s="7" t="n">
        <v>19633.3</v>
      </c>
      <c r="E246" s="7" t="n">
        <v>9578.299999999999</v>
      </c>
      <c r="F246" s="7" t="n">
        <v>11488.3</v>
      </c>
      <c r="G246" s="7" t="n">
        <v>9429.4</v>
      </c>
      <c r="H246" s="7" t="n">
        <v>7499.2</v>
      </c>
      <c r="I246" s="7" t="n">
        <v>11647.9</v>
      </c>
      <c r="J246" s="7" t="n">
        <v>4797.4</v>
      </c>
      <c r="K246" s="7" t="n">
        <v>9090.4</v>
      </c>
      <c r="L246" s="7" t="n">
        <v>15422.8</v>
      </c>
      <c r="M246" s="7" t="n">
        <v>9777</v>
      </c>
      <c r="N246" s="7" t="n">
        <v>18592.5</v>
      </c>
      <c r="O246" s="7" t="n">
        <v>11880</v>
      </c>
      <c r="P246" s="7" t="n">
        <v>9164.5</v>
      </c>
      <c r="Q246" s="7" t="n">
        <v>9094.799999999999</v>
      </c>
      <c r="R246" s="7" t="n">
        <v>19585.1</v>
      </c>
      <c r="S246" s="7" t="n">
        <v>11250.3</v>
      </c>
      <c r="T246" s="7" t="n">
        <v>7927</v>
      </c>
      <c r="U246" s="7" t="n">
        <v>10274.6</v>
      </c>
      <c r="V246" s="7" t="n">
        <v>7867.1</v>
      </c>
      <c r="W246" s="7" t="n">
        <v>10427.9</v>
      </c>
      <c r="X246" s="7" t="n">
        <v>-3765.6</v>
      </c>
      <c r="Y246" s="7" t="n">
        <v>9408.6</v>
      </c>
      <c r="Z246" s="7" t="n">
        <v>9451.9</v>
      </c>
      <c r="AA246" s="8" t="n">
        <v>123851.5</v>
      </c>
      <c r="AB246" s="8" t="n">
        <v>127663.5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4100.4</v>
      </c>
      <c r="E248" s="7" t="n">
        <v>0</v>
      </c>
      <c r="F248" s="7" t="n">
        <v>79.2</v>
      </c>
      <c r="G248" s="7" t="n">
        <v>0</v>
      </c>
      <c r="H248" s="7" t="n">
        <v>1313.8</v>
      </c>
      <c r="I248" s="7" t="n">
        <v>0</v>
      </c>
      <c r="J248" s="7" t="n">
        <v>1714.7</v>
      </c>
      <c r="K248" s="7" t="n">
        <v>0</v>
      </c>
      <c r="L248" s="7" t="n">
        <v>581.1</v>
      </c>
      <c r="M248" s="7" t="n">
        <v>0</v>
      </c>
      <c r="N248" s="7" t="n">
        <v>3020.4</v>
      </c>
      <c r="O248" s="7" t="n">
        <v>0</v>
      </c>
      <c r="P248" s="7" t="n">
        <v>-191.5</v>
      </c>
      <c r="Q248" s="7" t="n">
        <v>0</v>
      </c>
      <c r="R248" s="7" t="n">
        <v>-1137.7</v>
      </c>
      <c r="S248" s="7" t="n">
        <v>0</v>
      </c>
      <c r="T248" s="7" t="n">
        <v>-4888</v>
      </c>
      <c r="U248" s="7" t="n">
        <v>0</v>
      </c>
      <c r="V248" s="7" t="n">
        <v>-4163.9</v>
      </c>
      <c r="W248" s="7" t="n">
        <v>0</v>
      </c>
      <c r="X248" s="7" t="n">
        <v>-2045.3</v>
      </c>
      <c r="Y248" s="7" t="n">
        <v>0</v>
      </c>
      <c r="Z248" s="7" t="n">
        <v>-1273.3</v>
      </c>
      <c r="AA248" s="7" t="n">
        <v>0</v>
      </c>
      <c r="AB248" s="7" t="n">
        <v>-2890.1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14977.3</v>
      </c>
      <c r="D253" s="7" t="n">
        <v>23905.8</v>
      </c>
      <c r="E253" s="7" t="n">
        <v>16495.7</v>
      </c>
      <c r="F253" s="7" t="n">
        <v>8662.9</v>
      </c>
      <c r="G253" s="7" t="n">
        <v>16979.5</v>
      </c>
      <c r="H253" s="7" t="n">
        <v>27518.1</v>
      </c>
      <c r="I253" s="7" t="n">
        <v>15991.5</v>
      </c>
      <c r="J253" s="7" t="n">
        <v>7057</v>
      </c>
      <c r="K253" s="7" t="n">
        <v>13936.5</v>
      </c>
      <c r="L253" s="7" t="n">
        <v>16591</v>
      </c>
      <c r="M253" s="7" t="n">
        <v>14462.7</v>
      </c>
      <c r="N253" s="7" t="n">
        <v>27856.7</v>
      </c>
      <c r="O253" s="7" t="n">
        <v>17026.2</v>
      </c>
      <c r="P253" s="7" t="n">
        <v>19496.3</v>
      </c>
      <c r="Q253" s="7" t="n">
        <v>15748.4</v>
      </c>
      <c r="R253" s="7" t="n">
        <v>19234.6</v>
      </c>
      <c r="S253" s="7" t="n">
        <v>16868.4</v>
      </c>
      <c r="T253" s="7" t="n">
        <v>2551.6</v>
      </c>
      <c r="U253" s="7" t="n">
        <v>16675.3</v>
      </c>
      <c r="V253" s="7" t="n">
        <v>15310</v>
      </c>
      <c r="W253" s="7" t="n">
        <v>13199.6</v>
      </c>
      <c r="X253" s="7" t="n">
        <v>1420.9</v>
      </c>
      <c r="Y253" s="7" t="n">
        <v>13952.9</v>
      </c>
      <c r="Z253" s="7" t="n">
        <v>14477.6</v>
      </c>
      <c r="AA253" s="7" t="n">
        <v>186314</v>
      </c>
      <c r="AB253" s="7" t="n">
        <v>184082.5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246300.6</v>
      </c>
      <c r="D254" s="7" t="n">
        <v>211639.8</v>
      </c>
      <c r="E254" s="7" t="n">
        <v>304100</v>
      </c>
      <c r="F254" s="7" t="n">
        <v>127296.3</v>
      </c>
      <c r="G254" s="7" t="n">
        <v>282247.2</v>
      </c>
      <c r="H254" s="7" t="n">
        <v>313773.2</v>
      </c>
      <c r="I254" s="7" t="n">
        <v>328568.2</v>
      </c>
      <c r="J254" s="7" t="n">
        <v>238220.2</v>
      </c>
      <c r="K254" s="7" t="n">
        <v>302322.5</v>
      </c>
      <c r="L254" s="7" t="n">
        <v>209679.8</v>
      </c>
      <c r="M254" s="7" t="n">
        <v>281053.2</v>
      </c>
      <c r="N254" s="7" t="n">
        <v>341175.6</v>
      </c>
      <c r="O254" s="7" t="n">
        <v>252558.3</v>
      </c>
      <c r="P254" s="7" t="n">
        <v>476723.6</v>
      </c>
      <c r="Q254" s="7" t="n">
        <v>245739.1</v>
      </c>
      <c r="R254" s="7" t="n">
        <v>445917.5</v>
      </c>
      <c r="S254" s="7" t="n">
        <v>300497.6</v>
      </c>
      <c r="T254" s="7" t="n">
        <v>398995.9</v>
      </c>
      <c r="U254" s="7" t="n">
        <v>323707.2</v>
      </c>
      <c r="V254" s="7" t="n">
        <v>342084.4</v>
      </c>
      <c r="W254" s="7" t="n">
        <v>270434.9</v>
      </c>
      <c r="X254" s="7" t="n">
        <v>227215.1</v>
      </c>
      <c r="Y254" s="7" t="n">
        <v>252084.6</v>
      </c>
      <c r="Z254" s="7" t="n">
        <v>120640.7</v>
      </c>
      <c r="AA254" s="8" t="n">
        <v>3389613.4</v>
      </c>
      <c r="AB254" s="8" t="n">
        <v>3453362.1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451.5</v>
      </c>
      <c r="E255" s="7" t="n">
        <v>0</v>
      </c>
      <c r="F255" s="7" t="n">
        <v>4203.6</v>
      </c>
      <c r="G255" s="7" t="n">
        <v>0</v>
      </c>
      <c r="H255" s="7" t="n">
        <v>4965.6</v>
      </c>
      <c r="I255" s="7" t="n">
        <v>0</v>
      </c>
      <c r="J255" s="7" t="n">
        <v>1124</v>
      </c>
      <c r="K255" s="7" t="n">
        <v>0</v>
      </c>
      <c r="L255" s="7" t="n">
        <v>1411</v>
      </c>
      <c r="M255" s="7" t="n">
        <v>0</v>
      </c>
      <c r="N255" s="7" t="n">
        <v>4038.8</v>
      </c>
      <c r="O255" s="7" t="n">
        <v>0</v>
      </c>
      <c r="P255" s="7" t="n">
        <v>2708.3</v>
      </c>
      <c r="Q255" s="7" t="n">
        <v>0</v>
      </c>
      <c r="R255" s="7" t="n">
        <v>502.9</v>
      </c>
      <c r="S255" s="7" t="n">
        <v>0</v>
      </c>
      <c r="T255" s="7" t="n">
        <v>3070.6</v>
      </c>
      <c r="U255" s="7" t="n">
        <v>0</v>
      </c>
      <c r="V255" s="7" t="n">
        <v>4612</v>
      </c>
      <c r="W255" s="7" t="n">
        <v>0</v>
      </c>
      <c r="X255" s="7" t="n">
        <v>2957.4</v>
      </c>
      <c r="Y255" s="7" t="n">
        <v>0</v>
      </c>
      <c r="Z255" s="7" t="n">
        <v>3862.1</v>
      </c>
      <c r="AA255" s="7" t="n">
        <v>0</v>
      </c>
      <c r="AB255" s="7" t="n">
        <v>33907.8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1408.3</v>
      </c>
      <c r="E256" s="7" t="n">
        <v>0</v>
      </c>
      <c r="F256" s="7" t="n">
        <v>1568.4</v>
      </c>
      <c r="G256" s="7" t="n">
        <v>0</v>
      </c>
      <c r="H256" s="7" t="n">
        <v>45.1</v>
      </c>
      <c r="I256" s="7" t="n">
        <v>0</v>
      </c>
      <c r="J256" s="7" t="n">
        <v>2319</v>
      </c>
      <c r="K256" s="7" t="n">
        <v>0</v>
      </c>
      <c r="L256" s="7" t="n">
        <v>2280.6</v>
      </c>
      <c r="M256" s="7" t="n">
        <v>0</v>
      </c>
      <c r="N256" s="7" t="n">
        <v>1289.7</v>
      </c>
      <c r="O256" s="7" t="n">
        <v>0</v>
      </c>
      <c r="P256" s="7" t="n">
        <v>1644.7</v>
      </c>
      <c r="Q256" s="7" t="n">
        <v>0</v>
      </c>
      <c r="R256" s="7" t="n">
        <v>882.6</v>
      </c>
      <c r="S256" s="7" t="n">
        <v>0</v>
      </c>
      <c r="T256" s="7" t="n">
        <v>422.5</v>
      </c>
      <c r="U256" s="7" t="n">
        <v>0</v>
      </c>
      <c r="V256" s="7" t="n">
        <v>1602.9</v>
      </c>
      <c r="W256" s="7" t="n">
        <v>0</v>
      </c>
      <c r="X256" s="7" t="n">
        <v>1702.4</v>
      </c>
      <c r="Y256" s="7" t="n">
        <v>0</v>
      </c>
      <c r="Z256" s="7" t="n">
        <v>1865.5</v>
      </c>
      <c r="AA256" s="7" t="n">
        <v>0</v>
      </c>
      <c r="AB256" s="7" t="n">
        <v>17031.7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313024.7</v>
      </c>
      <c r="D257" s="7" t="n">
        <v>197218.9</v>
      </c>
      <c r="E257" s="7" t="n">
        <v>251635.8</v>
      </c>
      <c r="F257" s="7" t="n">
        <v>130018.7</v>
      </c>
      <c r="G257" s="7" t="n">
        <v>247997.8</v>
      </c>
      <c r="H257" s="7" t="n">
        <v>331652.7</v>
      </c>
      <c r="I257" s="7" t="n">
        <v>314865.8</v>
      </c>
      <c r="J257" s="7" t="n">
        <v>239552.1</v>
      </c>
      <c r="K257" s="7" t="n">
        <v>282471.9</v>
      </c>
      <c r="L257" s="7" t="n">
        <v>211354.5</v>
      </c>
      <c r="M257" s="7" t="n">
        <v>276779.9</v>
      </c>
      <c r="N257" s="7" t="n">
        <v>345135.3</v>
      </c>
      <c r="O257" s="7" t="n">
        <v>318419.7</v>
      </c>
      <c r="P257" s="7" t="n">
        <v>478634.2</v>
      </c>
      <c r="Q257" s="7" t="n">
        <v>294646.4</v>
      </c>
      <c r="R257" s="7" t="n">
        <v>457982.2</v>
      </c>
      <c r="S257" s="7" t="n">
        <v>323000.4</v>
      </c>
      <c r="T257" s="7" t="n">
        <v>368537.6</v>
      </c>
      <c r="U257" s="7" t="n">
        <v>247369</v>
      </c>
      <c r="V257" s="7" t="n">
        <v>344078</v>
      </c>
      <c r="W257" s="7" t="n">
        <v>296841.7</v>
      </c>
      <c r="X257" s="7" t="n">
        <v>235491.6</v>
      </c>
      <c r="Y257" s="7" t="n">
        <v>256299.3</v>
      </c>
      <c r="Z257" s="7" t="n">
        <v>124038.9</v>
      </c>
      <c r="AA257" s="8" t="n">
        <v>3423352.4</v>
      </c>
      <c r="AB257" s="8" t="n">
        <v>3463694.7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81756.2</v>
      </c>
      <c r="D258" s="7" t="n">
        <v>49304.7</v>
      </c>
      <c r="E258" s="7" t="n">
        <v>64209</v>
      </c>
      <c r="F258" s="7" t="n">
        <v>32504.7</v>
      </c>
      <c r="G258" s="7" t="n">
        <v>80412.10000000001</v>
      </c>
      <c r="H258" s="7" t="n">
        <v>82913.2</v>
      </c>
      <c r="I258" s="7" t="n">
        <v>77875.39999999999</v>
      </c>
      <c r="J258" s="7" t="n">
        <v>59888</v>
      </c>
      <c r="K258" s="7" t="n">
        <v>69097.2</v>
      </c>
      <c r="L258" s="7" t="n">
        <v>52838.6</v>
      </c>
      <c r="M258" s="7" t="n">
        <v>79721.3</v>
      </c>
      <c r="N258" s="7" t="n">
        <v>86283.8</v>
      </c>
      <c r="O258" s="7" t="n">
        <v>74997.5</v>
      </c>
      <c r="P258" s="7" t="n">
        <v>119658.6</v>
      </c>
      <c r="Q258" s="7" t="n">
        <v>73834</v>
      </c>
      <c r="R258" s="7" t="n">
        <v>114495.6</v>
      </c>
      <c r="S258" s="7" t="n">
        <v>79326.60000000001</v>
      </c>
      <c r="T258" s="7" t="n">
        <v>92134.39999999999</v>
      </c>
      <c r="U258" s="7" t="n">
        <v>65379.5</v>
      </c>
      <c r="V258" s="7" t="n">
        <v>86019.5</v>
      </c>
      <c r="W258" s="7" t="n">
        <v>61654.3</v>
      </c>
      <c r="X258" s="7" t="n">
        <v>58872.9</v>
      </c>
      <c r="Y258" s="7" t="n">
        <v>82503.3</v>
      </c>
      <c r="Z258" s="7" t="n">
        <v>31009.7</v>
      </c>
      <c r="AA258" s="7" t="n">
        <v>890766.4</v>
      </c>
      <c r="AB258" s="7" t="n">
        <v>865923.7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288554.3</v>
      </c>
      <c r="D259" s="7" t="n">
        <v>147914.2</v>
      </c>
      <c r="E259" s="7" t="n">
        <v>244445.9</v>
      </c>
      <c r="F259" s="7" t="n">
        <v>97514</v>
      </c>
      <c r="G259" s="7" t="n">
        <v>270639.7</v>
      </c>
      <c r="H259" s="7" t="n">
        <v>248739.5</v>
      </c>
      <c r="I259" s="7" t="n">
        <v>254174</v>
      </c>
      <c r="J259" s="7" t="n">
        <v>179664.1</v>
      </c>
      <c r="K259" s="7" t="n">
        <v>217305.9</v>
      </c>
      <c r="L259" s="7" t="n">
        <v>158515.9</v>
      </c>
      <c r="M259" s="7" t="n">
        <v>257766.5</v>
      </c>
      <c r="N259" s="7" t="n">
        <v>258851.5</v>
      </c>
      <c r="O259" s="7" t="n">
        <v>289189.9</v>
      </c>
      <c r="P259" s="7" t="n">
        <v>358975.6</v>
      </c>
      <c r="Q259" s="7" t="n">
        <v>194871.4</v>
      </c>
      <c r="R259" s="7" t="n">
        <v>343486.6</v>
      </c>
      <c r="S259" s="7" t="n">
        <v>267858.2</v>
      </c>
      <c r="T259" s="7" t="n">
        <v>276403.2</v>
      </c>
      <c r="U259" s="7" t="n">
        <v>231233.5</v>
      </c>
      <c r="V259" s="7" t="n">
        <v>258058.5</v>
      </c>
      <c r="W259" s="7" t="n">
        <v>223817.7</v>
      </c>
      <c r="X259" s="7" t="n">
        <v>176618.7</v>
      </c>
      <c r="Y259" s="7" t="n">
        <v>217317.7</v>
      </c>
      <c r="Z259" s="7" t="n">
        <v>93029.2</v>
      </c>
      <c r="AA259" s="8" t="n">
        <v>2957174.7</v>
      </c>
      <c r="AB259" s="8" t="n">
        <v>2597771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24552.1</v>
      </c>
      <c r="E260" s="7" t="n">
        <v>0</v>
      </c>
      <c r="F260" s="7" t="n">
        <v>171</v>
      </c>
      <c r="G260" s="7" t="n">
        <v>0</v>
      </c>
      <c r="H260" s="7" t="n">
        <v>70413.8</v>
      </c>
      <c r="I260" s="7" t="n">
        <v>0</v>
      </c>
      <c r="J260" s="7" t="n">
        <v>48365</v>
      </c>
      <c r="K260" s="7" t="n">
        <v>0</v>
      </c>
      <c r="L260" s="7" t="n">
        <v>17526</v>
      </c>
      <c r="M260" s="7" t="n">
        <v>0</v>
      </c>
      <c r="N260" s="7" t="n">
        <v>10809.7</v>
      </c>
      <c r="O260" s="7" t="n">
        <v>0</v>
      </c>
      <c r="P260" s="7" t="n">
        <v>7844.3</v>
      </c>
      <c r="Q260" s="7" t="n">
        <v>0</v>
      </c>
      <c r="R260" s="7" t="n">
        <v>47502.7</v>
      </c>
      <c r="S260" s="7" t="n">
        <v>0</v>
      </c>
      <c r="T260" s="7" t="n">
        <v>27829.5</v>
      </c>
      <c r="U260" s="7" t="n">
        <v>0</v>
      </c>
      <c r="V260" s="7" t="n">
        <v>24336.6</v>
      </c>
      <c r="W260" s="7" t="n">
        <v>0</v>
      </c>
      <c r="X260" s="7" t="n">
        <v>50725.1</v>
      </c>
      <c r="Y260" s="7" t="n">
        <v>0</v>
      </c>
      <c r="Z260" s="7" t="n">
        <v>12854</v>
      </c>
      <c r="AA260" s="7" t="n">
        <v>0</v>
      </c>
      <c r="AB260" s="7" t="n">
        <v>342929.8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288554.3</v>
      </c>
      <c r="D261" s="7" t="n">
        <v>123362.1</v>
      </c>
      <c r="E261" s="7" t="n">
        <v>244445.9</v>
      </c>
      <c r="F261" s="7" t="n">
        <v>97343</v>
      </c>
      <c r="G261" s="7" t="n">
        <v>270639.7</v>
      </c>
      <c r="H261" s="7" t="n">
        <v>178325.7</v>
      </c>
      <c r="I261" s="7" t="n">
        <v>254174</v>
      </c>
      <c r="J261" s="7" t="n">
        <v>131299.1</v>
      </c>
      <c r="K261" s="7" t="n">
        <v>217305.9</v>
      </c>
      <c r="L261" s="7" t="n">
        <v>140989.9</v>
      </c>
      <c r="M261" s="7" t="n">
        <v>257766.5</v>
      </c>
      <c r="N261" s="7" t="n">
        <v>248041.8</v>
      </c>
      <c r="O261" s="7" t="n">
        <v>289189.9</v>
      </c>
      <c r="P261" s="7" t="n">
        <v>351131.3</v>
      </c>
      <c r="Q261" s="7" t="n">
        <v>194871.4</v>
      </c>
      <c r="R261" s="7" t="n">
        <v>295983.9</v>
      </c>
      <c r="S261" s="7" t="n">
        <v>267858.2</v>
      </c>
      <c r="T261" s="7" t="n">
        <v>248573.7</v>
      </c>
      <c r="U261" s="7" t="n">
        <v>231233.5</v>
      </c>
      <c r="V261" s="7" t="n">
        <v>233721.9</v>
      </c>
      <c r="W261" s="7" t="n">
        <v>223817.7</v>
      </c>
      <c r="X261" s="7" t="n">
        <v>125893.6</v>
      </c>
      <c r="Y261" s="7" t="n">
        <v>217317.7</v>
      </c>
      <c r="Z261" s="7" t="n">
        <v>80175.2</v>
      </c>
      <c r="AA261" s="8" t="n">
        <v>2957174.7</v>
      </c>
      <c r="AB261" s="8" t="n">
        <v>2254841.2</v>
      </c>
    </row>
    <row r="262">
      <c r="A262" s="4" t="inlineStr">
        <is>
          <t>净利率</t>
        </is>
      </c>
      <c r="D262" s="13" t="n">
        <v>7.9</v>
      </c>
      <c r="F262" s="13" t="n">
        <v>4.4</v>
      </c>
      <c r="H262" s="13" t="n">
        <v>9.1</v>
      </c>
      <c r="J262" s="13" t="n">
        <v>6</v>
      </c>
      <c r="L262" s="13" t="n">
        <v>4.6</v>
      </c>
      <c r="N262" s="13" t="n">
        <v>6.4</v>
      </c>
      <c r="P262" s="13" t="n">
        <v>8.300000000000001</v>
      </c>
      <c r="R262" s="13" t="n">
        <v>10.3</v>
      </c>
      <c r="T262" s="13" t="n">
        <v>8.9</v>
      </c>
      <c r="V262" s="13" t="n">
        <v>7.1</v>
      </c>
      <c r="X262" s="13" t="n">
        <v>6.2</v>
      </c>
      <c r="Z262" s="13" t="n">
        <v>4.4</v>
      </c>
    </row>
    <row r="263">
      <c r="A263" s="4" t="inlineStr">
        <is>
          <t>销售达成率</t>
        </is>
      </c>
      <c r="D263" s="13" t="n">
        <v>70.5</v>
      </c>
      <c r="F263" s="13" t="n">
        <v>76</v>
      </c>
      <c r="H263" s="13" t="n">
        <v>84</v>
      </c>
      <c r="J263" s="13" t="n">
        <v>84.8</v>
      </c>
      <c r="L263" s="13" t="n">
        <v>115.7</v>
      </c>
      <c r="N263" s="13" t="n">
        <v>122.4</v>
      </c>
      <c r="P263" s="13" t="n">
        <v>159</v>
      </c>
      <c r="R263" s="13" t="n">
        <v>101.2</v>
      </c>
      <c r="T263" s="13" t="n">
        <v>96.2</v>
      </c>
      <c r="V263" s="13" t="n">
        <v>133.9</v>
      </c>
      <c r="X263" s="13" t="n">
        <v>84.7</v>
      </c>
      <c r="Z263" s="13" t="n">
        <v>62.2</v>
      </c>
    </row>
    <row r="264">
      <c r="A264" s="4" t="inlineStr">
        <is>
          <t>净利达成率</t>
        </is>
      </c>
      <c r="D264" s="13" t="n">
        <v>51.3</v>
      </c>
      <c r="F264" s="13" t="n">
        <v>39.9</v>
      </c>
      <c r="H264" s="13" t="n">
        <v>91.90000000000001</v>
      </c>
      <c r="J264" s="13" t="n">
        <v>70.7</v>
      </c>
      <c r="L264" s="13" t="n">
        <v>72.90000000000001</v>
      </c>
      <c r="N264" s="13" t="n">
        <v>100.4</v>
      </c>
      <c r="P264" s="13" t="n">
        <v>124.1</v>
      </c>
      <c r="R264" s="13" t="n">
        <v>176.3</v>
      </c>
      <c r="T264" s="13" t="n">
        <v>103.2</v>
      </c>
      <c r="V264" s="13" t="n">
        <v>111.6</v>
      </c>
      <c r="X264" s="13" t="n">
        <v>78.90000000000001</v>
      </c>
      <c r="Z264" s="13" t="n">
        <v>42.8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华中区域利润表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9038651.6</v>
      </c>
      <c r="D6" s="7" t="n">
        <v>5466563.6</v>
      </c>
      <c r="E6" s="7" t="n">
        <v>7950000.3</v>
      </c>
      <c r="F6" s="7" t="n">
        <v>5467330.2</v>
      </c>
      <c r="G6" s="7" t="n">
        <v>8647849.699999999</v>
      </c>
      <c r="H6" s="7" t="n">
        <v>8259115.1</v>
      </c>
      <c r="I6" s="7" t="n">
        <v>8608018.699999999</v>
      </c>
      <c r="J6" s="7" t="n">
        <v>9234127.699999999</v>
      </c>
      <c r="K6" s="7" t="n">
        <v>9523624.9</v>
      </c>
      <c r="L6" s="7" t="n">
        <v>10076176.3</v>
      </c>
      <c r="M6" s="7" t="n">
        <v>10033585</v>
      </c>
      <c r="N6" s="7" t="n">
        <v>11072529.1</v>
      </c>
      <c r="O6" s="7" t="n">
        <v>8598491.6</v>
      </c>
      <c r="P6" s="7" t="n">
        <v>12277924.1</v>
      </c>
      <c r="Q6" s="7" t="n">
        <v>9587615.199999999</v>
      </c>
      <c r="R6" s="7" t="n">
        <v>10100750.3</v>
      </c>
      <c r="S6" s="7" t="n">
        <v>8485447</v>
      </c>
      <c r="T6" s="7" t="n">
        <v>9735260.5</v>
      </c>
      <c r="U6" s="7" t="n">
        <v>10271332.5</v>
      </c>
      <c r="V6" s="7" t="n">
        <v>11550859.9</v>
      </c>
      <c r="W6" s="7" t="n">
        <v>9913523.800000001</v>
      </c>
      <c r="X6" s="7" t="n">
        <v>8309404.7</v>
      </c>
      <c r="Y6" s="7" t="n">
        <v>9197323.5</v>
      </c>
      <c r="Z6" s="7" t="n">
        <v>6169230.7</v>
      </c>
      <c r="AA6" s="8" t="n">
        <v>109855463.8</v>
      </c>
      <c r="AB6" s="8" t="n">
        <v>107719272.2</v>
      </c>
    </row>
    <row r="7">
      <c r="A7" s="4" t="inlineStr">
        <is>
          <t>数控机床</t>
        </is>
      </c>
      <c r="D7" s="7" t="n">
        <v>655726.1</v>
      </c>
      <c r="F7" s="7" t="n">
        <v>559777.8</v>
      </c>
      <c r="H7" s="7" t="n">
        <v>773934.6</v>
      </c>
      <c r="J7" s="7" t="n">
        <v>1000370.9</v>
      </c>
      <c r="L7" s="7" t="n">
        <v>855216.1</v>
      </c>
      <c r="N7" s="7" t="n">
        <v>1003389.3</v>
      </c>
      <c r="P7" s="7" t="n">
        <v>1393896.1</v>
      </c>
      <c r="R7" s="7" t="n">
        <v>1214223.9</v>
      </c>
      <c r="T7" s="7" t="n">
        <v>872346.2</v>
      </c>
      <c r="V7" s="7" t="n">
        <v>1355761.5</v>
      </c>
      <c r="X7" s="7" t="n">
        <v>938185.4</v>
      </c>
      <c r="Z7" s="7" t="n">
        <v>739918</v>
      </c>
      <c r="AB7" s="7" t="n">
        <v>11362745.9</v>
      </c>
    </row>
    <row r="8">
      <c r="A8" s="4" t="inlineStr">
        <is>
          <t>精密轴承</t>
        </is>
      </c>
      <c r="D8" s="7" t="n">
        <v>1069715.7</v>
      </c>
      <c r="F8" s="7" t="n">
        <v>1048703.9</v>
      </c>
      <c r="H8" s="7" t="n">
        <v>1734034.7</v>
      </c>
      <c r="J8" s="7" t="n">
        <v>1847804.6</v>
      </c>
      <c r="L8" s="7" t="n">
        <v>1992718.7</v>
      </c>
      <c r="N8" s="7" t="n">
        <v>2358555.6</v>
      </c>
      <c r="P8" s="7" t="n">
        <v>2515015.4</v>
      </c>
      <c r="R8" s="7" t="n">
        <v>1772640.3</v>
      </c>
      <c r="T8" s="7" t="n">
        <v>1569389.9</v>
      </c>
      <c r="V8" s="7" t="n">
        <v>2178119.7</v>
      </c>
      <c r="X8" s="7" t="n">
        <v>1407661.7</v>
      </c>
      <c r="Z8" s="7" t="n">
        <v>1244683.4</v>
      </c>
      <c r="AB8" s="7" t="n">
        <v>20739043.6</v>
      </c>
    </row>
    <row r="9">
      <c r="A9" s="4" t="inlineStr">
        <is>
          <t>液压件</t>
        </is>
      </c>
      <c r="D9" s="7" t="n">
        <v>1525507.6</v>
      </c>
      <c r="F9" s="7" t="n">
        <v>1480779.3</v>
      </c>
      <c r="H9" s="7" t="n">
        <v>2018929.5</v>
      </c>
      <c r="J9" s="7" t="n">
        <v>2028409.7</v>
      </c>
      <c r="L9" s="7" t="n">
        <v>2519456.2</v>
      </c>
      <c r="N9" s="7" t="n">
        <v>3085725.8</v>
      </c>
      <c r="P9" s="7" t="n">
        <v>2783735.1</v>
      </c>
      <c r="R9" s="7" t="n">
        <v>2759367</v>
      </c>
      <c r="T9" s="7" t="n">
        <v>2592290</v>
      </c>
      <c r="V9" s="7" t="n">
        <v>2949298.4</v>
      </c>
      <c r="X9" s="7" t="n">
        <v>1859311.4</v>
      </c>
      <c r="Z9" s="7" t="n">
        <v>1746691</v>
      </c>
      <c r="AB9" s="7" t="n">
        <v>27349501</v>
      </c>
    </row>
    <row r="10">
      <c r="A10" s="4" t="inlineStr">
        <is>
          <t>气动元件</t>
        </is>
      </c>
      <c r="D10" s="7" t="n">
        <v>621957.5</v>
      </c>
      <c r="F10" s="7" t="n">
        <v>718454.6</v>
      </c>
      <c r="H10" s="7" t="n">
        <v>1152782.7</v>
      </c>
      <c r="J10" s="7" t="n">
        <v>1496316.4</v>
      </c>
      <c r="L10" s="7" t="n">
        <v>1519791.1</v>
      </c>
      <c r="N10" s="7" t="n">
        <v>1673725.6</v>
      </c>
      <c r="P10" s="7" t="n">
        <v>1638968.2</v>
      </c>
      <c r="R10" s="7" t="n">
        <v>1342919.8</v>
      </c>
      <c r="T10" s="7" t="n">
        <v>1494373.8</v>
      </c>
      <c r="V10" s="7" t="n">
        <v>1571941.2</v>
      </c>
      <c r="X10" s="7" t="n">
        <v>1232510.8</v>
      </c>
      <c r="Z10" s="7" t="n">
        <v>772394</v>
      </c>
      <c r="AB10" s="7" t="n">
        <v>15236135.7</v>
      </c>
    </row>
    <row r="11">
      <c r="A11" s="4" t="inlineStr">
        <is>
          <t>模具</t>
        </is>
      </c>
      <c r="D11" s="7" t="n">
        <v>942935.9</v>
      </c>
      <c r="F11" s="7" t="n">
        <v>1058276.2</v>
      </c>
      <c r="H11" s="7" t="n">
        <v>1606819.8</v>
      </c>
      <c r="J11" s="7" t="n">
        <v>1669335.1</v>
      </c>
      <c r="L11" s="7" t="n">
        <v>2169417.5</v>
      </c>
      <c r="N11" s="7" t="n">
        <v>2145510.5</v>
      </c>
      <c r="P11" s="7" t="n">
        <v>2769343.3</v>
      </c>
      <c r="R11" s="7" t="n">
        <v>2103782.7</v>
      </c>
      <c r="T11" s="7" t="n">
        <v>2137373</v>
      </c>
      <c r="V11" s="7" t="n">
        <v>2224660</v>
      </c>
      <c r="X11" s="7" t="n">
        <v>1907074.4</v>
      </c>
      <c r="Z11" s="7" t="n">
        <v>1056412.1</v>
      </c>
      <c r="AB11" s="7" t="n">
        <v>21790940.5</v>
      </c>
    </row>
    <row r="12">
      <c r="A12" s="4" t="inlineStr">
        <is>
          <t>工装夹具</t>
        </is>
      </c>
      <c r="D12" s="7" t="n">
        <v>689075.4</v>
      </c>
      <c r="F12" s="7" t="n">
        <v>669294.7</v>
      </c>
      <c r="H12" s="7" t="n">
        <v>1010947.8</v>
      </c>
      <c r="J12" s="7" t="n">
        <v>1229390.6</v>
      </c>
      <c r="L12" s="7" t="n">
        <v>1146042.9</v>
      </c>
      <c r="N12" s="7" t="n">
        <v>1022655.1</v>
      </c>
      <c r="P12" s="7" t="n">
        <v>1261284.7</v>
      </c>
      <c r="R12" s="7" t="n">
        <v>961085.5</v>
      </c>
      <c r="T12" s="7" t="n">
        <v>1184806.2</v>
      </c>
      <c r="V12" s="7" t="n">
        <v>1479334.6</v>
      </c>
      <c r="X12" s="7" t="n">
        <v>1004782.7</v>
      </c>
      <c r="Z12" s="7" t="n">
        <v>596657.3</v>
      </c>
      <c r="AB12" s="7" t="n">
        <v>12255357.5</v>
      </c>
    </row>
    <row r="13">
      <c r="A13" s="4" t="inlineStr">
        <is>
          <t>返利</t>
        </is>
      </c>
      <c r="D13" s="7" t="n">
        <v>-105355.1</v>
      </c>
      <c r="F13" s="7" t="n">
        <v>-133518.5</v>
      </c>
      <c r="H13" s="7" t="n">
        <v>-194320.3</v>
      </c>
      <c r="J13" s="7" t="n">
        <v>-118300.4</v>
      </c>
      <c r="L13" s="7" t="n">
        <v>-162588.9</v>
      </c>
      <c r="N13" s="7" t="n">
        <v>-248849.8</v>
      </c>
      <c r="P13" s="7" t="n">
        <v>-317476.8</v>
      </c>
      <c r="R13" s="7" t="n">
        <v>-121152.1</v>
      </c>
      <c r="T13" s="7" t="n">
        <v>-231089.5</v>
      </c>
      <c r="V13" s="7" t="n">
        <v>-313918</v>
      </c>
      <c r="X13" s="7" t="n">
        <v>-175578.2</v>
      </c>
      <c r="Z13" s="7" t="n">
        <v>-96086.10000000001</v>
      </c>
      <c r="AB13" s="7" t="n">
        <v>-2218233.7</v>
      </c>
    </row>
    <row r="14">
      <c r="A14" s="4" t="inlineStr">
        <is>
          <t>其他</t>
        </is>
      </c>
      <c r="D14" s="7" t="n">
        <v>67000.5</v>
      </c>
      <c r="F14" s="7" t="n">
        <v>65562.2</v>
      </c>
      <c r="H14" s="7" t="n">
        <v>155986.3</v>
      </c>
      <c r="J14" s="7" t="n">
        <v>80800.8</v>
      </c>
      <c r="L14" s="7" t="n">
        <v>36122.7</v>
      </c>
      <c r="N14" s="7" t="n">
        <v>31817</v>
      </c>
      <c r="P14" s="7" t="n">
        <v>233158.1</v>
      </c>
      <c r="R14" s="7" t="n">
        <v>67883.2</v>
      </c>
      <c r="T14" s="7" t="n">
        <v>115770.9</v>
      </c>
      <c r="V14" s="7" t="n">
        <v>105662.5</v>
      </c>
      <c r="X14" s="7" t="n">
        <v>135456.5</v>
      </c>
      <c r="Z14" s="7" t="n">
        <v>108561</v>
      </c>
      <c r="AB14" s="7" t="n">
        <v>1203781.7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6105039.6</v>
      </c>
      <c r="D15" s="7" t="n">
        <v>4264926.6</v>
      </c>
      <c r="E15" s="7" t="n">
        <v>7587085.2</v>
      </c>
      <c r="F15" s="7" t="n">
        <v>4171334.1</v>
      </c>
      <c r="G15" s="7" t="n">
        <v>6136221</v>
      </c>
      <c r="H15" s="7" t="n">
        <v>6353450.6</v>
      </c>
      <c r="I15" s="7" t="n">
        <v>7586347.3</v>
      </c>
      <c r="J15" s="7" t="n">
        <v>6934864.7</v>
      </c>
      <c r="K15" s="7" t="n">
        <v>6601630.9</v>
      </c>
      <c r="L15" s="7" t="n">
        <v>7622367.4</v>
      </c>
      <c r="M15" s="7" t="n">
        <v>7557346.9</v>
      </c>
      <c r="N15" s="7" t="n">
        <v>8687217.1</v>
      </c>
      <c r="O15" s="7" t="n">
        <v>7309416.3</v>
      </c>
      <c r="P15" s="7" t="n">
        <v>9305850.9</v>
      </c>
      <c r="Q15" s="7" t="n">
        <v>5881532.7</v>
      </c>
      <c r="R15" s="7" t="n">
        <v>7652779.5</v>
      </c>
      <c r="S15" s="7" t="n">
        <v>7358942.9</v>
      </c>
      <c r="T15" s="7" t="n">
        <v>7467415</v>
      </c>
      <c r="U15" s="7" t="n">
        <v>5974987.9</v>
      </c>
      <c r="V15" s="7" t="n">
        <v>9042267.1</v>
      </c>
      <c r="W15" s="7" t="n">
        <v>6667904.1</v>
      </c>
      <c r="X15" s="7" t="n">
        <v>6264513.8</v>
      </c>
      <c r="Y15" s="7" t="n">
        <v>7752964.2</v>
      </c>
      <c r="Z15" s="7" t="n">
        <v>4740450.8</v>
      </c>
      <c r="AA15" s="8" t="n">
        <v>82519419</v>
      </c>
      <c r="AB15" s="8" t="n">
        <v>82507437.59999999</v>
      </c>
    </row>
    <row r="16">
      <c r="A16" s="4" t="inlineStr">
        <is>
          <t>数控机床</t>
        </is>
      </c>
      <c r="D16" s="7" t="n">
        <v>455139.6</v>
      </c>
      <c r="F16" s="7" t="n">
        <v>388541.9</v>
      </c>
      <c r="H16" s="7" t="n">
        <v>537188.1</v>
      </c>
      <c r="J16" s="7" t="n">
        <v>694357.6</v>
      </c>
      <c r="L16" s="7" t="n">
        <v>593605.6</v>
      </c>
      <c r="N16" s="7" t="n">
        <v>696452.7</v>
      </c>
      <c r="P16" s="7" t="n">
        <v>967503.5</v>
      </c>
      <c r="R16" s="7" t="n">
        <v>842793</v>
      </c>
      <c r="T16" s="7" t="n">
        <v>605495.6</v>
      </c>
      <c r="V16" s="7" t="n">
        <v>941034.3</v>
      </c>
      <c r="X16" s="7" t="n">
        <v>651194.6</v>
      </c>
      <c r="Z16" s="7" t="n">
        <v>513577.2</v>
      </c>
      <c r="AB16" s="7" t="n">
        <v>7886883.7</v>
      </c>
    </row>
    <row r="17">
      <c r="A17" s="4" t="inlineStr">
        <is>
          <t>精密轴承</t>
        </is>
      </c>
      <c r="D17" s="7" t="n">
        <v>781215.4</v>
      </c>
      <c r="F17" s="7" t="n">
        <v>765870.4</v>
      </c>
      <c r="H17" s="7" t="n">
        <v>1266368.8</v>
      </c>
      <c r="J17" s="7" t="n">
        <v>1349455.2</v>
      </c>
      <c r="L17" s="7" t="n">
        <v>1455286.2</v>
      </c>
      <c r="N17" s="7" t="n">
        <v>1722457.6</v>
      </c>
      <c r="P17" s="7" t="n">
        <v>1836720.5</v>
      </c>
      <c r="R17" s="7" t="n">
        <v>1294562.6</v>
      </c>
      <c r="T17" s="7" t="n">
        <v>1146128.4</v>
      </c>
      <c r="V17" s="7" t="n">
        <v>1590685</v>
      </c>
      <c r="X17" s="7" t="n">
        <v>1028018</v>
      </c>
      <c r="Z17" s="7" t="n">
        <v>908994.6</v>
      </c>
      <c r="AB17" s="7" t="n">
        <v>15145762.7</v>
      </c>
    </row>
    <row r="18">
      <c r="A18" s="4" t="inlineStr">
        <is>
          <t>液压件</t>
        </is>
      </c>
      <c r="D18" s="7" t="n">
        <v>1194799.8</v>
      </c>
      <c r="F18" s="7" t="n">
        <v>1159767.9</v>
      </c>
      <c r="H18" s="7" t="n">
        <v>1581255</v>
      </c>
      <c r="J18" s="7" t="n">
        <v>1588680</v>
      </c>
      <c r="L18" s="7" t="n">
        <v>1973274.8</v>
      </c>
      <c r="N18" s="7" t="n">
        <v>2416785.4</v>
      </c>
      <c r="P18" s="7" t="n">
        <v>2180261.9</v>
      </c>
      <c r="R18" s="7" t="n">
        <v>2161176.4</v>
      </c>
      <c r="T18" s="7" t="n">
        <v>2030319.3</v>
      </c>
      <c r="V18" s="7" t="n">
        <v>2309933.4</v>
      </c>
      <c r="X18" s="7" t="n">
        <v>1456239.8</v>
      </c>
      <c r="Z18" s="7" t="n">
        <v>1368033.8</v>
      </c>
      <c r="AB18" s="7" t="n">
        <v>21420527.5</v>
      </c>
    </row>
    <row r="19">
      <c r="A19" s="4" t="inlineStr">
        <is>
          <t>气动元件</t>
        </is>
      </c>
      <c r="D19" s="7" t="n">
        <v>395750.2</v>
      </c>
      <c r="F19" s="7" t="n">
        <v>457151.1</v>
      </c>
      <c r="H19" s="7" t="n">
        <v>733513.1</v>
      </c>
      <c r="J19" s="7" t="n">
        <v>952102.9</v>
      </c>
      <c r="L19" s="7" t="n">
        <v>967039.8</v>
      </c>
      <c r="N19" s="7" t="n">
        <v>1064988</v>
      </c>
      <c r="P19" s="7" t="n">
        <v>1042871.9</v>
      </c>
      <c r="R19" s="7" t="n">
        <v>854497</v>
      </c>
      <c r="T19" s="7" t="n">
        <v>950866.8</v>
      </c>
      <c r="V19" s="7" t="n">
        <v>1000222.8</v>
      </c>
      <c r="X19" s="7" t="n">
        <v>784243.9</v>
      </c>
      <c r="Z19" s="7" t="n">
        <v>491472.6</v>
      </c>
      <c r="AB19" s="7" t="n">
        <v>9694720.1</v>
      </c>
    </row>
    <row r="20">
      <c r="A20" s="4" t="inlineStr">
        <is>
          <t>模具</t>
        </is>
      </c>
      <c r="D20" s="7" t="n">
        <v>676147.2</v>
      </c>
      <c r="F20" s="7" t="n">
        <v>758853.8</v>
      </c>
      <c r="H20" s="7" t="n">
        <v>1152195.7</v>
      </c>
      <c r="J20" s="7" t="n">
        <v>1197023.3</v>
      </c>
      <c r="L20" s="7" t="n">
        <v>1555615.4</v>
      </c>
      <c r="N20" s="7" t="n">
        <v>1538472.5</v>
      </c>
      <c r="P20" s="7" t="n">
        <v>1985801.7</v>
      </c>
      <c r="R20" s="7" t="n">
        <v>1508550.9</v>
      </c>
      <c r="T20" s="7" t="n">
        <v>1532637.3</v>
      </c>
      <c r="V20" s="7" t="n">
        <v>1595227.9</v>
      </c>
      <c r="X20" s="7" t="n">
        <v>1367498.1</v>
      </c>
      <c r="Z20" s="7" t="n">
        <v>757517.1</v>
      </c>
      <c r="AB20" s="7" t="n">
        <v>15625540.9</v>
      </c>
    </row>
    <row r="21">
      <c r="A21" s="4" t="inlineStr">
        <is>
          <t>工装夹具</t>
        </is>
      </c>
      <c r="D21" s="7" t="n">
        <v>500928.1</v>
      </c>
      <c r="F21" s="7" t="n">
        <v>486548.4</v>
      </c>
      <c r="H21" s="7" t="n">
        <v>734915.5</v>
      </c>
      <c r="J21" s="7" t="n">
        <v>893714</v>
      </c>
      <c r="L21" s="7" t="n">
        <v>833123.8</v>
      </c>
      <c r="N21" s="7" t="n">
        <v>743426.2</v>
      </c>
      <c r="P21" s="7" t="n">
        <v>916899.7</v>
      </c>
      <c r="R21" s="7" t="n">
        <v>698667.8</v>
      </c>
      <c r="T21" s="7" t="n">
        <v>861303.1</v>
      </c>
      <c r="V21" s="7" t="n">
        <v>1075412.6</v>
      </c>
      <c r="X21" s="7" t="n">
        <v>730433.8</v>
      </c>
      <c r="Z21" s="7" t="n">
        <v>433744.2</v>
      </c>
      <c r="AB21" s="7" t="n">
        <v>8909117.199999999</v>
      </c>
    </row>
    <row r="22">
      <c r="A22" s="4" t="inlineStr">
        <is>
          <t>其他</t>
        </is>
      </c>
      <c r="D22" s="7" t="n">
        <v>71949.60000000001</v>
      </c>
      <c r="F22" s="7" t="n">
        <v>32937.9</v>
      </c>
      <c r="H22" s="7" t="n">
        <v>114180.1</v>
      </c>
      <c r="J22" s="7" t="n">
        <v>61327.4</v>
      </c>
      <c r="L22" s="7" t="n">
        <v>31175.1</v>
      </c>
      <c r="N22" s="7" t="n">
        <v>22258.7</v>
      </c>
      <c r="P22" s="7" t="n">
        <v>151385.6</v>
      </c>
      <c r="R22" s="7" t="n">
        <v>69186.7</v>
      </c>
      <c r="T22" s="7" t="n">
        <v>25317.8</v>
      </c>
      <c r="V22" s="7" t="n">
        <v>27743.1</v>
      </c>
      <c r="X22" s="7" t="n">
        <v>67396.2</v>
      </c>
      <c r="Z22" s="7" t="n">
        <v>29353.9</v>
      </c>
      <c r="AB22" s="7" t="n">
        <v>704212.1</v>
      </c>
    </row>
    <row r="23">
      <c r="A23" s="4" t="inlineStr">
        <is>
          <t>运费</t>
        </is>
      </c>
      <c r="D23" s="7" t="n">
        <v>260946.3</v>
      </c>
      <c r="F23" s="7" t="n">
        <v>154600.6</v>
      </c>
      <c r="H23" s="7" t="n">
        <v>348014.4</v>
      </c>
      <c r="J23" s="7" t="n">
        <v>259531.7</v>
      </c>
      <c r="L23" s="7" t="n">
        <v>244421.8</v>
      </c>
      <c r="N23" s="7" t="n">
        <v>504634.7</v>
      </c>
      <c r="P23" s="7" t="n">
        <v>375791.7</v>
      </c>
      <c r="R23" s="7" t="n">
        <v>292531.8</v>
      </c>
      <c r="T23" s="7" t="n">
        <v>340664.5</v>
      </c>
      <c r="V23" s="7" t="n">
        <v>529751.1</v>
      </c>
      <c r="X23" s="7" t="n">
        <v>246885.6</v>
      </c>
      <c r="Z23" s="7" t="n">
        <v>267111.3</v>
      </c>
      <c r="AB23" s="7" t="n">
        <v>3824885.5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2933612</v>
      </c>
      <c r="D24" s="7" t="n">
        <v>1201637</v>
      </c>
      <c r="E24" s="7" t="n">
        <v>362915.1</v>
      </c>
      <c r="F24" s="7" t="n">
        <v>1295996.1</v>
      </c>
      <c r="G24" s="7" t="n">
        <v>2511628.7</v>
      </c>
      <c r="H24" s="7" t="n">
        <v>1905664.5</v>
      </c>
      <c r="I24" s="7" t="n">
        <v>1021671.4</v>
      </c>
      <c r="J24" s="7" t="n">
        <v>2299263</v>
      </c>
      <c r="K24" s="7" t="n">
        <v>2921994</v>
      </c>
      <c r="L24" s="7" t="n">
        <v>2453808.9</v>
      </c>
      <c r="M24" s="7" t="n">
        <v>2476238.1</v>
      </c>
      <c r="N24" s="7" t="n">
        <v>2385312</v>
      </c>
      <c r="O24" s="7" t="n">
        <v>1289075.3</v>
      </c>
      <c r="P24" s="7" t="n">
        <v>2972073.2</v>
      </c>
      <c r="Q24" s="7" t="n">
        <v>3706082.5</v>
      </c>
      <c r="R24" s="7" t="n">
        <v>2447970.8</v>
      </c>
      <c r="S24" s="7" t="n">
        <v>1126504.1</v>
      </c>
      <c r="T24" s="7" t="n">
        <v>2267845.5</v>
      </c>
      <c r="U24" s="7" t="n">
        <v>4296344.6</v>
      </c>
      <c r="V24" s="7" t="n">
        <v>2508592.8</v>
      </c>
      <c r="W24" s="7" t="n">
        <v>3245619.7</v>
      </c>
      <c r="X24" s="7" t="n">
        <v>2044890.9</v>
      </c>
      <c r="Y24" s="7" t="n">
        <v>1444359.3</v>
      </c>
      <c r="Z24" s="7" t="n">
        <v>1428779.9</v>
      </c>
      <c r="AA24" s="8" t="n">
        <v>27336044.8</v>
      </c>
      <c r="AB24" s="8" t="n">
        <v>25211834.6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32.5</v>
      </c>
      <c r="D25" s="13" t="n">
        <v>22</v>
      </c>
      <c r="E25" s="13" t="n">
        <v>4.6</v>
      </c>
      <c r="F25" s="13" t="n">
        <v>23.7</v>
      </c>
      <c r="G25" s="13" t="n">
        <v>29</v>
      </c>
      <c r="H25" s="13" t="n">
        <v>23.1</v>
      </c>
      <c r="I25" s="13" t="n">
        <v>11.9</v>
      </c>
      <c r="J25" s="13" t="n">
        <v>24.9</v>
      </c>
      <c r="K25" s="13" t="n">
        <v>30.7</v>
      </c>
      <c r="L25" s="13" t="n">
        <v>24.4</v>
      </c>
      <c r="M25" s="13" t="n">
        <v>24.7</v>
      </c>
      <c r="N25" s="13" t="n">
        <v>21.5</v>
      </c>
      <c r="O25" s="13" t="n">
        <v>15</v>
      </c>
      <c r="P25" s="13" t="n">
        <v>24.2</v>
      </c>
      <c r="Q25" s="13" t="n">
        <v>38.7</v>
      </c>
      <c r="R25" s="13" t="n">
        <v>24.2</v>
      </c>
      <c r="S25" s="13" t="n">
        <v>13.3</v>
      </c>
      <c r="T25" s="13" t="n">
        <v>23.3</v>
      </c>
      <c r="U25" s="13" t="n">
        <v>41.8</v>
      </c>
      <c r="V25" s="13" t="n">
        <v>21.7</v>
      </c>
      <c r="W25" s="13" t="n">
        <v>32.7</v>
      </c>
      <c r="X25" s="13" t="n">
        <v>24.6</v>
      </c>
      <c r="Y25" s="13" t="n">
        <v>15.7</v>
      </c>
      <c r="Z25" s="13" t="n">
        <v>23.2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88141.39999999999</v>
      </c>
      <c r="D26" s="7" t="n">
        <v>66753.3</v>
      </c>
      <c r="E26" s="7" t="n">
        <v>87323.10000000001</v>
      </c>
      <c r="F26" s="7" t="n">
        <v>70394.5</v>
      </c>
      <c r="G26" s="7" t="n">
        <v>102075.8</v>
      </c>
      <c r="H26" s="7" t="n">
        <v>41713.2</v>
      </c>
      <c r="I26" s="7" t="n">
        <v>101811.2</v>
      </c>
      <c r="J26" s="7" t="n">
        <v>54385.3</v>
      </c>
      <c r="K26" s="7" t="n">
        <v>98306.3</v>
      </c>
      <c r="L26" s="7" t="n">
        <v>102794.2</v>
      </c>
      <c r="M26" s="7" t="n">
        <v>86880.2</v>
      </c>
      <c r="N26" s="7" t="n">
        <v>160033.5</v>
      </c>
      <c r="O26" s="7" t="n">
        <v>89815.39999999999</v>
      </c>
      <c r="P26" s="7" t="n">
        <v>161679</v>
      </c>
      <c r="Q26" s="7" t="n">
        <v>78366.3</v>
      </c>
      <c r="R26" s="7" t="n">
        <v>68964.7</v>
      </c>
      <c r="S26" s="7" t="n">
        <v>86292</v>
      </c>
      <c r="T26" s="7" t="n">
        <v>115737.4</v>
      </c>
      <c r="U26" s="7" t="n">
        <v>92009.8</v>
      </c>
      <c r="V26" s="7" t="n">
        <v>140582.8</v>
      </c>
      <c r="W26" s="7" t="n">
        <v>95682.8</v>
      </c>
      <c r="X26" s="7" t="n">
        <v>61520.4</v>
      </c>
      <c r="Y26" s="7" t="n">
        <v>102477.6</v>
      </c>
      <c r="Z26" s="7" t="n">
        <v>39251.7</v>
      </c>
      <c r="AA26" s="8" t="n">
        <v>1109181.9</v>
      </c>
      <c r="AB26" s="8" t="n">
        <v>1083810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1256390.9</v>
      </c>
      <c r="D27" s="7" t="n">
        <v>487326</v>
      </c>
      <c r="E27" s="7" t="n">
        <v>1075000.6</v>
      </c>
      <c r="F27" s="7" t="n">
        <v>751408.5</v>
      </c>
      <c r="G27" s="7" t="n">
        <v>1282055.5</v>
      </c>
      <c r="H27" s="7" t="n">
        <v>1465765.4</v>
      </c>
      <c r="I27" s="7" t="n">
        <v>1273979</v>
      </c>
      <c r="J27" s="7" t="n">
        <v>1302398.4</v>
      </c>
      <c r="K27" s="7" t="n">
        <v>1013827.3</v>
      </c>
      <c r="L27" s="7" t="n">
        <v>1656362.7</v>
      </c>
      <c r="M27" s="7" t="n">
        <v>1195153.2</v>
      </c>
      <c r="N27" s="7" t="n">
        <v>1866727.2</v>
      </c>
      <c r="O27" s="7" t="n">
        <v>1065235.5</v>
      </c>
      <c r="P27" s="7" t="n">
        <v>1116317.8</v>
      </c>
      <c r="Q27" s="7" t="n">
        <v>1006658.2</v>
      </c>
      <c r="R27" s="7" t="n">
        <v>1632565.7</v>
      </c>
      <c r="S27" s="7" t="n">
        <v>1020022.9</v>
      </c>
      <c r="T27" s="7" t="n">
        <v>862713.1</v>
      </c>
      <c r="U27" s="7" t="n">
        <v>1146219.6</v>
      </c>
      <c r="V27" s="7" t="n">
        <v>1138833.7</v>
      </c>
      <c r="W27" s="7" t="n">
        <v>1105380.3</v>
      </c>
      <c r="X27" s="7" t="n">
        <v>731951.2</v>
      </c>
      <c r="Y27" s="7" t="n">
        <v>1000293.3</v>
      </c>
      <c r="Z27" s="7" t="n">
        <v>1036499.8</v>
      </c>
      <c r="AA27" s="8" t="n">
        <v>13440216.3</v>
      </c>
      <c r="AB27" s="8" t="n">
        <v>14048869.5</v>
      </c>
    </row>
    <row r="28">
      <c r="A28" s="4" t="inlineStr">
        <is>
          <t>职工薪酬</t>
        </is>
      </c>
      <c r="D28" s="7" t="n">
        <v>253331.7</v>
      </c>
      <c r="F28" s="7" t="n">
        <v>380951.2</v>
      </c>
      <c r="H28" s="7" t="n">
        <v>764274</v>
      </c>
      <c r="J28" s="7" t="n">
        <v>650010.1</v>
      </c>
      <c r="L28" s="7" t="n">
        <v>916659.5</v>
      </c>
      <c r="N28" s="7" t="n">
        <v>917316.4</v>
      </c>
      <c r="P28" s="7" t="n">
        <v>505957.5</v>
      </c>
      <c r="R28" s="7" t="n">
        <v>689747.2</v>
      </c>
      <c r="T28" s="7" t="n">
        <v>543480.9</v>
      </c>
      <c r="V28" s="7" t="n">
        <v>657792.7</v>
      </c>
      <c r="X28" s="7" t="n">
        <v>345836.1</v>
      </c>
      <c r="Z28" s="7" t="n">
        <v>542045.1</v>
      </c>
      <c r="AB28" s="7" t="n">
        <v>7167402.4</v>
      </c>
    </row>
    <row r="29">
      <c r="A29" s="4" t="inlineStr">
        <is>
          <t>工资</t>
        </is>
      </c>
      <c r="D29" s="7" t="n">
        <v>152117.7</v>
      </c>
      <c r="F29" s="7" t="n">
        <v>221138.4</v>
      </c>
      <c r="H29" s="7" t="n">
        <v>464292.4</v>
      </c>
      <c r="J29" s="7" t="n">
        <v>407852.8</v>
      </c>
      <c r="L29" s="7" t="n">
        <v>605792.8</v>
      </c>
      <c r="N29" s="7" t="n">
        <v>530491.2</v>
      </c>
      <c r="P29" s="7" t="n">
        <v>260851</v>
      </c>
      <c r="R29" s="7" t="n">
        <v>418388</v>
      </c>
      <c r="T29" s="7" t="n">
        <v>329710.8</v>
      </c>
      <c r="V29" s="7" t="n">
        <v>396175.6</v>
      </c>
      <c r="X29" s="7" t="n">
        <v>208178.3</v>
      </c>
      <c r="Z29" s="7" t="n">
        <v>354365.2</v>
      </c>
      <c r="AB29" s="7" t="n">
        <v>4349354.2</v>
      </c>
    </row>
    <row r="30">
      <c r="A30" s="4" t="inlineStr">
        <is>
          <t>奖金及提成</t>
        </is>
      </c>
      <c r="D30" s="7" t="n">
        <v>62163.4</v>
      </c>
      <c r="F30" s="7" t="n">
        <v>88352</v>
      </c>
      <c r="H30" s="7" t="n">
        <v>147866.7</v>
      </c>
      <c r="J30" s="7" t="n">
        <v>102205.8</v>
      </c>
      <c r="L30" s="7" t="n">
        <v>163065.8</v>
      </c>
      <c r="N30" s="7" t="n">
        <v>220808.5</v>
      </c>
      <c r="P30" s="7" t="n">
        <v>132458</v>
      </c>
      <c r="R30" s="7" t="n">
        <v>122374.8</v>
      </c>
      <c r="T30" s="7" t="n">
        <v>107064.2</v>
      </c>
      <c r="V30" s="7" t="n">
        <v>129281.7</v>
      </c>
      <c r="X30" s="7" t="n">
        <v>54342.5</v>
      </c>
      <c r="Z30" s="7" t="n">
        <v>88588.60000000001</v>
      </c>
      <c r="AB30" s="7" t="n">
        <v>1418572</v>
      </c>
    </row>
    <row r="31">
      <c r="A31" s="4" t="inlineStr">
        <is>
          <t>社保</t>
        </is>
      </c>
      <c r="D31" s="7" t="n">
        <v>28352.3</v>
      </c>
      <c r="F31" s="7" t="n">
        <v>54767.3</v>
      </c>
      <c r="H31" s="7" t="n">
        <v>121586.8</v>
      </c>
      <c r="J31" s="7" t="n">
        <v>111116.9</v>
      </c>
      <c r="L31" s="7" t="n">
        <v>110388.9</v>
      </c>
      <c r="N31" s="7" t="n">
        <v>120949.8</v>
      </c>
      <c r="P31" s="7" t="n">
        <v>87605.3</v>
      </c>
      <c r="R31" s="7" t="n">
        <v>114679.5</v>
      </c>
      <c r="T31" s="7" t="n">
        <v>88513.8</v>
      </c>
      <c r="V31" s="7" t="n">
        <v>106613.3</v>
      </c>
      <c r="X31" s="7" t="n">
        <v>66579.60000000001</v>
      </c>
      <c r="Z31" s="7" t="n">
        <v>79827.89999999999</v>
      </c>
      <c r="AB31" s="7" t="n">
        <v>1090981.4</v>
      </c>
    </row>
    <row r="32">
      <c r="A32" s="4" t="inlineStr">
        <is>
          <t>养老</t>
        </is>
      </c>
      <c r="D32" s="7" t="n">
        <v>2057.7</v>
      </c>
      <c r="F32" s="7" t="n">
        <v>2182.2</v>
      </c>
      <c r="H32" s="7" t="n">
        <v>6158.9</v>
      </c>
      <c r="J32" s="7" t="n">
        <v>3539.2</v>
      </c>
      <c r="L32" s="7" t="n">
        <v>5793.8</v>
      </c>
      <c r="N32" s="7" t="n">
        <v>6051.2</v>
      </c>
      <c r="P32" s="7" t="n">
        <v>3313.4</v>
      </c>
      <c r="R32" s="7" t="n">
        <v>5763.5</v>
      </c>
      <c r="T32" s="7" t="n">
        <v>2144.3</v>
      </c>
      <c r="V32" s="7" t="n">
        <v>3747.2</v>
      </c>
      <c r="X32" s="7" t="n">
        <v>2053</v>
      </c>
      <c r="Z32" s="7" t="n">
        <v>3664.1</v>
      </c>
      <c r="AB32" s="7" t="n">
        <v>46468.5</v>
      </c>
    </row>
    <row r="33">
      <c r="A33" s="4" t="inlineStr">
        <is>
          <t>医疗</t>
        </is>
      </c>
      <c r="D33" s="7" t="n">
        <v>4104.8</v>
      </c>
      <c r="F33" s="7" t="n">
        <v>6020.7</v>
      </c>
      <c r="H33" s="7" t="n">
        <v>11972.6</v>
      </c>
      <c r="J33" s="7" t="n">
        <v>8469.700000000001</v>
      </c>
      <c r="L33" s="7" t="n">
        <v>11054</v>
      </c>
      <c r="N33" s="7" t="n">
        <v>15514.6</v>
      </c>
      <c r="P33" s="7" t="n">
        <v>6453.4</v>
      </c>
      <c r="R33" s="7" t="n">
        <v>8865.299999999999</v>
      </c>
      <c r="T33" s="7" t="n">
        <v>7013.8</v>
      </c>
      <c r="V33" s="7" t="n">
        <v>8711.6</v>
      </c>
      <c r="X33" s="7" t="n">
        <v>5122.7</v>
      </c>
      <c r="Z33" s="7" t="n">
        <v>8138.8</v>
      </c>
      <c r="AB33" s="7" t="n">
        <v>101442</v>
      </c>
    </row>
    <row r="34">
      <c r="A34" s="4" t="inlineStr">
        <is>
          <t>工伤</t>
        </is>
      </c>
      <c r="D34" s="7" t="n">
        <v>1015.3</v>
      </c>
      <c r="F34" s="7" t="n">
        <v>1456.9</v>
      </c>
      <c r="H34" s="7" t="n">
        <v>3512.7</v>
      </c>
      <c r="J34" s="7" t="n">
        <v>3353.1</v>
      </c>
      <c r="L34" s="7" t="n">
        <v>4261.3</v>
      </c>
      <c r="N34" s="7" t="n">
        <v>4302.8</v>
      </c>
      <c r="P34" s="7" t="n">
        <v>2169.2</v>
      </c>
      <c r="R34" s="7" t="n">
        <v>3980.5</v>
      </c>
      <c r="T34" s="7" t="n">
        <v>2461.3</v>
      </c>
      <c r="V34" s="7" t="n">
        <v>2762.7</v>
      </c>
      <c r="X34" s="7" t="n">
        <v>1789.4</v>
      </c>
      <c r="Z34" s="7" t="n">
        <v>2588.4</v>
      </c>
      <c r="AB34" s="7" t="n">
        <v>33653.6</v>
      </c>
    </row>
    <row r="35">
      <c r="A35" s="4" t="inlineStr">
        <is>
          <t>失业</t>
        </is>
      </c>
      <c r="D35" s="7" t="n">
        <v>533</v>
      </c>
      <c r="F35" s="7" t="n">
        <v>1212.7</v>
      </c>
      <c r="H35" s="7" t="n">
        <v>2091.6</v>
      </c>
      <c r="J35" s="7" t="n">
        <v>1802.3</v>
      </c>
      <c r="L35" s="7" t="n">
        <v>2013.6</v>
      </c>
      <c r="N35" s="7" t="n">
        <v>2923.4</v>
      </c>
      <c r="P35" s="7" t="n">
        <v>1152.4</v>
      </c>
      <c r="R35" s="7" t="n">
        <v>2196.4</v>
      </c>
      <c r="T35" s="7" t="n">
        <v>1305</v>
      </c>
      <c r="V35" s="7" t="n">
        <v>1751.1</v>
      </c>
      <c r="X35" s="7" t="n">
        <v>1087.2</v>
      </c>
      <c r="Z35" s="7" t="n">
        <v>1484.1</v>
      </c>
      <c r="AB35" s="7" t="n">
        <v>19552.8</v>
      </c>
    </row>
    <row r="36">
      <c r="A36" s="4" t="inlineStr">
        <is>
          <t>生育</t>
        </is>
      </c>
      <c r="D36" s="7" t="n">
        <v>2159.8</v>
      </c>
      <c r="F36" s="7" t="n">
        <v>3287</v>
      </c>
      <c r="H36" s="7" t="n">
        <v>6498.1</v>
      </c>
      <c r="J36" s="7" t="n">
        <v>8867.700000000001</v>
      </c>
      <c r="L36" s="7" t="n">
        <v>12219.7</v>
      </c>
      <c r="N36" s="7" t="n">
        <v>8240.6</v>
      </c>
      <c r="P36" s="7" t="n">
        <v>8410.9</v>
      </c>
      <c r="R36" s="7" t="n">
        <v>6774.7</v>
      </c>
      <c r="T36" s="7" t="n">
        <v>4514.2</v>
      </c>
      <c r="V36" s="7" t="n">
        <v>5825.2</v>
      </c>
      <c r="X36" s="7" t="n">
        <v>5402.5</v>
      </c>
      <c r="Z36" s="7" t="n">
        <v>6705.7</v>
      </c>
      <c r="AB36" s="7" t="n">
        <v>78906.10000000001</v>
      </c>
    </row>
    <row r="37">
      <c r="A37" s="4" t="inlineStr">
        <is>
          <t>公积金</t>
        </is>
      </c>
      <c r="D37" s="7" t="n">
        <v>193.5</v>
      </c>
      <c r="F37" s="7" t="n">
        <v>213</v>
      </c>
      <c r="H37" s="7" t="n">
        <v>370.6</v>
      </c>
      <c r="J37" s="7" t="n">
        <v>521.1</v>
      </c>
      <c r="L37" s="7" t="n">
        <v>540.9</v>
      </c>
      <c r="N37" s="7" t="n">
        <v>555.3</v>
      </c>
      <c r="P37" s="7" t="n">
        <v>470.5</v>
      </c>
      <c r="R37" s="7" t="n">
        <v>727.8</v>
      </c>
      <c r="T37" s="7" t="n">
        <v>341.8</v>
      </c>
      <c r="V37" s="7" t="n">
        <v>302.3</v>
      </c>
      <c r="X37" s="7" t="n">
        <v>208.9</v>
      </c>
      <c r="Z37" s="7" t="n">
        <v>257</v>
      </c>
      <c r="AB37" s="7" t="n">
        <v>4702.7</v>
      </c>
    </row>
    <row r="38">
      <c r="A38" s="4" t="inlineStr">
        <is>
          <t>工会经费</t>
        </is>
      </c>
      <c r="D38" s="7" t="n">
        <v>206.4</v>
      </c>
      <c r="F38" s="7" t="n">
        <v>392.2</v>
      </c>
      <c r="H38" s="7" t="n">
        <v>706</v>
      </c>
      <c r="J38" s="7" t="n">
        <v>830.8</v>
      </c>
      <c r="L38" s="7" t="n">
        <v>933.7</v>
      </c>
      <c r="N38" s="7" t="n">
        <v>1238.1</v>
      </c>
      <c r="P38" s="7" t="n">
        <v>445.3</v>
      </c>
      <c r="R38" s="7" t="n">
        <v>703.6</v>
      </c>
      <c r="T38" s="7" t="n">
        <v>444.7</v>
      </c>
      <c r="V38" s="7" t="n">
        <v>733.3</v>
      </c>
      <c r="X38" s="7" t="n">
        <v>496.7</v>
      </c>
      <c r="Z38" s="7" t="n">
        <v>420</v>
      </c>
      <c r="AB38" s="7" t="n">
        <v>7550.8</v>
      </c>
    </row>
    <row r="39">
      <c r="A39" s="4" t="inlineStr">
        <is>
          <t>职工教育经费</t>
        </is>
      </c>
      <c r="D39" s="7" t="n">
        <v>294</v>
      </c>
      <c r="F39" s="7" t="n">
        <v>618.9</v>
      </c>
      <c r="H39" s="7" t="n">
        <v>864</v>
      </c>
      <c r="J39" s="7" t="n">
        <v>1163.2</v>
      </c>
      <c r="L39" s="7" t="n">
        <v>1543.1</v>
      </c>
      <c r="N39" s="7" t="n">
        <v>1484.7</v>
      </c>
      <c r="P39" s="7" t="n">
        <v>903.4</v>
      </c>
      <c r="R39" s="7" t="n">
        <v>1016.9</v>
      </c>
      <c r="T39" s="7" t="n">
        <v>678.3</v>
      </c>
      <c r="V39" s="7" t="n">
        <v>887.4</v>
      </c>
      <c r="X39" s="7" t="n">
        <v>383.1</v>
      </c>
      <c r="Z39" s="7" t="n">
        <v>656</v>
      </c>
      <c r="AB39" s="7" t="n">
        <v>10493</v>
      </c>
    </row>
    <row r="40">
      <c r="A40" s="4" t="inlineStr">
        <is>
          <t>福利费</t>
        </is>
      </c>
      <c r="D40" s="7" t="n">
        <v>10004.4</v>
      </c>
      <c r="F40" s="7" t="n">
        <v>15469.4</v>
      </c>
      <c r="H40" s="7" t="n">
        <v>28587.5</v>
      </c>
      <c r="J40" s="7" t="n">
        <v>26319.5</v>
      </c>
      <c r="L40" s="7" t="n">
        <v>34394.3</v>
      </c>
      <c r="N40" s="7" t="n">
        <v>41788.8</v>
      </c>
      <c r="P40" s="7" t="n">
        <v>23224</v>
      </c>
      <c r="R40" s="7" t="n">
        <v>31856.6</v>
      </c>
      <c r="T40" s="7" t="n">
        <v>16727.3</v>
      </c>
      <c r="V40" s="7" t="n">
        <v>23799.1</v>
      </c>
      <c r="X40" s="7" t="n">
        <v>15647</v>
      </c>
      <c r="Z40" s="7" t="n">
        <v>17930.4</v>
      </c>
      <c r="AB40" s="7" t="n">
        <v>285748.3</v>
      </c>
    </row>
    <row r="41">
      <c r="A41" s="4" t="inlineStr">
        <is>
          <t>职工房租</t>
        </is>
      </c>
      <c r="D41" s="7" t="n">
        <v>847.9</v>
      </c>
      <c r="F41" s="7" t="n">
        <v>840.2</v>
      </c>
      <c r="H41" s="7" t="n">
        <v>1564.4</v>
      </c>
      <c r="J41" s="7" t="n">
        <v>1842.6</v>
      </c>
      <c r="L41" s="7" t="n">
        <v>3192</v>
      </c>
      <c r="N41" s="7" t="n">
        <v>3029.4</v>
      </c>
      <c r="P41" s="7" t="n">
        <v>2163.9</v>
      </c>
      <c r="R41" s="7" t="n">
        <v>2872.8</v>
      </c>
      <c r="T41" s="7" t="n">
        <v>922.7</v>
      </c>
      <c r="V41" s="7" t="n">
        <v>1918.4</v>
      </c>
      <c r="X41" s="7" t="n">
        <v>1159.3</v>
      </c>
      <c r="Z41" s="7" t="n">
        <v>1099.9</v>
      </c>
      <c r="AB41" s="7" t="n">
        <v>21453.5</v>
      </c>
    </row>
    <row r="42">
      <c r="A42" s="4" t="inlineStr">
        <is>
          <t>水电物业费</t>
        </is>
      </c>
      <c r="D42" s="7" t="n">
        <v>1404.9</v>
      </c>
      <c r="F42" s="7" t="n">
        <v>2105.1</v>
      </c>
      <c r="H42" s="7" t="n">
        <v>3203.1</v>
      </c>
      <c r="J42" s="7" t="n">
        <v>2985.4</v>
      </c>
      <c r="L42" s="7" t="n">
        <v>4233</v>
      </c>
      <c r="N42" s="7" t="n">
        <v>4928.1</v>
      </c>
      <c r="P42" s="7" t="n">
        <v>1882.8</v>
      </c>
      <c r="R42" s="7" t="n">
        <v>3823.3</v>
      </c>
      <c r="T42" s="7" t="n">
        <v>2119.8</v>
      </c>
      <c r="V42" s="7" t="n">
        <v>3239.8</v>
      </c>
      <c r="X42" s="7" t="n">
        <v>2128</v>
      </c>
      <c r="Z42" s="7" t="n">
        <v>3063.2</v>
      </c>
      <c r="AB42" s="7" t="n">
        <v>35116.5</v>
      </c>
    </row>
    <row r="43">
      <c r="A43" s="4" t="inlineStr">
        <is>
          <t>员工餐</t>
        </is>
      </c>
      <c r="D43" s="7" t="n">
        <v>1150.8</v>
      </c>
      <c r="F43" s="7" t="n">
        <v>2049.8</v>
      </c>
      <c r="H43" s="7" t="n">
        <v>4130.5</v>
      </c>
      <c r="J43" s="7" t="n">
        <v>2633.4</v>
      </c>
      <c r="L43" s="7" t="n">
        <v>4228.8</v>
      </c>
      <c r="N43" s="7" t="n">
        <v>3488.7</v>
      </c>
      <c r="P43" s="7" t="n">
        <v>2278.8</v>
      </c>
      <c r="R43" s="7" t="n">
        <v>3750.8</v>
      </c>
      <c r="T43" s="7" t="n">
        <v>1501.3</v>
      </c>
      <c r="V43" s="7" t="n">
        <v>2306</v>
      </c>
      <c r="X43" s="7" t="n">
        <v>1200.1</v>
      </c>
      <c r="Z43" s="7" t="n">
        <v>1683.9</v>
      </c>
      <c r="AB43" s="7" t="n">
        <v>30402.9</v>
      </c>
    </row>
    <row r="44">
      <c r="A44" s="4" t="inlineStr">
        <is>
          <t>节日礼品</t>
        </is>
      </c>
      <c r="D44" s="7" t="n">
        <v>3208</v>
      </c>
      <c r="F44" s="7" t="n">
        <v>4969.8</v>
      </c>
      <c r="H44" s="7" t="n">
        <v>10064.2</v>
      </c>
      <c r="J44" s="7" t="n">
        <v>7726</v>
      </c>
      <c r="L44" s="7" t="n">
        <v>10018.5</v>
      </c>
      <c r="N44" s="7" t="n">
        <v>14727.6</v>
      </c>
      <c r="P44" s="7" t="n">
        <v>8427.299999999999</v>
      </c>
      <c r="R44" s="7" t="n">
        <v>7586.1</v>
      </c>
      <c r="T44" s="7" t="n">
        <v>5605</v>
      </c>
      <c r="V44" s="7" t="n">
        <v>8134.7</v>
      </c>
      <c r="X44" s="7" t="n">
        <v>4563.3</v>
      </c>
      <c r="Z44" s="7" t="n">
        <v>4758.5</v>
      </c>
      <c r="AB44" s="7" t="n">
        <v>89789</v>
      </c>
    </row>
    <row r="45">
      <c r="A45" s="4" t="inlineStr">
        <is>
          <t>生日礼品</t>
        </is>
      </c>
      <c r="D45" s="7" t="n">
        <v>1877.9</v>
      </c>
      <c r="F45" s="7" t="n">
        <v>3383.5</v>
      </c>
      <c r="H45" s="7" t="n">
        <v>5750.1</v>
      </c>
      <c r="J45" s="7" t="n">
        <v>6581.6</v>
      </c>
      <c r="L45" s="7" t="n">
        <v>8535.5</v>
      </c>
      <c r="N45" s="7" t="n">
        <v>10844.2</v>
      </c>
      <c r="P45" s="7" t="n">
        <v>5586.3</v>
      </c>
      <c r="R45" s="7" t="n">
        <v>7759</v>
      </c>
      <c r="T45" s="7" t="n">
        <v>3436.1</v>
      </c>
      <c r="V45" s="7" t="n">
        <v>5446</v>
      </c>
      <c r="X45" s="7" t="n">
        <v>4265.6</v>
      </c>
      <c r="Z45" s="7" t="n">
        <v>4372.2</v>
      </c>
      <c r="AB45" s="7" t="n">
        <v>67838</v>
      </c>
    </row>
    <row r="46">
      <c r="A46" s="4" t="inlineStr">
        <is>
          <t>体检</t>
        </is>
      </c>
      <c r="D46" s="7" t="n">
        <v>504.6</v>
      </c>
      <c r="F46" s="7" t="n">
        <v>1102.6</v>
      </c>
      <c r="H46" s="7" t="n">
        <v>2003.2</v>
      </c>
      <c r="J46" s="7" t="n">
        <v>2323.2</v>
      </c>
      <c r="L46" s="7" t="n">
        <v>1941.4</v>
      </c>
      <c r="N46" s="7" t="n">
        <v>2470.4</v>
      </c>
      <c r="P46" s="7" t="n">
        <v>1368.5</v>
      </c>
      <c r="R46" s="7" t="n">
        <v>2601.1</v>
      </c>
      <c r="T46" s="7" t="n">
        <v>1523.9</v>
      </c>
      <c r="V46" s="7" t="n">
        <v>1249.8</v>
      </c>
      <c r="X46" s="7" t="n">
        <v>893.8</v>
      </c>
      <c r="Z46" s="7" t="n">
        <v>1418.9</v>
      </c>
      <c r="AB46" s="7" t="n">
        <v>19401.4</v>
      </c>
    </row>
    <row r="47">
      <c r="A47" s="4" t="inlineStr">
        <is>
          <t>其他福利支出</t>
        </is>
      </c>
      <c r="D47" s="7" t="n">
        <v>1010.3</v>
      </c>
      <c r="F47" s="7" t="n">
        <v>1018.4</v>
      </c>
      <c r="H47" s="7" t="n">
        <v>1872</v>
      </c>
      <c r="J47" s="7" t="n">
        <v>2227.3</v>
      </c>
      <c r="L47" s="7" t="n">
        <v>2245.1</v>
      </c>
      <c r="N47" s="7" t="n">
        <v>2300.4</v>
      </c>
      <c r="P47" s="7" t="n">
        <v>1516.4</v>
      </c>
      <c r="R47" s="7" t="n">
        <v>3463.5</v>
      </c>
      <c r="T47" s="7" t="n">
        <v>1618.5</v>
      </c>
      <c r="V47" s="7" t="n">
        <v>1504.4</v>
      </c>
      <c r="X47" s="7" t="n">
        <v>1436.9</v>
      </c>
      <c r="Z47" s="7" t="n">
        <v>1533.8</v>
      </c>
      <c r="AB47" s="7" t="n">
        <v>21747</v>
      </c>
    </row>
    <row r="48">
      <c r="A48" s="4" t="inlineStr">
        <is>
          <t>招聘费</t>
        </is>
      </c>
      <c r="D48" s="7" t="n">
        <v>2029.3</v>
      </c>
      <c r="F48" s="7" t="n">
        <v>4818.1</v>
      </c>
      <c r="H48" s="7" t="n">
        <v>5917</v>
      </c>
      <c r="J48" s="7" t="n">
        <v>5292.2</v>
      </c>
      <c r="L48" s="7" t="n">
        <v>11501.1</v>
      </c>
      <c r="N48" s="7" t="n">
        <v>9986.4</v>
      </c>
      <c r="P48" s="7" t="n">
        <v>6930.7</v>
      </c>
      <c r="R48" s="7" t="n">
        <v>8373.1</v>
      </c>
      <c r="T48" s="7" t="n">
        <v>3406.1</v>
      </c>
      <c r="V48" s="7" t="n">
        <v>7406.2</v>
      </c>
      <c r="X48" s="7" t="n">
        <v>4209.7</v>
      </c>
      <c r="Z48" s="7" t="n">
        <v>7261.6</v>
      </c>
      <c r="AB48" s="7" t="n">
        <v>77131.5</v>
      </c>
    </row>
    <row r="49">
      <c r="A49" s="4" t="inlineStr">
        <is>
          <t>办公费</t>
        </is>
      </c>
      <c r="D49" s="7" t="n">
        <v>14711.3</v>
      </c>
      <c r="F49" s="7" t="n">
        <v>19065.9</v>
      </c>
      <c r="H49" s="7" t="n">
        <v>34777.3</v>
      </c>
      <c r="J49" s="7" t="n">
        <v>48516.1</v>
      </c>
      <c r="L49" s="7" t="n">
        <v>37418.8</v>
      </c>
      <c r="N49" s="7" t="n">
        <v>52392.5</v>
      </c>
      <c r="P49" s="7" t="n">
        <v>27862.2</v>
      </c>
      <c r="R49" s="7" t="n">
        <v>38282.8</v>
      </c>
      <c r="T49" s="7" t="n">
        <v>32520.3</v>
      </c>
      <c r="V49" s="7" t="n">
        <v>29687.8</v>
      </c>
      <c r="X49" s="7" t="n">
        <v>24308.2</v>
      </c>
      <c r="Z49" s="7" t="n">
        <v>39634.1</v>
      </c>
      <c r="AB49" s="7" t="n">
        <v>399177.3</v>
      </c>
    </row>
    <row r="50">
      <c r="A50" s="4" t="inlineStr">
        <is>
          <t>市内交通费</t>
        </is>
      </c>
      <c r="D50" s="7" t="n">
        <v>2874.3</v>
      </c>
      <c r="F50" s="7" t="n">
        <v>5244.6</v>
      </c>
      <c r="H50" s="7" t="n">
        <v>11518.4</v>
      </c>
      <c r="J50" s="7" t="n">
        <v>8154.5</v>
      </c>
      <c r="L50" s="7" t="n">
        <v>12931.9</v>
      </c>
      <c r="N50" s="7" t="n">
        <v>10973.4</v>
      </c>
      <c r="P50" s="7" t="n">
        <v>8209.299999999999</v>
      </c>
      <c r="R50" s="7" t="n">
        <v>12026.4</v>
      </c>
      <c r="T50" s="7" t="n">
        <v>3932.2</v>
      </c>
      <c r="V50" s="7" t="n">
        <v>7283.3</v>
      </c>
      <c r="X50" s="7" t="n">
        <v>4681.6</v>
      </c>
      <c r="Z50" s="7" t="n">
        <v>5988.9</v>
      </c>
      <c r="AB50" s="7" t="n">
        <v>93818.8</v>
      </c>
    </row>
    <row r="51">
      <c r="A51" s="4" t="inlineStr">
        <is>
          <t>差旅费</t>
        </is>
      </c>
      <c r="D51" s="7" t="n">
        <v>23406</v>
      </c>
      <c r="F51" s="7" t="n">
        <v>32815</v>
      </c>
      <c r="H51" s="7" t="n">
        <v>111862.9</v>
      </c>
      <c r="J51" s="7" t="n">
        <v>65966.10000000001</v>
      </c>
      <c r="L51" s="7" t="n">
        <v>109580.5</v>
      </c>
      <c r="N51" s="7" t="n">
        <v>137695.4</v>
      </c>
      <c r="P51" s="7" t="n">
        <v>78928.39999999999</v>
      </c>
      <c r="R51" s="7" t="n">
        <v>120566.3</v>
      </c>
      <c r="T51" s="7" t="n">
        <v>40627.5</v>
      </c>
      <c r="V51" s="7" t="n">
        <v>63002.1</v>
      </c>
      <c r="X51" s="7" t="n">
        <v>44461.5</v>
      </c>
      <c r="Z51" s="7" t="n">
        <v>46433.7</v>
      </c>
      <c r="AB51" s="7" t="n">
        <v>875345.4</v>
      </c>
    </row>
    <row r="52">
      <c r="A52" s="4" t="inlineStr">
        <is>
          <t>交通费</t>
        </is>
      </c>
      <c r="D52" s="7" t="n">
        <v>1443.7</v>
      </c>
      <c r="F52" s="7" t="n">
        <v>1627</v>
      </c>
      <c r="H52" s="7" t="n">
        <v>4695.3</v>
      </c>
      <c r="J52" s="7" t="n">
        <v>2764.2</v>
      </c>
      <c r="L52" s="7" t="n">
        <v>4851.5</v>
      </c>
      <c r="N52" s="7" t="n">
        <v>4266.4</v>
      </c>
      <c r="P52" s="7" t="n">
        <v>3065.5</v>
      </c>
      <c r="R52" s="7" t="n">
        <v>3942.7</v>
      </c>
      <c r="T52" s="7" t="n">
        <v>2948.3</v>
      </c>
      <c r="V52" s="7" t="n">
        <v>3554.7</v>
      </c>
      <c r="X52" s="7" t="n">
        <v>1792.7</v>
      </c>
      <c r="Z52" s="7" t="n">
        <v>3010.6</v>
      </c>
      <c r="AB52" s="7" t="n">
        <v>37962.6</v>
      </c>
    </row>
    <row r="53">
      <c r="A53" s="4" t="inlineStr">
        <is>
          <t>住宿费</t>
        </is>
      </c>
      <c r="D53" s="7" t="n">
        <v>2323.4</v>
      </c>
      <c r="F53" s="7" t="n">
        <v>5553.3</v>
      </c>
      <c r="H53" s="7" t="n">
        <v>10447.9</v>
      </c>
      <c r="J53" s="7" t="n">
        <v>6562.3</v>
      </c>
      <c r="L53" s="7" t="n">
        <v>9479.200000000001</v>
      </c>
      <c r="N53" s="7" t="n">
        <v>14605.6</v>
      </c>
      <c r="P53" s="7" t="n">
        <v>8209.799999999999</v>
      </c>
      <c r="R53" s="7" t="n">
        <v>10386.5</v>
      </c>
      <c r="T53" s="7" t="n">
        <v>6748.3</v>
      </c>
      <c r="V53" s="7" t="n">
        <v>8105.7</v>
      </c>
      <c r="X53" s="7" t="n">
        <v>5109.3</v>
      </c>
      <c r="Z53" s="7" t="n">
        <v>6763.3</v>
      </c>
      <c r="AB53" s="7" t="n">
        <v>94294.60000000001</v>
      </c>
    </row>
    <row r="54">
      <c r="A54" s="4" t="inlineStr">
        <is>
          <t>餐补</t>
        </is>
      </c>
      <c r="D54" s="7" t="n">
        <v>1612.9</v>
      </c>
      <c r="F54" s="7" t="n">
        <v>2141.1</v>
      </c>
      <c r="H54" s="7" t="n">
        <v>3447.1</v>
      </c>
      <c r="J54" s="7" t="n">
        <v>3418.5</v>
      </c>
      <c r="L54" s="7" t="n">
        <v>4853</v>
      </c>
      <c r="N54" s="7" t="n">
        <v>3976.3</v>
      </c>
      <c r="P54" s="7" t="n">
        <v>3343.7</v>
      </c>
      <c r="R54" s="7" t="n">
        <v>4122.2</v>
      </c>
      <c r="T54" s="7" t="n">
        <v>2821.2</v>
      </c>
      <c r="V54" s="7" t="n">
        <v>3608.8</v>
      </c>
      <c r="X54" s="7" t="n">
        <v>2044.9</v>
      </c>
      <c r="Z54" s="7" t="n">
        <v>3308.8</v>
      </c>
      <c r="AB54" s="7" t="n">
        <v>38698.5</v>
      </c>
    </row>
    <row r="55">
      <c r="A55" s="4" t="inlineStr">
        <is>
          <t>交通补助</t>
        </is>
      </c>
      <c r="D55" s="7" t="n">
        <v>311.1</v>
      </c>
      <c r="F55" s="7" t="n">
        <v>337.3</v>
      </c>
      <c r="H55" s="7" t="n">
        <v>661.1</v>
      </c>
      <c r="J55" s="7" t="n">
        <v>1042.1</v>
      </c>
      <c r="L55" s="7" t="n">
        <v>924.7</v>
      </c>
      <c r="N55" s="7" t="n">
        <v>970.6</v>
      </c>
      <c r="P55" s="7" t="n">
        <v>704</v>
      </c>
      <c r="R55" s="7" t="n">
        <v>1194.9</v>
      </c>
      <c r="T55" s="7" t="n">
        <v>566.1</v>
      </c>
      <c r="V55" s="7" t="n">
        <v>583.5</v>
      </c>
      <c r="X55" s="7" t="n">
        <v>465</v>
      </c>
      <c r="Z55" s="7" t="n">
        <v>592.4</v>
      </c>
      <c r="AB55" s="7" t="n">
        <v>8352.799999999999</v>
      </c>
    </row>
    <row r="56">
      <c r="A56" s="4" t="inlineStr">
        <is>
          <t>通讯补助</t>
        </is>
      </c>
      <c r="D56" s="7" t="n">
        <v>3027.6</v>
      </c>
      <c r="F56" s="7" t="n">
        <v>4872.7</v>
      </c>
      <c r="H56" s="7" t="n">
        <v>11230</v>
      </c>
      <c r="J56" s="7" t="n">
        <v>9517.1</v>
      </c>
      <c r="L56" s="7" t="n">
        <v>8862.700000000001</v>
      </c>
      <c r="N56" s="7" t="n">
        <v>14732.8</v>
      </c>
      <c r="P56" s="7" t="n">
        <v>6117.5</v>
      </c>
      <c r="R56" s="7" t="n">
        <v>7387.1</v>
      </c>
      <c r="T56" s="7" t="n">
        <v>4039.8</v>
      </c>
      <c r="V56" s="7" t="n">
        <v>7097.9</v>
      </c>
      <c r="X56" s="7" t="n">
        <v>3623.3</v>
      </c>
      <c r="Z56" s="7" t="n">
        <v>7383</v>
      </c>
      <c r="AB56" s="7" t="n">
        <v>87891.5</v>
      </c>
    </row>
    <row r="57">
      <c r="A57" s="4" t="inlineStr">
        <is>
          <t>招待费</t>
        </is>
      </c>
      <c r="D57" s="7" t="n">
        <v>15545.9</v>
      </c>
      <c r="F57" s="7" t="n">
        <v>22012.8</v>
      </c>
      <c r="H57" s="7" t="n">
        <v>60431.7</v>
      </c>
      <c r="J57" s="7" t="n">
        <v>55691.9</v>
      </c>
      <c r="L57" s="7" t="n">
        <v>67711.60000000001</v>
      </c>
      <c r="N57" s="7" t="n">
        <v>80281.5</v>
      </c>
      <c r="P57" s="7" t="n">
        <v>53726.6</v>
      </c>
      <c r="R57" s="7" t="n">
        <v>54670.3</v>
      </c>
      <c r="T57" s="7" t="n">
        <v>37872.8</v>
      </c>
      <c r="V57" s="7" t="n">
        <v>36137.1</v>
      </c>
      <c r="X57" s="7" t="n">
        <v>24920.8</v>
      </c>
      <c r="Z57" s="7" t="n">
        <v>35923.2</v>
      </c>
      <c r="AB57" s="7" t="n">
        <v>544926.2</v>
      </c>
    </row>
    <row r="58">
      <c r="A58" s="4" t="inlineStr">
        <is>
          <t>通讯费</t>
        </is>
      </c>
      <c r="D58" s="7" t="n">
        <v>1350.4</v>
      </c>
      <c r="F58" s="7" t="n">
        <v>1985.2</v>
      </c>
      <c r="H58" s="7" t="n">
        <v>3648.5</v>
      </c>
      <c r="J58" s="7" t="n">
        <v>4784</v>
      </c>
      <c r="L58" s="7" t="n">
        <v>5371.6</v>
      </c>
      <c r="N58" s="7" t="n">
        <v>4567.9</v>
      </c>
      <c r="P58" s="7" t="n">
        <v>3398.8</v>
      </c>
      <c r="R58" s="7" t="n">
        <v>6635.8</v>
      </c>
      <c r="T58" s="7" t="n">
        <v>2524.9</v>
      </c>
      <c r="V58" s="7" t="n">
        <v>3862.5</v>
      </c>
      <c r="X58" s="7" t="n">
        <v>1912.6</v>
      </c>
      <c r="Z58" s="7" t="n">
        <v>2338.6</v>
      </c>
      <c r="AB58" s="7" t="n">
        <v>42380.8</v>
      </c>
    </row>
    <row r="59">
      <c r="A59" s="4" t="inlineStr">
        <is>
          <t>网络费</t>
        </is>
      </c>
      <c r="D59" s="7" t="n">
        <v>435.2</v>
      </c>
      <c r="F59" s="7" t="n">
        <v>441.3</v>
      </c>
      <c r="H59" s="7" t="n">
        <v>877.7</v>
      </c>
      <c r="J59" s="7" t="n">
        <v>891.2</v>
      </c>
      <c r="L59" s="7" t="n">
        <v>1003.8</v>
      </c>
      <c r="N59" s="7" t="n">
        <v>1955.1</v>
      </c>
      <c r="P59" s="7" t="n">
        <v>1035.1</v>
      </c>
      <c r="R59" s="7" t="n">
        <v>1126.2</v>
      </c>
      <c r="T59" s="7" t="n">
        <v>557.4</v>
      </c>
      <c r="V59" s="7" t="n">
        <v>1067.9</v>
      </c>
      <c r="X59" s="7" t="n">
        <v>606.6</v>
      </c>
      <c r="Z59" s="7" t="n">
        <v>1040.9</v>
      </c>
      <c r="AB59" s="7" t="n">
        <v>11038.4</v>
      </c>
    </row>
    <row r="60">
      <c r="A60" s="4" t="inlineStr">
        <is>
          <t>修理费</t>
        </is>
      </c>
      <c r="D60" s="7" t="n">
        <v>498.1</v>
      </c>
      <c r="F60" s="7" t="n">
        <v>530.3</v>
      </c>
      <c r="H60" s="7" t="n">
        <v>1382.3</v>
      </c>
      <c r="J60" s="7" t="n">
        <v>787.4</v>
      </c>
      <c r="L60" s="7" t="n">
        <v>1611</v>
      </c>
      <c r="N60" s="7" t="n">
        <v>1211.9</v>
      </c>
      <c r="P60" s="7" t="n">
        <v>704</v>
      </c>
      <c r="R60" s="7" t="n">
        <v>1227.2</v>
      </c>
      <c r="T60" s="7" t="n">
        <v>524</v>
      </c>
      <c r="V60" s="7" t="n">
        <v>809.3</v>
      </c>
      <c r="X60" s="7" t="n">
        <v>499.5</v>
      </c>
      <c r="Z60" s="7" t="n">
        <v>959</v>
      </c>
      <c r="AB60" s="7" t="n">
        <v>10744</v>
      </c>
    </row>
    <row r="61">
      <c r="A61" s="4" t="inlineStr">
        <is>
          <t>车辆费</t>
        </is>
      </c>
      <c r="D61" s="7" t="n">
        <v>2389.9</v>
      </c>
      <c r="F61" s="7" t="n">
        <v>4779</v>
      </c>
      <c r="H61" s="7" t="n">
        <v>6647.8</v>
      </c>
      <c r="J61" s="7" t="n">
        <v>8431.9</v>
      </c>
      <c r="L61" s="7" t="n">
        <v>8727.700000000001</v>
      </c>
      <c r="N61" s="7" t="n">
        <v>9223.9</v>
      </c>
      <c r="P61" s="7" t="n">
        <v>7498.6</v>
      </c>
      <c r="R61" s="7" t="n">
        <v>6689.8</v>
      </c>
      <c r="T61" s="7" t="n">
        <v>4770.8</v>
      </c>
      <c r="V61" s="7" t="n">
        <v>4799.9</v>
      </c>
      <c r="X61" s="7" t="n">
        <v>2940.2</v>
      </c>
      <c r="Z61" s="7" t="n">
        <v>4001.6</v>
      </c>
      <c r="AB61" s="7" t="n">
        <v>70901.10000000001</v>
      </c>
    </row>
    <row r="62">
      <c r="A62" s="4" t="inlineStr">
        <is>
          <t>租赁费</t>
        </is>
      </c>
      <c r="D62" s="7" t="n">
        <v>19423.3</v>
      </c>
      <c r="F62" s="7" t="n">
        <v>39784.4</v>
      </c>
      <c r="H62" s="7" t="n">
        <v>69581.8</v>
      </c>
      <c r="J62" s="7" t="n">
        <v>80102.5</v>
      </c>
      <c r="L62" s="7" t="n">
        <v>92050.10000000001</v>
      </c>
      <c r="N62" s="7" t="n">
        <v>106905.4</v>
      </c>
      <c r="P62" s="7" t="n">
        <v>54800.4</v>
      </c>
      <c r="R62" s="7" t="n">
        <v>75659</v>
      </c>
      <c r="T62" s="7" t="n">
        <v>45933.9</v>
      </c>
      <c r="V62" s="7" t="n">
        <v>69261.60000000001</v>
      </c>
      <c r="X62" s="7" t="n">
        <v>29112.4</v>
      </c>
      <c r="Z62" s="7" t="n">
        <v>59570</v>
      </c>
      <c r="AB62" s="7" t="n">
        <v>742184.8</v>
      </c>
    </row>
    <row r="63">
      <c r="A63" s="4" t="inlineStr">
        <is>
          <t>能源费</t>
        </is>
      </c>
      <c r="D63" s="7" t="n">
        <v>4176.8</v>
      </c>
      <c r="F63" s="7" t="n">
        <v>6240.6</v>
      </c>
      <c r="H63" s="7" t="n">
        <v>10259.9</v>
      </c>
      <c r="J63" s="7" t="n">
        <v>8794.6</v>
      </c>
      <c r="L63" s="7" t="n">
        <v>11303.6</v>
      </c>
      <c r="N63" s="7" t="n">
        <v>13169</v>
      </c>
      <c r="P63" s="7" t="n">
        <v>7262.6</v>
      </c>
      <c r="R63" s="7" t="n">
        <v>12949.7</v>
      </c>
      <c r="T63" s="7" t="n">
        <v>6890.2</v>
      </c>
      <c r="V63" s="7" t="n">
        <v>8152.2</v>
      </c>
      <c r="X63" s="7" t="n">
        <v>5466.6</v>
      </c>
      <c r="Z63" s="7" t="n">
        <v>7353</v>
      </c>
      <c r="AB63" s="7" t="n">
        <v>102018.8</v>
      </c>
    </row>
    <row r="64">
      <c r="A64" s="4" t="inlineStr">
        <is>
          <t>水费</t>
        </is>
      </c>
      <c r="D64" s="7" t="n">
        <v>500.3</v>
      </c>
      <c r="F64" s="7" t="n">
        <v>992.5</v>
      </c>
      <c r="H64" s="7" t="n">
        <v>1952.7</v>
      </c>
      <c r="J64" s="7" t="n">
        <v>1595.4</v>
      </c>
      <c r="L64" s="7" t="n">
        <v>2280.8</v>
      </c>
      <c r="N64" s="7" t="n">
        <v>2289.2</v>
      </c>
      <c r="P64" s="7" t="n">
        <v>1790.4</v>
      </c>
      <c r="R64" s="7" t="n">
        <v>2618.7</v>
      </c>
      <c r="T64" s="7" t="n">
        <v>1429.3</v>
      </c>
      <c r="V64" s="7" t="n">
        <v>1480.2</v>
      </c>
      <c r="X64" s="7" t="n">
        <v>1122.5</v>
      </c>
      <c r="Z64" s="7" t="n">
        <v>1703.6</v>
      </c>
      <c r="AB64" s="7" t="n">
        <v>19755.6</v>
      </c>
    </row>
    <row r="65">
      <c r="A65" s="4" t="inlineStr">
        <is>
          <t>电费</t>
        </is>
      </c>
      <c r="D65" s="7" t="n">
        <v>1371.7</v>
      </c>
      <c r="F65" s="7" t="n">
        <v>2374.9</v>
      </c>
      <c r="H65" s="7" t="n">
        <v>2763.8</v>
      </c>
      <c r="J65" s="7" t="n">
        <v>3296.2</v>
      </c>
      <c r="L65" s="7" t="n">
        <v>3896.3</v>
      </c>
      <c r="N65" s="7" t="n">
        <v>4301</v>
      </c>
      <c r="P65" s="7" t="n">
        <v>2473.6</v>
      </c>
      <c r="R65" s="7" t="n">
        <v>3577.5</v>
      </c>
      <c r="T65" s="7" t="n">
        <v>2509.8</v>
      </c>
      <c r="V65" s="7" t="n">
        <v>2440.3</v>
      </c>
      <c r="X65" s="7" t="n">
        <v>2011.2</v>
      </c>
      <c r="Z65" s="7" t="n">
        <v>2512</v>
      </c>
      <c r="AB65" s="7" t="n">
        <v>33528.3</v>
      </c>
    </row>
    <row r="66">
      <c r="A66" s="4" t="inlineStr">
        <is>
          <t>燃气费</t>
        </is>
      </c>
      <c r="D66" s="7" t="n">
        <v>1775.7</v>
      </c>
      <c r="F66" s="7" t="n">
        <v>2361.9</v>
      </c>
      <c r="H66" s="7" t="n">
        <v>4407.7</v>
      </c>
      <c r="J66" s="7" t="n">
        <v>2996.4</v>
      </c>
      <c r="L66" s="7" t="n">
        <v>3912.5</v>
      </c>
      <c r="N66" s="7" t="n">
        <v>5018.2</v>
      </c>
      <c r="P66" s="7" t="n">
        <v>2227.1</v>
      </c>
      <c r="R66" s="7" t="n">
        <v>5027.2</v>
      </c>
      <c r="T66" s="7" t="n">
        <v>2260.7</v>
      </c>
      <c r="V66" s="7" t="n">
        <v>3132.6</v>
      </c>
      <c r="X66" s="7" t="n">
        <v>1610.6</v>
      </c>
      <c r="Z66" s="7" t="n">
        <v>2350.2</v>
      </c>
      <c r="AB66" s="7" t="n">
        <v>37080.8</v>
      </c>
    </row>
    <row r="67">
      <c r="A67" s="4" t="inlineStr">
        <is>
          <t>蒸汽费</t>
        </is>
      </c>
      <c r="D67" s="7" t="n">
        <v>529.1</v>
      </c>
      <c r="F67" s="7" t="n">
        <v>511.3</v>
      </c>
      <c r="H67" s="7" t="n">
        <v>1135.7</v>
      </c>
      <c r="J67" s="7" t="n">
        <v>906.6</v>
      </c>
      <c r="L67" s="7" t="n">
        <v>1214</v>
      </c>
      <c r="N67" s="7" t="n">
        <v>1560.6</v>
      </c>
      <c r="P67" s="7" t="n">
        <v>771.5</v>
      </c>
      <c r="R67" s="7" t="n">
        <v>1726.3</v>
      </c>
      <c r="T67" s="7" t="n">
        <v>690.4</v>
      </c>
      <c r="V67" s="7" t="n">
        <v>1099.1</v>
      </c>
      <c r="X67" s="7" t="n">
        <v>722.3</v>
      </c>
      <c r="Z67" s="7" t="n">
        <v>787.2</v>
      </c>
      <c r="AB67" s="7" t="n">
        <v>11654.1</v>
      </c>
    </row>
    <row r="68">
      <c r="A68" s="4" t="inlineStr">
        <is>
          <t>物业费</t>
        </is>
      </c>
      <c r="D68" s="7" t="n">
        <v>535.5</v>
      </c>
      <c r="F68" s="7" t="n">
        <v>902.2</v>
      </c>
      <c r="H68" s="7" t="n">
        <v>1573.2</v>
      </c>
      <c r="J68" s="7" t="n">
        <v>1644.9</v>
      </c>
      <c r="L68" s="7" t="n">
        <v>1676.7</v>
      </c>
      <c r="N68" s="7" t="n">
        <v>1844.3</v>
      </c>
      <c r="P68" s="7" t="n">
        <v>1430.8</v>
      </c>
      <c r="R68" s="7" t="n">
        <v>2057.5</v>
      </c>
      <c r="T68" s="7" t="n">
        <v>916.4</v>
      </c>
      <c r="V68" s="7" t="n">
        <v>1292.6</v>
      </c>
      <c r="X68" s="7" t="n">
        <v>913.7</v>
      </c>
      <c r="Z68" s="7" t="n">
        <v>810.9</v>
      </c>
      <c r="AB68" s="7" t="n">
        <v>15598.7</v>
      </c>
    </row>
    <row r="69">
      <c r="A69" s="4" t="inlineStr">
        <is>
          <t>劳动保护费</t>
        </is>
      </c>
      <c r="D69" s="7" t="n">
        <v>680.3</v>
      </c>
      <c r="F69" s="7" t="n">
        <v>1410.7</v>
      </c>
      <c r="H69" s="7" t="n">
        <v>1732.6</v>
      </c>
      <c r="J69" s="7" t="n">
        <v>2174.5</v>
      </c>
      <c r="L69" s="7" t="n">
        <v>2893.7</v>
      </c>
      <c r="N69" s="7" t="n">
        <v>2522.3</v>
      </c>
      <c r="P69" s="7" t="n">
        <v>1442.3</v>
      </c>
      <c r="R69" s="7" t="n">
        <v>2321.8</v>
      </c>
      <c r="T69" s="7" t="n">
        <v>1145.9</v>
      </c>
      <c r="V69" s="7" t="n">
        <v>1399.3</v>
      </c>
      <c r="X69" s="7" t="n">
        <v>1474.4</v>
      </c>
      <c r="Z69" s="7" t="n">
        <v>2111</v>
      </c>
      <c r="AB69" s="7" t="n">
        <v>21308.8</v>
      </c>
    </row>
    <row r="70">
      <c r="A70" s="4" t="inlineStr">
        <is>
          <t>顾问费</t>
        </is>
      </c>
      <c r="D70" s="7" t="n">
        <v>3888</v>
      </c>
      <c r="F70" s="7" t="n">
        <v>3789.8</v>
      </c>
      <c r="H70" s="7" t="n">
        <v>8370.4</v>
      </c>
      <c r="J70" s="7" t="n">
        <v>5942.4</v>
      </c>
      <c r="L70" s="7" t="n">
        <v>10483.5</v>
      </c>
      <c r="N70" s="7" t="n">
        <v>9681.200000000001</v>
      </c>
      <c r="P70" s="7" t="n">
        <v>5938.5</v>
      </c>
      <c r="R70" s="7" t="n">
        <v>8329.200000000001</v>
      </c>
      <c r="T70" s="7" t="n">
        <v>6372.2</v>
      </c>
      <c r="V70" s="7" t="n">
        <v>8384.799999999999</v>
      </c>
      <c r="X70" s="7" t="n">
        <v>3839.6</v>
      </c>
      <c r="Z70" s="7" t="n">
        <v>4810.6</v>
      </c>
      <c r="AB70" s="7" t="n">
        <v>79830.2</v>
      </c>
    </row>
    <row r="71">
      <c r="A71" s="4" t="inlineStr">
        <is>
          <t>快递费</t>
        </is>
      </c>
      <c r="D71" s="7" t="n">
        <v>3223.9</v>
      </c>
      <c r="F71" s="7" t="n">
        <v>4183.1</v>
      </c>
      <c r="H71" s="7" t="n">
        <v>7566.5</v>
      </c>
      <c r="J71" s="7" t="n">
        <v>6587.1</v>
      </c>
      <c r="L71" s="7" t="n">
        <v>10253</v>
      </c>
      <c r="N71" s="7" t="n">
        <v>9416.4</v>
      </c>
      <c r="P71" s="7" t="n">
        <v>5987</v>
      </c>
      <c r="R71" s="7" t="n">
        <v>10153.9</v>
      </c>
      <c r="T71" s="7" t="n">
        <v>5899.3</v>
      </c>
      <c r="V71" s="7" t="n">
        <v>6469.7</v>
      </c>
      <c r="X71" s="7" t="n">
        <v>3449</v>
      </c>
      <c r="Z71" s="7" t="n">
        <v>5095.9</v>
      </c>
      <c r="AB71" s="7" t="n">
        <v>78284.8</v>
      </c>
    </row>
    <row r="72">
      <c r="A72" s="4" t="inlineStr">
        <is>
          <t>诉讼费</t>
        </is>
      </c>
      <c r="D72" s="7" t="n">
        <v>1524.8</v>
      </c>
      <c r="F72" s="7" t="n">
        <v>2764.2</v>
      </c>
      <c r="H72" s="7" t="n">
        <v>5137.2</v>
      </c>
      <c r="J72" s="7" t="n">
        <v>3334.7</v>
      </c>
      <c r="L72" s="7" t="n">
        <v>5730.2</v>
      </c>
      <c r="N72" s="7" t="n">
        <v>6888.9</v>
      </c>
      <c r="P72" s="7" t="n">
        <v>3590.3</v>
      </c>
      <c r="R72" s="7" t="n">
        <v>6157.3</v>
      </c>
      <c r="T72" s="7" t="n">
        <v>2350.9</v>
      </c>
      <c r="V72" s="7" t="n">
        <v>2858.4</v>
      </c>
      <c r="X72" s="7" t="n">
        <v>2008</v>
      </c>
      <c r="Z72" s="7" t="n">
        <v>3031.1</v>
      </c>
      <c r="AB72" s="7" t="n">
        <v>45376</v>
      </c>
    </row>
    <row r="73">
      <c r="A73" s="4" t="inlineStr">
        <is>
          <t>会员费</t>
        </is>
      </c>
      <c r="D73" s="7" t="n">
        <v>2563.6</v>
      </c>
      <c r="F73" s="7" t="n">
        <v>5316.7</v>
      </c>
      <c r="H73" s="7" t="n">
        <v>8707.4</v>
      </c>
      <c r="J73" s="7" t="n">
        <v>7333.4</v>
      </c>
      <c r="L73" s="7" t="n">
        <v>11893.4</v>
      </c>
      <c r="N73" s="7" t="n">
        <v>7745.7</v>
      </c>
      <c r="P73" s="7" t="n">
        <v>5178.1</v>
      </c>
      <c r="R73" s="7" t="n">
        <v>7967.7</v>
      </c>
      <c r="T73" s="7" t="n">
        <v>3624.8</v>
      </c>
      <c r="V73" s="7" t="n">
        <v>5799.7</v>
      </c>
      <c r="X73" s="7" t="n">
        <v>3793.4</v>
      </c>
      <c r="Z73" s="7" t="n">
        <v>5950.5</v>
      </c>
      <c r="AB73" s="7" t="n">
        <v>75874.39999999999</v>
      </c>
    </row>
    <row r="74">
      <c r="A74" s="4" t="inlineStr">
        <is>
          <t>广告宣传费</t>
        </is>
      </c>
      <c r="D74" s="7" t="n">
        <v>18201</v>
      </c>
      <c r="F74" s="7" t="n">
        <v>23525.4</v>
      </c>
      <c r="H74" s="7" t="n">
        <v>55193.8</v>
      </c>
      <c r="J74" s="7" t="n">
        <v>49313</v>
      </c>
      <c r="L74" s="7" t="n">
        <v>62125.5</v>
      </c>
      <c r="N74" s="7" t="n">
        <v>49494.9</v>
      </c>
      <c r="P74" s="7" t="n">
        <v>25201.6</v>
      </c>
      <c r="R74" s="7" t="n">
        <v>44324.9</v>
      </c>
      <c r="T74" s="7" t="n">
        <v>29925.4</v>
      </c>
      <c r="V74" s="7" t="n">
        <v>36131.8</v>
      </c>
      <c r="X74" s="7" t="n">
        <v>19627.8</v>
      </c>
      <c r="Z74" s="7" t="n">
        <v>39303.2</v>
      </c>
      <c r="AB74" s="7" t="n">
        <v>452368.3</v>
      </c>
    </row>
    <row r="75">
      <c r="A75" s="4" t="inlineStr">
        <is>
          <t>会务费</t>
        </is>
      </c>
      <c r="D75" s="7" t="n">
        <v>1726.1</v>
      </c>
      <c r="F75" s="7" t="n">
        <v>3422.6</v>
      </c>
      <c r="H75" s="7" t="n">
        <v>4476.8</v>
      </c>
      <c r="J75" s="7" t="n">
        <v>5959.5</v>
      </c>
      <c r="L75" s="7" t="n">
        <v>5275.8</v>
      </c>
      <c r="N75" s="7" t="n">
        <v>6849.4</v>
      </c>
      <c r="P75" s="7" t="n">
        <v>5430.2</v>
      </c>
      <c r="R75" s="7" t="n">
        <v>4819.8</v>
      </c>
      <c r="T75" s="7" t="n">
        <v>2998.8</v>
      </c>
      <c r="V75" s="7" t="n">
        <v>4860.1</v>
      </c>
      <c r="X75" s="7" t="n">
        <v>3571.2</v>
      </c>
      <c r="Z75" s="7" t="n">
        <v>3362.9</v>
      </c>
      <c r="AB75" s="7" t="n">
        <v>52753.2</v>
      </c>
    </row>
    <row r="76">
      <c r="A76" s="4" t="inlineStr">
        <is>
          <t>装修费</t>
        </is>
      </c>
      <c r="D76" s="7" t="n">
        <v>1549.2</v>
      </c>
      <c r="F76" s="7" t="n">
        <v>1652.5</v>
      </c>
      <c r="H76" s="7" t="n">
        <v>4803.1</v>
      </c>
      <c r="J76" s="7" t="n">
        <v>4180.9</v>
      </c>
      <c r="L76" s="7" t="n">
        <v>4557.4</v>
      </c>
      <c r="N76" s="7" t="n">
        <v>4946.4</v>
      </c>
      <c r="P76" s="7" t="n">
        <v>2390.6</v>
      </c>
      <c r="R76" s="7" t="n">
        <v>5101.4</v>
      </c>
      <c r="T76" s="7" t="n">
        <v>2752.9</v>
      </c>
      <c r="V76" s="7" t="n">
        <v>3419.5</v>
      </c>
      <c r="X76" s="7" t="n">
        <v>1626.4</v>
      </c>
      <c r="Z76" s="7" t="n">
        <v>2327.8</v>
      </c>
      <c r="AB76" s="7" t="n">
        <v>39308.1</v>
      </c>
    </row>
    <row r="77">
      <c r="A77" s="4" t="inlineStr">
        <is>
          <t>推广费</t>
        </is>
      </c>
      <c r="D77" s="7" t="n">
        <v>1116.6</v>
      </c>
      <c r="F77" s="7" t="n">
        <v>1116.6</v>
      </c>
      <c r="H77" s="7" t="n">
        <v>3088.1</v>
      </c>
      <c r="J77" s="7" t="n">
        <v>2195.2</v>
      </c>
      <c r="L77" s="7" t="n">
        <v>3899.8</v>
      </c>
      <c r="N77" s="7" t="n">
        <v>3160.1</v>
      </c>
      <c r="P77" s="7" t="n">
        <v>2887.1</v>
      </c>
      <c r="R77" s="7" t="n">
        <v>3665.9</v>
      </c>
      <c r="T77" s="7" t="n">
        <v>1242.4</v>
      </c>
      <c r="V77" s="7" t="n">
        <v>2354.4</v>
      </c>
      <c r="X77" s="7" t="n">
        <v>1648.6</v>
      </c>
      <c r="Z77" s="7" t="n">
        <v>1623.6</v>
      </c>
      <c r="AB77" s="7" t="n">
        <v>27998.4</v>
      </c>
    </row>
    <row r="78">
      <c r="A78" s="4" t="inlineStr">
        <is>
          <t>展会费</t>
        </is>
      </c>
      <c r="D78" s="7" t="n">
        <v>3584.7</v>
      </c>
      <c r="F78" s="7" t="n">
        <v>5799</v>
      </c>
      <c r="H78" s="7" t="n">
        <v>7095.8</v>
      </c>
      <c r="J78" s="7" t="n">
        <v>6199.7</v>
      </c>
      <c r="L78" s="7" t="n">
        <v>9404.799999999999</v>
      </c>
      <c r="N78" s="7" t="n">
        <v>11846.4</v>
      </c>
      <c r="P78" s="7" t="n">
        <v>5198.8</v>
      </c>
      <c r="R78" s="7" t="n">
        <v>12676.6</v>
      </c>
      <c r="T78" s="7" t="n">
        <v>4619.2</v>
      </c>
      <c r="V78" s="7" t="n">
        <v>5573.5</v>
      </c>
      <c r="X78" s="7" t="n">
        <v>4140.8</v>
      </c>
      <c r="Z78" s="7" t="n">
        <v>8189.8</v>
      </c>
      <c r="AB78" s="7" t="n">
        <v>84329.10000000001</v>
      </c>
    </row>
    <row r="79">
      <c r="A79" s="4" t="inlineStr">
        <is>
          <t>设计费</t>
        </is>
      </c>
      <c r="D79" s="7" t="n">
        <v>1105</v>
      </c>
      <c r="F79" s="7" t="n">
        <v>1321.1</v>
      </c>
      <c r="H79" s="7" t="n">
        <v>3338.9</v>
      </c>
      <c r="J79" s="7" t="n">
        <v>2811.7</v>
      </c>
      <c r="L79" s="7" t="n">
        <v>2596.9</v>
      </c>
      <c r="N79" s="7" t="n">
        <v>4125.7</v>
      </c>
      <c r="P79" s="7" t="n">
        <v>2229.6</v>
      </c>
      <c r="R79" s="7" t="n">
        <v>3311.3</v>
      </c>
      <c r="T79" s="7" t="n">
        <v>1152.4</v>
      </c>
      <c r="V79" s="7" t="n">
        <v>2082.7</v>
      </c>
      <c r="X79" s="7" t="n">
        <v>1455.7</v>
      </c>
      <c r="Z79" s="7" t="n">
        <v>1515.5</v>
      </c>
      <c r="AB79" s="7" t="n">
        <v>27046.5</v>
      </c>
    </row>
    <row r="80">
      <c r="A80" s="4" t="inlineStr">
        <is>
          <t>折旧费</t>
        </is>
      </c>
      <c r="D80" s="7" t="n">
        <v>21225.2</v>
      </c>
      <c r="F80" s="7" t="n">
        <v>35752.6</v>
      </c>
      <c r="H80" s="7" t="n">
        <v>41932</v>
      </c>
      <c r="J80" s="7" t="n">
        <v>53003.6</v>
      </c>
      <c r="L80" s="7" t="n">
        <v>78046.5</v>
      </c>
      <c r="N80" s="7" t="n">
        <v>91483.60000000001</v>
      </c>
      <c r="P80" s="7" t="n">
        <v>53235.6</v>
      </c>
      <c r="R80" s="7" t="n">
        <v>54432.3</v>
      </c>
      <c r="T80" s="7" t="n">
        <v>33363.7</v>
      </c>
      <c r="V80" s="7" t="n">
        <v>44267.8</v>
      </c>
      <c r="X80" s="7" t="n">
        <v>30636</v>
      </c>
      <c r="Z80" s="7" t="n">
        <v>38980</v>
      </c>
      <c r="AB80" s="7" t="n">
        <v>576358.9</v>
      </c>
    </row>
    <row r="81">
      <c r="A81" s="4" t="inlineStr">
        <is>
          <t>认证费</t>
        </is>
      </c>
      <c r="D81" s="7" t="n">
        <v>841.5</v>
      </c>
      <c r="F81" s="7" t="n">
        <v>1565.4</v>
      </c>
      <c r="H81" s="7" t="n">
        <v>2387.6</v>
      </c>
      <c r="J81" s="7" t="n">
        <v>3448.5</v>
      </c>
      <c r="L81" s="7" t="n">
        <v>3825.7</v>
      </c>
      <c r="N81" s="7" t="n">
        <v>2886.4</v>
      </c>
      <c r="P81" s="7" t="n">
        <v>2745.5</v>
      </c>
      <c r="R81" s="7" t="n">
        <v>3884.3</v>
      </c>
      <c r="T81" s="7" t="n">
        <v>2179.1</v>
      </c>
      <c r="V81" s="7" t="n">
        <v>2874.2</v>
      </c>
      <c r="X81" s="7" t="n">
        <v>1958.1</v>
      </c>
      <c r="Z81" s="7" t="n">
        <v>1624.1</v>
      </c>
      <c r="AB81" s="7" t="n">
        <v>30220.4</v>
      </c>
    </row>
    <row r="82">
      <c r="A82" s="4" t="inlineStr">
        <is>
          <t>样品费</t>
        </is>
      </c>
      <c r="D82" s="7" t="n">
        <v>12246.9</v>
      </c>
      <c r="F82" s="7" t="n">
        <v>13833.3</v>
      </c>
      <c r="H82" s="7" t="n">
        <v>31937.5</v>
      </c>
      <c r="J82" s="7" t="n">
        <v>28521.8</v>
      </c>
      <c r="L82" s="7" t="n">
        <v>24096</v>
      </c>
      <c r="N82" s="7" t="n">
        <v>26701.3</v>
      </c>
      <c r="P82" s="7" t="n">
        <v>17664.4</v>
      </c>
      <c r="R82" s="7" t="n">
        <v>39632.2</v>
      </c>
      <c r="T82" s="7" t="n">
        <v>13922.6</v>
      </c>
      <c r="V82" s="7" t="n">
        <v>17693.2</v>
      </c>
      <c r="X82" s="7" t="n">
        <v>12963</v>
      </c>
      <c r="Z82" s="7" t="n">
        <v>18488.5</v>
      </c>
      <c r="AB82" s="7" t="n">
        <v>257700.7</v>
      </c>
    </row>
    <row r="83">
      <c r="A83" s="4" t="inlineStr">
        <is>
          <t>劳务费</t>
        </is>
      </c>
      <c r="D83" s="7" t="n">
        <v>2683.1</v>
      </c>
      <c r="F83" s="7" t="n">
        <v>2520.1</v>
      </c>
      <c r="H83" s="7" t="n">
        <v>4559</v>
      </c>
      <c r="J83" s="7" t="n">
        <v>4983.3</v>
      </c>
      <c r="L83" s="7" t="n">
        <v>9215.700000000001</v>
      </c>
      <c r="N83" s="7" t="n">
        <v>9046.200000000001</v>
      </c>
      <c r="P83" s="7" t="n">
        <v>3754.2</v>
      </c>
      <c r="R83" s="7" t="n">
        <v>8874</v>
      </c>
      <c r="T83" s="7" t="n">
        <v>4339.9</v>
      </c>
      <c r="V83" s="7" t="n">
        <v>5034.3</v>
      </c>
      <c r="X83" s="7" t="n">
        <v>3423.5</v>
      </c>
      <c r="Z83" s="7" t="n">
        <v>3387</v>
      </c>
      <c r="AB83" s="7" t="n">
        <v>61820.3</v>
      </c>
    </row>
    <row r="84">
      <c r="A84" s="4" t="inlineStr">
        <is>
          <t>销售佣金</t>
        </is>
      </c>
      <c r="D84" s="7" t="n">
        <v>3952.6</v>
      </c>
      <c r="F84" s="7" t="n">
        <v>4009.4</v>
      </c>
      <c r="H84" s="7" t="n">
        <v>7819.1</v>
      </c>
      <c r="J84" s="7" t="n">
        <v>9107.700000000001</v>
      </c>
      <c r="L84" s="7" t="n">
        <v>9826.1</v>
      </c>
      <c r="N84" s="7" t="n">
        <v>9637.4</v>
      </c>
      <c r="P84" s="7" t="n">
        <v>8474.6</v>
      </c>
      <c r="R84" s="7" t="n">
        <v>8567.799999999999</v>
      </c>
      <c r="T84" s="7" t="n">
        <v>6364.8</v>
      </c>
      <c r="V84" s="7" t="n">
        <v>7868.2</v>
      </c>
      <c r="X84" s="7" t="n">
        <v>3871.3</v>
      </c>
      <c r="Z84" s="7" t="n">
        <v>7668.9</v>
      </c>
      <c r="AB84" s="7" t="n">
        <v>87167.89999999999</v>
      </c>
    </row>
    <row r="85">
      <c r="A85" s="4" t="inlineStr">
        <is>
          <t>检测费</t>
        </is>
      </c>
      <c r="D85" s="7" t="n">
        <v>3201.5</v>
      </c>
      <c r="F85" s="7" t="n">
        <v>3822.6</v>
      </c>
      <c r="H85" s="7" t="n">
        <v>9308.700000000001</v>
      </c>
      <c r="J85" s="7" t="n">
        <v>9355.5</v>
      </c>
      <c r="L85" s="7" t="n">
        <v>8472.6</v>
      </c>
      <c r="N85" s="7" t="n">
        <v>12949.7</v>
      </c>
      <c r="P85" s="7" t="n">
        <v>6864.4</v>
      </c>
      <c r="R85" s="7" t="n">
        <v>7586.4</v>
      </c>
      <c r="T85" s="7" t="n">
        <v>4071.2</v>
      </c>
      <c r="V85" s="7" t="n">
        <v>5122.5</v>
      </c>
      <c r="X85" s="7" t="n">
        <v>4453.2</v>
      </c>
      <c r="Z85" s="7" t="n">
        <v>6763.1</v>
      </c>
      <c r="AB85" s="7" t="n">
        <v>81971.39999999999</v>
      </c>
    </row>
    <row r="86">
      <c r="A86" s="4" t="inlineStr">
        <is>
          <t>质量赔偿</t>
        </is>
      </c>
      <c r="D86" s="7" t="n">
        <v>1583.8</v>
      </c>
      <c r="F86" s="7" t="n">
        <v>1775.7</v>
      </c>
      <c r="H86" s="7" t="n">
        <v>4311.7</v>
      </c>
      <c r="J86" s="7" t="n">
        <v>4025.6</v>
      </c>
      <c r="L86" s="7" t="n">
        <v>3369.9</v>
      </c>
      <c r="N86" s="7" t="n">
        <v>4975.4</v>
      </c>
      <c r="P86" s="7" t="n">
        <v>3189.4</v>
      </c>
      <c r="R86" s="7" t="n">
        <v>5289.4</v>
      </c>
      <c r="T86" s="7" t="n">
        <v>3097</v>
      </c>
      <c r="V86" s="7" t="n">
        <v>3963.7</v>
      </c>
      <c r="X86" s="7" t="n">
        <v>2484.1</v>
      </c>
      <c r="Z86" s="7" t="n">
        <v>2513.3</v>
      </c>
      <c r="AB86" s="7" t="n">
        <v>40579</v>
      </c>
    </row>
    <row r="87">
      <c r="A87" s="4" t="inlineStr">
        <is>
          <t>保险费</t>
        </is>
      </c>
      <c r="D87" s="7" t="n">
        <v>692.4</v>
      </c>
      <c r="F87" s="7" t="n">
        <v>1121.6</v>
      </c>
      <c r="H87" s="7" t="n">
        <v>2795.2</v>
      </c>
      <c r="J87" s="7" t="n">
        <v>1900.2</v>
      </c>
      <c r="L87" s="7" t="n">
        <v>1858.5</v>
      </c>
      <c r="N87" s="7" t="n">
        <v>2023.4</v>
      </c>
      <c r="P87" s="7" t="n">
        <v>2132.9</v>
      </c>
      <c r="R87" s="7" t="n">
        <v>1764.7</v>
      </c>
      <c r="T87" s="7" t="n">
        <v>1041.7</v>
      </c>
      <c r="V87" s="7" t="n">
        <v>1801.3</v>
      </c>
      <c r="X87" s="7" t="n">
        <v>1275.7</v>
      </c>
      <c r="Z87" s="7" t="n">
        <v>1189.9</v>
      </c>
      <c r="AB87" s="7" t="n">
        <v>19597.5</v>
      </c>
    </row>
    <row r="88">
      <c r="A88" s="4" t="inlineStr">
        <is>
          <t>清洁费</t>
        </is>
      </c>
      <c r="D88" s="7" t="n">
        <v>1284.7</v>
      </c>
      <c r="F88" s="7" t="n">
        <v>3020.1</v>
      </c>
      <c r="H88" s="7" t="n">
        <v>4513.6</v>
      </c>
      <c r="J88" s="7" t="n">
        <v>3278.7</v>
      </c>
      <c r="L88" s="7" t="n">
        <v>5463.9</v>
      </c>
      <c r="N88" s="7" t="n">
        <v>4912.1</v>
      </c>
      <c r="P88" s="7" t="n">
        <v>2812.7</v>
      </c>
      <c r="R88" s="7" t="n">
        <v>5883.7</v>
      </c>
      <c r="T88" s="7" t="n">
        <v>3636.7</v>
      </c>
      <c r="V88" s="7" t="n">
        <v>4864.8</v>
      </c>
      <c r="X88" s="7" t="n">
        <v>2022.6</v>
      </c>
      <c r="Z88" s="7" t="n">
        <v>4391.1</v>
      </c>
      <c r="AB88" s="7" t="n">
        <v>46084.7</v>
      </c>
    </row>
    <row r="89">
      <c r="A89" s="4" t="inlineStr">
        <is>
          <t>低值易耗品</t>
        </is>
      </c>
      <c r="D89" s="7" t="n">
        <v>2337.6</v>
      </c>
      <c r="F89" s="7" t="n">
        <v>2704.1</v>
      </c>
      <c r="H89" s="7" t="n">
        <v>4910.5</v>
      </c>
      <c r="J89" s="7" t="n">
        <v>7035.3</v>
      </c>
      <c r="L89" s="7" t="n">
        <v>8095.7</v>
      </c>
      <c r="N89" s="7" t="n">
        <v>9998</v>
      </c>
      <c r="P89" s="7" t="n">
        <v>4767.1</v>
      </c>
      <c r="R89" s="7" t="n">
        <v>8158.9</v>
      </c>
      <c r="T89" s="7" t="n">
        <v>3287</v>
      </c>
      <c r="V89" s="7" t="n">
        <v>6153.3</v>
      </c>
      <c r="X89" s="7" t="n">
        <v>3798.3</v>
      </c>
      <c r="Z89" s="7" t="n">
        <v>4547.1</v>
      </c>
      <c r="AB89" s="7" t="n">
        <v>65792.89999999999</v>
      </c>
    </row>
    <row r="90">
      <c r="A90" s="4" t="inlineStr">
        <is>
          <t>物料消耗</t>
        </is>
      </c>
      <c r="D90" s="7" t="n">
        <v>1194.2</v>
      </c>
      <c r="F90" s="7" t="n">
        <v>1244.2</v>
      </c>
      <c r="H90" s="7" t="n">
        <v>2574.4</v>
      </c>
      <c r="J90" s="7" t="n">
        <v>3550.6</v>
      </c>
      <c r="L90" s="7" t="n">
        <v>2923.7</v>
      </c>
      <c r="N90" s="7" t="n">
        <v>4424.4</v>
      </c>
      <c r="P90" s="7" t="n">
        <v>1879.4</v>
      </c>
      <c r="R90" s="7" t="n">
        <v>4414</v>
      </c>
      <c r="T90" s="7" t="n">
        <v>2296.6</v>
      </c>
      <c r="V90" s="7" t="n">
        <v>2434</v>
      </c>
      <c r="X90" s="7" t="n">
        <v>1682.4</v>
      </c>
      <c r="Z90" s="7" t="n">
        <v>2540.7</v>
      </c>
      <c r="AB90" s="7" t="n">
        <v>31158.6</v>
      </c>
    </row>
    <row r="91">
      <c r="A91" s="4" t="inlineStr">
        <is>
          <t>盘盈盘亏</t>
        </is>
      </c>
      <c r="D91" s="7" t="n">
        <v>1211.6</v>
      </c>
      <c r="F91" s="7" t="n">
        <v>1306.1</v>
      </c>
      <c r="H91" s="7" t="n">
        <v>3632.8</v>
      </c>
      <c r="J91" s="7" t="n">
        <v>3029.9</v>
      </c>
      <c r="L91" s="7" t="n">
        <v>3297.7</v>
      </c>
      <c r="N91" s="7" t="n">
        <v>4041</v>
      </c>
      <c r="P91" s="7" t="n">
        <v>2349.4</v>
      </c>
      <c r="R91" s="7" t="n">
        <v>3474</v>
      </c>
      <c r="T91" s="7" t="n">
        <v>2009.2</v>
      </c>
      <c r="V91" s="7" t="n">
        <v>1760.4</v>
      </c>
      <c r="X91" s="7" t="n">
        <v>1787.2</v>
      </c>
      <c r="Z91" s="7" t="n">
        <v>1871.8</v>
      </c>
      <c r="AB91" s="7" t="n">
        <v>29771.1</v>
      </c>
    </row>
    <row r="92">
      <c r="A92" s="4" t="inlineStr">
        <is>
          <t>平台服务费</t>
        </is>
      </c>
      <c r="D92" s="7" t="n">
        <v>1436.9</v>
      </c>
      <c r="F92" s="7" t="n">
        <v>1989.2</v>
      </c>
      <c r="H92" s="7" t="n">
        <v>4695.9</v>
      </c>
      <c r="J92" s="7" t="n">
        <v>2661.7</v>
      </c>
      <c r="L92" s="7" t="n">
        <v>4478.6</v>
      </c>
      <c r="N92" s="7" t="n">
        <v>5723.4</v>
      </c>
      <c r="P92" s="7" t="n">
        <v>2333.1</v>
      </c>
      <c r="R92" s="7" t="n">
        <v>4997.8</v>
      </c>
      <c r="T92" s="7" t="n">
        <v>2504.5</v>
      </c>
      <c r="V92" s="7" t="n">
        <v>2779.7</v>
      </c>
      <c r="X92" s="7" t="n">
        <v>2134</v>
      </c>
      <c r="Z92" s="7" t="n">
        <v>1896.3</v>
      </c>
      <c r="AB92" s="7" t="n">
        <v>37631.1</v>
      </c>
    </row>
    <row r="93">
      <c r="A93" s="4" t="inlineStr">
        <is>
          <t>无形资产摊销</t>
        </is>
      </c>
      <c r="D93" s="7" t="n">
        <v>2109.2</v>
      </c>
      <c r="F93" s="7" t="n">
        <v>2754.2</v>
      </c>
      <c r="H93" s="7" t="n">
        <v>6912.1</v>
      </c>
      <c r="J93" s="7" t="n">
        <v>5504.7</v>
      </c>
      <c r="L93" s="7" t="n">
        <v>5366.2</v>
      </c>
      <c r="N93" s="7" t="n">
        <v>6674.6</v>
      </c>
      <c r="P93" s="7" t="n">
        <v>4700.6</v>
      </c>
      <c r="R93" s="7" t="n">
        <v>6165.8</v>
      </c>
      <c r="T93" s="7" t="n">
        <v>4448.9</v>
      </c>
      <c r="V93" s="7" t="n">
        <v>6142.7</v>
      </c>
      <c r="X93" s="7" t="n">
        <v>3616.7</v>
      </c>
      <c r="Z93" s="7" t="n">
        <v>4807.3</v>
      </c>
      <c r="AB93" s="7" t="n">
        <v>59203</v>
      </c>
    </row>
    <row r="94">
      <c r="A94" s="4" t="inlineStr">
        <is>
          <t>研发材料</t>
        </is>
      </c>
      <c r="D94" s="7" t="n">
        <v>733.1</v>
      </c>
      <c r="F94" s="7" t="n">
        <v>1749.5</v>
      </c>
      <c r="H94" s="7" t="n">
        <v>2590.2</v>
      </c>
      <c r="J94" s="7" t="n">
        <v>2576.4</v>
      </c>
      <c r="L94" s="7" t="n">
        <v>3310.3</v>
      </c>
      <c r="N94" s="7" t="n">
        <v>2912.3</v>
      </c>
      <c r="P94" s="7" t="n">
        <v>2776.3</v>
      </c>
      <c r="R94" s="7" t="n">
        <v>3809.3</v>
      </c>
      <c r="T94" s="7" t="n">
        <v>1534.9</v>
      </c>
      <c r="V94" s="7" t="n">
        <v>2895.6</v>
      </c>
      <c r="X94" s="7" t="n">
        <v>1530.2</v>
      </c>
      <c r="Z94" s="7" t="n">
        <v>2024</v>
      </c>
      <c r="AB94" s="7" t="n">
        <v>28442.1</v>
      </c>
    </row>
    <row r="95">
      <c r="A95" s="4" t="inlineStr">
        <is>
          <t>项目名称</t>
        </is>
      </c>
      <c r="D95" s="7" t="n">
        <v>230.1</v>
      </c>
      <c r="F95" s="7" t="n">
        <v>366.1</v>
      </c>
      <c r="H95" s="7" t="n">
        <v>442</v>
      </c>
      <c r="J95" s="7" t="n">
        <v>481.4</v>
      </c>
      <c r="L95" s="7" t="n">
        <v>715.4</v>
      </c>
      <c r="N95" s="7" t="n">
        <v>913.4</v>
      </c>
      <c r="P95" s="7" t="n">
        <v>584.4</v>
      </c>
      <c r="R95" s="7" t="n">
        <v>742.1</v>
      </c>
      <c r="T95" s="7" t="n">
        <v>329.6</v>
      </c>
      <c r="V95" s="7" t="n">
        <v>452</v>
      </c>
      <c r="X95" s="7" t="n">
        <v>343.8</v>
      </c>
      <c r="Z95" s="7" t="n">
        <v>319.5</v>
      </c>
      <c r="AB95" s="7" t="n">
        <v>5919.8</v>
      </c>
    </row>
    <row r="96">
      <c r="A96" s="4" t="inlineStr">
        <is>
          <t>研发费</t>
        </is>
      </c>
      <c r="D96" s="7" t="n">
        <v>2263.6</v>
      </c>
      <c r="F96" s="7" t="n">
        <v>2525.8</v>
      </c>
      <c r="H96" s="7" t="n">
        <v>5208.1</v>
      </c>
      <c r="J96" s="7" t="n">
        <v>3434.1</v>
      </c>
      <c r="L96" s="7" t="n">
        <v>7749.1</v>
      </c>
      <c r="N96" s="7" t="n">
        <v>5231.5</v>
      </c>
      <c r="P96" s="7" t="n">
        <v>4694.2</v>
      </c>
      <c r="R96" s="7" t="n">
        <v>6397.8</v>
      </c>
      <c r="T96" s="7" t="n">
        <v>2648.8</v>
      </c>
      <c r="V96" s="7" t="n">
        <v>3774.4</v>
      </c>
      <c r="X96" s="7" t="n">
        <v>2794.5</v>
      </c>
      <c r="Z96" s="7" t="n">
        <v>3520</v>
      </c>
      <c r="AB96" s="7" t="n">
        <v>50241.9</v>
      </c>
    </row>
    <row r="97">
      <c r="A97" s="4" t="inlineStr">
        <is>
          <t>残保金</t>
        </is>
      </c>
      <c r="D97" s="7" t="n">
        <v>582.6</v>
      </c>
      <c r="F97" s="7" t="n">
        <v>637.9</v>
      </c>
      <c r="H97" s="7" t="n">
        <v>1389.9</v>
      </c>
      <c r="J97" s="7" t="n">
        <v>1345.4</v>
      </c>
      <c r="L97" s="7" t="n">
        <v>1929.1</v>
      </c>
      <c r="N97" s="7" t="n">
        <v>1798.9</v>
      </c>
      <c r="P97" s="7" t="n">
        <v>959.4</v>
      </c>
      <c r="R97" s="7" t="n">
        <v>2124.8</v>
      </c>
      <c r="T97" s="7" t="n">
        <v>1141.2</v>
      </c>
      <c r="V97" s="7" t="n">
        <v>1046</v>
      </c>
      <c r="X97" s="7" t="n">
        <v>1009.2</v>
      </c>
      <c r="Z97" s="7" t="n">
        <v>947.2</v>
      </c>
      <c r="AB97" s="7" t="n">
        <v>14911.6</v>
      </c>
    </row>
    <row r="98">
      <c r="A98" s="4" t="inlineStr">
        <is>
          <t>环保费</t>
        </is>
      </c>
      <c r="D98" s="7" t="n">
        <v>1242.5</v>
      </c>
      <c r="F98" s="7" t="n">
        <v>1580.1</v>
      </c>
      <c r="H98" s="7" t="n">
        <v>3402</v>
      </c>
      <c r="J98" s="7" t="n">
        <v>2515.7</v>
      </c>
      <c r="L98" s="7" t="n">
        <v>4234.6</v>
      </c>
      <c r="N98" s="7" t="n">
        <v>3546</v>
      </c>
      <c r="P98" s="7" t="n">
        <v>2294</v>
      </c>
      <c r="R98" s="7" t="n">
        <v>3582.5</v>
      </c>
      <c r="T98" s="7" t="n">
        <v>1641.3</v>
      </c>
      <c r="V98" s="7" t="n">
        <v>2387.7</v>
      </c>
      <c r="X98" s="7" t="n">
        <v>1496.4</v>
      </c>
      <c r="Z98" s="7" t="n">
        <v>1733.3</v>
      </c>
      <c r="AB98" s="7" t="n">
        <v>29656.1</v>
      </c>
    </row>
    <row r="99">
      <c r="A99" s="4" t="inlineStr">
        <is>
          <t>报废损失</t>
        </is>
      </c>
      <c r="D99" s="7" t="n">
        <v>524.2</v>
      </c>
      <c r="F99" s="7" t="n">
        <v>805</v>
      </c>
      <c r="H99" s="7" t="n">
        <v>1186</v>
      </c>
      <c r="J99" s="7" t="n">
        <v>1495.1</v>
      </c>
      <c r="L99" s="7" t="n">
        <v>2082.7</v>
      </c>
      <c r="N99" s="7" t="n">
        <v>1573.3</v>
      </c>
      <c r="P99" s="7" t="n">
        <v>1317.8</v>
      </c>
      <c r="R99" s="7" t="n">
        <v>1951.5</v>
      </c>
      <c r="T99" s="7" t="n">
        <v>669.2</v>
      </c>
      <c r="V99" s="7" t="n">
        <v>1571.4</v>
      </c>
      <c r="X99" s="7" t="n">
        <v>884.7</v>
      </c>
      <c r="Z99" s="7" t="n">
        <v>1433.3</v>
      </c>
      <c r="AB99" s="7" t="n">
        <v>15494.2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494745.4</v>
      </c>
      <c r="D100" s="7" t="n">
        <v>310163.3</v>
      </c>
      <c r="E100" s="7" t="n">
        <v>609469</v>
      </c>
      <c r="F100" s="7" t="n">
        <v>293911.2</v>
      </c>
      <c r="G100" s="7" t="n">
        <v>534852.4</v>
      </c>
      <c r="H100" s="7" t="n">
        <v>472709.1</v>
      </c>
      <c r="I100" s="7" t="n">
        <v>511098.2</v>
      </c>
      <c r="J100" s="7" t="n">
        <v>439737</v>
      </c>
      <c r="K100" s="7" t="n">
        <v>640565.7</v>
      </c>
      <c r="L100" s="7" t="n">
        <v>725817.2</v>
      </c>
      <c r="M100" s="7" t="n">
        <v>592918.5</v>
      </c>
      <c r="N100" s="7" t="n">
        <v>850353.3</v>
      </c>
      <c r="O100" s="7" t="n">
        <v>612120.2</v>
      </c>
      <c r="P100" s="7" t="n">
        <v>945832.7</v>
      </c>
      <c r="Q100" s="7" t="n">
        <v>586968.2</v>
      </c>
      <c r="R100" s="7" t="n">
        <v>648941.8</v>
      </c>
      <c r="S100" s="7" t="n">
        <v>509967.1</v>
      </c>
      <c r="T100" s="7" t="n">
        <v>730197.7</v>
      </c>
      <c r="U100" s="7" t="n">
        <v>500326</v>
      </c>
      <c r="V100" s="7" t="n">
        <v>749814.6</v>
      </c>
      <c r="W100" s="7" t="n">
        <v>486962.4</v>
      </c>
      <c r="X100" s="7" t="n">
        <v>377565.8</v>
      </c>
      <c r="Y100" s="7" t="n">
        <v>499710.7</v>
      </c>
      <c r="Z100" s="7" t="n">
        <v>220638.9</v>
      </c>
      <c r="AA100" s="8" t="n">
        <v>6579703.8</v>
      </c>
      <c r="AB100" s="8" t="n">
        <v>6765682.6</v>
      </c>
    </row>
    <row r="101">
      <c r="A101" s="4" t="inlineStr">
        <is>
          <t>职工薪酬</t>
        </is>
      </c>
      <c r="D101" s="7" t="n">
        <v>162905.6</v>
      </c>
      <c r="F101" s="7" t="n">
        <v>157228.3</v>
      </c>
      <c r="H101" s="7" t="n">
        <v>228657.9</v>
      </c>
      <c r="J101" s="7" t="n">
        <v>216372.9</v>
      </c>
      <c r="L101" s="7" t="n">
        <v>385168.9</v>
      </c>
      <c r="N101" s="7" t="n">
        <v>437727.8</v>
      </c>
      <c r="P101" s="7" t="n">
        <v>418551.9</v>
      </c>
      <c r="R101" s="7" t="n">
        <v>336836.1</v>
      </c>
      <c r="T101" s="7" t="n">
        <v>379783.1</v>
      </c>
      <c r="V101" s="7" t="n">
        <v>434666.5</v>
      </c>
      <c r="X101" s="7" t="n">
        <v>221241.6</v>
      </c>
      <c r="Z101" s="7" t="n">
        <v>86625.2</v>
      </c>
      <c r="AB101" s="7" t="n">
        <v>3465765.8</v>
      </c>
    </row>
    <row r="102">
      <c r="A102" s="4" t="inlineStr">
        <is>
          <t>工资</t>
        </is>
      </c>
      <c r="D102" s="7" t="n">
        <v>88630.89999999999</v>
      </c>
      <c r="F102" s="7" t="n">
        <v>91414.39999999999</v>
      </c>
      <c r="H102" s="7" t="n">
        <v>132933.3</v>
      </c>
      <c r="J102" s="7" t="n">
        <v>116817.7</v>
      </c>
      <c r="L102" s="7" t="n">
        <v>239351.7</v>
      </c>
      <c r="N102" s="7" t="n">
        <v>245196.4</v>
      </c>
      <c r="P102" s="7" t="n">
        <v>266880.4</v>
      </c>
      <c r="R102" s="7" t="n">
        <v>203139.1</v>
      </c>
      <c r="T102" s="7" t="n">
        <v>231294.1</v>
      </c>
      <c r="V102" s="7" t="n">
        <v>282083.5</v>
      </c>
      <c r="X102" s="7" t="n">
        <v>139422.4</v>
      </c>
      <c r="Z102" s="7" t="n">
        <v>49869.9</v>
      </c>
      <c r="AB102" s="7" t="n">
        <v>2087033.8</v>
      </c>
    </row>
    <row r="103">
      <c r="A103" s="4" t="inlineStr">
        <is>
          <t>奖金及提成</t>
        </is>
      </c>
      <c r="D103" s="7" t="n">
        <v>36901</v>
      </c>
      <c r="F103" s="7" t="n">
        <v>27374.7</v>
      </c>
      <c r="H103" s="7" t="n">
        <v>42947.3</v>
      </c>
      <c r="J103" s="7" t="n">
        <v>49003.2</v>
      </c>
      <c r="L103" s="7" t="n">
        <v>52278.1</v>
      </c>
      <c r="N103" s="7" t="n">
        <v>103295.9</v>
      </c>
      <c r="P103" s="7" t="n">
        <v>68082.5</v>
      </c>
      <c r="R103" s="7" t="n">
        <v>61261.6</v>
      </c>
      <c r="T103" s="7" t="n">
        <v>66579.60000000001</v>
      </c>
      <c r="V103" s="7" t="n">
        <v>83935.7</v>
      </c>
      <c r="X103" s="7" t="n">
        <v>37082.8</v>
      </c>
      <c r="Z103" s="7" t="n">
        <v>15942.9</v>
      </c>
      <c r="AB103" s="7" t="n">
        <v>644685.3</v>
      </c>
    </row>
    <row r="104">
      <c r="A104" s="4" t="inlineStr">
        <is>
          <t>社保</t>
        </is>
      </c>
      <c r="D104" s="7" t="n">
        <v>28373</v>
      </c>
      <c r="F104" s="7" t="n">
        <v>30214.8</v>
      </c>
      <c r="H104" s="7" t="n">
        <v>39292.6</v>
      </c>
      <c r="J104" s="7" t="n">
        <v>37637.1</v>
      </c>
      <c r="L104" s="7" t="n">
        <v>74192</v>
      </c>
      <c r="N104" s="7" t="n">
        <v>65635.60000000001</v>
      </c>
      <c r="P104" s="7" t="n">
        <v>57956.5</v>
      </c>
      <c r="R104" s="7" t="n">
        <v>56120.2</v>
      </c>
      <c r="T104" s="7" t="n">
        <v>63675.8</v>
      </c>
      <c r="V104" s="7" t="n">
        <v>46933.1</v>
      </c>
      <c r="X104" s="7" t="n">
        <v>33756.4</v>
      </c>
      <c r="Z104" s="7" t="n">
        <v>14714.7</v>
      </c>
      <c r="AB104" s="7" t="n">
        <v>548501.8</v>
      </c>
    </row>
    <row r="105">
      <c r="A105" s="4" t="inlineStr">
        <is>
          <t>养老</t>
        </is>
      </c>
      <c r="D105" s="7" t="n">
        <v>467.7</v>
      </c>
      <c r="F105" s="7" t="n">
        <v>419.1</v>
      </c>
      <c r="H105" s="7" t="n">
        <v>722.1</v>
      </c>
      <c r="J105" s="7" t="n">
        <v>479.4</v>
      </c>
      <c r="L105" s="7" t="n">
        <v>891.6</v>
      </c>
      <c r="N105" s="7" t="n">
        <v>914.9</v>
      </c>
      <c r="P105" s="7" t="n">
        <v>1017.3</v>
      </c>
      <c r="R105" s="7" t="n">
        <v>830.7</v>
      </c>
      <c r="T105" s="7" t="n">
        <v>812.2</v>
      </c>
      <c r="V105" s="7" t="n">
        <v>890.7</v>
      </c>
      <c r="X105" s="7" t="n">
        <v>658.8</v>
      </c>
      <c r="Z105" s="7" t="n">
        <v>361</v>
      </c>
      <c r="AB105" s="7" t="n">
        <v>8465.5</v>
      </c>
    </row>
    <row r="106">
      <c r="A106" s="4" t="inlineStr">
        <is>
          <t>医疗</t>
        </is>
      </c>
      <c r="D106" s="7" t="n">
        <v>1560.8</v>
      </c>
      <c r="F106" s="7" t="n">
        <v>1269.3</v>
      </c>
      <c r="H106" s="7" t="n">
        <v>1971.5</v>
      </c>
      <c r="J106" s="7" t="n">
        <v>1845</v>
      </c>
      <c r="L106" s="7" t="n">
        <v>2634</v>
      </c>
      <c r="N106" s="7" t="n">
        <v>3205.3</v>
      </c>
      <c r="P106" s="7" t="n">
        <v>4774.4</v>
      </c>
      <c r="R106" s="7" t="n">
        <v>2478.2</v>
      </c>
      <c r="T106" s="7" t="n">
        <v>2825</v>
      </c>
      <c r="V106" s="7" t="n">
        <v>2654.4</v>
      </c>
      <c r="X106" s="7" t="n">
        <v>1365.7</v>
      </c>
      <c r="Z106" s="7" t="n">
        <v>761.4</v>
      </c>
      <c r="AB106" s="7" t="n">
        <v>27345</v>
      </c>
    </row>
    <row r="107">
      <c r="A107" s="4" t="inlineStr">
        <is>
          <t>工伤</t>
        </is>
      </c>
      <c r="D107" s="7" t="n">
        <v>2298.3</v>
      </c>
      <c r="F107" s="7" t="n">
        <v>1992.4</v>
      </c>
      <c r="H107" s="7" t="n">
        <v>2470.4</v>
      </c>
      <c r="J107" s="7" t="n">
        <v>2220.2</v>
      </c>
      <c r="L107" s="7" t="n">
        <v>3190</v>
      </c>
      <c r="N107" s="7" t="n">
        <v>6220.7</v>
      </c>
      <c r="P107" s="7" t="n">
        <v>5964.5</v>
      </c>
      <c r="R107" s="7" t="n">
        <v>3594.2</v>
      </c>
      <c r="T107" s="7" t="n">
        <v>5422.8</v>
      </c>
      <c r="V107" s="7" t="n">
        <v>4667.5</v>
      </c>
      <c r="X107" s="7" t="n">
        <v>2569.7</v>
      </c>
      <c r="Z107" s="7" t="n">
        <v>1102.3</v>
      </c>
      <c r="AB107" s="7" t="n">
        <v>41713</v>
      </c>
    </row>
    <row r="108">
      <c r="A108" s="4" t="inlineStr">
        <is>
          <t>失业</t>
        </is>
      </c>
      <c r="D108" s="7" t="n">
        <v>1743.3</v>
      </c>
      <c r="F108" s="7" t="n">
        <v>1177.1</v>
      </c>
      <c r="H108" s="7" t="n">
        <v>2123</v>
      </c>
      <c r="J108" s="7" t="n">
        <v>1700.8</v>
      </c>
      <c r="L108" s="7" t="n">
        <v>4126.3</v>
      </c>
      <c r="N108" s="7" t="n">
        <v>4825.2</v>
      </c>
      <c r="P108" s="7" t="n">
        <v>3756.5</v>
      </c>
      <c r="R108" s="7" t="n">
        <v>3049.5</v>
      </c>
      <c r="T108" s="7" t="n">
        <v>3735.8</v>
      </c>
      <c r="V108" s="7" t="n">
        <v>3797.4</v>
      </c>
      <c r="X108" s="7" t="n">
        <v>1811.5</v>
      </c>
      <c r="Z108" s="7" t="n">
        <v>804.2</v>
      </c>
      <c r="AB108" s="7" t="n">
        <v>32650.6</v>
      </c>
    </row>
    <row r="109">
      <c r="A109" s="4" t="inlineStr">
        <is>
          <t>生育</t>
        </is>
      </c>
      <c r="D109" s="7" t="n">
        <v>87.09999999999999</v>
      </c>
      <c r="F109" s="7" t="n">
        <v>87.59999999999999</v>
      </c>
      <c r="H109" s="7" t="n">
        <v>157.4</v>
      </c>
      <c r="J109" s="7" t="n">
        <v>135.8</v>
      </c>
      <c r="L109" s="7" t="n">
        <v>286.6</v>
      </c>
      <c r="N109" s="7" t="n">
        <v>344.2</v>
      </c>
      <c r="P109" s="7" t="n">
        <v>326.1</v>
      </c>
      <c r="R109" s="7" t="n">
        <v>207.2</v>
      </c>
      <c r="T109" s="7" t="n">
        <v>265.7</v>
      </c>
      <c r="V109" s="7" t="n">
        <v>237.9</v>
      </c>
      <c r="X109" s="7" t="n">
        <v>143.6</v>
      </c>
      <c r="Z109" s="7" t="n">
        <v>59.5</v>
      </c>
      <c r="AB109" s="7" t="n">
        <v>2338.7</v>
      </c>
    </row>
    <row r="110">
      <c r="A110" s="4" t="inlineStr">
        <is>
          <t>公积金</t>
        </is>
      </c>
      <c r="D110" s="7" t="n">
        <v>386.3</v>
      </c>
      <c r="F110" s="7" t="n">
        <v>338.5</v>
      </c>
      <c r="H110" s="7" t="n">
        <v>955.1</v>
      </c>
      <c r="J110" s="7" t="n">
        <v>749.1</v>
      </c>
      <c r="L110" s="7" t="n">
        <v>922</v>
      </c>
      <c r="N110" s="7" t="n">
        <v>1548.9</v>
      </c>
      <c r="P110" s="7" t="n">
        <v>1188.6</v>
      </c>
      <c r="R110" s="7" t="n">
        <v>1046.8</v>
      </c>
      <c r="T110" s="7" t="n">
        <v>866.2</v>
      </c>
      <c r="V110" s="7" t="n">
        <v>1097.9</v>
      </c>
      <c r="X110" s="7" t="n">
        <v>764.7</v>
      </c>
      <c r="Z110" s="7" t="n">
        <v>364.5</v>
      </c>
      <c r="AB110" s="7" t="n">
        <v>10228.6</v>
      </c>
    </row>
    <row r="111">
      <c r="A111" s="4" t="inlineStr">
        <is>
          <t>工会经费</t>
        </is>
      </c>
      <c r="D111" s="7" t="n">
        <v>422.6</v>
      </c>
      <c r="F111" s="7" t="n">
        <v>434.8</v>
      </c>
      <c r="H111" s="7" t="n">
        <v>551</v>
      </c>
      <c r="J111" s="7" t="n">
        <v>546.6</v>
      </c>
      <c r="L111" s="7" t="n">
        <v>964.3</v>
      </c>
      <c r="N111" s="7" t="n">
        <v>1306.2</v>
      </c>
      <c r="P111" s="7" t="n">
        <v>926.8</v>
      </c>
      <c r="R111" s="7" t="n">
        <v>694.3</v>
      </c>
      <c r="T111" s="7" t="n">
        <v>669.7</v>
      </c>
      <c r="V111" s="7" t="n">
        <v>821.4</v>
      </c>
      <c r="X111" s="7" t="n">
        <v>457.9</v>
      </c>
      <c r="Z111" s="7" t="n">
        <v>246.1</v>
      </c>
      <c r="AB111" s="7" t="n">
        <v>8041.7</v>
      </c>
    </row>
    <row r="112">
      <c r="A112" s="4" t="inlineStr">
        <is>
          <t>职工教育经费</t>
        </is>
      </c>
      <c r="D112" s="7" t="n">
        <v>1490.7</v>
      </c>
      <c r="F112" s="7" t="n">
        <v>1909.4</v>
      </c>
      <c r="H112" s="7" t="n">
        <v>2994.4</v>
      </c>
      <c r="J112" s="7" t="n">
        <v>3197.5</v>
      </c>
      <c r="L112" s="7" t="n">
        <v>3469.9</v>
      </c>
      <c r="N112" s="7" t="n">
        <v>5917.1</v>
      </c>
      <c r="P112" s="7" t="n">
        <v>5262.7</v>
      </c>
      <c r="R112" s="7" t="n">
        <v>3090.4</v>
      </c>
      <c r="T112" s="7" t="n">
        <v>3419.8</v>
      </c>
      <c r="V112" s="7" t="n">
        <v>5208</v>
      </c>
      <c r="X112" s="7" t="n">
        <v>2246.6</v>
      </c>
      <c r="Z112" s="7" t="n">
        <v>1633</v>
      </c>
      <c r="AB112" s="7" t="n">
        <v>39839.5</v>
      </c>
    </row>
    <row r="113">
      <c r="A113" s="4" t="inlineStr">
        <is>
          <t>福利费</t>
        </is>
      </c>
      <c r="D113" s="7" t="n">
        <v>6701.1</v>
      </c>
      <c r="F113" s="7" t="n">
        <v>5541.7</v>
      </c>
      <c r="H113" s="7" t="n">
        <v>8984.200000000001</v>
      </c>
      <c r="J113" s="7" t="n">
        <v>8421.700000000001</v>
      </c>
      <c r="L113" s="7" t="n">
        <v>13990.9</v>
      </c>
      <c r="N113" s="7" t="n">
        <v>14827.7</v>
      </c>
      <c r="P113" s="7" t="n">
        <v>18254.4</v>
      </c>
      <c r="R113" s="7" t="n">
        <v>11483.7</v>
      </c>
      <c r="T113" s="7" t="n">
        <v>13277.9</v>
      </c>
      <c r="V113" s="7" t="n">
        <v>14586.9</v>
      </c>
      <c r="X113" s="7" t="n">
        <v>7510.8</v>
      </c>
      <c r="Z113" s="7" t="n">
        <v>3854.1</v>
      </c>
      <c r="AB113" s="7" t="n">
        <v>127435.1</v>
      </c>
    </row>
    <row r="114">
      <c r="A114" s="4" t="inlineStr">
        <is>
          <t>职工房租</t>
        </is>
      </c>
      <c r="D114" s="7" t="n">
        <v>1570.1</v>
      </c>
      <c r="F114" s="7" t="n">
        <v>1006.3</v>
      </c>
      <c r="H114" s="7" t="n">
        <v>1731.1</v>
      </c>
      <c r="J114" s="7" t="n">
        <v>1544.8</v>
      </c>
      <c r="L114" s="7" t="n">
        <v>2482</v>
      </c>
      <c r="N114" s="7" t="n">
        <v>3046.3</v>
      </c>
      <c r="P114" s="7" t="n">
        <v>3525.8</v>
      </c>
      <c r="R114" s="7" t="n">
        <v>1947.2</v>
      </c>
      <c r="T114" s="7" t="n">
        <v>2433</v>
      </c>
      <c r="V114" s="7" t="n">
        <v>3072.3</v>
      </c>
      <c r="X114" s="7" t="n">
        <v>1392.2</v>
      </c>
      <c r="Z114" s="7" t="n">
        <v>1085.5</v>
      </c>
      <c r="AB114" s="7" t="n">
        <v>24836.6</v>
      </c>
    </row>
    <row r="115">
      <c r="A115" s="4" t="inlineStr">
        <is>
          <t>水电物业费</t>
        </is>
      </c>
      <c r="D115" s="7" t="n">
        <v>488.7</v>
      </c>
      <c r="F115" s="7" t="n">
        <v>684.5</v>
      </c>
      <c r="H115" s="7" t="n">
        <v>730.5</v>
      </c>
      <c r="J115" s="7" t="n">
        <v>942.9</v>
      </c>
      <c r="L115" s="7" t="n">
        <v>1103.2</v>
      </c>
      <c r="N115" s="7" t="n">
        <v>2009.3</v>
      </c>
      <c r="P115" s="7" t="n">
        <v>1502.9</v>
      </c>
      <c r="R115" s="7" t="n">
        <v>1230.1</v>
      </c>
      <c r="T115" s="7" t="n">
        <v>1150.2</v>
      </c>
      <c r="V115" s="7" t="n">
        <v>1376.7</v>
      </c>
      <c r="X115" s="7" t="n">
        <v>803.1</v>
      </c>
      <c r="Z115" s="7" t="n">
        <v>305.2</v>
      </c>
      <c r="AB115" s="7" t="n">
        <v>12327.3</v>
      </c>
    </row>
    <row r="116">
      <c r="A116" s="4" t="inlineStr">
        <is>
          <t>员工餐</t>
        </is>
      </c>
      <c r="D116" s="7" t="n">
        <v>457.9</v>
      </c>
      <c r="F116" s="7" t="n">
        <v>468.4</v>
      </c>
      <c r="H116" s="7" t="n">
        <v>721</v>
      </c>
      <c r="J116" s="7" t="n">
        <v>746.5</v>
      </c>
      <c r="L116" s="7" t="n">
        <v>1303.6</v>
      </c>
      <c r="N116" s="7" t="n">
        <v>1213.1</v>
      </c>
      <c r="P116" s="7" t="n">
        <v>1716.4</v>
      </c>
      <c r="R116" s="7" t="n">
        <v>1183.4</v>
      </c>
      <c r="T116" s="7" t="n">
        <v>799.3</v>
      </c>
      <c r="V116" s="7" t="n">
        <v>1340.1</v>
      </c>
      <c r="X116" s="7" t="n">
        <v>742.7</v>
      </c>
      <c r="Z116" s="7" t="n">
        <v>366.1</v>
      </c>
      <c r="AB116" s="7" t="n">
        <v>11058.5</v>
      </c>
    </row>
    <row r="117">
      <c r="A117" s="4" t="inlineStr">
        <is>
          <t>节日礼品</t>
        </is>
      </c>
      <c r="D117" s="7" t="n">
        <v>1790.1</v>
      </c>
      <c r="F117" s="7" t="n">
        <v>1426.6</v>
      </c>
      <c r="H117" s="7" t="n">
        <v>1913.1</v>
      </c>
      <c r="J117" s="7" t="n">
        <v>2360.9</v>
      </c>
      <c r="L117" s="7" t="n">
        <v>4315</v>
      </c>
      <c r="N117" s="7" t="n">
        <v>3138.1</v>
      </c>
      <c r="P117" s="7" t="n">
        <v>5214.2</v>
      </c>
      <c r="R117" s="7" t="n">
        <v>2279.9</v>
      </c>
      <c r="T117" s="7" t="n">
        <v>3735.4</v>
      </c>
      <c r="V117" s="7" t="n">
        <v>3468</v>
      </c>
      <c r="X117" s="7" t="n">
        <v>2170.7</v>
      </c>
      <c r="Z117" s="7" t="n">
        <v>759.6</v>
      </c>
      <c r="AB117" s="7" t="n">
        <v>32571.6</v>
      </c>
    </row>
    <row r="118">
      <c r="A118" s="4" t="inlineStr">
        <is>
          <t>生日礼品</t>
        </is>
      </c>
      <c r="D118" s="7" t="n">
        <v>694.6</v>
      </c>
      <c r="F118" s="7" t="n">
        <v>447.5</v>
      </c>
      <c r="H118" s="7" t="n">
        <v>984.1</v>
      </c>
      <c r="J118" s="7" t="n">
        <v>558.5</v>
      </c>
      <c r="L118" s="7" t="n">
        <v>1049.7</v>
      </c>
      <c r="N118" s="7" t="n">
        <v>1728.4</v>
      </c>
      <c r="P118" s="7" t="n">
        <v>1962.5</v>
      </c>
      <c r="R118" s="7" t="n">
        <v>1422.2</v>
      </c>
      <c r="T118" s="7" t="n">
        <v>1006.8</v>
      </c>
      <c r="V118" s="7" t="n">
        <v>1540.5</v>
      </c>
      <c r="X118" s="7" t="n">
        <v>695.2</v>
      </c>
      <c r="Z118" s="7" t="n">
        <v>331</v>
      </c>
      <c r="AB118" s="7" t="n">
        <v>12421</v>
      </c>
    </row>
    <row r="119">
      <c r="A119" s="4" t="inlineStr">
        <is>
          <t>体检</t>
        </is>
      </c>
      <c r="D119" s="7" t="n">
        <v>642.9</v>
      </c>
      <c r="F119" s="7" t="n">
        <v>867</v>
      </c>
      <c r="H119" s="7" t="n">
        <v>1378.6</v>
      </c>
      <c r="J119" s="7" t="n">
        <v>1298.7</v>
      </c>
      <c r="L119" s="7" t="n">
        <v>2149</v>
      </c>
      <c r="N119" s="7" t="n">
        <v>1785.7</v>
      </c>
      <c r="P119" s="7" t="n">
        <v>1891</v>
      </c>
      <c r="R119" s="7" t="n">
        <v>2156.2</v>
      </c>
      <c r="T119" s="7" t="n">
        <v>2010.2</v>
      </c>
      <c r="V119" s="7" t="n">
        <v>1614.7</v>
      </c>
      <c r="X119" s="7" t="n">
        <v>756.5</v>
      </c>
      <c r="Z119" s="7" t="n">
        <v>441.4</v>
      </c>
      <c r="AB119" s="7" t="n">
        <v>16991.9</v>
      </c>
    </row>
    <row r="120">
      <c r="A120" s="4" t="inlineStr">
        <is>
          <t>其他福利支出</t>
        </is>
      </c>
      <c r="D120" s="7" t="n">
        <v>1056.8</v>
      </c>
      <c r="F120" s="7" t="n">
        <v>641.4</v>
      </c>
      <c r="H120" s="7" t="n">
        <v>1525.8</v>
      </c>
      <c r="J120" s="7" t="n">
        <v>969.4</v>
      </c>
      <c r="L120" s="7" t="n">
        <v>1588.4</v>
      </c>
      <c r="N120" s="7" t="n">
        <v>1906.8</v>
      </c>
      <c r="P120" s="7" t="n">
        <v>2441.6</v>
      </c>
      <c r="R120" s="7" t="n">
        <v>1264.7</v>
      </c>
      <c r="T120" s="7" t="n">
        <v>2143</v>
      </c>
      <c r="V120" s="7" t="n">
        <v>2174.6</v>
      </c>
      <c r="X120" s="7" t="n">
        <v>950.4</v>
      </c>
      <c r="Z120" s="7" t="n">
        <v>565.3</v>
      </c>
      <c r="AB120" s="7" t="n">
        <v>17228.2</v>
      </c>
    </row>
    <row r="121">
      <c r="A121" s="4" t="inlineStr">
        <is>
          <t>招聘费</t>
        </is>
      </c>
      <c r="D121" s="7" t="n">
        <v>1340.2</v>
      </c>
      <c r="F121" s="7" t="n">
        <v>2181.7</v>
      </c>
      <c r="H121" s="7" t="n">
        <v>2270.4</v>
      </c>
      <c r="J121" s="7" t="n">
        <v>2654.9</v>
      </c>
      <c r="L121" s="7" t="n">
        <v>4732.6</v>
      </c>
      <c r="N121" s="7" t="n">
        <v>5984.5</v>
      </c>
      <c r="P121" s="7" t="n">
        <v>5144</v>
      </c>
      <c r="R121" s="7" t="n">
        <v>4918.9</v>
      </c>
      <c r="T121" s="7" t="n">
        <v>3278.4</v>
      </c>
      <c r="V121" s="7" t="n">
        <v>3975.5</v>
      </c>
      <c r="X121" s="7" t="n">
        <v>2129.6</v>
      </c>
      <c r="Z121" s="7" t="n">
        <v>990.1</v>
      </c>
      <c r="AB121" s="7" t="n">
        <v>39600.8</v>
      </c>
    </row>
    <row r="122">
      <c r="A122" s="4" t="inlineStr">
        <is>
          <t>办公费</t>
        </is>
      </c>
      <c r="D122" s="7" t="n">
        <v>11770.1</v>
      </c>
      <c r="F122" s="7" t="n">
        <v>7087.6</v>
      </c>
      <c r="H122" s="7" t="n">
        <v>11891</v>
      </c>
      <c r="J122" s="7" t="n">
        <v>13839</v>
      </c>
      <c r="L122" s="7" t="n">
        <v>25296.5</v>
      </c>
      <c r="N122" s="7" t="n">
        <v>30348.4</v>
      </c>
      <c r="P122" s="7" t="n">
        <v>22767.4</v>
      </c>
      <c r="R122" s="7" t="n">
        <v>13967</v>
      </c>
      <c r="T122" s="7" t="n">
        <v>18894.1</v>
      </c>
      <c r="V122" s="7" t="n">
        <v>28134.7</v>
      </c>
      <c r="X122" s="7" t="n">
        <v>13314.2</v>
      </c>
      <c r="Z122" s="7" t="n">
        <v>4818.8</v>
      </c>
      <c r="AB122" s="7" t="n">
        <v>202128.8</v>
      </c>
    </row>
    <row r="123">
      <c r="A123" s="4" t="inlineStr">
        <is>
          <t>市内交通费</t>
        </is>
      </c>
      <c r="D123" s="7" t="n">
        <v>1071.3</v>
      </c>
      <c r="F123" s="7" t="n">
        <v>1320</v>
      </c>
      <c r="H123" s="7" t="n">
        <v>1975.4</v>
      </c>
      <c r="J123" s="7" t="n">
        <v>1846.9</v>
      </c>
      <c r="L123" s="7" t="n">
        <v>3029.4</v>
      </c>
      <c r="N123" s="7" t="n">
        <v>3766.2</v>
      </c>
      <c r="P123" s="7" t="n">
        <v>2378.2</v>
      </c>
      <c r="R123" s="7" t="n">
        <v>2235.5</v>
      </c>
      <c r="T123" s="7" t="n">
        <v>2063.6</v>
      </c>
      <c r="V123" s="7" t="n">
        <v>2119.6</v>
      </c>
      <c r="X123" s="7" t="n">
        <v>1575.8</v>
      </c>
      <c r="Z123" s="7" t="n">
        <v>684.3</v>
      </c>
      <c r="AB123" s="7" t="n">
        <v>24066.2</v>
      </c>
    </row>
    <row r="124">
      <c r="A124" s="4" t="inlineStr">
        <is>
          <t>差旅费</t>
        </is>
      </c>
      <c r="D124" s="7" t="n">
        <v>22864.9</v>
      </c>
      <c r="F124" s="7" t="n">
        <v>12963.1</v>
      </c>
      <c r="H124" s="7" t="n">
        <v>33711.6</v>
      </c>
      <c r="J124" s="7" t="n">
        <v>29902</v>
      </c>
      <c r="L124" s="7" t="n">
        <v>54426.5</v>
      </c>
      <c r="N124" s="7" t="n">
        <v>43641.8</v>
      </c>
      <c r="P124" s="7" t="n">
        <v>69794.39999999999</v>
      </c>
      <c r="R124" s="7" t="n">
        <v>38062.1</v>
      </c>
      <c r="T124" s="7" t="n">
        <v>51072</v>
      </c>
      <c r="V124" s="7" t="n">
        <v>34234.5</v>
      </c>
      <c r="X124" s="7" t="n">
        <v>28326.6</v>
      </c>
      <c r="Z124" s="7" t="n">
        <v>14367.8</v>
      </c>
      <c r="AB124" s="7" t="n">
        <v>433367.3</v>
      </c>
    </row>
    <row r="125">
      <c r="A125" s="4" t="inlineStr">
        <is>
          <t>交通费</t>
        </is>
      </c>
      <c r="D125" s="7" t="n">
        <v>1254.5</v>
      </c>
      <c r="F125" s="7" t="n">
        <v>1140.3</v>
      </c>
      <c r="H125" s="7" t="n">
        <v>1635.4</v>
      </c>
      <c r="J125" s="7" t="n">
        <v>2335.2</v>
      </c>
      <c r="L125" s="7" t="n">
        <v>3487.5</v>
      </c>
      <c r="N125" s="7" t="n">
        <v>4690.5</v>
      </c>
      <c r="P125" s="7" t="n">
        <v>5380.1</v>
      </c>
      <c r="R125" s="7" t="n">
        <v>2146.6</v>
      </c>
      <c r="T125" s="7" t="n">
        <v>3030.2</v>
      </c>
      <c r="V125" s="7" t="n">
        <v>3482.3</v>
      </c>
      <c r="X125" s="7" t="n">
        <v>1748.6</v>
      </c>
      <c r="Z125" s="7" t="n">
        <v>1252</v>
      </c>
      <c r="AB125" s="7" t="n">
        <v>31583.2</v>
      </c>
    </row>
    <row r="126">
      <c r="A126" s="4" t="inlineStr">
        <is>
          <t>住宿费</t>
        </is>
      </c>
      <c r="D126" s="7" t="n">
        <v>346.8</v>
      </c>
      <c r="F126" s="7" t="n">
        <v>319.9</v>
      </c>
      <c r="H126" s="7" t="n">
        <v>431.6</v>
      </c>
      <c r="J126" s="7" t="n">
        <v>543.5</v>
      </c>
      <c r="L126" s="7" t="n">
        <v>541.6</v>
      </c>
      <c r="N126" s="7" t="n">
        <v>681.6</v>
      </c>
      <c r="P126" s="7" t="n">
        <v>1012.3</v>
      </c>
      <c r="R126" s="7" t="n">
        <v>774.8</v>
      </c>
      <c r="T126" s="7" t="n">
        <v>775.4</v>
      </c>
      <c r="V126" s="7" t="n">
        <v>843.1</v>
      </c>
      <c r="X126" s="7" t="n">
        <v>355.2</v>
      </c>
      <c r="Z126" s="7" t="n">
        <v>257.5</v>
      </c>
      <c r="AB126" s="7" t="n">
        <v>6883.3</v>
      </c>
    </row>
    <row r="127">
      <c r="A127" s="4" t="inlineStr">
        <is>
          <t>餐补</t>
        </is>
      </c>
      <c r="D127" s="7" t="n">
        <v>488.7</v>
      </c>
      <c r="F127" s="7" t="n">
        <v>545.3</v>
      </c>
      <c r="H127" s="7" t="n">
        <v>998.8</v>
      </c>
      <c r="J127" s="7" t="n">
        <v>1030.4</v>
      </c>
      <c r="L127" s="7" t="n">
        <v>1329.3</v>
      </c>
      <c r="N127" s="7" t="n">
        <v>1691</v>
      </c>
      <c r="P127" s="7" t="n">
        <v>1696.5</v>
      </c>
      <c r="R127" s="7" t="n">
        <v>1392.7</v>
      </c>
      <c r="T127" s="7" t="n">
        <v>1006.1</v>
      </c>
      <c r="V127" s="7" t="n">
        <v>1124.6</v>
      </c>
      <c r="X127" s="7" t="n">
        <v>542.7</v>
      </c>
      <c r="Z127" s="7" t="n">
        <v>306.4</v>
      </c>
      <c r="AB127" s="7" t="n">
        <v>12152.5</v>
      </c>
    </row>
    <row r="128">
      <c r="A128" s="4" t="inlineStr">
        <is>
          <t>交通补助</t>
        </is>
      </c>
      <c r="D128" s="7" t="n">
        <v>97.7</v>
      </c>
      <c r="F128" s="7" t="n">
        <v>116.3</v>
      </c>
      <c r="H128" s="7" t="n">
        <v>106</v>
      </c>
      <c r="J128" s="7" t="n">
        <v>152</v>
      </c>
      <c r="L128" s="7" t="n">
        <v>289.4</v>
      </c>
      <c r="N128" s="7" t="n">
        <v>271.2</v>
      </c>
      <c r="P128" s="7" t="n">
        <v>346.3</v>
      </c>
      <c r="R128" s="7" t="n">
        <v>229.8</v>
      </c>
      <c r="T128" s="7" t="n">
        <v>164.8</v>
      </c>
      <c r="V128" s="7" t="n">
        <v>289.7</v>
      </c>
      <c r="X128" s="7" t="n">
        <v>150.1</v>
      </c>
      <c r="Z128" s="7" t="n">
        <v>50.8</v>
      </c>
      <c r="AB128" s="7" t="n">
        <v>2264.1</v>
      </c>
    </row>
    <row r="129">
      <c r="A129" s="4" t="inlineStr">
        <is>
          <t>通讯补助</t>
        </is>
      </c>
      <c r="D129" s="7" t="n">
        <v>2117.8</v>
      </c>
      <c r="F129" s="7" t="n">
        <v>1632.8</v>
      </c>
      <c r="H129" s="7" t="n">
        <v>2958.3</v>
      </c>
      <c r="J129" s="7" t="n">
        <v>2906.3</v>
      </c>
      <c r="L129" s="7" t="n">
        <v>5125.8</v>
      </c>
      <c r="N129" s="7" t="n">
        <v>5049</v>
      </c>
      <c r="P129" s="7" t="n">
        <v>4834</v>
      </c>
      <c r="R129" s="7" t="n">
        <v>3830.2</v>
      </c>
      <c r="T129" s="7" t="n">
        <v>4387.5</v>
      </c>
      <c r="V129" s="7" t="n">
        <v>3578.1</v>
      </c>
      <c r="X129" s="7" t="n">
        <v>1932.8</v>
      </c>
      <c r="Z129" s="7" t="n">
        <v>1310</v>
      </c>
      <c r="AB129" s="7" t="n">
        <v>39662.6</v>
      </c>
    </row>
    <row r="130">
      <c r="A130" s="4" t="inlineStr">
        <is>
          <t>招待费</t>
        </is>
      </c>
      <c r="D130" s="7" t="n">
        <v>14157.5</v>
      </c>
      <c r="F130" s="7" t="n">
        <v>14559.7</v>
      </c>
      <c r="H130" s="7" t="n">
        <v>14476.9</v>
      </c>
      <c r="J130" s="7" t="n">
        <v>13389.4</v>
      </c>
      <c r="L130" s="7" t="n">
        <v>23380.1</v>
      </c>
      <c r="N130" s="7" t="n">
        <v>42286</v>
      </c>
      <c r="P130" s="7" t="n">
        <v>47942.7</v>
      </c>
      <c r="R130" s="7" t="n">
        <v>29827</v>
      </c>
      <c r="T130" s="7" t="n">
        <v>24822.7</v>
      </c>
      <c r="V130" s="7" t="n">
        <v>31028.3</v>
      </c>
      <c r="X130" s="7" t="n">
        <v>12219.1</v>
      </c>
      <c r="Z130" s="7" t="n">
        <v>6291.5</v>
      </c>
      <c r="AB130" s="7" t="n">
        <v>274380.9</v>
      </c>
    </row>
    <row r="131">
      <c r="A131" s="4" t="inlineStr">
        <is>
          <t>通讯费</t>
        </is>
      </c>
      <c r="D131" s="7" t="n">
        <v>1376.9</v>
      </c>
      <c r="F131" s="7" t="n">
        <v>1268.4</v>
      </c>
      <c r="H131" s="7" t="n">
        <v>2140.7</v>
      </c>
      <c r="J131" s="7" t="n">
        <v>2737.3</v>
      </c>
      <c r="L131" s="7" t="n">
        <v>4532.7</v>
      </c>
      <c r="N131" s="7" t="n">
        <v>4093.2</v>
      </c>
      <c r="P131" s="7" t="n">
        <v>6525.4</v>
      </c>
      <c r="R131" s="7" t="n">
        <v>3390.4</v>
      </c>
      <c r="T131" s="7" t="n">
        <v>5232.3</v>
      </c>
      <c r="V131" s="7" t="n">
        <v>5248.1</v>
      </c>
      <c r="X131" s="7" t="n">
        <v>2427.8</v>
      </c>
      <c r="Z131" s="7" t="n">
        <v>869.2</v>
      </c>
      <c r="AB131" s="7" t="n">
        <v>39842.4</v>
      </c>
    </row>
    <row r="132">
      <c r="A132" s="4" t="inlineStr">
        <is>
          <t>网络费</t>
        </is>
      </c>
      <c r="D132" s="7" t="n">
        <v>896.9</v>
      </c>
      <c r="F132" s="7" t="n">
        <v>1337</v>
      </c>
      <c r="H132" s="7" t="n">
        <v>1466.3</v>
      </c>
      <c r="J132" s="7" t="n">
        <v>1502.5</v>
      </c>
      <c r="L132" s="7" t="n">
        <v>3191.9</v>
      </c>
      <c r="N132" s="7" t="n">
        <v>2139.6</v>
      </c>
      <c r="P132" s="7" t="n">
        <v>3351</v>
      </c>
      <c r="R132" s="7" t="n">
        <v>2321.7</v>
      </c>
      <c r="T132" s="7" t="n">
        <v>2596.9</v>
      </c>
      <c r="V132" s="7" t="n">
        <v>2780.5</v>
      </c>
      <c r="X132" s="7" t="n">
        <v>1200.1</v>
      </c>
      <c r="Z132" s="7" t="n">
        <v>673.4</v>
      </c>
      <c r="AB132" s="7" t="n">
        <v>23457.8</v>
      </c>
    </row>
    <row r="133">
      <c r="A133" s="4" t="inlineStr">
        <is>
          <t>修理费</t>
        </is>
      </c>
      <c r="D133" s="7" t="n">
        <v>33.8</v>
      </c>
      <c r="F133" s="7" t="n">
        <v>48.8</v>
      </c>
      <c r="H133" s="7" t="n">
        <v>68.90000000000001</v>
      </c>
      <c r="J133" s="7" t="n">
        <v>55.6</v>
      </c>
      <c r="L133" s="7" t="n">
        <v>99.5</v>
      </c>
      <c r="N133" s="7" t="n">
        <v>105.5</v>
      </c>
      <c r="P133" s="7" t="n">
        <v>137.7</v>
      </c>
      <c r="R133" s="7" t="n">
        <v>108.5</v>
      </c>
      <c r="T133" s="7" t="n">
        <v>81.09999999999999</v>
      </c>
      <c r="V133" s="7" t="n">
        <v>113.5</v>
      </c>
      <c r="X133" s="7" t="n">
        <v>51.4</v>
      </c>
      <c r="Z133" s="7" t="n">
        <v>32.3</v>
      </c>
      <c r="AB133" s="7" t="n">
        <v>936.6</v>
      </c>
    </row>
    <row r="134">
      <c r="A134" s="4" t="inlineStr">
        <is>
          <t>车辆费</t>
        </is>
      </c>
      <c r="D134" s="7" t="n">
        <v>1724.8</v>
      </c>
      <c r="F134" s="7" t="n">
        <v>1882.6</v>
      </c>
      <c r="H134" s="7" t="n">
        <v>2312.7</v>
      </c>
      <c r="J134" s="7" t="n">
        <v>3306</v>
      </c>
      <c r="L134" s="7" t="n">
        <v>4553.7</v>
      </c>
      <c r="N134" s="7" t="n">
        <v>4484.8</v>
      </c>
      <c r="P134" s="7" t="n">
        <v>4708</v>
      </c>
      <c r="R134" s="7" t="n">
        <v>3119</v>
      </c>
      <c r="T134" s="7" t="n">
        <v>5421.3</v>
      </c>
      <c r="V134" s="7" t="n">
        <v>4374.8</v>
      </c>
      <c r="X134" s="7" t="n">
        <v>2633.4</v>
      </c>
      <c r="Z134" s="7" t="n">
        <v>1040.9</v>
      </c>
      <c r="AB134" s="7" t="n">
        <v>39562</v>
      </c>
    </row>
    <row r="135">
      <c r="A135" s="4" t="inlineStr">
        <is>
          <t>租赁费</t>
        </is>
      </c>
      <c r="D135" s="7" t="n">
        <v>14193.3</v>
      </c>
      <c r="F135" s="7" t="n">
        <v>11641.3</v>
      </c>
      <c r="H135" s="7" t="n">
        <v>22477.7</v>
      </c>
      <c r="J135" s="7" t="n">
        <v>27076.7</v>
      </c>
      <c r="L135" s="7" t="n">
        <v>33009.2</v>
      </c>
      <c r="N135" s="7" t="n">
        <v>31898</v>
      </c>
      <c r="P135" s="7" t="n">
        <v>56074.3</v>
      </c>
      <c r="R135" s="7" t="n">
        <v>25318.2</v>
      </c>
      <c r="T135" s="7" t="n">
        <v>39886</v>
      </c>
      <c r="V135" s="7" t="n">
        <v>39126.2</v>
      </c>
      <c r="X135" s="7" t="n">
        <v>23720</v>
      </c>
      <c r="Z135" s="7" t="n">
        <v>8721.299999999999</v>
      </c>
      <c r="AB135" s="7" t="n">
        <v>333142.2</v>
      </c>
    </row>
    <row r="136">
      <c r="A136" s="4" t="inlineStr">
        <is>
          <t>能源费</t>
        </is>
      </c>
      <c r="D136" s="7" t="n">
        <v>4800.2</v>
      </c>
      <c r="F136" s="7" t="n">
        <v>4918.5</v>
      </c>
      <c r="H136" s="7" t="n">
        <v>6406.7</v>
      </c>
      <c r="J136" s="7" t="n">
        <v>6954</v>
      </c>
      <c r="L136" s="7" t="n">
        <v>13414.1</v>
      </c>
      <c r="N136" s="7" t="n">
        <v>13541</v>
      </c>
      <c r="P136" s="7" t="n">
        <v>14036.8</v>
      </c>
      <c r="R136" s="7" t="n">
        <v>10021.2</v>
      </c>
      <c r="T136" s="7" t="n">
        <v>11949.2</v>
      </c>
      <c r="V136" s="7" t="n">
        <v>12802.7</v>
      </c>
      <c r="X136" s="7" t="n">
        <v>6040.3</v>
      </c>
      <c r="Z136" s="7" t="n">
        <v>3479.8</v>
      </c>
      <c r="AB136" s="7" t="n">
        <v>108364.5</v>
      </c>
    </row>
    <row r="137">
      <c r="A137" s="4" t="inlineStr">
        <is>
          <t>水费</t>
        </is>
      </c>
      <c r="D137" s="7" t="n">
        <v>1066.7</v>
      </c>
      <c r="F137" s="7" t="n">
        <v>707.6</v>
      </c>
      <c r="H137" s="7" t="n">
        <v>1357.3</v>
      </c>
      <c r="J137" s="7" t="n">
        <v>1597.7</v>
      </c>
      <c r="L137" s="7" t="n">
        <v>2499.6</v>
      </c>
      <c r="N137" s="7" t="n">
        <v>2837.6</v>
      </c>
      <c r="P137" s="7" t="n">
        <v>3655.9</v>
      </c>
      <c r="R137" s="7" t="n">
        <v>1430.5</v>
      </c>
      <c r="T137" s="7" t="n">
        <v>2054.5</v>
      </c>
      <c r="V137" s="7" t="n">
        <v>2052.6</v>
      </c>
      <c r="X137" s="7" t="n">
        <v>981.3</v>
      </c>
      <c r="Z137" s="7" t="n">
        <v>676</v>
      </c>
      <c r="AB137" s="7" t="n">
        <v>20917.3</v>
      </c>
    </row>
    <row r="138">
      <c r="A138" s="4" t="inlineStr">
        <is>
          <t>电费</t>
        </is>
      </c>
      <c r="D138" s="7" t="n">
        <v>1354.9</v>
      </c>
      <c r="F138" s="7" t="n">
        <v>944.5</v>
      </c>
      <c r="H138" s="7" t="n">
        <v>1648.5</v>
      </c>
      <c r="J138" s="7" t="n">
        <v>1424.2</v>
      </c>
      <c r="L138" s="7" t="n">
        <v>3361.6</v>
      </c>
      <c r="N138" s="7" t="n">
        <v>4166.7</v>
      </c>
      <c r="P138" s="7" t="n">
        <v>2903.2</v>
      </c>
      <c r="R138" s="7" t="n">
        <v>2375</v>
      </c>
      <c r="T138" s="7" t="n">
        <v>3158.6</v>
      </c>
      <c r="V138" s="7" t="n">
        <v>3847</v>
      </c>
      <c r="X138" s="7" t="n">
        <v>1796.4</v>
      </c>
      <c r="Z138" s="7" t="n">
        <v>742.7</v>
      </c>
      <c r="AB138" s="7" t="n">
        <v>27723.3</v>
      </c>
    </row>
    <row r="139">
      <c r="A139" s="4" t="inlineStr">
        <is>
          <t>燃气费</t>
        </is>
      </c>
      <c r="D139" s="7" t="n">
        <v>1249.6</v>
      </c>
      <c r="F139" s="7" t="n">
        <v>1910.2</v>
      </c>
      <c r="H139" s="7" t="n">
        <v>1920.6</v>
      </c>
      <c r="J139" s="7" t="n">
        <v>2827.3</v>
      </c>
      <c r="L139" s="7" t="n">
        <v>4557.4</v>
      </c>
      <c r="N139" s="7" t="n">
        <v>4216</v>
      </c>
      <c r="P139" s="7" t="n">
        <v>4457.6</v>
      </c>
      <c r="R139" s="7" t="n">
        <v>3825.1</v>
      </c>
      <c r="T139" s="7" t="n">
        <v>4823.3</v>
      </c>
      <c r="V139" s="7" t="n">
        <v>4536.8</v>
      </c>
      <c r="X139" s="7" t="n">
        <v>2074.1</v>
      </c>
      <c r="Z139" s="7" t="n">
        <v>1447.7</v>
      </c>
      <c r="AB139" s="7" t="n">
        <v>37845.7</v>
      </c>
    </row>
    <row r="140">
      <c r="A140" s="4" t="inlineStr">
        <is>
          <t>蒸汽费</t>
        </is>
      </c>
      <c r="D140" s="7" t="n">
        <v>1129</v>
      </c>
      <c r="F140" s="7" t="n">
        <v>1356.2</v>
      </c>
      <c r="H140" s="7" t="n">
        <v>1480.3</v>
      </c>
      <c r="J140" s="7" t="n">
        <v>1104.8</v>
      </c>
      <c r="L140" s="7" t="n">
        <v>2995.5</v>
      </c>
      <c r="N140" s="7" t="n">
        <v>2320.7</v>
      </c>
      <c r="P140" s="7" t="n">
        <v>3020.1</v>
      </c>
      <c r="R140" s="7" t="n">
        <v>2390.6</v>
      </c>
      <c r="T140" s="7" t="n">
        <v>1912.8</v>
      </c>
      <c r="V140" s="7" t="n">
        <v>2366.3</v>
      </c>
      <c r="X140" s="7" t="n">
        <v>1188.5</v>
      </c>
      <c r="Z140" s="7" t="n">
        <v>613.4</v>
      </c>
      <c r="AB140" s="7" t="n">
        <v>21878.2</v>
      </c>
    </row>
    <row r="141">
      <c r="A141" s="4" t="inlineStr">
        <is>
          <t>物业费</t>
        </is>
      </c>
      <c r="D141" s="7" t="n">
        <v>1192.4</v>
      </c>
      <c r="F141" s="7" t="n">
        <v>1897.9</v>
      </c>
      <c r="H141" s="7" t="n">
        <v>2092.2</v>
      </c>
      <c r="J141" s="7" t="n">
        <v>3032.7</v>
      </c>
      <c r="L141" s="7" t="n">
        <v>4975.9</v>
      </c>
      <c r="N141" s="7" t="n">
        <v>4660.1</v>
      </c>
      <c r="P141" s="7" t="n">
        <v>5620.7</v>
      </c>
      <c r="R141" s="7" t="n">
        <v>3519.2</v>
      </c>
      <c r="T141" s="7" t="n">
        <v>4804.8</v>
      </c>
      <c r="V141" s="7" t="n">
        <v>4165.8</v>
      </c>
      <c r="X141" s="7" t="n">
        <v>2414.9</v>
      </c>
      <c r="Z141" s="7" t="n">
        <v>1544.7</v>
      </c>
      <c r="AB141" s="7" t="n">
        <v>39921.3</v>
      </c>
    </row>
    <row r="142">
      <c r="A142" s="4" t="inlineStr">
        <is>
          <t>劳动保护费</t>
        </is>
      </c>
      <c r="D142" s="7" t="n">
        <v>1127.4</v>
      </c>
      <c r="F142" s="7" t="n">
        <v>1502.3</v>
      </c>
      <c r="H142" s="7" t="n">
        <v>2272.3</v>
      </c>
      <c r="J142" s="7" t="n">
        <v>2142.7</v>
      </c>
      <c r="L142" s="7" t="n">
        <v>2341.2</v>
      </c>
      <c r="N142" s="7" t="n">
        <v>3418.5</v>
      </c>
      <c r="P142" s="7" t="n">
        <v>3075.9</v>
      </c>
      <c r="R142" s="7" t="n">
        <v>2382.2</v>
      </c>
      <c r="T142" s="7" t="n">
        <v>2468.1</v>
      </c>
      <c r="V142" s="7" t="n">
        <v>3343.9</v>
      </c>
      <c r="X142" s="7" t="n">
        <v>1782.7</v>
      </c>
      <c r="Z142" s="7" t="n">
        <v>887.4</v>
      </c>
      <c r="AB142" s="7" t="n">
        <v>26744.6</v>
      </c>
    </row>
    <row r="143">
      <c r="A143" s="4" t="inlineStr">
        <is>
          <t>顾问费</t>
        </is>
      </c>
      <c r="D143" s="7" t="n">
        <v>219.5</v>
      </c>
      <c r="F143" s="7" t="n">
        <v>226</v>
      </c>
      <c r="H143" s="7" t="n">
        <v>396.6</v>
      </c>
      <c r="J143" s="7" t="n">
        <v>308.4</v>
      </c>
      <c r="L143" s="7" t="n">
        <v>600.1</v>
      </c>
      <c r="N143" s="7" t="n">
        <v>861.7</v>
      </c>
      <c r="P143" s="7" t="n">
        <v>915.5</v>
      </c>
      <c r="R143" s="7" t="n">
        <v>725.7</v>
      </c>
      <c r="T143" s="7" t="n">
        <v>532.4</v>
      </c>
      <c r="V143" s="7" t="n">
        <v>811.5</v>
      </c>
      <c r="X143" s="7" t="n">
        <v>452.7</v>
      </c>
      <c r="Z143" s="7" t="n">
        <v>262</v>
      </c>
      <c r="AB143" s="7" t="n">
        <v>6312.1</v>
      </c>
    </row>
    <row r="144">
      <c r="A144" s="4" t="inlineStr">
        <is>
          <t>快递费</t>
        </is>
      </c>
      <c r="D144" s="7" t="n">
        <v>1406.9</v>
      </c>
      <c r="F144" s="7" t="n">
        <v>1335.8</v>
      </c>
      <c r="H144" s="7" t="n">
        <v>1328.4</v>
      </c>
      <c r="J144" s="7" t="n">
        <v>1995.5</v>
      </c>
      <c r="L144" s="7" t="n">
        <v>2618.2</v>
      </c>
      <c r="N144" s="7" t="n">
        <v>3787.9</v>
      </c>
      <c r="P144" s="7" t="n">
        <v>3326.7</v>
      </c>
      <c r="R144" s="7" t="n">
        <v>2577.3</v>
      </c>
      <c r="T144" s="7" t="n">
        <v>3499.8</v>
      </c>
      <c r="V144" s="7" t="n">
        <v>2421.7</v>
      </c>
      <c r="X144" s="7" t="n">
        <v>1568.1</v>
      </c>
      <c r="Z144" s="7" t="n">
        <v>623.2</v>
      </c>
      <c r="AB144" s="7" t="n">
        <v>26489.5</v>
      </c>
    </row>
    <row r="145">
      <c r="A145" s="4" t="inlineStr">
        <is>
          <t>诉讼费</t>
        </is>
      </c>
      <c r="D145" s="7" t="n">
        <v>366.1</v>
      </c>
      <c r="F145" s="7" t="n">
        <v>237.7</v>
      </c>
      <c r="H145" s="7" t="n">
        <v>513.5</v>
      </c>
      <c r="J145" s="7" t="n">
        <v>340.6</v>
      </c>
      <c r="L145" s="7" t="n">
        <v>938.1</v>
      </c>
      <c r="N145" s="7" t="n">
        <v>855.3</v>
      </c>
      <c r="P145" s="7" t="n">
        <v>711</v>
      </c>
      <c r="R145" s="7" t="n">
        <v>761.9</v>
      </c>
      <c r="T145" s="7" t="n">
        <v>616.9</v>
      </c>
      <c r="V145" s="7" t="n">
        <v>554.7</v>
      </c>
      <c r="X145" s="7" t="n">
        <v>280.1</v>
      </c>
      <c r="Z145" s="7" t="n">
        <v>293.7</v>
      </c>
      <c r="AB145" s="7" t="n">
        <v>6469.6</v>
      </c>
    </row>
    <row r="146">
      <c r="A146" s="4" t="inlineStr">
        <is>
          <t>会员费</t>
        </is>
      </c>
      <c r="D146" s="7" t="n">
        <v>1557.1</v>
      </c>
      <c r="F146" s="7" t="n">
        <v>1176.4</v>
      </c>
      <c r="H146" s="7" t="n">
        <v>2173.9</v>
      </c>
      <c r="J146" s="7" t="n">
        <v>2639.5</v>
      </c>
      <c r="L146" s="7" t="n">
        <v>2500.3</v>
      </c>
      <c r="N146" s="7" t="n">
        <v>4500.7</v>
      </c>
      <c r="P146" s="7" t="n">
        <v>4156.6</v>
      </c>
      <c r="R146" s="7" t="n">
        <v>2570.8</v>
      </c>
      <c r="T146" s="7" t="n">
        <v>3032</v>
      </c>
      <c r="V146" s="7" t="n">
        <v>3742.8</v>
      </c>
      <c r="X146" s="7" t="n">
        <v>1557.4</v>
      </c>
      <c r="Z146" s="7" t="n">
        <v>1218.4</v>
      </c>
      <c r="AB146" s="7" t="n">
        <v>30825.9</v>
      </c>
    </row>
    <row r="147">
      <c r="A147" s="4" t="inlineStr">
        <is>
          <t>广告宣传费</t>
        </is>
      </c>
      <c r="D147" s="7" t="n">
        <v>11735.3</v>
      </c>
      <c r="F147" s="7" t="n">
        <v>9098.5</v>
      </c>
      <c r="H147" s="7" t="n">
        <v>11303.9</v>
      </c>
      <c r="J147" s="7" t="n">
        <v>12542.5</v>
      </c>
      <c r="L147" s="7" t="n">
        <v>25828.7</v>
      </c>
      <c r="N147" s="7" t="n">
        <v>20473.5</v>
      </c>
      <c r="P147" s="7" t="n">
        <v>33113.9</v>
      </c>
      <c r="R147" s="7" t="n">
        <v>22590.6</v>
      </c>
      <c r="T147" s="7" t="n">
        <v>16154.9</v>
      </c>
      <c r="V147" s="7" t="n">
        <v>21834.5</v>
      </c>
      <c r="X147" s="7" t="n">
        <v>11557.9</v>
      </c>
      <c r="Z147" s="7" t="n">
        <v>6349.9</v>
      </c>
      <c r="AB147" s="7" t="n">
        <v>202584.1</v>
      </c>
    </row>
    <row r="148">
      <c r="A148" s="4" t="inlineStr">
        <is>
          <t>会务费</t>
        </is>
      </c>
      <c r="D148" s="7" t="n">
        <v>1930.4</v>
      </c>
      <c r="F148" s="7" t="n">
        <v>1997.9</v>
      </c>
      <c r="H148" s="7" t="n">
        <v>3097.4</v>
      </c>
      <c r="J148" s="7" t="n">
        <v>1912.8</v>
      </c>
      <c r="L148" s="7" t="n">
        <v>4046.4</v>
      </c>
      <c r="N148" s="7" t="n">
        <v>5659.2</v>
      </c>
      <c r="P148" s="7" t="n">
        <v>6271.6</v>
      </c>
      <c r="R148" s="7" t="n">
        <v>3504</v>
      </c>
      <c r="T148" s="7" t="n">
        <v>4867.6</v>
      </c>
      <c r="V148" s="7" t="n">
        <v>4465</v>
      </c>
      <c r="X148" s="7" t="n">
        <v>2504.5</v>
      </c>
      <c r="Z148" s="7" t="n">
        <v>978.7</v>
      </c>
      <c r="AB148" s="7" t="n">
        <v>41235.5</v>
      </c>
    </row>
    <row r="149">
      <c r="A149" s="4" t="inlineStr">
        <is>
          <t>装修费</t>
        </is>
      </c>
      <c r="D149" s="7" t="n">
        <v>1564.8</v>
      </c>
      <c r="F149" s="7" t="n">
        <v>1802.5</v>
      </c>
      <c r="H149" s="7" t="n">
        <v>2533.5</v>
      </c>
      <c r="J149" s="7" t="n">
        <v>2539</v>
      </c>
      <c r="L149" s="7" t="n">
        <v>4768.4</v>
      </c>
      <c r="N149" s="7" t="n">
        <v>5805.1</v>
      </c>
      <c r="P149" s="7" t="n">
        <v>6304.1</v>
      </c>
      <c r="R149" s="7" t="n">
        <v>3986.3</v>
      </c>
      <c r="T149" s="7" t="n">
        <v>4527.3</v>
      </c>
      <c r="V149" s="7" t="n">
        <v>3228.9</v>
      </c>
      <c r="X149" s="7" t="n">
        <v>1962.1</v>
      </c>
      <c r="Z149" s="7" t="n">
        <v>1000.2</v>
      </c>
      <c r="AB149" s="7" t="n">
        <v>40022.2</v>
      </c>
    </row>
    <row r="150">
      <c r="A150" s="4" t="inlineStr">
        <is>
          <t>推广费</t>
        </is>
      </c>
      <c r="D150" s="7" t="n">
        <v>1436.4</v>
      </c>
      <c r="F150" s="7" t="n">
        <v>814.3</v>
      </c>
      <c r="H150" s="7" t="n">
        <v>2197.4</v>
      </c>
      <c r="J150" s="7" t="n">
        <v>1295.9</v>
      </c>
      <c r="L150" s="7" t="n">
        <v>2886.2</v>
      </c>
      <c r="N150" s="7" t="n">
        <v>3616.6</v>
      </c>
      <c r="P150" s="7" t="n">
        <v>2810.4</v>
      </c>
      <c r="R150" s="7" t="n">
        <v>1962.8</v>
      </c>
      <c r="T150" s="7" t="n">
        <v>2816.3</v>
      </c>
      <c r="V150" s="7" t="n">
        <v>2061.9</v>
      </c>
      <c r="X150" s="7" t="n">
        <v>1400.3</v>
      </c>
      <c r="Z150" s="7" t="n">
        <v>802.7</v>
      </c>
      <c r="AB150" s="7" t="n">
        <v>24101.2</v>
      </c>
    </row>
    <row r="151">
      <c r="A151" s="4" t="inlineStr">
        <is>
          <t>展会费</t>
        </is>
      </c>
      <c r="D151" s="7" t="n">
        <v>1796</v>
      </c>
      <c r="F151" s="7" t="n">
        <v>1519.5</v>
      </c>
      <c r="H151" s="7" t="n">
        <v>3437.5</v>
      </c>
      <c r="J151" s="7" t="n">
        <v>3182.9</v>
      </c>
      <c r="L151" s="7" t="n">
        <v>3409.9</v>
      </c>
      <c r="N151" s="7" t="n">
        <v>5338.2</v>
      </c>
      <c r="P151" s="7" t="n">
        <v>6773.5</v>
      </c>
      <c r="R151" s="7" t="n">
        <v>4786.2</v>
      </c>
      <c r="T151" s="7" t="n">
        <v>5878.4</v>
      </c>
      <c r="V151" s="7" t="n">
        <v>3398</v>
      </c>
      <c r="X151" s="7" t="n">
        <v>3056.4</v>
      </c>
      <c r="Z151" s="7" t="n">
        <v>1389.7</v>
      </c>
      <c r="AB151" s="7" t="n">
        <v>43966.2</v>
      </c>
    </row>
    <row r="152">
      <c r="A152" s="4" t="inlineStr">
        <is>
          <t>设计费</t>
        </is>
      </c>
      <c r="D152" s="7" t="n">
        <v>855.2</v>
      </c>
      <c r="F152" s="7" t="n">
        <v>708.7</v>
      </c>
      <c r="H152" s="7" t="n">
        <v>1288</v>
      </c>
      <c r="J152" s="7" t="n">
        <v>1025.4</v>
      </c>
      <c r="L152" s="7" t="n">
        <v>1925.8</v>
      </c>
      <c r="N152" s="7" t="n">
        <v>1513.4</v>
      </c>
      <c r="P152" s="7" t="n">
        <v>2964.2</v>
      </c>
      <c r="R152" s="7" t="n">
        <v>1678.7</v>
      </c>
      <c r="T152" s="7" t="n">
        <v>1403.9</v>
      </c>
      <c r="V152" s="7" t="n">
        <v>2071.6</v>
      </c>
      <c r="X152" s="7" t="n">
        <v>821</v>
      </c>
      <c r="Z152" s="7" t="n">
        <v>648.4</v>
      </c>
      <c r="AB152" s="7" t="n">
        <v>16904.3</v>
      </c>
    </row>
    <row r="153">
      <c r="A153" s="4" t="inlineStr">
        <is>
          <t>折旧费</t>
        </is>
      </c>
      <c r="D153" s="7" t="n">
        <v>13308.5</v>
      </c>
      <c r="F153" s="7" t="n">
        <v>11524.3</v>
      </c>
      <c r="H153" s="7" t="n">
        <v>18279.8</v>
      </c>
      <c r="J153" s="7" t="n">
        <v>16637</v>
      </c>
      <c r="L153" s="7" t="n">
        <v>28347.1</v>
      </c>
      <c r="N153" s="7" t="n">
        <v>34078.8</v>
      </c>
      <c r="P153" s="7" t="n">
        <v>28995.5</v>
      </c>
      <c r="R153" s="7" t="n">
        <v>33276.8</v>
      </c>
      <c r="T153" s="7" t="n">
        <v>27788.4</v>
      </c>
      <c r="V153" s="7" t="n">
        <v>36349.1</v>
      </c>
      <c r="X153" s="7" t="n">
        <v>16400.7</v>
      </c>
      <c r="Z153" s="7" t="n">
        <v>9042.799999999999</v>
      </c>
      <c r="AB153" s="7" t="n">
        <v>274028.8</v>
      </c>
    </row>
    <row r="154">
      <c r="A154" s="4" t="inlineStr">
        <is>
          <t>认证费</t>
        </is>
      </c>
      <c r="D154" s="7" t="n">
        <v>666.6</v>
      </c>
      <c r="F154" s="7" t="n">
        <v>464.9</v>
      </c>
      <c r="H154" s="7" t="n">
        <v>1024.1</v>
      </c>
      <c r="J154" s="7" t="n">
        <v>1115.7</v>
      </c>
      <c r="L154" s="7" t="n">
        <v>1697.4</v>
      </c>
      <c r="N154" s="7" t="n">
        <v>1317.4</v>
      </c>
      <c r="P154" s="7" t="n">
        <v>1732.4</v>
      </c>
      <c r="R154" s="7" t="n">
        <v>1171.7</v>
      </c>
      <c r="T154" s="7" t="n">
        <v>1820.5</v>
      </c>
      <c r="V154" s="7" t="n">
        <v>1380.8</v>
      </c>
      <c r="X154" s="7" t="n">
        <v>688.8</v>
      </c>
      <c r="Z154" s="7" t="n">
        <v>347</v>
      </c>
      <c r="AB154" s="7" t="n">
        <v>13427.3</v>
      </c>
    </row>
    <row r="155">
      <c r="A155" s="4" t="inlineStr">
        <is>
          <t>样品费</t>
        </is>
      </c>
      <c r="D155" s="7" t="n">
        <v>7579.9</v>
      </c>
      <c r="F155" s="7" t="n">
        <v>6141.8</v>
      </c>
      <c r="H155" s="7" t="n">
        <v>7152.3</v>
      </c>
      <c r="J155" s="7" t="n">
        <v>7864.3</v>
      </c>
      <c r="L155" s="7" t="n">
        <v>11939.5</v>
      </c>
      <c r="N155" s="7" t="n">
        <v>18198.3</v>
      </c>
      <c r="P155" s="7" t="n">
        <v>19974.2</v>
      </c>
      <c r="R155" s="7" t="n">
        <v>16024.5</v>
      </c>
      <c r="T155" s="7" t="n">
        <v>11646.7</v>
      </c>
      <c r="V155" s="7" t="n">
        <v>13432</v>
      </c>
      <c r="X155" s="7" t="n">
        <v>8015</v>
      </c>
      <c r="Z155" s="7" t="n">
        <v>4866</v>
      </c>
      <c r="AB155" s="7" t="n">
        <v>132834.5</v>
      </c>
    </row>
    <row r="156">
      <c r="A156" s="4" t="inlineStr">
        <is>
          <t>劳务费</t>
        </is>
      </c>
      <c r="D156" s="7" t="n">
        <v>901.4</v>
      </c>
      <c r="F156" s="7" t="n">
        <v>1170.4</v>
      </c>
      <c r="H156" s="7" t="n">
        <v>1711.3</v>
      </c>
      <c r="J156" s="7" t="n">
        <v>1416.5</v>
      </c>
      <c r="L156" s="7" t="n">
        <v>3639.1</v>
      </c>
      <c r="N156" s="7" t="n">
        <v>2499.6</v>
      </c>
      <c r="P156" s="7" t="n">
        <v>3354.5</v>
      </c>
      <c r="R156" s="7" t="n">
        <v>2633.7</v>
      </c>
      <c r="T156" s="7" t="n">
        <v>3486.3</v>
      </c>
      <c r="V156" s="7" t="n">
        <v>2926</v>
      </c>
      <c r="X156" s="7" t="n">
        <v>1639.8</v>
      </c>
      <c r="Z156" s="7" t="n">
        <v>1180.1</v>
      </c>
      <c r="AB156" s="7" t="n">
        <v>26558.7</v>
      </c>
    </row>
    <row r="157">
      <c r="A157" s="4" t="inlineStr">
        <is>
          <t>销售佣金</t>
        </is>
      </c>
      <c r="D157" s="7" t="n">
        <v>123.2</v>
      </c>
      <c r="F157" s="7" t="n">
        <v>129.9</v>
      </c>
      <c r="H157" s="7" t="n">
        <v>193.2</v>
      </c>
      <c r="J157" s="7" t="n">
        <v>188.3</v>
      </c>
      <c r="L157" s="7" t="n">
        <v>309.1</v>
      </c>
      <c r="N157" s="7" t="n">
        <v>371</v>
      </c>
      <c r="P157" s="7" t="n">
        <v>345.1</v>
      </c>
      <c r="R157" s="7" t="n">
        <v>296.7</v>
      </c>
      <c r="T157" s="7" t="n">
        <v>257</v>
      </c>
      <c r="V157" s="7" t="n">
        <v>281.9</v>
      </c>
      <c r="X157" s="7" t="n">
        <v>166.8</v>
      </c>
      <c r="Z157" s="7" t="n">
        <v>94.90000000000001</v>
      </c>
      <c r="AB157" s="7" t="n">
        <v>2757.1</v>
      </c>
    </row>
    <row r="158">
      <c r="A158" s="4" t="inlineStr">
        <is>
          <t>检测费</t>
        </is>
      </c>
      <c r="D158" s="7" t="n">
        <v>614.8</v>
      </c>
      <c r="F158" s="7" t="n">
        <v>786</v>
      </c>
      <c r="H158" s="7" t="n">
        <v>1485.7</v>
      </c>
      <c r="J158" s="7" t="n">
        <v>1381.6</v>
      </c>
      <c r="L158" s="7" t="n">
        <v>2332.5</v>
      </c>
      <c r="N158" s="7" t="n">
        <v>1736</v>
      </c>
      <c r="P158" s="7" t="n">
        <v>2458.5</v>
      </c>
      <c r="R158" s="7" t="n">
        <v>1507.5</v>
      </c>
      <c r="T158" s="7" t="n">
        <v>1893.7</v>
      </c>
      <c r="V158" s="7" t="n">
        <v>2525.4</v>
      </c>
      <c r="X158" s="7" t="n">
        <v>909.9</v>
      </c>
      <c r="Z158" s="7" t="n">
        <v>551.2</v>
      </c>
      <c r="AB158" s="7" t="n">
        <v>18182.8</v>
      </c>
    </row>
    <row r="159">
      <c r="A159" s="4" t="inlineStr">
        <is>
          <t>质量赔偿</t>
        </is>
      </c>
      <c r="D159" s="7" t="n">
        <v>1401.6</v>
      </c>
      <c r="F159" s="7" t="n">
        <v>856.4</v>
      </c>
      <c r="H159" s="7" t="n">
        <v>1673.7</v>
      </c>
      <c r="J159" s="7" t="n">
        <v>1954.9</v>
      </c>
      <c r="L159" s="7" t="n">
        <v>2823.7</v>
      </c>
      <c r="N159" s="7" t="n">
        <v>2785.9</v>
      </c>
      <c r="P159" s="7" t="n">
        <v>3208.6</v>
      </c>
      <c r="R159" s="7" t="n">
        <v>2908.6</v>
      </c>
      <c r="T159" s="7" t="n">
        <v>2227.6</v>
      </c>
      <c r="V159" s="7" t="n">
        <v>3099.4</v>
      </c>
      <c r="X159" s="7" t="n">
        <v>1704.3</v>
      </c>
      <c r="Z159" s="7" t="n">
        <v>1031.1</v>
      </c>
      <c r="AB159" s="7" t="n">
        <v>25675.8</v>
      </c>
    </row>
    <row r="160">
      <c r="A160" s="4" t="inlineStr">
        <is>
          <t>保险费</t>
        </is>
      </c>
      <c r="D160" s="7" t="n">
        <v>533.2</v>
      </c>
      <c r="F160" s="7" t="n">
        <v>756.4</v>
      </c>
      <c r="H160" s="7" t="n">
        <v>1308.2</v>
      </c>
      <c r="J160" s="7" t="n">
        <v>752.1</v>
      </c>
      <c r="L160" s="7" t="n">
        <v>1218.5</v>
      </c>
      <c r="N160" s="7" t="n">
        <v>1776.4</v>
      </c>
      <c r="P160" s="7" t="n">
        <v>1900.5</v>
      </c>
      <c r="R160" s="7" t="n">
        <v>1214.8</v>
      </c>
      <c r="T160" s="7" t="n">
        <v>1659.7</v>
      </c>
      <c r="V160" s="7" t="n">
        <v>1183.3</v>
      </c>
      <c r="X160" s="7" t="n">
        <v>973.7</v>
      </c>
      <c r="Z160" s="7" t="n">
        <v>381.6</v>
      </c>
      <c r="AB160" s="7" t="n">
        <v>13658.4</v>
      </c>
    </row>
    <row r="161">
      <c r="A161" s="4" t="inlineStr">
        <is>
          <t>清洁费</t>
        </is>
      </c>
      <c r="D161" s="7" t="n">
        <v>926</v>
      </c>
      <c r="F161" s="7" t="n">
        <v>1042.8</v>
      </c>
      <c r="H161" s="7" t="n">
        <v>1925.9</v>
      </c>
      <c r="J161" s="7" t="n">
        <v>1079.7</v>
      </c>
      <c r="L161" s="7" t="n">
        <v>3120.6</v>
      </c>
      <c r="N161" s="7" t="n">
        <v>3112</v>
      </c>
      <c r="P161" s="7" t="n">
        <v>2699.1</v>
      </c>
      <c r="R161" s="7" t="n">
        <v>2501.3</v>
      </c>
      <c r="T161" s="7" t="n">
        <v>1855.2</v>
      </c>
      <c r="V161" s="7" t="n">
        <v>2601.1</v>
      </c>
      <c r="X161" s="7" t="n">
        <v>1456.1</v>
      </c>
      <c r="Z161" s="7" t="n">
        <v>792.5</v>
      </c>
      <c r="AB161" s="7" t="n">
        <v>23112.3</v>
      </c>
    </row>
    <row r="162">
      <c r="A162" s="4" t="inlineStr">
        <is>
          <t>低值易耗品</t>
        </is>
      </c>
      <c r="D162" s="7" t="n">
        <v>509.4</v>
      </c>
      <c r="F162" s="7" t="n">
        <v>449.5</v>
      </c>
      <c r="H162" s="7" t="n">
        <v>881.5</v>
      </c>
      <c r="J162" s="7" t="n">
        <v>783.1</v>
      </c>
      <c r="L162" s="7" t="n">
        <v>861.2</v>
      </c>
      <c r="N162" s="7" t="n">
        <v>1200.5</v>
      </c>
      <c r="P162" s="7" t="n">
        <v>1896.7</v>
      </c>
      <c r="R162" s="7" t="n">
        <v>849</v>
      </c>
      <c r="T162" s="7" t="n">
        <v>895.9</v>
      </c>
      <c r="V162" s="7" t="n">
        <v>1486.8</v>
      </c>
      <c r="X162" s="7" t="n">
        <v>688.2</v>
      </c>
      <c r="Z162" s="7" t="n">
        <v>428.2</v>
      </c>
      <c r="AB162" s="7" t="n">
        <v>10930</v>
      </c>
    </row>
    <row r="163">
      <c r="A163" s="4" t="inlineStr">
        <is>
          <t>物料消耗</t>
        </is>
      </c>
      <c r="D163" s="7" t="n">
        <v>79.5</v>
      </c>
      <c r="F163" s="7" t="n">
        <v>100.9</v>
      </c>
      <c r="H163" s="7" t="n">
        <v>165.8</v>
      </c>
      <c r="J163" s="7" t="n">
        <v>157.5</v>
      </c>
      <c r="L163" s="7" t="n">
        <v>211.8</v>
      </c>
      <c r="N163" s="7" t="n">
        <v>278</v>
      </c>
      <c r="P163" s="7" t="n">
        <v>358</v>
      </c>
      <c r="R163" s="7" t="n">
        <v>212.7</v>
      </c>
      <c r="T163" s="7" t="n">
        <v>245.9</v>
      </c>
      <c r="V163" s="7" t="n">
        <v>165</v>
      </c>
      <c r="X163" s="7" t="n">
        <v>149.8</v>
      </c>
      <c r="Z163" s="7" t="n">
        <v>62.5</v>
      </c>
      <c r="AB163" s="7" t="n">
        <v>2187.4</v>
      </c>
    </row>
    <row r="164">
      <c r="A164" s="4" t="inlineStr">
        <is>
          <t>盘盈盘亏</t>
        </is>
      </c>
      <c r="D164" s="7" t="n">
        <v>616.2</v>
      </c>
      <c r="F164" s="7" t="n">
        <v>654.8</v>
      </c>
      <c r="H164" s="7" t="n">
        <v>739.6</v>
      </c>
      <c r="J164" s="7" t="n">
        <v>813</v>
      </c>
      <c r="L164" s="7" t="n">
        <v>1428.1</v>
      </c>
      <c r="N164" s="7" t="n">
        <v>1970.2</v>
      </c>
      <c r="P164" s="7" t="n">
        <v>2350.3</v>
      </c>
      <c r="R164" s="7" t="n">
        <v>1195.1</v>
      </c>
      <c r="T164" s="7" t="n">
        <v>1460.3</v>
      </c>
      <c r="V164" s="7" t="n">
        <v>1441.9</v>
      </c>
      <c r="X164" s="7" t="n">
        <v>716.1</v>
      </c>
      <c r="Z164" s="7" t="n">
        <v>479.8</v>
      </c>
      <c r="AB164" s="7" t="n">
        <v>13865.4</v>
      </c>
    </row>
    <row r="165">
      <c r="A165" s="4" t="inlineStr">
        <is>
          <t>平台服务费</t>
        </is>
      </c>
      <c r="D165" s="7" t="n">
        <v>30.6</v>
      </c>
      <c r="F165" s="7" t="n">
        <v>37</v>
      </c>
      <c r="H165" s="7" t="n">
        <v>57.4</v>
      </c>
      <c r="J165" s="7" t="n">
        <v>61.1</v>
      </c>
      <c r="L165" s="7" t="n">
        <v>66.90000000000001</v>
      </c>
      <c r="N165" s="7" t="n">
        <v>83.5</v>
      </c>
      <c r="P165" s="7" t="n">
        <v>139.1</v>
      </c>
      <c r="R165" s="7" t="n">
        <v>79.40000000000001</v>
      </c>
      <c r="T165" s="7" t="n">
        <v>115.2</v>
      </c>
      <c r="V165" s="7" t="n">
        <v>74.2</v>
      </c>
      <c r="X165" s="7" t="n">
        <v>40.5</v>
      </c>
      <c r="Z165" s="7" t="n">
        <v>35.3</v>
      </c>
      <c r="AB165" s="7" t="n">
        <v>820.2</v>
      </c>
    </row>
    <row r="166">
      <c r="A166" s="4" t="inlineStr">
        <is>
          <t>无形资产摊销</t>
        </is>
      </c>
      <c r="D166" s="7" t="n">
        <v>789.7</v>
      </c>
      <c r="F166" s="7" t="n">
        <v>454.9</v>
      </c>
      <c r="H166" s="7" t="n">
        <v>993</v>
      </c>
      <c r="J166" s="7" t="n">
        <v>634.3</v>
      </c>
      <c r="L166" s="7" t="n">
        <v>1428.3</v>
      </c>
      <c r="N166" s="7" t="n">
        <v>1857.2</v>
      </c>
      <c r="P166" s="7" t="n">
        <v>2392.1</v>
      </c>
      <c r="R166" s="7" t="n">
        <v>1334.8</v>
      </c>
      <c r="T166" s="7" t="n">
        <v>1824.5</v>
      </c>
      <c r="V166" s="7" t="n">
        <v>1774.6</v>
      </c>
      <c r="X166" s="7" t="n">
        <v>693.6</v>
      </c>
      <c r="Z166" s="7" t="n">
        <v>386</v>
      </c>
      <c r="AB166" s="7" t="n">
        <v>14563</v>
      </c>
    </row>
    <row r="167">
      <c r="A167" s="4" t="inlineStr">
        <is>
          <t>研发材料</t>
        </is>
      </c>
      <c r="D167" s="7" t="n">
        <v>61.7</v>
      </c>
      <c r="F167" s="7" t="n">
        <v>86.90000000000001</v>
      </c>
      <c r="H167" s="7" t="n">
        <v>92.2</v>
      </c>
      <c r="J167" s="7" t="n">
        <v>138.8</v>
      </c>
      <c r="L167" s="7" t="n">
        <v>196.1</v>
      </c>
      <c r="N167" s="7" t="n">
        <v>207.1</v>
      </c>
      <c r="P167" s="7" t="n">
        <v>236.3</v>
      </c>
      <c r="R167" s="7" t="n">
        <v>146.1</v>
      </c>
      <c r="T167" s="7" t="n">
        <v>176.6</v>
      </c>
      <c r="V167" s="7" t="n">
        <v>153.2</v>
      </c>
      <c r="X167" s="7" t="n">
        <v>120.8</v>
      </c>
      <c r="Z167" s="7" t="n">
        <v>45.2</v>
      </c>
      <c r="AB167" s="7" t="n">
        <v>1661</v>
      </c>
    </row>
    <row r="168">
      <c r="A168" s="4" t="inlineStr">
        <is>
          <t>项目名称</t>
        </is>
      </c>
      <c r="D168" s="7" t="n">
        <v>1113.6</v>
      </c>
      <c r="F168" s="7" t="n">
        <v>973.3</v>
      </c>
      <c r="H168" s="7" t="n">
        <v>2040.8</v>
      </c>
      <c r="J168" s="7" t="n">
        <v>1924.5</v>
      </c>
      <c r="L168" s="7" t="n">
        <v>2793.4</v>
      </c>
      <c r="N168" s="7" t="n">
        <v>2436.9</v>
      </c>
      <c r="P168" s="7" t="n">
        <v>3774.6</v>
      </c>
      <c r="R168" s="7" t="n">
        <v>2561</v>
      </c>
      <c r="T168" s="7" t="n">
        <v>2721.4</v>
      </c>
      <c r="V168" s="7" t="n">
        <v>3068.3</v>
      </c>
      <c r="X168" s="7" t="n">
        <v>1674.9</v>
      </c>
      <c r="Z168" s="7" t="n">
        <v>788.9</v>
      </c>
      <c r="AB168" s="7" t="n">
        <v>25871.6</v>
      </c>
    </row>
    <row r="169">
      <c r="A169" s="4" t="inlineStr">
        <is>
          <t>研发费</t>
        </is>
      </c>
      <c r="D169" s="7" t="n">
        <v>1288.3</v>
      </c>
      <c r="F169" s="7" t="n">
        <v>1031.1</v>
      </c>
      <c r="H169" s="7" t="n">
        <v>1403.1</v>
      </c>
      <c r="J169" s="7" t="n">
        <v>2057.2</v>
      </c>
      <c r="L169" s="7" t="n">
        <v>2385.2</v>
      </c>
      <c r="N169" s="7" t="n">
        <v>2781.4</v>
      </c>
      <c r="P169" s="7" t="n">
        <v>2606.7</v>
      </c>
      <c r="R169" s="7" t="n">
        <v>3045.6</v>
      </c>
      <c r="T169" s="7" t="n">
        <v>3665.5</v>
      </c>
      <c r="V169" s="7" t="n">
        <v>2562.3</v>
      </c>
      <c r="X169" s="7" t="n">
        <v>1681.7</v>
      </c>
      <c r="Z169" s="7" t="n">
        <v>718</v>
      </c>
      <c r="AB169" s="7" t="n">
        <v>25226.1</v>
      </c>
    </row>
    <row r="170">
      <c r="A170" s="4" t="inlineStr">
        <is>
          <t>残保金</t>
        </is>
      </c>
      <c r="D170" s="7" t="n">
        <v>404.8</v>
      </c>
      <c r="F170" s="7" t="n">
        <v>397.1</v>
      </c>
      <c r="H170" s="7" t="n">
        <v>378.1</v>
      </c>
      <c r="J170" s="7" t="n">
        <v>548.6</v>
      </c>
      <c r="L170" s="7" t="n">
        <v>741</v>
      </c>
      <c r="N170" s="7" t="n">
        <v>1015</v>
      </c>
      <c r="P170" s="7" t="n">
        <v>1307.1</v>
      </c>
      <c r="R170" s="7" t="n">
        <v>890.1</v>
      </c>
      <c r="T170" s="7" t="n">
        <v>589.6</v>
      </c>
      <c r="V170" s="7" t="n">
        <v>923.8</v>
      </c>
      <c r="X170" s="7" t="n">
        <v>404.7</v>
      </c>
      <c r="Z170" s="7" t="n">
        <v>301.6</v>
      </c>
      <c r="AB170" s="7" t="n">
        <v>7901.5</v>
      </c>
    </row>
    <row r="171">
      <c r="A171" s="4" t="inlineStr">
        <is>
          <t>环保费</t>
        </is>
      </c>
      <c r="D171" s="7" t="n">
        <v>1406</v>
      </c>
      <c r="F171" s="7" t="n">
        <v>1206.5</v>
      </c>
      <c r="H171" s="7" t="n">
        <v>1575.8</v>
      </c>
      <c r="J171" s="7" t="n">
        <v>2147.4</v>
      </c>
      <c r="L171" s="7" t="n">
        <v>3112.4</v>
      </c>
      <c r="N171" s="7" t="n">
        <v>3666.8</v>
      </c>
      <c r="P171" s="7" t="n">
        <v>3365.9</v>
      </c>
      <c r="R171" s="7" t="n">
        <v>2473</v>
      </c>
      <c r="T171" s="7" t="n">
        <v>2735.7</v>
      </c>
      <c r="V171" s="7" t="n">
        <v>3477.9</v>
      </c>
      <c r="X171" s="7" t="n">
        <v>1636.3</v>
      </c>
      <c r="Z171" s="7" t="n">
        <v>743.3</v>
      </c>
      <c r="AB171" s="7" t="n">
        <v>27547</v>
      </c>
    </row>
    <row r="172">
      <c r="A172" s="4" t="inlineStr">
        <is>
          <t>报废损失</t>
        </is>
      </c>
      <c r="D172" s="7" t="n">
        <v>1049.8</v>
      </c>
      <c r="F172" s="7" t="n">
        <v>1248.9</v>
      </c>
      <c r="H172" s="7" t="n">
        <v>1644.6</v>
      </c>
      <c r="J172" s="7" t="n">
        <v>1900.5</v>
      </c>
      <c r="L172" s="7" t="n">
        <v>2469</v>
      </c>
      <c r="N172" s="7" t="n">
        <v>3075.3</v>
      </c>
      <c r="P172" s="7" t="n">
        <v>4663.4</v>
      </c>
      <c r="R172" s="7" t="n">
        <v>2229.9</v>
      </c>
      <c r="T172" s="7" t="n">
        <v>2577.3</v>
      </c>
      <c r="V172" s="7" t="n">
        <v>2156.5</v>
      </c>
      <c r="X172" s="7" t="n">
        <v>1070.7</v>
      </c>
      <c r="Z172" s="7" t="n">
        <v>762.4</v>
      </c>
      <c r="AB172" s="7" t="n">
        <v>24848.3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189371.5</v>
      </c>
      <c r="D173" s="7" t="n">
        <v>63230.4</v>
      </c>
      <c r="E173" s="7" t="n">
        <v>194613.5</v>
      </c>
      <c r="F173" s="7" t="n">
        <v>194365.7</v>
      </c>
      <c r="G173" s="7" t="n">
        <v>207024.8</v>
      </c>
      <c r="H173" s="7" t="n">
        <v>94277</v>
      </c>
      <c r="I173" s="7" t="n">
        <v>206382.2</v>
      </c>
      <c r="J173" s="7" t="n">
        <v>177807</v>
      </c>
      <c r="K173" s="7" t="n">
        <v>170488.9</v>
      </c>
      <c r="L173" s="7" t="n">
        <v>128797.6</v>
      </c>
      <c r="M173" s="7" t="n">
        <v>209694.3</v>
      </c>
      <c r="N173" s="7" t="n">
        <v>259618.8</v>
      </c>
      <c r="O173" s="7" t="n">
        <v>190696</v>
      </c>
      <c r="P173" s="7" t="n">
        <v>235953.3</v>
      </c>
      <c r="Q173" s="7" t="n">
        <v>184627.9</v>
      </c>
      <c r="R173" s="7" t="n">
        <v>243917.7</v>
      </c>
      <c r="S173" s="7" t="n">
        <v>181379.1</v>
      </c>
      <c r="T173" s="7" t="n">
        <v>320685.1</v>
      </c>
      <c r="U173" s="7" t="n">
        <v>210638.2</v>
      </c>
      <c r="V173" s="7" t="n">
        <v>336809.9</v>
      </c>
      <c r="W173" s="7" t="n">
        <v>197053.3</v>
      </c>
      <c r="X173" s="7" t="n">
        <v>171993.5</v>
      </c>
      <c r="Y173" s="7" t="n">
        <v>175542.2</v>
      </c>
      <c r="Z173" s="7" t="n">
        <v>87815.2</v>
      </c>
      <c r="AA173" s="8" t="n">
        <v>2317511.9</v>
      </c>
      <c r="AB173" s="8" t="n">
        <v>2315271.2</v>
      </c>
    </row>
    <row r="174">
      <c r="A174" s="4" t="inlineStr">
        <is>
          <t>职工薪酬</t>
        </is>
      </c>
      <c r="D174" s="7" t="n">
        <v>31057.7</v>
      </c>
      <c r="F174" s="7" t="n">
        <v>107831.4</v>
      </c>
      <c r="H174" s="7" t="n">
        <v>53212.6</v>
      </c>
      <c r="J174" s="7" t="n">
        <v>114004.1</v>
      </c>
      <c r="L174" s="7" t="n">
        <v>64678.7</v>
      </c>
      <c r="N174" s="7" t="n">
        <v>104856.5</v>
      </c>
      <c r="P174" s="7" t="n">
        <v>114902.4</v>
      </c>
      <c r="R174" s="7" t="n">
        <v>118788.2</v>
      </c>
      <c r="T174" s="7" t="n">
        <v>144891.7</v>
      </c>
      <c r="V174" s="7" t="n">
        <v>192911.8</v>
      </c>
      <c r="X174" s="7" t="n">
        <v>71236.3</v>
      </c>
      <c r="Z174" s="7" t="n">
        <v>52615.2</v>
      </c>
      <c r="AB174" s="7" t="n">
        <v>1170986.6</v>
      </c>
    </row>
    <row r="175">
      <c r="A175" s="4" t="inlineStr">
        <is>
          <t>工资</t>
        </is>
      </c>
      <c r="D175" s="7" t="n">
        <v>16005.9</v>
      </c>
      <c r="F175" s="7" t="n">
        <v>63358.5</v>
      </c>
      <c r="H175" s="7" t="n">
        <v>35384</v>
      </c>
      <c r="J175" s="7" t="n">
        <v>68717.5</v>
      </c>
      <c r="L175" s="7" t="n">
        <v>36949.8</v>
      </c>
      <c r="N175" s="7" t="n">
        <v>56269.3</v>
      </c>
      <c r="P175" s="7" t="n">
        <v>69700.2</v>
      </c>
      <c r="R175" s="7" t="n">
        <v>74709.7</v>
      </c>
      <c r="T175" s="7" t="n">
        <v>77450.2</v>
      </c>
      <c r="V175" s="7" t="n">
        <v>126118.3</v>
      </c>
      <c r="X175" s="7" t="n">
        <v>38233.7</v>
      </c>
      <c r="Z175" s="7" t="n">
        <v>30998.1</v>
      </c>
      <c r="AB175" s="7" t="n">
        <v>693895.2</v>
      </c>
    </row>
    <row r="176">
      <c r="A176" s="4" t="inlineStr">
        <is>
          <t>奖金及提成</t>
        </is>
      </c>
      <c r="D176" s="7" t="n">
        <v>6246.9</v>
      </c>
      <c r="F176" s="7" t="n">
        <v>19147.6</v>
      </c>
      <c r="H176" s="7" t="n">
        <v>6653.9</v>
      </c>
      <c r="J176" s="7" t="n">
        <v>21271.5</v>
      </c>
      <c r="L176" s="7" t="n">
        <v>12375.9</v>
      </c>
      <c r="N176" s="7" t="n">
        <v>23095.2</v>
      </c>
      <c r="P176" s="7" t="n">
        <v>17402.9</v>
      </c>
      <c r="R176" s="7" t="n">
        <v>19731.1</v>
      </c>
      <c r="T176" s="7" t="n">
        <v>31013.5</v>
      </c>
      <c r="V176" s="7" t="n">
        <v>29755.1</v>
      </c>
      <c r="X176" s="7" t="n">
        <v>15411.1</v>
      </c>
      <c r="Z176" s="7" t="n">
        <v>9629.299999999999</v>
      </c>
      <c r="AB176" s="7" t="n">
        <v>211734</v>
      </c>
    </row>
    <row r="177">
      <c r="A177" s="4" t="inlineStr">
        <is>
          <t>社保</t>
        </is>
      </c>
      <c r="D177" s="7" t="n">
        <v>6353.1</v>
      </c>
      <c r="F177" s="7" t="n">
        <v>17685.2</v>
      </c>
      <c r="H177" s="7" t="n">
        <v>7463.6</v>
      </c>
      <c r="J177" s="7" t="n">
        <v>16834.3</v>
      </c>
      <c r="L177" s="7" t="n">
        <v>10377.1</v>
      </c>
      <c r="N177" s="7" t="n">
        <v>15803.9</v>
      </c>
      <c r="P177" s="7" t="n">
        <v>19607.1</v>
      </c>
      <c r="R177" s="7" t="n">
        <v>14916.6</v>
      </c>
      <c r="T177" s="7" t="n">
        <v>24498.1</v>
      </c>
      <c r="V177" s="7" t="n">
        <v>26595</v>
      </c>
      <c r="X177" s="7" t="n">
        <v>12046.7</v>
      </c>
      <c r="Z177" s="7" t="n">
        <v>8582.1</v>
      </c>
      <c r="AB177" s="7" t="n">
        <v>180762.8</v>
      </c>
    </row>
    <row r="178">
      <c r="A178" s="4" t="inlineStr">
        <is>
          <t>养老</t>
        </is>
      </c>
      <c r="D178" s="7" t="n">
        <v>234.9</v>
      </c>
      <c r="F178" s="7" t="n">
        <v>611.1</v>
      </c>
      <c r="H178" s="7" t="n">
        <v>284.7</v>
      </c>
      <c r="J178" s="7" t="n">
        <v>461.8</v>
      </c>
      <c r="L178" s="7" t="n">
        <v>497.2</v>
      </c>
      <c r="N178" s="7" t="n">
        <v>890.4</v>
      </c>
      <c r="P178" s="7" t="n">
        <v>567.9</v>
      </c>
      <c r="R178" s="7" t="n">
        <v>703.9</v>
      </c>
      <c r="T178" s="7" t="n">
        <v>862.4</v>
      </c>
      <c r="V178" s="7" t="n">
        <v>1028.3</v>
      </c>
      <c r="X178" s="7" t="n">
        <v>589.5</v>
      </c>
      <c r="Z178" s="7" t="n">
        <v>298.9</v>
      </c>
      <c r="AB178" s="7" t="n">
        <v>7031</v>
      </c>
    </row>
    <row r="179">
      <c r="A179" s="4" t="inlineStr">
        <is>
          <t>医疗</t>
        </is>
      </c>
      <c r="D179" s="7" t="n">
        <v>397</v>
      </c>
      <c r="F179" s="7" t="n">
        <v>1085.1</v>
      </c>
      <c r="H179" s="7" t="n">
        <v>704.9</v>
      </c>
      <c r="J179" s="7" t="n">
        <v>937.6</v>
      </c>
      <c r="L179" s="7" t="n">
        <v>799.9</v>
      </c>
      <c r="N179" s="7" t="n">
        <v>1581.1</v>
      </c>
      <c r="P179" s="7" t="n">
        <v>1614.5</v>
      </c>
      <c r="R179" s="7" t="n">
        <v>1583</v>
      </c>
      <c r="T179" s="7" t="n">
        <v>1433.9</v>
      </c>
      <c r="V179" s="7" t="n">
        <v>2000.7</v>
      </c>
      <c r="X179" s="7" t="n">
        <v>1034.8</v>
      </c>
      <c r="Z179" s="7" t="n">
        <v>505.5</v>
      </c>
      <c r="AB179" s="7" t="n">
        <v>13678</v>
      </c>
    </row>
    <row r="180">
      <c r="A180" s="4" t="inlineStr">
        <is>
          <t>工伤</t>
        </is>
      </c>
      <c r="D180" s="7" t="n">
        <v>243.9</v>
      </c>
      <c r="F180" s="7" t="n">
        <v>618.5</v>
      </c>
      <c r="H180" s="7" t="n">
        <v>449.3</v>
      </c>
      <c r="J180" s="7" t="n">
        <v>757.6</v>
      </c>
      <c r="L180" s="7" t="n">
        <v>389.3</v>
      </c>
      <c r="N180" s="7" t="n">
        <v>1103.5</v>
      </c>
      <c r="P180" s="7" t="n">
        <v>915</v>
      </c>
      <c r="R180" s="7" t="n">
        <v>873.5</v>
      </c>
      <c r="T180" s="7" t="n">
        <v>1230.3</v>
      </c>
      <c r="V180" s="7" t="n">
        <v>1584.9</v>
      </c>
      <c r="X180" s="7" t="n">
        <v>522.4</v>
      </c>
      <c r="Z180" s="7" t="n">
        <v>291.6</v>
      </c>
      <c r="AB180" s="7" t="n">
        <v>8979.799999999999</v>
      </c>
    </row>
    <row r="181">
      <c r="A181" s="4" t="inlineStr">
        <is>
          <t>失业</t>
        </is>
      </c>
      <c r="D181" s="7" t="n">
        <v>145</v>
      </c>
      <c r="F181" s="7" t="n">
        <v>411.5</v>
      </c>
      <c r="H181" s="7" t="n">
        <v>150.4</v>
      </c>
      <c r="J181" s="7" t="n">
        <v>371.5</v>
      </c>
      <c r="L181" s="7" t="n">
        <v>290.2</v>
      </c>
      <c r="N181" s="7" t="n">
        <v>519.5</v>
      </c>
      <c r="P181" s="7" t="n">
        <v>486.1</v>
      </c>
      <c r="R181" s="7" t="n">
        <v>465</v>
      </c>
      <c r="T181" s="7" t="n">
        <v>560.7</v>
      </c>
      <c r="V181" s="7" t="n">
        <v>634</v>
      </c>
      <c r="X181" s="7" t="n">
        <v>383</v>
      </c>
      <c r="Z181" s="7" t="n">
        <v>190.5</v>
      </c>
      <c r="AB181" s="7" t="n">
        <v>4607.4</v>
      </c>
    </row>
    <row r="182">
      <c r="A182" s="4" t="inlineStr">
        <is>
          <t>生育</t>
        </is>
      </c>
      <c r="D182" s="7" t="n">
        <v>331</v>
      </c>
      <c r="F182" s="7" t="n">
        <v>1277</v>
      </c>
      <c r="H182" s="7" t="n">
        <v>500.1</v>
      </c>
      <c r="J182" s="7" t="n">
        <v>1049.9</v>
      </c>
      <c r="L182" s="7" t="n">
        <v>952.4</v>
      </c>
      <c r="N182" s="7" t="n">
        <v>1734.7</v>
      </c>
      <c r="P182" s="7" t="n">
        <v>1659.8</v>
      </c>
      <c r="R182" s="7" t="n">
        <v>1040.1</v>
      </c>
      <c r="T182" s="7" t="n">
        <v>1470.9</v>
      </c>
      <c r="V182" s="7" t="n">
        <v>1895.8</v>
      </c>
      <c r="X182" s="7" t="n">
        <v>1054</v>
      </c>
      <c r="Z182" s="7" t="n">
        <v>583.5</v>
      </c>
      <c r="AB182" s="7" t="n">
        <v>13549.2</v>
      </c>
    </row>
    <row r="183">
      <c r="A183" s="4" t="inlineStr">
        <is>
          <t>公积金</t>
        </is>
      </c>
      <c r="D183" s="7" t="n">
        <v>312.8</v>
      </c>
      <c r="F183" s="7" t="n">
        <v>937.5</v>
      </c>
      <c r="H183" s="7" t="n">
        <v>453.1</v>
      </c>
      <c r="J183" s="7" t="n">
        <v>846.7</v>
      </c>
      <c r="L183" s="7" t="n">
        <v>452.5</v>
      </c>
      <c r="N183" s="7" t="n">
        <v>1062.3</v>
      </c>
      <c r="P183" s="7" t="n">
        <v>1021.4</v>
      </c>
      <c r="R183" s="7" t="n">
        <v>1212.5</v>
      </c>
      <c r="T183" s="7" t="n">
        <v>1244.1</v>
      </c>
      <c r="V183" s="7" t="n">
        <v>1008</v>
      </c>
      <c r="X183" s="7" t="n">
        <v>486.9</v>
      </c>
      <c r="Z183" s="7" t="n">
        <v>314.6</v>
      </c>
      <c r="AB183" s="7" t="n">
        <v>9352.4</v>
      </c>
    </row>
    <row r="184">
      <c r="A184" s="4" t="inlineStr">
        <is>
          <t>工会经费</t>
        </is>
      </c>
      <c r="D184" s="7" t="n">
        <v>211.7</v>
      </c>
      <c r="F184" s="7" t="n">
        <v>946.7</v>
      </c>
      <c r="H184" s="7" t="n">
        <v>450.6</v>
      </c>
      <c r="J184" s="7" t="n">
        <v>803.2</v>
      </c>
      <c r="L184" s="7" t="n">
        <v>575.7</v>
      </c>
      <c r="N184" s="7" t="n">
        <v>1163.3</v>
      </c>
      <c r="P184" s="7" t="n">
        <v>739.9</v>
      </c>
      <c r="R184" s="7" t="n">
        <v>926.6</v>
      </c>
      <c r="T184" s="7" t="n">
        <v>1494.8</v>
      </c>
      <c r="V184" s="7" t="n">
        <v>1300.1</v>
      </c>
      <c r="X184" s="7" t="n">
        <v>612.1</v>
      </c>
      <c r="Z184" s="7" t="n">
        <v>339</v>
      </c>
      <c r="AB184" s="7" t="n">
        <v>9563.700000000001</v>
      </c>
    </row>
    <row r="185">
      <c r="A185" s="4" t="inlineStr">
        <is>
          <t>职工教育经费</t>
        </is>
      </c>
      <c r="D185" s="7" t="n">
        <v>39.1</v>
      </c>
      <c r="F185" s="7" t="n">
        <v>114.6</v>
      </c>
      <c r="H185" s="7" t="n">
        <v>42.4</v>
      </c>
      <c r="J185" s="7" t="n">
        <v>96.90000000000001</v>
      </c>
      <c r="L185" s="7" t="n">
        <v>80.7</v>
      </c>
      <c r="N185" s="7" t="n">
        <v>170.9</v>
      </c>
      <c r="P185" s="7" t="n">
        <v>98.7</v>
      </c>
      <c r="R185" s="7" t="n">
        <v>99.5</v>
      </c>
      <c r="T185" s="7" t="n">
        <v>147.9</v>
      </c>
      <c r="V185" s="7" t="n">
        <v>236.8</v>
      </c>
      <c r="X185" s="7" t="n">
        <v>93.09999999999999</v>
      </c>
      <c r="Z185" s="7" t="n">
        <v>48.9</v>
      </c>
      <c r="AB185" s="7" t="n">
        <v>1269.5</v>
      </c>
    </row>
    <row r="186">
      <c r="A186" s="4" t="inlineStr">
        <is>
          <t>福利费</t>
        </is>
      </c>
      <c r="D186" s="7" t="n">
        <v>1888.2</v>
      </c>
      <c r="F186" s="7" t="n">
        <v>5641.3</v>
      </c>
      <c r="H186" s="7" t="n">
        <v>2765</v>
      </c>
      <c r="J186" s="7" t="n">
        <v>5434</v>
      </c>
      <c r="L186" s="7" t="n">
        <v>3867</v>
      </c>
      <c r="N186" s="7" t="n">
        <v>7291.6</v>
      </c>
      <c r="P186" s="7" t="n">
        <v>6332.2</v>
      </c>
      <c r="R186" s="7" t="n">
        <v>7192.2</v>
      </c>
      <c r="T186" s="7" t="n">
        <v>9043.1</v>
      </c>
      <c r="V186" s="7" t="n">
        <v>7898.5</v>
      </c>
      <c r="X186" s="7" t="n">
        <v>4352.7</v>
      </c>
      <c r="Z186" s="7" t="n">
        <v>2703.2</v>
      </c>
      <c r="AB186" s="7" t="n">
        <v>64409</v>
      </c>
    </row>
    <row r="187">
      <c r="A187" s="4" t="inlineStr">
        <is>
          <t>职工房租</t>
        </is>
      </c>
      <c r="D187" s="7" t="n">
        <v>193.2</v>
      </c>
      <c r="F187" s="7" t="n">
        <v>523.4</v>
      </c>
      <c r="H187" s="7" t="n">
        <v>217.1</v>
      </c>
      <c r="J187" s="7" t="n">
        <v>631.8</v>
      </c>
      <c r="L187" s="7" t="n">
        <v>471.9</v>
      </c>
      <c r="N187" s="7" t="n">
        <v>796.8</v>
      </c>
      <c r="P187" s="7" t="n">
        <v>573.6</v>
      </c>
      <c r="R187" s="7" t="n">
        <v>835.9</v>
      </c>
      <c r="T187" s="7" t="n">
        <v>705.7</v>
      </c>
      <c r="V187" s="7" t="n">
        <v>1177.6</v>
      </c>
      <c r="X187" s="7" t="n">
        <v>445.9</v>
      </c>
      <c r="Z187" s="7" t="n">
        <v>257.1</v>
      </c>
      <c r="AB187" s="7" t="n">
        <v>6830</v>
      </c>
    </row>
    <row r="188">
      <c r="A188" s="4" t="inlineStr">
        <is>
          <t>水电物业费</t>
        </is>
      </c>
      <c r="D188" s="7" t="n">
        <v>358.9</v>
      </c>
      <c r="F188" s="7" t="n">
        <v>936.7</v>
      </c>
      <c r="H188" s="7" t="n">
        <v>533.5</v>
      </c>
      <c r="J188" s="7" t="n">
        <v>1016.7</v>
      </c>
      <c r="L188" s="7" t="n">
        <v>698.4</v>
      </c>
      <c r="N188" s="7" t="n">
        <v>1044.5</v>
      </c>
      <c r="P188" s="7" t="n">
        <v>1282.6</v>
      </c>
      <c r="R188" s="7" t="n">
        <v>855.1</v>
      </c>
      <c r="T188" s="7" t="n">
        <v>1810.5</v>
      </c>
      <c r="V188" s="7" t="n">
        <v>1282.1</v>
      </c>
      <c r="X188" s="7" t="n">
        <v>715.3</v>
      </c>
      <c r="Z188" s="7" t="n">
        <v>454.3</v>
      </c>
      <c r="AB188" s="7" t="n">
        <v>10988.6</v>
      </c>
    </row>
    <row r="189">
      <c r="A189" s="4" t="inlineStr">
        <is>
          <t>员工餐</t>
        </is>
      </c>
      <c r="D189" s="7" t="n">
        <v>5.5</v>
      </c>
      <c r="F189" s="7" t="n">
        <v>13.6</v>
      </c>
      <c r="H189" s="7" t="n">
        <v>7.8</v>
      </c>
      <c r="J189" s="7" t="n">
        <v>15.7</v>
      </c>
      <c r="L189" s="7" t="n">
        <v>7.8</v>
      </c>
      <c r="N189" s="7" t="n">
        <v>19.3</v>
      </c>
      <c r="P189" s="7" t="n">
        <v>14.4</v>
      </c>
      <c r="R189" s="7" t="n">
        <v>12.9</v>
      </c>
      <c r="T189" s="7" t="n">
        <v>24.9</v>
      </c>
      <c r="V189" s="7" t="n">
        <v>16.7</v>
      </c>
      <c r="X189" s="7" t="n">
        <v>8.699999999999999</v>
      </c>
      <c r="Z189" s="7" t="n">
        <v>6.1</v>
      </c>
      <c r="AB189" s="7" t="n">
        <v>153.4</v>
      </c>
    </row>
    <row r="190">
      <c r="A190" s="4" t="inlineStr">
        <is>
          <t>节日礼品</t>
        </is>
      </c>
      <c r="D190" s="7" t="n">
        <v>403.8</v>
      </c>
      <c r="F190" s="7" t="n">
        <v>1277.9</v>
      </c>
      <c r="H190" s="7" t="n">
        <v>577.4</v>
      </c>
      <c r="J190" s="7" t="n">
        <v>699.1</v>
      </c>
      <c r="L190" s="7" t="n">
        <v>625.8</v>
      </c>
      <c r="N190" s="7" t="n">
        <v>1727</v>
      </c>
      <c r="P190" s="7" t="n">
        <v>1124.6</v>
      </c>
      <c r="R190" s="7" t="n">
        <v>1491.9</v>
      </c>
      <c r="T190" s="7" t="n">
        <v>1431.8</v>
      </c>
      <c r="V190" s="7" t="n">
        <v>1353.9</v>
      </c>
      <c r="X190" s="7" t="n">
        <v>844.3</v>
      </c>
      <c r="Z190" s="7" t="n">
        <v>532.1</v>
      </c>
      <c r="AB190" s="7" t="n">
        <v>12089.6</v>
      </c>
    </row>
    <row r="191">
      <c r="A191" s="4" t="inlineStr">
        <is>
          <t>生日礼品</t>
        </is>
      </c>
      <c r="D191" s="7" t="n">
        <v>325.6</v>
      </c>
      <c r="F191" s="7" t="n">
        <v>930.3</v>
      </c>
      <c r="H191" s="7" t="n">
        <v>458</v>
      </c>
      <c r="J191" s="7" t="n">
        <v>1146.1</v>
      </c>
      <c r="L191" s="7" t="n">
        <v>496.7</v>
      </c>
      <c r="N191" s="7" t="n">
        <v>1492.7</v>
      </c>
      <c r="P191" s="7" t="n">
        <v>1224.8</v>
      </c>
      <c r="R191" s="7" t="n">
        <v>1334</v>
      </c>
      <c r="T191" s="7" t="n">
        <v>1722.9</v>
      </c>
      <c r="V191" s="7" t="n">
        <v>1434.7</v>
      </c>
      <c r="X191" s="7" t="n">
        <v>750.2</v>
      </c>
      <c r="Z191" s="7" t="n">
        <v>485.5</v>
      </c>
      <c r="AB191" s="7" t="n">
        <v>11801.5</v>
      </c>
    </row>
    <row r="192">
      <c r="A192" s="4" t="inlineStr">
        <is>
          <t>体检</t>
        </is>
      </c>
      <c r="D192" s="7" t="n">
        <v>314.2</v>
      </c>
      <c r="F192" s="7" t="n">
        <v>921.7</v>
      </c>
      <c r="H192" s="7" t="n">
        <v>559.6</v>
      </c>
      <c r="J192" s="7" t="n">
        <v>1056</v>
      </c>
      <c r="L192" s="7" t="n">
        <v>716.7</v>
      </c>
      <c r="N192" s="7" t="n">
        <v>1148.8</v>
      </c>
      <c r="P192" s="7" t="n">
        <v>1002.6</v>
      </c>
      <c r="R192" s="7" t="n">
        <v>1434.5</v>
      </c>
      <c r="T192" s="7" t="n">
        <v>1437</v>
      </c>
      <c r="V192" s="7" t="n">
        <v>1318.8</v>
      </c>
      <c r="X192" s="7" t="n">
        <v>866.2</v>
      </c>
      <c r="Z192" s="7" t="n">
        <v>493.4</v>
      </c>
      <c r="AB192" s="7" t="n">
        <v>11269.5</v>
      </c>
    </row>
    <row r="193">
      <c r="A193" s="4" t="inlineStr">
        <is>
          <t>其他福利支出</t>
        </is>
      </c>
      <c r="D193" s="7" t="n">
        <v>287</v>
      </c>
      <c r="F193" s="7" t="n">
        <v>1037.7</v>
      </c>
      <c r="H193" s="7" t="n">
        <v>411.6</v>
      </c>
      <c r="J193" s="7" t="n">
        <v>868.6</v>
      </c>
      <c r="L193" s="7" t="n">
        <v>849.7</v>
      </c>
      <c r="N193" s="7" t="n">
        <v>1062.5</v>
      </c>
      <c r="P193" s="7" t="n">
        <v>1109.6</v>
      </c>
      <c r="R193" s="7" t="n">
        <v>1227.9</v>
      </c>
      <c r="T193" s="7" t="n">
        <v>1910.3</v>
      </c>
      <c r="V193" s="7" t="n">
        <v>1314.7</v>
      </c>
      <c r="X193" s="7" t="n">
        <v>722.1</v>
      </c>
      <c r="Z193" s="7" t="n">
        <v>474.7</v>
      </c>
      <c r="AB193" s="7" t="n">
        <v>11276.4</v>
      </c>
    </row>
    <row r="194">
      <c r="A194" s="4" t="inlineStr">
        <is>
          <t>招聘费</t>
        </is>
      </c>
      <c r="D194" s="7" t="n">
        <v>98.7</v>
      </c>
      <c r="F194" s="7" t="n">
        <v>298</v>
      </c>
      <c r="H194" s="7" t="n">
        <v>180</v>
      </c>
      <c r="J194" s="7" t="n">
        <v>287.3</v>
      </c>
      <c r="L194" s="7" t="n">
        <v>193.2</v>
      </c>
      <c r="N194" s="7" t="n">
        <v>473.7</v>
      </c>
      <c r="P194" s="7" t="n">
        <v>344.2</v>
      </c>
      <c r="R194" s="7" t="n">
        <v>269.8</v>
      </c>
      <c r="T194" s="7" t="n">
        <v>630</v>
      </c>
      <c r="V194" s="7" t="n">
        <v>464.8</v>
      </c>
      <c r="X194" s="7" t="n">
        <v>274.1</v>
      </c>
      <c r="Z194" s="7" t="n">
        <v>128.1</v>
      </c>
      <c r="AB194" s="7" t="n">
        <v>3641.9</v>
      </c>
    </row>
    <row r="195">
      <c r="A195" s="4" t="inlineStr">
        <is>
          <t>办公费</t>
        </is>
      </c>
      <c r="D195" s="7" t="n">
        <v>1617.9</v>
      </c>
      <c r="F195" s="7" t="n">
        <v>4322</v>
      </c>
      <c r="H195" s="7" t="n">
        <v>3175.8</v>
      </c>
      <c r="J195" s="7" t="n">
        <v>5053.2</v>
      </c>
      <c r="L195" s="7" t="n">
        <v>2785.8</v>
      </c>
      <c r="N195" s="7" t="n">
        <v>5941.9</v>
      </c>
      <c r="P195" s="7" t="n">
        <v>9198.700000000001</v>
      </c>
      <c r="R195" s="7" t="n">
        <v>7149.9</v>
      </c>
      <c r="T195" s="7" t="n">
        <v>12211.1</v>
      </c>
      <c r="V195" s="7" t="n">
        <v>10920.4</v>
      </c>
      <c r="X195" s="7" t="n">
        <v>4245.7</v>
      </c>
      <c r="Z195" s="7" t="n">
        <v>2690.4</v>
      </c>
      <c r="AB195" s="7" t="n">
        <v>69312.8</v>
      </c>
    </row>
    <row r="196">
      <c r="A196" s="4" t="inlineStr">
        <is>
          <t>市内交通费</t>
        </is>
      </c>
      <c r="D196" s="7" t="n">
        <v>424.5</v>
      </c>
      <c r="F196" s="7" t="n">
        <v>986.2</v>
      </c>
      <c r="H196" s="7" t="n">
        <v>434.6</v>
      </c>
      <c r="J196" s="7" t="n">
        <v>1225.9</v>
      </c>
      <c r="L196" s="7" t="n">
        <v>883.1</v>
      </c>
      <c r="N196" s="7" t="n">
        <v>1006.3</v>
      </c>
      <c r="P196" s="7" t="n">
        <v>1394.4</v>
      </c>
      <c r="R196" s="7" t="n">
        <v>1345.4</v>
      </c>
      <c r="T196" s="7" t="n">
        <v>1344</v>
      </c>
      <c r="V196" s="7" t="n">
        <v>2327.5</v>
      </c>
      <c r="X196" s="7" t="n">
        <v>650.5</v>
      </c>
      <c r="Z196" s="7" t="n">
        <v>370.1</v>
      </c>
      <c r="AB196" s="7" t="n">
        <v>12392.5</v>
      </c>
    </row>
    <row r="197">
      <c r="A197" s="4" t="inlineStr">
        <is>
          <t>差旅费</t>
        </is>
      </c>
      <c r="D197" s="7" t="n">
        <v>3611</v>
      </c>
      <c r="F197" s="7" t="n">
        <v>11117.7</v>
      </c>
      <c r="H197" s="7" t="n">
        <v>7128.3</v>
      </c>
      <c r="J197" s="7" t="n">
        <v>10726.7</v>
      </c>
      <c r="L197" s="7" t="n">
        <v>5884.5</v>
      </c>
      <c r="N197" s="7" t="n">
        <v>16827.3</v>
      </c>
      <c r="P197" s="7" t="n">
        <v>15655.9</v>
      </c>
      <c r="R197" s="7" t="n">
        <v>14224.9</v>
      </c>
      <c r="T197" s="7" t="n">
        <v>19574.4</v>
      </c>
      <c r="V197" s="7" t="n">
        <v>21166.6</v>
      </c>
      <c r="X197" s="7" t="n">
        <v>10889.1</v>
      </c>
      <c r="Z197" s="7" t="n">
        <v>6199.1</v>
      </c>
      <c r="AB197" s="7" t="n">
        <v>143005.5</v>
      </c>
    </row>
    <row r="198">
      <c r="A198" s="4" t="inlineStr">
        <is>
          <t>交通费</t>
        </is>
      </c>
      <c r="D198" s="7" t="n">
        <v>401.5</v>
      </c>
      <c r="F198" s="7" t="n">
        <v>1234.2</v>
      </c>
      <c r="H198" s="7" t="n">
        <v>416.4</v>
      </c>
      <c r="J198" s="7" t="n">
        <v>1077.3</v>
      </c>
      <c r="L198" s="7" t="n">
        <v>669.9</v>
      </c>
      <c r="N198" s="7" t="n">
        <v>1819.9</v>
      </c>
      <c r="P198" s="7" t="n">
        <v>1792.7</v>
      </c>
      <c r="R198" s="7" t="n">
        <v>1802.4</v>
      </c>
      <c r="T198" s="7" t="n">
        <v>2096.5</v>
      </c>
      <c r="V198" s="7" t="n">
        <v>2282.2</v>
      </c>
      <c r="X198" s="7" t="n">
        <v>733.8</v>
      </c>
      <c r="Z198" s="7" t="n">
        <v>429.1</v>
      </c>
      <c r="AB198" s="7" t="n">
        <v>14755.9</v>
      </c>
    </row>
    <row r="199">
      <c r="A199" s="4" t="inlineStr">
        <is>
          <t>住宿费</t>
        </is>
      </c>
      <c r="D199" s="7" t="n">
        <v>242.8</v>
      </c>
      <c r="F199" s="7" t="n">
        <v>558.7</v>
      </c>
      <c r="H199" s="7" t="n">
        <v>333.9</v>
      </c>
      <c r="J199" s="7" t="n">
        <v>573.4</v>
      </c>
      <c r="L199" s="7" t="n">
        <v>368</v>
      </c>
      <c r="N199" s="7" t="n">
        <v>767.8</v>
      </c>
      <c r="P199" s="7" t="n">
        <v>998.7</v>
      </c>
      <c r="R199" s="7" t="n">
        <v>620.4</v>
      </c>
      <c r="T199" s="7" t="n">
        <v>1195.3</v>
      </c>
      <c r="V199" s="7" t="n">
        <v>1338.7</v>
      </c>
      <c r="X199" s="7" t="n">
        <v>661.6</v>
      </c>
      <c r="Z199" s="7" t="n">
        <v>297.8</v>
      </c>
      <c r="AB199" s="7" t="n">
        <v>7957.1</v>
      </c>
    </row>
    <row r="200">
      <c r="A200" s="4" t="inlineStr">
        <is>
          <t>餐补</t>
        </is>
      </c>
      <c r="D200" s="7" t="n">
        <v>289.3</v>
      </c>
      <c r="F200" s="7" t="n">
        <v>1131.7</v>
      </c>
      <c r="H200" s="7" t="n">
        <v>536.5</v>
      </c>
      <c r="J200" s="7" t="n">
        <v>1283.4</v>
      </c>
      <c r="L200" s="7" t="n">
        <v>537.4</v>
      </c>
      <c r="N200" s="7" t="n">
        <v>1946.5</v>
      </c>
      <c r="P200" s="7" t="n">
        <v>1634.9</v>
      </c>
      <c r="R200" s="7" t="n">
        <v>1821.9</v>
      </c>
      <c r="T200" s="7" t="n">
        <v>2423.8</v>
      </c>
      <c r="V200" s="7" t="n">
        <v>2313.4</v>
      </c>
      <c r="X200" s="7" t="n">
        <v>1162.5</v>
      </c>
      <c r="Z200" s="7" t="n">
        <v>618.7</v>
      </c>
      <c r="AB200" s="7" t="n">
        <v>15700</v>
      </c>
    </row>
    <row r="201">
      <c r="A201" s="4" t="inlineStr">
        <is>
          <t>交通补助</t>
        </is>
      </c>
      <c r="D201" s="7" t="n">
        <v>396.6</v>
      </c>
      <c r="F201" s="7" t="n">
        <v>1212.8</v>
      </c>
      <c r="H201" s="7" t="n">
        <v>365.9</v>
      </c>
      <c r="J201" s="7" t="n">
        <v>845</v>
      </c>
      <c r="L201" s="7" t="n">
        <v>571.9</v>
      </c>
      <c r="N201" s="7" t="n">
        <v>1400.5</v>
      </c>
      <c r="P201" s="7" t="n">
        <v>1287.2</v>
      </c>
      <c r="R201" s="7" t="n">
        <v>970.1</v>
      </c>
      <c r="T201" s="7" t="n">
        <v>1719.1</v>
      </c>
      <c r="V201" s="7" t="n">
        <v>1865.3</v>
      </c>
      <c r="X201" s="7" t="n">
        <v>894.1</v>
      </c>
      <c r="Z201" s="7" t="n">
        <v>542.8</v>
      </c>
      <c r="AB201" s="7" t="n">
        <v>12071.3</v>
      </c>
    </row>
    <row r="202">
      <c r="A202" s="4" t="inlineStr">
        <is>
          <t>通讯补助</t>
        </is>
      </c>
      <c r="D202" s="7" t="n">
        <v>332.4</v>
      </c>
      <c r="F202" s="7" t="n">
        <v>1030.2</v>
      </c>
      <c r="H202" s="7" t="n">
        <v>560.6</v>
      </c>
      <c r="J202" s="7" t="n">
        <v>1297</v>
      </c>
      <c r="L202" s="7" t="n">
        <v>787.7</v>
      </c>
      <c r="N202" s="7" t="n">
        <v>1961</v>
      </c>
      <c r="P202" s="7" t="n">
        <v>1125.9</v>
      </c>
      <c r="R202" s="7" t="n">
        <v>1739.1</v>
      </c>
      <c r="T202" s="7" t="n">
        <v>2150</v>
      </c>
      <c r="V202" s="7" t="n">
        <v>2280.6</v>
      </c>
      <c r="X202" s="7" t="n">
        <v>832.7</v>
      </c>
      <c r="Z202" s="7" t="n">
        <v>703.9</v>
      </c>
      <c r="AB202" s="7" t="n">
        <v>14801.1</v>
      </c>
    </row>
    <row r="203">
      <c r="A203" s="4" t="inlineStr">
        <is>
          <t>招待费</t>
        </is>
      </c>
      <c r="D203" s="7" t="n">
        <v>2063.3</v>
      </c>
      <c r="F203" s="7" t="n">
        <v>9294.9</v>
      </c>
      <c r="H203" s="7" t="n">
        <v>4615.8</v>
      </c>
      <c r="J203" s="7" t="n">
        <v>9115.1</v>
      </c>
      <c r="L203" s="7" t="n">
        <v>4182.2</v>
      </c>
      <c r="N203" s="7" t="n">
        <v>8065.1</v>
      </c>
      <c r="P203" s="7" t="n">
        <v>7361.2</v>
      </c>
      <c r="R203" s="7" t="n">
        <v>8378.1</v>
      </c>
      <c r="T203" s="7" t="n">
        <v>10263.4</v>
      </c>
      <c r="V203" s="7" t="n">
        <v>9750.1</v>
      </c>
      <c r="X203" s="7" t="n">
        <v>5897.2</v>
      </c>
      <c r="Z203" s="7" t="n">
        <v>3839.7</v>
      </c>
      <c r="AB203" s="7" t="n">
        <v>82826.10000000001</v>
      </c>
    </row>
    <row r="204">
      <c r="A204" s="4" t="inlineStr">
        <is>
          <t>通讯费</t>
        </is>
      </c>
      <c r="D204" s="7" t="n">
        <v>86.3</v>
      </c>
      <c r="F204" s="7" t="n">
        <v>268.6</v>
      </c>
      <c r="H204" s="7" t="n">
        <v>112.4</v>
      </c>
      <c r="J204" s="7" t="n">
        <v>225.4</v>
      </c>
      <c r="L204" s="7" t="n">
        <v>131.5</v>
      </c>
      <c r="N204" s="7" t="n">
        <v>283.4</v>
      </c>
      <c r="P204" s="7" t="n">
        <v>185.7</v>
      </c>
      <c r="R204" s="7" t="n">
        <v>314.7</v>
      </c>
      <c r="T204" s="7" t="n">
        <v>265.1</v>
      </c>
      <c r="V204" s="7" t="n">
        <v>276.2</v>
      </c>
      <c r="X204" s="7" t="n">
        <v>214.1</v>
      </c>
      <c r="Z204" s="7" t="n">
        <v>109.3</v>
      </c>
      <c r="AB204" s="7" t="n">
        <v>2472.7</v>
      </c>
    </row>
    <row r="205">
      <c r="A205" s="4" t="inlineStr">
        <is>
          <t>网络费</t>
        </is>
      </c>
      <c r="D205" s="7" t="n">
        <v>300.3</v>
      </c>
      <c r="F205" s="7" t="n">
        <v>1110.9</v>
      </c>
      <c r="H205" s="7" t="n">
        <v>412.7</v>
      </c>
      <c r="J205" s="7" t="n">
        <v>902.5</v>
      </c>
      <c r="L205" s="7" t="n">
        <v>827.8</v>
      </c>
      <c r="N205" s="7" t="n">
        <v>1719.6</v>
      </c>
      <c r="P205" s="7" t="n">
        <v>1409.5</v>
      </c>
      <c r="R205" s="7" t="n">
        <v>987.1</v>
      </c>
      <c r="T205" s="7" t="n">
        <v>1745.7</v>
      </c>
      <c r="V205" s="7" t="n">
        <v>1981.8</v>
      </c>
      <c r="X205" s="7" t="n">
        <v>718.3</v>
      </c>
      <c r="Z205" s="7" t="n">
        <v>522</v>
      </c>
      <c r="AB205" s="7" t="n">
        <v>12638.2</v>
      </c>
    </row>
    <row r="206">
      <c r="A206" s="4" t="inlineStr">
        <is>
          <t>修理费</t>
        </is>
      </c>
      <c r="D206" s="7" t="n">
        <v>68.90000000000001</v>
      </c>
      <c r="F206" s="7" t="n">
        <v>189</v>
      </c>
      <c r="H206" s="7" t="n">
        <v>87.5</v>
      </c>
      <c r="J206" s="7" t="n">
        <v>177.2</v>
      </c>
      <c r="L206" s="7" t="n">
        <v>139.2</v>
      </c>
      <c r="N206" s="7" t="n">
        <v>242.2</v>
      </c>
      <c r="P206" s="7" t="n">
        <v>256.3</v>
      </c>
      <c r="R206" s="7" t="n">
        <v>298</v>
      </c>
      <c r="T206" s="7" t="n">
        <v>370.4</v>
      </c>
      <c r="V206" s="7" t="n">
        <v>333.2</v>
      </c>
      <c r="X206" s="7" t="n">
        <v>134</v>
      </c>
      <c r="Z206" s="7" t="n">
        <v>67.09999999999999</v>
      </c>
      <c r="AB206" s="7" t="n">
        <v>2363</v>
      </c>
    </row>
    <row r="207">
      <c r="A207" s="4" t="inlineStr">
        <is>
          <t>车辆费</t>
        </is>
      </c>
      <c r="D207" s="7" t="n">
        <v>32.3</v>
      </c>
      <c r="F207" s="7" t="n">
        <v>87.5</v>
      </c>
      <c r="H207" s="7" t="n">
        <v>38</v>
      </c>
      <c r="J207" s="7" t="n">
        <v>79.59999999999999</v>
      </c>
      <c r="L207" s="7" t="n">
        <v>56.7</v>
      </c>
      <c r="N207" s="7" t="n">
        <v>164.1</v>
      </c>
      <c r="P207" s="7" t="n">
        <v>131.4</v>
      </c>
      <c r="R207" s="7" t="n">
        <v>103.5</v>
      </c>
      <c r="T207" s="7" t="n">
        <v>156.3</v>
      </c>
      <c r="V207" s="7" t="n">
        <v>132</v>
      </c>
      <c r="X207" s="7" t="n">
        <v>105.5</v>
      </c>
      <c r="Z207" s="7" t="n">
        <v>32.9</v>
      </c>
      <c r="AB207" s="7" t="n">
        <v>1119.8</v>
      </c>
    </row>
    <row r="208">
      <c r="A208" s="4" t="inlineStr">
        <is>
          <t>租赁费</t>
        </is>
      </c>
      <c r="D208" s="7" t="n">
        <v>2578.1</v>
      </c>
      <c r="F208" s="7" t="n">
        <v>9033.6</v>
      </c>
      <c r="H208" s="7" t="n">
        <v>4520.5</v>
      </c>
      <c r="J208" s="7" t="n">
        <v>9890.700000000001</v>
      </c>
      <c r="L208" s="7" t="n">
        <v>5339.1</v>
      </c>
      <c r="N208" s="7" t="n">
        <v>12785.4</v>
      </c>
      <c r="P208" s="7" t="n">
        <v>9315.299999999999</v>
      </c>
      <c r="R208" s="7" t="n">
        <v>11459.4</v>
      </c>
      <c r="T208" s="7" t="n">
        <v>17905.1</v>
      </c>
      <c r="V208" s="7" t="n">
        <v>13504.4</v>
      </c>
      <c r="X208" s="7" t="n">
        <v>10840.3</v>
      </c>
      <c r="Z208" s="7" t="n">
        <v>3472.5</v>
      </c>
      <c r="AB208" s="7" t="n">
        <v>110644.4</v>
      </c>
    </row>
    <row r="209">
      <c r="A209" s="4" t="inlineStr">
        <is>
          <t>能源费</t>
        </is>
      </c>
      <c r="D209" s="7" t="n">
        <v>612.8</v>
      </c>
      <c r="F209" s="7" t="n">
        <v>2015.8</v>
      </c>
      <c r="H209" s="7" t="n">
        <v>1031.2</v>
      </c>
      <c r="J209" s="7" t="n">
        <v>1958.3</v>
      </c>
      <c r="L209" s="7" t="n">
        <v>1448.8</v>
      </c>
      <c r="N209" s="7" t="n">
        <v>3180.3</v>
      </c>
      <c r="P209" s="7" t="n">
        <v>2416.6</v>
      </c>
      <c r="R209" s="7" t="n">
        <v>2164.4</v>
      </c>
      <c r="T209" s="7" t="n">
        <v>3523.8</v>
      </c>
      <c r="V209" s="7" t="n">
        <v>3946</v>
      </c>
      <c r="X209" s="7" t="n">
        <v>1656.6</v>
      </c>
      <c r="Z209" s="7" t="n">
        <v>761.2</v>
      </c>
      <c r="AB209" s="7" t="n">
        <v>24715.8</v>
      </c>
    </row>
    <row r="210">
      <c r="A210" s="4" t="inlineStr">
        <is>
          <t>水费</t>
        </is>
      </c>
      <c r="D210" s="7" t="n">
        <v>204.9</v>
      </c>
      <c r="F210" s="7" t="n">
        <v>425.4</v>
      </c>
      <c r="H210" s="7" t="n">
        <v>217.7</v>
      </c>
      <c r="J210" s="7" t="n">
        <v>458.5</v>
      </c>
      <c r="L210" s="7" t="n">
        <v>353.4</v>
      </c>
      <c r="N210" s="7" t="n">
        <v>932.8</v>
      </c>
      <c r="P210" s="7" t="n">
        <v>920.2</v>
      </c>
      <c r="R210" s="7" t="n">
        <v>532</v>
      </c>
      <c r="T210" s="7" t="n">
        <v>954.9</v>
      </c>
      <c r="V210" s="7" t="n">
        <v>1097.7</v>
      </c>
      <c r="X210" s="7" t="n">
        <v>395.1</v>
      </c>
      <c r="Z210" s="7" t="n">
        <v>308.3</v>
      </c>
      <c r="AB210" s="7" t="n">
        <v>6800.9</v>
      </c>
    </row>
    <row r="211">
      <c r="A211" s="4" t="inlineStr">
        <is>
          <t>电费</t>
        </is>
      </c>
      <c r="D211" s="7" t="n">
        <v>13.9</v>
      </c>
      <c r="F211" s="7" t="n">
        <v>35.1</v>
      </c>
      <c r="H211" s="7" t="n">
        <v>16.4</v>
      </c>
      <c r="J211" s="7" t="n">
        <v>41.3</v>
      </c>
      <c r="L211" s="7" t="n">
        <v>27.1</v>
      </c>
      <c r="N211" s="7" t="n">
        <v>42.7</v>
      </c>
      <c r="P211" s="7" t="n">
        <v>53.8</v>
      </c>
      <c r="R211" s="7" t="n">
        <v>68.09999999999999</v>
      </c>
      <c r="T211" s="7" t="n">
        <v>79.5</v>
      </c>
      <c r="V211" s="7" t="n">
        <v>76.2</v>
      </c>
      <c r="X211" s="7" t="n">
        <v>31.7</v>
      </c>
      <c r="Z211" s="7" t="n">
        <v>14.2</v>
      </c>
      <c r="AB211" s="7" t="n">
        <v>500</v>
      </c>
    </row>
    <row r="212">
      <c r="A212" s="4" t="inlineStr">
        <is>
          <t>燃气费</t>
        </is>
      </c>
      <c r="D212" s="7" t="n">
        <v>303.8</v>
      </c>
      <c r="F212" s="7" t="n">
        <v>1315.6</v>
      </c>
      <c r="H212" s="7" t="n">
        <v>592.7</v>
      </c>
      <c r="J212" s="7" t="n">
        <v>1100.6</v>
      </c>
      <c r="L212" s="7" t="n">
        <v>817.6</v>
      </c>
      <c r="N212" s="7" t="n">
        <v>1821.8</v>
      </c>
      <c r="P212" s="7" t="n">
        <v>976.9</v>
      </c>
      <c r="R212" s="7" t="n">
        <v>1054.3</v>
      </c>
      <c r="T212" s="7" t="n">
        <v>2051.8</v>
      </c>
      <c r="V212" s="7" t="n">
        <v>2325.9</v>
      </c>
      <c r="X212" s="7" t="n">
        <v>914.4</v>
      </c>
      <c r="Z212" s="7" t="n">
        <v>333.8</v>
      </c>
      <c r="AB212" s="7" t="n">
        <v>13609.2</v>
      </c>
    </row>
    <row r="213">
      <c r="A213" s="4" t="inlineStr">
        <is>
          <t>蒸汽费</t>
        </is>
      </c>
      <c r="D213" s="7" t="n">
        <v>90.2</v>
      </c>
      <c r="F213" s="7" t="n">
        <v>239.7</v>
      </c>
      <c r="H213" s="7" t="n">
        <v>204.4</v>
      </c>
      <c r="J213" s="7" t="n">
        <v>357.9</v>
      </c>
      <c r="L213" s="7" t="n">
        <v>250.7</v>
      </c>
      <c r="N213" s="7" t="n">
        <v>383</v>
      </c>
      <c r="P213" s="7" t="n">
        <v>465.7</v>
      </c>
      <c r="R213" s="7" t="n">
        <v>510</v>
      </c>
      <c r="T213" s="7" t="n">
        <v>437.6</v>
      </c>
      <c r="V213" s="7" t="n">
        <v>446.2</v>
      </c>
      <c r="X213" s="7" t="n">
        <v>315.4</v>
      </c>
      <c r="Z213" s="7" t="n">
        <v>104.9</v>
      </c>
      <c r="AB213" s="7" t="n">
        <v>3805.7</v>
      </c>
    </row>
    <row r="214">
      <c r="A214" s="4" t="inlineStr">
        <is>
          <t>物业费</t>
        </is>
      </c>
      <c r="D214" s="7" t="n">
        <v>117.6</v>
      </c>
      <c r="F214" s="7" t="n">
        <v>459.3</v>
      </c>
      <c r="H214" s="7" t="n">
        <v>244</v>
      </c>
      <c r="J214" s="7" t="n">
        <v>313.4</v>
      </c>
      <c r="L214" s="7" t="n">
        <v>329.5</v>
      </c>
      <c r="N214" s="7" t="n">
        <v>735.4</v>
      </c>
      <c r="P214" s="7" t="n">
        <v>602.9</v>
      </c>
      <c r="R214" s="7" t="n">
        <v>574.9</v>
      </c>
      <c r="T214" s="7" t="n">
        <v>635.7</v>
      </c>
      <c r="V214" s="7" t="n">
        <v>902.7</v>
      </c>
      <c r="X214" s="7" t="n">
        <v>455.1</v>
      </c>
      <c r="Z214" s="7" t="n">
        <v>194.1</v>
      </c>
      <c r="AB214" s="7" t="n">
        <v>5564.6</v>
      </c>
    </row>
    <row r="215">
      <c r="A215" s="4" t="inlineStr">
        <is>
          <t>劳动保护费</t>
        </is>
      </c>
      <c r="D215" s="7" t="n">
        <v>80</v>
      </c>
      <c r="F215" s="7" t="n">
        <v>189.6</v>
      </c>
      <c r="H215" s="7" t="n">
        <v>90.2</v>
      </c>
      <c r="J215" s="7" t="n">
        <v>228.1</v>
      </c>
      <c r="L215" s="7" t="n">
        <v>138.9</v>
      </c>
      <c r="N215" s="7" t="n">
        <v>232.2</v>
      </c>
      <c r="P215" s="7" t="n">
        <v>349.7</v>
      </c>
      <c r="R215" s="7" t="n">
        <v>283.2</v>
      </c>
      <c r="T215" s="7" t="n">
        <v>283.3</v>
      </c>
      <c r="V215" s="7" t="n">
        <v>390</v>
      </c>
      <c r="X215" s="7" t="n">
        <v>242.2</v>
      </c>
      <c r="Z215" s="7" t="n">
        <v>117.5</v>
      </c>
      <c r="AB215" s="7" t="n">
        <v>2624.9</v>
      </c>
    </row>
    <row r="216">
      <c r="A216" s="4" t="inlineStr">
        <is>
          <t>顾问费</t>
        </is>
      </c>
      <c r="D216" s="7" t="n">
        <v>12.8</v>
      </c>
      <c r="F216" s="7" t="n">
        <v>24</v>
      </c>
      <c r="H216" s="7" t="n">
        <v>18.9</v>
      </c>
      <c r="J216" s="7" t="n">
        <v>33.6</v>
      </c>
      <c r="L216" s="7" t="n">
        <v>18.6</v>
      </c>
      <c r="N216" s="7" t="n">
        <v>42</v>
      </c>
      <c r="P216" s="7" t="n">
        <v>28.6</v>
      </c>
      <c r="R216" s="7" t="n">
        <v>27.8</v>
      </c>
      <c r="T216" s="7" t="n">
        <v>38.7</v>
      </c>
      <c r="V216" s="7" t="n">
        <v>55.6</v>
      </c>
      <c r="X216" s="7" t="n">
        <v>20.8</v>
      </c>
      <c r="Z216" s="7" t="n">
        <v>17.7</v>
      </c>
      <c r="AB216" s="7" t="n">
        <v>339.1</v>
      </c>
    </row>
    <row r="217">
      <c r="A217" s="4" t="inlineStr">
        <is>
          <t>快递费</t>
        </is>
      </c>
      <c r="D217" s="7" t="n">
        <v>279.1</v>
      </c>
      <c r="F217" s="7" t="n">
        <v>516.5</v>
      </c>
      <c r="H217" s="7" t="n">
        <v>392.8</v>
      </c>
      <c r="J217" s="7" t="n">
        <v>641.4</v>
      </c>
      <c r="L217" s="7" t="n">
        <v>427.6</v>
      </c>
      <c r="N217" s="7" t="n">
        <v>1055.5</v>
      </c>
      <c r="P217" s="7" t="n">
        <v>724</v>
      </c>
      <c r="R217" s="7" t="n">
        <v>913.9</v>
      </c>
      <c r="T217" s="7" t="n">
        <v>1153.6</v>
      </c>
      <c r="V217" s="7" t="n">
        <v>1124.6</v>
      </c>
      <c r="X217" s="7" t="n">
        <v>598</v>
      </c>
      <c r="Z217" s="7" t="n">
        <v>295.9</v>
      </c>
      <c r="AB217" s="7" t="n">
        <v>8122.9</v>
      </c>
    </row>
    <row r="218">
      <c r="A218" s="4" t="inlineStr">
        <is>
          <t>诉讼费</t>
        </is>
      </c>
      <c r="D218" s="7" t="n">
        <v>469.5</v>
      </c>
      <c r="F218" s="7" t="n">
        <v>1237.3</v>
      </c>
      <c r="H218" s="7" t="n">
        <v>421.7</v>
      </c>
      <c r="J218" s="7" t="n">
        <v>1002.3</v>
      </c>
      <c r="L218" s="7" t="n">
        <v>964.5</v>
      </c>
      <c r="N218" s="7" t="n">
        <v>1862.2</v>
      </c>
      <c r="P218" s="7" t="n">
        <v>1359.9</v>
      </c>
      <c r="R218" s="7" t="n">
        <v>1211</v>
      </c>
      <c r="T218" s="7" t="n">
        <v>1799.4</v>
      </c>
      <c r="V218" s="7" t="n">
        <v>1386.2</v>
      </c>
      <c r="X218" s="7" t="n">
        <v>1139.3</v>
      </c>
      <c r="Z218" s="7" t="n">
        <v>487.3</v>
      </c>
      <c r="AB218" s="7" t="n">
        <v>13340.6</v>
      </c>
    </row>
    <row r="219">
      <c r="A219" s="4" t="inlineStr">
        <is>
          <t>会员费</t>
        </is>
      </c>
      <c r="D219" s="7" t="n">
        <v>350.5</v>
      </c>
      <c r="F219" s="7" t="n">
        <v>1077.5</v>
      </c>
      <c r="H219" s="7" t="n">
        <v>311.2</v>
      </c>
      <c r="J219" s="7" t="n">
        <v>551.5</v>
      </c>
      <c r="L219" s="7" t="n">
        <v>485.8</v>
      </c>
      <c r="N219" s="7" t="n">
        <v>1351.7</v>
      </c>
      <c r="P219" s="7" t="n">
        <v>791.7</v>
      </c>
      <c r="R219" s="7" t="n">
        <v>1011.8</v>
      </c>
      <c r="T219" s="7" t="n">
        <v>1003.8</v>
      </c>
      <c r="V219" s="7" t="n">
        <v>1367.9</v>
      </c>
      <c r="X219" s="7" t="n">
        <v>846.8</v>
      </c>
      <c r="Z219" s="7" t="n">
        <v>438.5</v>
      </c>
      <c r="AB219" s="7" t="n">
        <v>9588.700000000001</v>
      </c>
    </row>
    <row r="220">
      <c r="A220" s="4" t="inlineStr">
        <is>
          <t>广告宣传费</t>
        </is>
      </c>
      <c r="D220" s="7" t="n">
        <v>2390.1</v>
      </c>
      <c r="F220" s="7" t="n">
        <v>6770.5</v>
      </c>
      <c r="H220" s="7" t="n">
        <v>3579</v>
      </c>
      <c r="J220" s="7" t="n">
        <v>4379.2</v>
      </c>
      <c r="L220" s="7" t="n">
        <v>4114.1</v>
      </c>
      <c r="N220" s="7" t="n">
        <v>8865.1</v>
      </c>
      <c r="P220" s="7" t="n">
        <v>5498.1</v>
      </c>
      <c r="R220" s="7" t="n">
        <v>5988.9</v>
      </c>
      <c r="T220" s="7" t="n">
        <v>8616.4</v>
      </c>
      <c r="V220" s="7" t="n">
        <v>8470.200000000001</v>
      </c>
      <c r="X220" s="7" t="n">
        <v>5284.7</v>
      </c>
      <c r="Z220" s="7" t="n">
        <v>2650</v>
      </c>
      <c r="AB220" s="7" t="n">
        <v>66606.3</v>
      </c>
    </row>
    <row r="221">
      <c r="A221" s="4" t="inlineStr">
        <is>
          <t>会务费</t>
        </is>
      </c>
      <c r="D221" s="7" t="n">
        <v>142</v>
      </c>
      <c r="F221" s="7" t="n">
        <v>249.3</v>
      </c>
      <c r="H221" s="7" t="n">
        <v>132.8</v>
      </c>
      <c r="J221" s="7" t="n">
        <v>263.1</v>
      </c>
      <c r="L221" s="7" t="n">
        <v>292.2</v>
      </c>
      <c r="N221" s="7" t="n">
        <v>435.6</v>
      </c>
      <c r="P221" s="7" t="n">
        <v>361.7</v>
      </c>
      <c r="R221" s="7" t="n">
        <v>351.4</v>
      </c>
      <c r="T221" s="7" t="n">
        <v>641.8</v>
      </c>
      <c r="V221" s="7" t="n">
        <v>421.6</v>
      </c>
      <c r="X221" s="7" t="n">
        <v>225.6</v>
      </c>
      <c r="Z221" s="7" t="n">
        <v>124.6</v>
      </c>
      <c r="AB221" s="7" t="n">
        <v>3641.7</v>
      </c>
    </row>
    <row r="222">
      <c r="A222" s="4" t="inlineStr">
        <is>
          <t>装修费</t>
        </is>
      </c>
      <c r="D222" s="7" t="n">
        <v>306.7</v>
      </c>
      <c r="F222" s="7" t="n">
        <v>1197.1</v>
      </c>
      <c r="H222" s="7" t="n">
        <v>362.7</v>
      </c>
      <c r="J222" s="7" t="n">
        <v>614.4</v>
      </c>
      <c r="L222" s="7" t="n">
        <v>779.6</v>
      </c>
      <c r="N222" s="7" t="n">
        <v>887.1</v>
      </c>
      <c r="P222" s="7" t="n">
        <v>948.9</v>
      </c>
      <c r="R222" s="7" t="n">
        <v>987.8</v>
      </c>
      <c r="T222" s="7" t="n">
        <v>1151.6</v>
      </c>
      <c r="V222" s="7" t="n">
        <v>1167.3</v>
      </c>
      <c r="X222" s="7" t="n">
        <v>848.1</v>
      </c>
      <c r="Z222" s="7" t="n">
        <v>363.6</v>
      </c>
      <c r="AB222" s="7" t="n">
        <v>9614.9</v>
      </c>
    </row>
    <row r="223">
      <c r="A223" s="4" t="inlineStr">
        <is>
          <t>推广费</t>
        </is>
      </c>
      <c r="D223" s="7" t="n">
        <v>136.5</v>
      </c>
      <c r="F223" s="7" t="n">
        <v>350.2</v>
      </c>
      <c r="H223" s="7" t="n">
        <v>152.1</v>
      </c>
      <c r="J223" s="7" t="n">
        <v>260.8</v>
      </c>
      <c r="L223" s="7" t="n">
        <v>173.2</v>
      </c>
      <c r="N223" s="7" t="n">
        <v>501.4</v>
      </c>
      <c r="P223" s="7" t="n">
        <v>470.7</v>
      </c>
      <c r="R223" s="7" t="n">
        <v>544.4</v>
      </c>
      <c r="T223" s="7" t="n">
        <v>797.1</v>
      </c>
      <c r="V223" s="7" t="n">
        <v>497.9</v>
      </c>
      <c r="X223" s="7" t="n">
        <v>253.8</v>
      </c>
      <c r="Z223" s="7" t="n">
        <v>198</v>
      </c>
      <c r="AB223" s="7" t="n">
        <v>4336.1</v>
      </c>
    </row>
    <row r="224">
      <c r="A224" s="4" t="inlineStr">
        <is>
          <t>展会费</t>
        </is>
      </c>
      <c r="D224" s="7" t="n">
        <v>12.2</v>
      </c>
      <c r="F224" s="7" t="n">
        <v>35.7</v>
      </c>
      <c r="H224" s="7" t="n">
        <v>13.3</v>
      </c>
      <c r="J224" s="7" t="n">
        <v>31.1</v>
      </c>
      <c r="L224" s="7" t="n">
        <v>21</v>
      </c>
      <c r="N224" s="7" t="n">
        <v>47</v>
      </c>
      <c r="P224" s="7" t="n">
        <v>28</v>
      </c>
      <c r="R224" s="7" t="n">
        <v>36.9</v>
      </c>
      <c r="T224" s="7" t="n">
        <v>61.3</v>
      </c>
      <c r="V224" s="7" t="n">
        <v>58.5</v>
      </c>
      <c r="X224" s="7" t="n">
        <v>27.4</v>
      </c>
      <c r="Z224" s="7" t="n">
        <v>13.6</v>
      </c>
      <c r="AB224" s="7" t="n">
        <v>386</v>
      </c>
    </row>
    <row r="225">
      <c r="A225" s="4" t="inlineStr">
        <is>
          <t>设计费</t>
        </is>
      </c>
      <c r="D225" s="7" t="n">
        <v>364.3</v>
      </c>
      <c r="F225" s="7" t="n">
        <v>1127.6</v>
      </c>
      <c r="H225" s="7" t="n">
        <v>511.9</v>
      </c>
      <c r="J225" s="7" t="n">
        <v>841.2</v>
      </c>
      <c r="L225" s="7" t="n">
        <v>669.5</v>
      </c>
      <c r="N225" s="7" t="n">
        <v>1500.6</v>
      </c>
      <c r="P225" s="7" t="n">
        <v>1053.1</v>
      </c>
      <c r="R225" s="7" t="n">
        <v>1599.8</v>
      </c>
      <c r="T225" s="7" t="n">
        <v>2066.2</v>
      </c>
      <c r="V225" s="7" t="n">
        <v>2161.8</v>
      </c>
      <c r="X225" s="7" t="n">
        <v>1064</v>
      </c>
      <c r="Z225" s="7" t="n">
        <v>458</v>
      </c>
      <c r="AB225" s="7" t="n">
        <v>13418</v>
      </c>
    </row>
    <row r="226">
      <c r="A226" s="4" t="inlineStr">
        <is>
          <t>折旧费</t>
        </is>
      </c>
      <c r="D226" s="7" t="n">
        <v>2498.9</v>
      </c>
      <c r="F226" s="7" t="n">
        <v>6645.8</v>
      </c>
      <c r="H226" s="7" t="n">
        <v>3194</v>
      </c>
      <c r="J226" s="7" t="n">
        <v>5194.8</v>
      </c>
      <c r="L226" s="7" t="n">
        <v>6454.4</v>
      </c>
      <c r="N226" s="7" t="n">
        <v>12353.3</v>
      </c>
      <c r="P226" s="7" t="n">
        <v>12113.5</v>
      </c>
      <c r="R226" s="7" t="n">
        <v>9844.799999999999</v>
      </c>
      <c r="T226" s="7" t="n">
        <v>14245.8</v>
      </c>
      <c r="V226" s="7" t="n">
        <v>11443.8</v>
      </c>
      <c r="X226" s="7" t="n">
        <v>5306</v>
      </c>
      <c r="Z226" s="7" t="n">
        <v>2662.8</v>
      </c>
      <c r="AB226" s="7" t="n">
        <v>91957.89999999999</v>
      </c>
    </row>
    <row r="227">
      <c r="A227" s="4" t="inlineStr">
        <is>
          <t>认证费</t>
        </is>
      </c>
      <c r="D227" s="7" t="n">
        <v>440.3</v>
      </c>
      <c r="F227" s="7" t="n">
        <v>797.7</v>
      </c>
      <c r="H227" s="7" t="n">
        <v>391.1</v>
      </c>
      <c r="J227" s="7" t="n">
        <v>1197</v>
      </c>
      <c r="L227" s="7" t="n">
        <v>628.4</v>
      </c>
      <c r="N227" s="7" t="n">
        <v>1559.9</v>
      </c>
      <c r="P227" s="7" t="n">
        <v>1334.9</v>
      </c>
      <c r="R227" s="7" t="n">
        <v>1230.9</v>
      </c>
      <c r="T227" s="7" t="n">
        <v>1502.2</v>
      </c>
      <c r="V227" s="7" t="n">
        <v>1845.6</v>
      </c>
      <c r="X227" s="7" t="n">
        <v>1088.3</v>
      </c>
      <c r="Z227" s="7" t="n">
        <v>614.4</v>
      </c>
      <c r="AB227" s="7" t="n">
        <v>12630.7</v>
      </c>
    </row>
    <row r="228">
      <c r="A228" s="4" t="inlineStr">
        <is>
          <t>样品费</t>
        </is>
      </c>
      <c r="D228" s="7" t="n">
        <v>1119.7</v>
      </c>
      <c r="F228" s="7" t="n">
        <v>4990</v>
      </c>
      <c r="H228" s="7" t="n">
        <v>1533.8</v>
      </c>
      <c r="J228" s="7" t="n">
        <v>3043.6</v>
      </c>
      <c r="L228" s="7" t="n">
        <v>3113.6</v>
      </c>
      <c r="N228" s="7" t="n">
        <v>3672.2</v>
      </c>
      <c r="P228" s="7" t="n">
        <v>4331.2</v>
      </c>
      <c r="R228" s="7" t="n">
        <v>4363</v>
      </c>
      <c r="T228" s="7" t="n">
        <v>5410</v>
      </c>
      <c r="V228" s="7" t="n">
        <v>6384.1</v>
      </c>
      <c r="X228" s="7" t="n">
        <v>2469.8</v>
      </c>
      <c r="Z228" s="7" t="n">
        <v>1568.4</v>
      </c>
      <c r="AB228" s="7" t="n">
        <v>41999.4</v>
      </c>
    </row>
    <row r="229">
      <c r="A229" s="4" t="inlineStr">
        <is>
          <t>劳务费</t>
        </is>
      </c>
      <c r="D229" s="7" t="n">
        <v>416.3</v>
      </c>
      <c r="F229" s="7" t="n">
        <v>1022.4</v>
      </c>
      <c r="H229" s="7" t="n">
        <v>611.9</v>
      </c>
      <c r="J229" s="7" t="n">
        <v>1234.7</v>
      </c>
      <c r="L229" s="7" t="n">
        <v>970.5</v>
      </c>
      <c r="N229" s="7" t="n">
        <v>1540.6</v>
      </c>
      <c r="P229" s="7" t="n">
        <v>1151.7</v>
      </c>
      <c r="R229" s="7" t="n">
        <v>1104.9</v>
      </c>
      <c r="T229" s="7" t="n">
        <v>1458.5</v>
      </c>
      <c r="V229" s="7" t="n">
        <v>1631.1</v>
      </c>
      <c r="X229" s="7" t="n">
        <v>1307.4</v>
      </c>
      <c r="Z229" s="7" t="n">
        <v>615.3</v>
      </c>
      <c r="AB229" s="7" t="n">
        <v>13065.3</v>
      </c>
    </row>
    <row r="230">
      <c r="A230" s="4" t="inlineStr">
        <is>
          <t>销售佣金</t>
        </is>
      </c>
      <c r="D230" s="7" t="n">
        <v>377.5</v>
      </c>
      <c r="F230" s="7" t="n">
        <v>1056.7</v>
      </c>
      <c r="H230" s="7" t="n">
        <v>378.1</v>
      </c>
      <c r="J230" s="7" t="n">
        <v>948.5</v>
      </c>
      <c r="L230" s="7" t="n">
        <v>856.9</v>
      </c>
      <c r="N230" s="7" t="n">
        <v>1505.4</v>
      </c>
      <c r="P230" s="7" t="n">
        <v>1263.5</v>
      </c>
      <c r="R230" s="7" t="n">
        <v>1370.7</v>
      </c>
      <c r="T230" s="7" t="n">
        <v>1976.5</v>
      </c>
      <c r="V230" s="7" t="n">
        <v>2291.8</v>
      </c>
      <c r="X230" s="7" t="n">
        <v>721.4</v>
      </c>
      <c r="Z230" s="7" t="n">
        <v>575.8</v>
      </c>
      <c r="AB230" s="7" t="n">
        <v>13322.8</v>
      </c>
    </row>
    <row r="231">
      <c r="A231" s="4" t="inlineStr">
        <is>
          <t>检测费</t>
        </is>
      </c>
      <c r="D231" s="7" t="n">
        <v>59.4</v>
      </c>
      <c r="F231" s="7" t="n">
        <v>179.5</v>
      </c>
      <c r="H231" s="7" t="n">
        <v>64.59999999999999</v>
      </c>
      <c r="J231" s="7" t="n">
        <v>140.7</v>
      </c>
      <c r="L231" s="7" t="n">
        <v>106.4</v>
      </c>
      <c r="N231" s="7" t="n">
        <v>187.3</v>
      </c>
      <c r="P231" s="7" t="n">
        <v>182.1</v>
      </c>
      <c r="R231" s="7" t="n">
        <v>280.9</v>
      </c>
      <c r="T231" s="7" t="n">
        <v>320.3</v>
      </c>
      <c r="V231" s="7" t="n">
        <v>253.5</v>
      </c>
      <c r="X231" s="7" t="n">
        <v>140.8</v>
      </c>
      <c r="Z231" s="7" t="n">
        <v>103</v>
      </c>
      <c r="AB231" s="7" t="n">
        <v>2018.5</v>
      </c>
    </row>
    <row r="232">
      <c r="A232" s="4" t="inlineStr">
        <is>
          <t>质量赔偿</t>
        </is>
      </c>
      <c r="D232" s="7" t="n">
        <v>119.6</v>
      </c>
      <c r="F232" s="7" t="n">
        <v>201.3</v>
      </c>
      <c r="H232" s="7" t="n">
        <v>120.5</v>
      </c>
      <c r="J232" s="7" t="n">
        <v>206.2</v>
      </c>
      <c r="L232" s="7" t="n">
        <v>142.1</v>
      </c>
      <c r="N232" s="7" t="n">
        <v>440.1</v>
      </c>
      <c r="P232" s="7" t="n">
        <v>436.8</v>
      </c>
      <c r="R232" s="7" t="n">
        <v>366.5</v>
      </c>
      <c r="T232" s="7" t="n">
        <v>420.3</v>
      </c>
      <c r="V232" s="7" t="n">
        <v>505.3</v>
      </c>
      <c r="X232" s="7" t="n">
        <v>278.8</v>
      </c>
      <c r="Z232" s="7" t="n">
        <v>161.6</v>
      </c>
      <c r="AB232" s="7" t="n">
        <v>3399.1</v>
      </c>
    </row>
    <row r="233">
      <c r="A233" s="4" t="inlineStr">
        <is>
          <t>保险费</t>
        </is>
      </c>
      <c r="D233" s="7" t="n">
        <v>305.3</v>
      </c>
      <c r="F233" s="7" t="n">
        <v>1028.9</v>
      </c>
      <c r="H233" s="7" t="n">
        <v>352.5</v>
      </c>
      <c r="J233" s="7" t="n">
        <v>520.7</v>
      </c>
      <c r="L233" s="7" t="n">
        <v>583.4</v>
      </c>
      <c r="N233" s="7" t="n">
        <v>1321.5</v>
      </c>
      <c r="P233" s="7" t="n">
        <v>747.3</v>
      </c>
      <c r="R233" s="7" t="n">
        <v>722.6</v>
      </c>
      <c r="T233" s="7" t="n">
        <v>1293.3</v>
      </c>
      <c r="V233" s="7" t="n">
        <v>1115.4</v>
      </c>
      <c r="X233" s="7" t="n">
        <v>519.6</v>
      </c>
      <c r="Z233" s="7" t="n">
        <v>345.9</v>
      </c>
      <c r="AB233" s="7" t="n">
        <v>8856.4</v>
      </c>
    </row>
    <row r="234">
      <c r="A234" s="4" t="inlineStr">
        <is>
          <t>清洁费</t>
        </is>
      </c>
      <c r="D234" s="7" t="n">
        <v>7.3</v>
      </c>
      <c r="F234" s="7" t="n">
        <v>31.1</v>
      </c>
      <c r="H234" s="7" t="n">
        <v>14.7</v>
      </c>
      <c r="J234" s="7" t="n">
        <v>26.7</v>
      </c>
      <c r="L234" s="7" t="n">
        <v>14.3</v>
      </c>
      <c r="N234" s="7" t="n">
        <v>45.4</v>
      </c>
      <c r="P234" s="7" t="n">
        <v>41.8</v>
      </c>
      <c r="R234" s="7" t="n">
        <v>30.3</v>
      </c>
      <c r="T234" s="7" t="n">
        <v>63.8</v>
      </c>
      <c r="V234" s="7" t="n">
        <v>40.3</v>
      </c>
      <c r="X234" s="7" t="n">
        <v>30.3</v>
      </c>
      <c r="Z234" s="7" t="n">
        <v>17</v>
      </c>
      <c r="AB234" s="7" t="n">
        <v>363</v>
      </c>
    </row>
    <row r="235">
      <c r="A235" s="4" t="inlineStr">
        <is>
          <t>低值易耗品</t>
        </is>
      </c>
      <c r="D235" s="7" t="n">
        <v>161.3</v>
      </c>
      <c r="F235" s="7" t="n">
        <v>422</v>
      </c>
      <c r="H235" s="7" t="n">
        <v>288.6</v>
      </c>
      <c r="J235" s="7" t="n">
        <v>427.7</v>
      </c>
      <c r="L235" s="7" t="n">
        <v>367.8</v>
      </c>
      <c r="N235" s="7" t="n">
        <v>672.4</v>
      </c>
      <c r="P235" s="7" t="n">
        <v>660.1</v>
      </c>
      <c r="R235" s="7" t="n">
        <v>654.4</v>
      </c>
      <c r="T235" s="7" t="n">
        <v>1033.9</v>
      </c>
      <c r="V235" s="7" t="n">
        <v>787.5</v>
      </c>
      <c r="X235" s="7" t="n">
        <v>572.9</v>
      </c>
      <c r="Z235" s="7" t="n">
        <v>303.8</v>
      </c>
      <c r="AB235" s="7" t="n">
        <v>6352.4</v>
      </c>
    </row>
    <row r="236">
      <c r="A236" s="4" t="inlineStr">
        <is>
          <t>物料消耗</t>
        </is>
      </c>
      <c r="D236" s="7" t="n">
        <v>436.4</v>
      </c>
      <c r="F236" s="7" t="n">
        <v>1032.9</v>
      </c>
      <c r="H236" s="7" t="n">
        <v>641.1</v>
      </c>
      <c r="J236" s="7" t="n">
        <v>1365.8</v>
      </c>
      <c r="L236" s="7" t="n">
        <v>681.4</v>
      </c>
      <c r="N236" s="7" t="n">
        <v>1254.4</v>
      </c>
      <c r="P236" s="7" t="n">
        <v>1111.7</v>
      </c>
      <c r="R236" s="7" t="n">
        <v>1408.3</v>
      </c>
      <c r="T236" s="7" t="n">
        <v>2482.8</v>
      </c>
      <c r="V236" s="7" t="n">
        <v>2443.7</v>
      </c>
      <c r="X236" s="7" t="n">
        <v>906.5</v>
      </c>
      <c r="Z236" s="7" t="n">
        <v>628.6</v>
      </c>
      <c r="AB236" s="7" t="n">
        <v>14393.6</v>
      </c>
    </row>
    <row r="237">
      <c r="A237" s="4" t="inlineStr">
        <is>
          <t>盘盈盘亏</t>
        </is>
      </c>
      <c r="D237" s="7" t="n">
        <v>11.2</v>
      </c>
      <c r="F237" s="7" t="n">
        <v>28.8</v>
      </c>
      <c r="H237" s="7" t="n">
        <v>10.9</v>
      </c>
      <c r="J237" s="7" t="n">
        <v>29.3</v>
      </c>
      <c r="L237" s="7" t="n">
        <v>24.3</v>
      </c>
      <c r="N237" s="7" t="n">
        <v>46.1</v>
      </c>
      <c r="P237" s="7" t="n">
        <v>32</v>
      </c>
      <c r="R237" s="7" t="n">
        <v>45.8</v>
      </c>
      <c r="T237" s="7" t="n">
        <v>52.6</v>
      </c>
      <c r="V237" s="7" t="n">
        <v>43.9</v>
      </c>
      <c r="X237" s="7" t="n">
        <v>23.9</v>
      </c>
      <c r="Z237" s="7" t="n">
        <v>15</v>
      </c>
      <c r="AB237" s="7" t="n">
        <v>363.8</v>
      </c>
    </row>
    <row r="238">
      <c r="A238" s="4" t="inlineStr">
        <is>
          <t>平台服务费</t>
        </is>
      </c>
      <c r="D238" s="7" t="n">
        <v>174</v>
      </c>
      <c r="F238" s="7" t="n">
        <v>508.6</v>
      </c>
      <c r="H238" s="7" t="n">
        <v>209</v>
      </c>
      <c r="J238" s="7" t="n">
        <v>621.8</v>
      </c>
      <c r="L238" s="7" t="n">
        <v>411.2</v>
      </c>
      <c r="N238" s="7" t="n">
        <v>825.7</v>
      </c>
      <c r="P238" s="7" t="n">
        <v>506.3</v>
      </c>
      <c r="R238" s="7" t="n">
        <v>658.1</v>
      </c>
      <c r="T238" s="7" t="n">
        <v>1128.1</v>
      </c>
      <c r="V238" s="7" t="n">
        <v>872.6</v>
      </c>
      <c r="X238" s="7" t="n">
        <v>614.8</v>
      </c>
      <c r="Z238" s="7" t="n">
        <v>244.3</v>
      </c>
      <c r="AB238" s="7" t="n">
        <v>6774.5</v>
      </c>
    </row>
    <row r="239">
      <c r="A239" s="4" t="inlineStr">
        <is>
          <t>无形资产摊销</t>
        </is>
      </c>
      <c r="D239" s="7" t="n">
        <v>394.2</v>
      </c>
      <c r="F239" s="7" t="n">
        <v>1007</v>
      </c>
      <c r="H239" s="7" t="n">
        <v>477</v>
      </c>
      <c r="J239" s="7" t="n">
        <v>1105.7</v>
      </c>
      <c r="L239" s="7" t="n">
        <v>672.8</v>
      </c>
      <c r="N239" s="7" t="n">
        <v>1141.8</v>
      </c>
      <c r="P239" s="7" t="n">
        <v>1020</v>
      </c>
      <c r="R239" s="7" t="n">
        <v>1748.4</v>
      </c>
      <c r="T239" s="7" t="n">
        <v>2269.7</v>
      </c>
      <c r="V239" s="7" t="n">
        <v>2007.7</v>
      </c>
      <c r="X239" s="7" t="n">
        <v>922.3</v>
      </c>
      <c r="Z239" s="7" t="n">
        <v>633.6</v>
      </c>
      <c r="AB239" s="7" t="n">
        <v>13400.2</v>
      </c>
    </row>
    <row r="240">
      <c r="A240" s="4" t="inlineStr">
        <is>
          <t>研发材料</t>
        </is>
      </c>
      <c r="D240" s="7" t="n">
        <v>341.1</v>
      </c>
      <c r="F240" s="7" t="n">
        <v>1318.5</v>
      </c>
      <c r="H240" s="7" t="n">
        <v>454.1</v>
      </c>
      <c r="J240" s="7" t="n">
        <v>1067.4</v>
      </c>
      <c r="L240" s="7" t="n">
        <v>708.3</v>
      </c>
      <c r="N240" s="7" t="n">
        <v>1738.2</v>
      </c>
      <c r="P240" s="7" t="n">
        <v>1447.2</v>
      </c>
      <c r="R240" s="7" t="n">
        <v>1427.2</v>
      </c>
      <c r="T240" s="7" t="n">
        <v>1941.9</v>
      </c>
      <c r="V240" s="7" t="n">
        <v>1726.1</v>
      </c>
      <c r="X240" s="7" t="n">
        <v>693.9</v>
      </c>
      <c r="Z240" s="7" t="n">
        <v>630.7</v>
      </c>
      <c r="AB240" s="7" t="n">
        <v>13494.6</v>
      </c>
    </row>
    <row r="241">
      <c r="A241" s="4" t="inlineStr">
        <is>
          <t>项目名称</t>
        </is>
      </c>
      <c r="D241" s="7" t="n">
        <v>45.4</v>
      </c>
      <c r="F241" s="7" t="n">
        <v>138.8</v>
      </c>
      <c r="H241" s="7" t="n">
        <v>66.59999999999999</v>
      </c>
      <c r="J241" s="7" t="n">
        <v>111.8</v>
      </c>
      <c r="L241" s="7" t="n">
        <v>72.40000000000001</v>
      </c>
      <c r="N241" s="7" t="n">
        <v>155.9</v>
      </c>
      <c r="P241" s="7" t="n">
        <v>205.2</v>
      </c>
      <c r="R241" s="7" t="n">
        <v>206.7</v>
      </c>
      <c r="T241" s="7" t="n">
        <v>202.5</v>
      </c>
      <c r="V241" s="7" t="n">
        <v>212.6</v>
      </c>
      <c r="X241" s="7" t="n">
        <v>116.8</v>
      </c>
      <c r="Z241" s="7" t="n">
        <v>71.7</v>
      </c>
      <c r="AB241" s="7" t="n">
        <v>1606.4</v>
      </c>
    </row>
    <row r="242">
      <c r="A242" s="4" t="inlineStr">
        <is>
          <t>研发费</t>
        </is>
      </c>
      <c r="D242" s="7" t="n">
        <v>124.2</v>
      </c>
      <c r="F242" s="7" t="n">
        <v>369.6</v>
      </c>
      <c r="H242" s="7" t="n">
        <v>175.9</v>
      </c>
      <c r="J242" s="7" t="n">
        <v>518.1</v>
      </c>
      <c r="L242" s="7" t="n">
        <v>306.7</v>
      </c>
      <c r="N242" s="7" t="n">
        <v>548.6</v>
      </c>
      <c r="P242" s="7" t="n">
        <v>669.2</v>
      </c>
      <c r="R242" s="7" t="n">
        <v>553.1</v>
      </c>
      <c r="T242" s="7" t="n">
        <v>727.4</v>
      </c>
      <c r="V242" s="7" t="n">
        <v>873.3</v>
      </c>
      <c r="X242" s="7" t="n">
        <v>342.8</v>
      </c>
      <c r="Z242" s="7" t="n">
        <v>279.3</v>
      </c>
      <c r="AB242" s="7" t="n">
        <v>5488.2</v>
      </c>
    </row>
    <row r="243">
      <c r="A243" s="4" t="inlineStr">
        <is>
          <t>残保金</t>
        </is>
      </c>
      <c r="D243" s="7" t="n">
        <v>236.9</v>
      </c>
      <c r="F243" s="7" t="n">
        <v>731.6</v>
      </c>
      <c r="H243" s="7" t="n">
        <v>485.9</v>
      </c>
      <c r="J243" s="7" t="n">
        <v>892.4</v>
      </c>
      <c r="L243" s="7" t="n">
        <v>423.9</v>
      </c>
      <c r="N243" s="7" t="n">
        <v>1265.2</v>
      </c>
      <c r="P243" s="7" t="n">
        <v>1016.8</v>
      </c>
      <c r="R243" s="7" t="n">
        <v>862.7</v>
      </c>
      <c r="T243" s="7" t="n">
        <v>1429.7</v>
      </c>
      <c r="V243" s="7" t="n">
        <v>1484.8</v>
      </c>
      <c r="X243" s="7" t="n">
        <v>728</v>
      </c>
      <c r="Z243" s="7" t="n">
        <v>266.6</v>
      </c>
      <c r="AB243" s="7" t="n">
        <v>9824.5</v>
      </c>
    </row>
    <row r="244">
      <c r="A244" s="4" t="inlineStr">
        <is>
          <t>环保费</t>
        </is>
      </c>
      <c r="D244" s="7" t="n">
        <v>232.9</v>
      </c>
      <c r="F244" s="7" t="n">
        <v>711.8</v>
      </c>
      <c r="H244" s="7" t="n">
        <v>457.3</v>
      </c>
      <c r="J244" s="7" t="n">
        <v>914.8</v>
      </c>
      <c r="L244" s="7" t="n">
        <v>564.9</v>
      </c>
      <c r="N244" s="7" t="n">
        <v>1387</v>
      </c>
      <c r="P244" s="7" t="n">
        <v>1224.8</v>
      </c>
      <c r="R244" s="7" t="n">
        <v>1213.3</v>
      </c>
      <c r="T244" s="7" t="n">
        <v>1430</v>
      </c>
      <c r="V244" s="7" t="n">
        <v>1279.5</v>
      </c>
      <c r="X244" s="7" t="n">
        <v>890.5</v>
      </c>
      <c r="Z244" s="7" t="n">
        <v>393.6</v>
      </c>
      <c r="AB244" s="7" t="n">
        <v>10700.4</v>
      </c>
    </row>
    <row r="245">
      <c r="A245" s="4" t="inlineStr">
        <is>
          <t>报废损失</t>
        </is>
      </c>
      <c r="D245" s="7" t="n">
        <v>388.3</v>
      </c>
      <c r="F245" s="7" t="n">
        <v>1543.8</v>
      </c>
      <c r="H245" s="7" t="n">
        <v>436.5</v>
      </c>
      <c r="J245" s="7" t="n">
        <v>1398.8</v>
      </c>
      <c r="L245" s="7" t="n">
        <v>998</v>
      </c>
      <c r="N245" s="7" t="n">
        <v>2190.7</v>
      </c>
      <c r="P245" s="7" t="n">
        <v>1243.1</v>
      </c>
      <c r="R245" s="7" t="n">
        <v>1265.3</v>
      </c>
      <c r="T245" s="7" t="n">
        <v>2562.1</v>
      </c>
      <c r="V245" s="7" t="n">
        <v>1944.6</v>
      </c>
      <c r="X245" s="7" t="n">
        <v>1225.2</v>
      </c>
      <c r="Z245" s="7" t="n">
        <v>496</v>
      </c>
      <c r="AB245" s="7" t="n">
        <v>15692.4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6908.1</v>
      </c>
      <c r="D246" s="7" t="n">
        <v>15053.7</v>
      </c>
      <c r="E246" s="7" t="n">
        <v>7184</v>
      </c>
      <c r="F246" s="7" t="n">
        <v>-337.8</v>
      </c>
      <c r="G246" s="7" t="n">
        <v>6239.4</v>
      </c>
      <c r="H246" s="7" t="n">
        <v>16579.7</v>
      </c>
      <c r="I246" s="7" t="n">
        <v>7407.2</v>
      </c>
      <c r="J246" s="7" t="n">
        <v>-2038.4</v>
      </c>
      <c r="K246" s="7" t="n">
        <v>5885.7</v>
      </c>
      <c r="L246" s="7" t="n">
        <v>5036.2</v>
      </c>
      <c r="M246" s="7" t="n">
        <v>5614</v>
      </c>
      <c r="N246" s="7" t="n">
        <v>2773.9</v>
      </c>
      <c r="O246" s="7" t="n">
        <v>6847.8</v>
      </c>
      <c r="P246" s="7" t="n">
        <v>13599.4</v>
      </c>
      <c r="Q246" s="7" t="n">
        <v>5696.5</v>
      </c>
      <c r="R246" s="7" t="n">
        <v>8197.299999999999</v>
      </c>
      <c r="S246" s="7" t="n">
        <v>6358.9</v>
      </c>
      <c r="T246" s="7" t="n">
        <v>-4895.2</v>
      </c>
      <c r="U246" s="7" t="n">
        <v>7098.3</v>
      </c>
      <c r="V246" s="7" t="n">
        <v>18649.2</v>
      </c>
      <c r="W246" s="7" t="n">
        <v>6700.5</v>
      </c>
      <c r="X246" s="7" t="n">
        <v>7416.8</v>
      </c>
      <c r="Y246" s="7" t="n">
        <v>7261.8</v>
      </c>
      <c r="Z246" s="7" t="n">
        <v>-2488</v>
      </c>
      <c r="AA246" s="8" t="n">
        <v>79202.2</v>
      </c>
      <c r="AB246" s="8" t="n">
        <v>77546.8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-4505</v>
      </c>
      <c r="E248" s="7" t="n">
        <v>0</v>
      </c>
      <c r="F248" s="7" t="n">
        <v>-4105.3</v>
      </c>
      <c r="G248" s="7" t="n">
        <v>0</v>
      </c>
      <c r="H248" s="7" t="n">
        <v>-2239.8</v>
      </c>
      <c r="I248" s="7" t="n">
        <v>0</v>
      </c>
      <c r="J248" s="7" t="n">
        <v>4383.6</v>
      </c>
      <c r="K248" s="7" t="n">
        <v>0</v>
      </c>
      <c r="L248" s="7" t="n">
        <v>-2901.4</v>
      </c>
      <c r="M248" s="7" t="n">
        <v>0</v>
      </c>
      <c r="N248" s="7" t="n">
        <v>4189.8</v>
      </c>
      <c r="O248" s="7" t="n">
        <v>0</v>
      </c>
      <c r="P248" s="7" t="n">
        <v>-251.6</v>
      </c>
      <c r="Q248" s="7" t="n">
        <v>0</v>
      </c>
      <c r="R248" s="7" t="n">
        <v>-3832.2</v>
      </c>
      <c r="S248" s="7" t="n">
        <v>0</v>
      </c>
      <c r="T248" s="7" t="n">
        <v>-3930.6</v>
      </c>
      <c r="U248" s="7" t="n">
        <v>0</v>
      </c>
      <c r="V248" s="7" t="n">
        <v>1898.6</v>
      </c>
      <c r="W248" s="7" t="n">
        <v>0</v>
      </c>
      <c r="X248" s="7" t="n">
        <v>2475.4</v>
      </c>
      <c r="Y248" s="7" t="n">
        <v>0</v>
      </c>
      <c r="Z248" s="7" t="n">
        <v>896.9</v>
      </c>
      <c r="AA248" s="7" t="n">
        <v>0</v>
      </c>
      <c r="AB248" s="7" t="n">
        <v>-7921.6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19803.3</v>
      </c>
      <c r="D253" s="7" t="n">
        <v>13999</v>
      </c>
      <c r="E253" s="7" t="n">
        <v>15934.3</v>
      </c>
      <c r="F253" s="7" t="n">
        <v>19566.9</v>
      </c>
      <c r="G253" s="7" t="n">
        <v>18455.7</v>
      </c>
      <c r="H253" s="7" t="n">
        <v>12448.2</v>
      </c>
      <c r="I253" s="7" t="n">
        <v>16197.2</v>
      </c>
      <c r="J253" s="7" t="n">
        <v>23420.2</v>
      </c>
      <c r="K253" s="7" t="n">
        <v>19233</v>
      </c>
      <c r="L253" s="7" t="n">
        <v>3148.9</v>
      </c>
      <c r="M253" s="7" t="n">
        <v>20323.4</v>
      </c>
      <c r="N253" s="7" t="n">
        <v>18910.2</v>
      </c>
      <c r="O253" s="7" t="n">
        <v>19167.3</v>
      </c>
      <c r="P253" s="7" t="n">
        <v>11638.6</v>
      </c>
      <c r="Q253" s="7" t="n">
        <v>20191.3</v>
      </c>
      <c r="R253" s="7" t="n">
        <v>27819.4</v>
      </c>
      <c r="S253" s="7" t="n">
        <v>17468.6</v>
      </c>
      <c r="T253" s="7" t="n">
        <v>22816.8</v>
      </c>
      <c r="U253" s="7" t="n">
        <v>17667.5</v>
      </c>
      <c r="V253" s="7" t="n">
        <v>28197.2</v>
      </c>
      <c r="W253" s="7" t="n">
        <v>15705</v>
      </c>
      <c r="X253" s="7" t="n">
        <v>20512.3</v>
      </c>
      <c r="Y253" s="7" t="n">
        <v>16318.6</v>
      </c>
      <c r="Z253" s="7" t="n">
        <v>18505.2</v>
      </c>
      <c r="AA253" s="7" t="n">
        <v>216465.2</v>
      </c>
      <c r="AB253" s="7" t="n">
        <v>220982.9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665541.3</v>
      </c>
      <c r="D254" s="7" t="n">
        <v>314600.5</v>
      </c>
      <c r="E254" s="7" t="n">
        <v>739552.2</v>
      </c>
      <c r="F254" s="7" t="n">
        <v>429318</v>
      </c>
      <c r="G254" s="7" t="n">
        <v>805070.8</v>
      </c>
      <c r="H254" s="7" t="n">
        <v>508883.1</v>
      </c>
      <c r="I254" s="7" t="n">
        <v>794901.7</v>
      </c>
      <c r="J254" s="7" t="n">
        <v>825510.7</v>
      </c>
      <c r="K254" s="7" t="n">
        <v>739544.7</v>
      </c>
      <c r="L254" s="7" t="n">
        <v>1010602.8</v>
      </c>
      <c r="M254" s="7" t="n">
        <v>846523.1</v>
      </c>
      <c r="N254" s="7" t="n">
        <v>493259</v>
      </c>
      <c r="O254" s="7" t="n">
        <v>658413.5</v>
      </c>
      <c r="P254" s="7" t="n">
        <v>1417046.4</v>
      </c>
      <c r="Q254" s="7" t="n">
        <v>640874.4</v>
      </c>
      <c r="R254" s="7" t="n">
        <v>899466.5</v>
      </c>
      <c r="S254" s="7" t="n">
        <v>789346.2</v>
      </c>
      <c r="T254" s="7" t="n">
        <v>913485.3</v>
      </c>
      <c r="U254" s="7" t="n">
        <v>659597.3</v>
      </c>
      <c r="V254" s="7" t="n">
        <v>1131717.3</v>
      </c>
      <c r="W254" s="7" t="n">
        <v>772614.4</v>
      </c>
      <c r="X254" s="7" t="n">
        <v>729567.7</v>
      </c>
      <c r="Y254" s="7" t="n">
        <v>853345.5</v>
      </c>
      <c r="Z254" s="7" t="n">
        <v>287240.4</v>
      </c>
      <c r="AA254" s="8" t="n">
        <v>8965325.1</v>
      </c>
      <c r="AB254" s="8" t="n">
        <v>8960697.699999999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773.1</v>
      </c>
      <c r="E255" s="7" t="n">
        <v>0</v>
      </c>
      <c r="F255" s="7" t="n">
        <v>4468.8</v>
      </c>
      <c r="G255" s="7" t="n">
        <v>0</v>
      </c>
      <c r="H255" s="7" t="n">
        <v>3384.2</v>
      </c>
      <c r="I255" s="7" t="n">
        <v>0</v>
      </c>
      <c r="J255" s="7" t="n">
        <v>4395.6</v>
      </c>
      <c r="K255" s="7" t="n">
        <v>0</v>
      </c>
      <c r="L255" s="7" t="n">
        <v>2940.4</v>
      </c>
      <c r="M255" s="7" t="n">
        <v>0</v>
      </c>
      <c r="N255" s="7" t="n">
        <v>4939.2</v>
      </c>
      <c r="O255" s="7" t="n">
        <v>0</v>
      </c>
      <c r="P255" s="7" t="n">
        <v>1256.6</v>
      </c>
      <c r="Q255" s="7" t="n">
        <v>0</v>
      </c>
      <c r="R255" s="7" t="n">
        <v>2452.1</v>
      </c>
      <c r="S255" s="7" t="n">
        <v>0</v>
      </c>
      <c r="T255" s="7" t="n">
        <v>603.1</v>
      </c>
      <c r="U255" s="7" t="n">
        <v>0</v>
      </c>
      <c r="V255" s="7" t="n">
        <v>989.8</v>
      </c>
      <c r="W255" s="7" t="n">
        <v>0</v>
      </c>
      <c r="X255" s="7" t="n">
        <v>1694.2</v>
      </c>
      <c r="Y255" s="7" t="n">
        <v>0</v>
      </c>
      <c r="Z255" s="7" t="n">
        <v>1133.4</v>
      </c>
      <c r="AA255" s="7" t="n">
        <v>0</v>
      </c>
      <c r="AB255" s="7" t="n">
        <v>29030.5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1342.2</v>
      </c>
      <c r="E256" s="7" t="n">
        <v>0</v>
      </c>
      <c r="F256" s="7" t="n">
        <v>1257.7</v>
      </c>
      <c r="G256" s="7" t="n">
        <v>0</v>
      </c>
      <c r="H256" s="7" t="n">
        <v>2589.9</v>
      </c>
      <c r="I256" s="7" t="n">
        <v>0</v>
      </c>
      <c r="J256" s="7" t="n">
        <v>2699</v>
      </c>
      <c r="K256" s="7" t="n">
        <v>0</v>
      </c>
      <c r="L256" s="7" t="n">
        <v>20.9</v>
      </c>
      <c r="M256" s="7" t="n">
        <v>0</v>
      </c>
      <c r="N256" s="7" t="n">
        <v>2394.8</v>
      </c>
      <c r="O256" s="7" t="n">
        <v>0</v>
      </c>
      <c r="P256" s="7" t="n">
        <v>1641.1</v>
      </c>
      <c r="Q256" s="7" t="n">
        <v>0</v>
      </c>
      <c r="R256" s="7" t="n">
        <v>2021.2</v>
      </c>
      <c r="S256" s="7" t="n">
        <v>0</v>
      </c>
      <c r="T256" s="7" t="n">
        <v>2149</v>
      </c>
      <c r="U256" s="7" t="n">
        <v>0</v>
      </c>
      <c r="V256" s="7" t="n">
        <v>1099</v>
      </c>
      <c r="W256" s="7" t="n">
        <v>0</v>
      </c>
      <c r="X256" s="7" t="n">
        <v>1055.7</v>
      </c>
      <c r="Y256" s="7" t="n">
        <v>0</v>
      </c>
      <c r="Z256" s="7" t="n">
        <v>2601.4</v>
      </c>
      <c r="AA256" s="7" t="n">
        <v>0</v>
      </c>
      <c r="AB256" s="7" t="n">
        <v>20871.9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643450.4</v>
      </c>
      <c r="D257" s="7" t="n">
        <v>314632</v>
      </c>
      <c r="E257" s="7" t="n">
        <v>857515.8</v>
      </c>
      <c r="F257" s="7" t="n">
        <v>387651</v>
      </c>
      <c r="G257" s="7" t="n">
        <v>769930.1</v>
      </c>
      <c r="H257" s="7" t="n">
        <v>524285.1</v>
      </c>
      <c r="I257" s="7" t="n">
        <v>805998.3</v>
      </c>
      <c r="J257" s="7" t="n">
        <v>853434.4</v>
      </c>
      <c r="K257" s="7" t="n">
        <v>758506.3</v>
      </c>
      <c r="L257" s="7" t="n">
        <v>968796.2</v>
      </c>
      <c r="M257" s="7" t="n">
        <v>824709.3</v>
      </c>
      <c r="N257" s="7" t="n">
        <v>522696.9</v>
      </c>
      <c r="O257" s="7" t="n">
        <v>693093.2</v>
      </c>
      <c r="P257" s="7" t="n">
        <v>1313588.8</v>
      </c>
      <c r="Q257" s="7" t="n">
        <v>784253.3</v>
      </c>
      <c r="R257" s="7" t="n">
        <v>967167.4</v>
      </c>
      <c r="S257" s="7" t="n">
        <v>639388</v>
      </c>
      <c r="T257" s="7" t="n">
        <v>998258.3</v>
      </c>
      <c r="U257" s="7" t="n">
        <v>814385.7</v>
      </c>
      <c r="V257" s="7" t="n">
        <v>1055274.2</v>
      </c>
      <c r="W257" s="7" t="n">
        <v>787807</v>
      </c>
      <c r="X257" s="7" t="n">
        <v>776878.8</v>
      </c>
      <c r="Y257" s="7" t="n">
        <v>714813.4</v>
      </c>
      <c r="Z257" s="7" t="n">
        <v>280961.5</v>
      </c>
      <c r="AA257" s="8" t="n">
        <v>9093850.800000001</v>
      </c>
      <c r="AB257" s="8" t="n">
        <v>8963624.6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183208.9</v>
      </c>
      <c r="D258" s="7" t="n">
        <v>78658</v>
      </c>
      <c r="E258" s="7" t="n">
        <v>197391.7</v>
      </c>
      <c r="F258" s="7" t="n">
        <v>96912.8</v>
      </c>
      <c r="G258" s="7" t="n">
        <v>172507.3</v>
      </c>
      <c r="H258" s="7" t="n">
        <v>131071.3</v>
      </c>
      <c r="I258" s="7" t="n">
        <v>206333.6</v>
      </c>
      <c r="J258" s="7" t="n">
        <v>213358.6</v>
      </c>
      <c r="K258" s="7" t="n">
        <v>209957.4</v>
      </c>
      <c r="L258" s="7" t="n">
        <v>242199</v>
      </c>
      <c r="M258" s="7" t="n">
        <v>179161</v>
      </c>
      <c r="N258" s="7" t="n">
        <v>130674.2</v>
      </c>
      <c r="O258" s="7" t="n">
        <v>200667.6</v>
      </c>
      <c r="P258" s="7" t="n">
        <v>328397.2</v>
      </c>
      <c r="Q258" s="7" t="n">
        <v>207889.2</v>
      </c>
      <c r="R258" s="7" t="n">
        <v>241791.9</v>
      </c>
      <c r="S258" s="7" t="n">
        <v>166688.2</v>
      </c>
      <c r="T258" s="7" t="n">
        <v>249564.6</v>
      </c>
      <c r="U258" s="7" t="n">
        <v>176762</v>
      </c>
      <c r="V258" s="7" t="n">
        <v>263818.5</v>
      </c>
      <c r="W258" s="7" t="n">
        <v>199952.3</v>
      </c>
      <c r="X258" s="7" t="n">
        <v>194219.7</v>
      </c>
      <c r="Y258" s="7" t="n">
        <v>205718.7</v>
      </c>
      <c r="Z258" s="7" t="n">
        <v>70240.39999999999</v>
      </c>
      <c r="AA258" s="7" t="n">
        <v>2306237.9</v>
      </c>
      <c r="AB258" s="7" t="n">
        <v>2240906.2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773988.2</v>
      </c>
      <c r="D259" s="7" t="n">
        <v>235974</v>
      </c>
      <c r="E259" s="7" t="n">
        <v>721251.1</v>
      </c>
      <c r="F259" s="7" t="n">
        <v>290738.2</v>
      </c>
      <c r="G259" s="7" t="n">
        <v>775415.9</v>
      </c>
      <c r="H259" s="7" t="n">
        <v>393213.8</v>
      </c>
      <c r="I259" s="7" t="n">
        <v>551470.3</v>
      </c>
      <c r="J259" s="7" t="n">
        <v>640075.8</v>
      </c>
      <c r="K259" s="7" t="n">
        <v>690587.5</v>
      </c>
      <c r="L259" s="7" t="n">
        <v>726597.2</v>
      </c>
      <c r="M259" s="7" t="n">
        <v>842902.4</v>
      </c>
      <c r="N259" s="7" t="n">
        <v>392022.7</v>
      </c>
      <c r="O259" s="7" t="n">
        <v>645872</v>
      </c>
      <c r="P259" s="7" t="n">
        <v>985191.6</v>
      </c>
      <c r="Q259" s="7" t="n">
        <v>750567.4</v>
      </c>
      <c r="R259" s="7" t="n">
        <v>725375.5</v>
      </c>
      <c r="S259" s="7" t="n">
        <v>518414.8</v>
      </c>
      <c r="T259" s="7" t="n">
        <v>748693.7</v>
      </c>
      <c r="U259" s="7" t="n">
        <v>861204.2</v>
      </c>
      <c r="V259" s="7" t="n">
        <v>791455.7</v>
      </c>
      <c r="W259" s="7" t="n">
        <v>714595.5</v>
      </c>
      <c r="X259" s="7" t="n">
        <v>582659.1</v>
      </c>
      <c r="Y259" s="7" t="n">
        <v>565854.1</v>
      </c>
      <c r="Z259" s="7" t="n">
        <v>210721.1</v>
      </c>
      <c r="AA259" s="8" t="n">
        <v>8412123.4</v>
      </c>
      <c r="AB259" s="8" t="n">
        <v>6722718.4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63334.2</v>
      </c>
      <c r="E260" s="7" t="n">
        <v>0</v>
      </c>
      <c r="F260" s="7" t="n">
        <v>71822.60000000001</v>
      </c>
      <c r="G260" s="7" t="n">
        <v>0</v>
      </c>
      <c r="H260" s="7" t="n">
        <v>45816.7</v>
      </c>
      <c r="I260" s="7" t="n">
        <v>0</v>
      </c>
      <c r="J260" s="7" t="n">
        <v>847.2</v>
      </c>
      <c r="K260" s="7" t="n">
        <v>0</v>
      </c>
      <c r="L260" s="7" t="n">
        <v>202228.8</v>
      </c>
      <c r="M260" s="7" t="n">
        <v>0</v>
      </c>
      <c r="N260" s="7" t="n">
        <v>25589.6</v>
      </c>
      <c r="O260" s="7" t="n">
        <v>0</v>
      </c>
      <c r="P260" s="7" t="n">
        <v>107576.6</v>
      </c>
      <c r="Q260" s="7" t="n">
        <v>0</v>
      </c>
      <c r="R260" s="7" t="n">
        <v>213091.8</v>
      </c>
      <c r="S260" s="7" t="n">
        <v>0</v>
      </c>
      <c r="T260" s="7" t="n">
        <v>214498.8</v>
      </c>
      <c r="U260" s="7" t="n">
        <v>0</v>
      </c>
      <c r="V260" s="7" t="n">
        <v>154043.7</v>
      </c>
      <c r="W260" s="7" t="n">
        <v>0</v>
      </c>
      <c r="X260" s="7" t="n">
        <v>134042.5</v>
      </c>
      <c r="Y260" s="7" t="n">
        <v>0</v>
      </c>
      <c r="Z260" s="7" t="n">
        <v>56438.8</v>
      </c>
      <c r="AA260" s="7" t="n">
        <v>0</v>
      </c>
      <c r="AB260" s="7" t="n">
        <v>1289331.3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773988.2</v>
      </c>
      <c r="D261" s="7" t="n">
        <v>172639.8</v>
      </c>
      <c r="E261" s="7" t="n">
        <v>721251.1</v>
      </c>
      <c r="F261" s="7" t="n">
        <v>218915.6</v>
      </c>
      <c r="G261" s="7" t="n">
        <v>775415.9</v>
      </c>
      <c r="H261" s="7" t="n">
        <v>347397.1</v>
      </c>
      <c r="I261" s="7" t="n">
        <v>551470.3</v>
      </c>
      <c r="J261" s="7" t="n">
        <v>639228.6</v>
      </c>
      <c r="K261" s="7" t="n">
        <v>690587.5</v>
      </c>
      <c r="L261" s="7" t="n">
        <v>524368.4</v>
      </c>
      <c r="M261" s="7" t="n">
        <v>842902.4</v>
      </c>
      <c r="N261" s="7" t="n">
        <v>366433.1</v>
      </c>
      <c r="O261" s="7" t="n">
        <v>645872</v>
      </c>
      <c r="P261" s="7" t="n">
        <v>877615</v>
      </c>
      <c r="Q261" s="7" t="n">
        <v>750567.4</v>
      </c>
      <c r="R261" s="7" t="n">
        <v>512283.7</v>
      </c>
      <c r="S261" s="7" t="n">
        <v>518414.8</v>
      </c>
      <c r="T261" s="7" t="n">
        <v>534194.9</v>
      </c>
      <c r="U261" s="7" t="n">
        <v>861204.2</v>
      </c>
      <c r="V261" s="7" t="n">
        <v>637412</v>
      </c>
      <c r="W261" s="7" t="n">
        <v>714595.5</v>
      </c>
      <c r="X261" s="7" t="n">
        <v>448616.6</v>
      </c>
      <c r="Y261" s="7" t="n">
        <v>565854.1</v>
      </c>
      <c r="Z261" s="7" t="n">
        <v>154282.3</v>
      </c>
      <c r="AA261" s="8" t="n">
        <v>8412123.4</v>
      </c>
      <c r="AB261" s="8" t="n">
        <v>5433387.1</v>
      </c>
    </row>
    <row r="262">
      <c r="A262" s="4" t="inlineStr">
        <is>
          <t>净利率</t>
        </is>
      </c>
      <c r="D262" s="13" t="n">
        <v>4.3</v>
      </c>
      <c r="F262" s="13" t="n">
        <v>5.3</v>
      </c>
      <c r="H262" s="13" t="n">
        <v>4.8</v>
      </c>
      <c r="J262" s="13" t="n">
        <v>6.9</v>
      </c>
      <c r="L262" s="13" t="n">
        <v>7.2</v>
      </c>
      <c r="N262" s="13" t="n">
        <v>3.5</v>
      </c>
      <c r="P262" s="13" t="n">
        <v>8</v>
      </c>
      <c r="R262" s="13" t="n">
        <v>7.2</v>
      </c>
      <c r="T262" s="13" t="n">
        <v>7.7</v>
      </c>
      <c r="V262" s="13" t="n">
        <v>6.9</v>
      </c>
      <c r="X262" s="13" t="n">
        <v>7</v>
      </c>
      <c r="Z262" s="13" t="n">
        <v>3.4</v>
      </c>
    </row>
    <row r="263">
      <c r="A263" s="4" t="inlineStr">
        <is>
          <t>销售达成率</t>
        </is>
      </c>
      <c r="D263" s="13" t="n">
        <v>60.5</v>
      </c>
      <c r="F263" s="13" t="n">
        <v>68.8</v>
      </c>
      <c r="H263" s="13" t="n">
        <v>95.5</v>
      </c>
      <c r="J263" s="13" t="n">
        <v>107.3</v>
      </c>
      <c r="L263" s="13" t="n">
        <v>105.8</v>
      </c>
      <c r="N263" s="13" t="n">
        <v>110.4</v>
      </c>
      <c r="P263" s="13" t="n">
        <v>142.8</v>
      </c>
      <c r="R263" s="13" t="n">
        <v>105.4</v>
      </c>
      <c r="T263" s="13" t="n">
        <v>114.7</v>
      </c>
      <c r="V263" s="13" t="n">
        <v>112.5</v>
      </c>
      <c r="X263" s="13" t="n">
        <v>83.8</v>
      </c>
      <c r="Z263" s="13" t="n">
        <v>67.09999999999999</v>
      </c>
    </row>
    <row r="264">
      <c r="A264" s="4" t="inlineStr">
        <is>
          <t>净利达成率</t>
        </is>
      </c>
      <c r="D264" s="13" t="n">
        <v>30.5</v>
      </c>
      <c r="F264" s="13" t="n">
        <v>40.3</v>
      </c>
      <c r="H264" s="13" t="n">
        <v>50.7</v>
      </c>
      <c r="J264" s="13" t="n">
        <v>116.1</v>
      </c>
      <c r="L264" s="13" t="n">
        <v>105.2</v>
      </c>
      <c r="N264" s="13" t="n">
        <v>46.5</v>
      </c>
      <c r="P264" s="13" t="n">
        <v>152.5</v>
      </c>
      <c r="R264" s="13" t="n">
        <v>96.59999999999999</v>
      </c>
      <c r="T264" s="13" t="n">
        <v>144.4</v>
      </c>
      <c r="V264" s="13" t="n">
        <v>91.90000000000001</v>
      </c>
      <c r="X264" s="13" t="n">
        <v>81.5</v>
      </c>
      <c r="Z264" s="13" t="n">
        <v>37.2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湖北省区利润表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1424548</v>
      </c>
      <c r="D6" s="7" t="n">
        <v>1073711</v>
      </c>
      <c r="E6" s="7" t="n">
        <v>1524429.4</v>
      </c>
      <c r="F6" s="7" t="n">
        <v>1024253.5</v>
      </c>
      <c r="G6" s="7" t="n">
        <v>1744860.6</v>
      </c>
      <c r="H6" s="7" t="n">
        <v>1507286.2</v>
      </c>
      <c r="I6" s="7" t="n">
        <v>1466213.8</v>
      </c>
      <c r="J6" s="7" t="n">
        <v>1720724.9</v>
      </c>
      <c r="K6" s="7" t="n">
        <v>1445026.7</v>
      </c>
      <c r="L6" s="7" t="n">
        <v>1776127.1</v>
      </c>
      <c r="M6" s="7" t="n">
        <v>1643470.6</v>
      </c>
      <c r="N6" s="7" t="n">
        <v>1962760</v>
      </c>
      <c r="O6" s="7" t="n">
        <v>1854015.7</v>
      </c>
      <c r="P6" s="7" t="n">
        <v>2166040</v>
      </c>
      <c r="Q6" s="7" t="n">
        <v>1639301.8</v>
      </c>
      <c r="R6" s="7" t="n">
        <v>1863311.7</v>
      </c>
      <c r="S6" s="7" t="n">
        <v>1825752.1</v>
      </c>
      <c r="T6" s="7" t="n">
        <v>1603326.8</v>
      </c>
      <c r="U6" s="7" t="n">
        <v>1785300.8</v>
      </c>
      <c r="V6" s="7" t="n">
        <v>1904438.5</v>
      </c>
      <c r="W6" s="7" t="n">
        <v>1505844.3</v>
      </c>
      <c r="X6" s="7" t="n">
        <v>1504541.9</v>
      </c>
      <c r="Y6" s="7" t="n">
        <v>1782483</v>
      </c>
      <c r="Z6" s="7" t="n">
        <v>1151936.4</v>
      </c>
      <c r="AA6" s="8" t="n">
        <v>19641246.8</v>
      </c>
      <c r="AB6" s="8" t="n">
        <v>19258458</v>
      </c>
    </row>
    <row r="7">
      <c r="A7" s="4" t="inlineStr">
        <is>
          <t>数控机床</t>
        </is>
      </c>
      <c r="D7" s="7" t="n">
        <v>166815.5</v>
      </c>
      <c r="F7" s="7" t="n">
        <v>228170.1</v>
      </c>
      <c r="H7" s="7" t="n">
        <v>241320.9</v>
      </c>
      <c r="J7" s="7" t="n">
        <v>308515.5</v>
      </c>
      <c r="L7" s="7" t="n">
        <v>325522.2</v>
      </c>
      <c r="N7" s="7" t="n">
        <v>297182.8</v>
      </c>
      <c r="P7" s="7" t="n">
        <v>422043.3</v>
      </c>
      <c r="R7" s="7" t="n">
        <v>305710.3</v>
      </c>
      <c r="T7" s="7" t="n">
        <v>318289.5</v>
      </c>
      <c r="V7" s="7" t="n">
        <v>376386.4</v>
      </c>
      <c r="X7" s="7" t="n">
        <v>223163.8</v>
      </c>
      <c r="Z7" s="7" t="n">
        <v>184147.8</v>
      </c>
      <c r="AB7" s="7" t="n">
        <v>3397268.1</v>
      </c>
    </row>
    <row r="8">
      <c r="A8" s="4" t="inlineStr">
        <is>
          <t>精密轴承</t>
        </is>
      </c>
      <c r="D8" s="7" t="n">
        <v>173277.3</v>
      </c>
      <c r="F8" s="7" t="n">
        <v>164744.1</v>
      </c>
      <c r="H8" s="7" t="n">
        <v>276351.4</v>
      </c>
      <c r="J8" s="7" t="n">
        <v>219994.3</v>
      </c>
      <c r="L8" s="7" t="n">
        <v>264128.5</v>
      </c>
      <c r="N8" s="7" t="n">
        <v>312505.6</v>
      </c>
      <c r="P8" s="7" t="n">
        <v>309044.3</v>
      </c>
      <c r="R8" s="7" t="n">
        <v>303816</v>
      </c>
      <c r="T8" s="7" t="n">
        <v>228694.1</v>
      </c>
      <c r="V8" s="7" t="n">
        <v>251098.4</v>
      </c>
      <c r="X8" s="7" t="n">
        <v>249289</v>
      </c>
      <c r="Z8" s="7" t="n">
        <v>171017.1</v>
      </c>
      <c r="AB8" s="7" t="n">
        <v>2923960.1</v>
      </c>
    </row>
    <row r="9">
      <c r="A9" s="4" t="inlineStr">
        <is>
          <t>液压件</t>
        </is>
      </c>
      <c r="D9" s="7" t="n">
        <v>268115.9</v>
      </c>
      <c r="F9" s="7" t="n">
        <v>213761.3</v>
      </c>
      <c r="H9" s="7" t="n">
        <v>349468.7</v>
      </c>
      <c r="J9" s="7" t="n">
        <v>430875</v>
      </c>
      <c r="L9" s="7" t="n">
        <v>416536.8</v>
      </c>
      <c r="N9" s="7" t="n">
        <v>489751.7</v>
      </c>
      <c r="P9" s="7" t="n">
        <v>517377.9</v>
      </c>
      <c r="R9" s="7" t="n">
        <v>407226.3</v>
      </c>
      <c r="T9" s="7" t="n">
        <v>350577.9</v>
      </c>
      <c r="V9" s="7" t="n">
        <v>476690.1</v>
      </c>
      <c r="X9" s="7" t="n">
        <v>384839.6</v>
      </c>
      <c r="Z9" s="7" t="n">
        <v>249754</v>
      </c>
      <c r="AB9" s="7" t="n">
        <v>4554975.2</v>
      </c>
    </row>
    <row r="10">
      <c r="A10" s="4" t="inlineStr">
        <is>
          <t>气动元件</t>
        </is>
      </c>
      <c r="D10" s="7" t="n">
        <v>222553.4</v>
      </c>
      <c r="F10" s="7" t="n">
        <v>191567.8</v>
      </c>
      <c r="H10" s="7" t="n">
        <v>318315.7</v>
      </c>
      <c r="J10" s="7" t="n">
        <v>402917.9</v>
      </c>
      <c r="L10" s="7" t="n">
        <v>359895.4</v>
      </c>
      <c r="N10" s="7" t="n">
        <v>424838.2</v>
      </c>
      <c r="P10" s="7" t="n">
        <v>427027.2</v>
      </c>
      <c r="R10" s="7" t="n">
        <v>429310.3</v>
      </c>
      <c r="T10" s="7" t="n">
        <v>375861.3</v>
      </c>
      <c r="V10" s="7" t="n">
        <v>383075.1</v>
      </c>
      <c r="X10" s="7" t="n">
        <v>306218.4</v>
      </c>
      <c r="Z10" s="7" t="n">
        <v>262761.9</v>
      </c>
      <c r="AB10" s="7" t="n">
        <v>4104342.6</v>
      </c>
    </row>
    <row r="11">
      <c r="A11" s="4" t="inlineStr">
        <is>
          <t>模具</t>
        </is>
      </c>
      <c r="D11" s="7" t="n">
        <v>64237.2</v>
      </c>
      <c r="F11" s="7" t="n">
        <v>58497</v>
      </c>
      <c r="H11" s="7" t="n">
        <v>71930.89999999999</v>
      </c>
      <c r="J11" s="7" t="n">
        <v>84057.5</v>
      </c>
      <c r="L11" s="7" t="n">
        <v>82430</v>
      </c>
      <c r="N11" s="7" t="n">
        <v>129833.6</v>
      </c>
      <c r="P11" s="7" t="n">
        <v>104620.4</v>
      </c>
      <c r="R11" s="7" t="n">
        <v>96220.39999999999</v>
      </c>
      <c r="T11" s="7" t="n">
        <v>98413.8</v>
      </c>
      <c r="V11" s="7" t="n">
        <v>100695.3</v>
      </c>
      <c r="X11" s="7" t="n">
        <v>73813.8</v>
      </c>
      <c r="Z11" s="7" t="n">
        <v>64824.3</v>
      </c>
      <c r="AB11" s="7" t="n">
        <v>1029574.2</v>
      </c>
    </row>
    <row r="12">
      <c r="A12" s="4" t="inlineStr">
        <is>
          <t>工装夹具</t>
        </is>
      </c>
      <c r="D12" s="7" t="n">
        <v>173235.2</v>
      </c>
      <c r="F12" s="7" t="n">
        <v>180162.3</v>
      </c>
      <c r="H12" s="7" t="n">
        <v>268271.5</v>
      </c>
      <c r="J12" s="7" t="n">
        <v>287729.3</v>
      </c>
      <c r="L12" s="7" t="n">
        <v>338549.4</v>
      </c>
      <c r="N12" s="7" t="n">
        <v>350721.9</v>
      </c>
      <c r="P12" s="7" t="n">
        <v>423353</v>
      </c>
      <c r="R12" s="7" t="n">
        <v>345233.8</v>
      </c>
      <c r="T12" s="7" t="n">
        <v>263776.5</v>
      </c>
      <c r="V12" s="7" t="n">
        <v>352671</v>
      </c>
      <c r="X12" s="7" t="n">
        <v>274599.1</v>
      </c>
      <c r="Z12" s="7" t="n">
        <v>222793</v>
      </c>
      <c r="AB12" s="7" t="n">
        <v>3481096</v>
      </c>
    </row>
    <row r="13">
      <c r="A13" s="4" t="inlineStr">
        <is>
          <t>返利</t>
        </is>
      </c>
      <c r="D13" s="7" t="n">
        <v>-14026.8</v>
      </c>
      <c r="F13" s="7" t="n">
        <v>-27966</v>
      </c>
      <c r="H13" s="7" t="n">
        <v>-36701.8</v>
      </c>
      <c r="J13" s="7" t="n">
        <v>-41439.1</v>
      </c>
      <c r="L13" s="7" t="n">
        <v>-40030.3</v>
      </c>
      <c r="N13" s="7" t="n">
        <v>-54760.1</v>
      </c>
      <c r="P13" s="7" t="n">
        <v>-47501.8</v>
      </c>
      <c r="R13" s="7" t="n">
        <v>-29768.3</v>
      </c>
      <c r="T13" s="7" t="n">
        <v>-44334.3</v>
      </c>
      <c r="V13" s="7" t="n">
        <v>-38943.9</v>
      </c>
      <c r="X13" s="7" t="n">
        <v>-21783.5</v>
      </c>
      <c r="Z13" s="7" t="n">
        <v>-11789.1</v>
      </c>
      <c r="AB13" s="7" t="n">
        <v>-409045</v>
      </c>
    </row>
    <row r="14">
      <c r="A14" s="4" t="inlineStr">
        <is>
          <t>其他</t>
        </is>
      </c>
      <c r="D14" s="7" t="n">
        <v>19503.3</v>
      </c>
      <c r="F14" s="7" t="n">
        <v>15316.9</v>
      </c>
      <c r="H14" s="7" t="n">
        <v>18328.9</v>
      </c>
      <c r="J14" s="7" t="n">
        <v>28074.5</v>
      </c>
      <c r="L14" s="7" t="n">
        <v>29095.1</v>
      </c>
      <c r="N14" s="7" t="n">
        <v>12686.3</v>
      </c>
      <c r="P14" s="7" t="n">
        <v>10075.7</v>
      </c>
      <c r="R14" s="7" t="n">
        <v>5562.9</v>
      </c>
      <c r="T14" s="7" t="n">
        <v>12048</v>
      </c>
      <c r="V14" s="7" t="n">
        <v>2766.1</v>
      </c>
      <c r="X14" s="7" t="n">
        <v>14401.7</v>
      </c>
      <c r="Z14" s="7" t="n">
        <v>8427.4</v>
      </c>
      <c r="AB14" s="7" t="n">
        <v>176286.8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1157753.7</v>
      </c>
      <c r="D15" s="7" t="n">
        <v>809731.7</v>
      </c>
      <c r="E15" s="7" t="n">
        <v>1338913.3</v>
      </c>
      <c r="F15" s="7" t="n">
        <v>785778.7</v>
      </c>
      <c r="G15" s="7" t="n">
        <v>1361003.9</v>
      </c>
      <c r="H15" s="7" t="n">
        <v>1140287.8</v>
      </c>
      <c r="I15" s="7" t="n">
        <v>1139534.8</v>
      </c>
      <c r="J15" s="7" t="n">
        <v>1288478.1</v>
      </c>
      <c r="K15" s="7" t="n">
        <v>1221086.4</v>
      </c>
      <c r="L15" s="7" t="n">
        <v>1355767.7</v>
      </c>
      <c r="M15" s="7" t="n">
        <v>1133465.8</v>
      </c>
      <c r="N15" s="7" t="n">
        <v>1485965.2</v>
      </c>
      <c r="O15" s="7" t="n">
        <v>1402474.2</v>
      </c>
      <c r="P15" s="7" t="n">
        <v>1670246.4</v>
      </c>
      <c r="Q15" s="7" t="n">
        <v>1218123.5</v>
      </c>
      <c r="R15" s="7" t="n">
        <v>1442487.3</v>
      </c>
      <c r="S15" s="7" t="n">
        <v>1338941.7</v>
      </c>
      <c r="T15" s="7" t="n">
        <v>1248315.5</v>
      </c>
      <c r="U15" s="7" t="n">
        <v>1252800.5</v>
      </c>
      <c r="V15" s="7" t="n">
        <v>1443748</v>
      </c>
      <c r="W15" s="7" t="n">
        <v>1193900.6</v>
      </c>
      <c r="X15" s="7" t="n">
        <v>1134436.5</v>
      </c>
      <c r="Y15" s="7" t="n">
        <v>1389842.3</v>
      </c>
      <c r="Z15" s="7" t="n">
        <v>853648.1</v>
      </c>
      <c r="AA15" s="8" t="n">
        <v>15147840.7</v>
      </c>
      <c r="AB15" s="8" t="n">
        <v>14658891</v>
      </c>
    </row>
    <row r="16">
      <c r="A16" s="4" t="inlineStr">
        <is>
          <t>数控机床</t>
        </is>
      </c>
      <c r="D16" s="7" t="n">
        <v>130229.6</v>
      </c>
      <c r="F16" s="7" t="n">
        <v>178128</v>
      </c>
      <c r="H16" s="7" t="n">
        <v>188394.6</v>
      </c>
      <c r="J16" s="7" t="n">
        <v>240852.1</v>
      </c>
      <c r="L16" s="7" t="n">
        <v>254128.9</v>
      </c>
      <c r="N16" s="7" t="n">
        <v>232004.9</v>
      </c>
      <c r="P16" s="7" t="n">
        <v>329481.1</v>
      </c>
      <c r="R16" s="7" t="n">
        <v>238662.1</v>
      </c>
      <c r="T16" s="7" t="n">
        <v>248482.5</v>
      </c>
      <c r="V16" s="7" t="n">
        <v>293837.6</v>
      </c>
      <c r="X16" s="7" t="n">
        <v>174219.7</v>
      </c>
      <c r="Z16" s="7" t="n">
        <v>143760.6</v>
      </c>
      <c r="AB16" s="7" t="n">
        <v>2652181.7</v>
      </c>
    </row>
    <row r="17">
      <c r="A17" s="4" t="inlineStr">
        <is>
          <t>精密轴承</t>
        </is>
      </c>
      <c r="D17" s="7" t="n">
        <v>126365.6</v>
      </c>
      <c r="F17" s="7" t="n">
        <v>120142.6</v>
      </c>
      <c r="H17" s="7" t="n">
        <v>201534.3</v>
      </c>
      <c r="J17" s="7" t="n">
        <v>160434.8</v>
      </c>
      <c r="L17" s="7" t="n">
        <v>192620.5</v>
      </c>
      <c r="N17" s="7" t="n">
        <v>227900.4</v>
      </c>
      <c r="P17" s="7" t="n">
        <v>225376.2</v>
      </c>
      <c r="R17" s="7" t="n">
        <v>221563.3</v>
      </c>
      <c r="T17" s="7" t="n">
        <v>166779.3</v>
      </c>
      <c r="V17" s="7" t="n">
        <v>183118.1</v>
      </c>
      <c r="X17" s="7" t="n">
        <v>181798.5</v>
      </c>
      <c r="Z17" s="7" t="n">
        <v>124717.3</v>
      </c>
      <c r="AB17" s="7" t="n">
        <v>2132350.9</v>
      </c>
    </row>
    <row r="18">
      <c r="A18" s="4" t="inlineStr">
        <is>
          <t>液压件</t>
        </is>
      </c>
      <c r="D18" s="7" t="n">
        <v>177435.5</v>
      </c>
      <c r="F18" s="7" t="n">
        <v>141464.4</v>
      </c>
      <c r="H18" s="7" t="n">
        <v>231273.7</v>
      </c>
      <c r="J18" s="7" t="n">
        <v>285147.3</v>
      </c>
      <c r="L18" s="7" t="n">
        <v>275658.5</v>
      </c>
      <c r="N18" s="7" t="n">
        <v>324111.1</v>
      </c>
      <c r="P18" s="7" t="n">
        <v>342393.7</v>
      </c>
      <c r="R18" s="7" t="n">
        <v>269496.9</v>
      </c>
      <c r="T18" s="7" t="n">
        <v>232007.7</v>
      </c>
      <c r="V18" s="7" t="n">
        <v>315467.1</v>
      </c>
      <c r="X18" s="7" t="n">
        <v>254681.7</v>
      </c>
      <c r="Z18" s="7" t="n">
        <v>165283.8</v>
      </c>
      <c r="AB18" s="7" t="n">
        <v>3014421.4</v>
      </c>
    </row>
    <row r="19">
      <c r="A19" s="4" t="inlineStr">
        <is>
          <t>气动元件</t>
        </is>
      </c>
      <c r="D19" s="7" t="n">
        <v>153153.4</v>
      </c>
      <c r="F19" s="7" t="n">
        <v>131830.2</v>
      </c>
      <c r="H19" s="7" t="n">
        <v>219053.6</v>
      </c>
      <c r="J19" s="7" t="n">
        <v>277273.9</v>
      </c>
      <c r="L19" s="7" t="n">
        <v>247667.3</v>
      </c>
      <c r="N19" s="7" t="n">
        <v>292358.6</v>
      </c>
      <c r="P19" s="7" t="n">
        <v>293865</v>
      </c>
      <c r="R19" s="7" t="n">
        <v>295436.2</v>
      </c>
      <c r="T19" s="7" t="n">
        <v>258654.5</v>
      </c>
      <c r="V19" s="7" t="n">
        <v>263618.7</v>
      </c>
      <c r="X19" s="7" t="n">
        <v>210728.7</v>
      </c>
      <c r="Z19" s="7" t="n">
        <v>180823.4</v>
      </c>
      <c r="AB19" s="7" t="n">
        <v>2824463.5</v>
      </c>
    </row>
    <row r="20">
      <c r="A20" s="4" t="inlineStr">
        <is>
          <t>模具</t>
        </is>
      </c>
      <c r="D20" s="7" t="n">
        <v>45988.4</v>
      </c>
      <c r="F20" s="7" t="n">
        <v>41878.9</v>
      </c>
      <c r="H20" s="7" t="n">
        <v>51496.4</v>
      </c>
      <c r="J20" s="7" t="n">
        <v>60178</v>
      </c>
      <c r="L20" s="7" t="n">
        <v>59012.9</v>
      </c>
      <c r="N20" s="7" t="n">
        <v>92949.8</v>
      </c>
      <c r="P20" s="7" t="n">
        <v>74899.3</v>
      </c>
      <c r="R20" s="7" t="n">
        <v>68885.60000000001</v>
      </c>
      <c r="T20" s="7" t="n">
        <v>70455.89999999999</v>
      </c>
      <c r="V20" s="7" t="n">
        <v>72089.3</v>
      </c>
      <c r="X20" s="7" t="n">
        <v>52844.4</v>
      </c>
      <c r="Z20" s="7" t="n">
        <v>46408.7</v>
      </c>
      <c r="AB20" s="7" t="n">
        <v>737087.6</v>
      </c>
    </row>
    <row r="21">
      <c r="A21" s="4" t="inlineStr">
        <is>
          <t>工装夹具</t>
        </is>
      </c>
      <c r="D21" s="7" t="n">
        <v>129315.2</v>
      </c>
      <c r="F21" s="7" t="n">
        <v>134486.1</v>
      </c>
      <c r="H21" s="7" t="n">
        <v>200257.2</v>
      </c>
      <c r="J21" s="7" t="n">
        <v>214781.9</v>
      </c>
      <c r="L21" s="7" t="n">
        <v>252717.6</v>
      </c>
      <c r="N21" s="7" t="n">
        <v>261804.1</v>
      </c>
      <c r="P21" s="7" t="n">
        <v>316021.1</v>
      </c>
      <c r="R21" s="7" t="n">
        <v>257707.3</v>
      </c>
      <c r="T21" s="7" t="n">
        <v>196901.8</v>
      </c>
      <c r="V21" s="7" t="n">
        <v>263259</v>
      </c>
      <c r="X21" s="7" t="n">
        <v>204980.5</v>
      </c>
      <c r="Z21" s="7" t="n">
        <v>166308.7</v>
      </c>
      <c r="AB21" s="7" t="n">
        <v>2598540.5</v>
      </c>
    </row>
    <row r="22">
      <c r="A22" s="4" t="inlineStr">
        <is>
          <t>其他</t>
        </is>
      </c>
      <c r="D22" s="7" t="n">
        <v>4880.8</v>
      </c>
      <c r="F22" s="7" t="n">
        <v>3691.5</v>
      </c>
      <c r="H22" s="7" t="n">
        <v>7359.3</v>
      </c>
      <c r="J22" s="7" t="n">
        <v>18442.8</v>
      </c>
      <c r="L22" s="7" t="n">
        <v>23441.5</v>
      </c>
      <c r="N22" s="7" t="n">
        <v>3181.9</v>
      </c>
      <c r="P22" s="7" t="n">
        <v>17276.1</v>
      </c>
      <c r="R22" s="7" t="n">
        <v>2064.4</v>
      </c>
      <c r="T22" s="7" t="n">
        <v>10537</v>
      </c>
      <c r="V22" s="7" t="n">
        <v>13710.2</v>
      </c>
      <c r="X22" s="7" t="n">
        <v>17423</v>
      </c>
      <c r="Z22" s="7" t="n">
        <v>2216.9</v>
      </c>
      <c r="AB22" s="7" t="n">
        <v>124225.4</v>
      </c>
    </row>
    <row r="23">
      <c r="A23" s="4" t="inlineStr">
        <is>
          <t>运费</t>
        </is>
      </c>
      <c r="D23" s="7" t="n">
        <v>47244</v>
      </c>
      <c r="F23" s="7" t="n">
        <v>37848.5</v>
      </c>
      <c r="H23" s="7" t="n">
        <v>48278</v>
      </c>
      <c r="J23" s="7" t="n">
        <v>49810.1</v>
      </c>
      <c r="L23" s="7" t="n">
        <v>73962</v>
      </c>
      <c r="N23" s="7" t="n">
        <v>54836.3</v>
      </c>
      <c r="P23" s="7" t="n">
        <v>88210</v>
      </c>
      <c r="R23" s="7" t="n">
        <v>90735.89999999999</v>
      </c>
      <c r="T23" s="7" t="n">
        <v>75033.8</v>
      </c>
      <c r="V23" s="7" t="n">
        <v>52358.2</v>
      </c>
      <c r="X23" s="7" t="n">
        <v>55183</v>
      </c>
      <c r="Z23" s="7" t="n">
        <v>26345.6</v>
      </c>
      <c r="AB23" s="7" t="n">
        <v>699845.4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266794.3</v>
      </c>
      <c r="D24" s="7" t="n">
        <v>263979.3</v>
      </c>
      <c r="E24" s="7" t="n">
        <v>185516.1</v>
      </c>
      <c r="F24" s="7" t="n">
        <v>238474.8</v>
      </c>
      <c r="G24" s="7" t="n">
        <v>383856.7</v>
      </c>
      <c r="H24" s="7" t="n">
        <v>366998.4</v>
      </c>
      <c r="I24" s="7" t="n">
        <v>326679</v>
      </c>
      <c r="J24" s="7" t="n">
        <v>432246.8</v>
      </c>
      <c r="K24" s="7" t="n">
        <v>223940.3</v>
      </c>
      <c r="L24" s="7" t="n">
        <v>420359.4</v>
      </c>
      <c r="M24" s="7" t="n">
        <v>510004.8</v>
      </c>
      <c r="N24" s="7" t="n">
        <v>476794.8</v>
      </c>
      <c r="O24" s="7" t="n">
        <v>451541.5</v>
      </c>
      <c r="P24" s="7" t="n">
        <v>495793.6</v>
      </c>
      <c r="Q24" s="7" t="n">
        <v>421178.3</v>
      </c>
      <c r="R24" s="7" t="n">
        <v>420824.4</v>
      </c>
      <c r="S24" s="7" t="n">
        <v>486810.4</v>
      </c>
      <c r="T24" s="7" t="n">
        <v>355011.3</v>
      </c>
      <c r="U24" s="7" t="n">
        <v>532500.3</v>
      </c>
      <c r="V24" s="7" t="n">
        <v>460690.5</v>
      </c>
      <c r="W24" s="7" t="n">
        <v>311943.7</v>
      </c>
      <c r="X24" s="7" t="n">
        <v>370105.4</v>
      </c>
      <c r="Y24" s="7" t="n">
        <v>392640.7</v>
      </c>
      <c r="Z24" s="7" t="n">
        <v>298288.3</v>
      </c>
      <c r="AA24" s="8" t="n">
        <v>4493406.1</v>
      </c>
      <c r="AB24" s="8" t="n">
        <v>4599567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18.7</v>
      </c>
      <c r="D25" s="13" t="n">
        <v>24.6</v>
      </c>
      <c r="E25" s="13" t="n">
        <v>12.2</v>
      </c>
      <c r="F25" s="13" t="n">
        <v>23.3</v>
      </c>
      <c r="G25" s="13" t="n">
        <v>22</v>
      </c>
      <c r="H25" s="13" t="n">
        <v>24.3</v>
      </c>
      <c r="I25" s="13" t="n">
        <v>22.3</v>
      </c>
      <c r="J25" s="13" t="n">
        <v>25.1</v>
      </c>
      <c r="K25" s="13" t="n">
        <v>15.5</v>
      </c>
      <c r="L25" s="13" t="n">
        <v>23.7</v>
      </c>
      <c r="M25" s="13" t="n">
        <v>31</v>
      </c>
      <c r="N25" s="13" t="n">
        <v>24.3</v>
      </c>
      <c r="O25" s="13" t="n">
        <v>24.4</v>
      </c>
      <c r="P25" s="13" t="n">
        <v>22.9</v>
      </c>
      <c r="Q25" s="13" t="n">
        <v>25.7</v>
      </c>
      <c r="R25" s="13" t="n">
        <v>22.6</v>
      </c>
      <c r="S25" s="13" t="n">
        <v>26.7</v>
      </c>
      <c r="T25" s="13" t="n">
        <v>22.1</v>
      </c>
      <c r="U25" s="13" t="n">
        <v>29.8</v>
      </c>
      <c r="V25" s="13" t="n">
        <v>24.2</v>
      </c>
      <c r="W25" s="13" t="n">
        <v>20.7</v>
      </c>
      <c r="X25" s="13" t="n">
        <v>24.6</v>
      </c>
      <c r="Y25" s="13" t="n">
        <v>22</v>
      </c>
      <c r="Z25" s="13" t="n">
        <v>25.9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15828.3</v>
      </c>
      <c r="D26" s="7" t="n">
        <v>11727.9</v>
      </c>
      <c r="E26" s="7" t="n">
        <v>14697.3</v>
      </c>
      <c r="F26" s="7" t="n">
        <v>12957.6</v>
      </c>
      <c r="G26" s="7" t="n">
        <v>17813.4</v>
      </c>
      <c r="H26" s="7" t="n">
        <v>15039</v>
      </c>
      <c r="I26" s="7" t="n">
        <v>16083.1</v>
      </c>
      <c r="J26" s="7" t="n">
        <v>10297.9</v>
      </c>
      <c r="K26" s="7" t="n">
        <v>17574.1</v>
      </c>
      <c r="L26" s="7" t="n">
        <v>15315.2</v>
      </c>
      <c r="M26" s="7" t="n">
        <v>18817.2</v>
      </c>
      <c r="N26" s="7" t="n">
        <v>12851.5</v>
      </c>
      <c r="O26" s="7" t="n">
        <v>17739.2</v>
      </c>
      <c r="P26" s="7" t="n">
        <v>29330</v>
      </c>
      <c r="Q26" s="7" t="n">
        <v>16022.7</v>
      </c>
      <c r="R26" s="7" t="n">
        <v>21232.3</v>
      </c>
      <c r="S26" s="7" t="n">
        <v>16218.1</v>
      </c>
      <c r="T26" s="7" t="n">
        <v>20240.8</v>
      </c>
      <c r="U26" s="7" t="n">
        <v>14637.5</v>
      </c>
      <c r="V26" s="7" t="n">
        <v>24988.1</v>
      </c>
      <c r="W26" s="7" t="n">
        <v>15704.1</v>
      </c>
      <c r="X26" s="7" t="n">
        <v>14471.6</v>
      </c>
      <c r="Y26" s="7" t="n">
        <v>16114.6</v>
      </c>
      <c r="Z26" s="7" t="n">
        <v>8375.5</v>
      </c>
      <c r="AA26" s="8" t="n">
        <v>197249.6</v>
      </c>
      <c r="AB26" s="8" t="n">
        <v>196827.4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206076.4</v>
      </c>
      <c r="D27" s="7" t="n">
        <v>88829.89999999999</v>
      </c>
      <c r="E27" s="7" t="n">
        <v>224331.2</v>
      </c>
      <c r="F27" s="7" t="n">
        <v>102791.4</v>
      </c>
      <c r="G27" s="7" t="n">
        <v>212183.5</v>
      </c>
      <c r="H27" s="7" t="n">
        <v>245221.9</v>
      </c>
      <c r="I27" s="7" t="n">
        <v>206870.9</v>
      </c>
      <c r="J27" s="7" t="n">
        <v>217473</v>
      </c>
      <c r="K27" s="7" t="n">
        <v>192524.2</v>
      </c>
      <c r="L27" s="7" t="n">
        <v>206324.5</v>
      </c>
      <c r="M27" s="7" t="n">
        <v>203995.2</v>
      </c>
      <c r="N27" s="7" t="n">
        <v>315122.9</v>
      </c>
      <c r="O27" s="7" t="n">
        <v>221332.8</v>
      </c>
      <c r="P27" s="7" t="n">
        <v>336754</v>
      </c>
      <c r="Q27" s="7" t="n">
        <v>246944.1</v>
      </c>
      <c r="R27" s="7" t="n">
        <v>238631.4</v>
      </c>
      <c r="S27" s="7" t="n">
        <v>248241.4</v>
      </c>
      <c r="T27" s="7" t="n">
        <v>287782.4</v>
      </c>
      <c r="U27" s="7" t="n">
        <v>225451.4</v>
      </c>
      <c r="V27" s="7" t="n">
        <v>295690.5</v>
      </c>
      <c r="W27" s="7" t="n">
        <v>213360.7</v>
      </c>
      <c r="X27" s="7" t="n">
        <v>192755.1</v>
      </c>
      <c r="Y27" s="7" t="n">
        <v>222462.4</v>
      </c>
      <c r="Z27" s="7" t="n">
        <v>175400.8</v>
      </c>
      <c r="AA27" s="8" t="n">
        <v>2623774.2</v>
      </c>
      <c r="AB27" s="8" t="n">
        <v>2702777.8</v>
      </c>
    </row>
    <row r="28">
      <c r="A28" s="4" t="inlineStr">
        <is>
          <t>职工薪酬</t>
        </is>
      </c>
      <c r="D28" s="7" t="n">
        <v>40812.6</v>
      </c>
      <c r="F28" s="7" t="n">
        <v>52714.6</v>
      </c>
      <c r="H28" s="7" t="n">
        <v>113147.6</v>
      </c>
      <c r="J28" s="7" t="n">
        <v>97529.3</v>
      </c>
      <c r="L28" s="7" t="n">
        <v>109869.6</v>
      </c>
      <c r="N28" s="7" t="n">
        <v>159356.7</v>
      </c>
      <c r="P28" s="7" t="n">
        <v>156067.8</v>
      </c>
      <c r="R28" s="7" t="n">
        <v>119663.4</v>
      </c>
      <c r="T28" s="7" t="n">
        <v>133810.2</v>
      </c>
      <c r="V28" s="7" t="n">
        <v>182431.8</v>
      </c>
      <c r="X28" s="7" t="n">
        <v>94158</v>
      </c>
      <c r="Z28" s="7" t="n">
        <v>83659.8</v>
      </c>
      <c r="AB28" s="7" t="n">
        <v>1343221.4</v>
      </c>
    </row>
    <row r="29">
      <c r="A29" s="4" t="inlineStr">
        <is>
          <t>工资</t>
        </is>
      </c>
      <c r="D29" s="7" t="n">
        <v>19384.9</v>
      </c>
      <c r="F29" s="7" t="n">
        <v>29294.7</v>
      </c>
      <c r="H29" s="7" t="n">
        <v>62561.2</v>
      </c>
      <c r="J29" s="7" t="n">
        <v>46072</v>
      </c>
      <c r="L29" s="7" t="n">
        <v>67568.5</v>
      </c>
      <c r="N29" s="7" t="n">
        <v>87574.10000000001</v>
      </c>
      <c r="P29" s="7" t="n">
        <v>83258.2</v>
      </c>
      <c r="R29" s="7" t="n">
        <v>70654.5</v>
      </c>
      <c r="T29" s="7" t="n">
        <v>63935.9</v>
      </c>
      <c r="V29" s="7" t="n">
        <v>106528.5</v>
      </c>
      <c r="X29" s="7" t="n">
        <v>47644.2</v>
      </c>
      <c r="Z29" s="7" t="n">
        <v>47513.7</v>
      </c>
      <c r="AB29" s="7" t="n">
        <v>731990.4</v>
      </c>
    </row>
    <row r="30">
      <c r="A30" s="4" t="inlineStr">
        <is>
          <t>奖金及提成</t>
        </is>
      </c>
      <c r="D30" s="7" t="n">
        <v>10090.9</v>
      </c>
      <c r="F30" s="7" t="n">
        <v>13158.7</v>
      </c>
      <c r="H30" s="7" t="n">
        <v>23063.9</v>
      </c>
      <c r="J30" s="7" t="n">
        <v>20671.7</v>
      </c>
      <c r="L30" s="7" t="n">
        <v>16155.6</v>
      </c>
      <c r="N30" s="7" t="n">
        <v>33473.8</v>
      </c>
      <c r="P30" s="7" t="n">
        <v>27975.3</v>
      </c>
      <c r="R30" s="7" t="n">
        <v>24278.6</v>
      </c>
      <c r="T30" s="7" t="n">
        <v>32612.1</v>
      </c>
      <c r="V30" s="7" t="n">
        <v>35528.3</v>
      </c>
      <c r="X30" s="7" t="n">
        <v>20517.4</v>
      </c>
      <c r="Z30" s="7" t="n">
        <v>16555.4</v>
      </c>
      <c r="AB30" s="7" t="n">
        <v>274081.7</v>
      </c>
    </row>
    <row r="31">
      <c r="A31" s="4" t="inlineStr">
        <is>
          <t>社保</t>
        </is>
      </c>
      <c r="D31" s="7" t="n">
        <v>7839</v>
      </c>
      <c r="F31" s="7" t="n">
        <v>5905.4</v>
      </c>
      <c r="H31" s="7" t="n">
        <v>16831</v>
      </c>
      <c r="J31" s="7" t="n">
        <v>21766.7</v>
      </c>
      <c r="L31" s="7" t="n">
        <v>16736.9</v>
      </c>
      <c r="N31" s="7" t="n">
        <v>23597.2</v>
      </c>
      <c r="P31" s="7" t="n">
        <v>29840.6</v>
      </c>
      <c r="R31" s="7" t="n">
        <v>15383.5</v>
      </c>
      <c r="T31" s="7" t="n">
        <v>25701.3</v>
      </c>
      <c r="V31" s="7" t="n">
        <v>27631.8</v>
      </c>
      <c r="X31" s="7" t="n">
        <v>17987.2</v>
      </c>
      <c r="Z31" s="7" t="n">
        <v>12009</v>
      </c>
      <c r="AB31" s="7" t="n">
        <v>221229.6</v>
      </c>
    </row>
    <row r="32">
      <c r="A32" s="4" t="inlineStr">
        <is>
          <t>养老</t>
        </is>
      </c>
      <c r="D32" s="7" t="n">
        <v>144.5</v>
      </c>
      <c r="F32" s="7" t="n">
        <v>237.3</v>
      </c>
      <c r="H32" s="7" t="n">
        <v>669.6</v>
      </c>
      <c r="J32" s="7" t="n">
        <v>575.4</v>
      </c>
      <c r="L32" s="7" t="n">
        <v>462</v>
      </c>
      <c r="N32" s="7" t="n">
        <v>750.1</v>
      </c>
      <c r="P32" s="7" t="n">
        <v>877.2</v>
      </c>
      <c r="R32" s="7" t="n">
        <v>691.6</v>
      </c>
      <c r="T32" s="7" t="n">
        <v>586.7</v>
      </c>
      <c r="V32" s="7" t="n">
        <v>815.3</v>
      </c>
      <c r="X32" s="7" t="n">
        <v>419.8</v>
      </c>
      <c r="Z32" s="7" t="n">
        <v>340.9</v>
      </c>
      <c r="AB32" s="7" t="n">
        <v>6570.4</v>
      </c>
    </row>
    <row r="33">
      <c r="A33" s="4" t="inlineStr">
        <is>
          <t>医疗</t>
        </is>
      </c>
      <c r="D33" s="7" t="n">
        <v>4.2</v>
      </c>
      <c r="F33" s="7" t="n">
        <v>6.5</v>
      </c>
      <c r="H33" s="7" t="n">
        <v>12.7</v>
      </c>
      <c r="J33" s="7" t="n">
        <v>12.2</v>
      </c>
      <c r="L33" s="7" t="n">
        <v>13.7</v>
      </c>
      <c r="N33" s="7" t="n">
        <v>18.3</v>
      </c>
      <c r="P33" s="7" t="n">
        <v>24</v>
      </c>
      <c r="R33" s="7" t="n">
        <v>13.8</v>
      </c>
      <c r="T33" s="7" t="n">
        <v>15.1</v>
      </c>
      <c r="V33" s="7" t="n">
        <v>14.6</v>
      </c>
      <c r="X33" s="7" t="n">
        <v>10.7</v>
      </c>
      <c r="Z33" s="7" t="n">
        <v>7.6</v>
      </c>
      <c r="AB33" s="7" t="n">
        <v>153.4</v>
      </c>
    </row>
    <row r="34">
      <c r="A34" s="4" t="inlineStr">
        <is>
          <t>工伤</t>
        </is>
      </c>
      <c r="D34" s="7" t="n">
        <v>294</v>
      </c>
      <c r="F34" s="7" t="n">
        <v>569.2</v>
      </c>
      <c r="H34" s="7" t="n">
        <v>1151.1</v>
      </c>
      <c r="J34" s="7" t="n">
        <v>791.9</v>
      </c>
      <c r="L34" s="7" t="n">
        <v>770.6</v>
      </c>
      <c r="N34" s="7" t="n">
        <v>1202.5</v>
      </c>
      <c r="P34" s="7" t="n">
        <v>1464.6</v>
      </c>
      <c r="R34" s="7" t="n">
        <v>1325.4</v>
      </c>
      <c r="T34" s="7" t="n">
        <v>1293.9</v>
      </c>
      <c r="V34" s="7" t="n">
        <v>1125.2</v>
      </c>
      <c r="X34" s="7" t="n">
        <v>655.2</v>
      </c>
      <c r="Z34" s="7" t="n">
        <v>652.8</v>
      </c>
      <c r="AB34" s="7" t="n">
        <v>11296.4</v>
      </c>
    </row>
    <row r="35">
      <c r="A35" s="4" t="inlineStr">
        <is>
          <t>失业</t>
        </is>
      </c>
      <c r="D35" s="7" t="n">
        <v>433.3</v>
      </c>
      <c r="F35" s="7" t="n">
        <v>484.7</v>
      </c>
      <c r="H35" s="7" t="n">
        <v>1755.6</v>
      </c>
      <c r="J35" s="7" t="n">
        <v>1617</v>
      </c>
      <c r="L35" s="7" t="n">
        <v>1529.7</v>
      </c>
      <c r="N35" s="7" t="n">
        <v>2127</v>
      </c>
      <c r="P35" s="7" t="n">
        <v>2071.5</v>
      </c>
      <c r="R35" s="7" t="n">
        <v>1571.3</v>
      </c>
      <c r="T35" s="7" t="n">
        <v>2281.7</v>
      </c>
      <c r="V35" s="7" t="n">
        <v>1397.9</v>
      </c>
      <c r="X35" s="7" t="n">
        <v>952.6</v>
      </c>
      <c r="Z35" s="7" t="n">
        <v>1267.4</v>
      </c>
      <c r="AB35" s="7" t="n">
        <v>17489.7</v>
      </c>
    </row>
    <row r="36">
      <c r="A36" s="4" t="inlineStr">
        <is>
          <t>生育</t>
        </is>
      </c>
      <c r="D36" s="7" t="n">
        <v>112.9</v>
      </c>
      <c r="F36" s="7" t="n">
        <v>98.09999999999999</v>
      </c>
      <c r="H36" s="7" t="n">
        <v>221.4</v>
      </c>
      <c r="J36" s="7" t="n">
        <v>270.2</v>
      </c>
      <c r="L36" s="7" t="n">
        <v>201</v>
      </c>
      <c r="N36" s="7" t="n">
        <v>336.1</v>
      </c>
      <c r="P36" s="7" t="n">
        <v>250.4</v>
      </c>
      <c r="R36" s="7" t="n">
        <v>198.6</v>
      </c>
      <c r="T36" s="7" t="n">
        <v>226.7</v>
      </c>
      <c r="V36" s="7" t="n">
        <v>291.8</v>
      </c>
      <c r="X36" s="7" t="n">
        <v>208.6</v>
      </c>
      <c r="Z36" s="7" t="n">
        <v>149.4</v>
      </c>
      <c r="AB36" s="7" t="n">
        <v>2565.2</v>
      </c>
    </row>
    <row r="37">
      <c r="A37" s="4" t="inlineStr">
        <is>
          <t>公积金</t>
        </is>
      </c>
      <c r="D37" s="7" t="n">
        <v>402.9</v>
      </c>
      <c r="F37" s="7" t="n">
        <v>414.4</v>
      </c>
      <c r="H37" s="7" t="n">
        <v>1113</v>
      </c>
      <c r="J37" s="7" t="n">
        <v>1157.8</v>
      </c>
      <c r="L37" s="7" t="n">
        <v>1479.3</v>
      </c>
      <c r="N37" s="7" t="n">
        <v>1842.7</v>
      </c>
      <c r="P37" s="7" t="n">
        <v>1947.6</v>
      </c>
      <c r="R37" s="7" t="n">
        <v>1015.1</v>
      </c>
      <c r="T37" s="7" t="n">
        <v>2081.1</v>
      </c>
      <c r="V37" s="7" t="n">
        <v>1427.7</v>
      </c>
      <c r="X37" s="7" t="n">
        <v>1198.6</v>
      </c>
      <c r="Z37" s="7" t="n">
        <v>848.3</v>
      </c>
      <c r="AB37" s="7" t="n">
        <v>14928.5</v>
      </c>
    </row>
    <row r="38">
      <c r="A38" s="4" t="inlineStr">
        <is>
          <t>工会经费</t>
        </is>
      </c>
      <c r="D38" s="7" t="n">
        <v>355.5</v>
      </c>
      <c r="F38" s="7" t="n">
        <v>574.2</v>
      </c>
      <c r="H38" s="7" t="n">
        <v>1627.3</v>
      </c>
      <c r="J38" s="7" t="n">
        <v>1146.9</v>
      </c>
      <c r="L38" s="7" t="n">
        <v>1379.4</v>
      </c>
      <c r="N38" s="7" t="n">
        <v>1979.3</v>
      </c>
      <c r="P38" s="7" t="n">
        <v>2293.2</v>
      </c>
      <c r="R38" s="7" t="n">
        <v>1535.2</v>
      </c>
      <c r="T38" s="7" t="n">
        <v>1170.3</v>
      </c>
      <c r="V38" s="7" t="n">
        <v>2015.7</v>
      </c>
      <c r="X38" s="7" t="n">
        <v>1013.4</v>
      </c>
      <c r="Z38" s="7" t="n">
        <v>1112.6</v>
      </c>
      <c r="AB38" s="7" t="n">
        <v>16203</v>
      </c>
    </row>
    <row r="39">
      <c r="A39" s="4" t="inlineStr">
        <is>
          <t>职工教育经费</t>
        </is>
      </c>
      <c r="D39" s="7" t="n">
        <v>574.9</v>
      </c>
      <c r="F39" s="7" t="n">
        <v>757.2</v>
      </c>
      <c r="H39" s="7" t="n">
        <v>1249.3</v>
      </c>
      <c r="J39" s="7" t="n">
        <v>1037.3</v>
      </c>
      <c r="L39" s="7" t="n">
        <v>974.4</v>
      </c>
      <c r="N39" s="7" t="n">
        <v>2204.3</v>
      </c>
      <c r="P39" s="7" t="n">
        <v>1588.9</v>
      </c>
      <c r="R39" s="7" t="n">
        <v>1737.4</v>
      </c>
      <c r="T39" s="7" t="n">
        <v>1552.1</v>
      </c>
      <c r="V39" s="7" t="n">
        <v>1436.8</v>
      </c>
      <c r="X39" s="7" t="n">
        <v>862</v>
      </c>
      <c r="Z39" s="7" t="n">
        <v>1210.5</v>
      </c>
      <c r="AB39" s="7" t="n">
        <v>15185.1</v>
      </c>
    </row>
    <row r="40">
      <c r="A40" s="4" t="inlineStr">
        <is>
          <t>福利费</t>
        </is>
      </c>
      <c r="D40" s="7" t="n">
        <v>2164.5</v>
      </c>
      <c r="F40" s="7" t="n">
        <v>2610</v>
      </c>
      <c r="H40" s="7" t="n">
        <v>6701.9</v>
      </c>
      <c r="J40" s="7" t="n">
        <v>5676.9</v>
      </c>
      <c r="L40" s="7" t="n">
        <v>5575.5</v>
      </c>
      <c r="N40" s="7" t="n">
        <v>8685.299999999999</v>
      </c>
      <c r="P40" s="7" t="n">
        <v>9164</v>
      </c>
      <c r="R40" s="7" t="n">
        <v>5059.1</v>
      </c>
      <c r="T40" s="7" t="n">
        <v>6757.4</v>
      </c>
      <c r="V40" s="7" t="n">
        <v>7863</v>
      </c>
      <c r="X40" s="7" t="n">
        <v>4935.2</v>
      </c>
      <c r="Z40" s="7" t="n">
        <v>4410.3</v>
      </c>
      <c r="AB40" s="7" t="n">
        <v>69603.10000000001</v>
      </c>
    </row>
    <row r="41">
      <c r="A41" s="4" t="inlineStr">
        <is>
          <t>职工房租</t>
        </is>
      </c>
      <c r="D41" s="7" t="n">
        <v>548.8</v>
      </c>
      <c r="F41" s="7" t="n">
        <v>634</v>
      </c>
      <c r="H41" s="7" t="n">
        <v>1830.3</v>
      </c>
      <c r="J41" s="7" t="n">
        <v>1124.4</v>
      </c>
      <c r="L41" s="7" t="n">
        <v>1334.1</v>
      </c>
      <c r="N41" s="7" t="n">
        <v>1513.5</v>
      </c>
      <c r="P41" s="7" t="n">
        <v>2067.6</v>
      </c>
      <c r="R41" s="7" t="n">
        <v>1070.2</v>
      </c>
      <c r="T41" s="7" t="n">
        <v>1862.7</v>
      </c>
      <c r="V41" s="7" t="n">
        <v>2211.7</v>
      </c>
      <c r="X41" s="7" t="n">
        <v>1109</v>
      </c>
      <c r="Z41" s="7" t="n">
        <v>1038.1</v>
      </c>
      <c r="AB41" s="7" t="n">
        <v>16344.4</v>
      </c>
    </row>
    <row r="42">
      <c r="A42" s="4" t="inlineStr">
        <is>
          <t>水电物业费</t>
        </is>
      </c>
      <c r="D42" s="7" t="n">
        <v>62.7</v>
      </c>
      <c r="F42" s="7" t="n">
        <v>45.2</v>
      </c>
      <c r="H42" s="7" t="n">
        <v>130.5</v>
      </c>
      <c r="J42" s="7" t="n">
        <v>112.8</v>
      </c>
      <c r="L42" s="7" t="n">
        <v>85.8</v>
      </c>
      <c r="N42" s="7" t="n">
        <v>231</v>
      </c>
      <c r="P42" s="7" t="n">
        <v>199.4</v>
      </c>
      <c r="R42" s="7" t="n">
        <v>130.4</v>
      </c>
      <c r="T42" s="7" t="n">
        <v>127.3</v>
      </c>
      <c r="V42" s="7" t="n">
        <v>161.7</v>
      </c>
      <c r="X42" s="7" t="n">
        <v>104.7</v>
      </c>
      <c r="Z42" s="7" t="n">
        <v>93.8</v>
      </c>
      <c r="AB42" s="7" t="n">
        <v>1485.3</v>
      </c>
    </row>
    <row r="43">
      <c r="A43" s="4" t="inlineStr">
        <is>
          <t>员工餐</t>
        </is>
      </c>
      <c r="D43" s="7" t="n">
        <v>154.9</v>
      </c>
      <c r="F43" s="7" t="n">
        <v>271.8</v>
      </c>
      <c r="H43" s="7" t="n">
        <v>549.4</v>
      </c>
      <c r="J43" s="7" t="n">
        <v>416.6</v>
      </c>
      <c r="L43" s="7" t="n">
        <v>576.3</v>
      </c>
      <c r="N43" s="7" t="n">
        <v>720.4</v>
      </c>
      <c r="P43" s="7" t="n">
        <v>628</v>
      </c>
      <c r="R43" s="7" t="n">
        <v>595.5</v>
      </c>
      <c r="T43" s="7" t="n">
        <v>657.3</v>
      </c>
      <c r="V43" s="7" t="n">
        <v>458.4</v>
      </c>
      <c r="X43" s="7" t="n">
        <v>474.5</v>
      </c>
      <c r="Z43" s="7" t="n">
        <v>382.1</v>
      </c>
      <c r="AB43" s="7" t="n">
        <v>5885.2</v>
      </c>
    </row>
    <row r="44">
      <c r="A44" s="4" t="inlineStr">
        <is>
          <t>节日礼品</t>
        </is>
      </c>
      <c r="D44" s="7" t="n">
        <v>280.2</v>
      </c>
      <c r="F44" s="7" t="n">
        <v>258.3</v>
      </c>
      <c r="H44" s="7" t="n">
        <v>1009</v>
      </c>
      <c r="J44" s="7" t="n">
        <v>1009.5</v>
      </c>
      <c r="L44" s="7" t="n">
        <v>851.3</v>
      </c>
      <c r="N44" s="7" t="n">
        <v>1363.1</v>
      </c>
      <c r="P44" s="7" t="n">
        <v>859.9</v>
      </c>
      <c r="R44" s="7" t="n">
        <v>621.1</v>
      </c>
      <c r="T44" s="7" t="n">
        <v>727.7</v>
      </c>
      <c r="V44" s="7" t="n">
        <v>1195.4</v>
      </c>
      <c r="X44" s="7" t="n">
        <v>526</v>
      </c>
      <c r="Z44" s="7" t="n">
        <v>801.4</v>
      </c>
      <c r="AB44" s="7" t="n">
        <v>9502.9</v>
      </c>
    </row>
    <row r="45">
      <c r="A45" s="4" t="inlineStr">
        <is>
          <t>生日礼品</t>
        </is>
      </c>
      <c r="D45" s="7" t="n">
        <v>519.9</v>
      </c>
      <c r="F45" s="7" t="n">
        <v>455.1</v>
      </c>
      <c r="H45" s="7" t="n">
        <v>1579.2</v>
      </c>
      <c r="J45" s="7" t="n">
        <v>1496.2</v>
      </c>
      <c r="L45" s="7" t="n">
        <v>1332.1</v>
      </c>
      <c r="N45" s="7" t="n">
        <v>2210.3</v>
      </c>
      <c r="P45" s="7" t="n">
        <v>2292.2</v>
      </c>
      <c r="R45" s="7" t="n">
        <v>1113.8</v>
      </c>
      <c r="T45" s="7" t="n">
        <v>1146.6</v>
      </c>
      <c r="V45" s="7" t="n">
        <v>1400.6</v>
      </c>
      <c r="X45" s="7" t="n">
        <v>1113.7</v>
      </c>
      <c r="Z45" s="7" t="n">
        <v>700</v>
      </c>
      <c r="AB45" s="7" t="n">
        <v>15359.7</v>
      </c>
    </row>
    <row r="46">
      <c r="A46" s="4" t="inlineStr">
        <is>
          <t>体检</t>
        </is>
      </c>
      <c r="D46" s="7" t="n">
        <v>162.5</v>
      </c>
      <c r="F46" s="7" t="n">
        <v>138</v>
      </c>
      <c r="H46" s="7" t="n">
        <v>295.3</v>
      </c>
      <c r="J46" s="7" t="n">
        <v>264.5</v>
      </c>
      <c r="L46" s="7" t="n">
        <v>214.4</v>
      </c>
      <c r="N46" s="7" t="n">
        <v>372.5</v>
      </c>
      <c r="P46" s="7" t="n">
        <v>454.7</v>
      </c>
      <c r="R46" s="7" t="n">
        <v>255.3</v>
      </c>
      <c r="T46" s="7" t="n">
        <v>503.8</v>
      </c>
      <c r="V46" s="7" t="n">
        <v>542.9</v>
      </c>
      <c r="X46" s="7" t="n">
        <v>336.8</v>
      </c>
      <c r="Z46" s="7" t="n">
        <v>234.8</v>
      </c>
      <c r="AB46" s="7" t="n">
        <v>3775.5</v>
      </c>
    </row>
    <row r="47">
      <c r="A47" s="4" t="inlineStr">
        <is>
          <t>其他福利支出</t>
        </is>
      </c>
      <c r="D47" s="7" t="n">
        <v>435.5</v>
      </c>
      <c r="F47" s="7" t="n">
        <v>807.6</v>
      </c>
      <c r="H47" s="7" t="n">
        <v>1308.2</v>
      </c>
      <c r="J47" s="7" t="n">
        <v>1252.9</v>
      </c>
      <c r="L47" s="7" t="n">
        <v>1181.5</v>
      </c>
      <c r="N47" s="7" t="n">
        <v>2274.5</v>
      </c>
      <c r="P47" s="7" t="n">
        <v>2662.2</v>
      </c>
      <c r="R47" s="7" t="n">
        <v>1272.8</v>
      </c>
      <c r="T47" s="7" t="n">
        <v>1732</v>
      </c>
      <c r="V47" s="7" t="n">
        <v>1892.3</v>
      </c>
      <c r="X47" s="7" t="n">
        <v>1270.5</v>
      </c>
      <c r="Z47" s="7" t="n">
        <v>1160.1</v>
      </c>
      <c r="AB47" s="7" t="n">
        <v>17250.1</v>
      </c>
    </row>
    <row r="48">
      <c r="A48" s="4" t="inlineStr">
        <is>
          <t>招聘费</t>
        </is>
      </c>
      <c r="D48" s="7" t="n">
        <v>334</v>
      </c>
      <c r="F48" s="7" t="n">
        <v>382.4</v>
      </c>
      <c r="H48" s="7" t="n">
        <v>1302.7</v>
      </c>
      <c r="J48" s="7" t="n">
        <v>808.6</v>
      </c>
      <c r="L48" s="7" t="n">
        <v>749.9</v>
      </c>
      <c r="N48" s="7" t="n">
        <v>1737.9</v>
      </c>
      <c r="P48" s="7" t="n">
        <v>1437.5</v>
      </c>
      <c r="R48" s="7" t="n">
        <v>868</v>
      </c>
      <c r="T48" s="7" t="n">
        <v>1254.2</v>
      </c>
      <c r="V48" s="7" t="n">
        <v>949.4</v>
      </c>
      <c r="X48" s="7" t="n">
        <v>898.4</v>
      </c>
      <c r="Z48" s="7" t="n">
        <v>726</v>
      </c>
      <c r="AB48" s="7" t="n">
        <v>11449</v>
      </c>
    </row>
    <row r="49">
      <c r="A49" s="4" t="inlineStr">
        <is>
          <t>办公费</t>
        </is>
      </c>
      <c r="D49" s="7" t="n">
        <v>3059.2</v>
      </c>
      <c r="F49" s="7" t="n">
        <v>3154.7</v>
      </c>
      <c r="H49" s="7" t="n">
        <v>7997.2</v>
      </c>
      <c r="J49" s="7" t="n">
        <v>5046.3</v>
      </c>
      <c r="L49" s="7" t="n">
        <v>7421.4</v>
      </c>
      <c r="N49" s="7" t="n">
        <v>11091</v>
      </c>
      <c r="P49" s="7" t="n">
        <v>11634.1</v>
      </c>
      <c r="R49" s="7" t="n">
        <v>5399.8</v>
      </c>
      <c r="T49" s="7" t="n">
        <v>10600.4</v>
      </c>
      <c r="V49" s="7" t="n">
        <v>6515.7</v>
      </c>
      <c r="X49" s="7" t="n">
        <v>6754.4</v>
      </c>
      <c r="Z49" s="7" t="n">
        <v>6055.6</v>
      </c>
      <c r="AB49" s="7" t="n">
        <v>84729.8</v>
      </c>
    </row>
    <row r="50">
      <c r="A50" s="4" t="inlineStr">
        <is>
          <t>市内交通费</t>
        </is>
      </c>
      <c r="D50" s="7" t="n">
        <v>284.8</v>
      </c>
      <c r="F50" s="7" t="n">
        <v>282.5</v>
      </c>
      <c r="H50" s="7" t="n">
        <v>675.2</v>
      </c>
      <c r="J50" s="7" t="n">
        <v>711.9</v>
      </c>
      <c r="L50" s="7" t="n">
        <v>409.6</v>
      </c>
      <c r="N50" s="7" t="n">
        <v>686.4</v>
      </c>
      <c r="P50" s="7" t="n">
        <v>865.6</v>
      </c>
      <c r="R50" s="7" t="n">
        <v>503.3</v>
      </c>
      <c r="T50" s="7" t="n">
        <v>732.9</v>
      </c>
      <c r="V50" s="7" t="n">
        <v>674.4</v>
      </c>
      <c r="X50" s="7" t="n">
        <v>458.3</v>
      </c>
      <c r="Z50" s="7" t="n">
        <v>359.7</v>
      </c>
      <c r="AB50" s="7" t="n">
        <v>6644.6</v>
      </c>
    </row>
    <row r="51">
      <c r="A51" s="4" t="inlineStr">
        <is>
          <t>差旅费</t>
        </is>
      </c>
      <c r="D51" s="7" t="n">
        <v>6629.5</v>
      </c>
      <c r="F51" s="7" t="n">
        <v>5738</v>
      </c>
      <c r="H51" s="7" t="n">
        <v>15554.6</v>
      </c>
      <c r="J51" s="7" t="n">
        <v>15921.4</v>
      </c>
      <c r="L51" s="7" t="n">
        <v>13426.2</v>
      </c>
      <c r="N51" s="7" t="n">
        <v>19660.2</v>
      </c>
      <c r="P51" s="7" t="n">
        <v>25074.9</v>
      </c>
      <c r="R51" s="7" t="n">
        <v>12959.7</v>
      </c>
      <c r="T51" s="7" t="n">
        <v>22301.8</v>
      </c>
      <c r="V51" s="7" t="n">
        <v>13460</v>
      </c>
      <c r="X51" s="7" t="n">
        <v>9014.700000000001</v>
      </c>
      <c r="Z51" s="7" t="n">
        <v>9864.299999999999</v>
      </c>
      <c r="AB51" s="7" t="n">
        <v>169605.3</v>
      </c>
    </row>
    <row r="52">
      <c r="A52" s="4" t="inlineStr">
        <is>
          <t>交通费</t>
        </is>
      </c>
      <c r="D52" s="7" t="n">
        <v>37.1</v>
      </c>
      <c r="F52" s="7" t="n">
        <v>50.7</v>
      </c>
      <c r="H52" s="7" t="n">
        <v>102.6</v>
      </c>
      <c r="J52" s="7" t="n">
        <v>101.9</v>
      </c>
      <c r="L52" s="7" t="n">
        <v>130.2</v>
      </c>
      <c r="N52" s="7" t="n">
        <v>190.5</v>
      </c>
      <c r="P52" s="7" t="n">
        <v>145.1</v>
      </c>
      <c r="R52" s="7" t="n">
        <v>106</v>
      </c>
      <c r="T52" s="7" t="n">
        <v>157.9</v>
      </c>
      <c r="V52" s="7" t="n">
        <v>148.2</v>
      </c>
      <c r="X52" s="7" t="n">
        <v>120.2</v>
      </c>
      <c r="Z52" s="7" t="n">
        <v>74.40000000000001</v>
      </c>
      <c r="AB52" s="7" t="n">
        <v>1364.8</v>
      </c>
    </row>
    <row r="53">
      <c r="A53" s="4" t="inlineStr">
        <is>
          <t>住宿费</t>
        </is>
      </c>
      <c r="D53" s="7" t="n">
        <v>74.5</v>
      </c>
      <c r="F53" s="7" t="n">
        <v>77.7</v>
      </c>
      <c r="H53" s="7" t="n">
        <v>204.2</v>
      </c>
      <c r="J53" s="7" t="n">
        <v>140.2</v>
      </c>
      <c r="L53" s="7" t="n">
        <v>134.9</v>
      </c>
      <c r="N53" s="7" t="n">
        <v>246.6</v>
      </c>
      <c r="P53" s="7" t="n">
        <v>162.6</v>
      </c>
      <c r="R53" s="7" t="n">
        <v>167.9</v>
      </c>
      <c r="T53" s="7" t="n">
        <v>154.4</v>
      </c>
      <c r="V53" s="7" t="n">
        <v>228.4</v>
      </c>
      <c r="X53" s="7" t="n">
        <v>132.6</v>
      </c>
      <c r="Z53" s="7" t="n">
        <v>101.9</v>
      </c>
      <c r="AB53" s="7" t="n">
        <v>1825.9</v>
      </c>
    </row>
    <row r="54">
      <c r="A54" s="4" t="inlineStr">
        <is>
          <t>餐补</t>
        </is>
      </c>
      <c r="D54" s="7" t="n">
        <v>439.3</v>
      </c>
      <c r="F54" s="7" t="n">
        <v>480.2</v>
      </c>
      <c r="H54" s="7" t="n">
        <v>1579.4</v>
      </c>
      <c r="J54" s="7" t="n">
        <v>920</v>
      </c>
      <c r="L54" s="7" t="n">
        <v>1318.9</v>
      </c>
      <c r="N54" s="7" t="n">
        <v>2197.6</v>
      </c>
      <c r="P54" s="7" t="n">
        <v>1762.8</v>
      </c>
      <c r="R54" s="7" t="n">
        <v>1218.9</v>
      </c>
      <c r="T54" s="7" t="n">
        <v>1423.5</v>
      </c>
      <c r="V54" s="7" t="n">
        <v>1919.4</v>
      </c>
      <c r="X54" s="7" t="n">
        <v>866.4</v>
      </c>
      <c r="Z54" s="7" t="n">
        <v>1055.3</v>
      </c>
      <c r="AB54" s="7" t="n">
        <v>15181.7</v>
      </c>
    </row>
    <row r="55">
      <c r="A55" s="4" t="inlineStr">
        <is>
          <t>交通补助</t>
        </is>
      </c>
      <c r="D55" s="7" t="n">
        <v>51.6</v>
      </c>
      <c r="F55" s="7" t="n">
        <v>85.3</v>
      </c>
      <c r="H55" s="7" t="n">
        <v>170.7</v>
      </c>
      <c r="J55" s="7" t="n">
        <v>144.6</v>
      </c>
      <c r="L55" s="7" t="n">
        <v>177.7</v>
      </c>
      <c r="N55" s="7" t="n">
        <v>212</v>
      </c>
      <c r="P55" s="7" t="n">
        <v>181.9</v>
      </c>
      <c r="R55" s="7" t="n">
        <v>161.1</v>
      </c>
      <c r="T55" s="7" t="n">
        <v>254.6</v>
      </c>
      <c r="V55" s="7" t="n">
        <v>188.4</v>
      </c>
      <c r="X55" s="7" t="n">
        <v>152</v>
      </c>
      <c r="Z55" s="7" t="n">
        <v>146.9</v>
      </c>
      <c r="AB55" s="7" t="n">
        <v>1926.8</v>
      </c>
    </row>
    <row r="56">
      <c r="A56" s="4" t="inlineStr">
        <is>
          <t>通讯补助</t>
        </is>
      </c>
      <c r="D56" s="7" t="n">
        <v>67.5</v>
      </c>
      <c r="F56" s="7" t="n">
        <v>106.2</v>
      </c>
      <c r="H56" s="7" t="n">
        <v>277.3</v>
      </c>
      <c r="J56" s="7" t="n">
        <v>186.4</v>
      </c>
      <c r="L56" s="7" t="n">
        <v>244.5</v>
      </c>
      <c r="N56" s="7" t="n">
        <v>282.9</v>
      </c>
      <c r="P56" s="7" t="n">
        <v>426.3</v>
      </c>
      <c r="R56" s="7" t="n">
        <v>281.8</v>
      </c>
      <c r="T56" s="7" t="n">
        <v>305.1</v>
      </c>
      <c r="V56" s="7" t="n">
        <v>339.4</v>
      </c>
      <c r="X56" s="7" t="n">
        <v>248.3</v>
      </c>
      <c r="Z56" s="7" t="n">
        <v>155.5</v>
      </c>
      <c r="AB56" s="7" t="n">
        <v>2921.2</v>
      </c>
    </row>
    <row r="57">
      <c r="A57" s="4" t="inlineStr">
        <is>
          <t>招待费</t>
        </is>
      </c>
      <c r="D57" s="7" t="n">
        <v>3644.3</v>
      </c>
      <c r="F57" s="7" t="n">
        <v>4093.5</v>
      </c>
      <c r="H57" s="7" t="n">
        <v>9405.299999999999</v>
      </c>
      <c r="J57" s="7" t="n">
        <v>9398.6</v>
      </c>
      <c r="L57" s="7" t="n">
        <v>9884.700000000001</v>
      </c>
      <c r="N57" s="7" t="n">
        <v>10323</v>
      </c>
      <c r="P57" s="7" t="n">
        <v>11118</v>
      </c>
      <c r="R57" s="7" t="n">
        <v>8024.6</v>
      </c>
      <c r="T57" s="7" t="n">
        <v>9233.1</v>
      </c>
      <c r="V57" s="7" t="n">
        <v>12463.2</v>
      </c>
      <c r="X57" s="7" t="n">
        <v>7979.4</v>
      </c>
      <c r="Z57" s="7" t="n">
        <v>6402.6</v>
      </c>
      <c r="AB57" s="7" t="n">
        <v>101970.3</v>
      </c>
    </row>
    <row r="58">
      <c r="A58" s="4" t="inlineStr">
        <is>
          <t>通讯费</t>
        </is>
      </c>
      <c r="D58" s="7" t="n">
        <v>223.2</v>
      </c>
      <c r="F58" s="7" t="n">
        <v>177.2</v>
      </c>
      <c r="H58" s="7" t="n">
        <v>520.5</v>
      </c>
      <c r="J58" s="7" t="n">
        <v>576.8</v>
      </c>
      <c r="L58" s="7" t="n">
        <v>532.4</v>
      </c>
      <c r="N58" s="7" t="n">
        <v>943.9</v>
      </c>
      <c r="P58" s="7" t="n">
        <v>683.7</v>
      </c>
      <c r="R58" s="7" t="n">
        <v>689</v>
      </c>
      <c r="T58" s="7" t="n">
        <v>608.1</v>
      </c>
      <c r="V58" s="7" t="n">
        <v>695.5</v>
      </c>
      <c r="X58" s="7" t="n">
        <v>529.7</v>
      </c>
      <c r="Z58" s="7" t="n">
        <v>469.8</v>
      </c>
      <c r="AB58" s="7" t="n">
        <v>6649.8</v>
      </c>
    </row>
    <row r="59">
      <c r="A59" s="4" t="inlineStr">
        <is>
          <t>网络费</t>
        </is>
      </c>
      <c r="D59" s="7" t="n">
        <v>370</v>
      </c>
      <c r="F59" s="7" t="n">
        <v>366.4</v>
      </c>
      <c r="H59" s="7" t="n">
        <v>1094.8</v>
      </c>
      <c r="J59" s="7" t="n">
        <v>675</v>
      </c>
      <c r="L59" s="7" t="n">
        <v>690.6</v>
      </c>
      <c r="N59" s="7" t="n">
        <v>1289.2</v>
      </c>
      <c r="P59" s="7" t="n">
        <v>914.7</v>
      </c>
      <c r="R59" s="7" t="n">
        <v>973.7</v>
      </c>
      <c r="T59" s="7" t="n">
        <v>711.5</v>
      </c>
      <c r="V59" s="7" t="n">
        <v>1033.3</v>
      </c>
      <c r="X59" s="7" t="n">
        <v>629.3</v>
      </c>
      <c r="Z59" s="7" t="n">
        <v>472.9</v>
      </c>
      <c r="AB59" s="7" t="n">
        <v>9221.4</v>
      </c>
    </row>
    <row r="60">
      <c r="A60" s="4" t="inlineStr">
        <is>
          <t>修理费</t>
        </is>
      </c>
      <c r="D60" s="7" t="n">
        <v>272.7</v>
      </c>
      <c r="F60" s="7" t="n">
        <v>347.9</v>
      </c>
      <c r="H60" s="7" t="n">
        <v>780.1</v>
      </c>
      <c r="J60" s="7" t="n">
        <v>973.6</v>
      </c>
      <c r="L60" s="7" t="n">
        <v>968.7</v>
      </c>
      <c r="N60" s="7" t="n">
        <v>1379.6</v>
      </c>
      <c r="P60" s="7" t="n">
        <v>965.6</v>
      </c>
      <c r="R60" s="7" t="n">
        <v>961.6</v>
      </c>
      <c r="T60" s="7" t="n">
        <v>883.8</v>
      </c>
      <c r="V60" s="7" t="n">
        <v>901.5</v>
      </c>
      <c r="X60" s="7" t="n">
        <v>598.5</v>
      </c>
      <c r="Z60" s="7" t="n">
        <v>611.9</v>
      </c>
      <c r="AB60" s="7" t="n">
        <v>9645.5</v>
      </c>
    </row>
    <row r="61">
      <c r="A61" s="4" t="inlineStr">
        <is>
          <t>车辆费</t>
        </is>
      </c>
      <c r="D61" s="7" t="n">
        <v>448.6</v>
      </c>
      <c r="F61" s="7" t="n">
        <v>463.9</v>
      </c>
      <c r="H61" s="7" t="n">
        <v>1429.5</v>
      </c>
      <c r="J61" s="7" t="n">
        <v>1356.9</v>
      </c>
      <c r="L61" s="7" t="n">
        <v>963.7</v>
      </c>
      <c r="N61" s="7" t="n">
        <v>1800.6</v>
      </c>
      <c r="P61" s="7" t="n">
        <v>2156.2</v>
      </c>
      <c r="R61" s="7" t="n">
        <v>1144</v>
      </c>
      <c r="T61" s="7" t="n">
        <v>1469.6</v>
      </c>
      <c r="V61" s="7" t="n">
        <v>1190.5</v>
      </c>
      <c r="X61" s="7" t="n">
        <v>1103.4</v>
      </c>
      <c r="Z61" s="7" t="n">
        <v>1066.8</v>
      </c>
      <c r="AB61" s="7" t="n">
        <v>14593.7</v>
      </c>
    </row>
    <row r="62">
      <c r="A62" s="4" t="inlineStr">
        <is>
          <t>租赁费</t>
        </is>
      </c>
      <c r="D62" s="7" t="n">
        <v>4830.9</v>
      </c>
      <c r="F62" s="7" t="n">
        <v>3877.2</v>
      </c>
      <c r="H62" s="7" t="n">
        <v>15540.4</v>
      </c>
      <c r="J62" s="7" t="n">
        <v>12784.7</v>
      </c>
      <c r="L62" s="7" t="n">
        <v>8742.1</v>
      </c>
      <c r="N62" s="7" t="n">
        <v>13615.1</v>
      </c>
      <c r="P62" s="7" t="n">
        <v>14690.6</v>
      </c>
      <c r="R62" s="7" t="n">
        <v>12457</v>
      </c>
      <c r="T62" s="7" t="n">
        <v>15200.9</v>
      </c>
      <c r="V62" s="7" t="n">
        <v>17339.8</v>
      </c>
      <c r="X62" s="7" t="n">
        <v>10247.7</v>
      </c>
      <c r="Z62" s="7" t="n">
        <v>9586.299999999999</v>
      </c>
      <c r="AB62" s="7" t="n">
        <v>138912.7</v>
      </c>
    </row>
    <row r="63">
      <c r="A63" s="4" t="inlineStr">
        <is>
          <t>能源费</t>
        </is>
      </c>
      <c r="D63" s="7" t="n">
        <v>615.7</v>
      </c>
      <c r="F63" s="7" t="n">
        <v>642.8</v>
      </c>
      <c r="H63" s="7" t="n">
        <v>1629.9</v>
      </c>
      <c r="J63" s="7" t="n">
        <v>1282.2</v>
      </c>
      <c r="L63" s="7" t="n">
        <v>1385.1</v>
      </c>
      <c r="N63" s="7" t="n">
        <v>2189.3</v>
      </c>
      <c r="P63" s="7" t="n">
        <v>2334.4</v>
      </c>
      <c r="R63" s="7" t="n">
        <v>1488.4</v>
      </c>
      <c r="T63" s="7" t="n">
        <v>1850.7</v>
      </c>
      <c r="V63" s="7" t="n">
        <v>2022</v>
      </c>
      <c r="X63" s="7" t="n">
        <v>992.7</v>
      </c>
      <c r="Z63" s="7" t="n">
        <v>1047.9</v>
      </c>
      <c r="AB63" s="7" t="n">
        <v>17481.1</v>
      </c>
    </row>
    <row r="64">
      <c r="A64" s="4" t="inlineStr">
        <is>
          <t>水费</t>
        </is>
      </c>
      <c r="D64" s="7" t="n">
        <v>46.7</v>
      </c>
      <c r="F64" s="7" t="n">
        <v>49</v>
      </c>
      <c r="H64" s="7" t="n">
        <v>76.3</v>
      </c>
      <c r="J64" s="7" t="n">
        <v>79.90000000000001</v>
      </c>
      <c r="L64" s="7" t="n">
        <v>67.3</v>
      </c>
      <c r="N64" s="7" t="n">
        <v>157.6</v>
      </c>
      <c r="P64" s="7" t="n">
        <v>110.6</v>
      </c>
      <c r="R64" s="7" t="n">
        <v>86.90000000000001</v>
      </c>
      <c r="T64" s="7" t="n">
        <v>116.2</v>
      </c>
      <c r="V64" s="7" t="n">
        <v>106.2</v>
      </c>
      <c r="X64" s="7" t="n">
        <v>90.40000000000001</v>
      </c>
      <c r="Z64" s="7" t="n">
        <v>59.9</v>
      </c>
      <c r="AB64" s="7" t="n">
        <v>1047</v>
      </c>
    </row>
    <row r="65">
      <c r="A65" s="4" t="inlineStr">
        <is>
          <t>电费</t>
        </is>
      </c>
      <c r="D65" s="7" t="n">
        <v>169.7</v>
      </c>
      <c r="F65" s="7" t="n">
        <v>151</v>
      </c>
      <c r="H65" s="7" t="n">
        <v>505.4</v>
      </c>
      <c r="J65" s="7" t="n">
        <v>394.8</v>
      </c>
      <c r="L65" s="7" t="n">
        <v>283.5</v>
      </c>
      <c r="N65" s="7" t="n">
        <v>448.1</v>
      </c>
      <c r="P65" s="7" t="n">
        <v>841.3</v>
      </c>
      <c r="R65" s="7" t="n">
        <v>586.9</v>
      </c>
      <c r="T65" s="7" t="n">
        <v>441.9</v>
      </c>
      <c r="V65" s="7" t="n">
        <v>572.7</v>
      </c>
      <c r="X65" s="7" t="n">
        <v>272</v>
      </c>
      <c r="Z65" s="7" t="n">
        <v>322</v>
      </c>
      <c r="AB65" s="7" t="n">
        <v>4989.3</v>
      </c>
    </row>
    <row r="66">
      <c r="A66" s="4" t="inlineStr">
        <is>
          <t>燃气费</t>
        </is>
      </c>
      <c r="D66" s="7" t="n">
        <v>292.4</v>
      </c>
      <c r="F66" s="7" t="n">
        <v>310</v>
      </c>
      <c r="H66" s="7" t="n">
        <v>771.4</v>
      </c>
      <c r="J66" s="7" t="n">
        <v>418.3</v>
      </c>
      <c r="L66" s="7" t="n">
        <v>696</v>
      </c>
      <c r="N66" s="7" t="n">
        <v>1010.8</v>
      </c>
      <c r="P66" s="7" t="n">
        <v>826</v>
      </c>
      <c r="R66" s="7" t="n">
        <v>520.5</v>
      </c>
      <c r="T66" s="7" t="n">
        <v>766.9</v>
      </c>
      <c r="V66" s="7" t="n">
        <v>980.6</v>
      </c>
      <c r="X66" s="7" t="n">
        <v>357.3</v>
      </c>
      <c r="Z66" s="7" t="n">
        <v>480.3</v>
      </c>
      <c r="AB66" s="7" t="n">
        <v>7430.5</v>
      </c>
    </row>
    <row r="67">
      <c r="A67" s="4" t="inlineStr">
        <is>
          <t>蒸汽费</t>
        </is>
      </c>
      <c r="D67" s="7" t="n">
        <v>106.9</v>
      </c>
      <c r="F67" s="7" t="n">
        <v>132.8</v>
      </c>
      <c r="H67" s="7" t="n">
        <v>276.8</v>
      </c>
      <c r="J67" s="7" t="n">
        <v>389.2</v>
      </c>
      <c r="L67" s="7" t="n">
        <v>338.3</v>
      </c>
      <c r="N67" s="7" t="n">
        <v>572.8</v>
      </c>
      <c r="P67" s="7" t="n">
        <v>556.5</v>
      </c>
      <c r="R67" s="7" t="n">
        <v>294.1</v>
      </c>
      <c r="T67" s="7" t="n">
        <v>525.7</v>
      </c>
      <c r="V67" s="7" t="n">
        <v>362.5</v>
      </c>
      <c r="X67" s="7" t="n">
        <v>273</v>
      </c>
      <c r="Z67" s="7" t="n">
        <v>185.7</v>
      </c>
      <c r="AB67" s="7" t="n">
        <v>4014.3</v>
      </c>
    </row>
    <row r="68">
      <c r="A68" s="4" t="inlineStr">
        <is>
          <t>物业费</t>
        </is>
      </c>
      <c r="D68" s="7" t="n">
        <v>584.1</v>
      </c>
      <c r="F68" s="7" t="n">
        <v>549.3</v>
      </c>
      <c r="H68" s="7" t="n">
        <v>1138.7</v>
      </c>
      <c r="J68" s="7" t="n">
        <v>1284.1</v>
      </c>
      <c r="L68" s="7" t="n">
        <v>991.6</v>
      </c>
      <c r="N68" s="7" t="n">
        <v>1587.5</v>
      </c>
      <c r="P68" s="7" t="n">
        <v>1571.2</v>
      </c>
      <c r="R68" s="7" t="n">
        <v>1333.1</v>
      </c>
      <c r="T68" s="7" t="n">
        <v>2192.2</v>
      </c>
      <c r="V68" s="7" t="n">
        <v>1585.1</v>
      </c>
      <c r="X68" s="7" t="n">
        <v>1479.3</v>
      </c>
      <c r="Z68" s="7" t="n">
        <v>881.4</v>
      </c>
      <c r="AB68" s="7" t="n">
        <v>15177.6</v>
      </c>
    </row>
    <row r="69">
      <c r="A69" s="4" t="inlineStr">
        <is>
          <t>劳动保护费</t>
        </is>
      </c>
      <c r="D69" s="7" t="n">
        <v>102.2</v>
      </c>
      <c r="F69" s="7" t="n">
        <v>149</v>
      </c>
      <c r="H69" s="7" t="n">
        <v>291.3</v>
      </c>
      <c r="J69" s="7" t="n">
        <v>251.2</v>
      </c>
      <c r="L69" s="7" t="n">
        <v>230.2</v>
      </c>
      <c r="N69" s="7" t="n">
        <v>461.9</v>
      </c>
      <c r="P69" s="7" t="n">
        <v>283.7</v>
      </c>
      <c r="R69" s="7" t="n">
        <v>339.8</v>
      </c>
      <c r="T69" s="7" t="n">
        <v>278.2</v>
      </c>
      <c r="V69" s="7" t="n">
        <v>294.7</v>
      </c>
      <c r="X69" s="7" t="n">
        <v>197.7</v>
      </c>
      <c r="Z69" s="7" t="n">
        <v>220.8</v>
      </c>
      <c r="AB69" s="7" t="n">
        <v>3100.7</v>
      </c>
    </row>
    <row r="70">
      <c r="A70" s="4" t="inlineStr">
        <is>
          <t>顾问费</t>
        </is>
      </c>
      <c r="D70" s="7" t="n">
        <v>22.7</v>
      </c>
      <c r="F70" s="7" t="n">
        <v>29</v>
      </c>
      <c r="H70" s="7" t="n">
        <v>53.7</v>
      </c>
      <c r="J70" s="7" t="n">
        <v>57.5</v>
      </c>
      <c r="L70" s="7" t="n">
        <v>55</v>
      </c>
      <c r="N70" s="7" t="n">
        <v>93.59999999999999</v>
      </c>
      <c r="P70" s="7" t="n">
        <v>95.90000000000001</v>
      </c>
      <c r="R70" s="7" t="n">
        <v>91.5</v>
      </c>
      <c r="T70" s="7" t="n">
        <v>102</v>
      </c>
      <c r="V70" s="7" t="n">
        <v>87</v>
      </c>
      <c r="X70" s="7" t="n">
        <v>60.8</v>
      </c>
      <c r="Z70" s="7" t="n">
        <v>42.1</v>
      </c>
      <c r="AB70" s="7" t="n">
        <v>790.8</v>
      </c>
    </row>
    <row r="71">
      <c r="A71" s="4" t="inlineStr">
        <is>
          <t>快递费</t>
        </is>
      </c>
      <c r="D71" s="7" t="n">
        <v>141.4</v>
      </c>
      <c r="F71" s="7" t="n">
        <v>248.4</v>
      </c>
      <c r="H71" s="7" t="n">
        <v>420.5</v>
      </c>
      <c r="J71" s="7" t="n">
        <v>355.5</v>
      </c>
      <c r="L71" s="7" t="n">
        <v>358.8</v>
      </c>
      <c r="N71" s="7" t="n">
        <v>720.4</v>
      </c>
      <c r="P71" s="7" t="n">
        <v>494.3</v>
      </c>
      <c r="R71" s="7" t="n">
        <v>468</v>
      </c>
      <c r="T71" s="7" t="n">
        <v>470.3</v>
      </c>
      <c r="V71" s="7" t="n">
        <v>527.3</v>
      </c>
      <c r="X71" s="7" t="n">
        <v>442.8</v>
      </c>
      <c r="Z71" s="7" t="n">
        <v>406.1</v>
      </c>
      <c r="AB71" s="7" t="n">
        <v>5053.8</v>
      </c>
    </row>
    <row r="72">
      <c r="A72" s="4" t="inlineStr">
        <is>
          <t>诉讼费</t>
        </is>
      </c>
      <c r="D72" s="7" t="n">
        <v>272.3</v>
      </c>
      <c r="F72" s="7" t="n">
        <v>288.2</v>
      </c>
      <c r="H72" s="7" t="n">
        <v>839.6</v>
      </c>
      <c r="J72" s="7" t="n">
        <v>927.7</v>
      </c>
      <c r="L72" s="7" t="n">
        <v>541.8</v>
      </c>
      <c r="N72" s="7" t="n">
        <v>1267.6</v>
      </c>
      <c r="P72" s="7" t="n">
        <v>1287.3</v>
      </c>
      <c r="R72" s="7" t="n">
        <v>722.7</v>
      </c>
      <c r="T72" s="7" t="n">
        <v>789.6</v>
      </c>
      <c r="V72" s="7" t="n">
        <v>1170.8</v>
      </c>
      <c r="X72" s="7" t="n">
        <v>495.2</v>
      </c>
      <c r="Z72" s="7" t="n">
        <v>596.8</v>
      </c>
      <c r="AB72" s="7" t="n">
        <v>9199.6</v>
      </c>
    </row>
    <row r="73">
      <c r="A73" s="4" t="inlineStr">
        <is>
          <t>会员费</t>
        </is>
      </c>
      <c r="D73" s="7" t="n">
        <v>26.9</v>
      </c>
      <c r="F73" s="7" t="n">
        <v>22.5</v>
      </c>
      <c r="H73" s="7" t="n">
        <v>67.3</v>
      </c>
      <c r="J73" s="7" t="n">
        <v>67.40000000000001</v>
      </c>
      <c r="L73" s="7" t="n">
        <v>48.2</v>
      </c>
      <c r="N73" s="7" t="n">
        <v>93.5</v>
      </c>
      <c r="P73" s="7" t="n">
        <v>117.9</v>
      </c>
      <c r="R73" s="7" t="n">
        <v>45.5</v>
      </c>
      <c r="T73" s="7" t="n">
        <v>70.7</v>
      </c>
      <c r="V73" s="7" t="n">
        <v>80.40000000000001</v>
      </c>
      <c r="X73" s="7" t="n">
        <v>47.3</v>
      </c>
      <c r="Z73" s="7" t="n">
        <v>58.7</v>
      </c>
      <c r="AB73" s="7" t="n">
        <v>746.3</v>
      </c>
    </row>
    <row r="74">
      <c r="A74" s="4" t="inlineStr">
        <is>
          <t>广告宣传费</t>
        </is>
      </c>
      <c r="D74" s="7" t="n">
        <v>2635.7</v>
      </c>
      <c r="F74" s="7" t="n">
        <v>3904.5</v>
      </c>
      <c r="H74" s="7" t="n">
        <v>5919.4</v>
      </c>
      <c r="J74" s="7" t="n">
        <v>6096.8</v>
      </c>
      <c r="L74" s="7" t="n">
        <v>5367.2</v>
      </c>
      <c r="N74" s="7" t="n">
        <v>8440</v>
      </c>
      <c r="P74" s="7" t="n">
        <v>10648</v>
      </c>
      <c r="R74" s="7" t="n">
        <v>5080</v>
      </c>
      <c r="T74" s="7" t="n">
        <v>10177.6</v>
      </c>
      <c r="V74" s="7" t="n">
        <v>9304.799999999999</v>
      </c>
      <c r="X74" s="7" t="n">
        <v>4812.5</v>
      </c>
      <c r="Z74" s="7" t="n">
        <v>5368.2</v>
      </c>
      <c r="AB74" s="7" t="n">
        <v>77754.7</v>
      </c>
    </row>
    <row r="75">
      <c r="A75" s="4" t="inlineStr">
        <is>
          <t>会务费</t>
        </is>
      </c>
      <c r="D75" s="7" t="n">
        <v>145.9</v>
      </c>
      <c r="F75" s="7" t="n">
        <v>155.8</v>
      </c>
      <c r="H75" s="7" t="n">
        <v>508.6</v>
      </c>
      <c r="J75" s="7" t="n">
        <v>403.7</v>
      </c>
      <c r="L75" s="7" t="n">
        <v>404.7</v>
      </c>
      <c r="N75" s="7" t="n">
        <v>474.1</v>
      </c>
      <c r="P75" s="7" t="n">
        <v>562.8</v>
      </c>
      <c r="R75" s="7" t="n">
        <v>521.9</v>
      </c>
      <c r="T75" s="7" t="n">
        <v>500.8</v>
      </c>
      <c r="V75" s="7" t="n">
        <v>439.4</v>
      </c>
      <c r="X75" s="7" t="n">
        <v>322.4</v>
      </c>
      <c r="Z75" s="7" t="n">
        <v>282.4</v>
      </c>
      <c r="AB75" s="7" t="n">
        <v>4722.5</v>
      </c>
    </row>
    <row r="76">
      <c r="A76" s="4" t="inlineStr">
        <is>
          <t>装修费</t>
        </is>
      </c>
      <c r="D76" s="7" t="n">
        <v>224.1</v>
      </c>
      <c r="F76" s="7" t="n">
        <v>245.5</v>
      </c>
      <c r="H76" s="7" t="n">
        <v>658.2</v>
      </c>
      <c r="J76" s="7" t="n">
        <v>649.3</v>
      </c>
      <c r="L76" s="7" t="n">
        <v>622.9</v>
      </c>
      <c r="N76" s="7" t="n">
        <v>661.9</v>
      </c>
      <c r="P76" s="7" t="n">
        <v>785.8</v>
      </c>
      <c r="R76" s="7" t="n">
        <v>575.6</v>
      </c>
      <c r="T76" s="7" t="n">
        <v>784.2</v>
      </c>
      <c r="V76" s="7" t="n">
        <v>678.4</v>
      </c>
      <c r="X76" s="7" t="n">
        <v>398.5</v>
      </c>
      <c r="Z76" s="7" t="n">
        <v>445.4</v>
      </c>
      <c r="AB76" s="7" t="n">
        <v>6729.8</v>
      </c>
    </row>
    <row r="77">
      <c r="A77" s="4" t="inlineStr">
        <is>
          <t>推广费</t>
        </is>
      </c>
      <c r="D77" s="7" t="n">
        <v>602.7</v>
      </c>
      <c r="F77" s="7" t="n">
        <v>403.7</v>
      </c>
      <c r="H77" s="7" t="n">
        <v>1425.3</v>
      </c>
      <c r="J77" s="7" t="n">
        <v>1418.5</v>
      </c>
      <c r="L77" s="7" t="n">
        <v>823.5</v>
      </c>
      <c r="N77" s="7" t="n">
        <v>1544.3</v>
      </c>
      <c r="P77" s="7" t="n">
        <v>1805.5</v>
      </c>
      <c r="R77" s="7" t="n">
        <v>1348.9</v>
      </c>
      <c r="T77" s="7" t="n">
        <v>1099.6</v>
      </c>
      <c r="V77" s="7" t="n">
        <v>1154.5</v>
      </c>
      <c r="X77" s="7" t="n">
        <v>993.8</v>
      </c>
      <c r="Z77" s="7" t="n">
        <v>1167.7</v>
      </c>
      <c r="AB77" s="7" t="n">
        <v>13788</v>
      </c>
    </row>
    <row r="78">
      <c r="A78" s="4" t="inlineStr">
        <is>
          <t>展会费</t>
        </is>
      </c>
      <c r="D78" s="7" t="n">
        <v>117.3</v>
      </c>
      <c r="F78" s="7" t="n">
        <v>79.5</v>
      </c>
      <c r="H78" s="7" t="n">
        <v>271.2</v>
      </c>
      <c r="J78" s="7" t="n">
        <v>214.4</v>
      </c>
      <c r="L78" s="7" t="n">
        <v>252.6</v>
      </c>
      <c r="N78" s="7" t="n">
        <v>376</v>
      </c>
      <c r="P78" s="7" t="n">
        <v>443.3</v>
      </c>
      <c r="R78" s="7" t="n">
        <v>243.2</v>
      </c>
      <c r="T78" s="7" t="n">
        <v>275.3</v>
      </c>
      <c r="V78" s="7" t="n">
        <v>272.4</v>
      </c>
      <c r="X78" s="7" t="n">
        <v>199.8</v>
      </c>
      <c r="Z78" s="7" t="n">
        <v>236</v>
      </c>
      <c r="AB78" s="7" t="n">
        <v>2981</v>
      </c>
    </row>
    <row r="79">
      <c r="A79" s="4" t="inlineStr">
        <is>
          <t>设计费</t>
        </is>
      </c>
      <c r="D79" s="7" t="n">
        <v>24</v>
      </c>
      <c r="F79" s="7" t="n">
        <v>18.8</v>
      </c>
      <c r="H79" s="7" t="n">
        <v>45.4</v>
      </c>
      <c r="J79" s="7" t="n">
        <v>40.8</v>
      </c>
      <c r="L79" s="7" t="n">
        <v>43</v>
      </c>
      <c r="N79" s="7" t="n">
        <v>69.09999999999999</v>
      </c>
      <c r="P79" s="7" t="n">
        <v>60.7</v>
      </c>
      <c r="R79" s="7" t="n">
        <v>48.8</v>
      </c>
      <c r="T79" s="7" t="n">
        <v>68.2</v>
      </c>
      <c r="V79" s="7" t="n">
        <v>70.90000000000001</v>
      </c>
      <c r="X79" s="7" t="n">
        <v>30</v>
      </c>
      <c r="Z79" s="7" t="n">
        <v>36.1</v>
      </c>
      <c r="AB79" s="7" t="n">
        <v>555.8</v>
      </c>
    </row>
    <row r="80">
      <c r="A80" s="4" t="inlineStr">
        <is>
          <t>折旧费</t>
        </is>
      </c>
      <c r="D80" s="7" t="n">
        <v>3981.4</v>
      </c>
      <c r="F80" s="7" t="n">
        <v>5068</v>
      </c>
      <c r="H80" s="7" t="n">
        <v>7573.9</v>
      </c>
      <c r="J80" s="7" t="n">
        <v>10959</v>
      </c>
      <c r="L80" s="7" t="n">
        <v>6683.4</v>
      </c>
      <c r="N80" s="7" t="n">
        <v>10210.6</v>
      </c>
      <c r="P80" s="7" t="n">
        <v>12745.3</v>
      </c>
      <c r="R80" s="7" t="n">
        <v>11593.4</v>
      </c>
      <c r="T80" s="7" t="n">
        <v>14351.5</v>
      </c>
      <c r="V80" s="7" t="n">
        <v>12838</v>
      </c>
      <c r="X80" s="7" t="n">
        <v>8987.5</v>
      </c>
      <c r="Z80" s="7" t="n">
        <v>7497.2</v>
      </c>
      <c r="AB80" s="7" t="n">
        <v>112489.2</v>
      </c>
    </row>
    <row r="81">
      <c r="A81" s="4" t="inlineStr">
        <is>
          <t>认证费</t>
        </is>
      </c>
      <c r="D81" s="7" t="n">
        <v>436.3</v>
      </c>
      <c r="F81" s="7" t="n">
        <v>565.6</v>
      </c>
      <c r="H81" s="7" t="n">
        <v>1188.5</v>
      </c>
      <c r="J81" s="7" t="n">
        <v>913.6</v>
      </c>
      <c r="L81" s="7" t="n">
        <v>1206</v>
      </c>
      <c r="N81" s="7" t="n">
        <v>1761.9</v>
      </c>
      <c r="P81" s="7" t="n">
        <v>2017.8</v>
      </c>
      <c r="R81" s="7" t="n">
        <v>878.4</v>
      </c>
      <c r="T81" s="7" t="n">
        <v>1429.6</v>
      </c>
      <c r="V81" s="7" t="n">
        <v>1230.7</v>
      </c>
      <c r="X81" s="7" t="n">
        <v>924.8</v>
      </c>
      <c r="Z81" s="7" t="n">
        <v>783</v>
      </c>
      <c r="AB81" s="7" t="n">
        <v>13336.2</v>
      </c>
    </row>
    <row r="82">
      <c r="A82" s="4" t="inlineStr">
        <is>
          <t>样品费</t>
        </is>
      </c>
      <c r="D82" s="7" t="n">
        <v>2110.5</v>
      </c>
      <c r="F82" s="7" t="n">
        <v>2298.1</v>
      </c>
      <c r="H82" s="7" t="n">
        <v>5474.1</v>
      </c>
      <c r="J82" s="7" t="n">
        <v>5311</v>
      </c>
      <c r="L82" s="7" t="n">
        <v>4135.7</v>
      </c>
      <c r="N82" s="7" t="n">
        <v>6232.8</v>
      </c>
      <c r="P82" s="7" t="n">
        <v>6330.2</v>
      </c>
      <c r="R82" s="7" t="n">
        <v>5465.3</v>
      </c>
      <c r="T82" s="7" t="n">
        <v>5116.5</v>
      </c>
      <c r="V82" s="7" t="n">
        <v>7667.6</v>
      </c>
      <c r="X82" s="7" t="n">
        <v>3444.9</v>
      </c>
      <c r="Z82" s="7" t="n">
        <v>2501.7</v>
      </c>
      <c r="AB82" s="7" t="n">
        <v>56088.4</v>
      </c>
    </row>
    <row r="83">
      <c r="A83" s="4" t="inlineStr">
        <is>
          <t>劳务费</t>
        </is>
      </c>
      <c r="D83" s="7" t="n">
        <v>344.4</v>
      </c>
      <c r="F83" s="7" t="n">
        <v>353.9</v>
      </c>
      <c r="H83" s="7" t="n">
        <v>1291.1</v>
      </c>
      <c r="J83" s="7" t="n">
        <v>1068.1</v>
      </c>
      <c r="L83" s="7" t="n">
        <v>667.2</v>
      </c>
      <c r="N83" s="7" t="n">
        <v>1509</v>
      </c>
      <c r="P83" s="7" t="n">
        <v>1535.4</v>
      </c>
      <c r="R83" s="7" t="n">
        <v>1216.5</v>
      </c>
      <c r="T83" s="7" t="n">
        <v>1466.9</v>
      </c>
      <c r="V83" s="7" t="n">
        <v>1335.7</v>
      </c>
      <c r="X83" s="7" t="n">
        <v>797.7</v>
      </c>
      <c r="Z83" s="7" t="n">
        <v>874.8</v>
      </c>
      <c r="AB83" s="7" t="n">
        <v>12460.7</v>
      </c>
    </row>
    <row r="84">
      <c r="A84" s="4" t="inlineStr">
        <is>
          <t>销售佣金</t>
        </is>
      </c>
      <c r="D84" s="7" t="n">
        <v>16.2</v>
      </c>
      <c r="F84" s="7" t="n">
        <v>16.3</v>
      </c>
      <c r="H84" s="7" t="n">
        <v>35.2</v>
      </c>
      <c r="J84" s="7" t="n">
        <v>31.5</v>
      </c>
      <c r="L84" s="7" t="n">
        <v>46.6</v>
      </c>
      <c r="N84" s="7" t="n">
        <v>64.3</v>
      </c>
      <c r="P84" s="7" t="n">
        <v>83.90000000000001</v>
      </c>
      <c r="R84" s="7" t="n">
        <v>57.6</v>
      </c>
      <c r="T84" s="7" t="n">
        <v>39.8</v>
      </c>
      <c r="V84" s="7" t="n">
        <v>47</v>
      </c>
      <c r="X84" s="7" t="n">
        <v>44.6</v>
      </c>
      <c r="Z84" s="7" t="n">
        <v>35.9</v>
      </c>
      <c r="AB84" s="7" t="n">
        <v>518.9</v>
      </c>
    </row>
    <row r="85">
      <c r="A85" s="4" t="inlineStr">
        <is>
          <t>检测费</t>
        </is>
      </c>
      <c r="D85" s="7" t="n">
        <v>449</v>
      </c>
      <c r="F85" s="7" t="n">
        <v>552.7</v>
      </c>
      <c r="H85" s="7" t="n">
        <v>1360.8</v>
      </c>
      <c r="J85" s="7" t="n">
        <v>1137.1</v>
      </c>
      <c r="L85" s="7" t="n">
        <v>1060.1</v>
      </c>
      <c r="N85" s="7" t="n">
        <v>1260.9</v>
      </c>
      <c r="P85" s="7" t="n">
        <v>1307.1</v>
      </c>
      <c r="R85" s="7" t="n">
        <v>950.7</v>
      </c>
      <c r="T85" s="7" t="n">
        <v>1622.6</v>
      </c>
      <c r="V85" s="7" t="n">
        <v>1902.1</v>
      </c>
      <c r="X85" s="7" t="n">
        <v>1125.8</v>
      </c>
      <c r="Z85" s="7" t="n">
        <v>1026.1</v>
      </c>
      <c r="AB85" s="7" t="n">
        <v>13755</v>
      </c>
    </row>
    <row r="86">
      <c r="A86" s="4" t="inlineStr">
        <is>
          <t>质量赔偿</t>
        </is>
      </c>
      <c r="D86" s="7" t="n">
        <v>102.5</v>
      </c>
      <c r="F86" s="7" t="n">
        <v>179.7</v>
      </c>
      <c r="H86" s="7" t="n">
        <v>470.3</v>
      </c>
      <c r="J86" s="7" t="n">
        <v>339.6</v>
      </c>
      <c r="L86" s="7" t="n">
        <v>376.8</v>
      </c>
      <c r="N86" s="7" t="n">
        <v>426.7</v>
      </c>
      <c r="P86" s="7" t="n">
        <v>441.9</v>
      </c>
      <c r="R86" s="7" t="n">
        <v>344.4</v>
      </c>
      <c r="T86" s="7" t="n">
        <v>385.4</v>
      </c>
      <c r="V86" s="7" t="n">
        <v>325</v>
      </c>
      <c r="X86" s="7" t="n">
        <v>333.6</v>
      </c>
      <c r="Z86" s="7" t="n">
        <v>283.1</v>
      </c>
      <c r="AB86" s="7" t="n">
        <v>4009</v>
      </c>
    </row>
    <row r="87">
      <c r="A87" s="4" t="inlineStr">
        <is>
          <t>保险费</t>
        </is>
      </c>
      <c r="D87" s="7" t="n">
        <v>439.7</v>
      </c>
      <c r="F87" s="7" t="n">
        <v>594.3</v>
      </c>
      <c r="H87" s="7" t="n">
        <v>831</v>
      </c>
      <c r="J87" s="7" t="n">
        <v>1139</v>
      </c>
      <c r="L87" s="7" t="n">
        <v>1184.6</v>
      </c>
      <c r="N87" s="7" t="n">
        <v>1251.3</v>
      </c>
      <c r="P87" s="7" t="n">
        <v>1962.6</v>
      </c>
      <c r="R87" s="7" t="n">
        <v>1140.4</v>
      </c>
      <c r="T87" s="7" t="n">
        <v>922.5</v>
      </c>
      <c r="V87" s="7" t="n">
        <v>1158</v>
      </c>
      <c r="X87" s="7" t="n">
        <v>1011.6</v>
      </c>
      <c r="Z87" s="7" t="n">
        <v>842.5</v>
      </c>
      <c r="AB87" s="7" t="n">
        <v>12477.5</v>
      </c>
    </row>
    <row r="88">
      <c r="A88" s="4" t="inlineStr">
        <is>
          <t>清洁费</t>
        </is>
      </c>
      <c r="D88" s="7" t="n">
        <v>174.6</v>
      </c>
      <c r="F88" s="7" t="n">
        <v>261.9</v>
      </c>
      <c r="H88" s="7" t="n">
        <v>543.7</v>
      </c>
      <c r="J88" s="7" t="n">
        <v>638.7</v>
      </c>
      <c r="L88" s="7" t="n">
        <v>674.8</v>
      </c>
      <c r="N88" s="7" t="n">
        <v>833.3</v>
      </c>
      <c r="P88" s="7" t="n">
        <v>648.1</v>
      </c>
      <c r="R88" s="7" t="n">
        <v>560</v>
      </c>
      <c r="T88" s="7" t="n">
        <v>840.7</v>
      </c>
      <c r="V88" s="7" t="n">
        <v>647.2</v>
      </c>
      <c r="X88" s="7" t="n">
        <v>687.5</v>
      </c>
      <c r="Z88" s="7" t="n">
        <v>404</v>
      </c>
      <c r="AB88" s="7" t="n">
        <v>6914.5</v>
      </c>
    </row>
    <row r="89">
      <c r="A89" s="4" t="inlineStr">
        <is>
          <t>低值易耗品</t>
        </is>
      </c>
      <c r="D89" s="7" t="n">
        <v>608.8</v>
      </c>
      <c r="F89" s="7" t="n">
        <v>533.1</v>
      </c>
      <c r="H89" s="7" t="n">
        <v>1719.3</v>
      </c>
      <c r="J89" s="7" t="n">
        <v>1544.6</v>
      </c>
      <c r="L89" s="7" t="n">
        <v>1380.7</v>
      </c>
      <c r="N89" s="7" t="n">
        <v>2205.4</v>
      </c>
      <c r="P89" s="7" t="n">
        <v>2249.1</v>
      </c>
      <c r="R89" s="7" t="n">
        <v>1703.7</v>
      </c>
      <c r="T89" s="7" t="n">
        <v>1283.2</v>
      </c>
      <c r="V89" s="7" t="n">
        <v>2007.7</v>
      </c>
      <c r="X89" s="7" t="n">
        <v>884.6</v>
      </c>
      <c r="Z89" s="7" t="n">
        <v>1031.5</v>
      </c>
      <c r="AB89" s="7" t="n">
        <v>17151.7</v>
      </c>
    </row>
    <row r="90">
      <c r="A90" s="4" t="inlineStr">
        <is>
          <t>物料消耗</t>
        </is>
      </c>
      <c r="D90" s="7" t="n">
        <v>352.4</v>
      </c>
      <c r="F90" s="7" t="n">
        <v>626.3</v>
      </c>
      <c r="H90" s="7" t="n">
        <v>1759.5</v>
      </c>
      <c r="J90" s="7" t="n">
        <v>1058</v>
      </c>
      <c r="L90" s="7" t="n">
        <v>969.3</v>
      </c>
      <c r="N90" s="7" t="n">
        <v>1365.5</v>
      </c>
      <c r="P90" s="7" t="n">
        <v>2335.6</v>
      </c>
      <c r="R90" s="7" t="n">
        <v>1368.1</v>
      </c>
      <c r="T90" s="7" t="n">
        <v>1977.1</v>
      </c>
      <c r="V90" s="7" t="n">
        <v>1926.3</v>
      </c>
      <c r="X90" s="7" t="n">
        <v>1361.7</v>
      </c>
      <c r="Z90" s="7" t="n">
        <v>753.5</v>
      </c>
      <c r="AB90" s="7" t="n">
        <v>15853.3</v>
      </c>
    </row>
    <row r="91">
      <c r="A91" s="4" t="inlineStr">
        <is>
          <t>盘盈盘亏</t>
        </is>
      </c>
      <c r="D91" s="7" t="n">
        <v>322.7</v>
      </c>
      <c r="F91" s="7" t="n">
        <v>510.1</v>
      </c>
      <c r="H91" s="7" t="n">
        <v>1310.2</v>
      </c>
      <c r="J91" s="7" t="n">
        <v>1015.7</v>
      </c>
      <c r="L91" s="7" t="n">
        <v>1092</v>
      </c>
      <c r="N91" s="7" t="n">
        <v>1468.4</v>
      </c>
      <c r="P91" s="7" t="n">
        <v>1085.8</v>
      </c>
      <c r="R91" s="7" t="n">
        <v>713.4</v>
      </c>
      <c r="T91" s="7" t="n">
        <v>1551.2</v>
      </c>
      <c r="V91" s="7" t="n">
        <v>1469.2</v>
      </c>
      <c r="X91" s="7" t="n">
        <v>632</v>
      </c>
      <c r="Z91" s="7" t="n">
        <v>548.1</v>
      </c>
      <c r="AB91" s="7" t="n">
        <v>11718.8</v>
      </c>
    </row>
    <row r="92">
      <c r="A92" s="4" t="inlineStr">
        <is>
          <t>平台服务费</t>
        </is>
      </c>
      <c r="D92" s="7" t="n">
        <v>276.9</v>
      </c>
      <c r="F92" s="7" t="n">
        <v>435.5</v>
      </c>
      <c r="H92" s="7" t="n">
        <v>698.9</v>
      </c>
      <c r="J92" s="7" t="n">
        <v>1049</v>
      </c>
      <c r="L92" s="7" t="n">
        <v>666.4</v>
      </c>
      <c r="N92" s="7" t="n">
        <v>1247.7</v>
      </c>
      <c r="P92" s="7" t="n">
        <v>1354.2</v>
      </c>
      <c r="R92" s="7" t="n">
        <v>947.3</v>
      </c>
      <c r="T92" s="7" t="n">
        <v>1400.7</v>
      </c>
      <c r="V92" s="7" t="n">
        <v>1482.8</v>
      </c>
      <c r="X92" s="7" t="n">
        <v>559.8</v>
      </c>
      <c r="Z92" s="7" t="n">
        <v>548.2</v>
      </c>
      <c r="AB92" s="7" t="n">
        <v>10667.4</v>
      </c>
    </row>
    <row r="93">
      <c r="A93" s="4" t="inlineStr">
        <is>
          <t>无形资产摊销</t>
        </is>
      </c>
      <c r="D93" s="7" t="n">
        <v>69.90000000000001</v>
      </c>
      <c r="F93" s="7" t="n">
        <v>128.3</v>
      </c>
      <c r="H93" s="7" t="n">
        <v>248.8</v>
      </c>
      <c r="J93" s="7" t="n">
        <v>233.7</v>
      </c>
      <c r="L93" s="7" t="n">
        <v>236.2</v>
      </c>
      <c r="N93" s="7" t="n">
        <v>372.4</v>
      </c>
      <c r="P93" s="7" t="n">
        <v>399.9</v>
      </c>
      <c r="R93" s="7" t="n">
        <v>210.6</v>
      </c>
      <c r="T93" s="7" t="n">
        <v>359.4</v>
      </c>
      <c r="V93" s="7" t="n">
        <v>319.3</v>
      </c>
      <c r="X93" s="7" t="n">
        <v>135.1</v>
      </c>
      <c r="Z93" s="7" t="n">
        <v>136.2</v>
      </c>
      <c r="AB93" s="7" t="n">
        <v>2849.8</v>
      </c>
    </row>
    <row r="94">
      <c r="A94" s="4" t="inlineStr">
        <is>
          <t>研发材料</t>
        </is>
      </c>
      <c r="D94" s="7" t="n">
        <v>309.8</v>
      </c>
      <c r="F94" s="7" t="n">
        <v>309.1</v>
      </c>
      <c r="H94" s="7" t="n">
        <v>848.1</v>
      </c>
      <c r="J94" s="7" t="n">
        <v>785.4</v>
      </c>
      <c r="L94" s="7" t="n">
        <v>673.2</v>
      </c>
      <c r="N94" s="7" t="n">
        <v>907.8</v>
      </c>
      <c r="P94" s="7" t="n">
        <v>835.3</v>
      </c>
      <c r="R94" s="7" t="n">
        <v>813.3</v>
      </c>
      <c r="T94" s="7" t="n">
        <v>913.7</v>
      </c>
      <c r="V94" s="7" t="n">
        <v>1038.8</v>
      </c>
      <c r="X94" s="7" t="n">
        <v>492.4</v>
      </c>
      <c r="Z94" s="7" t="n">
        <v>618.9</v>
      </c>
      <c r="AB94" s="7" t="n">
        <v>8545.799999999999</v>
      </c>
    </row>
    <row r="95">
      <c r="A95" s="4" t="inlineStr">
        <is>
          <t>项目名称</t>
        </is>
      </c>
      <c r="D95" s="7" t="n">
        <v>633</v>
      </c>
      <c r="F95" s="7" t="n">
        <v>484</v>
      </c>
      <c r="H95" s="7" t="n">
        <v>1414.2</v>
      </c>
      <c r="J95" s="7" t="n">
        <v>1192.7</v>
      </c>
      <c r="L95" s="7" t="n">
        <v>858.3</v>
      </c>
      <c r="N95" s="7" t="n">
        <v>1330.3</v>
      </c>
      <c r="P95" s="7" t="n">
        <v>1540.6</v>
      </c>
      <c r="R95" s="7" t="n">
        <v>993.7</v>
      </c>
      <c r="T95" s="7" t="n">
        <v>1814.2</v>
      </c>
      <c r="V95" s="7" t="n">
        <v>1688.6</v>
      </c>
      <c r="X95" s="7" t="n">
        <v>1222.4</v>
      </c>
      <c r="Z95" s="7" t="n">
        <v>1216.6</v>
      </c>
      <c r="AB95" s="7" t="n">
        <v>14388.6</v>
      </c>
    </row>
    <row r="96">
      <c r="A96" s="4" t="inlineStr">
        <is>
          <t>研发费</t>
        </is>
      </c>
      <c r="D96" s="7" t="n">
        <v>551.8</v>
      </c>
      <c r="F96" s="7" t="n">
        <v>739.5</v>
      </c>
      <c r="H96" s="7" t="n">
        <v>1965.6</v>
      </c>
      <c r="J96" s="7" t="n">
        <v>1231.2</v>
      </c>
      <c r="L96" s="7" t="n">
        <v>1117.9</v>
      </c>
      <c r="N96" s="7" t="n">
        <v>2428.1</v>
      </c>
      <c r="P96" s="7" t="n">
        <v>2039.4</v>
      </c>
      <c r="R96" s="7" t="n">
        <v>1696.7</v>
      </c>
      <c r="T96" s="7" t="n">
        <v>2036.1</v>
      </c>
      <c r="V96" s="7" t="n">
        <v>1735.8</v>
      </c>
      <c r="X96" s="7" t="n">
        <v>1273.2</v>
      </c>
      <c r="Z96" s="7" t="n">
        <v>1364</v>
      </c>
      <c r="AB96" s="7" t="n">
        <v>18179.3</v>
      </c>
    </row>
    <row r="97">
      <c r="A97" s="4" t="inlineStr">
        <is>
          <t>残保金</t>
        </is>
      </c>
      <c r="D97" s="7" t="n">
        <v>198.6</v>
      </c>
      <c r="F97" s="7" t="n">
        <v>263.6</v>
      </c>
      <c r="H97" s="7" t="n">
        <v>889.4</v>
      </c>
      <c r="J97" s="7" t="n">
        <v>606.1</v>
      </c>
      <c r="L97" s="7" t="n">
        <v>719.3</v>
      </c>
      <c r="N97" s="7" t="n">
        <v>1096</v>
      </c>
      <c r="P97" s="7" t="n">
        <v>940.5</v>
      </c>
      <c r="R97" s="7" t="n">
        <v>829.9</v>
      </c>
      <c r="T97" s="7" t="n">
        <v>845.2</v>
      </c>
      <c r="V97" s="7" t="n">
        <v>887.6</v>
      </c>
      <c r="X97" s="7" t="n">
        <v>435.5</v>
      </c>
      <c r="Z97" s="7" t="n">
        <v>420.2</v>
      </c>
      <c r="AB97" s="7" t="n">
        <v>8131.9</v>
      </c>
    </row>
    <row r="98">
      <c r="A98" s="4" t="inlineStr">
        <is>
          <t>环保费</t>
        </is>
      </c>
      <c r="D98" s="7" t="n">
        <v>687.3</v>
      </c>
      <c r="F98" s="7" t="n">
        <v>608.7</v>
      </c>
      <c r="H98" s="7" t="n">
        <v>1264.5</v>
      </c>
      <c r="J98" s="7" t="n">
        <v>1069.1</v>
      </c>
      <c r="L98" s="7" t="n">
        <v>1560.7</v>
      </c>
      <c r="N98" s="7" t="n">
        <v>1993.8</v>
      </c>
      <c r="P98" s="7" t="n">
        <v>1928.4</v>
      </c>
      <c r="R98" s="7" t="n">
        <v>1724.1</v>
      </c>
      <c r="T98" s="7" t="n">
        <v>1961.6</v>
      </c>
      <c r="V98" s="7" t="n">
        <v>1526.1</v>
      </c>
      <c r="X98" s="7" t="n">
        <v>1083.9</v>
      </c>
      <c r="Z98" s="7" t="n">
        <v>1231.9</v>
      </c>
      <c r="AB98" s="7" t="n">
        <v>16640.1</v>
      </c>
    </row>
    <row r="99">
      <c r="A99" s="4" t="inlineStr">
        <is>
          <t>报废损失</t>
        </is>
      </c>
      <c r="D99" s="7" t="n">
        <v>0.6</v>
      </c>
      <c r="F99" s="7" t="n">
        <v>0.5</v>
      </c>
      <c r="H99" s="7" t="n">
        <v>1.1</v>
      </c>
      <c r="J99" s="7" t="n">
        <v>0.9</v>
      </c>
      <c r="L99" s="7" t="n">
        <v>1.2</v>
      </c>
      <c r="N99" s="7" t="n">
        <v>1.8</v>
      </c>
      <c r="P99" s="7" t="n">
        <v>1.2</v>
      </c>
      <c r="R99" s="7" t="n">
        <v>1.1</v>
      </c>
      <c r="T99" s="7" t="n">
        <v>1.6</v>
      </c>
      <c r="V99" s="7" t="n">
        <v>1.4</v>
      </c>
      <c r="X99" s="7" t="n">
        <v>1</v>
      </c>
      <c r="Z99" s="7" t="n">
        <v>0.7</v>
      </c>
      <c r="AB99" s="7" t="n">
        <v>13.1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96925.10000000001</v>
      </c>
      <c r="D100" s="7" t="n">
        <v>60814.4</v>
      </c>
      <c r="E100" s="7" t="n">
        <v>108017.5</v>
      </c>
      <c r="F100" s="7" t="n">
        <v>53241.5</v>
      </c>
      <c r="G100" s="7" t="n">
        <v>99952.2</v>
      </c>
      <c r="H100" s="7" t="n">
        <v>72893.60000000001</v>
      </c>
      <c r="I100" s="7" t="n">
        <v>101371.4</v>
      </c>
      <c r="J100" s="7" t="n">
        <v>132636.1</v>
      </c>
      <c r="K100" s="7" t="n">
        <v>101960.4</v>
      </c>
      <c r="L100" s="7" t="n">
        <v>113642.8</v>
      </c>
      <c r="M100" s="7" t="n">
        <v>94617.8</v>
      </c>
      <c r="N100" s="7" t="n">
        <v>154164.7</v>
      </c>
      <c r="O100" s="7" t="n">
        <v>107879.1</v>
      </c>
      <c r="P100" s="7" t="n">
        <v>159605.1</v>
      </c>
      <c r="Q100" s="7" t="n">
        <v>98715.2</v>
      </c>
      <c r="R100" s="7" t="n">
        <v>132953.7</v>
      </c>
      <c r="S100" s="7" t="n">
        <v>116604.1</v>
      </c>
      <c r="T100" s="7" t="n">
        <v>69903.2</v>
      </c>
      <c r="U100" s="7" t="n">
        <v>115437.8</v>
      </c>
      <c r="V100" s="7" t="n">
        <v>140660</v>
      </c>
      <c r="W100" s="7" t="n">
        <v>93229.7</v>
      </c>
      <c r="X100" s="7" t="n">
        <v>83503.60000000001</v>
      </c>
      <c r="Y100" s="7" t="n">
        <v>87376.3</v>
      </c>
      <c r="Z100" s="7" t="n">
        <v>43017.3</v>
      </c>
      <c r="AA100" s="8" t="n">
        <v>1222086.6</v>
      </c>
      <c r="AB100" s="8" t="n">
        <v>1217036</v>
      </c>
    </row>
    <row r="101">
      <c r="A101" s="4" t="inlineStr">
        <is>
          <t>职工薪酬</t>
        </is>
      </c>
      <c r="D101" s="7" t="n">
        <v>36103.5</v>
      </c>
      <c r="F101" s="7" t="n">
        <v>26729.6</v>
      </c>
      <c r="H101" s="7" t="n">
        <v>32843.3</v>
      </c>
      <c r="J101" s="7" t="n">
        <v>58616.6</v>
      </c>
      <c r="L101" s="7" t="n">
        <v>65661.10000000001</v>
      </c>
      <c r="N101" s="7" t="n">
        <v>77546.2</v>
      </c>
      <c r="P101" s="7" t="n">
        <v>80966.5</v>
      </c>
      <c r="R101" s="7" t="n">
        <v>69963</v>
      </c>
      <c r="T101" s="7" t="n">
        <v>39982.6</v>
      </c>
      <c r="V101" s="7" t="n">
        <v>63319.2</v>
      </c>
      <c r="X101" s="7" t="n">
        <v>39996.7</v>
      </c>
      <c r="Z101" s="7" t="n">
        <v>19403.8</v>
      </c>
      <c r="AB101" s="7" t="n">
        <v>611132.1</v>
      </c>
    </row>
    <row r="102">
      <c r="A102" s="4" t="inlineStr">
        <is>
          <t>工资</t>
        </is>
      </c>
      <c r="D102" s="7" t="n">
        <v>22678.6</v>
      </c>
      <c r="F102" s="7" t="n">
        <v>12473.4</v>
      </c>
      <c r="H102" s="7" t="n">
        <v>15970.2</v>
      </c>
      <c r="J102" s="7" t="n">
        <v>33979.1</v>
      </c>
      <c r="L102" s="7" t="n">
        <v>36237.3</v>
      </c>
      <c r="N102" s="7" t="n">
        <v>43112.4</v>
      </c>
      <c r="P102" s="7" t="n">
        <v>38279.9</v>
      </c>
      <c r="R102" s="7" t="n">
        <v>37749.7</v>
      </c>
      <c r="T102" s="7" t="n">
        <v>22479.4</v>
      </c>
      <c r="V102" s="7" t="n">
        <v>29819.1</v>
      </c>
      <c r="X102" s="7" t="n">
        <v>23802.8</v>
      </c>
      <c r="Z102" s="7" t="n">
        <v>9596.299999999999</v>
      </c>
      <c r="AB102" s="7" t="n">
        <v>326178.2</v>
      </c>
    </row>
    <row r="103">
      <c r="A103" s="4" t="inlineStr">
        <is>
          <t>奖金及提成</t>
        </is>
      </c>
      <c r="D103" s="7" t="n">
        <v>5912.5</v>
      </c>
      <c r="F103" s="7" t="n">
        <v>6702.3</v>
      </c>
      <c r="H103" s="7" t="n">
        <v>7654.1</v>
      </c>
      <c r="J103" s="7" t="n">
        <v>10692.5</v>
      </c>
      <c r="L103" s="7" t="n">
        <v>14040.8</v>
      </c>
      <c r="N103" s="7" t="n">
        <v>14278.3</v>
      </c>
      <c r="P103" s="7" t="n">
        <v>20607.6</v>
      </c>
      <c r="R103" s="7" t="n">
        <v>16555.5</v>
      </c>
      <c r="T103" s="7" t="n">
        <v>8869.200000000001</v>
      </c>
      <c r="V103" s="7" t="n">
        <v>15393.6</v>
      </c>
      <c r="X103" s="7" t="n">
        <v>6618.4</v>
      </c>
      <c r="Z103" s="7" t="n">
        <v>5372.4</v>
      </c>
      <c r="AB103" s="7" t="n">
        <v>132697.2</v>
      </c>
    </row>
    <row r="104">
      <c r="A104" s="4" t="inlineStr">
        <is>
          <t>社保</t>
        </is>
      </c>
      <c r="D104" s="7" t="n">
        <v>5166.4</v>
      </c>
      <c r="F104" s="7" t="n">
        <v>5412.8</v>
      </c>
      <c r="H104" s="7" t="n">
        <v>6000</v>
      </c>
      <c r="J104" s="7" t="n">
        <v>8798.6</v>
      </c>
      <c r="L104" s="7" t="n">
        <v>10463.3</v>
      </c>
      <c r="N104" s="7" t="n">
        <v>14070.7</v>
      </c>
      <c r="P104" s="7" t="n">
        <v>15565.9</v>
      </c>
      <c r="R104" s="7" t="n">
        <v>9997</v>
      </c>
      <c r="T104" s="7" t="n">
        <v>5641.8</v>
      </c>
      <c r="V104" s="7" t="n">
        <v>12671.4</v>
      </c>
      <c r="X104" s="7" t="n">
        <v>6483.6</v>
      </c>
      <c r="Z104" s="7" t="n">
        <v>2795.7</v>
      </c>
      <c r="AB104" s="7" t="n">
        <v>103067.2</v>
      </c>
    </row>
    <row r="105">
      <c r="A105" s="4" t="inlineStr">
        <is>
          <t>养老</t>
        </is>
      </c>
      <c r="D105" s="7" t="n">
        <v>350.9</v>
      </c>
      <c r="F105" s="7" t="n">
        <v>281.7</v>
      </c>
      <c r="H105" s="7" t="n">
        <v>371.5</v>
      </c>
      <c r="J105" s="7" t="n">
        <v>809.1</v>
      </c>
      <c r="L105" s="7" t="n">
        <v>498</v>
      </c>
      <c r="N105" s="7" t="n">
        <v>1175.1</v>
      </c>
      <c r="P105" s="7" t="n">
        <v>1136</v>
      </c>
      <c r="R105" s="7" t="n">
        <v>988.4</v>
      </c>
      <c r="T105" s="7" t="n">
        <v>499</v>
      </c>
      <c r="V105" s="7" t="n">
        <v>640.2</v>
      </c>
      <c r="X105" s="7" t="n">
        <v>411.5</v>
      </c>
      <c r="Z105" s="7" t="n">
        <v>262.8</v>
      </c>
      <c r="AB105" s="7" t="n">
        <v>7424.2</v>
      </c>
    </row>
    <row r="106">
      <c r="A106" s="4" t="inlineStr">
        <is>
          <t>医疗</t>
        </is>
      </c>
      <c r="D106" s="7" t="n">
        <v>87.59999999999999</v>
      </c>
      <c r="F106" s="7" t="n">
        <v>49.7</v>
      </c>
      <c r="H106" s="7" t="n">
        <v>117.3</v>
      </c>
      <c r="J106" s="7" t="n">
        <v>155.3</v>
      </c>
      <c r="L106" s="7" t="n">
        <v>101.4</v>
      </c>
      <c r="N106" s="7" t="n">
        <v>237.3</v>
      </c>
      <c r="P106" s="7" t="n">
        <v>173.4</v>
      </c>
      <c r="R106" s="7" t="n">
        <v>120.6</v>
      </c>
      <c r="T106" s="7" t="n">
        <v>111.9</v>
      </c>
      <c r="V106" s="7" t="n">
        <v>195.7</v>
      </c>
      <c r="X106" s="7" t="n">
        <v>130.6</v>
      </c>
      <c r="Z106" s="7" t="n">
        <v>42.1</v>
      </c>
      <c r="AB106" s="7" t="n">
        <v>1522.9</v>
      </c>
    </row>
    <row r="107">
      <c r="A107" s="4" t="inlineStr">
        <is>
          <t>工伤</t>
        </is>
      </c>
      <c r="D107" s="7" t="n">
        <v>282.5</v>
      </c>
      <c r="F107" s="7" t="n">
        <v>159.5</v>
      </c>
      <c r="H107" s="7" t="n">
        <v>346.6</v>
      </c>
      <c r="J107" s="7" t="n">
        <v>614.2</v>
      </c>
      <c r="L107" s="7" t="n">
        <v>504.2</v>
      </c>
      <c r="N107" s="7" t="n">
        <v>755.7</v>
      </c>
      <c r="P107" s="7" t="n">
        <v>789.3</v>
      </c>
      <c r="R107" s="7" t="n">
        <v>612.4</v>
      </c>
      <c r="T107" s="7" t="n">
        <v>293.7</v>
      </c>
      <c r="V107" s="7" t="n">
        <v>472.7</v>
      </c>
      <c r="X107" s="7" t="n">
        <v>260.4</v>
      </c>
      <c r="Z107" s="7" t="n">
        <v>143.1</v>
      </c>
      <c r="AB107" s="7" t="n">
        <v>5234.3</v>
      </c>
    </row>
    <row r="108">
      <c r="A108" s="4" t="inlineStr">
        <is>
          <t>失业</t>
        </is>
      </c>
      <c r="D108" s="7" t="n">
        <v>322.8</v>
      </c>
      <c r="F108" s="7" t="n">
        <v>224.2</v>
      </c>
      <c r="H108" s="7" t="n">
        <v>419.5</v>
      </c>
      <c r="J108" s="7" t="n">
        <v>724.3</v>
      </c>
      <c r="L108" s="7" t="n">
        <v>471.4</v>
      </c>
      <c r="N108" s="7" t="n">
        <v>865.4</v>
      </c>
      <c r="P108" s="7" t="n">
        <v>869.8</v>
      </c>
      <c r="R108" s="7" t="n">
        <v>768.8</v>
      </c>
      <c r="T108" s="7" t="n">
        <v>446.3</v>
      </c>
      <c r="V108" s="7" t="n">
        <v>696.3</v>
      </c>
      <c r="X108" s="7" t="n">
        <v>353.7</v>
      </c>
      <c r="Z108" s="7" t="n">
        <v>268.2</v>
      </c>
      <c r="AB108" s="7" t="n">
        <v>6430.7</v>
      </c>
    </row>
    <row r="109">
      <c r="A109" s="4" t="inlineStr">
        <is>
          <t>生育</t>
        </is>
      </c>
      <c r="D109" s="7" t="n">
        <v>292.8</v>
      </c>
      <c r="F109" s="7" t="n">
        <v>408.6</v>
      </c>
      <c r="H109" s="7" t="n">
        <v>403.3</v>
      </c>
      <c r="J109" s="7" t="n">
        <v>1047.7</v>
      </c>
      <c r="L109" s="7" t="n">
        <v>763</v>
      </c>
      <c r="N109" s="7" t="n">
        <v>696.8</v>
      </c>
      <c r="P109" s="7" t="n">
        <v>796.3</v>
      </c>
      <c r="R109" s="7" t="n">
        <v>739.1</v>
      </c>
      <c r="T109" s="7" t="n">
        <v>361.6</v>
      </c>
      <c r="V109" s="7" t="n">
        <v>903.4</v>
      </c>
      <c r="X109" s="7" t="n">
        <v>509.8</v>
      </c>
      <c r="Z109" s="7" t="n">
        <v>253.4</v>
      </c>
      <c r="AB109" s="7" t="n">
        <v>7175.8</v>
      </c>
    </row>
    <row r="110">
      <c r="A110" s="4" t="inlineStr">
        <is>
          <t>公积金</t>
        </is>
      </c>
      <c r="D110" s="7" t="n">
        <v>286.5</v>
      </c>
      <c r="F110" s="7" t="n">
        <v>228.1</v>
      </c>
      <c r="H110" s="7" t="n">
        <v>249.2</v>
      </c>
      <c r="J110" s="7" t="n">
        <v>658.2</v>
      </c>
      <c r="L110" s="7" t="n">
        <v>426.5</v>
      </c>
      <c r="N110" s="7" t="n">
        <v>768.6</v>
      </c>
      <c r="P110" s="7" t="n">
        <v>663.1</v>
      </c>
      <c r="R110" s="7" t="n">
        <v>682.4</v>
      </c>
      <c r="T110" s="7" t="n">
        <v>325.3</v>
      </c>
      <c r="V110" s="7" t="n">
        <v>703.3</v>
      </c>
      <c r="X110" s="7" t="n">
        <v>429</v>
      </c>
      <c r="Z110" s="7" t="n">
        <v>123.7</v>
      </c>
      <c r="AB110" s="7" t="n">
        <v>5543.9</v>
      </c>
    </row>
    <row r="111">
      <c r="A111" s="4" t="inlineStr">
        <is>
          <t>工会经费</t>
        </is>
      </c>
      <c r="D111" s="7" t="n">
        <v>363.2</v>
      </c>
      <c r="F111" s="7" t="n">
        <v>351.9</v>
      </c>
      <c r="H111" s="7" t="n">
        <v>579.6</v>
      </c>
      <c r="J111" s="7" t="n">
        <v>645.3</v>
      </c>
      <c r="L111" s="7" t="n">
        <v>806.2</v>
      </c>
      <c r="N111" s="7" t="n">
        <v>846.3</v>
      </c>
      <c r="P111" s="7" t="n">
        <v>1303.7</v>
      </c>
      <c r="R111" s="7" t="n">
        <v>834.6</v>
      </c>
      <c r="T111" s="7" t="n">
        <v>427.9</v>
      </c>
      <c r="V111" s="7" t="n">
        <v>692.7</v>
      </c>
      <c r="X111" s="7" t="n">
        <v>549.3</v>
      </c>
      <c r="Z111" s="7" t="n">
        <v>290.6</v>
      </c>
      <c r="AB111" s="7" t="n">
        <v>7691.3</v>
      </c>
    </row>
    <row r="112">
      <c r="A112" s="4" t="inlineStr">
        <is>
          <t>职工教育经费</t>
        </is>
      </c>
      <c r="D112" s="7" t="n">
        <v>308.8</v>
      </c>
      <c r="F112" s="7" t="n">
        <v>395.7</v>
      </c>
      <c r="H112" s="7" t="n">
        <v>584.1</v>
      </c>
      <c r="J112" s="7" t="n">
        <v>923.2</v>
      </c>
      <c r="L112" s="7" t="n">
        <v>847.6</v>
      </c>
      <c r="N112" s="7" t="n">
        <v>1196.3</v>
      </c>
      <c r="P112" s="7" t="n">
        <v>720.8</v>
      </c>
      <c r="R112" s="7" t="n">
        <v>723.8</v>
      </c>
      <c r="T112" s="7" t="n">
        <v>566.6</v>
      </c>
      <c r="V112" s="7" t="n">
        <v>897.2</v>
      </c>
      <c r="X112" s="7" t="n">
        <v>413.7</v>
      </c>
      <c r="Z112" s="7" t="n">
        <v>220.2</v>
      </c>
      <c r="AB112" s="7" t="n">
        <v>7798</v>
      </c>
    </row>
    <row r="113">
      <c r="A113" s="4" t="inlineStr">
        <is>
          <t>福利费</t>
        </is>
      </c>
      <c r="D113" s="7" t="n">
        <v>1387.5</v>
      </c>
      <c r="F113" s="7" t="n">
        <v>1165.4</v>
      </c>
      <c r="H113" s="7" t="n">
        <v>1806.1</v>
      </c>
      <c r="J113" s="7" t="n">
        <v>2919.7</v>
      </c>
      <c r="L113" s="7" t="n">
        <v>2839.4</v>
      </c>
      <c r="N113" s="7" t="n">
        <v>3273.6</v>
      </c>
      <c r="P113" s="7" t="n">
        <v>3825.5</v>
      </c>
      <c r="R113" s="7" t="n">
        <v>3420</v>
      </c>
      <c r="T113" s="7" t="n">
        <v>1672.4</v>
      </c>
      <c r="V113" s="7" t="n">
        <v>3141.9</v>
      </c>
      <c r="X113" s="7" t="n">
        <v>1699.9</v>
      </c>
      <c r="Z113" s="7" t="n">
        <v>1004.9</v>
      </c>
      <c r="AB113" s="7" t="n">
        <v>28156.3</v>
      </c>
    </row>
    <row r="114">
      <c r="A114" s="4" t="inlineStr">
        <is>
          <t>职工房租</t>
        </is>
      </c>
      <c r="D114" s="7" t="n">
        <v>116.5</v>
      </c>
      <c r="F114" s="7" t="n">
        <v>91.8</v>
      </c>
      <c r="H114" s="7" t="n">
        <v>174.7</v>
      </c>
      <c r="J114" s="7" t="n">
        <v>333.9</v>
      </c>
      <c r="L114" s="7" t="n">
        <v>333.4</v>
      </c>
      <c r="N114" s="7" t="n">
        <v>278.5</v>
      </c>
      <c r="P114" s="7" t="n">
        <v>329.4</v>
      </c>
      <c r="R114" s="7" t="n">
        <v>327.1</v>
      </c>
      <c r="T114" s="7" t="n">
        <v>192.5</v>
      </c>
      <c r="V114" s="7" t="n">
        <v>341.4</v>
      </c>
      <c r="X114" s="7" t="n">
        <v>142.2</v>
      </c>
      <c r="Z114" s="7" t="n">
        <v>80.8</v>
      </c>
      <c r="AB114" s="7" t="n">
        <v>2742.2</v>
      </c>
    </row>
    <row r="115">
      <c r="A115" s="4" t="inlineStr">
        <is>
          <t>水电物业费</t>
        </is>
      </c>
      <c r="D115" s="7" t="n">
        <v>159.5</v>
      </c>
      <c r="F115" s="7" t="n">
        <v>122.4</v>
      </c>
      <c r="H115" s="7" t="n">
        <v>203.5</v>
      </c>
      <c r="J115" s="7" t="n">
        <v>341.3</v>
      </c>
      <c r="L115" s="7" t="n">
        <v>316.3</v>
      </c>
      <c r="N115" s="7" t="n">
        <v>635.4</v>
      </c>
      <c r="P115" s="7" t="n">
        <v>438.4</v>
      </c>
      <c r="R115" s="7" t="n">
        <v>409.2</v>
      </c>
      <c r="T115" s="7" t="n">
        <v>228.6</v>
      </c>
      <c r="V115" s="7" t="n">
        <v>312.7</v>
      </c>
      <c r="X115" s="7" t="n">
        <v>228.7</v>
      </c>
      <c r="Z115" s="7" t="n">
        <v>131</v>
      </c>
      <c r="AB115" s="7" t="n">
        <v>3527</v>
      </c>
    </row>
    <row r="116">
      <c r="A116" s="4" t="inlineStr">
        <is>
          <t>员工餐</t>
        </is>
      </c>
      <c r="D116" s="7" t="n">
        <v>225.8</v>
      </c>
      <c r="F116" s="7" t="n">
        <v>147.2</v>
      </c>
      <c r="H116" s="7" t="n">
        <v>164.9</v>
      </c>
      <c r="J116" s="7" t="n">
        <v>322.5</v>
      </c>
      <c r="L116" s="7" t="n">
        <v>427.4</v>
      </c>
      <c r="N116" s="7" t="n">
        <v>562.7</v>
      </c>
      <c r="P116" s="7" t="n">
        <v>571.9</v>
      </c>
      <c r="R116" s="7" t="n">
        <v>431.6</v>
      </c>
      <c r="T116" s="7" t="n">
        <v>199.9</v>
      </c>
      <c r="V116" s="7" t="n">
        <v>365.6</v>
      </c>
      <c r="X116" s="7" t="n">
        <v>283.5</v>
      </c>
      <c r="Z116" s="7" t="n">
        <v>133.4</v>
      </c>
      <c r="AB116" s="7" t="n">
        <v>3836.4</v>
      </c>
    </row>
    <row r="117">
      <c r="A117" s="4" t="inlineStr">
        <is>
          <t>节日礼品</t>
        </is>
      </c>
      <c r="D117" s="7" t="n">
        <v>338.1</v>
      </c>
      <c r="F117" s="7" t="n">
        <v>353.2</v>
      </c>
      <c r="H117" s="7" t="n">
        <v>418.3</v>
      </c>
      <c r="J117" s="7" t="n">
        <v>829</v>
      </c>
      <c r="L117" s="7" t="n">
        <v>753.1</v>
      </c>
      <c r="N117" s="7" t="n">
        <v>599.4</v>
      </c>
      <c r="P117" s="7" t="n">
        <v>919.4</v>
      </c>
      <c r="R117" s="7" t="n">
        <v>875.3</v>
      </c>
      <c r="T117" s="7" t="n">
        <v>288.3</v>
      </c>
      <c r="V117" s="7" t="n">
        <v>742</v>
      </c>
      <c r="X117" s="7" t="n">
        <v>391.1</v>
      </c>
      <c r="Z117" s="7" t="n">
        <v>191</v>
      </c>
      <c r="AB117" s="7" t="n">
        <v>6698.2</v>
      </c>
    </row>
    <row r="118">
      <c r="A118" s="4" t="inlineStr">
        <is>
          <t>生日礼品</t>
        </is>
      </c>
      <c r="D118" s="7" t="n">
        <v>196.2</v>
      </c>
      <c r="F118" s="7" t="n">
        <v>96.7</v>
      </c>
      <c r="H118" s="7" t="n">
        <v>217.9</v>
      </c>
      <c r="J118" s="7" t="n">
        <v>345.2</v>
      </c>
      <c r="L118" s="7" t="n">
        <v>260.8</v>
      </c>
      <c r="N118" s="7" t="n">
        <v>271.7</v>
      </c>
      <c r="P118" s="7" t="n">
        <v>364.4</v>
      </c>
      <c r="R118" s="7" t="n">
        <v>382.9</v>
      </c>
      <c r="T118" s="7" t="n">
        <v>199.9</v>
      </c>
      <c r="V118" s="7" t="n">
        <v>419.1</v>
      </c>
      <c r="X118" s="7" t="n">
        <v>187.4</v>
      </c>
      <c r="Z118" s="7" t="n">
        <v>129.9</v>
      </c>
      <c r="AB118" s="7" t="n">
        <v>3072.1</v>
      </c>
    </row>
    <row r="119">
      <c r="A119" s="4" t="inlineStr">
        <is>
          <t>体检</t>
        </is>
      </c>
      <c r="D119" s="7" t="n">
        <v>117.5</v>
      </c>
      <c r="F119" s="7" t="n">
        <v>97.5</v>
      </c>
      <c r="H119" s="7" t="n">
        <v>137.2</v>
      </c>
      <c r="J119" s="7" t="n">
        <v>192.5</v>
      </c>
      <c r="L119" s="7" t="n">
        <v>213.6</v>
      </c>
      <c r="N119" s="7" t="n">
        <v>330.1</v>
      </c>
      <c r="P119" s="7" t="n">
        <v>198.6</v>
      </c>
      <c r="R119" s="7" t="n">
        <v>226.1</v>
      </c>
      <c r="T119" s="7" t="n">
        <v>117.5</v>
      </c>
      <c r="V119" s="7" t="n">
        <v>175.5</v>
      </c>
      <c r="X119" s="7" t="n">
        <v>100.8</v>
      </c>
      <c r="Z119" s="7" t="n">
        <v>62.3</v>
      </c>
      <c r="AB119" s="7" t="n">
        <v>1969.2</v>
      </c>
    </row>
    <row r="120">
      <c r="A120" s="4" t="inlineStr">
        <is>
          <t>其他福利支出</t>
        </is>
      </c>
      <c r="D120" s="7" t="n">
        <v>233.9</v>
      </c>
      <c r="F120" s="7" t="n">
        <v>256.6</v>
      </c>
      <c r="H120" s="7" t="n">
        <v>489.6</v>
      </c>
      <c r="J120" s="7" t="n">
        <v>555.3</v>
      </c>
      <c r="L120" s="7" t="n">
        <v>534.8</v>
      </c>
      <c r="N120" s="7" t="n">
        <v>595.8</v>
      </c>
      <c r="P120" s="7" t="n">
        <v>1003.4</v>
      </c>
      <c r="R120" s="7" t="n">
        <v>767.8</v>
      </c>
      <c r="T120" s="7" t="n">
        <v>445.7</v>
      </c>
      <c r="V120" s="7" t="n">
        <v>785.6</v>
      </c>
      <c r="X120" s="7" t="n">
        <v>366.2</v>
      </c>
      <c r="Z120" s="7" t="n">
        <v>276.5</v>
      </c>
      <c r="AB120" s="7" t="n">
        <v>6311.2</v>
      </c>
    </row>
    <row r="121">
      <c r="A121" s="4" t="inlineStr">
        <is>
          <t>招聘费</t>
        </is>
      </c>
      <c r="D121" s="7" t="n">
        <v>7.9</v>
      </c>
      <c r="F121" s="7" t="n">
        <v>7.8</v>
      </c>
      <c r="H121" s="7" t="n">
        <v>13.4</v>
      </c>
      <c r="J121" s="7" t="n">
        <v>24.4</v>
      </c>
      <c r="L121" s="7" t="n">
        <v>20.6</v>
      </c>
      <c r="N121" s="7" t="n">
        <v>17.7</v>
      </c>
      <c r="P121" s="7" t="n">
        <v>25.5</v>
      </c>
      <c r="R121" s="7" t="n">
        <v>26.3</v>
      </c>
      <c r="T121" s="7" t="n">
        <v>11.4</v>
      </c>
      <c r="V121" s="7" t="n">
        <v>20.9</v>
      </c>
      <c r="X121" s="7" t="n">
        <v>16.8</v>
      </c>
      <c r="Z121" s="7" t="n">
        <v>7.3</v>
      </c>
      <c r="AB121" s="7" t="n">
        <v>200</v>
      </c>
    </row>
    <row r="122">
      <c r="A122" s="4" t="inlineStr">
        <is>
          <t>办公费</t>
        </is>
      </c>
      <c r="D122" s="7" t="n">
        <v>2036.1</v>
      </c>
      <c r="F122" s="7" t="n">
        <v>1138.2</v>
      </c>
      <c r="H122" s="7" t="n">
        <v>2114.4</v>
      </c>
      <c r="J122" s="7" t="n">
        <v>4075.7</v>
      </c>
      <c r="L122" s="7" t="n">
        <v>2696.5</v>
      </c>
      <c r="N122" s="7" t="n">
        <v>4130.2</v>
      </c>
      <c r="P122" s="7" t="n">
        <v>5098.7</v>
      </c>
      <c r="R122" s="7" t="n">
        <v>3600.8</v>
      </c>
      <c r="T122" s="7" t="n">
        <v>2689.5</v>
      </c>
      <c r="V122" s="7" t="n">
        <v>3921.4</v>
      </c>
      <c r="X122" s="7" t="n">
        <v>2793.8</v>
      </c>
      <c r="Z122" s="7" t="n">
        <v>1452.6</v>
      </c>
      <c r="AB122" s="7" t="n">
        <v>35747.9</v>
      </c>
    </row>
    <row r="123">
      <c r="A123" s="4" t="inlineStr">
        <is>
          <t>市内交通费</t>
        </is>
      </c>
      <c r="D123" s="7" t="n">
        <v>67.8</v>
      </c>
      <c r="F123" s="7" t="n">
        <v>60.7</v>
      </c>
      <c r="H123" s="7" t="n">
        <v>111.9</v>
      </c>
      <c r="J123" s="7" t="n">
        <v>140.1</v>
      </c>
      <c r="L123" s="7" t="n">
        <v>112.9</v>
      </c>
      <c r="N123" s="7" t="n">
        <v>170</v>
      </c>
      <c r="P123" s="7" t="n">
        <v>279.3</v>
      </c>
      <c r="R123" s="7" t="n">
        <v>158.5</v>
      </c>
      <c r="T123" s="7" t="n">
        <v>114.6</v>
      </c>
      <c r="V123" s="7" t="n">
        <v>191</v>
      </c>
      <c r="X123" s="7" t="n">
        <v>113.6</v>
      </c>
      <c r="Z123" s="7" t="n">
        <v>42.7</v>
      </c>
      <c r="AB123" s="7" t="n">
        <v>1563.1</v>
      </c>
    </row>
    <row r="124">
      <c r="A124" s="4" t="inlineStr">
        <is>
          <t>差旅费</t>
        </is>
      </c>
      <c r="D124" s="7" t="n">
        <v>4237</v>
      </c>
      <c r="F124" s="7" t="n">
        <v>3064.2</v>
      </c>
      <c r="H124" s="7" t="n">
        <v>3173.2</v>
      </c>
      <c r="J124" s="7" t="n">
        <v>9007.9</v>
      </c>
      <c r="L124" s="7" t="n">
        <v>7248.6</v>
      </c>
      <c r="N124" s="7" t="n">
        <v>9155.4</v>
      </c>
      <c r="P124" s="7" t="n">
        <v>12270.1</v>
      </c>
      <c r="R124" s="7" t="n">
        <v>8439.5</v>
      </c>
      <c r="T124" s="7" t="n">
        <v>3039.2</v>
      </c>
      <c r="V124" s="7" t="n">
        <v>9348.5</v>
      </c>
      <c r="X124" s="7" t="n">
        <v>3860.3</v>
      </c>
      <c r="Z124" s="7" t="n">
        <v>2889.7</v>
      </c>
      <c r="AB124" s="7" t="n">
        <v>75733.60000000001</v>
      </c>
    </row>
    <row r="125">
      <c r="A125" s="4" t="inlineStr">
        <is>
          <t>交通费</t>
        </is>
      </c>
      <c r="D125" s="7" t="n">
        <v>44.5</v>
      </c>
      <c r="F125" s="7" t="n">
        <v>38.6</v>
      </c>
      <c r="H125" s="7" t="n">
        <v>47.7</v>
      </c>
      <c r="J125" s="7" t="n">
        <v>103.8</v>
      </c>
      <c r="L125" s="7" t="n">
        <v>84.2</v>
      </c>
      <c r="N125" s="7" t="n">
        <v>70</v>
      </c>
      <c r="P125" s="7" t="n">
        <v>79.5</v>
      </c>
      <c r="R125" s="7" t="n">
        <v>98</v>
      </c>
      <c r="T125" s="7" t="n">
        <v>33.4</v>
      </c>
      <c r="V125" s="7" t="n">
        <v>79.8</v>
      </c>
      <c r="X125" s="7" t="n">
        <v>38.6</v>
      </c>
      <c r="Z125" s="7" t="n">
        <v>23.6</v>
      </c>
      <c r="AB125" s="7" t="n">
        <v>741.7</v>
      </c>
    </row>
    <row r="126">
      <c r="A126" s="4" t="inlineStr">
        <is>
          <t>住宿费</t>
        </is>
      </c>
      <c r="D126" s="7" t="n">
        <v>99.3</v>
      </c>
      <c r="F126" s="7" t="n">
        <v>70.09999999999999</v>
      </c>
      <c r="H126" s="7" t="n">
        <v>105.1</v>
      </c>
      <c r="J126" s="7" t="n">
        <v>225.3</v>
      </c>
      <c r="L126" s="7" t="n">
        <v>166.8</v>
      </c>
      <c r="N126" s="7" t="n">
        <v>215</v>
      </c>
      <c r="P126" s="7" t="n">
        <v>304.8</v>
      </c>
      <c r="R126" s="7" t="n">
        <v>226.4</v>
      </c>
      <c r="T126" s="7" t="n">
        <v>110.8</v>
      </c>
      <c r="V126" s="7" t="n">
        <v>247.4</v>
      </c>
      <c r="X126" s="7" t="n">
        <v>167.6</v>
      </c>
      <c r="Z126" s="7" t="n">
        <v>100.5</v>
      </c>
      <c r="AB126" s="7" t="n">
        <v>2039.1</v>
      </c>
    </row>
    <row r="127">
      <c r="A127" s="4" t="inlineStr">
        <is>
          <t>餐补</t>
        </is>
      </c>
      <c r="D127" s="7" t="n">
        <v>52</v>
      </c>
      <c r="F127" s="7" t="n">
        <v>54.3</v>
      </c>
      <c r="H127" s="7" t="n">
        <v>68.90000000000001</v>
      </c>
      <c r="J127" s="7" t="n">
        <v>89.90000000000001</v>
      </c>
      <c r="L127" s="7" t="n">
        <v>107.9</v>
      </c>
      <c r="N127" s="7" t="n">
        <v>128.1</v>
      </c>
      <c r="P127" s="7" t="n">
        <v>173</v>
      </c>
      <c r="R127" s="7" t="n">
        <v>112.3</v>
      </c>
      <c r="T127" s="7" t="n">
        <v>76.40000000000001</v>
      </c>
      <c r="V127" s="7" t="n">
        <v>172.6</v>
      </c>
      <c r="X127" s="7" t="n">
        <v>59</v>
      </c>
      <c r="Z127" s="7" t="n">
        <v>42.2</v>
      </c>
      <c r="AB127" s="7" t="n">
        <v>1136.6</v>
      </c>
    </row>
    <row r="128">
      <c r="A128" s="4" t="inlineStr">
        <is>
          <t>交通补助</t>
        </is>
      </c>
      <c r="D128" s="7" t="n">
        <v>413.8</v>
      </c>
      <c r="F128" s="7" t="n">
        <v>389.5</v>
      </c>
      <c r="H128" s="7" t="n">
        <v>527.3</v>
      </c>
      <c r="J128" s="7" t="n">
        <v>580.1</v>
      </c>
      <c r="L128" s="7" t="n">
        <v>764.5</v>
      </c>
      <c r="N128" s="7" t="n">
        <v>787.5</v>
      </c>
      <c r="P128" s="7" t="n">
        <v>1070.9</v>
      </c>
      <c r="R128" s="7" t="n">
        <v>928</v>
      </c>
      <c r="T128" s="7" t="n">
        <v>426.5</v>
      </c>
      <c r="V128" s="7" t="n">
        <v>935.6</v>
      </c>
      <c r="X128" s="7" t="n">
        <v>510.7</v>
      </c>
      <c r="Z128" s="7" t="n">
        <v>239.6</v>
      </c>
      <c r="AB128" s="7" t="n">
        <v>7574</v>
      </c>
    </row>
    <row r="129">
      <c r="A129" s="4" t="inlineStr">
        <is>
          <t>通讯补助</t>
        </is>
      </c>
      <c r="D129" s="7" t="n">
        <v>373.7</v>
      </c>
      <c r="F129" s="7" t="n">
        <v>359.4</v>
      </c>
      <c r="H129" s="7" t="n">
        <v>295.3</v>
      </c>
      <c r="J129" s="7" t="n">
        <v>651.1</v>
      </c>
      <c r="L129" s="7" t="n">
        <v>501.5</v>
      </c>
      <c r="N129" s="7" t="n">
        <v>899</v>
      </c>
      <c r="P129" s="7" t="n">
        <v>867.5</v>
      </c>
      <c r="R129" s="7" t="n">
        <v>866.4</v>
      </c>
      <c r="T129" s="7" t="n">
        <v>333.5</v>
      </c>
      <c r="V129" s="7" t="n">
        <v>940</v>
      </c>
      <c r="X129" s="7" t="n">
        <v>339.7</v>
      </c>
      <c r="Z129" s="7" t="n">
        <v>208.1</v>
      </c>
      <c r="AB129" s="7" t="n">
        <v>6635.2</v>
      </c>
    </row>
    <row r="130">
      <c r="A130" s="4" t="inlineStr">
        <is>
          <t>招待费</t>
        </is>
      </c>
      <c r="D130" s="7" t="n">
        <v>2782.7</v>
      </c>
      <c r="F130" s="7" t="n">
        <v>1875.6</v>
      </c>
      <c r="H130" s="7" t="n">
        <v>2268</v>
      </c>
      <c r="J130" s="7" t="n">
        <v>5261.4</v>
      </c>
      <c r="L130" s="7" t="n">
        <v>4697.1</v>
      </c>
      <c r="N130" s="7" t="n">
        <v>5975.8</v>
      </c>
      <c r="P130" s="7" t="n">
        <v>5296.6</v>
      </c>
      <c r="R130" s="7" t="n">
        <v>4961.6</v>
      </c>
      <c r="T130" s="7" t="n">
        <v>2630.5</v>
      </c>
      <c r="V130" s="7" t="n">
        <v>5054.7</v>
      </c>
      <c r="X130" s="7" t="n">
        <v>3966.6</v>
      </c>
      <c r="Z130" s="7" t="n">
        <v>1610.6</v>
      </c>
      <c r="AB130" s="7" t="n">
        <v>46381.2</v>
      </c>
    </row>
    <row r="131">
      <c r="A131" s="4" t="inlineStr">
        <is>
          <t>通讯费</t>
        </is>
      </c>
      <c r="D131" s="7" t="n">
        <v>15.5</v>
      </c>
      <c r="F131" s="7" t="n">
        <v>13.9</v>
      </c>
      <c r="H131" s="7" t="n">
        <v>14</v>
      </c>
      <c r="J131" s="7" t="n">
        <v>26.2</v>
      </c>
      <c r="L131" s="7" t="n">
        <v>35.2</v>
      </c>
      <c r="N131" s="7" t="n">
        <v>51.7</v>
      </c>
      <c r="P131" s="7" t="n">
        <v>32.7</v>
      </c>
      <c r="R131" s="7" t="n">
        <v>39.1</v>
      </c>
      <c r="T131" s="7" t="n">
        <v>16.4</v>
      </c>
      <c r="V131" s="7" t="n">
        <v>27</v>
      </c>
      <c r="X131" s="7" t="n">
        <v>23.4</v>
      </c>
      <c r="Z131" s="7" t="n">
        <v>9</v>
      </c>
      <c r="AB131" s="7" t="n">
        <v>304.1</v>
      </c>
    </row>
    <row r="132">
      <c r="A132" s="4" t="inlineStr">
        <is>
          <t>网络费</t>
        </is>
      </c>
      <c r="D132" s="7" t="n">
        <v>360.6</v>
      </c>
      <c r="F132" s="7" t="n">
        <v>316.7</v>
      </c>
      <c r="H132" s="7" t="n">
        <v>531.3</v>
      </c>
      <c r="J132" s="7" t="n">
        <v>549.7</v>
      </c>
      <c r="L132" s="7" t="n">
        <v>733.1</v>
      </c>
      <c r="N132" s="7" t="n">
        <v>941.5</v>
      </c>
      <c r="P132" s="7" t="n">
        <v>707</v>
      </c>
      <c r="R132" s="7" t="n">
        <v>585.4</v>
      </c>
      <c r="T132" s="7" t="n">
        <v>419.6</v>
      </c>
      <c r="V132" s="7" t="n">
        <v>716.2</v>
      </c>
      <c r="X132" s="7" t="n">
        <v>523.9</v>
      </c>
      <c r="Z132" s="7" t="n">
        <v>281.4</v>
      </c>
      <c r="AB132" s="7" t="n">
        <v>6666.4</v>
      </c>
    </row>
    <row r="133">
      <c r="A133" s="4" t="inlineStr">
        <is>
          <t>修理费</t>
        </is>
      </c>
      <c r="D133" s="7" t="n">
        <v>169.3</v>
      </c>
      <c r="F133" s="7" t="n">
        <v>157.5</v>
      </c>
      <c r="H133" s="7" t="n">
        <v>232.8</v>
      </c>
      <c r="J133" s="7" t="n">
        <v>335.6</v>
      </c>
      <c r="L133" s="7" t="n">
        <v>263.1</v>
      </c>
      <c r="N133" s="7" t="n">
        <v>506.7</v>
      </c>
      <c r="P133" s="7" t="n">
        <v>391</v>
      </c>
      <c r="R133" s="7" t="n">
        <v>375.2</v>
      </c>
      <c r="T133" s="7" t="n">
        <v>153.9</v>
      </c>
      <c r="V133" s="7" t="n">
        <v>479.5</v>
      </c>
      <c r="X133" s="7" t="n">
        <v>241.4</v>
      </c>
      <c r="Z133" s="7" t="n">
        <v>101.2</v>
      </c>
      <c r="AB133" s="7" t="n">
        <v>3407.2</v>
      </c>
    </row>
    <row r="134">
      <c r="A134" s="4" t="inlineStr">
        <is>
          <t>车辆费</t>
        </is>
      </c>
      <c r="D134" s="7" t="n">
        <v>350.6</v>
      </c>
      <c r="F134" s="7" t="n">
        <v>401.4</v>
      </c>
      <c r="H134" s="7" t="n">
        <v>460.3</v>
      </c>
      <c r="J134" s="7" t="n">
        <v>737.7</v>
      </c>
      <c r="L134" s="7" t="n">
        <v>643.5</v>
      </c>
      <c r="N134" s="7" t="n">
        <v>1160.2</v>
      </c>
      <c r="P134" s="7" t="n">
        <v>1304.4</v>
      </c>
      <c r="R134" s="7" t="n">
        <v>888.9</v>
      </c>
      <c r="T134" s="7" t="n">
        <v>346.7</v>
      </c>
      <c r="V134" s="7" t="n">
        <v>795.1</v>
      </c>
      <c r="X134" s="7" t="n">
        <v>608</v>
      </c>
      <c r="Z134" s="7" t="n">
        <v>348.5</v>
      </c>
      <c r="AB134" s="7" t="n">
        <v>8045.3</v>
      </c>
    </row>
    <row r="135">
      <c r="A135" s="4" t="inlineStr">
        <is>
          <t>租赁费</t>
        </is>
      </c>
      <c r="D135" s="7" t="n">
        <v>2642.1</v>
      </c>
      <c r="F135" s="7" t="n">
        <v>2319.2</v>
      </c>
      <c r="H135" s="7" t="n">
        <v>3271.6</v>
      </c>
      <c r="J135" s="7" t="n">
        <v>6686.7</v>
      </c>
      <c r="L135" s="7" t="n">
        <v>4401.5</v>
      </c>
      <c r="N135" s="7" t="n">
        <v>5471.1</v>
      </c>
      <c r="P135" s="7" t="n">
        <v>8272.6</v>
      </c>
      <c r="R135" s="7" t="n">
        <v>7518.7</v>
      </c>
      <c r="T135" s="7" t="n">
        <v>3694.9</v>
      </c>
      <c r="V135" s="7" t="n">
        <v>6391</v>
      </c>
      <c r="X135" s="7" t="n">
        <v>3800.4</v>
      </c>
      <c r="Z135" s="7" t="n">
        <v>1778.4</v>
      </c>
      <c r="AB135" s="7" t="n">
        <v>56248.2</v>
      </c>
    </row>
    <row r="136">
      <c r="A136" s="4" t="inlineStr">
        <is>
          <t>能源费</t>
        </is>
      </c>
      <c r="D136" s="7" t="n">
        <v>530.7</v>
      </c>
      <c r="F136" s="7" t="n">
        <v>588</v>
      </c>
      <c r="H136" s="7" t="n">
        <v>889.3</v>
      </c>
      <c r="J136" s="7" t="n">
        <v>1295</v>
      </c>
      <c r="L136" s="7" t="n">
        <v>1268.6</v>
      </c>
      <c r="N136" s="7" t="n">
        <v>1417.7</v>
      </c>
      <c r="P136" s="7" t="n">
        <v>1682</v>
      </c>
      <c r="R136" s="7" t="n">
        <v>1368.4</v>
      </c>
      <c r="T136" s="7" t="n">
        <v>610.8</v>
      </c>
      <c r="V136" s="7" t="n">
        <v>1527.6</v>
      </c>
      <c r="X136" s="7" t="n">
        <v>944.6</v>
      </c>
      <c r="Z136" s="7" t="n">
        <v>473</v>
      </c>
      <c r="AB136" s="7" t="n">
        <v>12595.7</v>
      </c>
    </row>
    <row r="137">
      <c r="A137" s="4" t="inlineStr">
        <is>
          <t>水费</t>
        </is>
      </c>
      <c r="D137" s="7" t="n">
        <v>114.9</v>
      </c>
      <c r="F137" s="7" t="n">
        <v>182.3</v>
      </c>
      <c r="H137" s="7" t="n">
        <v>184</v>
      </c>
      <c r="J137" s="7" t="n">
        <v>420.4</v>
      </c>
      <c r="L137" s="7" t="n">
        <v>365.6</v>
      </c>
      <c r="N137" s="7" t="n">
        <v>364.8</v>
      </c>
      <c r="P137" s="7" t="n">
        <v>406.7</v>
      </c>
      <c r="R137" s="7" t="n">
        <v>344</v>
      </c>
      <c r="T137" s="7" t="n">
        <v>163.9</v>
      </c>
      <c r="V137" s="7" t="n">
        <v>457.8</v>
      </c>
      <c r="X137" s="7" t="n">
        <v>176.8</v>
      </c>
      <c r="Z137" s="7" t="n">
        <v>109.5</v>
      </c>
      <c r="AB137" s="7" t="n">
        <v>3290.7</v>
      </c>
    </row>
    <row r="138">
      <c r="A138" s="4" t="inlineStr">
        <is>
          <t>电费</t>
        </is>
      </c>
      <c r="D138" s="7" t="n">
        <v>260.8</v>
      </c>
      <c r="F138" s="7" t="n">
        <v>263.2</v>
      </c>
      <c r="H138" s="7" t="n">
        <v>519.7</v>
      </c>
      <c r="J138" s="7" t="n">
        <v>591.3</v>
      </c>
      <c r="L138" s="7" t="n">
        <v>688.3</v>
      </c>
      <c r="N138" s="7" t="n">
        <v>667.3</v>
      </c>
      <c r="P138" s="7" t="n">
        <v>891.8</v>
      </c>
      <c r="R138" s="7" t="n">
        <v>658.3</v>
      </c>
      <c r="T138" s="7" t="n">
        <v>296.8</v>
      </c>
      <c r="V138" s="7" t="n">
        <v>820</v>
      </c>
      <c r="X138" s="7" t="n">
        <v>558.9</v>
      </c>
      <c r="Z138" s="7" t="n">
        <v>281</v>
      </c>
      <c r="AB138" s="7" t="n">
        <v>6497.4</v>
      </c>
    </row>
    <row r="139">
      <c r="A139" s="4" t="inlineStr">
        <is>
          <t>燃气费</t>
        </is>
      </c>
      <c r="D139" s="7" t="n">
        <v>35.9</v>
      </c>
      <c r="F139" s="7" t="n">
        <v>23.8</v>
      </c>
      <c r="H139" s="7" t="n">
        <v>41.1</v>
      </c>
      <c r="J139" s="7" t="n">
        <v>71.2</v>
      </c>
      <c r="L139" s="7" t="n">
        <v>64.8</v>
      </c>
      <c r="N139" s="7" t="n">
        <v>67.2</v>
      </c>
      <c r="P139" s="7" t="n">
        <v>73.40000000000001</v>
      </c>
      <c r="R139" s="7" t="n">
        <v>67.09999999999999</v>
      </c>
      <c r="T139" s="7" t="n">
        <v>30.8</v>
      </c>
      <c r="V139" s="7" t="n">
        <v>70.5</v>
      </c>
      <c r="X139" s="7" t="n">
        <v>44.2</v>
      </c>
      <c r="Z139" s="7" t="n">
        <v>24.6</v>
      </c>
      <c r="AB139" s="7" t="n">
        <v>614.6</v>
      </c>
    </row>
    <row r="140">
      <c r="A140" s="4" t="inlineStr">
        <is>
          <t>蒸汽费</t>
        </is>
      </c>
      <c r="D140" s="7" t="n">
        <v>119.1</v>
      </c>
      <c r="F140" s="7" t="n">
        <v>118.7</v>
      </c>
      <c r="H140" s="7" t="n">
        <v>144.5</v>
      </c>
      <c r="J140" s="7" t="n">
        <v>212.1</v>
      </c>
      <c r="L140" s="7" t="n">
        <v>149.9</v>
      </c>
      <c r="N140" s="7" t="n">
        <v>318.4</v>
      </c>
      <c r="P140" s="7" t="n">
        <v>310.1</v>
      </c>
      <c r="R140" s="7" t="n">
        <v>299</v>
      </c>
      <c r="T140" s="7" t="n">
        <v>119.3</v>
      </c>
      <c r="V140" s="7" t="n">
        <v>179.3</v>
      </c>
      <c r="X140" s="7" t="n">
        <v>164.7</v>
      </c>
      <c r="Z140" s="7" t="n">
        <v>57.9</v>
      </c>
      <c r="AB140" s="7" t="n">
        <v>2193</v>
      </c>
    </row>
    <row r="141">
      <c r="A141" s="4" t="inlineStr">
        <is>
          <t>物业费</t>
        </is>
      </c>
      <c r="D141" s="7" t="n">
        <v>278.5</v>
      </c>
      <c r="F141" s="7" t="n">
        <v>353.9</v>
      </c>
      <c r="H141" s="7" t="n">
        <v>452.9</v>
      </c>
      <c r="J141" s="7" t="n">
        <v>848.8</v>
      </c>
      <c r="L141" s="7" t="n">
        <v>653.1</v>
      </c>
      <c r="N141" s="7" t="n">
        <v>1206.8</v>
      </c>
      <c r="P141" s="7" t="n">
        <v>1233.1</v>
      </c>
      <c r="R141" s="7" t="n">
        <v>983.7</v>
      </c>
      <c r="T141" s="7" t="n">
        <v>403.4</v>
      </c>
      <c r="V141" s="7" t="n">
        <v>713.7</v>
      </c>
      <c r="X141" s="7" t="n">
        <v>459.1</v>
      </c>
      <c r="Z141" s="7" t="n">
        <v>324.2</v>
      </c>
      <c r="AB141" s="7" t="n">
        <v>7911.2</v>
      </c>
    </row>
    <row r="142">
      <c r="A142" s="4" t="inlineStr">
        <is>
          <t>劳动保护费</t>
        </is>
      </c>
      <c r="D142" s="7" t="n">
        <v>180.4</v>
      </c>
      <c r="F142" s="7" t="n">
        <v>172.7</v>
      </c>
      <c r="H142" s="7" t="n">
        <v>281.7</v>
      </c>
      <c r="J142" s="7" t="n">
        <v>413.4</v>
      </c>
      <c r="L142" s="7" t="n">
        <v>454.9</v>
      </c>
      <c r="N142" s="7" t="n">
        <v>546.3</v>
      </c>
      <c r="P142" s="7" t="n">
        <v>595.8</v>
      </c>
      <c r="R142" s="7" t="n">
        <v>339.9</v>
      </c>
      <c r="T142" s="7" t="n">
        <v>282.2</v>
      </c>
      <c r="V142" s="7" t="n">
        <v>372.6</v>
      </c>
      <c r="X142" s="7" t="n">
        <v>246</v>
      </c>
      <c r="Z142" s="7" t="n">
        <v>132.1</v>
      </c>
      <c r="AB142" s="7" t="n">
        <v>4018</v>
      </c>
    </row>
    <row r="143">
      <c r="A143" s="4" t="inlineStr">
        <is>
          <t>顾问费</t>
        </is>
      </c>
      <c r="D143" s="7" t="n">
        <v>293.6</v>
      </c>
      <c r="F143" s="7" t="n">
        <v>256.4</v>
      </c>
      <c r="H143" s="7" t="n">
        <v>406.1</v>
      </c>
      <c r="J143" s="7" t="n">
        <v>665.3</v>
      </c>
      <c r="L143" s="7" t="n">
        <v>470.7</v>
      </c>
      <c r="N143" s="7" t="n">
        <v>530.7</v>
      </c>
      <c r="P143" s="7" t="n">
        <v>847.6</v>
      </c>
      <c r="R143" s="7" t="n">
        <v>675.3</v>
      </c>
      <c r="T143" s="7" t="n">
        <v>273</v>
      </c>
      <c r="V143" s="7" t="n">
        <v>730.9</v>
      </c>
      <c r="X143" s="7" t="n">
        <v>392</v>
      </c>
      <c r="Z143" s="7" t="n">
        <v>177.9</v>
      </c>
      <c r="AB143" s="7" t="n">
        <v>5719.5</v>
      </c>
    </row>
    <row r="144">
      <c r="A144" s="4" t="inlineStr">
        <is>
          <t>快递费</t>
        </is>
      </c>
      <c r="D144" s="7" t="n">
        <v>90</v>
      </c>
      <c r="F144" s="7" t="n">
        <v>73.8</v>
      </c>
      <c r="H144" s="7" t="n">
        <v>96.3</v>
      </c>
      <c r="J144" s="7" t="n">
        <v>162.9</v>
      </c>
      <c r="L144" s="7" t="n">
        <v>165.6</v>
      </c>
      <c r="N144" s="7" t="n">
        <v>149.5</v>
      </c>
      <c r="P144" s="7" t="n">
        <v>206.3</v>
      </c>
      <c r="R144" s="7" t="n">
        <v>201.1</v>
      </c>
      <c r="T144" s="7" t="n">
        <v>75.90000000000001</v>
      </c>
      <c r="V144" s="7" t="n">
        <v>126.6</v>
      </c>
      <c r="X144" s="7" t="n">
        <v>126.8</v>
      </c>
      <c r="Z144" s="7" t="n">
        <v>67</v>
      </c>
      <c r="AB144" s="7" t="n">
        <v>1541.8</v>
      </c>
    </row>
    <row r="145">
      <c r="A145" s="4" t="inlineStr">
        <is>
          <t>诉讼费</t>
        </is>
      </c>
      <c r="D145" s="7" t="n">
        <v>148.8</v>
      </c>
      <c r="F145" s="7" t="n">
        <v>133.8</v>
      </c>
      <c r="H145" s="7" t="n">
        <v>194.2</v>
      </c>
      <c r="J145" s="7" t="n">
        <v>346.7</v>
      </c>
      <c r="L145" s="7" t="n">
        <v>234.3</v>
      </c>
      <c r="N145" s="7" t="n">
        <v>348.6</v>
      </c>
      <c r="P145" s="7" t="n">
        <v>356.1</v>
      </c>
      <c r="R145" s="7" t="n">
        <v>228.1</v>
      </c>
      <c r="T145" s="7" t="n">
        <v>118</v>
      </c>
      <c r="V145" s="7" t="n">
        <v>292.4</v>
      </c>
      <c r="X145" s="7" t="n">
        <v>148.5</v>
      </c>
      <c r="Z145" s="7" t="n">
        <v>114.5</v>
      </c>
      <c r="AB145" s="7" t="n">
        <v>2664</v>
      </c>
    </row>
    <row r="146">
      <c r="A146" s="4" t="inlineStr">
        <is>
          <t>会员费</t>
        </is>
      </c>
      <c r="D146" s="7" t="n">
        <v>72</v>
      </c>
      <c r="F146" s="7" t="n">
        <v>67.90000000000001</v>
      </c>
      <c r="H146" s="7" t="n">
        <v>83.2</v>
      </c>
      <c r="J146" s="7" t="n">
        <v>101</v>
      </c>
      <c r="L146" s="7" t="n">
        <v>100.2</v>
      </c>
      <c r="N146" s="7" t="n">
        <v>130.5</v>
      </c>
      <c r="P146" s="7" t="n">
        <v>174.4</v>
      </c>
      <c r="R146" s="7" t="n">
        <v>118.3</v>
      </c>
      <c r="T146" s="7" t="n">
        <v>94.59999999999999</v>
      </c>
      <c r="V146" s="7" t="n">
        <v>108.7</v>
      </c>
      <c r="X146" s="7" t="n">
        <v>93.40000000000001</v>
      </c>
      <c r="Z146" s="7" t="n">
        <v>37.6</v>
      </c>
      <c r="AB146" s="7" t="n">
        <v>1181.8</v>
      </c>
    </row>
    <row r="147">
      <c r="A147" s="4" t="inlineStr">
        <is>
          <t>广告宣传费</t>
        </is>
      </c>
      <c r="D147" s="7" t="n">
        <v>2151.1</v>
      </c>
      <c r="F147" s="7" t="n">
        <v>1612.8</v>
      </c>
      <c r="H147" s="7" t="n">
        <v>1915.6</v>
      </c>
      <c r="J147" s="7" t="n">
        <v>3292.5</v>
      </c>
      <c r="L147" s="7" t="n">
        <v>2993.9</v>
      </c>
      <c r="N147" s="7" t="n">
        <v>5068.5</v>
      </c>
      <c r="P147" s="7" t="n">
        <v>5088.8</v>
      </c>
      <c r="R147" s="7" t="n">
        <v>4049.1</v>
      </c>
      <c r="T147" s="7" t="n">
        <v>2587.1</v>
      </c>
      <c r="V147" s="7" t="n">
        <v>2976.9</v>
      </c>
      <c r="X147" s="7" t="n">
        <v>2764.6</v>
      </c>
      <c r="Z147" s="7" t="n">
        <v>1160</v>
      </c>
      <c r="AB147" s="7" t="n">
        <v>35660.9</v>
      </c>
    </row>
    <row r="148">
      <c r="A148" s="4" t="inlineStr">
        <is>
          <t>会务费</t>
        </is>
      </c>
      <c r="D148" s="7" t="n">
        <v>96.09999999999999</v>
      </c>
      <c r="F148" s="7" t="n">
        <v>135.1</v>
      </c>
      <c r="H148" s="7" t="n">
        <v>171</v>
      </c>
      <c r="J148" s="7" t="n">
        <v>216.7</v>
      </c>
      <c r="L148" s="7" t="n">
        <v>223.3</v>
      </c>
      <c r="N148" s="7" t="n">
        <v>405.4</v>
      </c>
      <c r="P148" s="7" t="n">
        <v>324.5</v>
      </c>
      <c r="R148" s="7" t="n">
        <v>269.2</v>
      </c>
      <c r="T148" s="7" t="n">
        <v>163.9</v>
      </c>
      <c r="V148" s="7" t="n">
        <v>317.9</v>
      </c>
      <c r="X148" s="7" t="n">
        <v>144.4</v>
      </c>
      <c r="Z148" s="7" t="n">
        <v>115.5</v>
      </c>
      <c r="AB148" s="7" t="n">
        <v>2583</v>
      </c>
    </row>
    <row r="149">
      <c r="A149" s="4" t="inlineStr">
        <is>
          <t>装修费</t>
        </is>
      </c>
      <c r="D149" s="7" t="n">
        <v>34.8</v>
      </c>
      <c r="F149" s="7" t="n">
        <v>52.1</v>
      </c>
      <c r="H149" s="7" t="n">
        <v>69.7</v>
      </c>
      <c r="J149" s="7" t="n">
        <v>139.6</v>
      </c>
      <c r="L149" s="7" t="n">
        <v>76.7</v>
      </c>
      <c r="N149" s="7" t="n">
        <v>99.59999999999999</v>
      </c>
      <c r="P149" s="7" t="n">
        <v>151.5</v>
      </c>
      <c r="R149" s="7" t="n">
        <v>104</v>
      </c>
      <c r="T149" s="7" t="n">
        <v>61.3</v>
      </c>
      <c r="V149" s="7" t="n">
        <v>133.9</v>
      </c>
      <c r="X149" s="7" t="n">
        <v>85</v>
      </c>
      <c r="Z149" s="7" t="n">
        <v>34.9</v>
      </c>
      <c r="AB149" s="7" t="n">
        <v>1043.1</v>
      </c>
    </row>
    <row r="150">
      <c r="A150" s="4" t="inlineStr">
        <is>
          <t>推广费</t>
        </is>
      </c>
      <c r="D150" s="7" t="n">
        <v>154.9</v>
      </c>
      <c r="F150" s="7" t="n">
        <v>206.2</v>
      </c>
      <c r="H150" s="7" t="n">
        <v>211.9</v>
      </c>
      <c r="J150" s="7" t="n">
        <v>461.7</v>
      </c>
      <c r="L150" s="7" t="n">
        <v>390.1</v>
      </c>
      <c r="N150" s="7" t="n">
        <v>340.4</v>
      </c>
      <c r="P150" s="7" t="n">
        <v>459.4</v>
      </c>
      <c r="R150" s="7" t="n">
        <v>512.3</v>
      </c>
      <c r="T150" s="7" t="n">
        <v>243.8</v>
      </c>
      <c r="V150" s="7" t="n">
        <v>309.1</v>
      </c>
      <c r="X150" s="7" t="n">
        <v>302.4</v>
      </c>
      <c r="Z150" s="7" t="n">
        <v>92.59999999999999</v>
      </c>
      <c r="AB150" s="7" t="n">
        <v>3684.8</v>
      </c>
    </row>
    <row r="151">
      <c r="A151" s="4" t="inlineStr">
        <is>
          <t>展会费</t>
        </is>
      </c>
      <c r="D151" s="7" t="n">
        <v>162.9</v>
      </c>
      <c r="F151" s="7" t="n">
        <v>180.8</v>
      </c>
      <c r="H151" s="7" t="n">
        <v>192.4</v>
      </c>
      <c r="J151" s="7" t="n">
        <v>519.1</v>
      </c>
      <c r="L151" s="7" t="n">
        <v>333.7</v>
      </c>
      <c r="N151" s="7" t="n">
        <v>565.8</v>
      </c>
      <c r="P151" s="7" t="n">
        <v>515.9</v>
      </c>
      <c r="R151" s="7" t="n">
        <v>525</v>
      </c>
      <c r="T151" s="7" t="n">
        <v>192.2</v>
      </c>
      <c r="V151" s="7" t="n">
        <v>615.3</v>
      </c>
      <c r="X151" s="7" t="n">
        <v>331.6</v>
      </c>
      <c r="Z151" s="7" t="n">
        <v>185.1</v>
      </c>
      <c r="AB151" s="7" t="n">
        <v>4319.8</v>
      </c>
    </row>
    <row r="152">
      <c r="A152" s="4" t="inlineStr">
        <is>
          <t>设计费</t>
        </is>
      </c>
      <c r="D152" s="7" t="n">
        <v>86.90000000000001</v>
      </c>
      <c r="F152" s="7" t="n">
        <v>128.7</v>
      </c>
      <c r="H152" s="7" t="n">
        <v>122.6</v>
      </c>
      <c r="J152" s="7" t="n">
        <v>286</v>
      </c>
      <c r="L152" s="7" t="n">
        <v>270.7</v>
      </c>
      <c r="N152" s="7" t="n">
        <v>295.9</v>
      </c>
      <c r="P152" s="7" t="n">
        <v>359.7</v>
      </c>
      <c r="R152" s="7" t="n">
        <v>260.4</v>
      </c>
      <c r="T152" s="7" t="n">
        <v>130.5</v>
      </c>
      <c r="V152" s="7" t="n">
        <v>261.3</v>
      </c>
      <c r="X152" s="7" t="n">
        <v>150.3</v>
      </c>
      <c r="Z152" s="7" t="n">
        <v>105.4</v>
      </c>
      <c r="AB152" s="7" t="n">
        <v>2458.4</v>
      </c>
    </row>
    <row r="153">
      <c r="A153" s="4" t="inlineStr">
        <is>
          <t>折旧费</t>
        </is>
      </c>
      <c r="D153" s="7" t="n">
        <v>2931.5</v>
      </c>
      <c r="F153" s="7" t="n">
        <v>2039.8</v>
      </c>
      <c r="H153" s="7" t="n">
        <v>2320.8</v>
      </c>
      <c r="J153" s="7" t="n">
        <v>6396.6</v>
      </c>
      <c r="L153" s="7" t="n">
        <v>3850.5</v>
      </c>
      <c r="N153" s="7" t="n">
        <v>5814.5</v>
      </c>
      <c r="P153" s="7" t="n">
        <v>7551.9</v>
      </c>
      <c r="R153" s="7" t="n">
        <v>5836.2</v>
      </c>
      <c r="T153" s="7" t="n">
        <v>2555.9</v>
      </c>
      <c r="V153" s="7" t="n">
        <v>6797.6</v>
      </c>
      <c r="X153" s="7" t="n">
        <v>3960.6</v>
      </c>
      <c r="Z153" s="7" t="n">
        <v>1621.1</v>
      </c>
      <c r="AB153" s="7" t="n">
        <v>51677</v>
      </c>
    </row>
    <row r="154">
      <c r="A154" s="4" t="inlineStr">
        <is>
          <t>认证费</t>
        </is>
      </c>
      <c r="D154" s="7" t="n">
        <v>326.6</v>
      </c>
      <c r="F154" s="7" t="n">
        <v>315.8</v>
      </c>
      <c r="H154" s="7" t="n">
        <v>339</v>
      </c>
      <c r="J154" s="7" t="n">
        <v>867.5</v>
      </c>
      <c r="L154" s="7" t="n">
        <v>612.4</v>
      </c>
      <c r="N154" s="7" t="n">
        <v>1020.7</v>
      </c>
      <c r="P154" s="7" t="n">
        <v>1087.1</v>
      </c>
      <c r="R154" s="7" t="n">
        <v>687.3</v>
      </c>
      <c r="T154" s="7" t="n">
        <v>443.8</v>
      </c>
      <c r="V154" s="7" t="n">
        <v>731.7</v>
      </c>
      <c r="X154" s="7" t="n">
        <v>550.4</v>
      </c>
      <c r="Z154" s="7" t="n">
        <v>313.1</v>
      </c>
      <c r="AB154" s="7" t="n">
        <v>7295.4</v>
      </c>
    </row>
    <row r="155">
      <c r="A155" s="4" t="inlineStr">
        <is>
          <t>样品费</t>
        </is>
      </c>
      <c r="D155" s="7" t="n">
        <v>1347.2</v>
      </c>
      <c r="F155" s="7" t="n">
        <v>1223.6</v>
      </c>
      <c r="H155" s="7" t="n">
        <v>1754.1</v>
      </c>
      <c r="J155" s="7" t="n">
        <v>2983.9</v>
      </c>
      <c r="L155" s="7" t="n">
        <v>2739.4</v>
      </c>
      <c r="N155" s="7" t="n">
        <v>3264.9</v>
      </c>
      <c r="P155" s="7" t="n">
        <v>2382.7</v>
      </c>
      <c r="R155" s="7" t="n">
        <v>2816.6</v>
      </c>
      <c r="T155" s="7" t="n">
        <v>1570.9</v>
      </c>
      <c r="V155" s="7" t="n">
        <v>2690.4</v>
      </c>
      <c r="X155" s="7" t="n">
        <v>1759.5</v>
      </c>
      <c r="Z155" s="7" t="n">
        <v>922.4</v>
      </c>
      <c r="AB155" s="7" t="n">
        <v>25455.6</v>
      </c>
    </row>
    <row r="156">
      <c r="A156" s="4" t="inlineStr">
        <is>
          <t>劳务费</t>
        </is>
      </c>
      <c r="D156" s="7" t="n">
        <v>111.6</v>
      </c>
      <c r="F156" s="7" t="n">
        <v>134.2</v>
      </c>
      <c r="H156" s="7" t="n">
        <v>159.3</v>
      </c>
      <c r="J156" s="7" t="n">
        <v>323.3</v>
      </c>
      <c r="L156" s="7" t="n">
        <v>193.5</v>
      </c>
      <c r="N156" s="7" t="n">
        <v>380.2</v>
      </c>
      <c r="P156" s="7" t="n">
        <v>384.1</v>
      </c>
      <c r="R156" s="7" t="n">
        <v>264.2</v>
      </c>
      <c r="T156" s="7" t="n">
        <v>119.8</v>
      </c>
      <c r="V156" s="7" t="n">
        <v>226.4</v>
      </c>
      <c r="X156" s="7" t="n">
        <v>143.8</v>
      </c>
      <c r="Z156" s="7" t="n">
        <v>93.7</v>
      </c>
      <c r="AB156" s="7" t="n">
        <v>2534.1</v>
      </c>
    </row>
    <row r="157">
      <c r="A157" s="4" t="inlineStr">
        <is>
          <t>销售佣金</t>
        </is>
      </c>
      <c r="D157" s="7" t="n">
        <v>271</v>
      </c>
      <c r="F157" s="7" t="n">
        <v>237.2</v>
      </c>
      <c r="H157" s="7" t="n">
        <v>482.9</v>
      </c>
      <c r="J157" s="7" t="n">
        <v>816.8</v>
      </c>
      <c r="L157" s="7" t="n">
        <v>839.1</v>
      </c>
      <c r="N157" s="7" t="n">
        <v>921.2</v>
      </c>
      <c r="P157" s="7" t="n">
        <v>1019.4</v>
      </c>
      <c r="R157" s="7" t="n">
        <v>853.7</v>
      </c>
      <c r="T157" s="7" t="n">
        <v>510.2</v>
      </c>
      <c r="V157" s="7" t="n">
        <v>739.6</v>
      </c>
      <c r="X157" s="7" t="n">
        <v>427</v>
      </c>
      <c r="Z157" s="7" t="n">
        <v>317.4</v>
      </c>
      <c r="AB157" s="7" t="n">
        <v>7435.5</v>
      </c>
    </row>
    <row r="158">
      <c r="A158" s="4" t="inlineStr">
        <is>
          <t>检测费</t>
        </is>
      </c>
      <c r="D158" s="7" t="n">
        <v>64.5</v>
      </c>
      <c r="F158" s="7" t="n">
        <v>89.09999999999999</v>
      </c>
      <c r="H158" s="7" t="n">
        <v>88.2</v>
      </c>
      <c r="J158" s="7" t="n">
        <v>192.4</v>
      </c>
      <c r="L158" s="7" t="n">
        <v>194.5</v>
      </c>
      <c r="N158" s="7" t="n">
        <v>297.9</v>
      </c>
      <c r="P158" s="7" t="n">
        <v>292.4</v>
      </c>
      <c r="R158" s="7" t="n">
        <v>155.5</v>
      </c>
      <c r="T158" s="7" t="n">
        <v>85.3</v>
      </c>
      <c r="V158" s="7" t="n">
        <v>221.8</v>
      </c>
      <c r="X158" s="7" t="n">
        <v>127.2</v>
      </c>
      <c r="Z158" s="7" t="n">
        <v>80.3</v>
      </c>
      <c r="AB158" s="7" t="n">
        <v>1889.1</v>
      </c>
    </row>
    <row r="159">
      <c r="A159" s="4" t="inlineStr">
        <is>
          <t>质量赔偿</t>
        </is>
      </c>
      <c r="D159" s="7" t="n">
        <v>329.6</v>
      </c>
      <c r="F159" s="7" t="n">
        <v>392.1</v>
      </c>
      <c r="H159" s="7" t="n">
        <v>564.4</v>
      </c>
      <c r="J159" s="7" t="n">
        <v>650.9</v>
      </c>
      <c r="L159" s="7" t="n">
        <v>656.8</v>
      </c>
      <c r="N159" s="7" t="n">
        <v>927.1</v>
      </c>
      <c r="P159" s="7" t="n">
        <v>985.2</v>
      </c>
      <c r="R159" s="7" t="n">
        <v>814.6</v>
      </c>
      <c r="T159" s="7" t="n">
        <v>520.1</v>
      </c>
      <c r="V159" s="7" t="n">
        <v>1008.7</v>
      </c>
      <c r="X159" s="7" t="n">
        <v>522.3</v>
      </c>
      <c r="Z159" s="7" t="n">
        <v>329.9</v>
      </c>
      <c r="AB159" s="7" t="n">
        <v>7701.7</v>
      </c>
    </row>
    <row r="160">
      <c r="A160" s="4" t="inlineStr">
        <is>
          <t>保险费</t>
        </is>
      </c>
      <c r="D160" s="7" t="n">
        <v>49.8</v>
      </c>
      <c r="F160" s="7" t="n">
        <v>48.8</v>
      </c>
      <c r="H160" s="7" t="n">
        <v>67</v>
      </c>
      <c r="J160" s="7" t="n">
        <v>82.3</v>
      </c>
      <c r="L160" s="7" t="n">
        <v>105</v>
      </c>
      <c r="N160" s="7" t="n">
        <v>167.1</v>
      </c>
      <c r="P160" s="7" t="n">
        <v>117.8</v>
      </c>
      <c r="R160" s="7" t="n">
        <v>104.7</v>
      </c>
      <c r="T160" s="7" t="n">
        <v>43.1</v>
      </c>
      <c r="V160" s="7" t="n">
        <v>132.8</v>
      </c>
      <c r="X160" s="7" t="n">
        <v>91.09999999999999</v>
      </c>
      <c r="Z160" s="7" t="n">
        <v>29.8</v>
      </c>
      <c r="AB160" s="7" t="n">
        <v>1039.3</v>
      </c>
    </row>
    <row r="161">
      <c r="A161" s="4" t="inlineStr">
        <is>
          <t>清洁费</t>
        </is>
      </c>
      <c r="D161" s="7" t="n">
        <v>301.5</v>
      </c>
      <c r="F161" s="7" t="n">
        <v>232.8</v>
      </c>
      <c r="H161" s="7" t="n">
        <v>305.5</v>
      </c>
      <c r="J161" s="7" t="n">
        <v>722.6</v>
      </c>
      <c r="L161" s="7" t="n">
        <v>563.3</v>
      </c>
      <c r="N161" s="7" t="n">
        <v>747.2</v>
      </c>
      <c r="P161" s="7" t="n">
        <v>925</v>
      </c>
      <c r="R161" s="7" t="n">
        <v>544</v>
      </c>
      <c r="T161" s="7" t="n">
        <v>237</v>
      </c>
      <c r="V161" s="7" t="n">
        <v>739</v>
      </c>
      <c r="X161" s="7" t="n">
        <v>399.7</v>
      </c>
      <c r="Z161" s="7" t="n">
        <v>226.9</v>
      </c>
      <c r="AB161" s="7" t="n">
        <v>5944.5</v>
      </c>
    </row>
    <row r="162">
      <c r="A162" s="4" t="inlineStr">
        <is>
          <t>低值易耗品</t>
        </is>
      </c>
      <c r="D162" s="7" t="n">
        <v>258.7</v>
      </c>
      <c r="F162" s="7" t="n">
        <v>256.5</v>
      </c>
      <c r="H162" s="7" t="n">
        <v>243.1</v>
      </c>
      <c r="J162" s="7" t="n">
        <v>600.3</v>
      </c>
      <c r="L162" s="7" t="n">
        <v>392.6</v>
      </c>
      <c r="N162" s="7" t="n">
        <v>442.6</v>
      </c>
      <c r="P162" s="7" t="n">
        <v>699.9</v>
      </c>
      <c r="R162" s="7" t="n">
        <v>680.1</v>
      </c>
      <c r="T162" s="7" t="n">
        <v>226.5</v>
      </c>
      <c r="V162" s="7" t="n">
        <v>538.9</v>
      </c>
      <c r="X162" s="7" t="n">
        <v>263.4</v>
      </c>
      <c r="Z162" s="7" t="n">
        <v>211.7</v>
      </c>
      <c r="AB162" s="7" t="n">
        <v>4814.3</v>
      </c>
    </row>
    <row r="163">
      <c r="A163" s="4" t="inlineStr">
        <is>
          <t>物料消耗</t>
        </is>
      </c>
      <c r="D163" s="7" t="n">
        <v>29.1</v>
      </c>
      <c r="F163" s="7" t="n">
        <v>19.7</v>
      </c>
      <c r="H163" s="7" t="n">
        <v>26.4</v>
      </c>
      <c r="J163" s="7" t="n">
        <v>40.2</v>
      </c>
      <c r="L163" s="7" t="n">
        <v>33.6</v>
      </c>
      <c r="N163" s="7" t="n">
        <v>53.6</v>
      </c>
      <c r="P163" s="7" t="n">
        <v>77.09999999999999</v>
      </c>
      <c r="R163" s="7" t="n">
        <v>59</v>
      </c>
      <c r="T163" s="7" t="n">
        <v>30.2</v>
      </c>
      <c r="V163" s="7" t="n">
        <v>51.7</v>
      </c>
      <c r="X163" s="7" t="n">
        <v>28.2</v>
      </c>
      <c r="Z163" s="7" t="n">
        <v>16.7</v>
      </c>
      <c r="AB163" s="7" t="n">
        <v>465.5</v>
      </c>
    </row>
    <row r="164">
      <c r="A164" s="4" t="inlineStr">
        <is>
          <t>盘盈盘亏</t>
        </is>
      </c>
      <c r="D164" s="7" t="n">
        <v>468.7</v>
      </c>
      <c r="F164" s="7" t="n">
        <v>289.1</v>
      </c>
      <c r="H164" s="7" t="n">
        <v>509.9</v>
      </c>
      <c r="J164" s="7" t="n">
        <v>737.6</v>
      </c>
      <c r="L164" s="7" t="n">
        <v>688</v>
      </c>
      <c r="N164" s="7" t="n">
        <v>712</v>
      </c>
      <c r="P164" s="7" t="n">
        <v>1241.2</v>
      </c>
      <c r="R164" s="7" t="n">
        <v>689.1</v>
      </c>
      <c r="T164" s="7" t="n">
        <v>407.2</v>
      </c>
      <c r="V164" s="7" t="n">
        <v>601.3</v>
      </c>
      <c r="X164" s="7" t="n">
        <v>371.2</v>
      </c>
      <c r="Z164" s="7" t="n">
        <v>265.2</v>
      </c>
      <c r="AB164" s="7" t="n">
        <v>6980.5</v>
      </c>
    </row>
    <row r="165">
      <c r="A165" s="4" t="inlineStr">
        <is>
          <t>平台服务费</t>
        </is>
      </c>
      <c r="D165" s="7" t="n">
        <v>157.8</v>
      </c>
      <c r="F165" s="7" t="n">
        <v>111.8</v>
      </c>
      <c r="H165" s="7" t="n">
        <v>164.4</v>
      </c>
      <c r="J165" s="7" t="n">
        <v>228.9</v>
      </c>
      <c r="L165" s="7" t="n">
        <v>279.2</v>
      </c>
      <c r="N165" s="7" t="n">
        <v>312.1</v>
      </c>
      <c r="P165" s="7" t="n">
        <v>335.2</v>
      </c>
      <c r="R165" s="7" t="n">
        <v>268.3</v>
      </c>
      <c r="T165" s="7" t="n">
        <v>138.5</v>
      </c>
      <c r="V165" s="7" t="n">
        <v>246.7</v>
      </c>
      <c r="X165" s="7" t="n">
        <v>228.3</v>
      </c>
      <c r="Z165" s="7" t="n">
        <v>115.9</v>
      </c>
      <c r="AB165" s="7" t="n">
        <v>2587.1</v>
      </c>
    </row>
    <row r="166">
      <c r="A166" s="4" t="inlineStr">
        <is>
          <t>无形资产摊销</t>
        </is>
      </c>
      <c r="D166" s="7" t="n">
        <v>120.5</v>
      </c>
      <c r="F166" s="7" t="n">
        <v>95.59999999999999</v>
      </c>
      <c r="H166" s="7" t="n">
        <v>122.2</v>
      </c>
      <c r="J166" s="7" t="n">
        <v>198.5</v>
      </c>
      <c r="L166" s="7" t="n">
        <v>152.3</v>
      </c>
      <c r="N166" s="7" t="n">
        <v>317.7</v>
      </c>
      <c r="P166" s="7" t="n">
        <v>223.4</v>
      </c>
      <c r="R166" s="7" t="n">
        <v>230.7</v>
      </c>
      <c r="T166" s="7" t="n">
        <v>148.7</v>
      </c>
      <c r="V166" s="7" t="n">
        <v>311.5</v>
      </c>
      <c r="X166" s="7" t="n">
        <v>101.1</v>
      </c>
      <c r="Z166" s="7" t="n">
        <v>85.5</v>
      </c>
      <c r="AB166" s="7" t="n">
        <v>2107.7</v>
      </c>
    </row>
    <row r="167">
      <c r="A167" s="4" t="inlineStr">
        <is>
          <t>研发材料</t>
        </is>
      </c>
      <c r="D167" s="7" t="n">
        <v>397.7</v>
      </c>
      <c r="F167" s="7" t="n">
        <v>356.4</v>
      </c>
      <c r="H167" s="7" t="n">
        <v>455.1</v>
      </c>
      <c r="J167" s="7" t="n">
        <v>706.9</v>
      </c>
      <c r="L167" s="7" t="n">
        <v>794.8</v>
      </c>
      <c r="N167" s="7" t="n">
        <v>799.1</v>
      </c>
      <c r="P167" s="7" t="n">
        <v>636.8</v>
      </c>
      <c r="R167" s="7" t="n">
        <v>782.8</v>
      </c>
      <c r="T167" s="7" t="n">
        <v>454.7</v>
      </c>
      <c r="V167" s="7" t="n">
        <v>664.1</v>
      </c>
      <c r="X167" s="7" t="n">
        <v>572.4</v>
      </c>
      <c r="Z167" s="7" t="n">
        <v>237.8</v>
      </c>
      <c r="AB167" s="7" t="n">
        <v>6858.6</v>
      </c>
    </row>
    <row r="168">
      <c r="A168" s="4" t="inlineStr">
        <is>
          <t>项目名称</t>
        </is>
      </c>
      <c r="D168" s="7" t="n">
        <v>131.8</v>
      </c>
      <c r="F168" s="7" t="n">
        <v>169.2</v>
      </c>
      <c r="H168" s="7" t="n">
        <v>176.8</v>
      </c>
      <c r="J168" s="7" t="n">
        <v>260.8</v>
      </c>
      <c r="L168" s="7" t="n">
        <v>326.9</v>
      </c>
      <c r="N168" s="7" t="n">
        <v>424.3</v>
      </c>
      <c r="P168" s="7" t="n">
        <v>309.1</v>
      </c>
      <c r="R168" s="7" t="n">
        <v>381.9</v>
      </c>
      <c r="T168" s="7" t="n">
        <v>230.6</v>
      </c>
      <c r="V168" s="7" t="n">
        <v>435.4</v>
      </c>
      <c r="X168" s="7" t="n">
        <v>186.3</v>
      </c>
      <c r="Z168" s="7" t="n">
        <v>127.7</v>
      </c>
      <c r="AB168" s="7" t="n">
        <v>3160.8</v>
      </c>
    </row>
    <row r="169">
      <c r="A169" s="4" t="inlineStr">
        <is>
          <t>研发费</t>
        </is>
      </c>
      <c r="D169" s="7" t="n">
        <v>5.6</v>
      </c>
      <c r="F169" s="7" t="n">
        <v>4.6</v>
      </c>
      <c r="H169" s="7" t="n">
        <v>6.9</v>
      </c>
      <c r="J169" s="7" t="n">
        <v>10.4</v>
      </c>
      <c r="L169" s="7" t="n">
        <v>8.9</v>
      </c>
      <c r="N169" s="7" t="n">
        <v>14.8</v>
      </c>
      <c r="P169" s="7" t="n">
        <v>15.1</v>
      </c>
      <c r="R169" s="7" t="n">
        <v>11</v>
      </c>
      <c r="T169" s="7" t="n">
        <v>5.5</v>
      </c>
      <c r="V169" s="7" t="n">
        <v>13.5</v>
      </c>
      <c r="X169" s="7" t="n">
        <v>6</v>
      </c>
      <c r="Z169" s="7" t="n">
        <v>2.7</v>
      </c>
      <c r="AB169" s="7" t="n">
        <v>105</v>
      </c>
    </row>
    <row r="170">
      <c r="A170" s="4" t="inlineStr">
        <is>
          <t>残保金</t>
        </is>
      </c>
      <c r="D170" s="7" t="n">
        <v>88.5</v>
      </c>
      <c r="F170" s="7" t="n">
        <v>87.59999999999999</v>
      </c>
      <c r="H170" s="7" t="n">
        <v>110.7</v>
      </c>
      <c r="J170" s="7" t="n">
        <v>165.5</v>
      </c>
      <c r="L170" s="7" t="n">
        <v>178.4</v>
      </c>
      <c r="N170" s="7" t="n">
        <v>197</v>
      </c>
      <c r="P170" s="7" t="n">
        <v>231.4</v>
      </c>
      <c r="R170" s="7" t="n">
        <v>269.9</v>
      </c>
      <c r="T170" s="7" t="n">
        <v>114.1</v>
      </c>
      <c r="V170" s="7" t="n">
        <v>276.3</v>
      </c>
      <c r="X170" s="7" t="n">
        <v>129.4</v>
      </c>
      <c r="Z170" s="7" t="n">
        <v>76.2</v>
      </c>
      <c r="AB170" s="7" t="n">
        <v>1925</v>
      </c>
    </row>
    <row r="171">
      <c r="A171" s="4" t="inlineStr">
        <is>
          <t>环保费</t>
        </is>
      </c>
      <c r="D171" s="7" t="n">
        <v>409.5</v>
      </c>
      <c r="F171" s="7" t="n">
        <v>343.1</v>
      </c>
      <c r="H171" s="7" t="n">
        <v>509.4</v>
      </c>
      <c r="J171" s="7" t="n">
        <v>713.2</v>
      </c>
      <c r="L171" s="7" t="n">
        <v>623.6</v>
      </c>
      <c r="N171" s="7" t="n">
        <v>707.3</v>
      </c>
      <c r="P171" s="7" t="n">
        <v>928.7</v>
      </c>
      <c r="R171" s="7" t="n">
        <v>1026.6</v>
      </c>
      <c r="T171" s="7" t="n">
        <v>521.6</v>
      </c>
      <c r="V171" s="7" t="n">
        <v>659.7</v>
      </c>
      <c r="X171" s="7" t="n">
        <v>589.6</v>
      </c>
      <c r="Z171" s="7" t="n">
        <v>266.2</v>
      </c>
      <c r="AB171" s="7" t="n">
        <v>7298.5</v>
      </c>
    </row>
    <row r="172">
      <c r="A172" s="4" t="inlineStr">
        <is>
          <t>报废损失</t>
        </is>
      </c>
      <c r="D172" s="7" t="n">
        <v>71.90000000000001</v>
      </c>
      <c r="F172" s="7" t="n">
        <v>50.7</v>
      </c>
      <c r="H172" s="7" t="n">
        <v>87.90000000000001</v>
      </c>
      <c r="J172" s="7" t="n">
        <v>173.8</v>
      </c>
      <c r="L172" s="7" t="n">
        <v>91.3</v>
      </c>
      <c r="N172" s="7" t="n">
        <v>143.2</v>
      </c>
      <c r="P172" s="7" t="n">
        <v>133</v>
      </c>
      <c r="R172" s="7" t="n">
        <v>183.3</v>
      </c>
      <c r="T172" s="7" t="n">
        <v>81.90000000000001</v>
      </c>
      <c r="V172" s="7" t="n">
        <v>180</v>
      </c>
      <c r="X172" s="7" t="n">
        <v>83</v>
      </c>
      <c r="Z172" s="7" t="n">
        <v>41.3</v>
      </c>
      <c r="AB172" s="7" t="n">
        <v>1321.3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41044.8</v>
      </c>
      <c r="D173" s="7" t="n">
        <v>37844</v>
      </c>
      <c r="E173" s="7" t="n">
        <v>31923.9</v>
      </c>
      <c r="F173" s="7" t="n">
        <v>10782.2</v>
      </c>
      <c r="G173" s="7" t="n">
        <v>34037.2</v>
      </c>
      <c r="H173" s="7" t="n">
        <v>23719.1</v>
      </c>
      <c r="I173" s="7" t="n">
        <v>36254.8</v>
      </c>
      <c r="J173" s="7" t="n">
        <v>33322.5</v>
      </c>
      <c r="K173" s="7" t="n">
        <v>35300.2</v>
      </c>
      <c r="L173" s="7" t="n">
        <v>19938.9</v>
      </c>
      <c r="M173" s="7" t="n">
        <v>33588.1</v>
      </c>
      <c r="N173" s="7" t="n">
        <v>25302.1</v>
      </c>
      <c r="O173" s="7" t="n">
        <v>40539.9</v>
      </c>
      <c r="P173" s="7" t="n">
        <v>70013</v>
      </c>
      <c r="Q173" s="7" t="n">
        <v>36354.5</v>
      </c>
      <c r="R173" s="7" t="n">
        <v>55805.5</v>
      </c>
      <c r="S173" s="7" t="n">
        <v>32414.5</v>
      </c>
      <c r="T173" s="7" t="n">
        <v>38696.2</v>
      </c>
      <c r="U173" s="7" t="n">
        <v>30732.5</v>
      </c>
      <c r="V173" s="7" t="n">
        <v>49473</v>
      </c>
      <c r="W173" s="7" t="n">
        <v>36346.9</v>
      </c>
      <c r="X173" s="7" t="n">
        <v>35820.5</v>
      </c>
      <c r="Y173" s="7" t="n">
        <v>38534.3</v>
      </c>
      <c r="Z173" s="7" t="n">
        <v>32588.1</v>
      </c>
      <c r="AA173" s="8" t="n">
        <v>427071.6</v>
      </c>
      <c r="AB173" s="8" t="n">
        <v>433305.1</v>
      </c>
    </row>
    <row r="174">
      <c r="A174" s="4" t="inlineStr">
        <is>
          <t>职工薪酬</t>
        </is>
      </c>
      <c r="D174" s="7" t="n">
        <v>18975.7</v>
      </c>
      <c r="F174" s="7" t="n">
        <v>6006.4</v>
      </c>
      <c r="H174" s="7" t="n">
        <v>11216.1</v>
      </c>
      <c r="J174" s="7" t="n">
        <v>16148</v>
      </c>
      <c r="L174" s="7" t="n">
        <v>10622.8</v>
      </c>
      <c r="N174" s="7" t="n">
        <v>14072.5</v>
      </c>
      <c r="P174" s="7" t="n">
        <v>31209.6</v>
      </c>
      <c r="R174" s="7" t="n">
        <v>27631.3</v>
      </c>
      <c r="T174" s="7" t="n">
        <v>18846.6</v>
      </c>
      <c r="V174" s="7" t="n">
        <v>30430.5</v>
      </c>
      <c r="X174" s="7" t="n">
        <v>16542.2</v>
      </c>
      <c r="Z174" s="7" t="n">
        <v>18475.8</v>
      </c>
      <c r="AB174" s="7" t="n">
        <v>220177.5</v>
      </c>
    </row>
    <row r="175">
      <c r="A175" s="4" t="inlineStr">
        <is>
          <t>工资</t>
        </is>
      </c>
      <c r="D175" s="7" t="n">
        <v>10872</v>
      </c>
      <c r="F175" s="7" t="n">
        <v>3694.3</v>
      </c>
      <c r="H175" s="7" t="n">
        <v>6520.5</v>
      </c>
      <c r="J175" s="7" t="n">
        <v>10288.5</v>
      </c>
      <c r="L175" s="7" t="n">
        <v>6758.4</v>
      </c>
      <c r="N175" s="7" t="n">
        <v>8759.9</v>
      </c>
      <c r="P175" s="7" t="n">
        <v>16791.5</v>
      </c>
      <c r="R175" s="7" t="n">
        <v>15938</v>
      </c>
      <c r="T175" s="7" t="n">
        <v>11473.5</v>
      </c>
      <c r="V175" s="7" t="n">
        <v>18654.1</v>
      </c>
      <c r="X175" s="7" t="n">
        <v>8874.9</v>
      </c>
      <c r="Z175" s="7" t="n">
        <v>11825.4</v>
      </c>
      <c r="AB175" s="7" t="n">
        <v>130451</v>
      </c>
    </row>
    <row r="176">
      <c r="A176" s="4" t="inlineStr">
        <is>
          <t>奖金及提成</t>
        </is>
      </c>
      <c r="D176" s="7" t="n">
        <v>3656</v>
      </c>
      <c r="F176" s="7" t="n">
        <v>1207.5</v>
      </c>
      <c r="H176" s="7" t="n">
        <v>2206.8</v>
      </c>
      <c r="J176" s="7" t="n">
        <v>2696</v>
      </c>
      <c r="L176" s="7" t="n">
        <v>2102</v>
      </c>
      <c r="N176" s="7" t="n">
        <v>2768.9</v>
      </c>
      <c r="P176" s="7" t="n">
        <v>7598.8</v>
      </c>
      <c r="R176" s="7" t="n">
        <v>6187.9</v>
      </c>
      <c r="T176" s="7" t="n">
        <v>3571.3</v>
      </c>
      <c r="V176" s="7" t="n">
        <v>6377.2</v>
      </c>
      <c r="X176" s="7" t="n">
        <v>3645.7</v>
      </c>
      <c r="Z176" s="7" t="n">
        <v>4028.3</v>
      </c>
      <c r="AB176" s="7" t="n">
        <v>46046.4</v>
      </c>
    </row>
    <row r="177">
      <c r="A177" s="4" t="inlineStr">
        <is>
          <t>社保</t>
        </is>
      </c>
      <c r="D177" s="7" t="n">
        <v>3507.7</v>
      </c>
      <c r="F177" s="7" t="n">
        <v>846.4</v>
      </c>
      <c r="H177" s="7" t="n">
        <v>1898.3</v>
      </c>
      <c r="J177" s="7" t="n">
        <v>2337.7</v>
      </c>
      <c r="L177" s="7" t="n">
        <v>1257</v>
      </c>
      <c r="N177" s="7" t="n">
        <v>1880.2</v>
      </c>
      <c r="P177" s="7" t="n">
        <v>5136.6</v>
      </c>
      <c r="R177" s="7" t="n">
        <v>4035.5</v>
      </c>
      <c r="T177" s="7" t="n">
        <v>2747.3</v>
      </c>
      <c r="V177" s="7" t="n">
        <v>4249.6</v>
      </c>
      <c r="X177" s="7" t="n">
        <v>3026.8</v>
      </c>
      <c r="Z177" s="7" t="n">
        <v>1861.5</v>
      </c>
      <c r="AB177" s="7" t="n">
        <v>32784.6</v>
      </c>
    </row>
    <row r="178">
      <c r="A178" s="4" t="inlineStr">
        <is>
          <t>养老</t>
        </is>
      </c>
      <c r="D178" s="7" t="n">
        <v>82.59999999999999</v>
      </c>
      <c r="F178" s="7" t="n">
        <v>23.2</v>
      </c>
      <c r="H178" s="7" t="n">
        <v>74.2</v>
      </c>
      <c r="J178" s="7" t="n">
        <v>76.40000000000001</v>
      </c>
      <c r="L178" s="7" t="n">
        <v>54.1</v>
      </c>
      <c r="N178" s="7" t="n">
        <v>67.7</v>
      </c>
      <c r="P178" s="7" t="n">
        <v>193.3</v>
      </c>
      <c r="R178" s="7" t="n">
        <v>161.2</v>
      </c>
      <c r="T178" s="7" t="n">
        <v>137.4</v>
      </c>
      <c r="V178" s="7" t="n">
        <v>167.8</v>
      </c>
      <c r="X178" s="7" t="n">
        <v>82.59999999999999</v>
      </c>
      <c r="Z178" s="7" t="n">
        <v>99.5</v>
      </c>
      <c r="AB178" s="7" t="n">
        <v>1220</v>
      </c>
    </row>
    <row r="179">
      <c r="A179" s="4" t="inlineStr">
        <is>
          <t>医疗</t>
        </is>
      </c>
      <c r="D179" s="7" t="n">
        <v>102.6</v>
      </c>
      <c r="F179" s="7" t="n">
        <v>48.1</v>
      </c>
      <c r="H179" s="7" t="n">
        <v>103.2</v>
      </c>
      <c r="J179" s="7" t="n">
        <v>119.9</v>
      </c>
      <c r="L179" s="7" t="n">
        <v>89.5</v>
      </c>
      <c r="N179" s="7" t="n">
        <v>116.4</v>
      </c>
      <c r="P179" s="7" t="n">
        <v>297</v>
      </c>
      <c r="R179" s="7" t="n">
        <v>225.8</v>
      </c>
      <c r="T179" s="7" t="n">
        <v>140.9</v>
      </c>
      <c r="V179" s="7" t="n">
        <v>205</v>
      </c>
      <c r="X179" s="7" t="n">
        <v>138.9</v>
      </c>
      <c r="Z179" s="7" t="n">
        <v>145.3</v>
      </c>
      <c r="AB179" s="7" t="n">
        <v>1732.6</v>
      </c>
    </row>
    <row r="180">
      <c r="A180" s="4" t="inlineStr">
        <is>
          <t>工伤</t>
        </is>
      </c>
      <c r="D180" s="7" t="n">
        <v>256.2</v>
      </c>
      <c r="F180" s="7" t="n">
        <v>78.09999999999999</v>
      </c>
      <c r="H180" s="7" t="n">
        <v>113.7</v>
      </c>
      <c r="J180" s="7" t="n">
        <v>252.7</v>
      </c>
      <c r="L180" s="7" t="n">
        <v>122.6</v>
      </c>
      <c r="N180" s="7" t="n">
        <v>145.1</v>
      </c>
      <c r="P180" s="7" t="n">
        <v>371.3</v>
      </c>
      <c r="R180" s="7" t="n">
        <v>365.6</v>
      </c>
      <c r="T180" s="7" t="n">
        <v>323.1</v>
      </c>
      <c r="V180" s="7" t="n">
        <v>391.9</v>
      </c>
      <c r="X180" s="7" t="n">
        <v>237.4</v>
      </c>
      <c r="Z180" s="7" t="n">
        <v>226.1</v>
      </c>
      <c r="AB180" s="7" t="n">
        <v>2883.8</v>
      </c>
    </row>
    <row r="181">
      <c r="A181" s="4" t="inlineStr">
        <is>
          <t>失业</t>
        </is>
      </c>
      <c r="D181" s="7" t="n">
        <v>9.6</v>
      </c>
      <c r="F181" s="7" t="n">
        <v>2.3</v>
      </c>
      <c r="H181" s="7" t="n">
        <v>6.2</v>
      </c>
      <c r="J181" s="7" t="n">
        <v>7.9</v>
      </c>
      <c r="L181" s="7" t="n">
        <v>3.8</v>
      </c>
      <c r="N181" s="7" t="n">
        <v>6.6</v>
      </c>
      <c r="P181" s="7" t="n">
        <v>13.4</v>
      </c>
      <c r="R181" s="7" t="n">
        <v>15.3</v>
      </c>
      <c r="T181" s="7" t="n">
        <v>9.300000000000001</v>
      </c>
      <c r="V181" s="7" t="n">
        <v>16.7</v>
      </c>
      <c r="X181" s="7" t="n">
        <v>10.8</v>
      </c>
      <c r="Z181" s="7" t="n">
        <v>9.199999999999999</v>
      </c>
      <c r="AB181" s="7" t="n">
        <v>111.1</v>
      </c>
    </row>
    <row r="182">
      <c r="A182" s="4" t="inlineStr">
        <is>
          <t>生育</t>
        </is>
      </c>
      <c r="D182" s="7" t="n">
        <v>49.8</v>
      </c>
      <c r="F182" s="7" t="n">
        <v>9.800000000000001</v>
      </c>
      <c r="H182" s="7" t="n">
        <v>22.4</v>
      </c>
      <c r="J182" s="7" t="n">
        <v>36.9</v>
      </c>
      <c r="L182" s="7" t="n">
        <v>20.7</v>
      </c>
      <c r="N182" s="7" t="n">
        <v>28.2</v>
      </c>
      <c r="P182" s="7" t="n">
        <v>93.7</v>
      </c>
      <c r="R182" s="7" t="n">
        <v>78.3</v>
      </c>
      <c r="T182" s="7" t="n">
        <v>47.3</v>
      </c>
      <c r="V182" s="7" t="n">
        <v>51.1</v>
      </c>
      <c r="X182" s="7" t="n">
        <v>31.1</v>
      </c>
      <c r="Z182" s="7" t="n">
        <v>37.8</v>
      </c>
      <c r="AB182" s="7" t="n">
        <v>507.1</v>
      </c>
    </row>
    <row r="183">
      <c r="A183" s="4" t="inlineStr">
        <is>
          <t>公积金</t>
        </is>
      </c>
      <c r="D183" s="7" t="n">
        <v>136.6</v>
      </c>
      <c r="F183" s="7" t="n">
        <v>60.8</v>
      </c>
      <c r="H183" s="7" t="n">
        <v>124.2</v>
      </c>
      <c r="J183" s="7" t="n">
        <v>158</v>
      </c>
      <c r="L183" s="7" t="n">
        <v>96.09999999999999</v>
      </c>
      <c r="N183" s="7" t="n">
        <v>101.8</v>
      </c>
      <c r="P183" s="7" t="n">
        <v>235.5</v>
      </c>
      <c r="R183" s="7" t="n">
        <v>305.9</v>
      </c>
      <c r="T183" s="7" t="n">
        <v>177.7</v>
      </c>
      <c r="V183" s="7" t="n">
        <v>175.2</v>
      </c>
      <c r="X183" s="7" t="n">
        <v>166.5</v>
      </c>
      <c r="Z183" s="7" t="n">
        <v>170.8</v>
      </c>
      <c r="AB183" s="7" t="n">
        <v>1909.1</v>
      </c>
    </row>
    <row r="184">
      <c r="A184" s="4" t="inlineStr">
        <is>
          <t>工会经费</t>
        </is>
      </c>
      <c r="D184" s="7" t="n">
        <v>121</v>
      </c>
      <c r="F184" s="7" t="n">
        <v>40.4</v>
      </c>
      <c r="H184" s="7" t="n">
        <v>94.2</v>
      </c>
      <c r="J184" s="7" t="n">
        <v>115</v>
      </c>
      <c r="L184" s="7" t="n">
        <v>53.4</v>
      </c>
      <c r="N184" s="7" t="n">
        <v>102.8</v>
      </c>
      <c r="P184" s="7" t="n">
        <v>261.6</v>
      </c>
      <c r="R184" s="7" t="n">
        <v>190.1</v>
      </c>
      <c r="T184" s="7" t="n">
        <v>165.8</v>
      </c>
      <c r="V184" s="7" t="n">
        <v>158.3</v>
      </c>
      <c r="X184" s="7" t="n">
        <v>142</v>
      </c>
      <c r="Z184" s="7" t="n">
        <v>143</v>
      </c>
      <c r="AB184" s="7" t="n">
        <v>1587.6</v>
      </c>
    </row>
    <row r="185">
      <c r="A185" s="4" t="inlineStr">
        <is>
          <t>职工教育经费</t>
        </is>
      </c>
      <c r="D185" s="7" t="n">
        <v>7</v>
      </c>
      <c r="F185" s="7" t="n">
        <v>2.5</v>
      </c>
      <c r="H185" s="7" t="n">
        <v>4.4</v>
      </c>
      <c r="J185" s="7" t="n">
        <v>7.9</v>
      </c>
      <c r="L185" s="7" t="n">
        <v>3.8</v>
      </c>
      <c r="N185" s="7" t="n">
        <v>6.3</v>
      </c>
      <c r="P185" s="7" t="n">
        <v>15.7</v>
      </c>
      <c r="R185" s="7" t="n">
        <v>14.3</v>
      </c>
      <c r="T185" s="7" t="n">
        <v>7.8</v>
      </c>
      <c r="V185" s="7" t="n">
        <v>10.3</v>
      </c>
      <c r="X185" s="7" t="n">
        <v>9.699999999999999</v>
      </c>
      <c r="Z185" s="7" t="n">
        <v>8.6</v>
      </c>
      <c r="AB185" s="7" t="n">
        <v>98.3</v>
      </c>
    </row>
    <row r="186">
      <c r="A186" s="4" t="inlineStr">
        <is>
          <t>福利费</t>
        </is>
      </c>
      <c r="D186" s="7" t="n">
        <v>675.4</v>
      </c>
      <c r="F186" s="7" t="n">
        <v>154.5</v>
      </c>
      <c r="H186" s="7" t="n">
        <v>367.7</v>
      </c>
      <c r="J186" s="7" t="n">
        <v>544.9</v>
      </c>
      <c r="L186" s="7" t="n">
        <v>352.1</v>
      </c>
      <c r="N186" s="7" t="n">
        <v>452.6</v>
      </c>
      <c r="P186" s="7" t="n">
        <v>1169.9</v>
      </c>
      <c r="R186" s="7" t="n">
        <v>959.6</v>
      </c>
      <c r="T186" s="7" t="n">
        <v>703.2</v>
      </c>
      <c r="V186" s="7" t="n">
        <v>805.8</v>
      </c>
      <c r="X186" s="7" t="n">
        <v>676.6</v>
      </c>
      <c r="Z186" s="7" t="n">
        <v>438.2</v>
      </c>
      <c r="AB186" s="7" t="n">
        <v>7300.5</v>
      </c>
    </row>
    <row r="187">
      <c r="A187" s="4" t="inlineStr">
        <is>
          <t>职工房租</t>
        </is>
      </c>
      <c r="D187" s="7" t="n">
        <v>278.6</v>
      </c>
      <c r="F187" s="7" t="n">
        <v>49.8</v>
      </c>
      <c r="H187" s="7" t="n">
        <v>122.8</v>
      </c>
      <c r="J187" s="7" t="n">
        <v>182.9</v>
      </c>
      <c r="L187" s="7" t="n">
        <v>133.5</v>
      </c>
      <c r="N187" s="7" t="n">
        <v>138.5</v>
      </c>
      <c r="P187" s="7" t="n">
        <v>454.3</v>
      </c>
      <c r="R187" s="7" t="n">
        <v>367.1</v>
      </c>
      <c r="T187" s="7" t="n">
        <v>264.3</v>
      </c>
      <c r="V187" s="7" t="n">
        <v>307.3</v>
      </c>
      <c r="X187" s="7" t="n">
        <v>249.5</v>
      </c>
      <c r="Z187" s="7" t="n">
        <v>140.5</v>
      </c>
      <c r="AB187" s="7" t="n">
        <v>2689.1</v>
      </c>
    </row>
    <row r="188">
      <c r="A188" s="4" t="inlineStr">
        <is>
          <t>水电物业费</t>
        </is>
      </c>
      <c r="D188" s="7" t="n">
        <v>88.2</v>
      </c>
      <c r="F188" s="7" t="n">
        <v>25.8</v>
      </c>
      <c r="H188" s="7" t="n">
        <v>59.4</v>
      </c>
      <c r="J188" s="7" t="n">
        <v>69.40000000000001</v>
      </c>
      <c r="L188" s="7" t="n">
        <v>53.5</v>
      </c>
      <c r="N188" s="7" t="n">
        <v>50</v>
      </c>
      <c r="P188" s="7" t="n">
        <v>164.2</v>
      </c>
      <c r="R188" s="7" t="n">
        <v>122.3</v>
      </c>
      <c r="T188" s="7" t="n">
        <v>89.5</v>
      </c>
      <c r="V188" s="7" t="n">
        <v>118.1</v>
      </c>
      <c r="X188" s="7" t="n">
        <v>88.40000000000001</v>
      </c>
      <c r="Z188" s="7" t="n">
        <v>71.09999999999999</v>
      </c>
      <c r="AB188" s="7" t="n">
        <v>999.9</v>
      </c>
    </row>
    <row r="189">
      <c r="A189" s="4" t="inlineStr">
        <is>
          <t>员工餐</t>
        </is>
      </c>
      <c r="D189" s="7" t="n">
        <v>153.1</v>
      </c>
      <c r="F189" s="7" t="n">
        <v>36.5</v>
      </c>
      <c r="H189" s="7" t="n">
        <v>101.8</v>
      </c>
      <c r="J189" s="7" t="n">
        <v>156.2</v>
      </c>
      <c r="L189" s="7" t="n">
        <v>76.7</v>
      </c>
      <c r="N189" s="7" t="n">
        <v>151.3</v>
      </c>
      <c r="P189" s="7" t="n">
        <v>289.4</v>
      </c>
      <c r="R189" s="7" t="n">
        <v>230.3</v>
      </c>
      <c r="T189" s="7" t="n">
        <v>178.6</v>
      </c>
      <c r="V189" s="7" t="n">
        <v>168.6</v>
      </c>
      <c r="X189" s="7" t="n">
        <v>209</v>
      </c>
      <c r="Z189" s="7" t="n">
        <v>115.7</v>
      </c>
      <c r="AB189" s="7" t="n">
        <v>1867.2</v>
      </c>
    </row>
    <row r="190">
      <c r="A190" s="4" t="inlineStr">
        <is>
          <t>节日礼品</t>
        </is>
      </c>
      <c r="D190" s="7" t="n">
        <v>31.6</v>
      </c>
      <c r="F190" s="7" t="n">
        <v>11.7</v>
      </c>
      <c r="H190" s="7" t="n">
        <v>21.2</v>
      </c>
      <c r="J190" s="7" t="n">
        <v>24.3</v>
      </c>
      <c r="L190" s="7" t="n">
        <v>18.7</v>
      </c>
      <c r="N190" s="7" t="n">
        <v>32.7</v>
      </c>
      <c r="P190" s="7" t="n">
        <v>53.8</v>
      </c>
      <c r="R190" s="7" t="n">
        <v>60</v>
      </c>
      <c r="T190" s="7" t="n">
        <v>36.2</v>
      </c>
      <c r="V190" s="7" t="n">
        <v>62.3</v>
      </c>
      <c r="X190" s="7" t="n">
        <v>36.5</v>
      </c>
      <c r="Z190" s="7" t="n">
        <v>24.3</v>
      </c>
      <c r="AB190" s="7" t="n">
        <v>413.3</v>
      </c>
    </row>
    <row r="191">
      <c r="A191" s="4" t="inlineStr">
        <is>
          <t>生日礼品</t>
        </is>
      </c>
      <c r="D191" s="7" t="n">
        <v>10.1</v>
      </c>
      <c r="F191" s="7" t="n">
        <v>3.3</v>
      </c>
      <c r="H191" s="7" t="n">
        <v>5.7</v>
      </c>
      <c r="J191" s="7" t="n">
        <v>7.9</v>
      </c>
      <c r="L191" s="7" t="n">
        <v>3.6</v>
      </c>
      <c r="N191" s="7" t="n">
        <v>7.6</v>
      </c>
      <c r="P191" s="7" t="n">
        <v>14.4</v>
      </c>
      <c r="R191" s="7" t="n">
        <v>17.6</v>
      </c>
      <c r="T191" s="7" t="n">
        <v>11.2</v>
      </c>
      <c r="V191" s="7" t="n">
        <v>13.1</v>
      </c>
      <c r="X191" s="7" t="n">
        <v>8</v>
      </c>
      <c r="Z191" s="7" t="n">
        <v>8.1</v>
      </c>
      <c r="AB191" s="7" t="n">
        <v>110.6</v>
      </c>
    </row>
    <row r="192">
      <c r="A192" s="4" t="inlineStr">
        <is>
          <t>体检</t>
        </is>
      </c>
      <c r="D192" s="7" t="n">
        <v>84</v>
      </c>
      <c r="F192" s="7" t="n">
        <v>19.5</v>
      </c>
      <c r="H192" s="7" t="n">
        <v>35.9</v>
      </c>
      <c r="J192" s="7" t="n">
        <v>71.90000000000001</v>
      </c>
      <c r="L192" s="7" t="n">
        <v>44.6</v>
      </c>
      <c r="N192" s="7" t="n">
        <v>52.1</v>
      </c>
      <c r="P192" s="7" t="n">
        <v>115.4</v>
      </c>
      <c r="R192" s="7" t="n">
        <v>117</v>
      </c>
      <c r="T192" s="7" t="n">
        <v>85</v>
      </c>
      <c r="V192" s="7" t="n">
        <v>101.6</v>
      </c>
      <c r="X192" s="7" t="n">
        <v>45.8</v>
      </c>
      <c r="Z192" s="7" t="n">
        <v>46.8</v>
      </c>
      <c r="AB192" s="7" t="n">
        <v>819.6</v>
      </c>
    </row>
    <row r="193">
      <c r="A193" s="4" t="inlineStr">
        <is>
          <t>其他福利支出</t>
        </is>
      </c>
      <c r="D193" s="7" t="n">
        <v>29.8</v>
      </c>
      <c r="F193" s="7" t="n">
        <v>7.9</v>
      </c>
      <c r="H193" s="7" t="n">
        <v>20.9</v>
      </c>
      <c r="J193" s="7" t="n">
        <v>32.3</v>
      </c>
      <c r="L193" s="7" t="n">
        <v>21.5</v>
      </c>
      <c r="N193" s="7" t="n">
        <v>20.4</v>
      </c>
      <c r="P193" s="7" t="n">
        <v>78.40000000000001</v>
      </c>
      <c r="R193" s="7" t="n">
        <v>45.3</v>
      </c>
      <c r="T193" s="7" t="n">
        <v>38.4</v>
      </c>
      <c r="V193" s="7" t="n">
        <v>34.8</v>
      </c>
      <c r="X193" s="7" t="n">
        <v>39.4</v>
      </c>
      <c r="Z193" s="7" t="n">
        <v>31.7</v>
      </c>
      <c r="AB193" s="7" t="n">
        <v>400.8</v>
      </c>
    </row>
    <row r="194">
      <c r="A194" s="4" t="inlineStr">
        <is>
          <t>招聘费</t>
        </is>
      </c>
      <c r="D194" s="7" t="n">
        <v>138.1</v>
      </c>
      <c r="F194" s="7" t="n">
        <v>47.1</v>
      </c>
      <c r="H194" s="7" t="n">
        <v>131.6</v>
      </c>
      <c r="J194" s="7" t="n">
        <v>168.6</v>
      </c>
      <c r="L194" s="7" t="n">
        <v>71.5</v>
      </c>
      <c r="N194" s="7" t="n">
        <v>79.40000000000001</v>
      </c>
      <c r="P194" s="7" t="n">
        <v>316</v>
      </c>
      <c r="R194" s="7" t="n">
        <v>182.6</v>
      </c>
      <c r="T194" s="7" t="n">
        <v>174.1</v>
      </c>
      <c r="V194" s="7" t="n">
        <v>269.3</v>
      </c>
      <c r="X194" s="7" t="n">
        <v>170.7</v>
      </c>
      <c r="Z194" s="7" t="n">
        <v>153.7</v>
      </c>
      <c r="AB194" s="7" t="n">
        <v>1902.7</v>
      </c>
    </row>
    <row r="195">
      <c r="A195" s="4" t="inlineStr">
        <is>
          <t>办公费</t>
        </is>
      </c>
      <c r="D195" s="7" t="n">
        <v>1473.1</v>
      </c>
      <c r="F195" s="7" t="n">
        <v>270.4</v>
      </c>
      <c r="H195" s="7" t="n">
        <v>572.8</v>
      </c>
      <c r="J195" s="7" t="n">
        <v>754</v>
      </c>
      <c r="L195" s="7" t="n">
        <v>725.4</v>
      </c>
      <c r="N195" s="7" t="n">
        <v>866.7</v>
      </c>
      <c r="P195" s="7" t="n">
        <v>1557.2</v>
      </c>
      <c r="R195" s="7" t="n">
        <v>1520.4</v>
      </c>
      <c r="T195" s="7" t="n">
        <v>1327.3</v>
      </c>
      <c r="V195" s="7" t="n">
        <v>1517.6</v>
      </c>
      <c r="X195" s="7" t="n">
        <v>1128.2</v>
      </c>
      <c r="Z195" s="7" t="n">
        <v>1151.9</v>
      </c>
      <c r="AB195" s="7" t="n">
        <v>12865</v>
      </c>
    </row>
    <row r="196">
      <c r="A196" s="4" t="inlineStr">
        <is>
          <t>市内交通费</t>
        </is>
      </c>
      <c r="D196" s="7" t="n">
        <v>5.8</v>
      </c>
      <c r="F196" s="7" t="n">
        <v>1.4</v>
      </c>
      <c r="H196" s="7" t="n">
        <v>3.3</v>
      </c>
      <c r="J196" s="7" t="n">
        <v>4.9</v>
      </c>
      <c r="L196" s="7" t="n">
        <v>3.1</v>
      </c>
      <c r="N196" s="7" t="n">
        <v>3.4</v>
      </c>
      <c r="P196" s="7" t="n">
        <v>8.9</v>
      </c>
      <c r="R196" s="7" t="n">
        <v>6.8</v>
      </c>
      <c r="T196" s="7" t="n">
        <v>7</v>
      </c>
      <c r="V196" s="7" t="n">
        <v>8.1</v>
      </c>
      <c r="X196" s="7" t="n">
        <v>5.8</v>
      </c>
      <c r="Z196" s="7" t="n">
        <v>5.6</v>
      </c>
      <c r="AB196" s="7" t="n">
        <v>64.09999999999999</v>
      </c>
    </row>
    <row r="197">
      <c r="A197" s="4" t="inlineStr">
        <is>
          <t>差旅费</t>
        </is>
      </c>
      <c r="D197" s="7" t="n">
        <v>2845</v>
      </c>
      <c r="F197" s="7" t="n">
        <v>641.9</v>
      </c>
      <c r="H197" s="7" t="n">
        <v>1628.7</v>
      </c>
      <c r="J197" s="7" t="n">
        <v>2507.2</v>
      </c>
      <c r="L197" s="7" t="n">
        <v>1275.1</v>
      </c>
      <c r="N197" s="7" t="n">
        <v>1449.5</v>
      </c>
      <c r="P197" s="7" t="n">
        <v>4054.5</v>
      </c>
      <c r="R197" s="7" t="n">
        <v>3020.2</v>
      </c>
      <c r="T197" s="7" t="n">
        <v>2946.3</v>
      </c>
      <c r="V197" s="7" t="n">
        <v>3676.4</v>
      </c>
      <c r="X197" s="7" t="n">
        <v>1603.7</v>
      </c>
      <c r="Z197" s="7" t="n">
        <v>2148.2</v>
      </c>
      <c r="AB197" s="7" t="n">
        <v>27796.7</v>
      </c>
    </row>
    <row r="198">
      <c r="A198" s="4" t="inlineStr">
        <is>
          <t>交通费</t>
        </is>
      </c>
      <c r="D198" s="7" t="n">
        <v>103.5</v>
      </c>
      <c r="F198" s="7" t="n">
        <v>31.1</v>
      </c>
      <c r="H198" s="7" t="n">
        <v>79.59999999999999</v>
      </c>
      <c r="J198" s="7" t="n">
        <v>109.1</v>
      </c>
      <c r="L198" s="7" t="n">
        <v>40.2</v>
      </c>
      <c r="N198" s="7" t="n">
        <v>78.7</v>
      </c>
      <c r="P198" s="7" t="n">
        <v>163.4</v>
      </c>
      <c r="R198" s="7" t="n">
        <v>127.9</v>
      </c>
      <c r="T198" s="7" t="n">
        <v>101.4</v>
      </c>
      <c r="V198" s="7" t="n">
        <v>146.9</v>
      </c>
      <c r="X198" s="7" t="n">
        <v>69.8</v>
      </c>
      <c r="Z198" s="7" t="n">
        <v>91.09999999999999</v>
      </c>
      <c r="AB198" s="7" t="n">
        <v>1142.7</v>
      </c>
    </row>
    <row r="199">
      <c r="A199" s="4" t="inlineStr">
        <is>
          <t>住宿费</t>
        </is>
      </c>
      <c r="D199" s="7" t="n">
        <v>166.7</v>
      </c>
      <c r="F199" s="7" t="n">
        <v>57.3</v>
      </c>
      <c r="H199" s="7" t="n">
        <v>123.3</v>
      </c>
      <c r="J199" s="7" t="n">
        <v>127.8</v>
      </c>
      <c r="L199" s="7" t="n">
        <v>138.7</v>
      </c>
      <c r="N199" s="7" t="n">
        <v>143</v>
      </c>
      <c r="P199" s="7" t="n">
        <v>424.5</v>
      </c>
      <c r="R199" s="7" t="n">
        <v>231.9</v>
      </c>
      <c r="T199" s="7" t="n">
        <v>195.6</v>
      </c>
      <c r="V199" s="7" t="n">
        <v>291.3</v>
      </c>
      <c r="X199" s="7" t="n">
        <v>249.2</v>
      </c>
      <c r="Z199" s="7" t="n">
        <v>224</v>
      </c>
      <c r="AB199" s="7" t="n">
        <v>2373.3</v>
      </c>
    </row>
    <row r="200">
      <c r="A200" s="4" t="inlineStr">
        <is>
          <t>餐补</t>
        </is>
      </c>
      <c r="D200" s="7" t="n">
        <v>137.2</v>
      </c>
      <c r="F200" s="7" t="n">
        <v>43.1</v>
      </c>
      <c r="H200" s="7" t="n">
        <v>153.1</v>
      </c>
      <c r="J200" s="7" t="n">
        <v>182</v>
      </c>
      <c r="L200" s="7" t="n">
        <v>129.1</v>
      </c>
      <c r="N200" s="7" t="n">
        <v>147</v>
      </c>
      <c r="P200" s="7" t="n">
        <v>369.8</v>
      </c>
      <c r="R200" s="7" t="n">
        <v>306.7</v>
      </c>
      <c r="T200" s="7" t="n">
        <v>182</v>
      </c>
      <c r="V200" s="7" t="n">
        <v>297.9</v>
      </c>
      <c r="X200" s="7" t="n">
        <v>139.4</v>
      </c>
      <c r="Z200" s="7" t="n">
        <v>203.3</v>
      </c>
      <c r="AB200" s="7" t="n">
        <v>2290.6</v>
      </c>
    </row>
    <row r="201">
      <c r="A201" s="4" t="inlineStr">
        <is>
          <t>交通补助</t>
        </is>
      </c>
      <c r="D201" s="7" t="n">
        <v>100.2</v>
      </c>
      <c r="F201" s="7" t="n">
        <v>22.7</v>
      </c>
      <c r="H201" s="7" t="n">
        <v>74.2</v>
      </c>
      <c r="J201" s="7" t="n">
        <v>117.5</v>
      </c>
      <c r="L201" s="7" t="n">
        <v>51.5</v>
      </c>
      <c r="N201" s="7" t="n">
        <v>87.7</v>
      </c>
      <c r="P201" s="7" t="n">
        <v>133.7</v>
      </c>
      <c r="R201" s="7" t="n">
        <v>197.5</v>
      </c>
      <c r="T201" s="7" t="n">
        <v>121.1</v>
      </c>
      <c r="V201" s="7" t="n">
        <v>168.4</v>
      </c>
      <c r="X201" s="7" t="n">
        <v>84.59999999999999</v>
      </c>
      <c r="Z201" s="7" t="n">
        <v>105.4</v>
      </c>
      <c r="AB201" s="7" t="n">
        <v>1264.5</v>
      </c>
    </row>
    <row r="202">
      <c r="A202" s="4" t="inlineStr">
        <is>
          <t>通讯补助</t>
        </is>
      </c>
      <c r="D202" s="7" t="n">
        <v>178.6</v>
      </c>
      <c r="F202" s="7" t="n">
        <v>78.8</v>
      </c>
      <c r="H202" s="7" t="n">
        <v>111.4</v>
      </c>
      <c r="J202" s="7" t="n">
        <v>223.2</v>
      </c>
      <c r="L202" s="7" t="n">
        <v>155.1</v>
      </c>
      <c r="N202" s="7" t="n">
        <v>131.7</v>
      </c>
      <c r="P202" s="7" t="n">
        <v>445.6</v>
      </c>
      <c r="R202" s="7" t="n">
        <v>244.1</v>
      </c>
      <c r="T202" s="7" t="n">
        <v>290</v>
      </c>
      <c r="V202" s="7" t="n">
        <v>246.8</v>
      </c>
      <c r="X202" s="7" t="n">
        <v>208.4</v>
      </c>
      <c r="Z202" s="7" t="n">
        <v>187.9</v>
      </c>
      <c r="AB202" s="7" t="n">
        <v>2501.6</v>
      </c>
    </row>
    <row r="203">
      <c r="A203" s="4" t="inlineStr">
        <is>
          <t>招待费</t>
        </is>
      </c>
      <c r="D203" s="7" t="n">
        <v>1260.1</v>
      </c>
      <c r="F203" s="7" t="n">
        <v>410.8</v>
      </c>
      <c r="H203" s="7" t="n">
        <v>868</v>
      </c>
      <c r="J203" s="7" t="n">
        <v>1525.1</v>
      </c>
      <c r="L203" s="7" t="n">
        <v>603.2</v>
      </c>
      <c r="N203" s="7" t="n">
        <v>1233.3</v>
      </c>
      <c r="P203" s="7" t="n">
        <v>2992.5</v>
      </c>
      <c r="R203" s="7" t="n">
        <v>2001</v>
      </c>
      <c r="T203" s="7" t="n">
        <v>1673.8</v>
      </c>
      <c r="V203" s="7" t="n">
        <v>1713</v>
      </c>
      <c r="X203" s="7" t="n">
        <v>1350</v>
      </c>
      <c r="Z203" s="7" t="n">
        <v>1127</v>
      </c>
      <c r="AB203" s="7" t="n">
        <v>16757.8</v>
      </c>
    </row>
    <row r="204">
      <c r="A204" s="4" t="inlineStr">
        <is>
          <t>通讯费</t>
        </is>
      </c>
      <c r="D204" s="7" t="n">
        <v>5.3</v>
      </c>
      <c r="F204" s="7" t="n">
        <v>1.6</v>
      </c>
      <c r="H204" s="7" t="n">
        <v>5.1</v>
      </c>
      <c r="J204" s="7" t="n">
        <v>4.3</v>
      </c>
      <c r="L204" s="7" t="n">
        <v>3.1</v>
      </c>
      <c r="N204" s="7" t="n">
        <v>4.2</v>
      </c>
      <c r="P204" s="7" t="n">
        <v>11.3</v>
      </c>
      <c r="R204" s="7" t="n">
        <v>12.1</v>
      </c>
      <c r="T204" s="7" t="n">
        <v>5.4</v>
      </c>
      <c r="V204" s="7" t="n">
        <v>10.3</v>
      </c>
      <c r="X204" s="7" t="n">
        <v>7.5</v>
      </c>
      <c r="Z204" s="7" t="n">
        <v>4.4</v>
      </c>
      <c r="AB204" s="7" t="n">
        <v>74.59999999999999</v>
      </c>
    </row>
    <row r="205">
      <c r="A205" s="4" t="inlineStr">
        <is>
          <t>网络费</t>
        </is>
      </c>
      <c r="D205" s="7" t="n">
        <v>94.59999999999999</v>
      </c>
      <c r="F205" s="7" t="n">
        <v>21.1</v>
      </c>
      <c r="H205" s="7" t="n">
        <v>49.6</v>
      </c>
      <c r="J205" s="7" t="n">
        <v>87.2</v>
      </c>
      <c r="L205" s="7" t="n">
        <v>58.7</v>
      </c>
      <c r="N205" s="7" t="n">
        <v>58.2</v>
      </c>
      <c r="P205" s="7" t="n">
        <v>218.9</v>
      </c>
      <c r="R205" s="7" t="n">
        <v>130.4</v>
      </c>
      <c r="T205" s="7" t="n">
        <v>103.9</v>
      </c>
      <c r="V205" s="7" t="n">
        <v>112.2</v>
      </c>
      <c r="X205" s="7" t="n">
        <v>94.59999999999999</v>
      </c>
      <c r="Z205" s="7" t="n">
        <v>65.2</v>
      </c>
      <c r="AB205" s="7" t="n">
        <v>1094.6</v>
      </c>
    </row>
    <row r="206">
      <c r="A206" s="4" t="inlineStr">
        <is>
          <t>修理费</t>
        </is>
      </c>
      <c r="D206" s="7" t="n">
        <v>50.4</v>
      </c>
      <c r="F206" s="7" t="n">
        <v>12</v>
      </c>
      <c r="H206" s="7" t="n">
        <v>34.9</v>
      </c>
      <c r="J206" s="7" t="n">
        <v>47.4</v>
      </c>
      <c r="L206" s="7" t="n">
        <v>21</v>
      </c>
      <c r="N206" s="7" t="n">
        <v>22</v>
      </c>
      <c r="P206" s="7" t="n">
        <v>69.59999999999999</v>
      </c>
      <c r="R206" s="7" t="n">
        <v>81.2</v>
      </c>
      <c r="T206" s="7" t="n">
        <v>54.5</v>
      </c>
      <c r="V206" s="7" t="n">
        <v>70.5</v>
      </c>
      <c r="X206" s="7" t="n">
        <v>38.4</v>
      </c>
      <c r="Z206" s="7" t="n">
        <v>50.1</v>
      </c>
      <c r="AB206" s="7" t="n">
        <v>552</v>
      </c>
    </row>
    <row r="207">
      <c r="A207" s="4" t="inlineStr">
        <is>
          <t>车辆费</t>
        </is>
      </c>
      <c r="D207" s="7" t="n">
        <v>166.1</v>
      </c>
      <c r="F207" s="7" t="n">
        <v>38.8</v>
      </c>
      <c r="H207" s="7" t="n">
        <v>130.9</v>
      </c>
      <c r="J207" s="7" t="n">
        <v>133.9</v>
      </c>
      <c r="L207" s="7" t="n">
        <v>122.6</v>
      </c>
      <c r="N207" s="7" t="n">
        <v>157.9</v>
      </c>
      <c r="P207" s="7" t="n">
        <v>398.3</v>
      </c>
      <c r="R207" s="7" t="n">
        <v>341.3</v>
      </c>
      <c r="T207" s="7" t="n">
        <v>160.9</v>
      </c>
      <c r="V207" s="7" t="n">
        <v>248.2</v>
      </c>
      <c r="X207" s="7" t="n">
        <v>172.5</v>
      </c>
      <c r="Z207" s="7" t="n">
        <v>128.3</v>
      </c>
      <c r="AB207" s="7" t="n">
        <v>2199.7</v>
      </c>
    </row>
    <row r="208">
      <c r="A208" s="4" t="inlineStr">
        <is>
          <t>租赁费</t>
        </is>
      </c>
      <c r="D208" s="7" t="n">
        <v>2358.4</v>
      </c>
      <c r="F208" s="7" t="n">
        <v>451.4</v>
      </c>
      <c r="H208" s="7" t="n">
        <v>830.7</v>
      </c>
      <c r="J208" s="7" t="n">
        <v>1635</v>
      </c>
      <c r="L208" s="7" t="n">
        <v>842.1</v>
      </c>
      <c r="N208" s="7" t="n">
        <v>1062.8</v>
      </c>
      <c r="P208" s="7" t="n">
        <v>2981.2</v>
      </c>
      <c r="R208" s="7" t="n">
        <v>2557.9</v>
      </c>
      <c r="T208" s="7" t="n">
        <v>1793.1</v>
      </c>
      <c r="V208" s="7" t="n">
        <v>2828.3</v>
      </c>
      <c r="X208" s="7" t="n">
        <v>1343.7</v>
      </c>
      <c r="Z208" s="7" t="n">
        <v>1811.9</v>
      </c>
      <c r="AB208" s="7" t="n">
        <v>20496.5</v>
      </c>
    </row>
    <row r="209">
      <c r="A209" s="4" t="inlineStr">
        <is>
          <t>能源费</t>
        </is>
      </c>
      <c r="D209" s="7" t="n">
        <v>320.1</v>
      </c>
      <c r="F209" s="7" t="n">
        <v>84.2</v>
      </c>
      <c r="H209" s="7" t="n">
        <v>160.5</v>
      </c>
      <c r="J209" s="7" t="n">
        <v>282.5</v>
      </c>
      <c r="L209" s="7" t="n">
        <v>166.9</v>
      </c>
      <c r="N209" s="7" t="n">
        <v>185.2</v>
      </c>
      <c r="P209" s="7" t="n">
        <v>533.1</v>
      </c>
      <c r="R209" s="7" t="n">
        <v>460.4</v>
      </c>
      <c r="T209" s="7" t="n">
        <v>329</v>
      </c>
      <c r="V209" s="7" t="n">
        <v>380.2</v>
      </c>
      <c r="X209" s="7" t="n">
        <v>364.9</v>
      </c>
      <c r="Z209" s="7" t="n">
        <v>269.7</v>
      </c>
      <c r="AB209" s="7" t="n">
        <v>3536.7</v>
      </c>
    </row>
    <row r="210">
      <c r="A210" s="4" t="inlineStr">
        <is>
          <t>水费</t>
        </is>
      </c>
      <c r="D210" s="7" t="n">
        <v>1.4</v>
      </c>
      <c r="F210" s="7" t="n">
        <v>0.5</v>
      </c>
      <c r="H210" s="7" t="n">
        <v>1.1</v>
      </c>
      <c r="J210" s="7" t="n">
        <v>1.8</v>
      </c>
      <c r="L210" s="7" t="n">
        <v>1</v>
      </c>
      <c r="N210" s="7" t="n">
        <v>1</v>
      </c>
      <c r="P210" s="7" t="n">
        <v>3</v>
      </c>
      <c r="R210" s="7" t="n">
        <v>3.3</v>
      </c>
      <c r="T210" s="7" t="n">
        <v>2.4</v>
      </c>
      <c r="V210" s="7" t="n">
        <v>2.6</v>
      </c>
      <c r="X210" s="7" t="n">
        <v>1.4</v>
      </c>
      <c r="Z210" s="7" t="n">
        <v>2</v>
      </c>
      <c r="AB210" s="7" t="n">
        <v>21.5</v>
      </c>
    </row>
    <row r="211">
      <c r="A211" s="4" t="inlineStr">
        <is>
          <t>电费</t>
        </is>
      </c>
      <c r="D211" s="7" t="n">
        <v>170.1</v>
      </c>
      <c r="F211" s="7" t="n">
        <v>28.5</v>
      </c>
      <c r="H211" s="7" t="n">
        <v>68.7</v>
      </c>
      <c r="J211" s="7" t="n">
        <v>87.90000000000001</v>
      </c>
      <c r="L211" s="7" t="n">
        <v>52.9</v>
      </c>
      <c r="N211" s="7" t="n">
        <v>65.7</v>
      </c>
      <c r="P211" s="7" t="n">
        <v>206</v>
      </c>
      <c r="R211" s="7" t="n">
        <v>193.9</v>
      </c>
      <c r="T211" s="7" t="n">
        <v>128.9</v>
      </c>
      <c r="V211" s="7" t="n">
        <v>187.6</v>
      </c>
      <c r="X211" s="7" t="n">
        <v>159.5</v>
      </c>
      <c r="Z211" s="7" t="n">
        <v>81.2</v>
      </c>
      <c r="AB211" s="7" t="n">
        <v>1430.9</v>
      </c>
    </row>
    <row r="212">
      <c r="A212" s="4" t="inlineStr">
        <is>
          <t>燃气费</t>
        </is>
      </c>
      <c r="D212" s="7" t="n">
        <v>147.9</v>
      </c>
      <c r="F212" s="7" t="n">
        <v>55</v>
      </c>
      <c r="H212" s="7" t="n">
        <v>90.3</v>
      </c>
      <c r="J212" s="7" t="n">
        <v>192.4</v>
      </c>
      <c r="L212" s="7" t="n">
        <v>112.6</v>
      </c>
      <c r="N212" s="7" t="n">
        <v>118.2</v>
      </c>
      <c r="P212" s="7" t="n">
        <v>322.8</v>
      </c>
      <c r="R212" s="7" t="n">
        <v>262.5</v>
      </c>
      <c r="T212" s="7" t="n">
        <v>197</v>
      </c>
      <c r="V212" s="7" t="n">
        <v>189.5</v>
      </c>
      <c r="X212" s="7" t="n">
        <v>203.6</v>
      </c>
      <c r="Z212" s="7" t="n">
        <v>186.1</v>
      </c>
      <c r="AB212" s="7" t="n">
        <v>2077.9</v>
      </c>
    </row>
    <row r="213">
      <c r="A213" s="4" t="inlineStr">
        <is>
          <t>蒸汽费</t>
        </is>
      </c>
      <c r="D213" s="7" t="n">
        <v>0.7</v>
      </c>
      <c r="F213" s="7" t="n">
        <v>0.2</v>
      </c>
      <c r="H213" s="7" t="n">
        <v>0.4</v>
      </c>
      <c r="J213" s="7" t="n">
        <v>0.4</v>
      </c>
      <c r="L213" s="7" t="n">
        <v>0.4</v>
      </c>
      <c r="N213" s="7" t="n">
        <v>0.3</v>
      </c>
      <c r="P213" s="7" t="n">
        <v>1.3</v>
      </c>
      <c r="R213" s="7" t="n">
        <v>0.7</v>
      </c>
      <c r="T213" s="7" t="n">
        <v>0.7</v>
      </c>
      <c r="V213" s="7" t="n">
        <v>0.5</v>
      </c>
      <c r="X213" s="7" t="n">
        <v>0.4</v>
      </c>
      <c r="Z213" s="7" t="n">
        <v>0.4</v>
      </c>
      <c r="AB213" s="7" t="n">
        <v>6.4</v>
      </c>
    </row>
    <row r="214">
      <c r="A214" s="4" t="inlineStr">
        <is>
          <t>物业费</t>
        </is>
      </c>
      <c r="D214" s="7" t="n">
        <v>17.2</v>
      </c>
      <c r="F214" s="7" t="n">
        <v>3.7</v>
      </c>
      <c r="H214" s="7" t="n">
        <v>7.6</v>
      </c>
      <c r="J214" s="7" t="n">
        <v>12.9</v>
      </c>
      <c r="L214" s="7" t="n">
        <v>9</v>
      </c>
      <c r="N214" s="7" t="n">
        <v>11.2</v>
      </c>
      <c r="P214" s="7" t="n">
        <v>17.7</v>
      </c>
      <c r="R214" s="7" t="n">
        <v>17.8</v>
      </c>
      <c r="T214" s="7" t="n">
        <v>16.5</v>
      </c>
      <c r="V214" s="7" t="n">
        <v>14.1</v>
      </c>
      <c r="X214" s="7" t="n">
        <v>14.6</v>
      </c>
      <c r="Z214" s="7" t="n">
        <v>8.800000000000001</v>
      </c>
      <c r="AB214" s="7" t="n">
        <v>151.1</v>
      </c>
    </row>
    <row r="215">
      <c r="A215" s="4" t="inlineStr">
        <is>
          <t>劳动保护费</t>
        </is>
      </c>
      <c r="D215" s="7" t="n">
        <v>140.1</v>
      </c>
      <c r="F215" s="7" t="n">
        <v>52.7</v>
      </c>
      <c r="H215" s="7" t="n">
        <v>88.5</v>
      </c>
      <c r="J215" s="7" t="n">
        <v>153.1</v>
      </c>
      <c r="L215" s="7" t="n">
        <v>88</v>
      </c>
      <c r="N215" s="7" t="n">
        <v>149.5</v>
      </c>
      <c r="P215" s="7" t="n">
        <v>376.3</v>
      </c>
      <c r="R215" s="7" t="n">
        <v>205.2</v>
      </c>
      <c r="T215" s="7" t="n">
        <v>258</v>
      </c>
      <c r="V215" s="7" t="n">
        <v>240.7</v>
      </c>
      <c r="X215" s="7" t="n">
        <v>228.8</v>
      </c>
      <c r="Z215" s="7" t="n">
        <v>138.7</v>
      </c>
      <c r="AB215" s="7" t="n">
        <v>2119.6</v>
      </c>
    </row>
    <row r="216">
      <c r="A216" s="4" t="inlineStr">
        <is>
          <t>顾问费</t>
        </is>
      </c>
      <c r="D216" s="7" t="n">
        <v>144.1</v>
      </c>
      <c r="F216" s="7" t="n">
        <v>40.9</v>
      </c>
      <c r="H216" s="7" t="n">
        <v>90</v>
      </c>
      <c r="J216" s="7" t="n">
        <v>116.8</v>
      </c>
      <c r="L216" s="7" t="n">
        <v>125.3</v>
      </c>
      <c r="N216" s="7" t="n">
        <v>103.1</v>
      </c>
      <c r="P216" s="7" t="n">
        <v>437.1</v>
      </c>
      <c r="R216" s="7" t="n">
        <v>210.8</v>
      </c>
      <c r="T216" s="7" t="n">
        <v>206.4</v>
      </c>
      <c r="V216" s="7" t="n">
        <v>174.9</v>
      </c>
      <c r="X216" s="7" t="n">
        <v>161.1</v>
      </c>
      <c r="Z216" s="7" t="n">
        <v>172.9</v>
      </c>
      <c r="AB216" s="7" t="n">
        <v>1983.4</v>
      </c>
    </row>
    <row r="217">
      <c r="A217" s="4" t="inlineStr">
        <is>
          <t>快递费</t>
        </is>
      </c>
      <c r="D217" s="7" t="n">
        <v>26</v>
      </c>
      <c r="F217" s="7" t="n">
        <v>7.2</v>
      </c>
      <c r="H217" s="7" t="n">
        <v>10.8</v>
      </c>
      <c r="J217" s="7" t="n">
        <v>15.6</v>
      </c>
      <c r="L217" s="7" t="n">
        <v>14.4</v>
      </c>
      <c r="N217" s="7" t="n">
        <v>13.5</v>
      </c>
      <c r="P217" s="7" t="n">
        <v>38.8</v>
      </c>
      <c r="R217" s="7" t="n">
        <v>29.2</v>
      </c>
      <c r="T217" s="7" t="n">
        <v>18.5</v>
      </c>
      <c r="V217" s="7" t="n">
        <v>26</v>
      </c>
      <c r="X217" s="7" t="n">
        <v>18.1</v>
      </c>
      <c r="Z217" s="7" t="n">
        <v>16.5</v>
      </c>
      <c r="AB217" s="7" t="n">
        <v>234.6</v>
      </c>
    </row>
    <row r="218">
      <c r="A218" s="4" t="inlineStr">
        <is>
          <t>诉讼费</t>
        </is>
      </c>
      <c r="D218" s="7" t="n">
        <v>120.7</v>
      </c>
      <c r="F218" s="7" t="n">
        <v>31.6</v>
      </c>
      <c r="H218" s="7" t="n">
        <v>46.8</v>
      </c>
      <c r="J218" s="7" t="n">
        <v>94.3</v>
      </c>
      <c r="L218" s="7" t="n">
        <v>42.2</v>
      </c>
      <c r="N218" s="7" t="n">
        <v>75.40000000000001</v>
      </c>
      <c r="P218" s="7" t="n">
        <v>164.7</v>
      </c>
      <c r="R218" s="7" t="n">
        <v>120.6</v>
      </c>
      <c r="T218" s="7" t="n">
        <v>74.59999999999999</v>
      </c>
      <c r="V218" s="7" t="n">
        <v>108.5</v>
      </c>
      <c r="X218" s="7" t="n">
        <v>89</v>
      </c>
      <c r="Z218" s="7" t="n">
        <v>71.2</v>
      </c>
      <c r="AB218" s="7" t="n">
        <v>1039.6</v>
      </c>
    </row>
    <row r="219">
      <c r="A219" s="4" t="inlineStr">
        <is>
          <t>会员费</t>
        </is>
      </c>
      <c r="D219" s="7" t="n">
        <v>212.7</v>
      </c>
      <c r="F219" s="7" t="n">
        <v>54.4</v>
      </c>
      <c r="H219" s="7" t="n">
        <v>87.90000000000001</v>
      </c>
      <c r="J219" s="7" t="n">
        <v>150.8</v>
      </c>
      <c r="L219" s="7" t="n">
        <v>105.9</v>
      </c>
      <c r="N219" s="7" t="n">
        <v>127.8</v>
      </c>
      <c r="P219" s="7" t="n">
        <v>317.7</v>
      </c>
      <c r="R219" s="7" t="n">
        <v>337.6</v>
      </c>
      <c r="T219" s="7" t="n">
        <v>232.2</v>
      </c>
      <c r="V219" s="7" t="n">
        <v>273.9</v>
      </c>
      <c r="X219" s="7" t="n">
        <v>172.6</v>
      </c>
      <c r="Z219" s="7" t="n">
        <v>165.4</v>
      </c>
      <c r="AB219" s="7" t="n">
        <v>2238.9</v>
      </c>
    </row>
    <row r="220">
      <c r="A220" s="4" t="inlineStr">
        <is>
          <t>广告宣传费</t>
        </is>
      </c>
      <c r="D220" s="7" t="n">
        <v>1103.9</v>
      </c>
      <c r="F220" s="7" t="n">
        <v>356.5</v>
      </c>
      <c r="H220" s="7" t="n">
        <v>765</v>
      </c>
      <c r="J220" s="7" t="n">
        <v>1219.8</v>
      </c>
      <c r="L220" s="7" t="n">
        <v>505.8</v>
      </c>
      <c r="N220" s="7" t="n">
        <v>832.8</v>
      </c>
      <c r="P220" s="7" t="n">
        <v>2163.6</v>
      </c>
      <c r="R220" s="7" t="n">
        <v>1799.8</v>
      </c>
      <c r="T220" s="7" t="n">
        <v>936.1</v>
      </c>
      <c r="V220" s="7" t="n">
        <v>1459.2</v>
      </c>
      <c r="X220" s="7" t="n">
        <v>901.9</v>
      </c>
      <c r="Z220" s="7" t="n">
        <v>921.8</v>
      </c>
      <c r="AB220" s="7" t="n">
        <v>12966.2</v>
      </c>
    </row>
    <row r="221">
      <c r="A221" s="4" t="inlineStr">
        <is>
          <t>会务费</t>
        </is>
      </c>
      <c r="D221" s="7" t="n">
        <v>173.1</v>
      </c>
      <c r="F221" s="7" t="n">
        <v>44.2</v>
      </c>
      <c r="H221" s="7" t="n">
        <v>112</v>
      </c>
      <c r="J221" s="7" t="n">
        <v>215.9</v>
      </c>
      <c r="L221" s="7" t="n">
        <v>93.40000000000001</v>
      </c>
      <c r="N221" s="7" t="n">
        <v>115.6</v>
      </c>
      <c r="P221" s="7" t="n">
        <v>429.6</v>
      </c>
      <c r="R221" s="7" t="n">
        <v>243.9</v>
      </c>
      <c r="T221" s="7" t="n">
        <v>227.6</v>
      </c>
      <c r="V221" s="7" t="n">
        <v>234.7</v>
      </c>
      <c r="X221" s="7" t="n">
        <v>144.5</v>
      </c>
      <c r="Z221" s="7" t="n">
        <v>194</v>
      </c>
      <c r="AB221" s="7" t="n">
        <v>2228.5</v>
      </c>
    </row>
    <row r="222">
      <c r="A222" s="4" t="inlineStr">
        <is>
          <t>装修费</t>
        </is>
      </c>
      <c r="D222" s="7" t="n">
        <v>217.9</v>
      </c>
      <c r="F222" s="7" t="n">
        <v>66.09999999999999</v>
      </c>
      <c r="H222" s="7" t="n">
        <v>128.9</v>
      </c>
      <c r="J222" s="7" t="n">
        <v>167.8</v>
      </c>
      <c r="L222" s="7" t="n">
        <v>98.09999999999999</v>
      </c>
      <c r="N222" s="7" t="n">
        <v>169.3</v>
      </c>
      <c r="P222" s="7" t="n">
        <v>369.1</v>
      </c>
      <c r="R222" s="7" t="n">
        <v>271.2</v>
      </c>
      <c r="T222" s="7" t="n">
        <v>267.7</v>
      </c>
      <c r="V222" s="7" t="n">
        <v>316.6</v>
      </c>
      <c r="X222" s="7" t="n">
        <v>163</v>
      </c>
      <c r="Z222" s="7" t="n">
        <v>228.7</v>
      </c>
      <c r="AB222" s="7" t="n">
        <v>2464.4</v>
      </c>
    </row>
    <row r="223">
      <c r="A223" s="4" t="inlineStr">
        <is>
          <t>推广费</t>
        </is>
      </c>
      <c r="D223" s="7" t="n">
        <v>244.9</v>
      </c>
      <c r="F223" s="7" t="n">
        <v>68.90000000000001</v>
      </c>
      <c r="H223" s="7" t="n">
        <v>113.2</v>
      </c>
      <c r="J223" s="7" t="n">
        <v>192.3</v>
      </c>
      <c r="L223" s="7" t="n">
        <v>111.8</v>
      </c>
      <c r="N223" s="7" t="n">
        <v>116.5</v>
      </c>
      <c r="P223" s="7" t="n">
        <v>370</v>
      </c>
      <c r="R223" s="7" t="n">
        <v>318.4</v>
      </c>
      <c r="T223" s="7" t="n">
        <v>220.9</v>
      </c>
      <c r="V223" s="7" t="n">
        <v>238.3</v>
      </c>
      <c r="X223" s="7" t="n">
        <v>211.3</v>
      </c>
      <c r="Z223" s="7" t="n">
        <v>204.1</v>
      </c>
      <c r="AB223" s="7" t="n">
        <v>2410.6</v>
      </c>
    </row>
    <row r="224">
      <c r="A224" s="4" t="inlineStr">
        <is>
          <t>展会费</t>
        </is>
      </c>
      <c r="D224" s="7" t="n">
        <v>176.4</v>
      </c>
      <c r="F224" s="7" t="n">
        <v>46.8</v>
      </c>
      <c r="H224" s="7" t="n">
        <v>71.09999999999999</v>
      </c>
      <c r="J224" s="7" t="n">
        <v>103.5</v>
      </c>
      <c r="L224" s="7" t="n">
        <v>94</v>
      </c>
      <c r="N224" s="7" t="n">
        <v>110.3</v>
      </c>
      <c r="P224" s="7" t="n">
        <v>247</v>
      </c>
      <c r="R224" s="7" t="n">
        <v>264.6</v>
      </c>
      <c r="T224" s="7" t="n">
        <v>115.6</v>
      </c>
      <c r="V224" s="7" t="n">
        <v>142.5</v>
      </c>
      <c r="X224" s="7" t="n">
        <v>133.4</v>
      </c>
      <c r="Z224" s="7" t="n">
        <v>97.8</v>
      </c>
      <c r="AB224" s="7" t="n">
        <v>1603</v>
      </c>
    </row>
    <row r="225">
      <c r="A225" s="4" t="inlineStr">
        <is>
          <t>设计费</t>
        </is>
      </c>
      <c r="D225" s="7" t="n">
        <v>123.4</v>
      </c>
      <c r="F225" s="7" t="n">
        <v>40.8</v>
      </c>
      <c r="H225" s="7" t="n">
        <v>90.40000000000001</v>
      </c>
      <c r="J225" s="7" t="n">
        <v>114.7</v>
      </c>
      <c r="L225" s="7" t="n">
        <v>61.5</v>
      </c>
      <c r="N225" s="7" t="n">
        <v>63.4</v>
      </c>
      <c r="P225" s="7" t="n">
        <v>181.3</v>
      </c>
      <c r="R225" s="7" t="n">
        <v>211.7</v>
      </c>
      <c r="T225" s="7" t="n">
        <v>101.3</v>
      </c>
      <c r="V225" s="7" t="n">
        <v>152.8</v>
      </c>
      <c r="X225" s="7" t="n">
        <v>107.5</v>
      </c>
      <c r="Z225" s="7" t="n">
        <v>93.59999999999999</v>
      </c>
      <c r="AB225" s="7" t="n">
        <v>1342.4</v>
      </c>
    </row>
    <row r="226">
      <c r="A226" s="4" t="inlineStr">
        <is>
          <t>折旧费</t>
        </is>
      </c>
      <c r="D226" s="7" t="n">
        <v>1667</v>
      </c>
      <c r="F226" s="7" t="n">
        <v>308.7</v>
      </c>
      <c r="H226" s="7" t="n">
        <v>1110.9</v>
      </c>
      <c r="J226" s="7" t="n">
        <v>1247.6</v>
      </c>
      <c r="L226" s="7" t="n">
        <v>815.9</v>
      </c>
      <c r="N226" s="7" t="n">
        <v>888.2</v>
      </c>
      <c r="P226" s="7" t="n">
        <v>2750.8</v>
      </c>
      <c r="R226" s="7" t="n">
        <v>2418.3</v>
      </c>
      <c r="T226" s="7" t="n">
        <v>1655.5</v>
      </c>
      <c r="V226" s="7" t="n">
        <v>2278.2</v>
      </c>
      <c r="X226" s="7" t="n">
        <v>1655.4</v>
      </c>
      <c r="Z226" s="7" t="n">
        <v>1528.2</v>
      </c>
      <c r="AB226" s="7" t="n">
        <v>18324.7</v>
      </c>
    </row>
    <row r="227">
      <c r="A227" s="4" t="inlineStr">
        <is>
          <t>认证费</t>
        </is>
      </c>
      <c r="D227" s="7" t="n">
        <v>14.5</v>
      </c>
      <c r="F227" s="7" t="n">
        <v>6.6</v>
      </c>
      <c r="H227" s="7" t="n">
        <v>13.3</v>
      </c>
      <c r="J227" s="7" t="n">
        <v>16.9</v>
      </c>
      <c r="L227" s="7" t="n">
        <v>7.7</v>
      </c>
      <c r="N227" s="7" t="n">
        <v>15.9</v>
      </c>
      <c r="P227" s="7" t="n">
        <v>35.8</v>
      </c>
      <c r="R227" s="7" t="n">
        <v>23.1</v>
      </c>
      <c r="T227" s="7" t="n">
        <v>19.1</v>
      </c>
      <c r="V227" s="7" t="n">
        <v>18</v>
      </c>
      <c r="X227" s="7" t="n">
        <v>12.9</v>
      </c>
      <c r="Z227" s="7" t="n">
        <v>19.5</v>
      </c>
      <c r="AB227" s="7" t="n">
        <v>203.3</v>
      </c>
    </row>
    <row r="228">
      <c r="A228" s="4" t="inlineStr">
        <is>
          <t>样品费</t>
        </is>
      </c>
      <c r="D228" s="7" t="n">
        <v>745.1</v>
      </c>
      <c r="F228" s="7" t="n">
        <v>200.1</v>
      </c>
      <c r="H228" s="7" t="n">
        <v>466.3</v>
      </c>
      <c r="J228" s="7" t="n">
        <v>532.9</v>
      </c>
      <c r="L228" s="7" t="n">
        <v>477.8</v>
      </c>
      <c r="N228" s="7" t="n">
        <v>355.5</v>
      </c>
      <c r="P228" s="7" t="n">
        <v>1060.3</v>
      </c>
      <c r="R228" s="7" t="n">
        <v>1140.4</v>
      </c>
      <c r="T228" s="7" t="n">
        <v>738.5</v>
      </c>
      <c r="V228" s="7" t="n">
        <v>978.8</v>
      </c>
      <c r="X228" s="7" t="n">
        <v>739.6</v>
      </c>
      <c r="Z228" s="7" t="n">
        <v>734.5</v>
      </c>
      <c r="AB228" s="7" t="n">
        <v>8169.8</v>
      </c>
    </row>
    <row r="229">
      <c r="A229" s="4" t="inlineStr">
        <is>
          <t>劳务费</t>
        </is>
      </c>
      <c r="D229" s="7" t="n">
        <v>108.2</v>
      </c>
      <c r="F229" s="7" t="n">
        <v>44.8</v>
      </c>
      <c r="H229" s="7" t="n">
        <v>90.3</v>
      </c>
      <c r="J229" s="7" t="n">
        <v>93.59999999999999</v>
      </c>
      <c r="L229" s="7" t="n">
        <v>93.59999999999999</v>
      </c>
      <c r="N229" s="7" t="n">
        <v>118.7</v>
      </c>
      <c r="P229" s="7" t="n">
        <v>239.6</v>
      </c>
      <c r="R229" s="7" t="n">
        <v>166.4</v>
      </c>
      <c r="T229" s="7" t="n">
        <v>163.8</v>
      </c>
      <c r="V229" s="7" t="n">
        <v>211</v>
      </c>
      <c r="X229" s="7" t="n">
        <v>126</v>
      </c>
      <c r="Z229" s="7" t="n">
        <v>96.3</v>
      </c>
      <c r="AB229" s="7" t="n">
        <v>1552.3</v>
      </c>
    </row>
    <row r="230">
      <c r="A230" s="4" t="inlineStr">
        <is>
          <t>销售佣金</t>
        </is>
      </c>
      <c r="D230" s="7" t="n">
        <v>191.8</v>
      </c>
      <c r="F230" s="7" t="n">
        <v>52.2</v>
      </c>
      <c r="H230" s="7" t="n">
        <v>129.4</v>
      </c>
      <c r="J230" s="7" t="n">
        <v>151.6</v>
      </c>
      <c r="L230" s="7" t="n">
        <v>78.40000000000001</v>
      </c>
      <c r="N230" s="7" t="n">
        <v>119.5</v>
      </c>
      <c r="P230" s="7" t="n">
        <v>267.4</v>
      </c>
      <c r="R230" s="7" t="n">
        <v>221.8</v>
      </c>
      <c r="T230" s="7" t="n">
        <v>203.8</v>
      </c>
      <c r="V230" s="7" t="n">
        <v>169.8</v>
      </c>
      <c r="X230" s="7" t="n">
        <v>115.5</v>
      </c>
      <c r="Z230" s="7" t="n">
        <v>107.5</v>
      </c>
      <c r="AB230" s="7" t="n">
        <v>1808.7</v>
      </c>
    </row>
    <row r="231">
      <c r="A231" s="4" t="inlineStr">
        <is>
          <t>检测费</t>
        </is>
      </c>
      <c r="D231" s="7" t="n">
        <v>280.9</v>
      </c>
      <c r="F231" s="7" t="n">
        <v>69.3</v>
      </c>
      <c r="H231" s="7" t="n">
        <v>179.4</v>
      </c>
      <c r="J231" s="7" t="n">
        <v>143.7</v>
      </c>
      <c r="L231" s="7" t="n">
        <v>114.1</v>
      </c>
      <c r="N231" s="7" t="n">
        <v>161.2</v>
      </c>
      <c r="P231" s="7" t="n">
        <v>428.8</v>
      </c>
      <c r="R231" s="7" t="n">
        <v>374.3</v>
      </c>
      <c r="T231" s="7" t="n">
        <v>306.1</v>
      </c>
      <c r="V231" s="7" t="n">
        <v>231.3</v>
      </c>
      <c r="X231" s="7" t="n">
        <v>237.3</v>
      </c>
      <c r="Z231" s="7" t="n">
        <v>223.1</v>
      </c>
      <c r="AB231" s="7" t="n">
        <v>2749.5</v>
      </c>
    </row>
    <row r="232">
      <c r="A232" s="4" t="inlineStr">
        <is>
          <t>质量赔偿</t>
        </is>
      </c>
      <c r="D232" s="7" t="n">
        <v>83.2</v>
      </c>
      <c r="F232" s="7" t="n">
        <v>26.5</v>
      </c>
      <c r="H232" s="7" t="n">
        <v>63.9</v>
      </c>
      <c r="J232" s="7" t="n">
        <v>81.3</v>
      </c>
      <c r="L232" s="7" t="n">
        <v>55.3</v>
      </c>
      <c r="N232" s="7" t="n">
        <v>60.2</v>
      </c>
      <c r="P232" s="7" t="n">
        <v>217</v>
      </c>
      <c r="R232" s="7" t="n">
        <v>117</v>
      </c>
      <c r="T232" s="7" t="n">
        <v>87.3</v>
      </c>
      <c r="V232" s="7" t="n">
        <v>131.8</v>
      </c>
      <c r="X232" s="7" t="n">
        <v>64.8</v>
      </c>
      <c r="Z232" s="7" t="n">
        <v>104.3</v>
      </c>
      <c r="AB232" s="7" t="n">
        <v>1092.6</v>
      </c>
    </row>
    <row r="233">
      <c r="A233" s="4" t="inlineStr">
        <is>
          <t>保险费</t>
        </is>
      </c>
      <c r="D233" s="7" t="n">
        <v>24.3</v>
      </c>
      <c r="F233" s="7" t="n">
        <v>8.800000000000001</v>
      </c>
      <c r="H233" s="7" t="n">
        <v>12</v>
      </c>
      <c r="J233" s="7" t="n">
        <v>22.1</v>
      </c>
      <c r="L233" s="7" t="n">
        <v>15.9</v>
      </c>
      <c r="N233" s="7" t="n">
        <v>18.5</v>
      </c>
      <c r="P233" s="7" t="n">
        <v>42.6</v>
      </c>
      <c r="R233" s="7" t="n">
        <v>41.3</v>
      </c>
      <c r="T233" s="7" t="n">
        <v>31.5</v>
      </c>
      <c r="V233" s="7" t="n">
        <v>26.1</v>
      </c>
      <c r="X233" s="7" t="n">
        <v>21.1</v>
      </c>
      <c r="Z233" s="7" t="n">
        <v>19.8</v>
      </c>
      <c r="AB233" s="7" t="n">
        <v>284</v>
      </c>
    </row>
    <row r="234">
      <c r="A234" s="4" t="inlineStr">
        <is>
          <t>清洁费</t>
        </is>
      </c>
      <c r="D234" s="7" t="n">
        <v>66.5</v>
      </c>
      <c r="F234" s="7" t="n">
        <v>21.1</v>
      </c>
      <c r="H234" s="7" t="n">
        <v>50.7</v>
      </c>
      <c r="J234" s="7" t="n">
        <v>65</v>
      </c>
      <c r="L234" s="7" t="n">
        <v>29.3</v>
      </c>
      <c r="N234" s="7" t="n">
        <v>50.1</v>
      </c>
      <c r="P234" s="7" t="n">
        <v>127.3</v>
      </c>
      <c r="R234" s="7" t="n">
        <v>75.59999999999999</v>
      </c>
      <c r="T234" s="7" t="n">
        <v>50.2</v>
      </c>
      <c r="V234" s="7" t="n">
        <v>91.59999999999999</v>
      </c>
      <c r="X234" s="7" t="n">
        <v>75.3</v>
      </c>
      <c r="Z234" s="7" t="n">
        <v>49.9</v>
      </c>
      <c r="AB234" s="7" t="n">
        <v>752.6</v>
      </c>
    </row>
    <row r="235">
      <c r="A235" s="4" t="inlineStr">
        <is>
          <t>低值易耗品</t>
        </is>
      </c>
      <c r="D235" s="7" t="n">
        <v>230.1</v>
      </c>
      <c r="F235" s="7" t="n">
        <v>62.8</v>
      </c>
      <c r="H235" s="7" t="n">
        <v>112.9</v>
      </c>
      <c r="J235" s="7" t="n">
        <v>132.1</v>
      </c>
      <c r="L235" s="7" t="n">
        <v>70.90000000000001</v>
      </c>
      <c r="N235" s="7" t="n">
        <v>102.8</v>
      </c>
      <c r="P235" s="7" t="n">
        <v>343.3</v>
      </c>
      <c r="R235" s="7" t="n">
        <v>203.2</v>
      </c>
      <c r="T235" s="7" t="n">
        <v>130.5</v>
      </c>
      <c r="V235" s="7" t="n">
        <v>205.5</v>
      </c>
      <c r="X235" s="7" t="n">
        <v>186.9</v>
      </c>
      <c r="Z235" s="7" t="n">
        <v>164.1</v>
      </c>
      <c r="AB235" s="7" t="n">
        <v>1945.1</v>
      </c>
    </row>
    <row r="236">
      <c r="A236" s="4" t="inlineStr">
        <is>
          <t>物料消耗</t>
        </is>
      </c>
      <c r="D236" s="7" t="n">
        <v>189.8</v>
      </c>
      <c r="F236" s="7" t="n">
        <v>33.9</v>
      </c>
      <c r="H236" s="7" t="n">
        <v>90.7</v>
      </c>
      <c r="J236" s="7" t="n">
        <v>178.1</v>
      </c>
      <c r="L236" s="7" t="n">
        <v>68.5</v>
      </c>
      <c r="N236" s="7" t="n">
        <v>136.1</v>
      </c>
      <c r="P236" s="7" t="n">
        <v>238.6</v>
      </c>
      <c r="R236" s="7" t="n">
        <v>249.6</v>
      </c>
      <c r="T236" s="7" t="n">
        <v>205.1</v>
      </c>
      <c r="V236" s="7" t="n">
        <v>258.6</v>
      </c>
      <c r="X236" s="7" t="n">
        <v>194</v>
      </c>
      <c r="Z236" s="7" t="n">
        <v>132.5</v>
      </c>
      <c r="AB236" s="7" t="n">
        <v>1975.5</v>
      </c>
    </row>
    <row r="237">
      <c r="A237" s="4" t="inlineStr">
        <is>
          <t>盘盈盘亏</t>
        </is>
      </c>
      <c r="D237" s="7" t="n">
        <v>97.2</v>
      </c>
      <c r="F237" s="7" t="n">
        <v>49.2</v>
      </c>
      <c r="H237" s="7" t="n">
        <v>103.8</v>
      </c>
      <c r="J237" s="7" t="n">
        <v>126.2</v>
      </c>
      <c r="L237" s="7" t="n">
        <v>60.3</v>
      </c>
      <c r="N237" s="7" t="n">
        <v>71</v>
      </c>
      <c r="P237" s="7" t="n">
        <v>318.1</v>
      </c>
      <c r="R237" s="7" t="n">
        <v>231.4</v>
      </c>
      <c r="T237" s="7" t="n">
        <v>118</v>
      </c>
      <c r="V237" s="7" t="n">
        <v>218.5</v>
      </c>
      <c r="X237" s="7" t="n">
        <v>161.2</v>
      </c>
      <c r="Z237" s="7" t="n">
        <v>102.5</v>
      </c>
      <c r="AB237" s="7" t="n">
        <v>1657.4</v>
      </c>
    </row>
    <row r="238">
      <c r="A238" s="4" t="inlineStr">
        <is>
          <t>平台服务费</t>
        </is>
      </c>
      <c r="D238" s="7" t="n">
        <v>51.4</v>
      </c>
      <c r="F238" s="7" t="n">
        <v>13.6</v>
      </c>
      <c r="H238" s="7" t="n">
        <v>36.2</v>
      </c>
      <c r="J238" s="7" t="n">
        <v>42.5</v>
      </c>
      <c r="L238" s="7" t="n">
        <v>25.2</v>
      </c>
      <c r="N238" s="7" t="n">
        <v>42.8</v>
      </c>
      <c r="P238" s="7" t="n">
        <v>154.7</v>
      </c>
      <c r="R238" s="7" t="n">
        <v>72.40000000000001</v>
      </c>
      <c r="T238" s="7" t="n">
        <v>79.7</v>
      </c>
      <c r="V238" s="7" t="n">
        <v>106.5</v>
      </c>
      <c r="X238" s="7" t="n">
        <v>46.6</v>
      </c>
      <c r="Z238" s="7" t="n">
        <v>69.90000000000001</v>
      </c>
      <c r="AB238" s="7" t="n">
        <v>741.5</v>
      </c>
    </row>
    <row r="239">
      <c r="A239" s="4" t="inlineStr">
        <is>
          <t>无形资产摊销</t>
        </is>
      </c>
      <c r="D239" s="7" t="n">
        <v>70.90000000000001</v>
      </c>
      <c r="F239" s="7" t="n">
        <v>31.7</v>
      </c>
      <c r="H239" s="7" t="n">
        <v>45.1</v>
      </c>
      <c r="J239" s="7" t="n">
        <v>93.59999999999999</v>
      </c>
      <c r="L239" s="7" t="n">
        <v>37.6</v>
      </c>
      <c r="N239" s="7" t="n">
        <v>63.2</v>
      </c>
      <c r="P239" s="7" t="n">
        <v>144.2</v>
      </c>
      <c r="R239" s="7" t="n">
        <v>109.2</v>
      </c>
      <c r="T239" s="7" t="n">
        <v>108.9</v>
      </c>
      <c r="V239" s="7" t="n">
        <v>130.1</v>
      </c>
      <c r="X239" s="7" t="n">
        <v>79.5</v>
      </c>
      <c r="Z239" s="7" t="n">
        <v>98.7</v>
      </c>
      <c r="AB239" s="7" t="n">
        <v>1012.7</v>
      </c>
    </row>
    <row r="240">
      <c r="A240" s="4" t="inlineStr">
        <is>
          <t>研发材料</t>
        </is>
      </c>
      <c r="D240" s="7" t="n">
        <v>3.1</v>
      </c>
      <c r="F240" s="7" t="n">
        <v>1.4</v>
      </c>
      <c r="H240" s="7" t="n">
        <v>2.8</v>
      </c>
      <c r="J240" s="7" t="n">
        <v>2.5</v>
      </c>
      <c r="L240" s="7" t="n">
        <v>2.7</v>
      </c>
      <c r="N240" s="7" t="n">
        <v>2.7</v>
      </c>
      <c r="P240" s="7" t="n">
        <v>8.800000000000001</v>
      </c>
      <c r="R240" s="7" t="n">
        <v>4.5</v>
      </c>
      <c r="T240" s="7" t="n">
        <v>3.1</v>
      </c>
      <c r="V240" s="7" t="n">
        <v>4.1</v>
      </c>
      <c r="X240" s="7" t="n">
        <v>3.9</v>
      </c>
      <c r="Z240" s="7" t="n">
        <v>4.2</v>
      </c>
      <c r="AB240" s="7" t="n">
        <v>43.8</v>
      </c>
    </row>
    <row r="241">
      <c r="A241" s="4" t="inlineStr">
        <is>
          <t>项目名称</t>
        </is>
      </c>
      <c r="D241" s="7" t="n">
        <v>58</v>
      </c>
      <c r="F241" s="7" t="n">
        <v>20.9</v>
      </c>
      <c r="H241" s="7" t="n">
        <v>52</v>
      </c>
      <c r="J241" s="7" t="n">
        <v>76</v>
      </c>
      <c r="L241" s="7" t="n">
        <v>41.6</v>
      </c>
      <c r="N241" s="7" t="n">
        <v>63.6</v>
      </c>
      <c r="P241" s="7" t="n">
        <v>135.4</v>
      </c>
      <c r="R241" s="7" t="n">
        <v>110.1</v>
      </c>
      <c r="T241" s="7" t="n">
        <v>75.5</v>
      </c>
      <c r="V241" s="7" t="n">
        <v>85.09999999999999</v>
      </c>
      <c r="X241" s="7" t="n">
        <v>67.2</v>
      </c>
      <c r="Z241" s="7" t="n">
        <v>67.90000000000001</v>
      </c>
      <c r="AB241" s="7" t="n">
        <v>853.3</v>
      </c>
    </row>
    <row r="242">
      <c r="A242" s="4" t="inlineStr">
        <is>
          <t>研发费</t>
        </is>
      </c>
      <c r="D242" s="7" t="n">
        <v>69.5</v>
      </c>
      <c r="F242" s="7" t="n">
        <v>12.6</v>
      </c>
      <c r="H242" s="7" t="n">
        <v>46.5</v>
      </c>
      <c r="J242" s="7" t="n">
        <v>52.2</v>
      </c>
      <c r="L242" s="7" t="n">
        <v>33.4</v>
      </c>
      <c r="N242" s="7" t="n">
        <v>30.4</v>
      </c>
      <c r="P242" s="7" t="n">
        <v>141.6</v>
      </c>
      <c r="R242" s="7" t="n">
        <v>67.59999999999999</v>
      </c>
      <c r="T242" s="7" t="n">
        <v>63.4</v>
      </c>
      <c r="V242" s="7" t="n">
        <v>67.5</v>
      </c>
      <c r="X242" s="7" t="n">
        <v>47.7</v>
      </c>
      <c r="Z242" s="7" t="n">
        <v>40.4</v>
      </c>
      <c r="AB242" s="7" t="n">
        <v>672.8</v>
      </c>
    </row>
    <row r="243">
      <c r="A243" s="4" t="inlineStr">
        <is>
          <t>残保金</t>
        </is>
      </c>
      <c r="D243" s="7" t="n">
        <v>106</v>
      </c>
      <c r="F243" s="7" t="n">
        <v>18.4</v>
      </c>
      <c r="H243" s="7" t="n">
        <v>45.6</v>
      </c>
      <c r="J243" s="7" t="n">
        <v>95.3</v>
      </c>
      <c r="L243" s="7" t="n">
        <v>37.8</v>
      </c>
      <c r="N243" s="7" t="n">
        <v>42.2</v>
      </c>
      <c r="P243" s="7" t="n">
        <v>169.2</v>
      </c>
      <c r="R243" s="7" t="n">
        <v>122.4</v>
      </c>
      <c r="T243" s="7" t="n">
        <v>97</v>
      </c>
      <c r="V243" s="7" t="n">
        <v>105.5</v>
      </c>
      <c r="X243" s="7" t="n">
        <v>77.2</v>
      </c>
      <c r="Z243" s="7" t="n">
        <v>63.4</v>
      </c>
      <c r="AB243" s="7" t="n">
        <v>980</v>
      </c>
    </row>
    <row r="244">
      <c r="A244" s="4" t="inlineStr">
        <is>
          <t>环保费</t>
        </is>
      </c>
      <c r="D244" s="7" t="n">
        <v>68.40000000000001</v>
      </c>
      <c r="F244" s="7" t="n">
        <v>21.8</v>
      </c>
      <c r="H244" s="7" t="n">
        <v>61.8</v>
      </c>
      <c r="J244" s="7" t="n">
        <v>75.09999999999999</v>
      </c>
      <c r="L244" s="7" t="n">
        <v>39.9</v>
      </c>
      <c r="N244" s="7" t="n">
        <v>42.6</v>
      </c>
      <c r="P244" s="7" t="n">
        <v>123.9</v>
      </c>
      <c r="R244" s="7" t="n">
        <v>115.7</v>
      </c>
      <c r="T244" s="7" t="n">
        <v>86.7</v>
      </c>
      <c r="V244" s="7" t="n">
        <v>132.4</v>
      </c>
      <c r="X244" s="7" t="n">
        <v>102</v>
      </c>
      <c r="Z244" s="7" t="n">
        <v>72.09999999999999</v>
      </c>
      <c r="AB244" s="7" t="n">
        <v>942.4</v>
      </c>
    </row>
    <row r="245">
      <c r="A245" s="4" t="inlineStr">
        <is>
          <t>报废损失</t>
        </is>
      </c>
      <c r="D245" s="7" t="n">
        <v>151.3</v>
      </c>
      <c r="F245" s="7" t="n">
        <v>33.2</v>
      </c>
      <c r="H245" s="7" t="n">
        <v>85.7</v>
      </c>
      <c r="J245" s="7" t="n">
        <v>147.8</v>
      </c>
      <c r="L245" s="7" t="n">
        <v>67.8</v>
      </c>
      <c r="N245" s="7" t="n">
        <v>95.7</v>
      </c>
      <c r="P245" s="7" t="n">
        <v>250.2</v>
      </c>
      <c r="R245" s="7" t="n">
        <v>256.1</v>
      </c>
      <c r="T245" s="7" t="n">
        <v>145.8</v>
      </c>
      <c r="V245" s="7" t="n">
        <v>226.9</v>
      </c>
      <c r="X245" s="7" t="n">
        <v>91.59999999999999</v>
      </c>
      <c r="Z245" s="7" t="n">
        <v>88.59999999999999</v>
      </c>
      <c r="AB245" s="7" t="n">
        <v>1640.7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10716.1</v>
      </c>
      <c r="D246" s="7" t="n">
        <v>19760.2</v>
      </c>
      <c r="E246" s="7" t="n">
        <v>9013</v>
      </c>
      <c r="F246" s="7" t="n">
        <v>12518.9</v>
      </c>
      <c r="G246" s="7" t="n">
        <v>9227.9</v>
      </c>
      <c r="H246" s="7" t="n">
        <v>3518.3</v>
      </c>
      <c r="I246" s="7" t="n">
        <v>9993.9</v>
      </c>
      <c r="J246" s="7" t="n">
        <v>6285.4</v>
      </c>
      <c r="K246" s="7" t="n">
        <v>11093.5</v>
      </c>
      <c r="L246" s="7" t="n">
        <v>18477</v>
      </c>
      <c r="M246" s="7" t="n">
        <v>9862.5</v>
      </c>
      <c r="N246" s="7" t="n">
        <v>17925.4</v>
      </c>
      <c r="O246" s="7" t="n">
        <v>9878.9</v>
      </c>
      <c r="P246" s="7" t="n">
        <v>205.2</v>
      </c>
      <c r="Q246" s="7" t="n">
        <v>9545.700000000001</v>
      </c>
      <c r="R246" s="7" t="n">
        <v>4101.5</v>
      </c>
      <c r="S246" s="7" t="n">
        <v>11444</v>
      </c>
      <c r="T246" s="7" t="n">
        <v>7621.6</v>
      </c>
      <c r="U246" s="7" t="n">
        <v>10216.8</v>
      </c>
      <c r="V246" s="7" t="n">
        <v>17162.8</v>
      </c>
      <c r="W246" s="7" t="n">
        <v>10793.8</v>
      </c>
      <c r="X246" s="7" t="n">
        <v>16293.4</v>
      </c>
      <c r="Y246" s="7" t="n">
        <v>9002.4</v>
      </c>
      <c r="Z246" s="7" t="n">
        <v>-394.2</v>
      </c>
      <c r="AA246" s="8" t="n">
        <v>120788.5</v>
      </c>
      <c r="AB246" s="8" t="n">
        <v>123475.5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3590.2</v>
      </c>
      <c r="E248" s="7" t="n">
        <v>0</v>
      </c>
      <c r="F248" s="7" t="n">
        <v>1539.1</v>
      </c>
      <c r="G248" s="7" t="n">
        <v>0</v>
      </c>
      <c r="H248" s="7" t="n">
        <v>-2255.5</v>
      </c>
      <c r="I248" s="7" t="n">
        <v>0</v>
      </c>
      <c r="J248" s="7" t="n">
        <v>3388.3</v>
      </c>
      <c r="K248" s="7" t="n">
        <v>0</v>
      </c>
      <c r="L248" s="7" t="n">
        <v>-4949.1</v>
      </c>
      <c r="M248" s="7" t="n">
        <v>0</v>
      </c>
      <c r="N248" s="7" t="n">
        <v>3184.1</v>
      </c>
      <c r="O248" s="7" t="n">
        <v>0</v>
      </c>
      <c r="P248" s="7" t="n">
        <v>92.40000000000001</v>
      </c>
      <c r="Q248" s="7" t="n">
        <v>0</v>
      </c>
      <c r="R248" s="7" t="n">
        <v>4557.2</v>
      </c>
      <c r="S248" s="7" t="n">
        <v>0</v>
      </c>
      <c r="T248" s="7" t="n">
        <v>-790.2</v>
      </c>
      <c r="U248" s="7" t="n">
        <v>0</v>
      </c>
      <c r="V248" s="7" t="n">
        <v>-3199.7</v>
      </c>
      <c r="W248" s="7" t="n">
        <v>0</v>
      </c>
      <c r="X248" s="7" t="n">
        <v>-4594.7</v>
      </c>
      <c r="Y248" s="7" t="n">
        <v>0</v>
      </c>
      <c r="Z248" s="7" t="n">
        <v>2004.3</v>
      </c>
      <c r="AA248" s="7" t="n">
        <v>0</v>
      </c>
      <c r="AB248" s="7" t="n">
        <v>2566.4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15938.9</v>
      </c>
      <c r="D253" s="7" t="n">
        <v>13352.4</v>
      </c>
      <c r="E253" s="7" t="n">
        <v>15966.6</v>
      </c>
      <c r="F253" s="7" t="n">
        <v>24240.8</v>
      </c>
      <c r="G253" s="7" t="n">
        <v>17743.5</v>
      </c>
      <c r="H253" s="7" t="n">
        <v>26308.5</v>
      </c>
      <c r="I253" s="7" t="n">
        <v>16115.7</v>
      </c>
      <c r="J253" s="7" t="n">
        <v>102.9</v>
      </c>
      <c r="K253" s="7" t="n">
        <v>17903.5</v>
      </c>
      <c r="L253" s="7" t="n">
        <v>19145.1</v>
      </c>
      <c r="M253" s="7" t="n">
        <v>15808.7</v>
      </c>
      <c r="N253" s="7" t="n">
        <v>24381.9</v>
      </c>
      <c r="O253" s="7" t="n">
        <v>17096.4</v>
      </c>
      <c r="P253" s="7" t="n">
        <v>12275.3</v>
      </c>
      <c r="Q253" s="7" t="n">
        <v>19467</v>
      </c>
      <c r="R253" s="7" t="n">
        <v>17985.2</v>
      </c>
      <c r="S253" s="7" t="n">
        <v>16077.3</v>
      </c>
      <c r="T253" s="7" t="n">
        <v>20169.5</v>
      </c>
      <c r="U253" s="7" t="n">
        <v>16442.5</v>
      </c>
      <c r="V253" s="7" t="n">
        <v>29648.3</v>
      </c>
      <c r="W253" s="7" t="n">
        <v>18175.7</v>
      </c>
      <c r="X253" s="7" t="n">
        <v>24126.2</v>
      </c>
      <c r="Y253" s="7" t="n">
        <v>16182.7</v>
      </c>
      <c r="Z253" s="7" t="n">
        <v>3008.7</v>
      </c>
      <c r="AA253" s="7" t="n">
        <v>202918.5</v>
      </c>
      <c r="AB253" s="7" t="n">
        <v>214744.8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136236.7</v>
      </c>
      <c r="D254" s="7" t="n">
        <v>96832.89999999999</v>
      </c>
      <c r="E254" s="7" t="n">
        <v>117867.3</v>
      </c>
      <c r="F254" s="7" t="n">
        <v>68006.5</v>
      </c>
      <c r="G254" s="7" t="n">
        <v>130689</v>
      </c>
      <c r="H254" s="7" t="n">
        <v>132418.5</v>
      </c>
      <c r="I254" s="7" t="n">
        <v>112084.6</v>
      </c>
      <c r="J254" s="7" t="n">
        <v>147531.3</v>
      </c>
      <c r="K254" s="7" t="n">
        <v>121859.7</v>
      </c>
      <c r="L254" s="7" t="n">
        <v>193322.6</v>
      </c>
      <c r="M254" s="7" t="n">
        <v>137393.8</v>
      </c>
      <c r="N254" s="7" t="n">
        <v>170598.4</v>
      </c>
      <c r="O254" s="7" t="n">
        <v>134458.8</v>
      </c>
      <c r="P254" s="7" t="n">
        <v>152394.4</v>
      </c>
      <c r="Q254" s="7" t="n">
        <v>143256.4</v>
      </c>
      <c r="R254" s="7" t="n">
        <v>160670.2</v>
      </c>
      <c r="S254" s="7" t="n">
        <v>120871.7</v>
      </c>
      <c r="T254" s="7" t="n">
        <v>134424.5</v>
      </c>
      <c r="U254" s="7" t="n">
        <v>108811.5</v>
      </c>
      <c r="V254" s="7" t="n">
        <v>96553.8</v>
      </c>
      <c r="W254" s="7" t="n">
        <v>140101.2</v>
      </c>
      <c r="X254" s="7" t="n">
        <v>104323.8</v>
      </c>
      <c r="Y254" s="7" t="n">
        <v>137110.6</v>
      </c>
      <c r="Z254" s="7" t="n">
        <v>63148.9</v>
      </c>
      <c r="AA254" s="8" t="n">
        <v>1540741.3</v>
      </c>
      <c r="AB254" s="8" t="n">
        <v>1520225.8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971.2</v>
      </c>
      <c r="E255" s="7" t="n">
        <v>0</v>
      </c>
      <c r="F255" s="7" t="n">
        <v>4835.9</v>
      </c>
      <c r="G255" s="7" t="n">
        <v>0</v>
      </c>
      <c r="H255" s="7" t="n">
        <v>4718.4</v>
      </c>
      <c r="I255" s="7" t="n">
        <v>0</v>
      </c>
      <c r="J255" s="7" t="n">
        <v>4638.2</v>
      </c>
      <c r="K255" s="7" t="n">
        <v>0</v>
      </c>
      <c r="L255" s="7" t="n">
        <v>823.7</v>
      </c>
      <c r="M255" s="7" t="n">
        <v>0</v>
      </c>
      <c r="N255" s="7" t="n">
        <v>3215.6</v>
      </c>
      <c r="O255" s="7" t="n">
        <v>0</v>
      </c>
      <c r="P255" s="7" t="n">
        <v>2960.2</v>
      </c>
      <c r="Q255" s="7" t="n">
        <v>0</v>
      </c>
      <c r="R255" s="7" t="n">
        <v>4617.7</v>
      </c>
      <c r="S255" s="7" t="n">
        <v>0</v>
      </c>
      <c r="T255" s="7" t="n">
        <v>38.3</v>
      </c>
      <c r="U255" s="7" t="n">
        <v>0</v>
      </c>
      <c r="V255" s="7" t="n">
        <v>4647.4</v>
      </c>
      <c r="W255" s="7" t="n">
        <v>0</v>
      </c>
      <c r="X255" s="7" t="n">
        <v>1446.3</v>
      </c>
      <c r="Y255" s="7" t="n">
        <v>0</v>
      </c>
      <c r="Z255" s="7" t="n">
        <v>3197.8</v>
      </c>
      <c r="AA255" s="7" t="n">
        <v>0</v>
      </c>
      <c r="AB255" s="7" t="n">
        <v>36110.7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2808</v>
      </c>
      <c r="E256" s="7" t="n">
        <v>0</v>
      </c>
      <c r="F256" s="7" t="n">
        <v>1078.2</v>
      </c>
      <c r="G256" s="7" t="n">
        <v>0</v>
      </c>
      <c r="H256" s="7" t="n">
        <v>1468.1</v>
      </c>
      <c r="I256" s="7" t="n">
        <v>0</v>
      </c>
      <c r="J256" s="7" t="n">
        <v>2941.6</v>
      </c>
      <c r="K256" s="7" t="n">
        <v>0</v>
      </c>
      <c r="L256" s="7" t="n">
        <v>1796.4</v>
      </c>
      <c r="M256" s="7" t="n">
        <v>0</v>
      </c>
      <c r="N256" s="7" t="n">
        <v>1393.1</v>
      </c>
      <c r="O256" s="7" t="n">
        <v>0</v>
      </c>
      <c r="P256" s="7" t="n">
        <v>720.8</v>
      </c>
      <c r="Q256" s="7" t="n">
        <v>0</v>
      </c>
      <c r="R256" s="7" t="n">
        <v>382.9</v>
      </c>
      <c r="S256" s="7" t="n">
        <v>0</v>
      </c>
      <c r="T256" s="7" t="n">
        <v>1621.3</v>
      </c>
      <c r="U256" s="7" t="n">
        <v>0</v>
      </c>
      <c r="V256" s="7" t="n">
        <v>2554.5</v>
      </c>
      <c r="W256" s="7" t="n">
        <v>0</v>
      </c>
      <c r="X256" s="7" t="n">
        <v>71.2</v>
      </c>
      <c r="Y256" s="7" t="n">
        <v>0</v>
      </c>
      <c r="Z256" s="7" t="n">
        <v>900.3</v>
      </c>
      <c r="AA256" s="7" t="n">
        <v>0</v>
      </c>
      <c r="AB256" s="7" t="n">
        <v>17736.4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119377.4</v>
      </c>
      <c r="D257" s="7" t="n">
        <v>99196.8</v>
      </c>
      <c r="E257" s="7" t="n">
        <v>129618.3</v>
      </c>
      <c r="F257" s="7" t="n">
        <v>73583.5</v>
      </c>
      <c r="G257" s="7" t="n">
        <v>138958</v>
      </c>
      <c r="H257" s="7" t="n">
        <v>138040.9</v>
      </c>
      <c r="I257" s="7" t="n">
        <v>119374.5</v>
      </c>
      <c r="J257" s="7" t="n">
        <v>142498.4</v>
      </c>
      <c r="K257" s="7" t="n">
        <v>142167.6</v>
      </c>
      <c r="L257" s="7" t="n">
        <v>185639.3</v>
      </c>
      <c r="M257" s="7" t="n">
        <v>113295.4</v>
      </c>
      <c r="N257" s="7" t="n">
        <v>174462.9</v>
      </c>
      <c r="O257" s="7" t="n">
        <v>109758.4</v>
      </c>
      <c r="P257" s="7" t="n">
        <v>163720</v>
      </c>
      <c r="Q257" s="7" t="n">
        <v>111616.8</v>
      </c>
      <c r="R257" s="7" t="n">
        <v>148660</v>
      </c>
      <c r="S257" s="7" t="n">
        <v>127869.2</v>
      </c>
      <c r="T257" s="7" t="n">
        <v>141471.4</v>
      </c>
      <c r="U257" s="7" t="n">
        <v>129610.4</v>
      </c>
      <c r="V257" s="7" t="n">
        <v>101593</v>
      </c>
      <c r="W257" s="7" t="n">
        <v>131705.5</v>
      </c>
      <c r="X257" s="7" t="n">
        <v>95886.2</v>
      </c>
      <c r="Y257" s="7" t="n">
        <v>109229</v>
      </c>
      <c r="Z257" s="7" t="n">
        <v>65116.4</v>
      </c>
      <c r="AA257" s="8" t="n">
        <v>1482580.5</v>
      </c>
      <c r="AB257" s="8" t="n">
        <v>1529868.8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29214.2</v>
      </c>
      <c r="D258" s="7" t="n">
        <v>24799.2</v>
      </c>
      <c r="E258" s="7" t="n">
        <v>30384</v>
      </c>
      <c r="F258" s="7" t="n">
        <v>18395.9</v>
      </c>
      <c r="G258" s="7" t="n">
        <v>36474.7</v>
      </c>
      <c r="H258" s="7" t="n">
        <v>34510.2</v>
      </c>
      <c r="I258" s="7" t="n">
        <v>32438.7</v>
      </c>
      <c r="J258" s="7" t="n">
        <v>35624.6</v>
      </c>
      <c r="K258" s="7" t="n">
        <v>33883.7</v>
      </c>
      <c r="L258" s="7" t="n">
        <v>46409.8</v>
      </c>
      <c r="M258" s="7" t="n">
        <v>27329.9</v>
      </c>
      <c r="N258" s="7" t="n">
        <v>43615.7</v>
      </c>
      <c r="O258" s="7" t="n">
        <v>36609</v>
      </c>
      <c r="P258" s="7" t="n">
        <v>40930</v>
      </c>
      <c r="Q258" s="7" t="n">
        <v>31534.3</v>
      </c>
      <c r="R258" s="7" t="n">
        <v>37165</v>
      </c>
      <c r="S258" s="7" t="n">
        <v>32686.7</v>
      </c>
      <c r="T258" s="7" t="n">
        <v>35367.8</v>
      </c>
      <c r="U258" s="7" t="n">
        <v>28194.9</v>
      </c>
      <c r="V258" s="7" t="n">
        <v>25398.2</v>
      </c>
      <c r="W258" s="7" t="n">
        <v>28486.5</v>
      </c>
      <c r="X258" s="7" t="n">
        <v>23971.5</v>
      </c>
      <c r="Y258" s="7" t="n">
        <v>29213.3</v>
      </c>
      <c r="Z258" s="7" t="n">
        <v>16279.1</v>
      </c>
      <c r="AA258" s="7" t="n">
        <v>376449.9</v>
      </c>
      <c r="AB258" s="7" t="n">
        <v>382467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164182.2</v>
      </c>
      <c r="D259" s="7" t="n">
        <v>74397.60000000001</v>
      </c>
      <c r="E259" s="7" t="n">
        <v>127634.3</v>
      </c>
      <c r="F259" s="7" t="n">
        <v>55187.6</v>
      </c>
      <c r="G259" s="7" t="n">
        <v>163024.1</v>
      </c>
      <c r="H259" s="7" t="n">
        <v>103530.7</v>
      </c>
      <c r="I259" s="7" t="n">
        <v>98328.8</v>
      </c>
      <c r="J259" s="7" t="n">
        <v>106873.8</v>
      </c>
      <c r="K259" s="7" t="n">
        <v>141859.7</v>
      </c>
      <c r="L259" s="7" t="n">
        <v>139229.5</v>
      </c>
      <c r="M259" s="7" t="n">
        <v>135047.9</v>
      </c>
      <c r="N259" s="7" t="n">
        <v>130847.2</v>
      </c>
      <c r="O259" s="7" t="n">
        <v>153208.2</v>
      </c>
      <c r="P259" s="7" t="n">
        <v>122790</v>
      </c>
      <c r="Q259" s="7" t="n">
        <v>153167.6</v>
      </c>
      <c r="R259" s="7" t="n">
        <v>111495</v>
      </c>
      <c r="S259" s="7" t="n">
        <v>145856.5</v>
      </c>
      <c r="T259" s="7" t="n">
        <v>106103.6</v>
      </c>
      <c r="U259" s="7" t="n">
        <v>165667.2</v>
      </c>
      <c r="V259" s="7" t="n">
        <v>76194.8</v>
      </c>
      <c r="W259" s="7" t="n">
        <v>175484.8</v>
      </c>
      <c r="X259" s="7" t="n">
        <v>71914.7</v>
      </c>
      <c r="Y259" s="7" t="n">
        <v>106193.5</v>
      </c>
      <c r="Z259" s="7" t="n">
        <v>48837.3</v>
      </c>
      <c r="AA259" s="8" t="n">
        <v>1729654.8</v>
      </c>
      <c r="AB259" s="8" t="n">
        <v>1147401.8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14745.3</v>
      </c>
      <c r="E260" s="7" t="n">
        <v>0</v>
      </c>
      <c r="F260" s="7" t="n">
        <v>12009.7</v>
      </c>
      <c r="G260" s="7" t="n">
        <v>0</v>
      </c>
      <c r="H260" s="7" t="n">
        <v>22323</v>
      </c>
      <c r="I260" s="7" t="n">
        <v>0</v>
      </c>
      <c r="J260" s="7" t="n">
        <v>8034.2</v>
      </c>
      <c r="K260" s="7" t="n">
        <v>0</v>
      </c>
      <c r="L260" s="7" t="n">
        <v>38331.8</v>
      </c>
      <c r="M260" s="7" t="n">
        <v>0</v>
      </c>
      <c r="N260" s="7" t="n">
        <v>9403.4</v>
      </c>
      <c r="O260" s="7" t="n">
        <v>0</v>
      </c>
      <c r="P260" s="7" t="n">
        <v>26540.9</v>
      </c>
      <c r="Q260" s="7" t="n">
        <v>0</v>
      </c>
      <c r="R260" s="7" t="n">
        <v>19944</v>
      </c>
      <c r="S260" s="7" t="n">
        <v>0</v>
      </c>
      <c r="T260" s="7" t="n">
        <v>437.4</v>
      </c>
      <c r="U260" s="7" t="n">
        <v>0</v>
      </c>
      <c r="V260" s="7" t="n">
        <v>18614.1</v>
      </c>
      <c r="W260" s="7" t="n">
        <v>0</v>
      </c>
      <c r="X260" s="7" t="n">
        <v>11920.9</v>
      </c>
      <c r="Y260" s="7" t="n">
        <v>0</v>
      </c>
      <c r="Z260" s="7" t="n">
        <v>14033.2</v>
      </c>
      <c r="AA260" s="7" t="n">
        <v>0</v>
      </c>
      <c r="AB260" s="7" t="n">
        <v>196337.9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164182.2</v>
      </c>
      <c r="D261" s="7" t="n">
        <v>59652.3</v>
      </c>
      <c r="E261" s="7" t="n">
        <v>127634.3</v>
      </c>
      <c r="F261" s="7" t="n">
        <v>43177.9</v>
      </c>
      <c r="G261" s="7" t="n">
        <v>163024.1</v>
      </c>
      <c r="H261" s="7" t="n">
        <v>81207.7</v>
      </c>
      <c r="I261" s="7" t="n">
        <v>98328.8</v>
      </c>
      <c r="J261" s="7" t="n">
        <v>98839.60000000001</v>
      </c>
      <c r="K261" s="7" t="n">
        <v>141859.7</v>
      </c>
      <c r="L261" s="7" t="n">
        <v>100897.7</v>
      </c>
      <c r="M261" s="7" t="n">
        <v>135047.9</v>
      </c>
      <c r="N261" s="7" t="n">
        <v>121443.8</v>
      </c>
      <c r="O261" s="7" t="n">
        <v>153208.2</v>
      </c>
      <c r="P261" s="7" t="n">
        <v>96249.10000000001</v>
      </c>
      <c r="Q261" s="7" t="n">
        <v>153167.6</v>
      </c>
      <c r="R261" s="7" t="n">
        <v>91551</v>
      </c>
      <c r="S261" s="7" t="n">
        <v>145856.5</v>
      </c>
      <c r="T261" s="7" t="n">
        <v>105666.2</v>
      </c>
      <c r="U261" s="7" t="n">
        <v>165667.2</v>
      </c>
      <c r="V261" s="7" t="n">
        <v>57580.7</v>
      </c>
      <c r="W261" s="7" t="n">
        <v>175484.8</v>
      </c>
      <c r="X261" s="7" t="n">
        <v>59993.8</v>
      </c>
      <c r="Y261" s="7" t="n">
        <v>106193.5</v>
      </c>
      <c r="Z261" s="7" t="n">
        <v>34804.1</v>
      </c>
      <c r="AA261" s="8" t="n">
        <v>1729654.8</v>
      </c>
      <c r="AB261" s="8" t="n">
        <v>951063.9</v>
      </c>
    </row>
    <row r="262">
      <c r="A262" s="4" t="inlineStr">
        <is>
          <t>净利率</t>
        </is>
      </c>
      <c r="D262" s="13" t="n">
        <v>6.9</v>
      </c>
      <c r="F262" s="13" t="n">
        <v>5.4</v>
      </c>
      <c r="H262" s="13" t="n">
        <v>6.9</v>
      </c>
      <c r="J262" s="13" t="n">
        <v>6.2</v>
      </c>
      <c r="L262" s="13" t="n">
        <v>7.8</v>
      </c>
      <c r="N262" s="13" t="n">
        <v>6.7</v>
      </c>
      <c r="P262" s="13" t="n">
        <v>5.7</v>
      </c>
      <c r="R262" s="13" t="n">
        <v>6</v>
      </c>
      <c r="T262" s="13" t="n">
        <v>6.6</v>
      </c>
      <c r="V262" s="13" t="n">
        <v>4</v>
      </c>
      <c r="X262" s="13" t="n">
        <v>4.8</v>
      </c>
      <c r="Z262" s="13" t="n">
        <v>4.2</v>
      </c>
    </row>
    <row r="263">
      <c r="A263" s="4" t="inlineStr">
        <is>
          <t>销售达成率</t>
        </is>
      </c>
      <c r="D263" s="13" t="n">
        <v>75.40000000000001</v>
      </c>
      <c r="F263" s="13" t="n">
        <v>67.2</v>
      </c>
      <c r="H263" s="13" t="n">
        <v>86.40000000000001</v>
      </c>
      <c r="J263" s="13" t="n">
        <v>117.4</v>
      </c>
      <c r="L263" s="13" t="n">
        <v>122.9</v>
      </c>
      <c r="N263" s="13" t="n">
        <v>119.4</v>
      </c>
      <c r="P263" s="13" t="n">
        <v>116.8</v>
      </c>
      <c r="R263" s="13" t="n">
        <v>113.7</v>
      </c>
      <c r="T263" s="13" t="n">
        <v>87.8</v>
      </c>
      <c r="V263" s="13" t="n">
        <v>106.7</v>
      </c>
      <c r="X263" s="13" t="n">
        <v>99.90000000000001</v>
      </c>
      <c r="Z263" s="13" t="n">
        <v>64.59999999999999</v>
      </c>
    </row>
    <row r="264">
      <c r="A264" s="4" t="inlineStr">
        <is>
          <t>净利达成率</t>
        </is>
      </c>
      <c r="D264" s="13" t="n">
        <v>45.3</v>
      </c>
      <c r="F264" s="13" t="n">
        <v>43.2</v>
      </c>
      <c r="H264" s="13" t="n">
        <v>63.5</v>
      </c>
      <c r="J264" s="13" t="n">
        <v>108.7</v>
      </c>
      <c r="L264" s="13" t="n">
        <v>98.09999999999999</v>
      </c>
      <c r="N264" s="13" t="n">
        <v>96.90000000000001</v>
      </c>
      <c r="P264" s="13" t="n">
        <v>80.09999999999999</v>
      </c>
      <c r="R264" s="13" t="n">
        <v>72.8</v>
      </c>
      <c r="T264" s="13" t="n">
        <v>72.7</v>
      </c>
      <c r="V264" s="13" t="n">
        <v>46</v>
      </c>
      <c r="X264" s="13" t="n">
        <v>41</v>
      </c>
      <c r="Z264" s="13" t="n">
        <v>46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6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28" customHeight="1">
      <c r="A1" s="9" t="inlineStr">
        <is>
          <t xml:space="preserve">湖南省区利润表 </t>
        </is>
      </c>
    </row>
    <row r="2">
      <c r="A2" s="10" t="n">
        <v>46021</v>
      </c>
      <c r="AB2" t="inlineStr">
        <is>
          <t>会企01表</t>
        </is>
      </c>
    </row>
    <row r="3" ht="22" customHeight="1">
      <c r="A3" t="inlineStr">
        <is>
          <t>编制单位：苏州精密机械制造有限公司</t>
        </is>
      </c>
    </row>
    <row r="4" ht="24" customHeight="1">
      <c r="A4" s="2" t="inlineStr">
        <is>
          <t xml:space="preserve">项　　　  　目　</t>
        </is>
      </c>
      <c r="B4" s="2" t="inlineStr">
        <is>
          <t>行次</t>
        </is>
      </c>
      <c r="C4" s="11" t="n">
        <v>45658</v>
      </c>
      <c r="D4" s="2" t="n"/>
      <c r="E4" s="11" t="n">
        <v>45689</v>
      </c>
      <c r="F4" s="2" t="n"/>
      <c r="G4" s="11" t="n">
        <v>45717</v>
      </c>
      <c r="H4" s="2" t="n"/>
      <c r="I4" s="11" t="n">
        <v>45748</v>
      </c>
      <c r="J4" s="2" t="n"/>
      <c r="K4" s="11" t="n">
        <v>45778</v>
      </c>
      <c r="L4" s="2" t="n"/>
      <c r="M4" s="11" t="n">
        <v>45809</v>
      </c>
      <c r="N4" s="2" t="n"/>
      <c r="O4" s="11" t="n">
        <v>45839</v>
      </c>
      <c r="P4" s="2" t="n"/>
      <c r="Q4" s="11" t="n">
        <v>45870</v>
      </c>
      <c r="R4" s="2" t="n"/>
      <c r="S4" s="11" t="n">
        <v>45901</v>
      </c>
      <c r="T4" s="2" t="n"/>
      <c r="U4" s="11" t="n">
        <v>45931</v>
      </c>
      <c r="V4" s="2" t="n"/>
      <c r="W4" s="11" t="n">
        <v>45962</v>
      </c>
      <c r="X4" s="2" t="n"/>
      <c r="Y4" s="11" t="n">
        <v>45992</v>
      </c>
      <c r="Z4" s="2" t="n"/>
      <c r="AA4" s="2" t="inlineStr">
        <is>
          <t>2025年合计</t>
        </is>
      </c>
    </row>
    <row r="5" ht="24" customHeight="1">
      <c r="A5" s="12" t="n"/>
      <c r="B5" s="12" t="n"/>
      <c r="C5" s="2" t="inlineStr">
        <is>
          <t>预算数</t>
        </is>
      </c>
      <c r="D5" s="2" t="inlineStr">
        <is>
          <t>本月实际</t>
        </is>
      </c>
      <c r="E5" s="2" t="inlineStr">
        <is>
          <t>预算数</t>
        </is>
      </c>
      <c r="F5" s="2" t="inlineStr">
        <is>
          <t>本月实际</t>
        </is>
      </c>
      <c r="G5" s="2" t="inlineStr">
        <is>
          <t>预算数</t>
        </is>
      </c>
      <c r="H5" s="2" t="inlineStr">
        <is>
          <t>本月实际</t>
        </is>
      </c>
      <c r="I5" s="2" t="inlineStr">
        <is>
          <t>预算数</t>
        </is>
      </c>
      <c r="J5" s="2" t="inlineStr">
        <is>
          <t>本月实际</t>
        </is>
      </c>
      <c r="K5" s="2" t="inlineStr">
        <is>
          <t>预算数</t>
        </is>
      </c>
      <c r="L5" s="2" t="inlineStr">
        <is>
          <t>本月实际</t>
        </is>
      </c>
      <c r="M5" s="2" t="inlineStr">
        <is>
          <t>预算数</t>
        </is>
      </c>
      <c r="N5" s="2" t="inlineStr">
        <is>
          <t>本月实际</t>
        </is>
      </c>
      <c r="O5" s="2" t="inlineStr">
        <is>
          <t>预算数</t>
        </is>
      </c>
      <c r="P5" s="2" t="inlineStr">
        <is>
          <t>本月实际</t>
        </is>
      </c>
      <c r="Q5" s="2" t="inlineStr">
        <is>
          <t>预算数</t>
        </is>
      </c>
      <c r="R5" s="2" t="inlineStr">
        <is>
          <t>本月实际</t>
        </is>
      </c>
      <c r="S5" s="2" t="inlineStr">
        <is>
          <t>预算数</t>
        </is>
      </c>
      <c r="T5" s="2" t="inlineStr">
        <is>
          <t>本月实际</t>
        </is>
      </c>
      <c r="U5" s="2" t="inlineStr">
        <is>
          <t>预算数</t>
        </is>
      </c>
      <c r="V5" s="2" t="inlineStr">
        <is>
          <t>本月实际</t>
        </is>
      </c>
      <c r="W5" s="2" t="inlineStr">
        <is>
          <t>预算数</t>
        </is>
      </c>
      <c r="X5" s="2" t="inlineStr">
        <is>
          <t>本月实际</t>
        </is>
      </c>
      <c r="Y5" s="2" t="inlineStr">
        <is>
          <t>预算数</t>
        </is>
      </c>
      <c r="Z5" s="2" t="inlineStr">
        <is>
          <t>本月实际</t>
        </is>
      </c>
      <c r="AA5" s="2" t="inlineStr">
        <is>
          <t>预算数</t>
        </is>
      </c>
      <c r="AB5" s="2" t="inlineStr">
        <is>
          <t>本年实际</t>
        </is>
      </c>
    </row>
    <row r="6">
      <c r="A6" s="6" t="inlineStr">
        <is>
          <t>一、营业收入</t>
        </is>
      </c>
      <c r="B6" s="3" t="inlineStr">
        <is>
          <t>1</t>
        </is>
      </c>
      <c r="C6" s="7" t="n">
        <v>1267818.1</v>
      </c>
      <c r="D6" s="7" t="n">
        <v>736381.3</v>
      </c>
      <c r="E6" s="7" t="n">
        <v>1196697</v>
      </c>
      <c r="F6" s="7" t="n">
        <v>914146.4</v>
      </c>
      <c r="G6" s="7" t="n">
        <v>1206809</v>
      </c>
      <c r="H6" s="7" t="n">
        <v>968803.5</v>
      </c>
      <c r="I6" s="7" t="n">
        <v>992791.5</v>
      </c>
      <c r="J6" s="7" t="n">
        <v>1189204.5</v>
      </c>
      <c r="K6" s="7" t="n">
        <v>1306236.2</v>
      </c>
      <c r="L6" s="7" t="n">
        <v>1364684.8</v>
      </c>
      <c r="M6" s="7" t="n">
        <v>1271648.9</v>
      </c>
      <c r="N6" s="7" t="n">
        <v>1485934.9</v>
      </c>
      <c r="O6" s="7" t="n">
        <v>1076529.2</v>
      </c>
      <c r="P6" s="7" t="n">
        <v>1505703.1</v>
      </c>
      <c r="Q6" s="7" t="n">
        <v>1046313.5</v>
      </c>
      <c r="R6" s="7" t="n">
        <v>1208712.6</v>
      </c>
      <c r="S6" s="7" t="n">
        <v>1227639.6</v>
      </c>
      <c r="T6" s="7" t="n">
        <v>1158474.3</v>
      </c>
      <c r="U6" s="7" t="n">
        <v>1090950</v>
      </c>
      <c r="V6" s="7" t="n">
        <v>1416187.6</v>
      </c>
      <c r="W6" s="7" t="n">
        <v>1101657</v>
      </c>
      <c r="X6" s="7" t="n">
        <v>1016655.5</v>
      </c>
      <c r="Y6" s="7" t="n">
        <v>985796.5</v>
      </c>
      <c r="Z6" s="7" t="n">
        <v>707545.2</v>
      </c>
      <c r="AA6" s="8" t="n">
        <v>13770886.5</v>
      </c>
      <c r="AB6" s="8" t="n">
        <v>13672433.7</v>
      </c>
    </row>
    <row r="7">
      <c r="A7" s="4" t="inlineStr">
        <is>
          <t>数控机床</t>
        </is>
      </c>
      <c r="D7" s="7" t="n">
        <v>62977.6</v>
      </c>
      <c r="F7" s="7" t="n">
        <v>74264.10000000001</v>
      </c>
      <c r="H7" s="7" t="n">
        <v>67575.89999999999</v>
      </c>
      <c r="J7" s="7" t="n">
        <v>105878.1</v>
      </c>
      <c r="L7" s="7" t="n">
        <v>96406.60000000001</v>
      </c>
      <c r="N7" s="7" t="n">
        <v>128664</v>
      </c>
      <c r="P7" s="7" t="n">
        <v>117924.7</v>
      </c>
      <c r="R7" s="7" t="n">
        <v>115580.1</v>
      </c>
      <c r="T7" s="7" t="n">
        <v>89292.7</v>
      </c>
      <c r="V7" s="7" t="n">
        <v>119793.6</v>
      </c>
      <c r="X7" s="7" t="n">
        <v>79232.89999999999</v>
      </c>
      <c r="Z7" s="7" t="n">
        <v>54885</v>
      </c>
      <c r="AB7" s="7" t="n">
        <v>1112475.3</v>
      </c>
    </row>
    <row r="8">
      <c r="A8" s="4" t="inlineStr">
        <is>
          <t>精密轴承</t>
        </is>
      </c>
      <c r="D8" s="7" t="n">
        <v>75337.5</v>
      </c>
      <c r="F8" s="7" t="n">
        <v>104212.2</v>
      </c>
      <c r="H8" s="7" t="n">
        <v>107612.4</v>
      </c>
      <c r="J8" s="7" t="n">
        <v>148825.8</v>
      </c>
      <c r="L8" s="7" t="n">
        <v>116480.4</v>
      </c>
      <c r="N8" s="7" t="n">
        <v>154011.2</v>
      </c>
      <c r="P8" s="7" t="n">
        <v>154662.7</v>
      </c>
      <c r="R8" s="7" t="n">
        <v>121499.2</v>
      </c>
      <c r="T8" s="7" t="n">
        <v>143654.6</v>
      </c>
      <c r="V8" s="7" t="n">
        <v>161171.8</v>
      </c>
      <c r="X8" s="7" t="n">
        <v>117899.9</v>
      </c>
      <c r="Z8" s="7" t="n">
        <v>98396</v>
      </c>
      <c r="AB8" s="7" t="n">
        <v>1503763.7</v>
      </c>
    </row>
    <row r="9">
      <c r="A9" s="4" t="inlineStr">
        <is>
          <t>液压件</t>
        </is>
      </c>
      <c r="D9" s="7" t="n">
        <v>85473.10000000001</v>
      </c>
      <c r="F9" s="7" t="n">
        <v>107517.8</v>
      </c>
      <c r="H9" s="7" t="n">
        <v>110780.9</v>
      </c>
      <c r="J9" s="7" t="n">
        <v>129345</v>
      </c>
      <c r="L9" s="7" t="n">
        <v>177228.1</v>
      </c>
      <c r="N9" s="7" t="n">
        <v>190531.8</v>
      </c>
      <c r="P9" s="7" t="n">
        <v>153809.7</v>
      </c>
      <c r="R9" s="7" t="n">
        <v>132866</v>
      </c>
      <c r="T9" s="7" t="n">
        <v>112526.4</v>
      </c>
      <c r="V9" s="7" t="n">
        <v>185971.1</v>
      </c>
      <c r="X9" s="7" t="n">
        <v>116171.1</v>
      </c>
      <c r="Z9" s="7" t="n">
        <v>79803.5</v>
      </c>
      <c r="AB9" s="7" t="n">
        <v>1582024.5</v>
      </c>
    </row>
    <row r="10">
      <c r="A10" s="4" t="inlineStr">
        <is>
          <t>气动元件</t>
        </is>
      </c>
      <c r="D10" s="7" t="n">
        <v>216660</v>
      </c>
      <c r="F10" s="7" t="n">
        <v>255748.4</v>
      </c>
      <c r="H10" s="7" t="n">
        <v>249637.7</v>
      </c>
      <c r="J10" s="7" t="n">
        <v>387370.5</v>
      </c>
      <c r="L10" s="7" t="n">
        <v>402644</v>
      </c>
      <c r="N10" s="7" t="n">
        <v>397934.6</v>
      </c>
      <c r="P10" s="7" t="n">
        <v>506763.5</v>
      </c>
      <c r="R10" s="7" t="n">
        <v>358629.4</v>
      </c>
      <c r="T10" s="7" t="n">
        <v>353265.9</v>
      </c>
      <c r="V10" s="7" t="n">
        <v>459208</v>
      </c>
      <c r="X10" s="7" t="n">
        <v>246292.3</v>
      </c>
      <c r="Z10" s="7" t="n">
        <v>190169.8</v>
      </c>
      <c r="AB10" s="7" t="n">
        <v>4024324.1</v>
      </c>
    </row>
    <row r="11">
      <c r="A11" s="4" t="inlineStr">
        <is>
          <t>模具</t>
        </is>
      </c>
      <c r="D11" s="7" t="n">
        <v>232147.5</v>
      </c>
      <c r="F11" s="7" t="n">
        <v>318268.4</v>
      </c>
      <c r="H11" s="7" t="n">
        <v>335289</v>
      </c>
      <c r="J11" s="7" t="n">
        <v>318714.6</v>
      </c>
      <c r="L11" s="7" t="n">
        <v>476448.1</v>
      </c>
      <c r="N11" s="7" t="n">
        <v>504488.2</v>
      </c>
      <c r="P11" s="7" t="n">
        <v>437194.1</v>
      </c>
      <c r="R11" s="7" t="n">
        <v>372183.2</v>
      </c>
      <c r="T11" s="7" t="n">
        <v>372510.5</v>
      </c>
      <c r="V11" s="7" t="n">
        <v>381711.9</v>
      </c>
      <c r="X11" s="7" t="n">
        <v>364174.9</v>
      </c>
      <c r="Z11" s="7" t="n">
        <v>228782</v>
      </c>
      <c r="AB11" s="7" t="n">
        <v>4341912.4</v>
      </c>
    </row>
    <row r="12">
      <c r="A12" s="4" t="inlineStr">
        <is>
          <t>工装夹具</t>
        </is>
      </c>
      <c r="D12" s="7" t="n">
        <v>75414.7</v>
      </c>
      <c r="F12" s="7" t="n">
        <v>65140.7</v>
      </c>
      <c r="H12" s="7" t="n">
        <v>112323</v>
      </c>
      <c r="J12" s="7" t="n">
        <v>114803</v>
      </c>
      <c r="L12" s="7" t="n">
        <v>113744.2</v>
      </c>
      <c r="N12" s="7" t="n">
        <v>125360.3</v>
      </c>
      <c r="P12" s="7" t="n">
        <v>158696.5</v>
      </c>
      <c r="R12" s="7" t="n">
        <v>132854.8</v>
      </c>
      <c r="T12" s="7" t="n">
        <v>115421.9</v>
      </c>
      <c r="V12" s="7" t="n">
        <v>137308.3</v>
      </c>
      <c r="X12" s="7" t="n">
        <v>106129.8</v>
      </c>
      <c r="Z12" s="7" t="n">
        <v>65502.8</v>
      </c>
      <c r="AB12" s="7" t="n">
        <v>1322700</v>
      </c>
    </row>
    <row r="13">
      <c r="A13" s="4" t="inlineStr">
        <is>
          <t>返利</t>
        </is>
      </c>
      <c r="D13" s="7" t="n">
        <v>-21168.2</v>
      </c>
      <c r="F13" s="7" t="n">
        <v>-23762.5</v>
      </c>
      <c r="H13" s="7" t="n">
        <v>-21480.5</v>
      </c>
      <c r="J13" s="7" t="n">
        <v>-19425.1</v>
      </c>
      <c r="L13" s="7" t="n">
        <v>-35076</v>
      </c>
      <c r="N13" s="7" t="n">
        <v>-31362.6</v>
      </c>
      <c r="P13" s="7" t="n">
        <v>-23799.9</v>
      </c>
      <c r="R13" s="7" t="n">
        <v>-26545.2</v>
      </c>
      <c r="T13" s="7" t="n">
        <v>-29348.1</v>
      </c>
      <c r="V13" s="7" t="n">
        <v>-38560.3</v>
      </c>
      <c r="X13" s="7" t="n">
        <v>-22714.3</v>
      </c>
      <c r="Z13" s="7" t="n">
        <v>-13345.2</v>
      </c>
      <c r="AB13" s="7" t="n">
        <v>-306587.9</v>
      </c>
    </row>
    <row r="14">
      <c r="A14" s="4" t="inlineStr">
        <is>
          <t>其他</t>
        </is>
      </c>
      <c r="D14" s="7" t="n">
        <v>9539.1</v>
      </c>
      <c r="F14" s="7" t="n">
        <v>12757.3</v>
      </c>
      <c r="H14" s="7" t="n">
        <v>7065.1</v>
      </c>
      <c r="J14" s="7" t="n">
        <v>3692.6</v>
      </c>
      <c r="L14" s="7" t="n">
        <v>16809.4</v>
      </c>
      <c r="N14" s="7" t="n">
        <v>16307.4</v>
      </c>
      <c r="P14" s="7" t="n">
        <v>451.8</v>
      </c>
      <c r="R14" s="7" t="n">
        <v>1645.1</v>
      </c>
      <c r="T14" s="7" t="n">
        <v>1150.4</v>
      </c>
      <c r="V14" s="7" t="n">
        <v>9583.200000000001</v>
      </c>
      <c r="X14" s="7" t="n">
        <v>9468.9</v>
      </c>
      <c r="Z14" s="7" t="n">
        <v>3351.3</v>
      </c>
      <c r="AB14" s="7" t="n">
        <v>91821.60000000001</v>
      </c>
    </row>
    <row r="15">
      <c r="A15" s="6" t="inlineStr">
        <is>
          <t>减：营业成本</t>
        </is>
      </c>
      <c r="B15" s="3" t="inlineStr">
        <is>
          <t>2</t>
        </is>
      </c>
      <c r="C15" s="7" t="n">
        <v>810482.6</v>
      </c>
      <c r="D15" s="7" t="n">
        <v>595586.5</v>
      </c>
      <c r="E15" s="7" t="n">
        <v>832272.5</v>
      </c>
      <c r="F15" s="7" t="n">
        <v>725380</v>
      </c>
      <c r="G15" s="7" t="n">
        <v>777904.2</v>
      </c>
      <c r="H15" s="7" t="n">
        <v>788926.5</v>
      </c>
      <c r="I15" s="7" t="n">
        <v>848736.7</v>
      </c>
      <c r="J15" s="7" t="n">
        <v>934182.4</v>
      </c>
      <c r="K15" s="7" t="n">
        <v>902860.1</v>
      </c>
      <c r="L15" s="7" t="n">
        <v>1083548.7</v>
      </c>
      <c r="M15" s="7" t="n">
        <v>880932.9</v>
      </c>
      <c r="N15" s="7" t="n">
        <v>1179391.8</v>
      </c>
      <c r="O15" s="7" t="n">
        <v>939623.3</v>
      </c>
      <c r="P15" s="7" t="n">
        <v>1188851.9</v>
      </c>
      <c r="Q15" s="7" t="n">
        <v>946810.5</v>
      </c>
      <c r="R15" s="7" t="n">
        <v>962067.7</v>
      </c>
      <c r="S15" s="7" t="n">
        <v>1003707.2</v>
      </c>
      <c r="T15" s="7" t="n">
        <v>943261</v>
      </c>
      <c r="U15" s="7" t="n">
        <v>852936.7</v>
      </c>
      <c r="V15" s="7" t="n">
        <v>1119160.4</v>
      </c>
      <c r="W15" s="7" t="n">
        <v>854444.9</v>
      </c>
      <c r="X15" s="7" t="n">
        <v>815848.8</v>
      </c>
      <c r="Y15" s="7" t="n">
        <v>983261.4</v>
      </c>
      <c r="Z15" s="7" t="n">
        <v>567098.6</v>
      </c>
      <c r="AA15" s="8" t="n">
        <v>10633973</v>
      </c>
      <c r="AB15" s="8" t="n">
        <v>10903304.3</v>
      </c>
    </row>
    <row r="16">
      <c r="A16" s="4" t="inlineStr">
        <is>
          <t>数控机床</t>
        </is>
      </c>
      <c r="D16" s="7" t="n">
        <v>42416.2</v>
      </c>
      <c r="F16" s="7" t="n">
        <v>50017.8</v>
      </c>
      <c r="H16" s="7" t="n">
        <v>45513.2</v>
      </c>
      <c r="J16" s="7" t="n">
        <v>71310.2</v>
      </c>
      <c r="L16" s="7" t="n">
        <v>64931</v>
      </c>
      <c r="N16" s="7" t="n">
        <v>86656.8</v>
      </c>
      <c r="P16" s="7" t="n">
        <v>79423.7</v>
      </c>
      <c r="R16" s="7" t="n">
        <v>77844.60000000001</v>
      </c>
      <c r="T16" s="7" t="n">
        <v>60139.7</v>
      </c>
      <c r="V16" s="7" t="n">
        <v>80682.5</v>
      </c>
      <c r="X16" s="7" t="n">
        <v>53364.3</v>
      </c>
      <c r="Z16" s="7" t="n">
        <v>36965.7</v>
      </c>
      <c r="AB16" s="7" t="n">
        <v>749265.7</v>
      </c>
    </row>
    <row r="17">
      <c r="A17" s="4" t="inlineStr">
        <is>
          <t>精密轴承</t>
        </is>
      </c>
      <c r="D17" s="7" t="n">
        <v>56693.1</v>
      </c>
      <c r="F17" s="7" t="n">
        <v>78421.89999999999</v>
      </c>
      <c r="H17" s="7" t="n">
        <v>80980.60000000001</v>
      </c>
      <c r="J17" s="7" t="n">
        <v>111994.6</v>
      </c>
      <c r="L17" s="7" t="n">
        <v>87654</v>
      </c>
      <c r="N17" s="7" t="n">
        <v>115896.7</v>
      </c>
      <c r="P17" s="7" t="n">
        <v>116386.9</v>
      </c>
      <c r="R17" s="7" t="n">
        <v>91430.7</v>
      </c>
      <c r="T17" s="7" t="n">
        <v>108103.1</v>
      </c>
      <c r="V17" s="7" t="n">
        <v>121285.2</v>
      </c>
      <c r="X17" s="7" t="n">
        <v>88722.2</v>
      </c>
      <c r="Z17" s="7" t="n">
        <v>74045.10000000001</v>
      </c>
      <c r="AB17" s="7" t="n">
        <v>1131614.1</v>
      </c>
    </row>
    <row r="18">
      <c r="A18" s="4" t="inlineStr">
        <is>
          <t>液压件</t>
        </is>
      </c>
      <c r="D18" s="7" t="n">
        <v>61097.9</v>
      </c>
      <c r="F18" s="7" t="n">
        <v>76855.89999999999</v>
      </c>
      <c r="H18" s="7" t="n">
        <v>79188.39999999999</v>
      </c>
      <c r="J18" s="7" t="n">
        <v>92458.39999999999</v>
      </c>
      <c r="L18" s="7" t="n">
        <v>126686.2</v>
      </c>
      <c r="N18" s="7" t="n">
        <v>136195.9</v>
      </c>
      <c r="P18" s="7" t="n">
        <v>109946.2</v>
      </c>
      <c r="R18" s="7" t="n">
        <v>94975.3</v>
      </c>
      <c r="T18" s="7" t="n">
        <v>80436.10000000001</v>
      </c>
      <c r="V18" s="7" t="n">
        <v>132935.9</v>
      </c>
      <c r="X18" s="7" t="n">
        <v>83041.39999999999</v>
      </c>
      <c r="Z18" s="7" t="n">
        <v>57045.1</v>
      </c>
      <c r="AB18" s="7" t="n">
        <v>1130862.7</v>
      </c>
    </row>
    <row r="19">
      <c r="A19" s="4" t="inlineStr">
        <is>
          <t>气动元件</t>
        </is>
      </c>
      <c r="D19" s="7" t="n">
        <v>164974.5</v>
      </c>
      <c r="F19" s="7" t="n">
        <v>194738.2</v>
      </c>
      <c r="H19" s="7" t="n">
        <v>190085.2</v>
      </c>
      <c r="J19" s="7" t="n">
        <v>294961</v>
      </c>
      <c r="L19" s="7" t="n">
        <v>306591</v>
      </c>
      <c r="N19" s="7" t="n">
        <v>303005</v>
      </c>
      <c r="P19" s="7" t="n">
        <v>385872.2</v>
      </c>
      <c r="R19" s="7" t="n">
        <v>273076.3</v>
      </c>
      <c r="T19" s="7" t="n">
        <v>268992.3</v>
      </c>
      <c r="V19" s="7" t="n">
        <v>349661.3</v>
      </c>
      <c r="X19" s="7" t="n">
        <v>187537.9</v>
      </c>
      <c r="Z19" s="7" t="n">
        <v>144803.7</v>
      </c>
      <c r="AB19" s="7" t="n">
        <v>3064298.6</v>
      </c>
    </row>
    <row r="20">
      <c r="A20" s="4" t="inlineStr">
        <is>
          <t>模具</t>
        </is>
      </c>
      <c r="D20" s="7" t="n">
        <v>178528.6</v>
      </c>
      <c r="F20" s="7" t="n">
        <v>244758.3</v>
      </c>
      <c r="H20" s="7" t="n">
        <v>257847.6</v>
      </c>
      <c r="J20" s="7" t="n">
        <v>245101.4</v>
      </c>
      <c r="L20" s="7" t="n">
        <v>366403.4</v>
      </c>
      <c r="N20" s="7" t="n">
        <v>387967.1</v>
      </c>
      <c r="P20" s="7" t="n">
        <v>336215.8</v>
      </c>
      <c r="R20" s="7" t="n">
        <v>286220.4</v>
      </c>
      <c r="T20" s="7" t="n">
        <v>286472.1</v>
      </c>
      <c r="V20" s="7" t="n">
        <v>293548.3</v>
      </c>
      <c r="X20" s="7" t="n">
        <v>280061.8</v>
      </c>
      <c r="Z20" s="7" t="n">
        <v>175940.5</v>
      </c>
      <c r="AB20" s="7" t="n">
        <v>3339065.3</v>
      </c>
    </row>
    <row r="21">
      <c r="A21" s="4" t="inlineStr">
        <is>
          <t>工装夹具</t>
        </is>
      </c>
      <c r="D21" s="7" t="n">
        <v>59947.8</v>
      </c>
      <c r="F21" s="7" t="n">
        <v>51780.9</v>
      </c>
      <c r="H21" s="7" t="n">
        <v>89286.60000000001</v>
      </c>
      <c r="J21" s="7" t="n">
        <v>91258</v>
      </c>
      <c r="L21" s="7" t="n">
        <v>90416.3</v>
      </c>
      <c r="N21" s="7" t="n">
        <v>99650.10000000001</v>
      </c>
      <c r="P21" s="7" t="n">
        <v>126149.3</v>
      </c>
      <c r="R21" s="7" t="n">
        <v>105607.5</v>
      </c>
      <c r="T21" s="7" t="n">
        <v>91749.89999999999</v>
      </c>
      <c r="V21" s="7" t="n">
        <v>109147.6</v>
      </c>
      <c r="X21" s="7" t="n">
        <v>84363.60000000001</v>
      </c>
      <c r="Z21" s="7" t="n">
        <v>52068.8</v>
      </c>
      <c r="AB21" s="7" t="n">
        <v>1051426.4</v>
      </c>
    </row>
    <row r="22">
      <c r="A22" s="4" t="inlineStr">
        <is>
          <t>其他</t>
        </is>
      </c>
      <c r="D22" s="7" t="n">
        <v>5624.1</v>
      </c>
      <c r="F22" s="7" t="n">
        <v>12669.2</v>
      </c>
      <c r="H22" s="7" t="n">
        <v>4800.8</v>
      </c>
      <c r="J22" s="7" t="n">
        <v>15900.1</v>
      </c>
      <c r="L22" s="7" t="n">
        <v>190.8</v>
      </c>
      <c r="N22" s="7" t="n">
        <v>6369.3</v>
      </c>
      <c r="P22" s="7" t="n">
        <v>4251</v>
      </c>
      <c r="R22" s="7" t="n">
        <v>13824.8</v>
      </c>
      <c r="T22" s="7" t="n">
        <v>16143.2</v>
      </c>
      <c r="V22" s="7" t="n">
        <v>3786</v>
      </c>
      <c r="X22" s="7" t="n">
        <v>4685.6</v>
      </c>
      <c r="Z22" s="7" t="n">
        <v>51.6</v>
      </c>
      <c r="AB22" s="7" t="n">
        <v>88296.5</v>
      </c>
    </row>
    <row r="23">
      <c r="A23" s="4" t="inlineStr">
        <is>
          <t>运费</t>
        </is>
      </c>
      <c r="D23" s="7" t="n">
        <v>31928.4</v>
      </c>
      <c r="F23" s="7" t="n">
        <v>28807</v>
      </c>
      <c r="H23" s="7" t="n">
        <v>46024.9</v>
      </c>
      <c r="J23" s="7" t="n">
        <v>27098.8</v>
      </c>
      <c r="L23" s="7" t="n">
        <v>40866.8</v>
      </c>
      <c r="N23" s="7" t="n">
        <v>50020.2</v>
      </c>
      <c r="P23" s="7" t="n">
        <v>34857.8</v>
      </c>
      <c r="R23" s="7" t="n">
        <v>32912.9</v>
      </c>
      <c r="T23" s="7" t="n">
        <v>47367.8</v>
      </c>
      <c r="V23" s="7" t="n">
        <v>31899.6</v>
      </c>
      <c r="X23" s="7" t="n">
        <v>38757.6</v>
      </c>
      <c r="Z23" s="7" t="n">
        <v>26229.7</v>
      </c>
      <c r="AB23" s="7" t="n">
        <v>436771.5</v>
      </c>
    </row>
    <row r="24">
      <c r="A24" s="6" t="inlineStr">
        <is>
          <t>毛利</t>
        </is>
      </c>
      <c r="B24" s="3" t="inlineStr">
        <is>
          <t>3</t>
        </is>
      </c>
      <c r="C24" s="7" t="n">
        <v>457335.5</v>
      </c>
      <c r="D24" s="7" t="n">
        <v>140794.8</v>
      </c>
      <c r="E24" s="7" t="n">
        <v>364424.5</v>
      </c>
      <c r="F24" s="7" t="n">
        <v>188766.4</v>
      </c>
      <c r="G24" s="7" t="n">
        <v>428904.8</v>
      </c>
      <c r="H24" s="7" t="n">
        <v>179877</v>
      </c>
      <c r="I24" s="7" t="n">
        <v>144054.8</v>
      </c>
      <c r="J24" s="7" t="n">
        <v>255022.1</v>
      </c>
      <c r="K24" s="7" t="n">
        <v>403376.1</v>
      </c>
      <c r="L24" s="7" t="n">
        <v>281136.1</v>
      </c>
      <c r="M24" s="7" t="n">
        <v>390716</v>
      </c>
      <c r="N24" s="7" t="n">
        <v>306543.1</v>
      </c>
      <c r="O24" s="7" t="n">
        <v>136905.9</v>
      </c>
      <c r="P24" s="7" t="n">
        <v>316851.2</v>
      </c>
      <c r="Q24" s="7" t="n">
        <v>99503</v>
      </c>
      <c r="R24" s="7" t="n">
        <v>246644.9</v>
      </c>
      <c r="S24" s="7" t="n">
        <v>223932.4</v>
      </c>
      <c r="T24" s="7" t="n">
        <v>215213.3</v>
      </c>
      <c r="U24" s="7" t="n">
        <v>238013.3</v>
      </c>
      <c r="V24" s="7" t="n">
        <v>297027.2</v>
      </c>
      <c r="W24" s="7" t="n">
        <v>247212.1</v>
      </c>
      <c r="X24" s="7" t="n">
        <v>200806.7</v>
      </c>
      <c r="Y24" s="7" t="n">
        <v>2535.1</v>
      </c>
      <c r="Z24" s="7" t="n">
        <v>140446.6</v>
      </c>
      <c r="AA24" s="8" t="n">
        <v>3136913.5</v>
      </c>
      <c r="AB24" s="8" t="n">
        <v>2769129.4</v>
      </c>
    </row>
    <row r="25">
      <c r="A25" s="4" t="inlineStr">
        <is>
          <t>毛利率</t>
        </is>
      </c>
      <c r="B25" s="3" t="inlineStr">
        <is>
          <t>4</t>
        </is>
      </c>
      <c r="C25" s="13" t="n">
        <v>36.1</v>
      </c>
      <c r="D25" s="13" t="n">
        <v>19.1</v>
      </c>
      <c r="E25" s="13" t="n">
        <v>30.5</v>
      </c>
      <c r="F25" s="13" t="n">
        <v>20.6</v>
      </c>
      <c r="G25" s="13" t="n">
        <v>35.5</v>
      </c>
      <c r="H25" s="13" t="n">
        <v>18.6</v>
      </c>
      <c r="I25" s="13" t="n">
        <v>14.5</v>
      </c>
      <c r="J25" s="13" t="n">
        <v>21.4</v>
      </c>
      <c r="K25" s="13" t="n">
        <v>30.9</v>
      </c>
      <c r="L25" s="13" t="n">
        <v>20.6</v>
      </c>
      <c r="M25" s="13" t="n">
        <v>30.7</v>
      </c>
      <c r="N25" s="13" t="n">
        <v>20.6</v>
      </c>
      <c r="O25" s="13" t="n">
        <v>12.7</v>
      </c>
      <c r="P25" s="13" t="n">
        <v>21</v>
      </c>
      <c r="Q25" s="13" t="n">
        <v>9.5</v>
      </c>
      <c r="R25" s="13" t="n">
        <v>20.4</v>
      </c>
      <c r="S25" s="13" t="n">
        <v>18.2</v>
      </c>
      <c r="T25" s="13" t="n">
        <v>18.6</v>
      </c>
      <c r="U25" s="13" t="n">
        <v>21.8</v>
      </c>
      <c r="V25" s="13" t="n">
        <v>21</v>
      </c>
      <c r="W25" s="13" t="n">
        <v>22.4</v>
      </c>
      <c r="X25" s="13" t="n">
        <v>19.8</v>
      </c>
      <c r="Y25" s="13" t="n">
        <v>0.3</v>
      </c>
      <c r="Z25" s="13" t="n">
        <v>19.8</v>
      </c>
    </row>
    <row r="26">
      <c r="A26" s="6" t="inlineStr">
        <is>
          <t>税金及附加</t>
        </is>
      </c>
      <c r="B26" s="3" t="inlineStr">
        <is>
          <t>5</t>
        </is>
      </c>
      <c r="C26" s="7" t="n">
        <v>12108.8</v>
      </c>
      <c r="D26" s="7" t="n">
        <v>3916.9</v>
      </c>
      <c r="E26" s="7" t="n">
        <v>12017.6</v>
      </c>
      <c r="F26" s="7" t="n">
        <v>5302.2</v>
      </c>
      <c r="G26" s="7" t="n">
        <v>10279.6</v>
      </c>
      <c r="H26" s="7" t="n">
        <v>11717.1</v>
      </c>
      <c r="I26" s="7" t="n">
        <v>11717.1</v>
      </c>
      <c r="J26" s="7" t="n">
        <v>9606.6</v>
      </c>
      <c r="K26" s="7" t="n">
        <v>10851.3</v>
      </c>
      <c r="L26" s="7" t="n">
        <v>16651.2</v>
      </c>
      <c r="M26" s="7" t="n">
        <v>10262.5</v>
      </c>
      <c r="N26" s="7" t="n">
        <v>12511.7</v>
      </c>
      <c r="O26" s="7" t="n">
        <v>9570.299999999999</v>
      </c>
      <c r="P26" s="7" t="n">
        <v>21716.7</v>
      </c>
      <c r="Q26" s="7" t="n">
        <v>9577.9</v>
      </c>
      <c r="R26" s="7" t="n">
        <v>10858.1</v>
      </c>
      <c r="S26" s="7" t="n">
        <v>10496.9</v>
      </c>
      <c r="T26" s="7" t="n">
        <v>7043.7</v>
      </c>
      <c r="U26" s="7" t="n">
        <v>9816.299999999999</v>
      </c>
      <c r="V26" s="7" t="n">
        <v>14651.6</v>
      </c>
      <c r="W26" s="7" t="n">
        <v>11489.6</v>
      </c>
      <c r="X26" s="7" t="n">
        <v>8289</v>
      </c>
      <c r="Y26" s="7" t="n">
        <v>9760.299999999999</v>
      </c>
      <c r="Z26" s="7" t="n">
        <v>5531.5</v>
      </c>
      <c r="AA26" s="8" t="n">
        <v>127948.2</v>
      </c>
      <c r="AB26" s="8" t="n">
        <v>127796.3</v>
      </c>
    </row>
    <row r="27">
      <c r="A27" s="6" t="inlineStr">
        <is>
          <t>销售费用</t>
        </is>
      </c>
      <c r="B27" s="3" t="inlineStr">
        <is>
          <t>6</t>
        </is>
      </c>
      <c r="C27" s="7" t="n">
        <v>113701.9</v>
      </c>
      <c r="D27" s="7" t="n">
        <v>69543.8</v>
      </c>
      <c r="E27" s="7" t="n">
        <v>145892.3</v>
      </c>
      <c r="F27" s="7" t="n">
        <v>145790.6</v>
      </c>
      <c r="G27" s="7" t="n">
        <v>137005.2</v>
      </c>
      <c r="H27" s="7" t="n">
        <v>142962.1</v>
      </c>
      <c r="I27" s="7" t="n">
        <v>128526.5</v>
      </c>
      <c r="J27" s="7" t="n">
        <v>129756.1</v>
      </c>
      <c r="K27" s="7" t="n">
        <v>148947.7</v>
      </c>
      <c r="L27" s="7" t="n">
        <v>133914.2</v>
      </c>
      <c r="M27" s="7" t="n">
        <v>140394.4</v>
      </c>
      <c r="N27" s="7" t="n">
        <v>151898.4</v>
      </c>
      <c r="O27" s="7" t="n">
        <v>136805.7</v>
      </c>
      <c r="P27" s="7" t="n">
        <v>132888.4</v>
      </c>
      <c r="Q27" s="7" t="n">
        <v>130531.2</v>
      </c>
      <c r="R27" s="7" t="n">
        <v>174059</v>
      </c>
      <c r="S27" s="7" t="n">
        <v>116847.8</v>
      </c>
      <c r="T27" s="7" t="n">
        <v>199445.6</v>
      </c>
      <c r="U27" s="7" t="n">
        <v>124668.7</v>
      </c>
      <c r="V27" s="7" t="n">
        <v>133022.4</v>
      </c>
      <c r="W27" s="7" t="n">
        <v>119149.5</v>
      </c>
      <c r="X27" s="7" t="n">
        <v>120664.3</v>
      </c>
      <c r="Y27" s="7" t="n">
        <v>118426.7</v>
      </c>
      <c r="Z27" s="7" t="n">
        <v>59864.7</v>
      </c>
      <c r="AA27" s="8" t="n">
        <v>1560897.6</v>
      </c>
      <c r="AB27" s="8" t="n">
        <v>1593809.6</v>
      </c>
    </row>
    <row r="28">
      <c r="A28" s="4" t="inlineStr">
        <is>
          <t>职工薪酬</t>
        </is>
      </c>
      <c r="D28" s="7" t="n">
        <v>43428.6</v>
      </c>
      <c r="F28" s="7" t="n">
        <v>53429</v>
      </c>
      <c r="H28" s="7" t="n">
        <v>63772.7</v>
      </c>
      <c r="J28" s="7" t="n">
        <v>55433.2</v>
      </c>
      <c r="L28" s="7" t="n">
        <v>66827.7</v>
      </c>
      <c r="N28" s="7" t="n">
        <v>59411</v>
      </c>
      <c r="P28" s="7" t="n">
        <v>59114.4</v>
      </c>
      <c r="R28" s="7" t="n">
        <v>98501.8</v>
      </c>
      <c r="T28" s="7" t="n">
        <v>105122.2</v>
      </c>
      <c r="V28" s="7" t="n">
        <v>68356.89999999999</v>
      </c>
      <c r="X28" s="7" t="n">
        <v>58974.5</v>
      </c>
      <c r="Z28" s="7" t="n">
        <v>32864</v>
      </c>
      <c r="AB28" s="7" t="n">
        <v>765236</v>
      </c>
    </row>
    <row r="29">
      <c r="A29" s="4" t="inlineStr">
        <is>
          <t>工资</t>
        </is>
      </c>
      <c r="D29" s="7" t="n">
        <v>27003.4</v>
      </c>
      <c r="F29" s="7" t="n">
        <v>30746</v>
      </c>
      <c r="H29" s="7" t="n">
        <v>35716.6</v>
      </c>
      <c r="J29" s="7" t="n">
        <v>30196.4</v>
      </c>
      <c r="L29" s="7" t="n">
        <v>36677.9</v>
      </c>
      <c r="N29" s="7" t="n">
        <v>32801.4</v>
      </c>
      <c r="P29" s="7" t="n">
        <v>33060.1</v>
      </c>
      <c r="R29" s="7" t="n">
        <v>62838.8</v>
      </c>
      <c r="T29" s="7" t="n">
        <v>62934.4</v>
      </c>
      <c r="V29" s="7" t="n">
        <v>39909.4</v>
      </c>
      <c r="X29" s="7" t="n">
        <v>31900.3</v>
      </c>
      <c r="Z29" s="7" t="n">
        <v>20979.1</v>
      </c>
      <c r="AB29" s="7" t="n">
        <v>444763.8</v>
      </c>
    </row>
    <row r="30">
      <c r="A30" s="4" t="inlineStr">
        <is>
          <t>奖金及提成</t>
        </is>
      </c>
      <c r="D30" s="7" t="n">
        <v>8295.1</v>
      </c>
      <c r="F30" s="7" t="n">
        <v>10271.7</v>
      </c>
      <c r="H30" s="7" t="n">
        <v>11304.5</v>
      </c>
      <c r="J30" s="7" t="n">
        <v>12337.1</v>
      </c>
      <c r="L30" s="7" t="n">
        <v>14768.8</v>
      </c>
      <c r="N30" s="7" t="n">
        <v>11077.2</v>
      </c>
      <c r="P30" s="7" t="n">
        <v>13898.4</v>
      </c>
      <c r="R30" s="7" t="n">
        <v>18899.2</v>
      </c>
      <c r="T30" s="7" t="n">
        <v>16493.9</v>
      </c>
      <c r="V30" s="7" t="n">
        <v>14252</v>
      </c>
      <c r="X30" s="7" t="n">
        <v>11989.8</v>
      </c>
      <c r="Z30" s="7" t="n">
        <v>5940.5</v>
      </c>
      <c r="AB30" s="7" t="n">
        <v>149528.2</v>
      </c>
    </row>
    <row r="31">
      <c r="A31" s="4" t="inlineStr">
        <is>
          <t>社保</t>
        </is>
      </c>
      <c r="D31" s="7" t="n">
        <v>5909.7</v>
      </c>
      <c r="F31" s="7" t="n">
        <v>8178.7</v>
      </c>
      <c r="H31" s="7" t="n">
        <v>12439.7</v>
      </c>
      <c r="J31" s="7" t="n">
        <v>8411.1</v>
      </c>
      <c r="L31" s="7" t="n">
        <v>11238.7</v>
      </c>
      <c r="N31" s="7" t="n">
        <v>10996.9</v>
      </c>
      <c r="P31" s="7" t="n">
        <v>8076.1</v>
      </c>
      <c r="R31" s="7" t="n">
        <v>10969</v>
      </c>
      <c r="T31" s="7" t="n">
        <v>19226.7</v>
      </c>
      <c r="V31" s="7" t="n">
        <v>9853.700000000001</v>
      </c>
      <c r="X31" s="7" t="n">
        <v>10915.4</v>
      </c>
      <c r="Z31" s="7" t="n">
        <v>4159.2</v>
      </c>
      <c r="AB31" s="7" t="n">
        <v>120374.9</v>
      </c>
    </row>
    <row r="32">
      <c r="A32" s="4" t="inlineStr">
        <is>
          <t>养老</t>
        </is>
      </c>
      <c r="D32" s="7" t="n">
        <v>226.4</v>
      </c>
      <c r="F32" s="7" t="n">
        <v>433.4</v>
      </c>
      <c r="H32" s="7" t="n">
        <v>591.5</v>
      </c>
      <c r="J32" s="7" t="n">
        <v>370.8</v>
      </c>
      <c r="L32" s="7" t="n">
        <v>491.1</v>
      </c>
      <c r="N32" s="7" t="n">
        <v>513.6</v>
      </c>
      <c r="P32" s="7" t="n">
        <v>460.2</v>
      </c>
      <c r="R32" s="7" t="n">
        <v>696.2</v>
      </c>
      <c r="T32" s="7" t="n">
        <v>538.3</v>
      </c>
      <c r="V32" s="7" t="n">
        <v>374.1</v>
      </c>
      <c r="X32" s="7" t="n">
        <v>454.8</v>
      </c>
      <c r="Z32" s="7" t="n">
        <v>219.5</v>
      </c>
      <c r="AB32" s="7" t="n">
        <v>5369.9</v>
      </c>
    </row>
    <row r="33">
      <c r="A33" s="4" t="inlineStr">
        <is>
          <t>医疗</t>
        </is>
      </c>
      <c r="D33" s="7" t="n">
        <v>348.6</v>
      </c>
      <c r="F33" s="7" t="n">
        <v>785.5</v>
      </c>
      <c r="H33" s="7" t="n">
        <v>1170.5</v>
      </c>
      <c r="J33" s="7" t="n">
        <v>906.9</v>
      </c>
      <c r="L33" s="7" t="n">
        <v>842.2</v>
      </c>
      <c r="N33" s="7" t="n">
        <v>1216.6</v>
      </c>
      <c r="P33" s="7" t="n">
        <v>869.3</v>
      </c>
      <c r="R33" s="7" t="n">
        <v>831.4</v>
      </c>
      <c r="T33" s="7" t="n">
        <v>1149.1</v>
      </c>
      <c r="V33" s="7" t="n">
        <v>745</v>
      </c>
      <c r="X33" s="7" t="n">
        <v>881.9</v>
      </c>
      <c r="Z33" s="7" t="n">
        <v>461.5</v>
      </c>
      <c r="AB33" s="7" t="n">
        <v>10208.5</v>
      </c>
    </row>
    <row r="34">
      <c r="A34" s="4" t="inlineStr">
        <is>
          <t>工伤</t>
        </is>
      </c>
      <c r="D34" s="7" t="n">
        <v>236.7</v>
      </c>
      <c r="F34" s="7" t="n">
        <v>327.2</v>
      </c>
      <c r="H34" s="7" t="n">
        <v>365.2</v>
      </c>
      <c r="J34" s="7" t="n">
        <v>436</v>
      </c>
      <c r="L34" s="7" t="n">
        <v>318.7</v>
      </c>
      <c r="N34" s="7" t="n">
        <v>472.5</v>
      </c>
      <c r="P34" s="7" t="n">
        <v>482.6</v>
      </c>
      <c r="R34" s="7" t="n">
        <v>634.4</v>
      </c>
      <c r="T34" s="7" t="n">
        <v>639.8</v>
      </c>
      <c r="V34" s="7" t="n">
        <v>497.4</v>
      </c>
      <c r="X34" s="7" t="n">
        <v>336.1</v>
      </c>
      <c r="Z34" s="7" t="n">
        <v>166</v>
      </c>
      <c r="AB34" s="7" t="n">
        <v>4912.6</v>
      </c>
    </row>
    <row r="35">
      <c r="A35" s="4" t="inlineStr">
        <is>
          <t>失业</t>
        </is>
      </c>
      <c r="D35" s="7" t="n">
        <v>143.5</v>
      </c>
      <c r="F35" s="7" t="n">
        <v>329.8</v>
      </c>
      <c r="H35" s="7" t="n">
        <v>394.2</v>
      </c>
      <c r="J35" s="7" t="n">
        <v>450.8</v>
      </c>
      <c r="L35" s="7" t="n">
        <v>357.4</v>
      </c>
      <c r="N35" s="7" t="n">
        <v>330.4</v>
      </c>
      <c r="P35" s="7" t="n">
        <v>436.5</v>
      </c>
      <c r="R35" s="7" t="n">
        <v>388.9</v>
      </c>
      <c r="T35" s="7" t="n">
        <v>420.9</v>
      </c>
      <c r="V35" s="7" t="n">
        <v>418.2</v>
      </c>
      <c r="X35" s="7" t="n">
        <v>302.3</v>
      </c>
      <c r="Z35" s="7" t="n">
        <v>172.8</v>
      </c>
      <c r="AB35" s="7" t="n">
        <v>4145.7</v>
      </c>
    </row>
    <row r="36">
      <c r="A36" s="4" t="inlineStr">
        <is>
          <t>生育</t>
        </is>
      </c>
      <c r="D36" s="7" t="n">
        <v>138.1</v>
      </c>
      <c r="F36" s="7" t="n">
        <v>440.5</v>
      </c>
      <c r="H36" s="7" t="n">
        <v>280.6</v>
      </c>
      <c r="J36" s="7" t="n">
        <v>269.7</v>
      </c>
      <c r="L36" s="7" t="n">
        <v>264.9</v>
      </c>
      <c r="N36" s="7" t="n">
        <v>311.3</v>
      </c>
      <c r="P36" s="7" t="n">
        <v>349.9</v>
      </c>
      <c r="R36" s="7" t="n">
        <v>477.4</v>
      </c>
      <c r="T36" s="7" t="n">
        <v>668.4</v>
      </c>
      <c r="V36" s="7" t="n">
        <v>253.5</v>
      </c>
      <c r="X36" s="7" t="n">
        <v>346.8</v>
      </c>
      <c r="Z36" s="7" t="n">
        <v>157.6</v>
      </c>
      <c r="AB36" s="7" t="n">
        <v>3958.7</v>
      </c>
    </row>
    <row r="37">
      <c r="A37" s="4" t="inlineStr">
        <is>
          <t>公积金</t>
        </is>
      </c>
      <c r="D37" s="7" t="n">
        <v>175.7</v>
      </c>
      <c r="F37" s="7" t="n">
        <v>319.4</v>
      </c>
      <c r="H37" s="7" t="n">
        <v>328.3</v>
      </c>
      <c r="J37" s="7" t="n">
        <v>360.8</v>
      </c>
      <c r="L37" s="7" t="n">
        <v>384.3</v>
      </c>
      <c r="N37" s="7" t="n">
        <v>447.8</v>
      </c>
      <c r="P37" s="7" t="n">
        <v>276.8</v>
      </c>
      <c r="R37" s="7" t="n">
        <v>382</v>
      </c>
      <c r="T37" s="7" t="n">
        <v>666.1</v>
      </c>
      <c r="V37" s="7" t="n">
        <v>376.7</v>
      </c>
      <c r="X37" s="7" t="n">
        <v>294.6</v>
      </c>
      <c r="Z37" s="7" t="n">
        <v>169.1</v>
      </c>
      <c r="AB37" s="7" t="n">
        <v>4181.6</v>
      </c>
    </row>
    <row r="38">
      <c r="A38" s="4" t="inlineStr">
        <is>
          <t>工会经费</t>
        </is>
      </c>
      <c r="D38" s="7" t="n">
        <v>235.5</v>
      </c>
      <c r="F38" s="7" t="n">
        <v>297</v>
      </c>
      <c r="H38" s="7" t="n">
        <v>338.4</v>
      </c>
      <c r="J38" s="7" t="n">
        <v>278.8</v>
      </c>
      <c r="L38" s="7" t="n">
        <v>322.5</v>
      </c>
      <c r="N38" s="7" t="n">
        <v>294.1</v>
      </c>
      <c r="P38" s="7" t="n">
        <v>258.8</v>
      </c>
      <c r="R38" s="7" t="n">
        <v>542.5</v>
      </c>
      <c r="T38" s="7" t="n">
        <v>526.5</v>
      </c>
      <c r="V38" s="7" t="n">
        <v>325.8</v>
      </c>
      <c r="X38" s="7" t="n">
        <v>407.9</v>
      </c>
      <c r="Z38" s="7" t="n">
        <v>169.4</v>
      </c>
      <c r="AB38" s="7" t="n">
        <v>3997.2</v>
      </c>
    </row>
    <row r="39">
      <c r="A39" s="4" t="inlineStr">
        <is>
          <t>职工教育经费</t>
        </is>
      </c>
      <c r="D39" s="7" t="n">
        <v>305.3</v>
      </c>
      <c r="F39" s="7" t="n">
        <v>405.8</v>
      </c>
      <c r="H39" s="7" t="n">
        <v>426.6</v>
      </c>
      <c r="J39" s="7" t="n">
        <v>511.8</v>
      </c>
      <c r="L39" s="7" t="n">
        <v>389.3</v>
      </c>
      <c r="N39" s="7" t="n">
        <v>458.5</v>
      </c>
      <c r="P39" s="7" t="n">
        <v>425</v>
      </c>
      <c r="R39" s="7" t="n">
        <v>672.4</v>
      </c>
      <c r="T39" s="7" t="n">
        <v>704.4</v>
      </c>
      <c r="V39" s="7" t="n">
        <v>435.4</v>
      </c>
      <c r="X39" s="7" t="n">
        <v>454.3</v>
      </c>
      <c r="Z39" s="7" t="n">
        <v>163.9</v>
      </c>
      <c r="AB39" s="7" t="n">
        <v>5352.7</v>
      </c>
    </row>
    <row r="40">
      <c r="A40" s="4" t="inlineStr">
        <is>
          <t>福利费</t>
        </is>
      </c>
      <c r="D40" s="7" t="n">
        <v>1503.9</v>
      </c>
      <c r="F40" s="7" t="n">
        <v>3210.4</v>
      </c>
      <c r="H40" s="7" t="n">
        <v>3218.6</v>
      </c>
      <c r="J40" s="7" t="n">
        <v>3337.2</v>
      </c>
      <c r="L40" s="7" t="n">
        <v>3046.2</v>
      </c>
      <c r="N40" s="7" t="n">
        <v>3335.1</v>
      </c>
      <c r="P40" s="7" t="n">
        <v>3119.2</v>
      </c>
      <c r="R40" s="7" t="n">
        <v>4197.9</v>
      </c>
      <c r="T40" s="7" t="n">
        <v>4570.2</v>
      </c>
      <c r="V40" s="7" t="n">
        <v>3203.9</v>
      </c>
      <c r="X40" s="7" t="n">
        <v>3012.2</v>
      </c>
      <c r="Z40" s="7" t="n">
        <v>1282.8</v>
      </c>
      <c r="AB40" s="7" t="n">
        <v>37037.6</v>
      </c>
    </row>
    <row r="41">
      <c r="A41" s="4" t="inlineStr">
        <is>
          <t>职工房租</t>
        </is>
      </c>
      <c r="D41" s="7" t="n">
        <v>173.1</v>
      </c>
      <c r="F41" s="7" t="n">
        <v>380.1</v>
      </c>
      <c r="H41" s="7" t="n">
        <v>424.7</v>
      </c>
      <c r="J41" s="7" t="n">
        <v>544.8</v>
      </c>
      <c r="L41" s="7" t="n">
        <v>546.8</v>
      </c>
      <c r="N41" s="7" t="n">
        <v>616.8</v>
      </c>
      <c r="P41" s="7" t="n">
        <v>364.3</v>
      </c>
      <c r="R41" s="7" t="n">
        <v>572</v>
      </c>
      <c r="T41" s="7" t="n">
        <v>599.9</v>
      </c>
      <c r="V41" s="7" t="n">
        <v>438</v>
      </c>
      <c r="X41" s="7" t="n">
        <v>505.4</v>
      </c>
      <c r="Z41" s="7" t="n">
        <v>252.1</v>
      </c>
      <c r="AB41" s="7" t="n">
        <v>5418</v>
      </c>
    </row>
    <row r="42">
      <c r="A42" s="4" t="inlineStr">
        <is>
          <t>水电物业费</t>
        </is>
      </c>
      <c r="D42" s="7" t="n">
        <v>366.1</v>
      </c>
      <c r="F42" s="7" t="n">
        <v>985.9</v>
      </c>
      <c r="H42" s="7" t="n">
        <v>811</v>
      </c>
      <c r="J42" s="7" t="n">
        <v>961.1</v>
      </c>
      <c r="L42" s="7" t="n">
        <v>680.8</v>
      </c>
      <c r="N42" s="7" t="n">
        <v>787.6</v>
      </c>
      <c r="P42" s="7" t="n">
        <v>970</v>
      </c>
      <c r="R42" s="7" t="n">
        <v>1239.2</v>
      </c>
      <c r="T42" s="7" t="n">
        <v>1132.3</v>
      </c>
      <c r="V42" s="7" t="n">
        <v>912.7</v>
      </c>
      <c r="X42" s="7" t="n">
        <v>761</v>
      </c>
      <c r="Z42" s="7" t="n">
        <v>303.9</v>
      </c>
      <c r="AB42" s="7" t="n">
        <v>9911.6</v>
      </c>
    </row>
    <row r="43">
      <c r="A43" s="4" t="inlineStr">
        <is>
          <t>员工餐</t>
        </is>
      </c>
      <c r="D43" s="7" t="n">
        <v>366</v>
      </c>
      <c r="F43" s="7" t="n">
        <v>924.1</v>
      </c>
      <c r="H43" s="7" t="n">
        <v>603</v>
      </c>
      <c r="J43" s="7" t="n">
        <v>616.8</v>
      </c>
      <c r="L43" s="7" t="n">
        <v>578.1</v>
      </c>
      <c r="N43" s="7" t="n">
        <v>715.1</v>
      </c>
      <c r="P43" s="7" t="n">
        <v>523</v>
      </c>
      <c r="R43" s="7" t="n">
        <v>1019.2</v>
      </c>
      <c r="T43" s="7" t="n">
        <v>1028.5</v>
      </c>
      <c r="V43" s="7" t="n">
        <v>737.3</v>
      </c>
      <c r="X43" s="7" t="n">
        <v>712.4</v>
      </c>
      <c r="Z43" s="7" t="n">
        <v>210.3</v>
      </c>
      <c r="AB43" s="7" t="n">
        <v>8033.8</v>
      </c>
    </row>
    <row r="44">
      <c r="A44" s="4" t="inlineStr">
        <is>
          <t>节日礼品</t>
        </is>
      </c>
      <c r="D44" s="7" t="n">
        <v>145.2</v>
      </c>
      <c r="F44" s="7" t="n">
        <v>273.6</v>
      </c>
      <c r="H44" s="7" t="n">
        <v>361.5</v>
      </c>
      <c r="J44" s="7" t="n">
        <v>269.2</v>
      </c>
      <c r="L44" s="7" t="n">
        <v>371.7</v>
      </c>
      <c r="N44" s="7" t="n">
        <v>363.1</v>
      </c>
      <c r="P44" s="7" t="n">
        <v>361.7</v>
      </c>
      <c r="R44" s="7" t="n">
        <v>418</v>
      </c>
      <c r="T44" s="7" t="n">
        <v>407.5</v>
      </c>
      <c r="V44" s="7" t="n">
        <v>422.6</v>
      </c>
      <c r="X44" s="7" t="n">
        <v>235.8</v>
      </c>
      <c r="Z44" s="7" t="n">
        <v>152.2</v>
      </c>
      <c r="AB44" s="7" t="n">
        <v>3782.1</v>
      </c>
    </row>
    <row r="45">
      <c r="A45" s="4" t="inlineStr">
        <is>
          <t>生日礼品</t>
        </is>
      </c>
      <c r="D45" s="7" t="n">
        <v>55.8</v>
      </c>
      <c r="F45" s="7" t="n">
        <v>114.9</v>
      </c>
      <c r="H45" s="7" t="n">
        <v>117.9</v>
      </c>
      <c r="J45" s="7" t="n">
        <v>113.8</v>
      </c>
      <c r="L45" s="7" t="n">
        <v>93.09999999999999</v>
      </c>
      <c r="N45" s="7" t="n">
        <v>112.2</v>
      </c>
      <c r="P45" s="7" t="n">
        <v>78.5</v>
      </c>
      <c r="R45" s="7" t="n">
        <v>139.1</v>
      </c>
      <c r="T45" s="7" t="n">
        <v>192.8</v>
      </c>
      <c r="V45" s="7" t="n">
        <v>94.2</v>
      </c>
      <c r="X45" s="7" t="n">
        <v>122.6</v>
      </c>
      <c r="Z45" s="7" t="n">
        <v>60.5</v>
      </c>
      <c r="AB45" s="7" t="n">
        <v>1295.4</v>
      </c>
    </row>
    <row r="46">
      <c r="A46" s="4" t="inlineStr">
        <is>
          <t>体检</t>
        </is>
      </c>
      <c r="D46" s="7" t="n">
        <v>34.8</v>
      </c>
      <c r="F46" s="7" t="n">
        <v>61.4</v>
      </c>
      <c r="H46" s="7" t="n">
        <v>83.5</v>
      </c>
      <c r="J46" s="7" t="n">
        <v>67.90000000000001</v>
      </c>
      <c r="L46" s="7" t="n">
        <v>79.5</v>
      </c>
      <c r="N46" s="7" t="n">
        <v>59</v>
      </c>
      <c r="P46" s="7" t="n">
        <v>74.5</v>
      </c>
      <c r="R46" s="7" t="n">
        <v>72.90000000000001</v>
      </c>
      <c r="T46" s="7" t="n">
        <v>95</v>
      </c>
      <c r="V46" s="7" t="n">
        <v>65.5</v>
      </c>
      <c r="X46" s="7" t="n">
        <v>70.09999999999999</v>
      </c>
      <c r="Z46" s="7" t="n">
        <v>36.1</v>
      </c>
      <c r="AB46" s="7" t="n">
        <v>800.2</v>
      </c>
    </row>
    <row r="47">
      <c r="A47" s="4" t="inlineStr">
        <is>
          <t>其他福利支出</t>
        </is>
      </c>
      <c r="D47" s="7" t="n">
        <v>362.9</v>
      </c>
      <c r="F47" s="7" t="n">
        <v>470.4</v>
      </c>
      <c r="H47" s="7" t="n">
        <v>817</v>
      </c>
      <c r="J47" s="7" t="n">
        <v>763.6</v>
      </c>
      <c r="L47" s="7" t="n">
        <v>696.2</v>
      </c>
      <c r="N47" s="7" t="n">
        <v>681.3</v>
      </c>
      <c r="P47" s="7" t="n">
        <v>747.2</v>
      </c>
      <c r="R47" s="7" t="n">
        <v>737.5</v>
      </c>
      <c r="T47" s="7" t="n">
        <v>1114.2</v>
      </c>
      <c r="V47" s="7" t="n">
        <v>533.6</v>
      </c>
      <c r="X47" s="7" t="n">
        <v>604.9</v>
      </c>
      <c r="Z47" s="7" t="n">
        <v>267.7</v>
      </c>
      <c r="AB47" s="7" t="n">
        <v>7796.5</v>
      </c>
    </row>
    <row r="48">
      <c r="A48" s="4" t="inlineStr">
        <is>
          <t>招聘费</t>
        </is>
      </c>
      <c r="D48" s="7" t="n">
        <v>101.2</v>
      </c>
      <c r="F48" s="7" t="n">
        <v>198.1</v>
      </c>
      <c r="H48" s="7" t="n">
        <v>144.3</v>
      </c>
      <c r="J48" s="7" t="n">
        <v>168.3</v>
      </c>
      <c r="L48" s="7" t="n">
        <v>198.2</v>
      </c>
      <c r="N48" s="7" t="n">
        <v>257.2</v>
      </c>
      <c r="P48" s="7" t="n">
        <v>229.1</v>
      </c>
      <c r="R48" s="7" t="n">
        <v>182.8</v>
      </c>
      <c r="T48" s="7" t="n">
        <v>225.2</v>
      </c>
      <c r="V48" s="7" t="n">
        <v>171.7</v>
      </c>
      <c r="X48" s="7" t="n">
        <v>183.4</v>
      </c>
      <c r="Z48" s="7" t="n">
        <v>63.4</v>
      </c>
      <c r="AB48" s="7" t="n">
        <v>2122.9</v>
      </c>
    </row>
    <row r="49">
      <c r="A49" s="4" t="inlineStr">
        <is>
          <t>办公费</t>
        </is>
      </c>
      <c r="D49" s="7" t="n">
        <v>1530.6</v>
      </c>
      <c r="F49" s="7" t="n">
        <v>4550.6</v>
      </c>
      <c r="H49" s="7" t="n">
        <v>4811.7</v>
      </c>
      <c r="J49" s="7" t="n">
        <v>3464.5</v>
      </c>
      <c r="L49" s="7" t="n">
        <v>4542.3</v>
      </c>
      <c r="N49" s="7" t="n">
        <v>4269.1</v>
      </c>
      <c r="P49" s="7" t="n">
        <v>3747.9</v>
      </c>
      <c r="R49" s="7" t="n">
        <v>5941.9</v>
      </c>
      <c r="T49" s="7" t="n">
        <v>4230.5</v>
      </c>
      <c r="V49" s="7" t="n">
        <v>3265.5</v>
      </c>
      <c r="X49" s="7" t="n">
        <v>3902.6</v>
      </c>
      <c r="Z49" s="7" t="n">
        <v>1980.1</v>
      </c>
      <c r="AB49" s="7" t="n">
        <v>46237.3</v>
      </c>
    </row>
    <row r="50">
      <c r="A50" s="4" t="inlineStr">
        <is>
          <t>市内交通费</t>
        </is>
      </c>
      <c r="D50" s="7" t="n">
        <v>452.9</v>
      </c>
      <c r="F50" s="7" t="n">
        <v>961.3</v>
      </c>
      <c r="H50" s="7" t="n">
        <v>760.5</v>
      </c>
      <c r="J50" s="7" t="n">
        <v>507.4</v>
      </c>
      <c r="L50" s="7" t="n">
        <v>551.8</v>
      </c>
      <c r="N50" s="7" t="n">
        <v>661.9</v>
      </c>
      <c r="P50" s="7" t="n">
        <v>869.9</v>
      </c>
      <c r="R50" s="7" t="n">
        <v>766.2</v>
      </c>
      <c r="T50" s="7" t="n">
        <v>1324.2</v>
      </c>
      <c r="V50" s="7" t="n">
        <v>891.8</v>
      </c>
      <c r="X50" s="7" t="n">
        <v>829.2</v>
      </c>
      <c r="Z50" s="7" t="n">
        <v>377.1</v>
      </c>
      <c r="AB50" s="7" t="n">
        <v>8954.200000000001</v>
      </c>
    </row>
    <row r="51">
      <c r="A51" s="4" t="inlineStr">
        <is>
          <t>差旅费</t>
        </is>
      </c>
      <c r="D51" s="7" t="n">
        <v>4217.7</v>
      </c>
      <c r="F51" s="7" t="n">
        <v>8765.200000000001</v>
      </c>
      <c r="H51" s="7" t="n">
        <v>7385.9</v>
      </c>
      <c r="J51" s="7" t="n">
        <v>7260.8</v>
      </c>
      <c r="L51" s="7" t="n">
        <v>6844.7</v>
      </c>
      <c r="N51" s="7" t="n">
        <v>11655</v>
      </c>
      <c r="P51" s="7" t="n">
        <v>8179.7</v>
      </c>
      <c r="R51" s="7" t="n">
        <v>8592.5</v>
      </c>
      <c r="T51" s="7" t="n">
        <v>13781.4</v>
      </c>
      <c r="V51" s="7" t="n">
        <v>7611.9</v>
      </c>
      <c r="X51" s="7" t="n">
        <v>7028.6</v>
      </c>
      <c r="Z51" s="7" t="n">
        <v>3756.2</v>
      </c>
      <c r="AB51" s="7" t="n">
        <v>95079.60000000001</v>
      </c>
    </row>
    <row r="52">
      <c r="A52" s="4" t="inlineStr">
        <is>
          <t>交通费</t>
        </is>
      </c>
      <c r="D52" s="7" t="n">
        <v>12.3</v>
      </c>
      <c r="F52" s="7" t="n">
        <v>17.5</v>
      </c>
      <c r="H52" s="7" t="n">
        <v>27.7</v>
      </c>
      <c r="J52" s="7" t="n">
        <v>20</v>
      </c>
      <c r="L52" s="7" t="n">
        <v>19</v>
      </c>
      <c r="N52" s="7" t="n">
        <v>25.9</v>
      </c>
      <c r="P52" s="7" t="n">
        <v>21.6</v>
      </c>
      <c r="R52" s="7" t="n">
        <v>29.3</v>
      </c>
      <c r="T52" s="7" t="n">
        <v>27.9</v>
      </c>
      <c r="V52" s="7" t="n">
        <v>24.2</v>
      </c>
      <c r="X52" s="7" t="n">
        <v>19.7</v>
      </c>
      <c r="Z52" s="7" t="n">
        <v>7.7</v>
      </c>
      <c r="AB52" s="7" t="n">
        <v>252.8</v>
      </c>
    </row>
    <row r="53">
      <c r="A53" s="4" t="inlineStr">
        <is>
          <t>住宿费</t>
        </is>
      </c>
      <c r="D53" s="7" t="n">
        <v>516.4</v>
      </c>
      <c r="F53" s="7" t="n">
        <v>1075.2</v>
      </c>
      <c r="H53" s="7" t="n">
        <v>911.3</v>
      </c>
      <c r="J53" s="7" t="n">
        <v>557.6</v>
      </c>
      <c r="L53" s="7" t="n">
        <v>1040.1</v>
      </c>
      <c r="N53" s="7" t="n">
        <v>1142.5</v>
      </c>
      <c r="P53" s="7" t="n">
        <v>693.8</v>
      </c>
      <c r="R53" s="7" t="n">
        <v>1182.2</v>
      </c>
      <c r="T53" s="7" t="n">
        <v>877.3</v>
      </c>
      <c r="V53" s="7" t="n">
        <v>976.4</v>
      </c>
      <c r="X53" s="7" t="n">
        <v>571.5</v>
      </c>
      <c r="Z53" s="7" t="n">
        <v>386.4</v>
      </c>
      <c r="AB53" s="7" t="n">
        <v>9930.700000000001</v>
      </c>
    </row>
    <row r="54">
      <c r="A54" s="4" t="inlineStr">
        <is>
          <t>餐补</t>
        </is>
      </c>
      <c r="D54" s="7" t="n">
        <v>263.3</v>
      </c>
      <c r="F54" s="7" t="n">
        <v>758</v>
      </c>
      <c r="H54" s="7" t="n">
        <v>593.5</v>
      </c>
      <c r="J54" s="7" t="n">
        <v>474.3</v>
      </c>
      <c r="L54" s="7" t="n">
        <v>732.1</v>
      </c>
      <c r="N54" s="7" t="n">
        <v>938.6</v>
      </c>
      <c r="P54" s="7" t="n">
        <v>466.1</v>
      </c>
      <c r="R54" s="7" t="n">
        <v>666.7</v>
      </c>
      <c r="T54" s="7" t="n">
        <v>897.9</v>
      </c>
      <c r="V54" s="7" t="n">
        <v>622.7</v>
      </c>
      <c r="X54" s="7" t="n">
        <v>595.2</v>
      </c>
      <c r="Z54" s="7" t="n">
        <v>351.4</v>
      </c>
      <c r="AB54" s="7" t="n">
        <v>7359.8</v>
      </c>
    </row>
    <row r="55">
      <c r="A55" s="4" t="inlineStr">
        <is>
          <t>交通补助</t>
        </is>
      </c>
      <c r="D55" s="7" t="n">
        <v>269.7</v>
      </c>
      <c r="F55" s="7" t="n">
        <v>570.7</v>
      </c>
      <c r="H55" s="7" t="n">
        <v>366.1</v>
      </c>
      <c r="J55" s="7" t="n">
        <v>553.8</v>
      </c>
      <c r="L55" s="7" t="n">
        <v>386.7</v>
      </c>
      <c r="N55" s="7" t="n">
        <v>536.1</v>
      </c>
      <c r="P55" s="7" t="n">
        <v>465</v>
      </c>
      <c r="R55" s="7" t="n">
        <v>656.1</v>
      </c>
      <c r="T55" s="7" t="n">
        <v>789</v>
      </c>
      <c r="V55" s="7" t="n">
        <v>333.9</v>
      </c>
      <c r="X55" s="7" t="n">
        <v>358.2</v>
      </c>
      <c r="Z55" s="7" t="n">
        <v>154.3</v>
      </c>
      <c r="AB55" s="7" t="n">
        <v>5439.6</v>
      </c>
    </row>
    <row r="56">
      <c r="A56" s="4" t="inlineStr">
        <is>
          <t>通讯补助</t>
        </is>
      </c>
      <c r="D56" s="7" t="n">
        <v>110.9</v>
      </c>
      <c r="F56" s="7" t="n">
        <v>198.9</v>
      </c>
      <c r="H56" s="7" t="n">
        <v>249.3</v>
      </c>
      <c r="J56" s="7" t="n">
        <v>296.4</v>
      </c>
      <c r="L56" s="7" t="n">
        <v>223.7</v>
      </c>
      <c r="N56" s="7" t="n">
        <v>312.2</v>
      </c>
      <c r="P56" s="7" t="n">
        <v>294.8</v>
      </c>
      <c r="R56" s="7" t="n">
        <v>262</v>
      </c>
      <c r="T56" s="7" t="n">
        <v>398.3</v>
      </c>
      <c r="V56" s="7" t="n">
        <v>187.3</v>
      </c>
      <c r="X56" s="7" t="n">
        <v>225</v>
      </c>
      <c r="Z56" s="7" t="n">
        <v>91.90000000000001</v>
      </c>
      <c r="AB56" s="7" t="n">
        <v>2850.7</v>
      </c>
    </row>
    <row r="57">
      <c r="A57" s="4" t="inlineStr">
        <is>
          <t>招待费</t>
        </is>
      </c>
      <c r="D57" s="7" t="n">
        <v>2465.1</v>
      </c>
      <c r="F57" s="7" t="n">
        <v>5200.8</v>
      </c>
      <c r="H57" s="7" t="n">
        <v>5738</v>
      </c>
      <c r="J57" s="7" t="n">
        <v>4246.9</v>
      </c>
      <c r="L57" s="7" t="n">
        <v>5756.6</v>
      </c>
      <c r="N57" s="7" t="n">
        <v>4297</v>
      </c>
      <c r="P57" s="7" t="n">
        <v>6662</v>
      </c>
      <c r="R57" s="7" t="n">
        <v>7030.5</v>
      </c>
      <c r="T57" s="7" t="n">
        <v>7105.5</v>
      </c>
      <c r="V57" s="7" t="n">
        <v>4624.4</v>
      </c>
      <c r="X57" s="7" t="n">
        <v>3697.1</v>
      </c>
      <c r="Z57" s="7" t="n">
        <v>2884.2</v>
      </c>
      <c r="AB57" s="7" t="n">
        <v>59708.1</v>
      </c>
    </row>
    <row r="58">
      <c r="A58" s="4" t="inlineStr">
        <is>
          <t>通讯费</t>
        </is>
      </c>
      <c r="D58" s="7" t="n">
        <v>176.3</v>
      </c>
      <c r="F58" s="7" t="n">
        <v>325.3</v>
      </c>
      <c r="H58" s="7" t="n">
        <v>530.9</v>
      </c>
      <c r="J58" s="7" t="n">
        <v>277.1</v>
      </c>
      <c r="L58" s="7" t="n">
        <v>488.2</v>
      </c>
      <c r="N58" s="7" t="n">
        <v>527.2</v>
      </c>
      <c r="P58" s="7" t="n">
        <v>429.8</v>
      </c>
      <c r="R58" s="7" t="n">
        <v>485.1</v>
      </c>
      <c r="T58" s="7" t="n">
        <v>627.2</v>
      </c>
      <c r="V58" s="7" t="n">
        <v>439</v>
      </c>
      <c r="X58" s="7" t="n">
        <v>387.9</v>
      </c>
      <c r="Z58" s="7" t="n">
        <v>145.6</v>
      </c>
      <c r="AB58" s="7" t="n">
        <v>4839.6</v>
      </c>
    </row>
    <row r="59">
      <c r="A59" s="4" t="inlineStr">
        <is>
          <t>网络费</t>
        </is>
      </c>
      <c r="D59" s="7" t="n">
        <v>307.7</v>
      </c>
      <c r="F59" s="7" t="n">
        <v>512.5</v>
      </c>
      <c r="H59" s="7" t="n">
        <v>664.1</v>
      </c>
      <c r="J59" s="7" t="n">
        <v>557.4</v>
      </c>
      <c r="L59" s="7" t="n">
        <v>794</v>
      </c>
      <c r="N59" s="7" t="n">
        <v>706.2</v>
      </c>
      <c r="P59" s="7" t="n">
        <v>583</v>
      </c>
      <c r="R59" s="7" t="n">
        <v>601.6</v>
      </c>
      <c r="T59" s="7" t="n">
        <v>957</v>
      </c>
      <c r="V59" s="7" t="n">
        <v>732</v>
      </c>
      <c r="X59" s="7" t="n">
        <v>517.1</v>
      </c>
      <c r="Z59" s="7" t="n">
        <v>251.7</v>
      </c>
      <c r="AB59" s="7" t="n">
        <v>7184.3</v>
      </c>
    </row>
    <row r="60">
      <c r="A60" s="4" t="inlineStr">
        <is>
          <t>修理费</t>
        </is>
      </c>
      <c r="D60" s="7" t="n">
        <v>339.9</v>
      </c>
      <c r="F60" s="7" t="n">
        <v>772.7</v>
      </c>
      <c r="H60" s="7" t="n">
        <v>549</v>
      </c>
      <c r="J60" s="7" t="n">
        <v>462.9</v>
      </c>
      <c r="L60" s="7" t="n">
        <v>789.5</v>
      </c>
      <c r="N60" s="7" t="n">
        <v>829.4</v>
      </c>
      <c r="P60" s="7" t="n">
        <v>781.6</v>
      </c>
      <c r="R60" s="7" t="n">
        <v>755.6</v>
      </c>
      <c r="T60" s="7" t="n">
        <v>1239</v>
      </c>
      <c r="V60" s="7" t="n">
        <v>529.2</v>
      </c>
      <c r="X60" s="7" t="n">
        <v>473.8</v>
      </c>
      <c r="Z60" s="7" t="n">
        <v>264</v>
      </c>
      <c r="AB60" s="7" t="n">
        <v>7786.6</v>
      </c>
    </row>
    <row r="61">
      <c r="A61" s="4" t="inlineStr">
        <is>
          <t>车辆费</t>
        </is>
      </c>
      <c r="D61" s="7" t="n">
        <v>258.8</v>
      </c>
      <c r="F61" s="7" t="n">
        <v>491.3</v>
      </c>
      <c r="H61" s="7" t="n">
        <v>487.1</v>
      </c>
      <c r="J61" s="7" t="n">
        <v>362.4</v>
      </c>
      <c r="L61" s="7" t="n">
        <v>436.4</v>
      </c>
      <c r="N61" s="7" t="n">
        <v>493.4</v>
      </c>
      <c r="P61" s="7" t="n">
        <v>396.3</v>
      </c>
      <c r="R61" s="7" t="n">
        <v>522.1</v>
      </c>
      <c r="T61" s="7" t="n">
        <v>771.1</v>
      </c>
      <c r="V61" s="7" t="n">
        <v>546.6</v>
      </c>
      <c r="X61" s="7" t="n">
        <v>428.9</v>
      </c>
      <c r="Z61" s="7" t="n">
        <v>184</v>
      </c>
      <c r="AB61" s="7" t="n">
        <v>5378.4</v>
      </c>
    </row>
    <row r="62">
      <c r="A62" s="4" t="inlineStr">
        <is>
          <t>租赁费</t>
        </is>
      </c>
      <c r="D62" s="7" t="n">
        <v>3243.3</v>
      </c>
      <c r="F62" s="7" t="n">
        <v>7987</v>
      </c>
      <c r="H62" s="7" t="n">
        <v>5408</v>
      </c>
      <c r="J62" s="7" t="n">
        <v>8066</v>
      </c>
      <c r="L62" s="7" t="n">
        <v>7500.8</v>
      </c>
      <c r="N62" s="7" t="n">
        <v>6843.7</v>
      </c>
      <c r="P62" s="7" t="n">
        <v>4823.8</v>
      </c>
      <c r="R62" s="7" t="n">
        <v>9649.799999999999</v>
      </c>
      <c r="T62" s="7" t="n">
        <v>10208.2</v>
      </c>
      <c r="V62" s="7" t="n">
        <v>5724</v>
      </c>
      <c r="X62" s="7" t="n">
        <v>5762.9</v>
      </c>
      <c r="Z62" s="7" t="n">
        <v>3079.5</v>
      </c>
      <c r="AB62" s="7" t="n">
        <v>78297</v>
      </c>
    </row>
    <row r="63">
      <c r="A63" s="4" t="inlineStr">
        <is>
          <t>能源费</t>
        </is>
      </c>
      <c r="D63" s="7" t="n">
        <v>1470.7</v>
      </c>
      <c r="F63" s="7" t="n">
        <v>3061.2</v>
      </c>
      <c r="H63" s="7" t="n">
        <v>2744.5</v>
      </c>
      <c r="J63" s="7" t="n">
        <v>2794.8</v>
      </c>
      <c r="L63" s="7" t="n">
        <v>2844.1</v>
      </c>
      <c r="N63" s="7" t="n">
        <v>2528.4</v>
      </c>
      <c r="P63" s="7" t="n">
        <v>3162</v>
      </c>
      <c r="R63" s="7" t="n">
        <v>4042</v>
      </c>
      <c r="T63" s="7" t="n">
        <v>3725.9</v>
      </c>
      <c r="V63" s="7" t="n">
        <v>2471.1</v>
      </c>
      <c r="X63" s="7" t="n">
        <v>2436.5</v>
      </c>
      <c r="Z63" s="7" t="n">
        <v>1291.2</v>
      </c>
      <c r="AB63" s="7" t="n">
        <v>32572.4</v>
      </c>
    </row>
    <row r="64">
      <c r="A64" s="4" t="inlineStr">
        <is>
          <t>水费</t>
        </is>
      </c>
      <c r="D64" s="7" t="n">
        <v>278</v>
      </c>
      <c r="F64" s="7" t="n">
        <v>456.8</v>
      </c>
      <c r="H64" s="7" t="n">
        <v>389.5</v>
      </c>
      <c r="J64" s="7" t="n">
        <v>439.7</v>
      </c>
      <c r="L64" s="7" t="n">
        <v>562.3</v>
      </c>
      <c r="N64" s="7" t="n">
        <v>411.1</v>
      </c>
      <c r="P64" s="7" t="n">
        <v>435.4</v>
      </c>
      <c r="R64" s="7" t="n">
        <v>783.1</v>
      </c>
      <c r="T64" s="7" t="n">
        <v>675.7</v>
      </c>
      <c r="V64" s="7" t="n">
        <v>429.9</v>
      </c>
      <c r="X64" s="7" t="n">
        <v>338.6</v>
      </c>
      <c r="Z64" s="7" t="n">
        <v>185.4</v>
      </c>
      <c r="AB64" s="7" t="n">
        <v>5385.5</v>
      </c>
    </row>
    <row r="65">
      <c r="A65" s="4" t="inlineStr">
        <is>
          <t>电费</t>
        </is>
      </c>
      <c r="D65" s="7" t="n">
        <v>359.3</v>
      </c>
      <c r="F65" s="7" t="n">
        <v>625.7</v>
      </c>
      <c r="H65" s="7" t="n">
        <v>941.3</v>
      </c>
      <c r="J65" s="7" t="n">
        <v>698.3</v>
      </c>
      <c r="L65" s="7" t="n">
        <v>733.1</v>
      </c>
      <c r="N65" s="7" t="n">
        <v>787.1</v>
      </c>
      <c r="P65" s="7" t="n">
        <v>862.6</v>
      </c>
      <c r="R65" s="7" t="n">
        <v>1105.9</v>
      </c>
      <c r="T65" s="7" t="n">
        <v>1138.8</v>
      </c>
      <c r="V65" s="7" t="n">
        <v>812.8</v>
      </c>
      <c r="X65" s="7" t="n">
        <v>530.6</v>
      </c>
      <c r="Z65" s="7" t="n">
        <v>384.6</v>
      </c>
      <c r="AB65" s="7" t="n">
        <v>8980.1</v>
      </c>
    </row>
    <row r="66">
      <c r="A66" s="4" t="inlineStr">
        <is>
          <t>燃气费</t>
        </is>
      </c>
      <c r="D66" s="7" t="n">
        <v>489.2</v>
      </c>
      <c r="F66" s="7" t="n">
        <v>949.6</v>
      </c>
      <c r="H66" s="7" t="n">
        <v>777.1</v>
      </c>
      <c r="J66" s="7" t="n">
        <v>899.7</v>
      </c>
      <c r="L66" s="7" t="n">
        <v>942</v>
      </c>
      <c r="N66" s="7" t="n">
        <v>647.4</v>
      </c>
      <c r="P66" s="7" t="n">
        <v>903.3</v>
      </c>
      <c r="R66" s="7" t="n">
        <v>964.7</v>
      </c>
      <c r="T66" s="7" t="n">
        <v>866.2</v>
      </c>
      <c r="V66" s="7" t="n">
        <v>572.4</v>
      </c>
      <c r="X66" s="7" t="n">
        <v>761.5</v>
      </c>
      <c r="Z66" s="7" t="n">
        <v>361.9</v>
      </c>
      <c r="AB66" s="7" t="n">
        <v>9135</v>
      </c>
    </row>
    <row r="67">
      <c r="A67" s="4" t="inlineStr">
        <is>
          <t>蒸汽费</t>
        </is>
      </c>
      <c r="D67" s="7" t="n">
        <v>344.2</v>
      </c>
      <c r="F67" s="7" t="n">
        <v>1029.1</v>
      </c>
      <c r="H67" s="7" t="n">
        <v>636.6</v>
      </c>
      <c r="J67" s="7" t="n">
        <v>757.1</v>
      </c>
      <c r="L67" s="7" t="n">
        <v>606.7</v>
      </c>
      <c r="N67" s="7" t="n">
        <v>682.8</v>
      </c>
      <c r="P67" s="7" t="n">
        <v>960.7</v>
      </c>
      <c r="R67" s="7" t="n">
        <v>1188.3</v>
      </c>
      <c r="T67" s="7" t="n">
        <v>1045.2</v>
      </c>
      <c r="V67" s="7" t="n">
        <v>656</v>
      </c>
      <c r="X67" s="7" t="n">
        <v>805.8</v>
      </c>
      <c r="Z67" s="7" t="n">
        <v>359.3</v>
      </c>
      <c r="AB67" s="7" t="n">
        <v>9071.799999999999</v>
      </c>
    </row>
    <row r="68">
      <c r="A68" s="4" t="inlineStr">
        <is>
          <t>物业费</t>
        </is>
      </c>
      <c r="D68" s="7" t="n">
        <v>518</v>
      </c>
      <c r="F68" s="7" t="n">
        <v>772.3</v>
      </c>
      <c r="H68" s="7" t="n">
        <v>912.2</v>
      </c>
      <c r="J68" s="7" t="n">
        <v>914.1</v>
      </c>
      <c r="L68" s="7" t="n">
        <v>869.9</v>
      </c>
      <c r="N68" s="7" t="n">
        <v>856.8</v>
      </c>
      <c r="P68" s="7" t="n">
        <v>760.1</v>
      </c>
      <c r="R68" s="7" t="n">
        <v>1170.7</v>
      </c>
      <c r="T68" s="7" t="n">
        <v>1395</v>
      </c>
      <c r="V68" s="7" t="n">
        <v>906.9</v>
      </c>
      <c r="X68" s="7" t="n">
        <v>873.1</v>
      </c>
      <c r="Z68" s="7" t="n">
        <v>439.7</v>
      </c>
      <c r="AB68" s="7" t="n">
        <v>10388.8</v>
      </c>
    </row>
    <row r="69">
      <c r="A69" s="4" t="inlineStr">
        <is>
          <t>劳动保护费</t>
        </is>
      </c>
      <c r="D69" s="7" t="n">
        <v>324.4</v>
      </c>
      <c r="F69" s="7" t="n">
        <v>638.2</v>
      </c>
      <c r="H69" s="7" t="n">
        <v>588.3</v>
      </c>
      <c r="J69" s="7" t="n">
        <v>649.4</v>
      </c>
      <c r="L69" s="7" t="n">
        <v>571.9</v>
      </c>
      <c r="N69" s="7" t="n">
        <v>785.3</v>
      </c>
      <c r="P69" s="7" t="n">
        <v>556.2</v>
      </c>
      <c r="R69" s="7" t="n">
        <v>752.9</v>
      </c>
      <c r="T69" s="7" t="n">
        <v>778</v>
      </c>
      <c r="V69" s="7" t="n">
        <v>629.3</v>
      </c>
      <c r="X69" s="7" t="n">
        <v>608.2</v>
      </c>
      <c r="Z69" s="7" t="n">
        <v>246.6</v>
      </c>
      <c r="AB69" s="7" t="n">
        <v>7128.7</v>
      </c>
    </row>
    <row r="70">
      <c r="A70" s="4" t="inlineStr">
        <is>
          <t>顾问费</t>
        </is>
      </c>
      <c r="D70" s="7" t="n">
        <v>318.4</v>
      </c>
      <c r="F70" s="7" t="n">
        <v>953.9</v>
      </c>
      <c r="H70" s="7" t="n">
        <v>568.6</v>
      </c>
      <c r="J70" s="7" t="n">
        <v>777.4</v>
      </c>
      <c r="L70" s="7" t="n">
        <v>690.5</v>
      </c>
      <c r="N70" s="7" t="n">
        <v>678.4</v>
      </c>
      <c r="P70" s="7" t="n">
        <v>889.6</v>
      </c>
      <c r="R70" s="7" t="n">
        <v>847.7</v>
      </c>
      <c r="T70" s="7" t="n">
        <v>875.3</v>
      </c>
      <c r="V70" s="7" t="n">
        <v>823.6</v>
      </c>
      <c r="X70" s="7" t="n">
        <v>750.2</v>
      </c>
      <c r="Z70" s="7" t="n">
        <v>308.2</v>
      </c>
      <c r="AB70" s="7" t="n">
        <v>8481.799999999999</v>
      </c>
    </row>
    <row r="71">
      <c r="A71" s="4" t="inlineStr">
        <is>
          <t>快递费</t>
        </is>
      </c>
      <c r="D71" s="7" t="n">
        <v>382.4</v>
      </c>
      <c r="F71" s="7" t="n">
        <v>950.6</v>
      </c>
      <c r="H71" s="7" t="n">
        <v>592.1</v>
      </c>
      <c r="J71" s="7" t="n">
        <v>798.5</v>
      </c>
      <c r="L71" s="7" t="n">
        <v>717.9</v>
      </c>
      <c r="N71" s="7" t="n">
        <v>898.6</v>
      </c>
      <c r="P71" s="7" t="n">
        <v>575.5</v>
      </c>
      <c r="R71" s="7" t="n">
        <v>956.8</v>
      </c>
      <c r="T71" s="7" t="n">
        <v>722.5</v>
      </c>
      <c r="V71" s="7" t="n">
        <v>485.1</v>
      </c>
      <c r="X71" s="7" t="n">
        <v>689</v>
      </c>
      <c r="Z71" s="7" t="n">
        <v>302.3</v>
      </c>
      <c r="AB71" s="7" t="n">
        <v>8071.3</v>
      </c>
    </row>
    <row r="72">
      <c r="A72" s="4" t="inlineStr">
        <is>
          <t>诉讼费</t>
        </is>
      </c>
      <c r="D72" s="7" t="n">
        <v>81</v>
      </c>
      <c r="F72" s="7" t="n">
        <v>178.7</v>
      </c>
      <c r="H72" s="7" t="n">
        <v>227.1</v>
      </c>
      <c r="J72" s="7" t="n">
        <v>224.4</v>
      </c>
      <c r="L72" s="7" t="n">
        <v>164.2</v>
      </c>
      <c r="N72" s="7" t="n">
        <v>301.6</v>
      </c>
      <c r="P72" s="7" t="n">
        <v>190.2</v>
      </c>
      <c r="R72" s="7" t="n">
        <v>318.5</v>
      </c>
      <c r="T72" s="7" t="n">
        <v>241</v>
      </c>
      <c r="V72" s="7" t="n">
        <v>157.3</v>
      </c>
      <c r="X72" s="7" t="n">
        <v>216.6</v>
      </c>
      <c r="Z72" s="7" t="n">
        <v>119</v>
      </c>
      <c r="AB72" s="7" t="n">
        <v>2419.6</v>
      </c>
    </row>
    <row r="73">
      <c r="A73" s="4" t="inlineStr">
        <is>
          <t>会员费</t>
        </is>
      </c>
      <c r="D73" s="7" t="n">
        <v>137.3</v>
      </c>
      <c r="F73" s="7" t="n">
        <v>288.3</v>
      </c>
      <c r="H73" s="7" t="n">
        <v>369.6</v>
      </c>
      <c r="J73" s="7" t="n">
        <v>369.5</v>
      </c>
      <c r="L73" s="7" t="n">
        <v>416.1</v>
      </c>
      <c r="N73" s="7" t="n">
        <v>459.8</v>
      </c>
      <c r="P73" s="7" t="n">
        <v>440.7</v>
      </c>
      <c r="R73" s="7" t="n">
        <v>595.9</v>
      </c>
      <c r="T73" s="7" t="n">
        <v>580.2</v>
      </c>
      <c r="V73" s="7" t="n">
        <v>445.3</v>
      </c>
      <c r="X73" s="7" t="n">
        <v>414.8</v>
      </c>
      <c r="Z73" s="7" t="n">
        <v>135.2</v>
      </c>
      <c r="AB73" s="7" t="n">
        <v>4652.7</v>
      </c>
    </row>
    <row r="74">
      <c r="A74" s="4" t="inlineStr">
        <is>
          <t>广告宣传费</t>
        </is>
      </c>
      <c r="D74" s="7" t="n">
        <v>1859.3</v>
      </c>
      <c r="F74" s="7" t="n">
        <v>4393.7</v>
      </c>
      <c r="H74" s="7" t="n">
        <v>4838.9</v>
      </c>
      <c r="J74" s="7" t="n">
        <v>3561.4</v>
      </c>
      <c r="L74" s="7" t="n">
        <v>4968.2</v>
      </c>
      <c r="N74" s="7" t="n">
        <v>4830.7</v>
      </c>
      <c r="P74" s="7" t="n">
        <v>3048.5</v>
      </c>
      <c r="R74" s="7" t="n">
        <v>5442.5</v>
      </c>
      <c r="T74" s="7" t="n">
        <v>5882.8</v>
      </c>
      <c r="V74" s="7" t="n">
        <v>3012.1</v>
      </c>
      <c r="X74" s="7" t="n">
        <v>3081.6</v>
      </c>
      <c r="Z74" s="7" t="n">
        <v>1518.4</v>
      </c>
      <c r="AB74" s="7" t="n">
        <v>46438.1</v>
      </c>
    </row>
    <row r="75">
      <c r="A75" s="4" t="inlineStr">
        <is>
          <t>会务费</t>
        </is>
      </c>
      <c r="D75" s="7" t="n">
        <v>410</v>
      </c>
      <c r="F75" s="7" t="n">
        <v>812.2</v>
      </c>
      <c r="H75" s="7" t="n">
        <v>907.5</v>
      </c>
      <c r="J75" s="7" t="n">
        <v>924.1</v>
      </c>
      <c r="L75" s="7" t="n">
        <v>871.4</v>
      </c>
      <c r="N75" s="7" t="n">
        <v>753.5</v>
      </c>
      <c r="P75" s="7" t="n">
        <v>619.7</v>
      </c>
      <c r="R75" s="7" t="n">
        <v>1254.1</v>
      </c>
      <c r="T75" s="7" t="n">
        <v>884.9</v>
      </c>
      <c r="V75" s="7" t="n">
        <v>1013.9</v>
      </c>
      <c r="X75" s="7" t="n">
        <v>707</v>
      </c>
      <c r="Z75" s="7" t="n">
        <v>275.6</v>
      </c>
      <c r="AB75" s="7" t="n">
        <v>9433.9</v>
      </c>
    </row>
    <row r="76">
      <c r="A76" s="4" t="inlineStr">
        <is>
          <t>装修费</t>
        </is>
      </c>
      <c r="D76" s="7" t="n">
        <v>286</v>
      </c>
      <c r="F76" s="7" t="n">
        <v>495.1</v>
      </c>
      <c r="H76" s="7" t="n">
        <v>623.1</v>
      </c>
      <c r="J76" s="7" t="n">
        <v>495.7</v>
      </c>
      <c r="L76" s="7" t="n">
        <v>590.7</v>
      </c>
      <c r="N76" s="7" t="n">
        <v>562</v>
      </c>
      <c r="P76" s="7" t="n">
        <v>706.6</v>
      </c>
      <c r="R76" s="7" t="n">
        <v>931.2</v>
      </c>
      <c r="T76" s="7" t="n">
        <v>1111.8</v>
      </c>
      <c r="V76" s="7" t="n">
        <v>572.8</v>
      </c>
      <c r="X76" s="7" t="n">
        <v>404.2</v>
      </c>
      <c r="Z76" s="7" t="n">
        <v>181.1</v>
      </c>
      <c r="AB76" s="7" t="n">
        <v>6960.3</v>
      </c>
    </row>
    <row r="77">
      <c r="A77" s="4" t="inlineStr">
        <is>
          <t>推广费</t>
        </is>
      </c>
      <c r="D77" s="7" t="n">
        <v>411.7</v>
      </c>
      <c r="F77" s="7" t="n">
        <v>884.3</v>
      </c>
      <c r="H77" s="7" t="n">
        <v>832.1</v>
      </c>
      <c r="J77" s="7" t="n">
        <v>491.5</v>
      </c>
      <c r="L77" s="7" t="n">
        <v>665.5</v>
      </c>
      <c r="N77" s="7" t="n">
        <v>589.4</v>
      </c>
      <c r="P77" s="7" t="n">
        <v>623.6</v>
      </c>
      <c r="R77" s="7" t="n">
        <v>1062.2</v>
      </c>
      <c r="T77" s="7" t="n">
        <v>1244.9</v>
      </c>
      <c r="V77" s="7" t="n">
        <v>630.7</v>
      </c>
      <c r="X77" s="7" t="n">
        <v>675.9</v>
      </c>
      <c r="Z77" s="7" t="n">
        <v>329.7</v>
      </c>
      <c r="AB77" s="7" t="n">
        <v>8441.5</v>
      </c>
    </row>
    <row r="78">
      <c r="A78" s="4" t="inlineStr">
        <is>
          <t>展会费</t>
        </is>
      </c>
      <c r="D78" s="7" t="n">
        <v>127.1</v>
      </c>
      <c r="F78" s="7" t="n">
        <v>253.9</v>
      </c>
      <c r="H78" s="7" t="n">
        <v>388.5</v>
      </c>
      <c r="J78" s="7" t="n">
        <v>270.4</v>
      </c>
      <c r="L78" s="7" t="n">
        <v>323.7</v>
      </c>
      <c r="N78" s="7" t="n">
        <v>383</v>
      </c>
      <c r="P78" s="7" t="n">
        <v>361.4</v>
      </c>
      <c r="R78" s="7" t="n">
        <v>431.1</v>
      </c>
      <c r="T78" s="7" t="n">
        <v>361.9</v>
      </c>
      <c r="V78" s="7" t="n">
        <v>247.8</v>
      </c>
      <c r="X78" s="7" t="n">
        <v>331.3</v>
      </c>
      <c r="Z78" s="7" t="n">
        <v>160.1</v>
      </c>
      <c r="AB78" s="7" t="n">
        <v>3640.2</v>
      </c>
    </row>
    <row r="79">
      <c r="A79" s="4" t="inlineStr">
        <is>
          <t>设计费</t>
        </is>
      </c>
      <c r="D79" s="7" t="n">
        <v>385.3</v>
      </c>
      <c r="F79" s="7" t="n">
        <v>980.6</v>
      </c>
      <c r="H79" s="7" t="n">
        <v>1022.9</v>
      </c>
      <c r="J79" s="7" t="n">
        <v>635</v>
      </c>
      <c r="L79" s="7" t="n">
        <v>565.3</v>
      </c>
      <c r="N79" s="7" t="n">
        <v>1127.3</v>
      </c>
      <c r="P79" s="7" t="n">
        <v>581.9</v>
      </c>
      <c r="R79" s="7" t="n">
        <v>750.2</v>
      </c>
      <c r="T79" s="7" t="n">
        <v>870.1</v>
      </c>
      <c r="V79" s="7" t="n">
        <v>946.1</v>
      </c>
      <c r="X79" s="7" t="n">
        <v>758</v>
      </c>
      <c r="Z79" s="7" t="n">
        <v>264.1</v>
      </c>
      <c r="AB79" s="7" t="n">
        <v>8886.799999999999</v>
      </c>
    </row>
    <row r="80">
      <c r="A80" s="4" t="inlineStr">
        <is>
          <t>折旧费</t>
        </is>
      </c>
      <c r="D80" s="7" t="n">
        <v>2687.2</v>
      </c>
      <c r="F80" s="7" t="n">
        <v>4480.9</v>
      </c>
      <c r="H80" s="7" t="n">
        <v>4015.1</v>
      </c>
      <c r="J80" s="7" t="n">
        <v>6562.1</v>
      </c>
      <c r="L80" s="7" t="n">
        <v>6493</v>
      </c>
      <c r="N80" s="7" t="n">
        <v>6191.5</v>
      </c>
      <c r="P80" s="7" t="n">
        <v>3863.9</v>
      </c>
      <c r="R80" s="7" t="n">
        <v>7074</v>
      </c>
      <c r="T80" s="7" t="n">
        <v>10286.9</v>
      </c>
      <c r="V80" s="7" t="n">
        <v>4461</v>
      </c>
      <c r="X80" s="7" t="n">
        <v>5402.9</v>
      </c>
      <c r="Z80" s="7" t="n">
        <v>2076.6</v>
      </c>
      <c r="AB80" s="7" t="n">
        <v>63595.1</v>
      </c>
    </row>
    <row r="81">
      <c r="A81" s="4" t="inlineStr">
        <is>
          <t>认证费</t>
        </is>
      </c>
      <c r="D81" s="7" t="n">
        <v>187.7</v>
      </c>
      <c r="F81" s="7" t="n">
        <v>339.6</v>
      </c>
      <c r="H81" s="7" t="n">
        <v>253.8</v>
      </c>
      <c r="J81" s="7" t="n">
        <v>316.4</v>
      </c>
      <c r="L81" s="7" t="n">
        <v>315.7</v>
      </c>
      <c r="N81" s="7" t="n">
        <v>279.7</v>
      </c>
      <c r="P81" s="7" t="n">
        <v>366.2</v>
      </c>
      <c r="R81" s="7" t="n">
        <v>429.8</v>
      </c>
      <c r="T81" s="7" t="n">
        <v>473.3</v>
      </c>
      <c r="V81" s="7" t="n">
        <v>277.8</v>
      </c>
      <c r="X81" s="7" t="n">
        <v>199.7</v>
      </c>
      <c r="Z81" s="7" t="n">
        <v>152.9</v>
      </c>
      <c r="AB81" s="7" t="n">
        <v>3592.6</v>
      </c>
    </row>
    <row r="82">
      <c r="A82" s="4" t="inlineStr">
        <is>
          <t>样品费</t>
        </is>
      </c>
      <c r="D82" s="7" t="n">
        <v>1302.3</v>
      </c>
      <c r="F82" s="7" t="n">
        <v>2974.9</v>
      </c>
      <c r="H82" s="7" t="n">
        <v>3104</v>
      </c>
      <c r="J82" s="7" t="n">
        <v>2613.6</v>
      </c>
      <c r="L82" s="7" t="n">
        <v>3177.7</v>
      </c>
      <c r="N82" s="7" t="n">
        <v>2382.4</v>
      </c>
      <c r="P82" s="7" t="n">
        <v>2079.1</v>
      </c>
      <c r="R82" s="7" t="n">
        <v>3763.6</v>
      </c>
      <c r="T82" s="7" t="n">
        <v>4036.6</v>
      </c>
      <c r="V82" s="7" t="n">
        <v>2419.1</v>
      </c>
      <c r="X82" s="7" t="n">
        <v>3114.3</v>
      </c>
      <c r="Z82" s="7" t="n">
        <v>1384.8</v>
      </c>
      <c r="AB82" s="7" t="n">
        <v>32352.4</v>
      </c>
    </row>
    <row r="83">
      <c r="A83" s="4" t="inlineStr">
        <is>
          <t>劳务费</t>
        </is>
      </c>
      <c r="D83" s="7" t="n">
        <v>134.8</v>
      </c>
      <c r="F83" s="7" t="n">
        <v>324.1</v>
      </c>
      <c r="H83" s="7" t="n">
        <v>242.6</v>
      </c>
      <c r="J83" s="7" t="n">
        <v>251.4</v>
      </c>
      <c r="L83" s="7" t="n">
        <v>186.9</v>
      </c>
      <c r="N83" s="7" t="n">
        <v>274.3</v>
      </c>
      <c r="P83" s="7" t="n">
        <v>298.6</v>
      </c>
      <c r="R83" s="7" t="n">
        <v>257.5</v>
      </c>
      <c r="T83" s="7" t="n">
        <v>474.5</v>
      </c>
      <c r="V83" s="7" t="n">
        <v>343.4</v>
      </c>
      <c r="X83" s="7" t="n">
        <v>173.1</v>
      </c>
      <c r="Z83" s="7" t="n">
        <v>108.2</v>
      </c>
      <c r="AB83" s="7" t="n">
        <v>3069.4</v>
      </c>
    </row>
    <row r="84">
      <c r="A84" s="4" t="inlineStr">
        <is>
          <t>销售佣金</t>
        </is>
      </c>
      <c r="D84" s="7" t="n">
        <v>206.9</v>
      </c>
      <c r="F84" s="7" t="n">
        <v>612.4</v>
      </c>
      <c r="H84" s="7" t="n">
        <v>435.4</v>
      </c>
      <c r="J84" s="7" t="n">
        <v>568</v>
      </c>
      <c r="L84" s="7" t="n">
        <v>462.2</v>
      </c>
      <c r="N84" s="7" t="n">
        <v>687.2</v>
      </c>
      <c r="P84" s="7" t="n">
        <v>508</v>
      </c>
      <c r="R84" s="7" t="n">
        <v>670.6</v>
      </c>
      <c r="T84" s="7" t="n">
        <v>627</v>
      </c>
      <c r="V84" s="7" t="n">
        <v>374.9</v>
      </c>
      <c r="X84" s="7" t="n">
        <v>449</v>
      </c>
      <c r="Z84" s="7" t="n">
        <v>278.3</v>
      </c>
      <c r="AB84" s="7" t="n">
        <v>5879.9</v>
      </c>
    </row>
    <row r="85">
      <c r="A85" s="4" t="inlineStr">
        <is>
          <t>检测费</t>
        </is>
      </c>
      <c r="D85" s="7" t="n">
        <v>267.1</v>
      </c>
      <c r="F85" s="7" t="n">
        <v>680.8</v>
      </c>
      <c r="H85" s="7" t="n">
        <v>588</v>
      </c>
      <c r="J85" s="7" t="n">
        <v>825.8</v>
      </c>
      <c r="L85" s="7" t="n">
        <v>747.8</v>
      </c>
      <c r="N85" s="7" t="n">
        <v>679.8</v>
      </c>
      <c r="P85" s="7" t="n">
        <v>466.9</v>
      </c>
      <c r="R85" s="7" t="n">
        <v>969.5</v>
      </c>
      <c r="T85" s="7" t="n">
        <v>921.6</v>
      </c>
      <c r="V85" s="7" t="n">
        <v>646</v>
      </c>
      <c r="X85" s="7" t="n">
        <v>583.6</v>
      </c>
      <c r="Z85" s="7" t="n">
        <v>357.8</v>
      </c>
      <c r="AB85" s="7" t="n">
        <v>7734.7</v>
      </c>
    </row>
    <row r="86">
      <c r="A86" s="4" t="inlineStr">
        <is>
          <t>质量赔偿</t>
        </is>
      </c>
      <c r="D86" s="7" t="n">
        <v>229.2</v>
      </c>
      <c r="F86" s="7" t="n">
        <v>594.7</v>
      </c>
      <c r="H86" s="7" t="n">
        <v>369.9</v>
      </c>
      <c r="J86" s="7" t="n">
        <v>441.2</v>
      </c>
      <c r="L86" s="7" t="n">
        <v>530.3</v>
      </c>
      <c r="N86" s="7" t="n">
        <v>420.9</v>
      </c>
      <c r="P86" s="7" t="n">
        <v>557.2</v>
      </c>
      <c r="R86" s="7" t="n">
        <v>557.5</v>
      </c>
      <c r="T86" s="7" t="n">
        <v>676.2</v>
      </c>
      <c r="V86" s="7" t="n">
        <v>488</v>
      </c>
      <c r="X86" s="7" t="n">
        <v>368.4</v>
      </c>
      <c r="Z86" s="7" t="n">
        <v>150.4</v>
      </c>
      <c r="AB86" s="7" t="n">
        <v>5383.9</v>
      </c>
    </row>
    <row r="87">
      <c r="A87" s="4" t="inlineStr">
        <is>
          <t>保险费</t>
        </is>
      </c>
      <c r="D87" s="7" t="n">
        <v>366.5</v>
      </c>
      <c r="F87" s="7" t="n">
        <v>732</v>
      </c>
      <c r="H87" s="7" t="n">
        <v>489.1</v>
      </c>
      <c r="J87" s="7" t="n">
        <v>698.9</v>
      </c>
      <c r="L87" s="7" t="n">
        <v>461.8</v>
      </c>
      <c r="N87" s="7" t="n">
        <v>518.7</v>
      </c>
      <c r="P87" s="7" t="n">
        <v>544.9</v>
      </c>
      <c r="R87" s="7" t="n">
        <v>718.1</v>
      </c>
      <c r="T87" s="7" t="n">
        <v>863.9</v>
      </c>
      <c r="V87" s="7" t="n">
        <v>636.6</v>
      </c>
      <c r="X87" s="7" t="n">
        <v>366.1</v>
      </c>
      <c r="Z87" s="7" t="n">
        <v>287.7</v>
      </c>
      <c r="AB87" s="7" t="n">
        <v>6684.3</v>
      </c>
    </row>
    <row r="88">
      <c r="A88" s="4" t="inlineStr">
        <is>
          <t>清洁费</t>
        </is>
      </c>
      <c r="D88" s="7" t="n">
        <v>96.40000000000001</v>
      </c>
      <c r="F88" s="7" t="n">
        <v>139.9</v>
      </c>
      <c r="H88" s="7" t="n">
        <v>171.1</v>
      </c>
      <c r="J88" s="7" t="n">
        <v>197.2</v>
      </c>
      <c r="L88" s="7" t="n">
        <v>137</v>
      </c>
      <c r="N88" s="7" t="n">
        <v>199.8</v>
      </c>
      <c r="P88" s="7" t="n">
        <v>184</v>
      </c>
      <c r="R88" s="7" t="n">
        <v>245.7</v>
      </c>
      <c r="T88" s="7" t="n">
        <v>287.4</v>
      </c>
      <c r="V88" s="7" t="n">
        <v>217.5</v>
      </c>
      <c r="X88" s="7" t="n">
        <v>107.9</v>
      </c>
      <c r="Z88" s="7" t="n">
        <v>66.90000000000001</v>
      </c>
      <c r="AB88" s="7" t="n">
        <v>2050.8</v>
      </c>
    </row>
    <row r="89">
      <c r="A89" s="4" t="inlineStr">
        <is>
          <t>低值易耗品</t>
        </is>
      </c>
      <c r="D89" s="7" t="n">
        <v>315.5</v>
      </c>
      <c r="F89" s="7" t="n">
        <v>580</v>
      </c>
      <c r="H89" s="7" t="n">
        <v>417.9</v>
      </c>
      <c r="J89" s="7" t="n">
        <v>444.1</v>
      </c>
      <c r="L89" s="7" t="n">
        <v>550.3</v>
      </c>
      <c r="N89" s="7" t="n">
        <v>574.5</v>
      </c>
      <c r="P89" s="7" t="n">
        <v>402.5</v>
      </c>
      <c r="R89" s="7" t="n">
        <v>595.4</v>
      </c>
      <c r="T89" s="7" t="n">
        <v>810.7</v>
      </c>
      <c r="V89" s="7" t="n">
        <v>508</v>
      </c>
      <c r="X89" s="7" t="n">
        <v>405.4</v>
      </c>
      <c r="Z89" s="7" t="n">
        <v>235.9</v>
      </c>
      <c r="AB89" s="7" t="n">
        <v>5840.2</v>
      </c>
    </row>
    <row r="90">
      <c r="A90" s="4" t="inlineStr">
        <is>
          <t>物料消耗</t>
        </is>
      </c>
      <c r="D90" s="7" t="n">
        <v>88.59999999999999</v>
      </c>
      <c r="F90" s="7" t="n">
        <v>229.2</v>
      </c>
      <c r="H90" s="7" t="n">
        <v>179.6</v>
      </c>
      <c r="J90" s="7" t="n">
        <v>142.4</v>
      </c>
      <c r="L90" s="7" t="n">
        <v>207.1</v>
      </c>
      <c r="N90" s="7" t="n">
        <v>234.2</v>
      </c>
      <c r="P90" s="7" t="n">
        <v>207.1</v>
      </c>
      <c r="R90" s="7" t="n">
        <v>187.6</v>
      </c>
      <c r="T90" s="7" t="n">
        <v>286.1</v>
      </c>
      <c r="V90" s="7" t="n">
        <v>125.5</v>
      </c>
      <c r="X90" s="7" t="n">
        <v>188.6</v>
      </c>
      <c r="Z90" s="7" t="n">
        <v>68.8</v>
      </c>
      <c r="AB90" s="7" t="n">
        <v>2144.8</v>
      </c>
    </row>
    <row r="91">
      <c r="A91" s="4" t="inlineStr">
        <is>
          <t>盘盈盘亏</t>
        </is>
      </c>
      <c r="D91" s="7" t="n">
        <v>231.1</v>
      </c>
      <c r="F91" s="7" t="n">
        <v>481.4</v>
      </c>
      <c r="H91" s="7" t="n">
        <v>575.8</v>
      </c>
      <c r="J91" s="7" t="n">
        <v>321.9</v>
      </c>
      <c r="L91" s="7" t="n">
        <v>540.3</v>
      </c>
      <c r="N91" s="7" t="n">
        <v>585.7</v>
      </c>
      <c r="P91" s="7" t="n">
        <v>513.5</v>
      </c>
      <c r="R91" s="7" t="n">
        <v>501.8</v>
      </c>
      <c r="T91" s="7" t="n">
        <v>477.2</v>
      </c>
      <c r="V91" s="7" t="n">
        <v>429.5</v>
      </c>
      <c r="X91" s="7" t="n">
        <v>285.8</v>
      </c>
      <c r="Z91" s="7" t="n">
        <v>145.7</v>
      </c>
      <c r="AB91" s="7" t="n">
        <v>5089.7</v>
      </c>
    </row>
    <row r="92">
      <c r="A92" s="4" t="inlineStr">
        <is>
          <t>平台服务费</t>
        </is>
      </c>
      <c r="D92" s="7" t="n">
        <v>452.4</v>
      </c>
      <c r="F92" s="7" t="n">
        <v>675.9</v>
      </c>
      <c r="H92" s="7" t="n">
        <v>1120.9</v>
      </c>
      <c r="J92" s="7" t="n">
        <v>762</v>
      </c>
      <c r="L92" s="7" t="n">
        <v>623</v>
      </c>
      <c r="N92" s="7" t="n">
        <v>1100.7</v>
      </c>
      <c r="P92" s="7" t="n">
        <v>689.8</v>
      </c>
      <c r="R92" s="7" t="n">
        <v>961.1</v>
      </c>
      <c r="T92" s="7" t="n">
        <v>1434.2</v>
      </c>
      <c r="V92" s="7" t="n">
        <v>689.1</v>
      </c>
      <c r="X92" s="7" t="n">
        <v>980.8</v>
      </c>
      <c r="Z92" s="7" t="n">
        <v>397.6</v>
      </c>
      <c r="AB92" s="7" t="n">
        <v>9887.5</v>
      </c>
    </row>
    <row r="93">
      <c r="A93" s="4" t="inlineStr">
        <is>
          <t>无形资产摊销</t>
        </is>
      </c>
      <c r="D93" s="7" t="n">
        <v>368.8</v>
      </c>
      <c r="F93" s="7" t="n">
        <v>831</v>
      </c>
      <c r="H93" s="7" t="n">
        <v>608.3</v>
      </c>
      <c r="J93" s="7" t="n">
        <v>635.2</v>
      </c>
      <c r="L93" s="7" t="n">
        <v>554.3</v>
      </c>
      <c r="N93" s="7" t="n">
        <v>694.9</v>
      </c>
      <c r="P93" s="7" t="n">
        <v>633.5</v>
      </c>
      <c r="R93" s="7" t="n">
        <v>785.5</v>
      </c>
      <c r="T93" s="7" t="n">
        <v>1323.9</v>
      </c>
      <c r="V93" s="7" t="n">
        <v>612.6</v>
      </c>
      <c r="X93" s="7" t="n">
        <v>759.8</v>
      </c>
      <c r="Z93" s="7" t="n">
        <v>257.6</v>
      </c>
      <c r="AB93" s="7" t="n">
        <v>8065.4</v>
      </c>
    </row>
    <row r="94">
      <c r="A94" s="4" t="inlineStr">
        <is>
          <t>研发材料</t>
        </is>
      </c>
      <c r="D94" s="7" t="n">
        <v>277.9</v>
      </c>
      <c r="F94" s="7" t="n">
        <v>349.9</v>
      </c>
      <c r="H94" s="7" t="n">
        <v>411.3</v>
      </c>
      <c r="J94" s="7" t="n">
        <v>450.1</v>
      </c>
      <c r="L94" s="7" t="n">
        <v>570.7</v>
      </c>
      <c r="N94" s="7" t="n">
        <v>475.3</v>
      </c>
      <c r="P94" s="7" t="n">
        <v>479.9</v>
      </c>
      <c r="R94" s="7" t="n">
        <v>524.9</v>
      </c>
      <c r="T94" s="7" t="n">
        <v>860.5</v>
      </c>
      <c r="V94" s="7" t="n">
        <v>352.7</v>
      </c>
      <c r="X94" s="7" t="n">
        <v>485.8</v>
      </c>
      <c r="Z94" s="7" t="n">
        <v>188.1</v>
      </c>
      <c r="AB94" s="7" t="n">
        <v>5427.1</v>
      </c>
    </row>
    <row r="95">
      <c r="A95" s="4" t="inlineStr">
        <is>
          <t>项目名称</t>
        </is>
      </c>
      <c r="D95" s="7" t="n">
        <v>74.2</v>
      </c>
      <c r="F95" s="7" t="n">
        <v>208.9</v>
      </c>
      <c r="H95" s="7" t="n">
        <v>183.9</v>
      </c>
      <c r="J95" s="7" t="n">
        <v>221</v>
      </c>
      <c r="L95" s="7" t="n">
        <v>131.1</v>
      </c>
      <c r="N95" s="7" t="n">
        <v>267</v>
      </c>
      <c r="P95" s="7" t="n">
        <v>199</v>
      </c>
      <c r="R95" s="7" t="n">
        <v>171.3</v>
      </c>
      <c r="T95" s="7" t="n">
        <v>215.5</v>
      </c>
      <c r="V95" s="7" t="n">
        <v>157.6</v>
      </c>
      <c r="X95" s="7" t="n">
        <v>134.1</v>
      </c>
      <c r="Z95" s="7" t="n">
        <v>77</v>
      </c>
      <c r="AB95" s="7" t="n">
        <v>2040.6</v>
      </c>
    </row>
    <row r="96">
      <c r="A96" s="4" t="inlineStr">
        <is>
          <t>研发费</t>
        </is>
      </c>
      <c r="D96" s="7" t="n">
        <v>253.8</v>
      </c>
      <c r="F96" s="7" t="n">
        <v>761.6</v>
      </c>
      <c r="H96" s="7" t="n">
        <v>695.8</v>
      </c>
      <c r="J96" s="7" t="n">
        <v>555.1</v>
      </c>
      <c r="L96" s="7" t="n">
        <v>612.6</v>
      </c>
      <c r="N96" s="7" t="n">
        <v>832</v>
      </c>
      <c r="P96" s="7" t="n">
        <v>669.4</v>
      </c>
      <c r="R96" s="7" t="n">
        <v>1051.5</v>
      </c>
      <c r="T96" s="7" t="n">
        <v>1039.3</v>
      </c>
      <c r="V96" s="7" t="n">
        <v>555.4</v>
      </c>
      <c r="X96" s="7" t="n">
        <v>691.8</v>
      </c>
      <c r="Z96" s="7" t="n">
        <v>310.8</v>
      </c>
      <c r="AB96" s="7" t="n">
        <v>8029.1</v>
      </c>
    </row>
    <row r="97">
      <c r="A97" s="4" t="inlineStr">
        <is>
          <t>残保金</t>
        </is>
      </c>
      <c r="D97" s="7" t="n">
        <v>425.9</v>
      </c>
      <c r="F97" s="7" t="n">
        <v>681.1</v>
      </c>
      <c r="H97" s="7" t="n">
        <v>958.7</v>
      </c>
      <c r="J97" s="7" t="n">
        <v>876.3</v>
      </c>
      <c r="L97" s="7" t="n">
        <v>652.1</v>
      </c>
      <c r="N97" s="7" t="n">
        <v>759.2</v>
      </c>
      <c r="P97" s="7" t="n">
        <v>819.8</v>
      </c>
      <c r="R97" s="7" t="n">
        <v>918.6</v>
      </c>
      <c r="T97" s="7" t="n">
        <v>770</v>
      </c>
      <c r="V97" s="7" t="n">
        <v>653.2</v>
      </c>
      <c r="X97" s="7" t="n">
        <v>792.8</v>
      </c>
      <c r="Z97" s="7" t="n">
        <v>371.6</v>
      </c>
      <c r="AB97" s="7" t="n">
        <v>8679.299999999999</v>
      </c>
    </row>
    <row r="98">
      <c r="A98" s="4" t="inlineStr">
        <is>
          <t>环保费</t>
        </is>
      </c>
      <c r="D98" s="7" t="n">
        <v>145.6</v>
      </c>
      <c r="F98" s="7" t="n">
        <v>437.2</v>
      </c>
      <c r="H98" s="7" t="n">
        <v>282</v>
      </c>
      <c r="J98" s="7" t="n">
        <v>276.6</v>
      </c>
      <c r="L98" s="7" t="n">
        <v>235</v>
      </c>
      <c r="N98" s="7" t="n">
        <v>334.7</v>
      </c>
      <c r="P98" s="7" t="n">
        <v>301.9</v>
      </c>
      <c r="R98" s="7" t="n">
        <v>425.2</v>
      </c>
      <c r="T98" s="7" t="n">
        <v>483.6</v>
      </c>
      <c r="V98" s="7" t="n">
        <v>376.8</v>
      </c>
      <c r="X98" s="7" t="n">
        <v>261.2</v>
      </c>
      <c r="Z98" s="7" t="n">
        <v>173.9</v>
      </c>
      <c r="AB98" s="7" t="n">
        <v>3733.7</v>
      </c>
    </row>
    <row r="99">
      <c r="A99" s="4" t="inlineStr">
        <is>
          <t>报废损失</t>
        </is>
      </c>
      <c r="D99" s="7" t="n">
        <v>104</v>
      </c>
      <c r="F99" s="7" t="n">
        <v>163.4</v>
      </c>
      <c r="H99" s="7" t="n">
        <v>152.5</v>
      </c>
      <c r="J99" s="7" t="n">
        <v>148.4</v>
      </c>
      <c r="L99" s="7" t="n">
        <v>199.7</v>
      </c>
      <c r="N99" s="7" t="n">
        <v>165.6</v>
      </c>
      <c r="P99" s="7" t="n">
        <v>218.8</v>
      </c>
      <c r="R99" s="7" t="n">
        <v>206.7</v>
      </c>
      <c r="T99" s="7" t="n">
        <v>267.1</v>
      </c>
      <c r="V99" s="7" t="n">
        <v>165.9</v>
      </c>
      <c r="X99" s="7" t="n">
        <v>125.1</v>
      </c>
      <c r="Z99" s="7" t="n">
        <v>74.09999999999999</v>
      </c>
      <c r="AB99" s="7" t="n">
        <v>1991.3</v>
      </c>
    </row>
    <row r="100">
      <c r="A100" s="6" t="inlineStr">
        <is>
          <t>管理费用</t>
        </is>
      </c>
      <c r="B100" s="3" t="inlineStr">
        <is>
          <t>7</t>
        </is>
      </c>
      <c r="C100" s="7" t="n">
        <v>61479.9</v>
      </c>
      <c r="D100" s="7" t="n">
        <v>40299.3</v>
      </c>
      <c r="E100" s="7" t="n">
        <v>54956.5</v>
      </c>
      <c r="F100" s="7" t="n">
        <v>47269.4</v>
      </c>
      <c r="G100" s="7" t="n">
        <v>64412.4</v>
      </c>
      <c r="H100" s="7" t="n">
        <v>48035.1</v>
      </c>
      <c r="I100" s="7" t="n">
        <v>62221</v>
      </c>
      <c r="J100" s="7" t="n">
        <v>53497.2</v>
      </c>
      <c r="K100" s="7" t="n">
        <v>64382.3</v>
      </c>
      <c r="L100" s="7" t="n">
        <v>62310.8</v>
      </c>
      <c r="M100" s="7" t="n">
        <v>61500.2</v>
      </c>
      <c r="N100" s="7" t="n">
        <v>56038.9</v>
      </c>
      <c r="O100" s="7" t="n">
        <v>54505.4</v>
      </c>
      <c r="P100" s="7" t="n">
        <v>109967.3</v>
      </c>
      <c r="Q100" s="7" t="n">
        <v>65412.2</v>
      </c>
      <c r="R100" s="7" t="n">
        <v>85299.10000000001</v>
      </c>
      <c r="S100" s="7" t="n">
        <v>55101.6</v>
      </c>
      <c r="T100" s="7" t="n">
        <v>62138.4</v>
      </c>
      <c r="U100" s="7" t="n">
        <v>54959.3</v>
      </c>
      <c r="V100" s="7" t="n">
        <v>79626.89999999999</v>
      </c>
      <c r="W100" s="7" t="n">
        <v>68024.8</v>
      </c>
      <c r="X100" s="7" t="n">
        <v>30732.2</v>
      </c>
      <c r="Y100" s="7" t="n">
        <v>58295</v>
      </c>
      <c r="Z100" s="7" t="n">
        <v>39194.2</v>
      </c>
      <c r="AA100" s="8" t="n">
        <v>725250.6</v>
      </c>
      <c r="AB100" s="8" t="n">
        <v>714408.8</v>
      </c>
    </row>
    <row r="101">
      <c r="A101" s="4" t="inlineStr">
        <is>
          <t>职工薪酬</t>
        </is>
      </c>
      <c r="D101" s="7" t="n">
        <v>19704.8</v>
      </c>
      <c r="F101" s="7" t="n">
        <v>26011.5</v>
      </c>
      <c r="H101" s="7" t="n">
        <v>20440.7</v>
      </c>
      <c r="J101" s="7" t="n">
        <v>24812.2</v>
      </c>
      <c r="L101" s="7" t="n">
        <v>28361.7</v>
      </c>
      <c r="N101" s="7" t="n">
        <v>34337.9</v>
      </c>
      <c r="P101" s="7" t="n">
        <v>59076.1</v>
      </c>
      <c r="R101" s="7" t="n">
        <v>51358.1</v>
      </c>
      <c r="T101" s="7" t="n">
        <v>28666.4</v>
      </c>
      <c r="V101" s="7" t="n">
        <v>42009.7</v>
      </c>
      <c r="X101" s="7" t="n">
        <v>14376</v>
      </c>
      <c r="Z101" s="7" t="n">
        <v>22186.6</v>
      </c>
      <c r="AB101" s="7" t="n">
        <v>371341.7</v>
      </c>
    </row>
    <row r="102">
      <c r="A102" s="4" t="inlineStr">
        <is>
          <t>工资</t>
        </is>
      </c>
      <c r="D102" s="7" t="n">
        <v>11824.9</v>
      </c>
      <c r="F102" s="7" t="n">
        <v>16161.7</v>
      </c>
      <c r="H102" s="7" t="n">
        <v>10158.2</v>
      </c>
      <c r="J102" s="7" t="n">
        <v>15643.6</v>
      </c>
      <c r="L102" s="7" t="n">
        <v>16229.8</v>
      </c>
      <c r="N102" s="7" t="n">
        <v>21025.7</v>
      </c>
      <c r="P102" s="7" t="n">
        <v>38100.2</v>
      </c>
      <c r="R102" s="7" t="n">
        <v>29558.5</v>
      </c>
      <c r="T102" s="7" t="n">
        <v>19392.5</v>
      </c>
      <c r="V102" s="7" t="n">
        <v>26710.8</v>
      </c>
      <c r="X102" s="7" t="n">
        <v>8925.6</v>
      </c>
      <c r="Z102" s="7" t="n">
        <v>14683.8</v>
      </c>
      <c r="AB102" s="7" t="n">
        <v>228415.3</v>
      </c>
    </row>
    <row r="103">
      <c r="A103" s="4" t="inlineStr">
        <is>
          <t>奖金及提成</t>
        </is>
      </c>
      <c r="D103" s="7" t="n">
        <v>4005.8</v>
      </c>
      <c r="F103" s="7" t="n">
        <v>3711.2</v>
      </c>
      <c r="H103" s="7" t="n">
        <v>6164.2</v>
      </c>
      <c r="J103" s="7" t="n">
        <v>4755</v>
      </c>
      <c r="L103" s="7" t="n">
        <v>6735.6</v>
      </c>
      <c r="N103" s="7" t="n">
        <v>7023.1</v>
      </c>
      <c r="P103" s="7" t="n">
        <v>12098.3</v>
      </c>
      <c r="R103" s="7" t="n">
        <v>10932.8</v>
      </c>
      <c r="T103" s="7" t="n">
        <v>4367.5</v>
      </c>
      <c r="V103" s="7" t="n">
        <v>8260</v>
      </c>
      <c r="X103" s="7" t="n">
        <v>2203.9</v>
      </c>
      <c r="Z103" s="7" t="n">
        <v>3735.3</v>
      </c>
      <c r="AB103" s="7" t="n">
        <v>73992.7</v>
      </c>
    </row>
    <row r="104">
      <c r="A104" s="4" t="inlineStr">
        <is>
          <t>社保</t>
        </is>
      </c>
      <c r="D104" s="7" t="n">
        <v>2904.9</v>
      </c>
      <c r="F104" s="7" t="n">
        <v>4899.7</v>
      </c>
      <c r="H104" s="7" t="n">
        <v>2943.4</v>
      </c>
      <c r="J104" s="7" t="n">
        <v>3094.6</v>
      </c>
      <c r="L104" s="7" t="n">
        <v>3886.2</v>
      </c>
      <c r="N104" s="7" t="n">
        <v>5013.6</v>
      </c>
      <c r="P104" s="7" t="n">
        <v>6183.9</v>
      </c>
      <c r="R104" s="7" t="n">
        <v>8840.200000000001</v>
      </c>
      <c r="T104" s="7" t="n">
        <v>3548.8</v>
      </c>
      <c r="V104" s="7" t="n">
        <v>5166.2</v>
      </c>
      <c r="X104" s="7" t="n">
        <v>2550.5</v>
      </c>
      <c r="Z104" s="7" t="n">
        <v>2781.2</v>
      </c>
      <c r="AB104" s="7" t="n">
        <v>51813.2</v>
      </c>
    </row>
    <row r="105">
      <c r="A105" s="4" t="inlineStr">
        <is>
          <t>养老</t>
        </is>
      </c>
      <c r="D105" s="7" t="n">
        <v>111.7</v>
      </c>
      <c r="F105" s="7" t="n">
        <v>83.40000000000001</v>
      </c>
      <c r="H105" s="7" t="n">
        <v>105.8</v>
      </c>
      <c r="J105" s="7" t="n">
        <v>103.5</v>
      </c>
      <c r="L105" s="7" t="n">
        <v>155.8</v>
      </c>
      <c r="N105" s="7" t="n">
        <v>139.2</v>
      </c>
      <c r="P105" s="7" t="n">
        <v>207.9</v>
      </c>
      <c r="R105" s="7" t="n">
        <v>160.3</v>
      </c>
      <c r="T105" s="7" t="n">
        <v>139.2</v>
      </c>
      <c r="V105" s="7" t="n">
        <v>217.9</v>
      </c>
      <c r="X105" s="7" t="n">
        <v>79.90000000000001</v>
      </c>
      <c r="Z105" s="7" t="n">
        <v>71.7</v>
      </c>
      <c r="AB105" s="7" t="n">
        <v>1576.3</v>
      </c>
    </row>
    <row r="106">
      <c r="A106" s="4" t="inlineStr">
        <is>
          <t>医疗</t>
        </is>
      </c>
      <c r="D106" s="7" t="n">
        <v>239.2</v>
      </c>
      <c r="F106" s="7" t="n">
        <v>188</v>
      </c>
      <c r="H106" s="7" t="n">
        <v>197.3</v>
      </c>
      <c r="J106" s="7" t="n">
        <v>306.1</v>
      </c>
      <c r="L106" s="7" t="n">
        <v>340.7</v>
      </c>
      <c r="N106" s="7" t="n">
        <v>253.4</v>
      </c>
      <c r="P106" s="7" t="n">
        <v>702.4</v>
      </c>
      <c r="R106" s="7" t="n">
        <v>419.6</v>
      </c>
      <c r="T106" s="7" t="n">
        <v>263.5</v>
      </c>
      <c r="V106" s="7" t="n">
        <v>406.6</v>
      </c>
      <c r="X106" s="7" t="n">
        <v>138</v>
      </c>
      <c r="Z106" s="7" t="n">
        <v>211.3</v>
      </c>
      <c r="AB106" s="7" t="n">
        <v>3666.1</v>
      </c>
    </row>
    <row r="107">
      <c r="A107" s="4" t="inlineStr">
        <is>
          <t>工伤</t>
        </is>
      </c>
      <c r="D107" s="7" t="n">
        <v>206.2</v>
      </c>
      <c r="F107" s="7" t="n">
        <v>211</v>
      </c>
      <c r="H107" s="7" t="n">
        <v>291.4</v>
      </c>
      <c r="J107" s="7" t="n">
        <v>226</v>
      </c>
      <c r="L107" s="7" t="n">
        <v>250.9</v>
      </c>
      <c r="N107" s="7" t="n">
        <v>283.6</v>
      </c>
      <c r="P107" s="7" t="n">
        <v>505.5</v>
      </c>
      <c r="R107" s="7" t="n">
        <v>383.4</v>
      </c>
      <c r="T107" s="7" t="n">
        <v>386.6</v>
      </c>
      <c r="V107" s="7" t="n">
        <v>399.4</v>
      </c>
      <c r="X107" s="7" t="n">
        <v>148.3</v>
      </c>
      <c r="Z107" s="7" t="n">
        <v>274.9</v>
      </c>
      <c r="AB107" s="7" t="n">
        <v>3567.2</v>
      </c>
    </row>
    <row r="108">
      <c r="A108" s="4" t="inlineStr">
        <is>
          <t>失业</t>
        </is>
      </c>
      <c r="D108" s="7" t="n">
        <v>79.09999999999999</v>
      </c>
      <c r="F108" s="7" t="n">
        <v>103.5</v>
      </c>
      <c r="H108" s="7" t="n">
        <v>96.40000000000001</v>
      </c>
      <c r="J108" s="7" t="n">
        <v>108.7</v>
      </c>
      <c r="L108" s="7" t="n">
        <v>114.1</v>
      </c>
      <c r="N108" s="7" t="n">
        <v>100.2</v>
      </c>
      <c r="P108" s="7" t="n">
        <v>167.4</v>
      </c>
      <c r="R108" s="7" t="n">
        <v>108.4</v>
      </c>
      <c r="T108" s="7" t="n">
        <v>116.3</v>
      </c>
      <c r="V108" s="7" t="n">
        <v>169.9</v>
      </c>
      <c r="X108" s="7" t="n">
        <v>47.4</v>
      </c>
      <c r="Z108" s="7" t="n">
        <v>61</v>
      </c>
      <c r="AB108" s="7" t="n">
        <v>1272.4</v>
      </c>
    </row>
    <row r="109">
      <c r="A109" s="4" t="inlineStr">
        <is>
          <t>生育</t>
        </is>
      </c>
      <c r="D109" s="7" t="n">
        <v>166.2</v>
      </c>
      <c r="F109" s="7" t="n">
        <v>227.8</v>
      </c>
      <c r="H109" s="7" t="n">
        <v>171.1</v>
      </c>
      <c r="J109" s="7" t="n">
        <v>307.3</v>
      </c>
      <c r="L109" s="7" t="n">
        <v>241.3</v>
      </c>
      <c r="N109" s="7" t="n">
        <v>225.5</v>
      </c>
      <c r="P109" s="7" t="n">
        <v>657.9</v>
      </c>
      <c r="R109" s="7" t="n">
        <v>401.4</v>
      </c>
      <c r="T109" s="7" t="n">
        <v>252.5</v>
      </c>
      <c r="V109" s="7" t="n">
        <v>381</v>
      </c>
      <c r="X109" s="7" t="n">
        <v>141.8</v>
      </c>
      <c r="Z109" s="7" t="n">
        <v>252.3</v>
      </c>
      <c r="AB109" s="7" t="n">
        <v>3426.1</v>
      </c>
    </row>
    <row r="110">
      <c r="A110" s="4" t="inlineStr">
        <is>
          <t>公积金</t>
        </is>
      </c>
      <c r="D110" s="7" t="n">
        <v>27.9</v>
      </c>
      <c r="F110" s="7" t="n">
        <v>38.8</v>
      </c>
      <c r="H110" s="7" t="n">
        <v>43.6</v>
      </c>
      <c r="J110" s="7" t="n">
        <v>62.9</v>
      </c>
      <c r="L110" s="7" t="n">
        <v>64.90000000000001</v>
      </c>
      <c r="N110" s="7" t="n">
        <v>59.7</v>
      </c>
      <c r="P110" s="7" t="n">
        <v>116.3</v>
      </c>
      <c r="R110" s="7" t="n">
        <v>90.8</v>
      </c>
      <c r="T110" s="7" t="n">
        <v>48.9</v>
      </c>
      <c r="V110" s="7" t="n">
        <v>55.8</v>
      </c>
      <c r="X110" s="7" t="n">
        <v>32.6</v>
      </c>
      <c r="Z110" s="7" t="n">
        <v>25.9</v>
      </c>
      <c r="AB110" s="7" t="n">
        <v>668.1</v>
      </c>
    </row>
    <row r="111">
      <c r="A111" s="4" t="inlineStr">
        <is>
          <t>工会经费</t>
        </is>
      </c>
      <c r="D111" s="7" t="n">
        <v>52.5</v>
      </c>
      <c r="F111" s="7" t="n">
        <v>102.6</v>
      </c>
      <c r="H111" s="7" t="n">
        <v>88.7</v>
      </c>
      <c r="J111" s="7" t="n">
        <v>84.5</v>
      </c>
      <c r="L111" s="7" t="n">
        <v>74.59999999999999</v>
      </c>
      <c r="N111" s="7" t="n">
        <v>101.5</v>
      </c>
      <c r="P111" s="7" t="n">
        <v>136.6</v>
      </c>
      <c r="R111" s="7" t="n">
        <v>150.2</v>
      </c>
      <c r="T111" s="7" t="n">
        <v>78.7</v>
      </c>
      <c r="V111" s="7" t="n">
        <v>161.3</v>
      </c>
      <c r="X111" s="7" t="n">
        <v>43.8</v>
      </c>
      <c r="Z111" s="7" t="n">
        <v>77.7</v>
      </c>
      <c r="AB111" s="7" t="n">
        <v>1152.7</v>
      </c>
    </row>
    <row r="112">
      <c r="A112" s="4" t="inlineStr">
        <is>
          <t>职工教育经费</t>
        </is>
      </c>
      <c r="D112" s="7" t="n">
        <v>66.5</v>
      </c>
      <c r="F112" s="7" t="n">
        <v>65.59999999999999</v>
      </c>
      <c r="H112" s="7" t="n">
        <v>55.1</v>
      </c>
      <c r="J112" s="7" t="n">
        <v>94.5</v>
      </c>
      <c r="L112" s="7" t="n">
        <v>121.4</v>
      </c>
      <c r="N112" s="7" t="n">
        <v>76.5</v>
      </c>
      <c r="P112" s="7" t="n">
        <v>121.9</v>
      </c>
      <c r="R112" s="7" t="n">
        <v>118</v>
      </c>
      <c r="T112" s="7" t="n">
        <v>102.3</v>
      </c>
      <c r="V112" s="7" t="n">
        <v>129.3</v>
      </c>
      <c r="X112" s="7" t="n">
        <v>37.2</v>
      </c>
      <c r="Z112" s="7" t="n">
        <v>72</v>
      </c>
      <c r="AB112" s="7" t="n">
        <v>1060.3</v>
      </c>
    </row>
    <row r="113">
      <c r="A113" s="4" t="inlineStr">
        <is>
          <t>福利费</t>
        </is>
      </c>
      <c r="D113" s="7" t="n">
        <v>822.3</v>
      </c>
      <c r="F113" s="7" t="n">
        <v>1031.9</v>
      </c>
      <c r="H113" s="7" t="n">
        <v>987.5</v>
      </c>
      <c r="J113" s="7" t="n">
        <v>1077.1</v>
      </c>
      <c r="L113" s="7" t="n">
        <v>1249.2</v>
      </c>
      <c r="N113" s="7" t="n">
        <v>1037.8</v>
      </c>
      <c r="P113" s="7" t="n">
        <v>2318.9</v>
      </c>
      <c r="R113" s="7" t="n">
        <v>1667.6</v>
      </c>
      <c r="T113" s="7" t="n">
        <v>1127.7</v>
      </c>
      <c r="V113" s="7" t="n">
        <v>1526.3</v>
      </c>
      <c r="X113" s="7" t="n">
        <v>582.4</v>
      </c>
      <c r="Z113" s="7" t="n">
        <v>810.7</v>
      </c>
      <c r="AB113" s="7" t="n">
        <v>14239.4</v>
      </c>
    </row>
    <row r="114">
      <c r="A114" s="4" t="inlineStr">
        <is>
          <t>职工房租</t>
        </is>
      </c>
      <c r="D114" s="7" t="n">
        <v>223.9</v>
      </c>
      <c r="F114" s="7" t="n">
        <v>269</v>
      </c>
      <c r="H114" s="7" t="n">
        <v>380.4</v>
      </c>
      <c r="J114" s="7" t="n">
        <v>367.6</v>
      </c>
      <c r="L114" s="7" t="n">
        <v>426.4</v>
      </c>
      <c r="N114" s="7" t="n">
        <v>258.3</v>
      </c>
      <c r="P114" s="7" t="n">
        <v>636.2</v>
      </c>
      <c r="R114" s="7" t="n">
        <v>636.9</v>
      </c>
      <c r="T114" s="7" t="n">
        <v>366.8</v>
      </c>
      <c r="V114" s="7" t="n">
        <v>459.7</v>
      </c>
      <c r="X114" s="7" t="n">
        <v>234.5</v>
      </c>
      <c r="Z114" s="7" t="n">
        <v>193.6</v>
      </c>
      <c r="AB114" s="7" t="n">
        <v>4453.3</v>
      </c>
    </row>
    <row r="115">
      <c r="A115" s="4" t="inlineStr">
        <is>
          <t>水电物业费</t>
        </is>
      </c>
      <c r="D115" s="7" t="n">
        <v>52.6</v>
      </c>
      <c r="F115" s="7" t="n">
        <v>41.6</v>
      </c>
      <c r="H115" s="7" t="n">
        <v>47.2</v>
      </c>
      <c r="J115" s="7" t="n">
        <v>60.6</v>
      </c>
      <c r="L115" s="7" t="n">
        <v>83.3</v>
      </c>
      <c r="N115" s="7" t="n">
        <v>62.3</v>
      </c>
      <c r="P115" s="7" t="n">
        <v>124.2</v>
      </c>
      <c r="R115" s="7" t="n">
        <v>104.6</v>
      </c>
      <c r="T115" s="7" t="n">
        <v>52.9</v>
      </c>
      <c r="V115" s="7" t="n">
        <v>103.8</v>
      </c>
      <c r="X115" s="7" t="n">
        <v>31</v>
      </c>
      <c r="Z115" s="7" t="n">
        <v>32.3</v>
      </c>
      <c r="AB115" s="7" t="n">
        <v>796.4</v>
      </c>
    </row>
    <row r="116">
      <c r="A116" s="4" t="inlineStr">
        <is>
          <t>员工餐</t>
        </is>
      </c>
      <c r="D116" s="7" t="n">
        <v>64.5</v>
      </c>
      <c r="F116" s="7" t="n">
        <v>109.4</v>
      </c>
      <c r="H116" s="7" t="n">
        <v>91</v>
      </c>
      <c r="J116" s="7" t="n">
        <v>112.5</v>
      </c>
      <c r="L116" s="7" t="n">
        <v>126.8</v>
      </c>
      <c r="N116" s="7" t="n">
        <v>89</v>
      </c>
      <c r="P116" s="7" t="n">
        <v>252.9</v>
      </c>
      <c r="R116" s="7" t="n">
        <v>147.3</v>
      </c>
      <c r="T116" s="7" t="n">
        <v>145.2</v>
      </c>
      <c r="V116" s="7" t="n">
        <v>111.8</v>
      </c>
      <c r="X116" s="7" t="n">
        <v>41.6</v>
      </c>
      <c r="Z116" s="7" t="n">
        <v>80</v>
      </c>
      <c r="AB116" s="7" t="n">
        <v>1372</v>
      </c>
    </row>
    <row r="117">
      <c r="A117" s="4" t="inlineStr">
        <is>
          <t>节日礼品</t>
        </is>
      </c>
      <c r="D117" s="7" t="n">
        <v>53.4</v>
      </c>
      <c r="F117" s="7" t="n">
        <v>48.1</v>
      </c>
      <c r="H117" s="7" t="n">
        <v>38.1</v>
      </c>
      <c r="J117" s="7" t="n">
        <v>59.7</v>
      </c>
      <c r="L117" s="7" t="n">
        <v>57.2</v>
      </c>
      <c r="N117" s="7" t="n">
        <v>54.4</v>
      </c>
      <c r="P117" s="7" t="n">
        <v>125.5</v>
      </c>
      <c r="R117" s="7" t="n">
        <v>67.40000000000001</v>
      </c>
      <c r="T117" s="7" t="n">
        <v>70.5</v>
      </c>
      <c r="V117" s="7" t="n">
        <v>80.3</v>
      </c>
      <c r="X117" s="7" t="n">
        <v>24.5</v>
      </c>
      <c r="Z117" s="7" t="n">
        <v>50</v>
      </c>
      <c r="AB117" s="7" t="n">
        <v>729.1</v>
      </c>
    </row>
    <row r="118">
      <c r="A118" s="4" t="inlineStr">
        <is>
          <t>生日礼品</t>
        </is>
      </c>
      <c r="D118" s="7" t="n">
        <v>300.7</v>
      </c>
      <c r="F118" s="7" t="n">
        <v>370.7</v>
      </c>
      <c r="H118" s="7" t="n">
        <v>250.4</v>
      </c>
      <c r="J118" s="7" t="n">
        <v>268.4</v>
      </c>
      <c r="L118" s="7" t="n">
        <v>300.8</v>
      </c>
      <c r="N118" s="7" t="n">
        <v>337.4</v>
      </c>
      <c r="P118" s="7" t="n">
        <v>769.2</v>
      </c>
      <c r="R118" s="7" t="n">
        <v>402.7</v>
      </c>
      <c r="T118" s="7" t="n">
        <v>286.4</v>
      </c>
      <c r="V118" s="7" t="n">
        <v>502.3</v>
      </c>
      <c r="X118" s="7" t="n">
        <v>161.9</v>
      </c>
      <c r="Z118" s="7" t="n">
        <v>264.3</v>
      </c>
      <c r="AB118" s="7" t="n">
        <v>4215.2</v>
      </c>
    </row>
    <row r="119">
      <c r="A119" s="4" t="inlineStr">
        <is>
          <t>体检</t>
        </is>
      </c>
      <c r="D119" s="7" t="n">
        <v>43.7</v>
      </c>
      <c r="F119" s="7" t="n">
        <v>41.2</v>
      </c>
      <c r="H119" s="7" t="n">
        <v>51.4</v>
      </c>
      <c r="J119" s="7" t="n">
        <v>41</v>
      </c>
      <c r="L119" s="7" t="n">
        <v>57.2</v>
      </c>
      <c r="N119" s="7" t="n">
        <v>47.8</v>
      </c>
      <c r="P119" s="7" t="n">
        <v>110.3</v>
      </c>
      <c r="R119" s="7" t="n">
        <v>102.3</v>
      </c>
      <c r="T119" s="7" t="n">
        <v>49.1</v>
      </c>
      <c r="V119" s="7" t="n">
        <v>58.6</v>
      </c>
      <c r="X119" s="7" t="n">
        <v>24.7</v>
      </c>
      <c r="Z119" s="7" t="n">
        <v>40.6</v>
      </c>
      <c r="AB119" s="7" t="n">
        <v>667.9</v>
      </c>
    </row>
    <row r="120">
      <c r="A120" s="4" t="inlineStr">
        <is>
          <t>其他福利支出</t>
        </is>
      </c>
      <c r="D120" s="7" t="n">
        <v>83.5</v>
      </c>
      <c r="F120" s="7" t="n">
        <v>151.9</v>
      </c>
      <c r="H120" s="7" t="n">
        <v>129</v>
      </c>
      <c r="J120" s="7" t="n">
        <v>167.3</v>
      </c>
      <c r="L120" s="7" t="n">
        <v>197.5</v>
      </c>
      <c r="N120" s="7" t="n">
        <v>188.6</v>
      </c>
      <c r="P120" s="7" t="n">
        <v>300.6</v>
      </c>
      <c r="R120" s="7" t="n">
        <v>206.4</v>
      </c>
      <c r="T120" s="7" t="n">
        <v>156.8</v>
      </c>
      <c r="V120" s="7" t="n">
        <v>209.8</v>
      </c>
      <c r="X120" s="7" t="n">
        <v>64.2</v>
      </c>
      <c r="Z120" s="7" t="n">
        <v>149.9</v>
      </c>
      <c r="AB120" s="7" t="n">
        <v>2005.5</v>
      </c>
    </row>
    <row r="121">
      <c r="A121" s="4" t="inlineStr">
        <is>
          <t>招聘费</t>
        </is>
      </c>
      <c r="D121" s="7" t="n">
        <v>1.8</v>
      </c>
      <c r="F121" s="7" t="n">
        <v>1.7</v>
      </c>
      <c r="H121" s="7" t="n">
        <v>2.2</v>
      </c>
      <c r="J121" s="7" t="n">
        <v>1.7</v>
      </c>
      <c r="L121" s="7" t="n">
        <v>2.4</v>
      </c>
      <c r="N121" s="7" t="n">
        <v>2.3</v>
      </c>
      <c r="P121" s="7" t="n">
        <v>5.2</v>
      </c>
      <c r="R121" s="7" t="n">
        <v>3.8</v>
      </c>
      <c r="T121" s="7" t="n">
        <v>2.1</v>
      </c>
      <c r="V121" s="7" t="n">
        <v>2.8</v>
      </c>
      <c r="X121" s="7" t="n">
        <v>0.9</v>
      </c>
      <c r="Z121" s="7" t="n">
        <v>1.6</v>
      </c>
      <c r="AB121" s="7" t="n">
        <v>28.5</v>
      </c>
    </row>
    <row r="122">
      <c r="A122" s="4" t="inlineStr">
        <is>
          <t>办公费</t>
        </is>
      </c>
      <c r="D122" s="7" t="n">
        <v>1211.2</v>
      </c>
      <c r="F122" s="7" t="n">
        <v>1377.7</v>
      </c>
      <c r="H122" s="7" t="n">
        <v>1351.7</v>
      </c>
      <c r="J122" s="7" t="n">
        <v>1352.4</v>
      </c>
      <c r="L122" s="7" t="n">
        <v>2182.4</v>
      </c>
      <c r="N122" s="7" t="n">
        <v>1451.4</v>
      </c>
      <c r="P122" s="7" t="n">
        <v>3506</v>
      </c>
      <c r="R122" s="7" t="n">
        <v>2895</v>
      </c>
      <c r="T122" s="7" t="n">
        <v>1535</v>
      </c>
      <c r="V122" s="7" t="n">
        <v>2257.1</v>
      </c>
      <c r="X122" s="7" t="n">
        <v>1026.9</v>
      </c>
      <c r="Z122" s="7" t="n">
        <v>1302.4</v>
      </c>
      <c r="AB122" s="7" t="n">
        <v>21449.2</v>
      </c>
    </row>
    <row r="123">
      <c r="A123" s="4" t="inlineStr">
        <is>
          <t>市内交通费</t>
        </is>
      </c>
      <c r="D123" s="7" t="n">
        <v>58.3</v>
      </c>
      <c r="F123" s="7" t="n">
        <v>103.9</v>
      </c>
      <c r="H123" s="7" t="n">
        <v>73.8</v>
      </c>
      <c r="J123" s="7" t="n">
        <v>122.5</v>
      </c>
      <c r="L123" s="7" t="n">
        <v>124.6</v>
      </c>
      <c r="N123" s="7" t="n">
        <v>82.90000000000001</v>
      </c>
      <c r="P123" s="7" t="n">
        <v>159.9</v>
      </c>
      <c r="R123" s="7" t="n">
        <v>140.8</v>
      </c>
      <c r="T123" s="7" t="n">
        <v>124.9</v>
      </c>
      <c r="V123" s="7" t="n">
        <v>121.1</v>
      </c>
      <c r="X123" s="7" t="n">
        <v>48.2</v>
      </c>
      <c r="Z123" s="7" t="n">
        <v>55.8</v>
      </c>
      <c r="AB123" s="7" t="n">
        <v>1216.7</v>
      </c>
    </row>
    <row r="124">
      <c r="A124" s="4" t="inlineStr">
        <is>
          <t>差旅费</t>
        </is>
      </c>
      <c r="D124" s="7" t="n">
        <v>2781.1</v>
      </c>
      <c r="F124" s="7" t="n">
        <v>2155.7</v>
      </c>
      <c r="H124" s="7" t="n">
        <v>2440.4</v>
      </c>
      <c r="J124" s="7" t="n">
        <v>2969.7</v>
      </c>
      <c r="L124" s="7" t="n">
        <v>2842.6</v>
      </c>
      <c r="N124" s="7" t="n">
        <v>2980</v>
      </c>
      <c r="P124" s="7" t="n">
        <v>5208.1</v>
      </c>
      <c r="R124" s="7" t="n">
        <v>3885.2</v>
      </c>
      <c r="T124" s="7" t="n">
        <v>3807.5</v>
      </c>
      <c r="V124" s="7" t="n">
        <v>4912.1</v>
      </c>
      <c r="X124" s="7" t="n">
        <v>1690.9</v>
      </c>
      <c r="Z124" s="7" t="n">
        <v>1979.2</v>
      </c>
      <c r="AB124" s="7" t="n">
        <v>37652.5</v>
      </c>
    </row>
    <row r="125">
      <c r="A125" s="4" t="inlineStr">
        <is>
          <t>交通费</t>
        </is>
      </c>
      <c r="D125" s="7" t="n">
        <v>8.6</v>
      </c>
      <c r="F125" s="7" t="n">
        <v>8</v>
      </c>
      <c r="H125" s="7" t="n">
        <v>11.3</v>
      </c>
      <c r="J125" s="7" t="n">
        <v>13.6</v>
      </c>
      <c r="L125" s="7" t="n">
        <v>14.2</v>
      </c>
      <c r="N125" s="7" t="n">
        <v>11.7</v>
      </c>
      <c r="P125" s="7" t="n">
        <v>25.8</v>
      </c>
      <c r="R125" s="7" t="n">
        <v>19.1</v>
      </c>
      <c r="T125" s="7" t="n">
        <v>10.7</v>
      </c>
      <c r="V125" s="7" t="n">
        <v>19.8</v>
      </c>
      <c r="X125" s="7" t="n">
        <v>5.4</v>
      </c>
      <c r="Z125" s="7" t="n">
        <v>8.4</v>
      </c>
      <c r="AB125" s="7" t="n">
        <v>156.6</v>
      </c>
    </row>
    <row r="126">
      <c r="A126" s="4" t="inlineStr">
        <is>
          <t>住宿费</t>
        </is>
      </c>
      <c r="D126" s="7" t="n">
        <v>132.6</v>
      </c>
      <c r="F126" s="7" t="n">
        <v>261.4</v>
      </c>
      <c r="H126" s="7" t="n">
        <v>207.6</v>
      </c>
      <c r="J126" s="7" t="n">
        <v>198.4</v>
      </c>
      <c r="L126" s="7" t="n">
        <v>253.2</v>
      </c>
      <c r="N126" s="7" t="n">
        <v>173.6</v>
      </c>
      <c r="P126" s="7" t="n">
        <v>553.3</v>
      </c>
      <c r="R126" s="7" t="n">
        <v>394.1</v>
      </c>
      <c r="T126" s="7" t="n">
        <v>240.4</v>
      </c>
      <c r="V126" s="7" t="n">
        <v>345.7</v>
      </c>
      <c r="X126" s="7" t="n">
        <v>133.1</v>
      </c>
      <c r="Z126" s="7" t="n">
        <v>124.9</v>
      </c>
      <c r="AB126" s="7" t="n">
        <v>3018.3</v>
      </c>
    </row>
    <row r="127">
      <c r="A127" s="4" t="inlineStr">
        <is>
          <t>餐补</t>
        </is>
      </c>
      <c r="D127" s="7" t="n">
        <v>4.8</v>
      </c>
      <c r="F127" s="7" t="n">
        <v>6.1</v>
      </c>
      <c r="H127" s="7" t="n">
        <v>8.199999999999999</v>
      </c>
      <c r="J127" s="7" t="n">
        <v>9.5</v>
      </c>
      <c r="L127" s="7" t="n">
        <v>12.1</v>
      </c>
      <c r="N127" s="7" t="n">
        <v>10.6</v>
      </c>
      <c r="P127" s="7" t="n">
        <v>16.2</v>
      </c>
      <c r="R127" s="7" t="n">
        <v>12.4</v>
      </c>
      <c r="T127" s="7" t="n">
        <v>8.1</v>
      </c>
      <c r="V127" s="7" t="n">
        <v>11.1</v>
      </c>
      <c r="X127" s="7" t="n">
        <v>5.5</v>
      </c>
      <c r="Z127" s="7" t="n">
        <v>7</v>
      </c>
      <c r="AB127" s="7" t="n">
        <v>111.6</v>
      </c>
    </row>
    <row r="128">
      <c r="A128" s="4" t="inlineStr">
        <is>
          <t>交通补助</t>
        </is>
      </c>
      <c r="D128" s="7" t="n">
        <v>213.4</v>
      </c>
      <c r="F128" s="7" t="n">
        <v>185.7</v>
      </c>
      <c r="H128" s="7" t="n">
        <v>170.9</v>
      </c>
      <c r="J128" s="7" t="n">
        <v>229.7</v>
      </c>
      <c r="L128" s="7" t="n">
        <v>279.1</v>
      </c>
      <c r="N128" s="7" t="n">
        <v>184.7</v>
      </c>
      <c r="P128" s="7" t="n">
        <v>370.8</v>
      </c>
      <c r="R128" s="7" t="n">
        <v>438.8</v>
      </c>
      <c r="T128" s="7" t="n">
        <v>315.1</v>
      </c>
      <c r="V128" s="7" t="n">
        <v>376.2</v>
      </c>
      <c r="X128" s="7" t="n">
        <v>159.5</v>
      </c>
      <c r="Z128" s="7" t="n">
        <v>152.2</v>
      </c>
      <c r="AB128" s="7" t="n">
        <v>3076.1</v>
      </c>
    </row>
    <row r="129">
      <c r="A129" s="4" t="inlineStr">
        <is>
          <t>通讯补助</t>
        </is>
      </c>
      <c r="D129" s="7" t="n">
        <v>63</v>
      </c>
      <c r="F129" s="7" t="n">
        <v>85.5</v>
      </c>
      <c r="H129" s="7" t="n">
        <v>64.2</v>
      </c>
      <c r="J129" s="7" t="n">
        <v>85.3</v>
      </c>
      <c r="L129" s="7" t="n">
        <v>95.8</v>
      </c>
      <c r="N129" s="7" t="n">
        <v>113.8</v>
      </c>
      <c r="P129" s="7" t="n">
        <v>198.4</v>
      </c>
      <c r="R129" s="7" t="n">
        <v>141.1</v>
      </c>
      <c r="T129" s="7" t="n">
        <v>105.7</v>
      </c>
      <c r="V129" s="7" t="n">
        <v>114.1</v>
      </c>
      <c r="X129" s="7" t="n">
        <v>50.6</v>
      </c>
      <c r="Z129" s="7" t="n">
        <v>74.09999999999999</v>
      </c>
      <c r="AB129" s="7" t="n">
        <v>1191.6</v>
      </c>
    </row>
    <row r="130">
      <c r="A130" s="4" t="inlineStr">
        <is>
          <t>招待费</t>
        </is>
      </c>
      <c r="D130" s="7" t="n">
        <v>1240.9</v>
      </c>
      <c r="F130" s="7" t="n">
        <v>2180.3</v>
      </c>
      <c r="H130" s="7" t="n">
        <v>1922.6</v>
      </c>
      <c r="J130" s="7" t="n">
        <v>2031.1</v>
      </c>
      <c r="L130" s="7" t="n">
        <v>1956.1</v>
      </c>
      <c r="N130" s="7" t="n">
        <v>2141.6</v>
      </c>
      <c r="P130" s="7" t="n">
        <v>4622.1</v>
      </c>
      <c r="R130" s="7" t="n">
        <v>3208.9</v>
      </c>
      <c r="T130" s="7" t="n">
        <v>1940.4</v>
      </c>
      <c r="V130" s="7" t="n">
        <v>2997.3</v>
      </c>
      <c r="X130" s="7" t="n">
        <v>1472.1</v>
      </c>
      <c r="Z130" s="7" t="n">
        <v>1966.3</v>
      </c>
      <c r="AB130" s="7" t="n">
        <v>27679.7</v>
      </c>
    </row>
    <row r="131">
      <c r="A131" s="4" t="inlineStr">
        <is>
          <t>通讯费</t>
        </is>
      </c>
      <c r="D131" s="7" t="n">
        <v>96.8</v>
      </c>
      <c r="F131" s="7" t="n">
        <v>97.7</v>
      </c>
      <c r="H131" s="7" t="n">
        <v>127.4</v>
      </c>
      <c r="J131" s="7" t="n">
        <v>127.4</v>
      </c>
      <c r="L131" s="7" t="n">
        <v>136.7</v>
      </c>
      <c r="N131" s="7" t="n">
        <v>166.2</v>
      </c>
      <c r="P131" s="7" t="n">
        <v>384.8</v>
      </c>
      <c r="R131" s="7" t="n">
        <v>243.2</v>
      </c>
      <c r="T131" s="7" t="n">
        <v>156.5</v>
      </c>
      <c r="V131" s="7" t="n">
        <v>298.1</v>
      </c>
      <c r="X131" s="7" t="n">
        <v>71</v>
      </c>
      <c r="Z131" s="7" t="n">
        <v>88.8</v>
      </c>
      <c r="AB131" s="7" t="n">
        <v>1994.6</v>
      </c>
    </row>
    <row r="132">
      <c r="A132" s="4" t="inlineStr">
        <is>
          <t>网络费</t>
        </is>
      </c>
      <c r="D132" s="7" t="n">
        <v>228.3</v>
      </c>
      <c r="F132" s="7" t="n">
        <v>246.5</v>
      </c>
      <c r="H132" s="7" t="n">
        <v>189.1</v>
      </c>
      <c r="J132" s="7" t="n">
        <v>223.9</v>
      </c>
      <c r="L132" s="7" t="n">
        <v>208.2</v>
      </c>
      <c r="N132" s="7" t="n">
        <v>221.8</v>
      </c>
      <c r="P132" s="7" t="n">
        <v>463.3</v>
      </c>
      <c r="R132" s="7" t="n">
        <v>357.1</v>
      </c>
      <c r="T132" s="7" t="n">
        <v>279.1</v>
      </c>
      <c r="V132" s="7" t="n">
        <v>295.3</v>
      </c>
      <c r="X132" s="7" t="n">
        <v>115.1</v>
      </c>
      <c r="Z132" s="7" t="n">
        <v>155.1</v>
      </c>
      <c r="AB132" s="7" t="n">
        <v>2982.8</v>
      </c>
    </row>
    <row r="133">
      <c r="A133" s="4" t="inlineStr">
        <is>
          <t>修理费</t>
        </is>
      </c>
      <c r="D133" s="7" t="n">
        <v>133.5</v>
      </c>
      <c r="F133" s="7" t="n">
        <v>205.3</v>
      </c>
      <c r="H133" s="7" t="n">
        <v>250.1</v>
      </c>
      <c r="J133" s="7" t="n">
        <v>264.9</v>
      </c>
      <c r="L133" s="7" t="n">
        <v>223.5</v>
      </c>
      <c r="N133" s="7" t="n">
        <v>275.5</v>
      </c>
      <c r="P133" s="7" t="n">
        <v>453.4</v>
      </c>
      <c r="R133" s="7" t="n">
        <v>333.7</v>
      </c>
      <c r="T133" s="7" t="n">
        <v>231.6</v>
      </c>
      <c r="V133" s="7" t="n">
        <v>376.6</v>
      </c>
      <c r="X133" s="7" t="n">
        <v>177.3</v>
      </c>
      <c r="Z133" s="7" t="n">
        <v>199.6</v>
      </c>
      <c r="AB133" s="7" t="n">
        <v>3125</v>
      </c>
    </row>
    <row r="134">
      <c r="A134" s="4" t="inlineStr">
        <is>
          <t>车辆费</t>
        </is>
      </c>
      <c r="D134" s="7" t="n">
        <v>68.7</v>
      </c>
      <c r="F134" s="7" t="n">
        <v>55.1</v>
      </c>
      <c r="H134" s="7" t="n">
        <v>46.8</v>
      </c>
      <c r="J134" s="7" t="n">
        <v>61.8</v>
      </c>
      <c r="L134" s="7" t="n">
        <v>75.2</v>
      </c>
      <c r="N134" s="7" t="n">
        <v>77.90000000000001</v>
      </c>
      <c r="P134" s="7" t="n">
        <v>155.3</v>
      </c>
      <c r="R134" s="7" t="n">
        <v>122.4</v>
      </c>
      <c r="T134" s="7" t="n">
        <v>104.8</v>
      </c>
      <c r="V134" s="7" t="n">
        <v>135.9</v>
      </c>
      <c r="X134" s="7" t="n">
        <v>34.7</v>
      </c>
      <c r="Z134" s="7" t="n">
        <v>54.9</v>
      </c>
      <c r="AB134" s="7" t="n">
        <v>993.5</v>
      </c>
    </row>
    <row r="135">
      <c r="A135" s="4" t="inlineStr">
        <is>
          <t>租赁费</t>
        </is>
      </c>
      <c r="D135" s="7" t="n">
        <v>2352.8</v>
      </c>
      <c r="F135" s="7" t="n">
        <v>1982.5</v>
      </c>
      <c r="H135" s="7" t="n">
        <v>1722</v>
      </c>
      <c r="J135" s="7" t="n">
        <v>2741.1</v>
      </c>
      <c r="L135" s="7" t="n">
        <v>3090.2</v>
      </c>
      <c r="N135" s="7" t="n">
        <v>2975.7</v>
      </c>
      <c r="P135" s="7" t="n">
        <v>5962.5</v>
      </c>
      <c r="R135" s="7" t="n">
        <v>4013.1</v>
      </c>
      <c r="T135" s="7" t="n">
        <v>2598</v>
      </c>
      <c r="V135" s="7" t="n">
        <v>4800.6</v>
      </c>
      <c r="X135" s="7" t="n">
        <v>1781.4</v>
      </c>
      <c r="Z135" s="7" t="n">
        <v>2049.8</v>
      </c>
      <c r="AB135" s="7" t="n">
        <v>36069.7</v>
      </c>
    </row>
    <row r="136">
      <c r="A136" s="4" t="inlineStr">
        <is>
          <t>能源费</t>
        </is>
      </c>
      <c r="D136" s="7" t="n">
        <v>516.3</v>
      </c>
      <c r="F136" s="7" t="n">
        <v>773.1</v>
      </c>
      <c r="H136" s="7" t="n">
        <v>725.9</v>
      </c>
      <c r="J136" s="7" t="n">
        <v>666.1</v>
      </c>
      <c r="L136" s="7" t="n">
        <v>835.3</v>
      </c>
      <c r="N136" s="7" t="n">
        <v>853.1</v>
      </c>
      <c r="P136" s="7" t="n">
        <v>1329.6</v>
      </c>
      <c r="R136" s="7" t="n">
        <v>1074.8</v>
      </c>
      <c r="T136" s="7" t="n">
        <v>904</v>
      </c>
      <c r="V136" s="7" t="n">
        <v>1252.6</v>
      </c>
      <c r="X136" s="7" t="n">
        <v>433</v>
      </c>
      <c r="Z136" s="7" t="n">
        <v>637.3</v>
      </c>
      <c r="AB136" s="7" t="n">
        <v>10001.1</v>
      </c>
    </row>
    <row r="137">
      <c r="A137" s="4" t="inlineStr">
        <is>
          <t>水费</t>
        </is>
      </c>
      <c r="D137" s="7" t="n">
        <v>175.1</v>
      </c>
      <c r="F137" s="7" t="n">
        <v>322.4</v>
      </c>
      <c r="H137" s="7" t="n">
        <v>317.8</v>
      </c>
      <c r="J137" s="7" t="n">
        <v>333.6</v>
      </c>
      <c r="L137" s="7" t="n">
        <v>277.9</v>
      </c>
      <c r="N137" s="7" t="n">
        <v>323.9</v>
      </c>
      <c r="P137" s="7" t="n">
        <v>508.6</v>
      </c>
      <c r="R137" s="7" t="n">
        <v>403.3</v>
      </c>
      <c r="T137" s="7" t="n">
        <v>365.4</v>
      </c>
      <c r="V137" s="7" t="n">
        <v>479.3</v>
      </c>
      <c r="X137" s="7" t="n">
        <v>130.3</v>
      </c>
      <c r="Z137" s="7" t="n">
        <v>238.4</v>
      </c>
      <c r="AB137" s="7" t="n">
        <v>3876</v>
      </c>
    </row>
    <row r="138">
      <c r="A138" s="4" t="inlineStr">
        <is>
          <t>电费</t>
        </is>
      </c>
      <c r="D138" s="7" t="n">
        <v>123.9</v>
      </c>
      <c r="F138" s="7" t="n">
        <v>178.9</v>
      </c>
      <c r="H138" s="7" t="n">
        <v>132.2</v>
      </c>
      <c r="J138" s="7" t="n">
        <v>114.6</v>
      </c>
      <c r="L138" s="7" t="n">
        <v>218.2</v>
      </c>
      <c r="N138" s="7" t="n">
        <v>147.7</v>
      </c>
      <c r="P138" s="7" t="n">
        <v>311.9</v>
      </c>
      <c r="R138" s="7" t="n">
        <v>266.6</v>
      </c>
      <c r="T138" s="7" t="n">
        <v>213.5</v>
      </c>
      <c r="V138" s="7" t="n">
        <v>264.8</v>
      </c>
      <c r="X138" s="7" t="n">
        <v>98.40000000000001</v>
      </c>
      <c r="Z138" s="7" t="n">
        <v>137.6</v>
      </c>
      <c r="AB138" s="7" t="n">
        <v>2208.3</v>
      </c>
    </row>
    <row r="139">
      <c r="A139" s="4" t="inlineStr">
        <is>
          <t>燃气费</t>
        </is>
      </c>
      <c r="D139" s="7" t="n">
        <v>109.8</v>
      </c>
      <c r="F139" s="7" t="n">
        <v>158</v>
      </c>
      <c r="H139" s="7" t="n">
        <v>161.5</v>
      </c>
      <c r="J139" s="7" t="n">
        <v>122.9</v>
      </c>
      <c r="L139" s="7" t="n">
        <v>155.3</v>
      </c>
      <c r="N139" s="7" t="n">
        <v>214</v>
      </c>
      <c r="P139" s="7" t="n">
        <v>262.8</v>
      </c>
      <c r="R139" s="7" t="n">
        <v>206.7</v>
      </c>
      <c r="T139" s="7" t="n">
        <v>168.6</v>
      </c>
      <c r="V139" s="7" t="n">
        <v>302</v>
      </c>
      <c r="X139" s="7" t="n">
        <v>112.9</v>
      </c>
      <c r="Z139" s="7" t="n">
        <v>158.5</v>
      </c>
      <c r="AB139" s="7" t="n">
        <v>2133</v>
      </c>
    </row>
    <row r="140">
      <c r="A140" s="4" t="inlineStr">
        <is>
          <t>蒸汽费</t>
        </is>
      </c>
      <c r="D140" s="7" t="n">
        <v>107.5</v>
      </c>
      <c r="F140" s="7" t="n">
        <v>113.8</v>
      </c>
      <c r="H140" s="7" t="n">
        <v>114.4</v>
      </c>
      <c r="J140" s="7" t="n">
        <v>95</v>
      </c>
      <c r="L140" s="7" t="n">
        <v>183.9</v>
      </c>
      <c r="N140" s="7" t="n">
        <v>167.5</v>
      </c>
      <c r="P140" s="7" t="n">
        <v>246.3</v>
      </c>
      <c r="R140" s="7" t="n">
        <v>198.2</v>
      </c>
      <c r="T140" s="7" t="n">
        <v>156.5</v>
      </c>
      <c r="V140" s="7" t="n">
        <v>206.5</v>
      </c>
      <c r="X140" s="7" t="n">
        <v>91.40000000000001</v>
      </c>
      <c r="Z140" s="7" t="n">
        <v>102.8</v>
      </c>
      <c r="AB140" s="7" t="n">
        <v>1783.8</v>
      </c>
    </row>
    <row r="141">
      <c r="A141" s="4" t="inlineStr">
        <is>
          <t>物业费</t>
        </is>
      </c>
      <c r="D141" s="7" t="n">
        <v>90.8</v>
      </c>
      <c r="F141" s="7" t="n">
        <v>163.2</v>
      </c>
      <c r="H141" s="7" t="n">
        <v>105</v>
      </c>
      <c r="J141" s="7" t="n">
        <v>107.8</v>
      </c>
      <c r="L141" s="7" t="n">
        <v>175.6</v>
      </c>
      <c r="N141" s="7" t="n">
        <v>192.4</v>
      </c>
      <c r="P141" s="7" t="n">
        <v>269.6</v>
      </c>
      <c r="R141" s="7" t="n">
        <v>207.2</v>
      </c>
      <c r="T141" s="7" t="n">
        <v>197.2</v>
      </c>
      <c r="V141" s="7" t="n">
        <v>243.4</v>
      </c>
      <c r="X141" s="7" t="n">
        <v>94.3</v>
      </c>
      <c r="Z141" s="7" t="n">
        <v>79.59999999999999</v>
      </c>
      <c r="AB141" s="7" t="n">
        <v>1926.1</v>
      </c>
    </row>
    <row r="142">
      <c r="A142" s="4" t="inlineStr">
        <is>
          <t>劳动保护费</t>
        </is>
      </c>
      <c r="D142" s="7" t="n">
        <v>168</v>
      </c>
      <c r="F142" s="7" t="n">
        <v>153.6</v>
      </c>
      <c r="H142" s="7" t="n">
        <v>234.6</v>
      </c>
      <c r="J142" s="7" t="n">
        <v>210.2</v>
      </c>
      <c r="L142" s="7" t="n">
        <v>183.6</v>
      </c>
      <c r="N142" s="7" t="n">
        <v>263.9</v>
      </c>
      <c r="P142" s="7" t="n">
        <v>355.7</v>
      </c>
      <c r="R142" s="7" t="n">
        <v>404.4</v>
      </c>
      <c r="T142" s="7" t="n">
        <v>273.8</v>
      </c>
      <c r="V142" s="7" t="n">
        <v>339.3</v>
      </c>
      <c r="X142" s="7" t="n">
        <v>148.2</v>
      </c>
      <c r="Z142" s="7" t="n">
        <v>112.3</v>
      </c>
      <c r="AB142" s="7" t="n">
        <v>2847.6</v>
      </c>
    </row>
    <row r="143">
      <c r="A143" s="4" t="inlineStr">
        <is>
          <t>顾问费</t>
        </is>
      </c>
      <c r="D143" s="7" t="n">
        <v>177.8</v>
      </c>
      <c r="F143" s="7" t="n">
        <v>183.9</v>
      </c>
      <c r="H143" s="7" t="n">
        <v>128.4</v>
      </c>
      <c r="J143" s="7" t="n">
        <v>153.4</v>
      </c>
      <c r="L143" s="7" t="n">
        <v>258.8</v>
      </c>
      <c r="N143" s="7" t="n">
        <v>194.9</v>
      </c>
      <c r="P143" s="7" t="n">
        <v>365.5</v>
      </c>
      <c r="R143" s="7" t="n">
        <v>295.6</v>
      </c>
      <c r="T143" s="7" t="n">
        <v>175.7</v>
      </c>
      <c r="V143" s="7" t="n">
        <v>307.4</v>
      </c>
      <c r="X143" s="7" t="n">
        <v>85.8</v>
      </c>
      <c r="Z143" s="7" t="n">
        <v>127.2</v>
      </c>
      <c r="AB143" s="7" t="n">
        <v>2454.4</v>
      </c>
    </row>
    <row r="144">
      <c r="A144" s="4" t="inlineStr">
        <is>
          <t>快递费</t>
        </is>
      </c>
      <c r="D144" s="7" t="n">
        <v>236.4</v>
      </c>
      <c r="F144" s="7" t="n">
        <v>237</v>
      </c>
      <c r="H144" s="7" t="n">
        <v>195.2</v>
      </c>
      <c r="J144" s="7" t="n">
        <v>338.5</v>
      </c>
      <c r="L144" s="7" t="n">
        <v>244.6</v>
      </c>
      <c r="N144" s="7" t="n">
        <v>315</v>
      </c>
      <c r="P144" s="7" t="n">
        <v>588</v>
      </c>
      <c r="R144" s="7" t="n">
        <v>386.3</v>
      </c>
      <c r="T144" s="7" t="n">
        <v>236.1</v>
      </c>
      <c r="V144" s="7" t="n">
        <v>506.5</v>
      </c>
      <c r="X144" s="7" t="n">
        <v>143.3</v>
      </c>
      <c r="Z144" s="7" t="n">
        <v>218.9</v>
      </c>
      <c r="AB144" s="7" t="n">
        <v>3645.8</v>
      </c>
    </row>
    <row r="145">
      <c r="A145" s="4" t="inlineStr">
        <is>
          <t>诉讼费</t>
        </is>
      </c>
      <c r="D145" s="7" t="n">
        <v>14.7</v>
      </c>
      <c r="F145" s="7" t="n">
        <v>13.9</v>
      </c>
      <c r="H145" s="7" t="n">
        <v>16.2</v>
      </c>
      <c r="J145" s="7" t="n">
        <v>17.3</v>
      </c>
      <c r="L145" s="7" t="n">
        <v>23.2</v>
      </c>
      <c r="N145" s="7" t="n">
        <v>18.6</v>
      </c>
      <c r="P145" s="7" t="n">
        <v>33.9</v>
      </c>
      <c r="R145" s="7" t="n">
        <v>35.2</v>
      </c>
      <c r="T145" s="7" t="n">
        <v>28.5</v>
      </c>
      <c r="V145" s="7" t="n">
        <v>35</v>
      </c>
      <c r="X145" s="7" t="n">
        <v>9.5</v>
      </c>
      <c r="Z145" s="7" t="n">
        <v>15.3</v>
      </c>
      <c r="AB145" s="7" t="n">
        <v>261.3</v>
      </c>
    </row>
    <row r="146">
      <c r="A146" s="4" t="inlineStr">
        <is>
          <t>会员费</t>
        </is>
      </c>
      <c r="D146" s="7" t="n">
        <v>178.9</v>
      </c>
      <c r="F146" s="7" t="n">
        <v>140.6</v>
      </c>
      <c r="H146" s="7" t="n">
        <v>182.6</v>
      </c>
      <c r="J146" s="7" t="n">
        <v>178.2</v>
      </c>
      <c r="L146" s="7" t="n">
        <v>272.8</v>
      </c>
      <c r="N146" s="7" t="n">
        <v>228.7</v>
      </c>
      <c r="P146" s="7" t="n">
        <v>334.9</v>
      </c>
      <c r="R146" s="7" t="n">
        <v>408.6</v>
      </c>
      <c r="T146" s="7" t="n">
        <v>278.5</v>
      </c>
      <c r="V146" s="7" t="n">
        <v>377.9</v>
      </c>
      <c r="X146" s="7" t="n">
        <v>90.2</v>
      </c>
      <c r="Z146" s="7" t="n">
        <v>178.5</v>
      </c>
      <c r="AB146" s="7" t="n">
        <v>2850.4</v>
      </c>
    </row>
    <row r="147">
      <c r="A147" s="4" t="inlineStr">
        <is>
          <t>广告宣传费</t>
        </is>
      </c>
      <c r="D147" s="7" t="n">
        <v>896.9</v>
      </c>
      <c r="F147" s="7" t="n">
        <v>1503.3</v>
      </c>
      <c r="H147" s="7" t="n">
        <v>1648.4</v>
      </c>
      <c r="J147" s="7" t="n">
        <v>1434.2</v>
      </c>
      <c r="L147" s="7" t="n">
        <v>2296.2</v>
      </c>
      <c r="N147" s="7" t="n">
        <v>1244.2</v>
      </c>
      <c r="P147" s="7" t="n">
        <v>3772.2</v>
      </c>
      <c r="R147" s="7" t="n">
        <v>3298.2</v>
      </c>
      <c r="T147" s="7" t="n">
        <v>2366</v>
      </c>
      <c r="V147" s="7" t="n">
        <v>2036.3</v>
      </c>
      <c r="X147" s="7" t="n">
        <v>918.4</v>
      </c>
      <c r="Z147" s="7" t="n">
        <v>1120.1</v>
      </c>
      <c r="AB147" s="7" t="n">
        <v>22534.4</v>
      </c>
    </row>
    <row r="148">
      <c r="A148" s="4" t="inlineStr">
        <is>
          <t>会务费</t>
        </is>
      </c>
      <c r="D148" s="7" t="n">
        <v>59.8</v>
      </c>
      <c r="F148" s="7" t="n">
        <v>66.3</v>
      </c>
      <c r="H148" s="7" t="n">
        <v>73.2</v>
      </c>
      <c r="J148" s="7" t="n">
        <v>70.8</v>
      </c>
      <c r="L148" s="7" t="n">
        <v>69.2</v>
      </c>
      <c r="N148" s="7" t="n">
        <v>47.7</v>
      </c>
      <c r="P148" s="7" t="n">
        <v>144.7</v>
      </c>
      <c r="R148" s="7" t="n">
        <v>94.09999999999999</v>
      </c>
      <c r="T148" s="7" t="n">
        <v>76.3</v>
      </c>
      <c r="V148" s="7" t="n">
        <v>80.3</v>
      </c>
      <c r="X148" s="7" t="n">
        <v>30.9</v>
      </c>
      <c r="Z148" s="7" t="n">
        <v>55.1</v>
      </c>
      <c r="AB148" s="7" t="n">
        <v>868.4</v>
      </c>
    </row>
    <row r="149">
      <c r="A149" s="4" t="inlineStr">
        <is>
          <t>装修费</t>
        </is>
      </c>
      <c r="D149" s="7" t="n">
        <v>197.4</v>
      </c>
      <c r="F149" s="7" t="n">
        <v>199.8</v>
      </c>
      <c r="H149" s="7" t="n">
        <v>172.3</v>
      </c>
      <c r="J149" s="7" t="n">
        <v>236.9</v>
      </c>
      <c r="L149" s="7" t="n">
        <v>344.5</v>
      </c>
      <c r="N149" s="7" t="n">
        <v>282.2</v>
      </c>
      <c r="P149" s="7" t="n">
        <v>367.8</v>
      </c>
      <c r="R149" s="7" t="n">
        <v>470.6</v>
      </c>
      <c r="T149" s="7" t="n">
        <v>289.5</v>
      </c>
      <c r="V149" s="7" t="n">
        <v>355</v>
      </c>
      <c r="X149" s="7" t="n">
        <v>159.9</v>
      </c>
      <c r="Z149" s="7" t="n">
        <v>167.8</v>
      </c>
      <c r="AB149" s="7" t="n">
        <v>3243.7</v>
      </c>
    </row>
    <row r="150">
      <c r="A150" s="4" t="inlineStr">
        <is>
          <t>推广费</t>
        </is>
      </c>
      <c r="D150" s="7" t="n">
        <v>184.2</v>
      </c>
      <c r="F150" s="7" t="n">
        <v>312.4</v>
      </c>
      <c r="H150" s="7" t="n">
        <v>337.2</v>
      </c>
      <c r="J150" s="7" t="n">
        <v>296.9</v>
      </c>
      <c r="L150" s="7" t="n">
        <v>481.1</v>
      </c>
      <c r="N150" s="7" t="n">
        <v>368.8</v>
      </c>
      <c r="P150" s="7" t="n">
        <v>676.2</v>
      </c>
      <c r="R150" s="7" t="n">
        <v>577.5</v>
      </c>
      <c r="T150" s="7" t="n">
        <v>487.4</v>
      </c>
      <c r="V150" s="7" t="n">
        <v>359.8</v>
      </c>
      <c r="X150" s="7" t="n">
        <v>249.3</v>
      </c>
      <c r="Z150" s="7" t="n">
        <v>262.6</v>
      </c>
      <c r="AB150" s="7" t="n">
        <v>4593.4</v>
      </c>
    </row>
    <row r="151">
      <c r="A151" s="4" t="inlineStr">
        <is>
          <t>展会费</t>
        </is>
      </c>
      <c r="D151" s="7" t="n">
        <v>256.7</v>
      </c>
      <c r="F151" s="7" t="n">
        <v>262.2</v>
      </c>
      <c r="H151" s="7" t="n">
        <v>295.1</v>
      </c>
      <c r="J151" s="7" t="n">
        <v>375.4</v>
      </c>
      <c r="L151" s="7" t="n">
        <v>317.5</v>
      </c>
      <c r="N151" s="7" t="n">
        <v>403.4</v>
      </c>
      <c r="P151" s="7" t="n">
        <v>784.2</v>
      </c>
      <c r="R151" s="7" t="n">
        <v>460.8</v>
      </c>
      <c r="T151" s="7" t="n">
        <v>354.7</v>
      </c>
      <c r="V151" s="7" t="n">
        <v>334.7</v>
      </c>
      <c r="X151" s="7" t="n">
        <v>143.8</v>
      </c>
      <c r="Z151" s="7" t="n">
        <v>284.5</v>
      </c>
      <c r="AB151" s="7" t="n">
        <v>4273</v>
      </c>
    </row>
    <row r="152">
      <c r="A152" s="4" t="inlineStr">
        <is>
          <t>设计费</t>
        </is>
      </c>
      <c r="D152" s="7" t="n">
        <v>156.7</v>
      </c>
      <c r="F152" s="7" t="n">
        <v>141.7</v>
      </c>
      <c r="H152" s="7" t="n">
        <v>146.3</v>
      </c>
      <c r="J152" s="7" t="n">
        <v>129</v>
      </c>
      <c r="L152" s="7" t="n">
        <v>189.8</v>
      </c>
      <c r="N152" s="7" t="n">
        <v>144.5</v>
      </c>
      <c r="P152" s="7" t="n">
        <v>297.3</v>
      </c>
      <c r="R152" s="7" t="n">
        <v>186</v>
      </c>
      <c r="T152" s="7" t="n">
        <v>240</v>
      </c>
      <c r="V152" s="7" t="n">
        <v>217</v>
      </c>
      <c r="X152" s="7" t="n">
        <v>103.4</v>
      </c>
      <c r="Z152" s="7" t="n">
        <v>131.5</v>
      </c>
      <c r="AB152" s="7" t="n">
        <v>2083.2</v>
      </c>
    </row>
    <row r="153">
      <c r="A153" s="4" t="inlineStr">
        <is>
          <t>折旧费</t>
        </is>
      </c>
      <c r="D153" s="7" t="n">
        <v>1839.2</v>
      </c>
      <c r="F153" s="7" t="n">
        <v>2395.7</v>
      </c>
      <c r="H153" s="7" t="n">
        <v>1453.4</v>
      </c>
      <c r="J153" s="7" t="n">
        <v>2289.8</v>
      </c>
      <c r="L153" s="7" t="n">
        <v>3060</v>
      </c>
      <c r="N153" s="7" t="n">
        <v>2698.1</v>
      </c>
      <c r="P153" s="7" t="n">
        <v>3684.9</v>
      </c>
      <c r="R153" s="7" t="n">
        <v>4045.3</v>
      </c>
      <c r="T153" s="7" t="n">
        <v>2354</v>
      </c>
      <c r="V153" s="7" t="n">
        <v>3973.1</v>
      </c>
      <c r="X153" s="7" t="n">
        <v>996.8</v>
      </c>
      <c r="Z153" s="7" t="n">
        <v>1318.2</v>
      </c>
      <c r="AB153" s="7" t="n">
        <v>30108.5</v>
      </c>
    </row>
    <row r="154">
      <c r="A154" s="4" t="inlineStr">
        <is>
          <t>认证费</t>
        </is>
      </c>
      <c r="D154" s="7" t="n">
        <v>102.5</v>
      </c>
      <c r="F154" s="7" t="n">
        <v>73.3</v>
      </c>
      <c r="H154" s="7" t="n">
        <v>101.1</v>
      </c>
      <c r="J154" s="7" t="n">
        <v>119.5</v>
      </c>
      <c r="L154" s="7" t="n">
        <v>113.2</v>
      </c>
      <c r="N154" s="7" t="n">
        <v>98.90000000000001</v>
      </c>
      <c r="P154" s="7" t="n">
        <v>197.9</v>
      </c>
      <c r="R154" s="7" t="n">
        <v>224.4</v>
      </c>
      <c r="T154" s="7" t="n">
        <v>155.9</v>
      </c>
      <c r="V154" s="7" t="n">
        <v>140.8</v>
      </c>
      <c r="X154" s="7" t="n">
        <v>69.40000000000001</v>
      </c>
      <c r="Z154" s="7" t="n">
        <v>88.5</v>
      </c>
      <c r="AB154" s="7" t="n">
        <v>1485.4</v>
      </c>
    </row>
    <row r="155">
      <c r="A155" s="4" t="inlineStr">
        <is>
          <t>样品费</t>
        </is>
      </c>
      <c r="D155" s="7" t="n">
        <v>640.3</v>
      </c>
      <c r="F155" s="7" t="n">
        <v>820.3</v>
      </c>
      <c r="H155" s="7" t="n">
        <v>1138.5</v>
      </c>
      <c r="J155" s="7" t="n">
        <v>1233</v>
      </c>
      <c r="L155" s="7" t="n">
        <v>877.8</v>
      </c>
      <c r="N155" s="7" t="n">
        <v>1188.6</v>
      </c>
      <c r="P155" s="7" t="n">
        <v>2119.1</v>
      </c>
      <c r="R155" s="7" t="n">
        <v>1553.5</v>
      </c>
      <c r="T155" s="7" t="n">
        <v>1536.9</v>
      </c>
      <c r="V155" s="7" t="n">
        <v>1201.6</v>
      </c>
      <c r="X155" s="7" t="n">
        <v>676.7</v>
      </c>
      <c r="Z155" s="7" t="n">
        <v>790.8</v>
      </c>
      <c r="AB155" s="7" t="n">
        <v>13777.1</v>
      </c>
    </row>
    <row r="156">
      <c r="A156" s="4" t="inlineStr">
        <is>
          <t>劳务费</t>
        </is>
      </c>
      <c r="D156" s="7" t="n">
        <v>223.7</v>
      </c>
      <c r="F156" s="7" t="n">
        <v>193.6</v>
      </c>
      <c r="H156" s="7" t="n">
        <v>179</v>
      </c>
      <c r="J156" s="7" t="n">
        <v>246.2</v>
      </c>
      <c r="L156" s="7" t="n">
        <v>280.8</v>
      </c>
      <c r="N156" s="7" t="n">
        <v>184</v>
      </c>
      <c r="P156" s="7" t="n">
        <v>472.6</v>
      </c>
      <c r="R156" s="7" t="n">
        <v>299.8</v>
      </c>
      <c r="T156" s="7" t="n">
        <v>274.1</v>
      </c>
      <c r="V156" s="7" t="n">
        <v>385.8</v>
      </c>
      <c r="X156" s="7" t="n">
        <v>164.1</v>
      </c>
      <c r="Z156" s="7" t="n">
        <v>165.7</v>
      </c>
      <c r="AB156" s="7" t="n">
        <v>3069.4</v>
      </c>
    </row>
    <row r="157">
      <c r="A157" s="4" t="inlineStr">
        <is>
          <t>销售佣金</t>
        </is>
      </c>
      <c r="D157" s="7" t="n">
        <v>101.3</v>
      </c>
      <c r="F157" s="7" t="n">
        <v>77.40000000000001</v>
      </c>
      <c r="H157" s="7" t="n">
        <v>121.3</v>
      </c>
      <c r="J157" s="7" t="n">
        <v>145.2</v>
      </c>
      <c r="L157" s="7" t="n">
        <v>145.2</v>
      </c>
      <c r="N157" s="7" t="n">
        <v>126.3</v>
      </c>
      <c r="P157" s="7" t="n">
        <v>231.9</v>
      </c>
      <c r="R157" s="7" t="n">
        <v>213.8</v>
      </c>
      <c r="T157" s="7" t="n">
        <v>121.4</v>
      </c>
      <c r="V157" s="7" t="n">
        <v>124.6</v>
      </c>
      <c r="X157" s="7" t="n">
        <v>80</v>
      </c>
      <c r="Z157" s="7" t="n">
        <v>96</v>
      </c>
      <c r="AB157" s="7" t="n">
        <v>1584.4</v>
      </c>
    </row>
    <row r="158">
      <c r="A158" s="4" t="inlineStr">
        <is>
          <t>检测费</t>
        </is>
      </c>
      <c r="D158" s="7" t="n">
        <v>5.9</v>
      </c>
      <c r="F158" s="7" t="n">
        <v>7.8</v>
      </c>
      <c r="H158" s="7" t="n">
        <v>9.199999999999999</v>
      </c>
      <c r="J158" s="7" t="n">
        <v>7.7</v>
      </c>
      <c r="L158" s="7" t="n">
        <v>11.6</v>
      </c>
      <c r="N158" s="7" t="n">
        <v>12.9</v>
      </c>
      <c r="P158" s="7" t="n">
        <v>14.1</v>
      </c>
      <c r="R158" s="7" t="n">
        <v>19.4</v>
      </c>
      <c r="T158" s="7" t="n">
        <v>9.4</v>
      </c>
      <c r="V158" s="7" t="n">
        <v>13.2</v>
      </c>
      <c r="X158" s="7" t="n">
        <v>5.1</v>
      </c>
      <c r="Z158" s="7" t="n">
        <v>7.3</v>
      </c>
      <c r="AB158" s="7" t="n">
        <v>123.6</v>
      </c>
    </row>
    <row r="159">
      <c r="A159" s="4" t="inlineStr">
        <is>
          <t>质量赔偿</t>
        </is>
      </c>
      <c r="D159" s="7" t="n">
        <v>236.1</v>
      </c>
      <c r="F159" s="7" t="n">
        <v>233.4</v>
      </c>
      <c r="H159" s="7" t="n">
        <v>236.2</v>
      </c>
      <c r="J159" s="7" t="n">
        <v>298.4</v>
      </c>
      <c r="L159" s="7" t="n">
        <v>321.1</v>
      </c>
      <c r="N159" s="7" t="n">
        <v>320.1</v>
      </c>
      <c r="P159" s="7" t="n">
        <v>703.2</v>
      </c>
      <c r="R159" s="7" t="n">
        <v>395.9</v>
      </c>
      <c r="T159" s="7" t="n">
        <v>282.1</v>
      </c>
      <c r="V159" s="7" t="n">
        <v>583.7</v>
      </c>
      <c r="X159" s="7" t="n">
        <v>220.7</v>
      </c>
      <c r="Z159" s="7" t="n">
        <v>196.2</v>
      </c>
      <c r="AB159" s="7" t="n">
        <v>4027.1</v>
      </c>
    </row>
    <row r="160">
      <c r="A160" s="4" t="inlineStr">
        <is>
          <t>保险费</t>
        </is>
      </c>
      <c r="D160" s="7" t="n">
        <v>214.9</v>
      </c>
      <c r="F160" s="7" t="n">
        <v>246.7</v>
      </c>
      <c r="H160" s="7" t="n">
        <v>249.4</v>
      </c>
      <c r="J160" s="7" t="n">
        <v>209.7</v>
      </c>
      <c r="L160" s="7" t="n">
        <v>240.1</v>
      </c>
      <c r="N160" s="7" t="n">
        <v>268.2</v>
      </c>
      <c r="P160" s="7" t="n">
        <v>385.2</v>
      </c>
      <c r="R160" s="7" t="n">
        <v>265.5</v>
      </c>
      <c r="T160" s="7" t="n">
        <v>263.3</v>
      </c>
      <c r="V160" s="7" t="n">
        <v>285</v>
      </c>
      <c r="X160" s="7" t="n">
        <v>156.4</v>
      </c>
      <c r="Z160" s="7" t="n">
        <v>150</v>
      </c>
      <c r="AB160" s="7" t="n">
        <v>2934.4</v>
      </c>
    </row>
    <row r="161">
      <c r="A161" s="4" t="inlineStr">
        <is>
          <t>清洁费</t>
        </is>
      </c>
      <c r="D161" s="7" t="n">
        <v>59.8</v>
      </c>
      <c r="F161" s="7" t="n">
        <v>65.5</v>
      </c>
      <c r="H161" s="7" t="n">
        <v>61.7</v>
      </c>
      <c r="J161" s="7" t="n">
        <v>56.2</v>
      </c>
      <c r="L161" s="7" t="n">
        <v>65.90000000000001</v>
      </c>
      <c r="N161" s="7" t="n">
        <v>58</v>
      </c>
      <c r="P161" s="7" t="n">
        <v>127.3</v>
      </c>
      <c r="R161" s="7" t="n">
        <v>135.2</v>
      </c>
      <c r="T161" s="7" t="n">
        <v>89.09999999999999</v>
      </c>
      <c r="V161" s="7" t="n">
        <v>92.8</v>
      </c>
      <c r="X161" s="7" t="n">
        <v>47.9</v>
      </c>
      <c r="Z161" s="7" t="n">
        <v>41.9</v>
      </c>
      <c r="AB161" s="7" t="n">
        <v>901.3</v>
      </c>
    </row>
    <row r="162">
      <c r="A162" s="4" t="inlineStr">
        <is>
          <t>低值易耗品</t>
        </is>
      </c>
      <c r="D162" s="7" t="n">
        <v>9.5</v>
      </c>
      <c r="F162" s="7" t="n">
        <v>13.7</v>
      </c>
      <c r="H162" s="7" t="n">
        <v>13.9</v>
      </c>
      <c r="J162" s="7" t="n">
        <v>10.5</v>
      </c>
      <c r="L162" s="7" t="n">
        <v>12.9</v>
      </c>
      <c r="N162" s="7" t="n">
        <v>14.2</v>
      </c>
      <c r="P162" s="7" t="n">
        <v>25</v>
      </c>
      <c r="R162" s="7" t="n">
        <v>22.4</v>
      </c>
      <c r="T162" s="7" t="n">
        <v>11.9</v>
      </c>
      <c r="V162" s="7" t="n">
        <v>17.5</v>
      </c>
      <c r="X162" s="7" t="n">
        <v>5.4</v>
      </c>
      <c r="Z162" s="7" t="n">
        <v>8.300000000000001</v>
      </c>
      <c r="AB162" s="7" t="n">
        <v>165.2</v>
      </c>
    </row>
    <row r="163">
      <c r="A163" s="4" t="inlineStr">
        <is>
          <t>物料消耗</t>
        </is>
      </c>
      <c r="D163" s="7" t="n">
        <v>107.8</v>
      </c>
      <c r="F163" s="7" t="n">
        <v>110.3</v>
      </c>
      <c r="H163" s="7" t="n">
        <v>97.3</v>
      </c>
      <c r="J163" s="7" t="n">
        <v>153.2</v>
      </c>
      <c r="L163" s="7" t="n">
        <v>168.3</v>
      </c>
      <c r="N163" s="7" t="n">
        <v>135</v>
      </c>
      <c r="P163" s="7" t="n">
        <v>309.3</v>
      </c>
      <c r="R163" s="7" t="n">
        <v>225.2</v>
      </c>
      <c r="T163" s="7" t="n">
        <v>179.2</v>
      </c>
      <c r="V163" s="7" t="n">
        <v>189.1</v>
      </c>
      <c r="X163" s="7" t="n">
        <v>84.09999999999999</v>
      </c>
      <c r="Z163" s="7" t="n">
        <v>109.5</v>
      </c>
      <c r="AB163" s="7" t="n">
        <v>1868.3</v>
      </c>
    </row>
    <row r="164">
      <c r="A164" s="4" t="inlineStr">
        <is>
          <t>盘盈盘亏</t>
        </is>
      </c>
      <c r="D164" s="7" t="n">
        <v>271.8</v>
      </c>
      <c r="F164" s="7" t="n">
        <v>222</v>
      </c>
      <c r="H164" s="7" t="n">
        <v>254</v>
      </c>
      <c r="J164" s="7" t="n">
        <v>367.7</v>
      </c>
      <c r="L164" s="7" t="n">
        <v>421.9</v>
      </c>
      <c r="N164" s="7" t="n">
        <v>295.5</v>
      </c>
      <c r="P164" s="7" t="n">
        <v>545</v>
      </c>
      <c r="R164" s="7" t="n">
        <v>421.6</v>
      </c>
      <c r="T164" s="7" t="n">
        <v>260.4</v>
      </c>
      <c r="V164" s="7" t="n">
        <v>536.1</v>
      </c>
      <c r="X164" s="7" t="n">
        <v>160.3</v>
      </c>
      <c r="Z164" s="7" t="n">
        <v>157.6</v>
      </c>
      <c r="AB164" s="7" t="n">
        <v>3913.9</v>
      </c>
    </row>
    <row r="165">
      <c r="A165" s="4" t="inlineStr">
        <is>
          <t>平台服务费</t>
        </is>
      </c>
      <c r="D165" s="7" t="n">
        <v>143</v>
      </c>
      <c r="F165" s="7" t="n">
        <v>143.9</v>
      </c>
      <c r="H165" s="7" t="n">
        <v>101.4</v>
      </c>
      <c r="J165" s="7" t="n">
        <v>185.9</v>
      </c>
      <c r="L165" s="7" t="n">
        <v>220.6</v>
      </c>
      <c r="N165" s="7" t="n">
        <v>152.1</v>
      </c>
      <c r="P165" s="7" t="n">
        <v>258.2</v>
      </c>
      <c r="R165" s="7" t="n">
        <v>257.5</v>
      </c>
      <c r="T165" s="7" t="n">
        <v>181.6</v>
      </c>
      <c r="V165" s="7" t="n">
        <v>301.4</v>
      </c>
      <c r="X165" s="7" t="n">
        <v>119.2</v>
      </c>
      <c r="Z165" s="7" t="n">
        <v>134.6</v>
      </c>
      <c r="AB165" s="7" t="n">
        <v>2199.4</v>
      </c>
    </row>
    <row r="166">
      <c r="A166" s="4" t="inlineStr">
        <is>
          <t>无形资产摊销</t>
        </is>
      </c>
      <c r="D166" s="7" t="n">
        <v>151.8</v>
      </c>
      <c r="F166" s="7" t="n">
        <v>175.3</v>
      </c>
      <c r="H166" s="7" t="n">
        <v>245.7</v>
      </c>
      <c r="J166" s="7" t="n">
        <v>205.1</v>
      </c>
      <c r="L166" s="7" t="n">
        <v>262.8</v>
      </c>
      <c r="N166" s="7" t="n">
        <v>239.3</v>
      </c>
      <c r="P166" s="7" t="n">
        <v>376.4</v>
      </c>
      <c r="R166" s="7" t="n">
        <v>242.4</v>
      </c>
      <c r="T166" s="7" t="n">
        <v>278.7</v>
      </c>
      <c r="V166" s="7" t="n">
        <v>310.7</v>
      </c>
      <c r="X166" s="7" t="n">
        <v>149.1</v>
      </c>
      <c r="Z166" s="7" t="n">
        <v>170.3</v>
      </c>
      <c r="AB166" s="7" t="n">
        <v>2807.6</v>
      </c>
    </row>
    <row r="167">
      <c r="A167" s="4" t="inlineStr">
        <is>
          <t>研发材料</t>
        </is>
      </c>
      <c r="D167" s="7" t="n">
        <v>281.2</v>
      </c>
      <c r="F167" s="7" t="n">
        <v>259.5</v>
      </c>
      <c r="H167" s="7" t="n">
        <v>200.8</v>
      </c>
      <c r="J167" s="7" t="n">
        <v>369.5</v>
      </c>
      <c r="L167" s="7" t="n">
        <v>382.3</v>
      </c>
      <c r="N167" s="7" t="n">
        <v>399</v>
      </c>
      <c r="P167" s="7" t="n">
        <v>470.7</v>
      </c>
      <c r="R167" s="7" t="n">
        <v>623.5</v>
      </c>
      <c r="T167" s="7" t="n">
        <v>294.6</v>
      </c>
      <c r="V167" s="7" t="n">
        <v>461.9</v>
      </c>
      <c r="X167" s="7" t="n">
        <v>207</v>
      </c>
      <c r="Z167" s="7" t="n">
        <v>284.8</v>
      </c>
      <c r="AB167" s="7" t="n">
        <v>4234.8</v>
      </c>
    </row>
    <row r="168">
      <c r="A168" s="4" t="inlineStr">
        <is>
          <t>项目名称</t>
        </is>
      </c>
      <c r="D168" s="7" t="n">
        <v>238.7</v>
      </c>
      <c r="F168" s="7" t="n">
        <v>260.7</v>
      </c>
      <c r="H168" s="7" t="n">
        <v>290.2</v>
      </c>
      <c r="J168" s="7" t="n">
        <v>299.3</v>
      </c>
      <c r="L168" s="7" t="n">
        <v>365.4</v>
      </c>
      <c r="N168" s="7" t="n">
        <v>306.8</v>
      </c>
      <c r="P168" s="7" t="n">
        <v>733.9</v>
      </c>
      <c r="R168" s="7" t="n">
        <v>389</v>
      </c>
      <c r="T168" s="7" t="n">
        <v>431.9</v>
      </c>
      <c r="V168" s="7" t="n">
        <v>464.1</v>
      </c>
      <c r="X168" s="7" t="n">
        <v>133.8</v>
      </c>
      <c r="Z168" s="7" t="n">
        <v>181.5</v>
      </c>
      <c r="AB168" s="7" t="n">
        <v>4095.3</v>
      </c>
    </row>
    <row r="169">
      <c r="A169" s="4" t="inlineStr">
        <is>
          <t>研发费</t>
        </is>
      </c>
      <c r="D169" s="7" t="n">
        <v>113.7</v>
      </c>
      <c r="F169" s="7" t="n">
        <v>158.1</v>
      </c>
      <c r="H169" s="7" t="n">
        <v>175.5</v>
      </c>
      <c r="J169" s="7" t="n">
        <v>139.4</v>
      </c>
      <c r="L169" s="7" t="n">
        <v>174.8</v>
      </c>
      <c r="N169" s="7" t="n">
        <v>148.9</v>
      </c>
      <c r="P169" s="7" t="n">
        <v>453.3</v>
      </c>
      <c r="R169" s="7" t="n">
        <v>293.1</v>
      </c>
      <c r="T169" s="7" t="n">
        <v>217</v>
      </c>
      <c r="V169" s="7" t="n">
        <v>246.6</v>
      </c>
      <c r="X169" s="7" t="n">
        <v>100</v>
      </c>
      <c r="Z169" s="7" t="n">
        <v>89.8</v>
      </c>
      <c r="AB169" s="7" t="n">
        <v>2310.2</v>
      </c>
    </row>
    <row r="170">
      <c r="A170" s="4" t="inlineStr">
        <is>
          <t>残保金</t>
        </is>
      </c>
      <c r="D170" s="7" t="n">
        <v>324</v>
      </c>
      <c r="F170" s="7" t="n">
        <v>270.7</v>
      </c>
      <c r="H170" s="7" t="n">
        <v>383.1</v>
      </c>
      <c r="J170" s="7" t="n">
        <v>372.5</v>
      </c>
      <c r="L170" s="7" t="n">
        <v>466.3</v>
      </c>
      <c r="N170" s="7" t="n">
        <v>339.1</v>
      </c>
      <c r="P170" s="7" t="n">
        <v>791.7</v>
      </c>
      <c r="R170" s="7" t="n">
        <v>641.5</v>
      </c>
      <c r="T170" s="7" t="n">
        <v>333.2</v>
      </c>
      <c r="V170" s="7" t="n">
        <v>461.8</v>
      </c>
      <c r="X170" s="7" t="n">
        <v>143.1</v>
      </c>
      <c r="Z170" s="7" t="n">
        <v>299.9</v>
      </c>
      <c r="AB170" s="7" t="n">
        <v>4826.9</v>
      </c>
    </row>
    <row r="171">
      <c r="A171" s="4" t="inlineStr">
        <is>
          <t>环保费</t>
        </is>
      </c>
      <c r="D171" s="7" t="n">
        <v>170</v>
      </c>
      <c r="F171" s="7" t="n">
        <v>187.4</v>
      </c>
      <c r="H171" s="7" t="n">
        <v>244.7</v>
      </c>
      <c r="J171" s="7" t="n">
        <v>195.4</v>
      </c>
      <c r="L171" s="7" t="n">
        <v>367.1</v>
      </c>
      <c r="N171" s="7" t="n">
        <v>281.5</v>
      </c>
      <c r="P171" s="7" t="n">
        <v>432.7</v>
      </c>
      <c r="R171" s="7" t="n">
        <v>376.7</v>
      </c>
      <c r="T171" s="7" t="n">
        <v>295.4</v>
      </c>
      <c r="V171" s="7" t="n">
        <v>344.5</v>
      </c>
      <c r="X171" s="7" t="n">
        <v>108.7</v>
      </c>
      <c r="Z171" s="7" t="n">
        <v>149.9</v>
      </c>
      <c r="AB171" s="7" t="n">
        <v>3154</v>
      </c>
    </row>
    <row r="172">
      <c r="A172" s="4" t="inlineStr">
        <is>
          <t>报废损失</t>
        </is>
      </c>
      <c r="D172" s="7" t="n">
        <v>17.9</v>
      </c>
      <c r="F172" s="7" t="n">
        <v>21</v>
      </c>
      <c r="H172" s="7" t="n">
        <v>18</v>
      </c>
      <c r="J172" s="7" t="n">
        <v>23.9</v>
      </c>
      <c r="L172" s="7" t="n">
        <v>29.6</v>
      </c>
      <c r="N172" s="7" t="n">
        <v>19.6</v>
      </c>
      <c r="P172" s="7" t="n">
        <v>32.3</v>
      </c>
      <c r="R172" s="7" t="n">
        <v>28.8</v>
      </c>
      <c r="T172" s="7" t="n">
        <v>27.2</v>
      </c>
      <c r="V172" s="7" t="n">
        <v>29.3</v>
      </c>
      <c r="X172" s="7" t="n">
        <v>13.2</v>
      </c>
      <c r="Z172" s="7" t="n">
        <v>15.4</v>
      </c>
      <c r="AB172" s="7" t="n">
        <v>276.2</v>
      </c>
    </row>
    <row r="173">
      <c r="A173" s="6" t="inlineStr">
        <is>
          <t>研发费用</t>
        </is>
      </c>
      <c r="B173" s="3" t="inlineStr">
        <is>
          <t>8</t>
        </is>
      </c>
      <c r="C173" s="7" t="n">
        <v>28851.7</v>
      </c>
      <c r="D173" s="7" t="n">
        <v>24166.4</v>
      </c>
      <c r="E173" s="7" t="n">
        <v>22425.4</v>
      </c>
      <c r="F173" s="7" t="n">
        <v>15980.2</v>
      </c>
      <c r="G173" s="7" t="n">
        <v>22878.8</v>
      </c>
      <c r="H173" s="7" t="n">
        <v>28487.4</v>
      </c>
      <c r="I173" s="7" t="n">
        <v>28256.6</v>
      </c>
      <c r="J173" s="7" t="n">
        <v>32333.4</v>
      </c>
      <c r="K173" s="7" t="n">
        <v>25705</v>
      </c>
      <c r="L173" s="7" t="n">
        <v>44710.1</v>
      </c>
      <c r="M173" s="7" t="n">
        <v>26795.4</v>
      </c>
      <c r="N173" s="7" t="n">
        <v>33011.7</v>
      </c>
      <c r="O173" s="7" t="n">
        <v>26975.9</v>
      </c>
      <c r="P173" s="7" t="n">
        <v>40320.7</v>
      </c>
      <c r="Q173" s="7" t="n">
        <v>22914.9</v>
      </c>
      <c r="R173" s="7" t="n">
        <v>13964.4</v>
      </c>
      <c r="S173" s="7" t="n">
        <v>28589.5</v>
      </c>
      <c r="T173" s="7" t="n">
        <v>24977.7</v>
      </c>
      <c r="U173" s="7" t="n">
        <v>27348.5</v>
      </c>
      <c r="V173" s="7" t="n">
        <v>27888</v>
      </c>
      <c r="W173" s="7" t="n">
        <v>22266.7</v>
      </c>
      <c r="X173" s="7" t="n">
        <v>20865.7</v>
      </c>
      <c r="Y173" s="7" t="n">
        <v>24563.5</v>
      </c>
      <c r="Z173" s="7" t="n">
        <v>7477.6</v>
      </c>
      <c r="AA173" s="8" t="n">
        <v>307571.9</v>
      </c>
      <c r="AB173" s="8" t="n">
        <v>314183.3</v>
      </c>
    </row>
    <row r="174">
      <c r="A174" s="4" t="inlineStr">
        <is>
          <t>职工薪酬</t>
        </is>
      </c>
      <c r="D174" s="7" t="n">
        <v>14298.8</v>
      </c>
      <c r="F174" s="7" t="n">
        <v>8825.4</v>
      </c>
      <c r="H174" s="7" t="n">
        <v>12205.8</v>
      </c>
      <c r="J174" s="7" t="n">
        <v>14605</v>
      </c>
      <c r="L174" s="7" t="n">
        <v>20467.5</v>
      </c>
      <c r="N174" s="7" t="n">
        <v>17707.1</v>
      </c>
      <c r="P174" s="7" t="n">
        <v>19326.2</v>
      </c>
      <c r="R174" s="7" t="n">
        <v>7364.9</v>
      </c>
      <c r="T174" s="7" t="n">
        <v>14342.5</v>
      </c>
      <c r="V174" s="7" t="n">
        <v>15217.4</v>
      </c>
      <c r="X174" s="7" t="n">
        <v>10919.4</v>
      </c>
      <c r="Z174" s="7" t="n">
        <v>3083.2</v>
      </c>
      <c r="AB174" s="7" t="n">
        <v>158363.2</v>
      </c>
    </row>
    <row r="175">
      <c r="A175" s="4" t="inlineStr">
        <is>
          <t>工资</t>
        </is>
      </c>
      <c r="D175" s="7" t="n">
        <v>9187.200000000001</v>
      </c>
      <c r="F175" s="7" t="n">
        <v>5505.6</v>
      </c>
      <c r="H175" s="7" t="n">
        <v>7088.1</v>
      </c>
      <c r="J175" s="7" t="n">
        <v>8559.6</v>
      </c>
      <c r="L175" s="7" t="n">
        <v>11652.6</v>
      </c>
      <c r="N175" s="7" t="n">
        <v>10669.3</v>
      </c>
      <c r="P175" s="7" t="n">
        <v>10341</v>
      </c>
      <c r="R175" s="7" t="n">
        <v>4211.1</v>
      </c>
      <c r="T175" s="7" t="n">
        <v>7932.8</v>
      </c>
      <c r="V175" s="7" t="n">
        <v>9607.299999999999</v>
      </c>
      <c r="X175" s="7" t="n">
        <v>7081.2</v>
      </c>
      <c r="Z175" s="7" t="n">
        <v>1883.4</v>
      </c>
      <c r="AB175" s="7" t="n">
        <v>93719.2</v>
      </c>
    </row>
    <row r="176">
      <c r="A176" s="4" t="inlineStr">
        <is>
          <t>奖金及提成</t>
        </is>
      </c>
      <c r="D176" s="7" t="n">
        <v>2470.6</v>
      </c>
      <c r="F176" s="7" t="n">
        <v>1765.1</v>
      </c>
      <c r="H176" s="7" t="n">
        <v>2251.4</v>
      </c>
      <c r="J176" s="7" t="n">
        <v>2694.7</v>
      </c>
      <c r="L176" s="7" t="n">
        <v>4309.4</v>
      </c>
      <c r="N176" s="7" t="n">
        <v>3146</v>
      </c>
      <c r="P176" s="7" t="n">
        <v>3975.9</v>
      </c>
      <c r="R176" s="7" t="n">
        <v>1683.2</v>
      </c>
      <c r="T176" s="7" t="n">
        <v>3100.5</v>
      </c>
      <c r="V176" s="7" t="n">
        <v>2702.6</v>
      </c>
      <c r="X176" s="7" t="n">
        <v>1735.8</v>
      </c>
      <c r="Z176" s="7" t="n">
        <v>579.1</v>
      </c>
      <c r="AB176" s="7" t="n">
        <v>30414.3</v>
      </c>
    </row>
    <row r="177">
      <c r="A177" s="4" t="inlineStr">
        <is>
          <t>社保</t>
        </is>
      </c>
      <c r="D177" s="7" t="n">
        <v>1871.3</v>
      </c>
      <c r="F177" s="7" t="n">
        <v>1109.6</v>
      </c>
      <c r="H177" s="7" t="n">
        <v>2083.9</v>
      </c>
      <c r="J177" s="7" t="n">
        <v>2527</v>
      </c>
      <c r="L177" s="7" t="n">
        <v>3422.3</v>
      </c>
      <c r="N177" s="7" t="n">
        <v>2918.6</v>
      </c>
      <c r="P177" s="7" t="n">
        <v>3980.8</v>
      </c>
      <c r="R177" s="7" t="n">
        <v>1042.2</v>
      </c>
      <c r="T177" s="7" t="n">
        <v>2529.6</v>
      </c>
      <c r="V177" s="7" t="n">
        <v>2156.7</v>
      </c>
      <c r="X177" s="7" t="n">
        <v>1482.1</v>
      </c>
      <c r="Z177" s="7" t="n">
        <v>433.5</v>
      </c>
      <c r="AB177" s="7" t="n">
        <v>25557.6</v>
      </c>
    </row>
    <row r="178">
      <c r="A178" s="4" t="inlineStr">
        <is>
          <t>养老</t>
        </is>
      </c>
      <c r="D178" s="7" t="n">
        <v>121.3</v>
      </c>
      <c r="F178" s="7" t="n">
        <v>80.40000000000001</v>
      </c>
      <c r="H178" s="7" t="n">
        <v>122</v>
      </c>
      <c r="J178" s="7" t="n">
        <v>154.7</v>
      </c>
      <c r="L178" s="7" t="n">
        <v>154.7</v>
      </c>
      <c r="N178" s="7" t="n">
        <v>132.6</v>
      </c>
      <c r="P178" s="7" t="n">
        <v>189</v>
      </c>
      <c r="R178" s="7" t="n">
        <v>52</v>
      </c>
      <c r="T178" s="7" t="n">
        <v>86.90000000000001</v>
      </c>
      <c r="V178" s="7" t="n">
        <v>98</v>
      </c>
      <c r="X178" s="7" t="n">
        <v>70.90000000000001</v>
      </c>
      <c r="Z178" s="7" t="n">
        <v>26.2</v>
      </c>
      <c r="AB178" s="7" t="n">
        <v>1288.7</v>
      </c>
    </row>
    <row r="179">
      <c r="A179" s="4" t="inlineStr">
        <is>
          <t>医疗</t>
        </is>
      </c>
      <c r="D179" s="7" t="n">
        <v>71.7</v>
      </c>
      <c r="F179" s="7" t="n">
        <v>55.4</v>
      </c>
      <c r="H179" s="7" t="n">
        <v>113.5</v>
      </c>
      <c r="J179" s="7" t="n">
        <v>103.1</v>
      </c>
      <c r="L179" s="7" t="n">
        <v>143.7</v>
      </c>
      <c r="N179" s="7" t="n">
        <v>92.7</v>
      </c>
      <c r="P179" s="7" t="n">
        <v>158.8</v>
      </c>
      <c r="R179" s="7" t="n">
        <v>33</v>
      </c>
      <c r="T179" s="7" t="n">
        <v>94.8</v>
      </c>
      <c r="V179" s="7" t="n">
        <v>77.5</v>
      </c>
      <c r="X179" s="7" t="n">
        <v>64.2</v>
      </c>
      <c r="Z179" s="7" t="n">
        <v>23.5</v>
      </c>
      <c r="AB179" s="7" t="n">
        <v>1031.9</v>
      </c>
    </row>
    <row r="180">
      <c r="A180" s="4" t="inlineStr">
        <is>
          <t>工伤</t>
        </is>
      </c>
      <c r="D180" s="7" t="n">
        <v>53.9</v>
      </c>
      <c r="F180" s="7" t="n">
        <v>60.9</v>
      </c>
      <c r="H180" s="7" t="n">
        <v>63.4</v>
      </c>
      <c r="J180" s="7" t="n">
        <v>122.9</v>
      </c>
      <c r="L180" s="7" t="n">
        <v>132.8</v>
      </c>
      <c r="N180" s="7" t="n">
        <v>93.90000000000001</v>
      </c>
      <c r="P180" s="7" t="n">
        <v>111.2</v>
      </c>
      <c r="R180" s="7" t="n">
        <v>42.1</v>
      </c>
      <c r="T180" s="7" t="n">
        <v>63.8</v>
      </c>
      <c r="V180" s="7" t="n">
        <v>65.40000000000001</v>
      </c>
      <c r="X180" s="7" t="n">
        <v>57.9</v>
      </c>
      <c r="Z180" s="7" t="n">
        <v>22.9</v>
      </c>
      <c r="AB180" s="7" t="n">
        <v>891.1</v>
      </c>
    </row>
    <row r="181">
      <c r="A181" s="4" t="inlineStr">
        <is>
          <t>失业</t>
        </is>
      </c>
      <c r="D181" s="7" t="n">
        <v>38.4</v>
      </c>
      <c r="F181" s="7" t="n">
        <v>16</v>
      </c>
      <c r="H181" s="7" t="n">
        <v>40.9</v>
      </c>
      <c r="J181" s="7" t="n">
        <v>51.7</v>
      </c>
      <c r="L181" s="7" t="n">
        <v>66.09999999999999</v>
      </c>
      <c r="N181" s="7" t="n">
        <v>32.7</v>
      </c>
      <c r="P181" s="7" t="n">
        <v>66.5</v>
      </c>
      <c r="R181" s="7" t="n">
        <v>21.7</v>
      </c>
      <c r="T181" s="7" t="n">
        <v>40.1</v>
      </c>
      <c r="V181" s="7" t="n">
        <v>35.1</v>
      </c>
      <c r="X181" s="7" t="n">
        <v>26</v>
      </c>
      <c r="Z181" s="7" t="n">
        <v>10.2</v>
      </c>
      <c r="AB181" s="7" t="n">
        <v>445.4</v>
      </c>
    </row>
    <row r="182">
      <c r="A182" s="4" t="inlineStr">
        <is>
          <t>生育</t>
        </is>
      </c>
      <c r="D182" s="7" t="n">
        <v>33.6</v>
      </c>
      <c r="F182" s="7" t="n">
        <v>21.8</v>
      </c>
      <c r="H182" s="7" t="n">
        <v>38.3</v>
      </c>
      <c r="J182" s="7" t="n">
        <v>66.2</v>
      </c>
      <c r="L182" s="7" t="n">
        <v>83.8</v>
      </c>
      <c r="N182" s="7" t="n">
        <v>57.3</v>
      </c>
      <c r="P182" s="7" t="n">
        <v>61.1</v>
      </c>
      <c r="R182" s="7" t="n">
        <v>18.8</v>
      </c>
      <c r="T182" s="7" t="n">
        <v>50.5</v>
      </c>
      <c r="V182" s="7" t="n">
        <v>55.3</v>
      </c>
      <c r="X182" s="7" t="n">
        <v>40.4</v>
      </c>
      <c r="Z182" s="7" t="n">
        <v>9.199999999999999</v>
      </c>
      <c r="AB182" s="7" t="n">
        <v>536.3</v>
      </c>
    </row>
    <row r="183">
      <c r="A183" s="4" t="inlineStr">
        <is>
          <t>公积金</t>
        </is>
      </c>
      <c r="D183" s="7" t="n">
        <v>84.2</v>
      </c>
      <c r="F183" s="7" t="n">
        <v>46.5</v>
      </c>
      <c r="H183" s="7" t="n">
        <v>96.09999999999999</v>
      </c>
      <c r="J183" s="7" t="n">
        <v>96.2</v>
      </c>
      <c r="L183" s="7" t="n">
        <v>85.5</v>
      </c>
      <c r="N183" s="7" t="n">
        <v>113.6</v>
      </c>
      <c r="P183" s="7" t="n">
        <v>93.2</v>
      </c>
      <c r="R183" s="7" t="n">
        <v>27</v>
      </c>
      <c r="T183" s="7" t="n">
        <v>87.59999999999999</v>
      </c>
      <c r="V183" s="7" t="n">
        <v>86</v>
      </c>
      <c r="X183" s="7" t="n">
        <v>41.8</v>
      </c>
      <c r="Z183" s="7" t="n">
        <v>23</v>
      </c>
      <c r="AB183" s="7" t="n">
        <v>880.7</v>
      </c>
    </row>
    <row r="184">
      <c r="A184" s="4" t="inlineStr">
        <is>
          <t>工会经费</t>
        </is>
      </c>
      <c r="D184" s="7" t="n">
        <v>135.7</v>
      </c>
      <c r="F184" s="7" t="n">
        <v>98.40000000000001</v>
      </c>
      <c r="H184" s="7" t="n">
        <v>139.6</v>
      </c>
      <c r="J184" s="7" t="n">
        <v>164.6</v>
      </c>
      <c r="L184" s="7" t="n">
        <v>178.5</v>
      </c>
      <c r="N184" s="7" t="n">
        <v>196.5</v>
      </c>
      <c r="P184" s="7" t="n">
        <v>228.1</v>
      </c>
      <c r="R184" s="7" t="n">
        <v>77.7</v>
      </c>
      <c r="T184" s="7" t="n">
        <v>152.3</v>
      </c>
      <c r="V184" s="7" t="n">
        <v>178.9</v>
      </c>
      <c r="X184" s="7" t="n">
        <v>144.5</v>
      </c>
      <c r="Z184" s="7" t="n">
        <v>30.1</v>
      </c>
      <c r="AB184" s="7" t="n">
        <v>1724.9</v>
      </c>
    </row>
    <row r="185">
      <c r="A185" s="4" t="inlineStr">
        <is>
          <t>职工教育经费</t>
        </is>
      </c>
      <c r="D185" s="7" t="n">
        <v>19.9</v>
      </c>
      <c r="F185" s="7" t="n">
        <v>10.7</v>
      </c>
      <c r="H185" s="7" t="n">
        <v>21.9</v>
      </c>
      <c r="J185" s="7" t="n">
        <v>20.9</v>
      </c>
      <c r="L185" s="7" t="n">
        <v>37.5</v>
      </c>
      <c r="N185" s="7" t="n">
        <v>20.7</v>
      </c>
      <c r="P185" s="7" t="n">
        <v>20.1</v>
      </c>
      <c r="R185" s="7" t="n">
        <v>10.6</v>
      </c>
      <c r="T185" s="7" t="n">
        <v>16.4</v>
      </c>
      <c r="V185" s="7" t="n">
        <v>17.8</v>
      </c>
      <c r="X185" s="7" t="n">
        <v>10.5</v>
      </c>
      <c r="Z185" s="7" t="n">
        <v>5.4</v>
      </c>
      <c r="AB185" s="7" t="n">
        <v>212.4</v>
      </c>
    </row>
    <row r="186">
      <c r="A186" s="4" t="inlineStr">
        <is>
          <t>福利费</t>
        </is>
      </c>
      <c r="D186" s="7" t="n">
        <v>529.9</v>
      </c>
      <c r="F186" s="7" t="n">
        <v>289.5</v>
      </c>
      <c r="H186" s="7" t="n">
        <v>524.8</v>
      </c>
      <c r="J186" s="7" t="n">
        <v>542</v>
      </c>
      <c r="L186" s="7" t="n">
        <v>781.7</v>
      </c>
      <c r="N186" s="7" t="n">
        <v>642.4</v>
      </c>
      <c r="P186" s="7" t="n">
        <v>687.1</v>
      </c>
      <c r="R186" s="7" t="n">
        <v>313.1</v>
      </c>
      <c r="T186" s="7" t="n">
        <v>523.3</v>
      </c>
      <c r="V186" s="7" t="n">
        <v>468.1</v>
      </c>
      <c r="X186" s="7" t="n">
        <v>423.5</v>
      </c>
      <c r="Z186" s="7" t="n">
        <v>128.7</v>
      </c>
      <c r="AB186" s="7" t="n">
        <v>5854.1</v>
      </c>
    </row>
    <row r="187">
      <c r="A187" s="4" t="inlineStr">
        <is>
          <t>职工房租</t>
        </is>
      </c>
      <c r="D187" s="7" t="n">
        <v>2.3</v>
      </c>
      <c r="F187" s="7" t="n">
        <v>1.3</v>
      </c>
      <c r="H187" s="7" t="n">
        <v>2.8</v>
      </c>
      <c r="J187" s="7" t="n">
        <v>4.3</v>
      </c>
      <c r="L187" s="7" t="n">
        <v>4.9</v>
      </c>
      <c r="N187" s="7" t="n">
        <v>2.4</v>
      </c>
      <c r="P187" s="7" t="n">
        <v>4.5</v>
      </c>
      <c r="R187" s="7" t="n">
        <v>1.1</v>
      </c>
      <c r="T187" s="7" t="n">
        <v>2.9</v>
      </c>
      <c r="V187" s="7" t="n">
        <v>3.2</v>
      </c>
      <c r="X187" s="7" t="n">
        <v>2.4</v>
      </c>
      <c r="Z187" s="7" t="n">
        <v>0.5</v>
      </c>
      <c r="AB187" s="7" t="n">
        <v>32.6</v>
      </c>
    </row>
    <row r="188">
      <c r="A188" s="4" t="inlineStr">
        <is>
          <t>水电物业费</t>
        </is>
      </c>
      <c r="D188" s="7" t="n">
        <v>32.1</v>
      </c>
      <c r="F188" s="7" t="n">
        <v>18.9</v>
      </c>
      <c r="H188" s="7" t="n">
        <v>42</v>
      </c>
      <c r="J188" s="7" t="n">
        <v>46.4</v>
      </c>
      <c r="L188" s="7" t="n">
        <v>47.1</v>
      </c>
      <c r="N188" s="7" t="n">
        <v>47</v>
      </c>
      <c r="P188" s="7" t="n">
        <v>52.9</v>
      </c>
      <c r="R188" s="7" t="n">
        <v>17.7</v>
      </c>
      <c r="T188" s="7" t="n">
        <v>28.2</v>
      </c>
      <c r="V188" s="7" t="n">
        <v>41.2</v>
      </c>
      <c r="X188" s="7" t="n">
        <v>18.3</v>
      </c>
      <c r="Z188" s="7" t="n">
        <v>6.5</v>
      </c>
      <c r="AB188" s="7" t="n">
        <v>398.3</v>
      </c>
    </row>
    <row r="189">
      <c r="A189" s="4" t="inlineStr">
        <is>
          <t>员工餐</t>
        </is>
      </c>
      <c r="D189" s="7" t="n">
        <v>13.1</v>
      </c>
      <c r="F189" s="7" t="n">
        <v>7.2</v>
      </c>
      <c r="H189" s="7" t="n">
        <v>11.6</v>
      </c>
      <c r="J189" s="7" t="n">
        <v>12.6</v>
      </c>
      <c r="L189" s="7" t="n">
        <v>17.4</v>
      </c>
      <c r="N189" s="7" t="n">
        <v>17.8</v>
      </c>
      <c r="P189" s="7" t="n">
        <v>14.7</v>
      </c>
      <c r="R189" s="7" t="n">
        <v>6.5</v>
      </c>
      <c r="T189" s="7" t="n">
        <v>8.300000000000001</v>
      </c>
      <c r="V189" s="7" t="n">
        <v>12</v>
      </c>
      <c r="X189" s="7" t="n">
        <v>10.5</v>
      </c>
      <c r="Z189" s="7" t="n">
        <v>3</v>
      </c>
      <c r="AB189" s="7" t="n">
        <v>134.7</v>
      </c>
    </row>
    <row r="190">
      <c r="A190" s="4" t="inlineStr">
        <is>
          <t>节日礼品</t>
        </is>
      </c>
      <c r="D190" s="7" t="n">
        <v>36.4</v>
      </c>
      <c r="F190" s="7" t="n">
        <v>24.1</v>
      </c>
      <c r="H190" s="7" t="n">
        <v>37.9</v>
      </c>
      <c r="J190" s="7" t="n">
        <v>45</v>
      </c>
      <c r="L190" s="7" t="n">
        <v>81.40000000000001</v>
      </c>
      <c r="N190" s="7" t="n">
        <v>49.1</v>
      </c>
      <c r="P190" s="7" t="n">
        <v>49</v>
      </c>
      <c r="R190" s="7" t="n">
        <v>29.6</v>
      </c>
      <c r="T190" s="7" t="n">
        <v>52.4</v>
      </c>
      <c r="V190" s="7" t="n">
        <v>38.2</v>
      </c>
      <c r="X190" s="7" t="n">
        <v>40.5</v>
      </c>
      <c r="Z190" s="7" t="n">
        <v>15</v>
      </c>
      <c r="AB190" s="7" t="n">
        <v>498.6</v>
      </c>
    </row>
    <row r="191">
      <c r="A191" s="4" t="inlineStr">
        <is>
          <t>生日礼品</t>
        </is>
      </c>
      <c r="D191" s="7" t="n">
        <v>63.7</v>
      </c>
      <c r="F191" s="7" t="n">
        <v>46.1</v>
      </c>
      <c r="H191" s="7" t="n">
        <v>67.3</v>
      </c>
      <c r="J191" s="7" t="n">
        <v>127.4</v>
      </c>
      <c r="L191" s="7" t="n">
        <v>156.4</v>
      </c>
      <c r="N191" s="7" t="n">
        <v>120</v>
      </c>
      <c r="P191" s="7" t="n">
        <v>120</v>
      </c>
      <c r="R191" s="7" t="n">
        <v>39</v>
      </c>
      <c r="T191" s="7" t="n">
        <v>96.09999999999999</v>
      </c>
      <c r="V191" s="7" t="n">
        <v>87.8</v>
      </c>
      <c r="X191" s="7" t="n">
        <v>58</v>
      </c>
      <c r="Z191" s="7" t="n">
        <v>19.4</v>
      </c>
      <c r="AB191" s="7" t="n">
        <v>1001.2</v>
      </c>
    </row>
    <row r="192">
      <c r="A192" s="4" t="inlineStr">
        <is>
          <t>体检</t>
        </is>
      </c>
      <c r="D192" s="7" t="n">
        <v>192.2</v>
      </c>
      <c r="F192" s="7" t="n">
        <v>75.8</v>
      </c>
      <c r="H192" s="7" t="n">
        <v>200</v>
      </c>
      <c r="J192" s="7" t="n">
        <v>144.9</v>
      </c>
      <c r="L192" s="7" t="n">
        <v>259.5</v>
      </c>
      <c r="N192" s="7" t="n">
        <v>194</v>
      </c>
      <c r="P192" s="7" t="n">
        <v>220.6</v>
      </c>
      <c r="R192" s="7" t="n">
        <v>112.4</v>
      </c>
      <c r="T192" s="7" t="n">
        <v>151</v>
      </c>
      <c r="V192" s="7" t="n">
        <v>157.9</v>
      </c>
      <c r="X192" s="7" t="n">
        <v>157.7</v>
      </c>
      <c r="Z192" s="7" t="n">
        <v>43.2</v>
      </c>
      <c r="AB192" s="7" t="n">
        <v>1909.2</v>
      </c>
    </row>
    <row r="193">
      <c r="A193" s="4" t="inlineStr">
        <is>
          <t>其他福利支出</t>
        </is>
      </c>
      <c r="D193" s="7" t="n">
        <v>190.1</v>
      </c>
      <c r="F193" s="7" t="n">
        <v>116.1</v>
      </c>
      <c r="H193" s="7" t="n">
        <v>163.2</v>
      </c>
      <c r="J193" s="7" t="n">
        <v>161.4</v>
      </c>
      <c r="L193" s="7" t="n">
        <v>215</v>
      </c>
      <c r="N193" s="7" t="n">
        <v>212.1</v>
      </c>
      <c r="P193" s="7" t="n">
        <v>225.4</v>
      </c>
      <c r="R193" s="7" t="n">
        <v>106.8</v>
      </c>
      <c r="T193" s="7" t="n">
        <v>184.4</v>
      </c>
      <c r="V193" s="7" t="n">
        <v>127.8</v>
      </c>
      <c r="X193" s="7" t="n">
        <v>136.1</v>
      </c>
      <c r="Z193" s="7" t="n">
        <v>41.1</v>
      </c>
      <c r="AB193" s="7" t="n">
        <v>1879.5</v>
      </c>
    </row>
    <row r="194">
      <c r="A194" s="4" t="inlineStr">
        <is>
          <t>招聘费</t>
        </is>
      </c>
      <c r="D194" s="7" t="n">
        <v>165.2</v>
      </c>
      <c r="F194" s="7" t="n">
        <v>69.2</v>
      </c>
      <c r="H194" s="7" t="n">
        <v>132.8</v>
      </c>
      <c r="J194" s="7" t="n">
        <v>244</v>
      </c>
      <c r="L194" s="7" t="n">
        <v>334.5</v>
      </c>
      <c r="N194" s="7" t="n">
        <v>172.3</v>
      </c>
      <c r="P194" s="7" t="n">
        <v>277.6</v>
      </c>
      <c r="R194" s="7" t="n">
        <v>97.7</v>
      </c>
      <c r="T194" s="7" t="n">
        <v>186.3</v>
      </c>
      <c r="V194" s="7" t="n">
        <v>124.2</v>
      </c>
      <c r="X194" s="7" t="n">
        <v>118.4</v>
      </c>
      <c r="Z194" s="7" t="n">
        <v>50.2</v>
      </c>
      <c r="AB194" s="7" t="n">
        <v>1972.4</v>
      </c>
    </row>
    <row r="195">
      <c r="A195" s="4" t="inlineStr">
        <is>
          <t>办公费</t>
        </is>
      </c>
      <c r="D195" s="7" t="n">
        <v>584.8</v>
      </c>
      <c r="F195" s="7" t="n">
        <v>490.3</v>
      </c>
      <c r="H195" s="7" t="n">
        <v>1081.5</v>
      </c>
      <c r="J195" s="7" t="n">
        <v>735.5</v>
      </c>
      <c r="L195" s="7" t="n">
        <v>1116.2</v>
      </c>
      <c r="N195" s="7" t="n">
        <v>1009.7</v>
      </c>
      <c r="P195" s="7" t="n">
        <v>1539.6</v>
      </c>
      <c r="R195" s="7" t="n">
        <v>316.3</v>
      </c>
      <c r="T195" s="7" t="n">
        <v>925.4</v>
      </c>
      <c r="V195" s="7" t="n">
        <v>969.9</v>
      </c>
      <c r="X195" s="7" t="n">
        <v>713.2</v>
      </c>
      <c r="Z195" s="7" t="n">
        <v>290.7</v>
      </c>
      <c r="AB195" s="7" t="n">
        <v>9773.1</v>
      </c>
    </row>
    <row r="196">
      <c r="A196" s="4" t="inlineStr">
        <is>
          <t>市内交通费</t>
        </is>
      </c>
      <c r="D196" s="7" t="n">
        <v>112.5</v>
      </c>
      <c r="F196" s="7" t="n">
        <v>86</v>
      </c>
      <c r="H196" s="7" t="n">
        <v>167.1</v>
      </c>
      <c r="J196" s="7" t="n">
        <v>174.2</v>
      </c>
      <c r="L196" s="7" t="n">
        <v>316</v>
      </c>
      <c r="N196" s="7" t="n">
        <v>268.1</v>
      </c>
      <c r="P196" s="7" t="n">
        <v>204.1</v>
      </c>
      <c r="R196" s="7" t="n">
        <v>109.8</v>
      </c>
      <c r="T196" s="7" t="n">
        <v>119.8</v>
      </c>
      <c r="V196" s="7" t="n">
        <v>187.1</v>
      </c>
      <c r="X196" s="7" t="n">
        <v>121.2</v>
      </c>
      <c r="Z196" s="7" t="n">
        <v>46.1</v>
      </c>
      <c r="AB196" s="7" t="n">
        <v>1912</v>
      </c>
    </row>
    <row r="197">
      <c r="A197" s="4" t="inlineStr">
        <is>
          <t>差旅费</t>
        </is>
      </c>
      <c r="D197" s="7" t="n">
        <v>1746.8</v>
      </c>
      <c r="F197" s="7" t="n">
        <v>1233.8</v>
      </c>
      <c r="H197" s="7" t="n">
        <v>2065.1</v>
      </c>
      <c r="J197" s="7" t="n">
        <v>2336.2</v>
      </c>
      <c r="L197" s="7" t="n">
        <v>3061.7</v>
      </c>
      <c r="N197" s="7" t="n">
        <v>1507.2</v>
      </c>
      <c r="P197" s="7" t="n">
        <v>1785.4</v>
      </c>
      <c r="R197" s="7" t="n">
        <v>744.6</v>
      </c>
      <c r="T197" s="7" t="n">
        <v>1473.6</v>
      </c>
      <c r="V197" s="7" t="n">
        <v>1365.3</v>
      </c>
      <c r="X197" s="7" t="n">
        <v>944.5</v>
      </c>
      <c r="Z197" s="7" t="n">
        <v>337.5</v>
      </c>
      <c r="AB197" s="7" t="n">
        <v>18601.7</v>
      </c>
    </row>
    <row r="198">
      <c r="A198" s="4" t="inlineStr">
        <is>
          <t>交通费</t>
        </is>
      </c>
      <c r="D198" s="7" t="n">
        <v>86.3</v>
      </c>
      <c r="F198" s="7" t="n">
        <v>64.40000000000001</v>
      </c>
      <c r="H198" s="7" t="n">
        <v>121.6</v>
      </c>
      <c r="J198" s="7" t="n">
        <v>166.4</v>
      </c>
      <c r="L198" s="7" t="n">
        <v>194.7</v>
      </c>
      <c r="N198" s="7" t="n">
        <v>189.5</v>
      </c>
      <c r="P198" s="7" t="n">
        <v>243.3</v>
      </c>
      <c r="R198" s="7" t="n">
        <v>59.1</v>
      </c>
      <c r="T198" s="7" t="n">
        <v>85.7</v>
      </c>
      <c r="V198" s="7" t="n">
        <v>97.3</v>
      </c>
      <c r="X198" s="7" t="n">
        <v>87.59999999999999</v>
      </c>
      <c r="Z198" s="7" t="n">
        <v>25.1</v>
      </c>
      <c r="AB198" s="7" t="n">
        <v>1421</v>
      </c>
    </row>
    <row r="199">
      <c r="A199" s="4" t="inlineStr">
        <is>
          <t>住宿费</t>
        </is>
      </c>
      <c r="D199" s="7" t="n">
        <v>52.6</v>
      </c>
      <c r="F199" s="7" t="n">
        <v>52.1</v>
      </c>
      <c r="H199" s="7" t="n">
        <v>101.8</v>
      </c>
      <c r="J199" s="7" t="n">
        <v>100</v>
      </c>
      <c r="L199" s="7" t="n">
        <v>159.4</v>
      </c>
      <c r="N199" s="7" t="n">
        <v>90.09999999999999</v>
      </c>
      <c r="P199" s="7" t="n">
        <v>124.6</v>
      </c>
      <c r="R199" s="7" t="n">
        <v>35.6</v>
      </c>
      <c r="T199" s="7" t="n">
        <v>83.8</v>
      </c>
      <c r="V199" s="7" t="n">
        <v>71.90000000000001</v>
      </c>
      <c r="X199" s="7" t="n">
        <v>57</v>
      </c>
      <c r="Z199" s="7" t="n">
        <v>26</v>
      </c>
      <c r="AB199" s="7" t="n">
        <v>954.9</v>
      </c>
    </row>
    <row r="200">
      <c r="A200" s="4" t="inlineStr">
        <is>
          <t>餐补</t>
        </is>
      </c>
      <c r="D200" s="7" t="n">
        <v>78.7</v>
      </c>
      <c r="F200" s="7" t="n">
        <v>40</v>
      </c>
      <c r="H200" s="7" t="n">
        <v>104.4</v>
      </c>
      <c r="J200" s="7" t="n">
        <v>80.8</v>
      </c>
      <c r="L200" s="7" t="n">
        <v>148.2</v>
      </c>
      <c r="N200" s="7" t="n">
        <v>107.1</v>
      </c>
      <c r="P200" s="7" t="n">
        <v>92.59999999999999</v>
      </c>
      <c r="R200" s="7" t="n">
        <v>41.7</v>
      </c>
      <c r="T200" s="7" t="n">
        <v>55.6</v>
      </c>
      <c r="V200" s="7" t="n">
        <v>99.8</v>
      </c>
      <c r="X200" s="7" t="n">
        <v>71.8</v>
      </c>
      <c r="Z200" s="7" t="n">
        <v>22.4</v>
      </c>
      <c r="AB200" s="7" t="n">
        <v>943.1</v>
      </c>
    </row>
    <row r="201">
      <c r="A201" s="4" t="inlineStr">
        <is>
          <t>交通补助</t>
        </is>
      </c>
      <c r="D201" s="7" t="n">
        <v>39.6</v>
      </c>
      <c r="F201" s="7" t="n">
        <v>31.6</v>
      </c>
      <c r="H201" s="7" t="n">
        <v>47.8</v>
      </c>
      <c r="J201" s="7" t="n">
        <v>77.5</v>
      </c>
      <c r="L201" s="7" t="n">
        <v>114.1</v>
      </c>
      <c r="N201" s="7" t="n">
        <v>56.3</v>
      </c>
      <c r="P201" s="7" t="n">
        <v>85.90000000000001</v>
      </c>
      <c r="R201" s="7" t="n">
        <v>23.8</v>
      </c>
      <c r="T201" s="7" t="n">
        <v>62.4</v>
      </c>
      <c r="V201" s="7" t="n">
        <v>58</v>
      </c>
      <c r="X201" s="7" t="n">
        <v>50.6</v>
      </c>
      <c r="Z201" s="7" t="n">
        <v>18.6</v>
      </c>
      <c r="AB201" s="7" t="n">
        <v>666.2</v>
      </c>
    </row>
    <row r="202">
      <c r="A202" s="4" t="inlineStr">
        <is>
          <t>通讯补助</t>
        </is>
      </c>
      <c r="D202" s="7" t="n">
        <v>10.9</v>
      </c>
      <c r="F202" s="7" t="n">
        <v>11.3</v>
      </c>
      <c r="H202" s="7" t="n">
        <v>21</v>
      </c>
      <c r="J202" s="7" t="n">
        <v>22.2</v>
      </c>
      <c r="L202" s="7" t="n">
        <v>27.8</v>
      </c>
      <c r="N202" s="7" t="n">
        <v>15.7</v>
      </c>
      <c r="P202" s="7" t="n">
        <v>27.1</v>
      </c>
      <c r="R202" s="7" t="n">
        <v>6.7</v>
      </c>
      <c r="T202" s="7" t="n">
        <v>17.5</v>
      </c>
      <c r="V202" s="7" t="n">
        <v>16.1</v>
      </c>
      <c r="X202" s="7" t="n">
        <v>10</v>
      </c>
      <c r="Z202" s="7" t="n">
        <v>5.5</v>
      </c>
      <c r="AB202" s="7" t="n">
        <v>191.8</v>
      </c>
    </row>
    <row r="203">
      <c r="A203" s="4" t="inlineStr">
        <is>
          <t>招待费</t>
        </is>
      </c>
      <c r="D203" s="7" t="n">
        <v>1213.2</v>
      </c>
      <c r="F203" s="7" t="n">
        <v>505.7</v>
      </c>
      <c r="H203" s="7" t="n">
        <v>854.9</v>
      </c>
      <c r="J203" s="7" t="n">
        <v>1534.3</v>
      </c>
      <c r="L203" s="7" t="n">
        <v>1633.7</v>
      </c>
      <c r="N203" s="7" t="n">
        <v>1429.8</v>
      </c>
      <c r="P203" s="7" t="n">
        <v>1294</v>
      </c>
      <c r="R203" s="7" t="n">
        <v>653.1</v>
      </c>
      <c r="T203" s="7" t="n">
        <v>1200.3</v>
      </c>
      <c r="V203" s="7" t="n">
        <v>1161.4</v>
      </c>
      <c r="X203" s="7" t="n">
        <v>775.3</v>
      </c>
      <c r="Z203" s="7" t="n">
        <v>235.6</v>
      </c>
      <c r="AB203" s="7" t="n">
        <v>12491.3</v>
      </c>
    </row>
    <row r="204">
      <c r="A204" s="4" t="inlineStr">
        <is>
          <t>通讯费</t>
        </is>
      </c>
      <c r="D204" s="7" t="n">
        <v>90.5</v>
      </c>
      <c r="F204" s="7" t="n">
        <v>55.3</v>
      </c>
      <c r="H204" s="7" t="n">
        <v>116.6</v>
      </c>
      <c r="J204" s="7" t="n">
        <v>126.2</v>
      </c>
      <c r="L204" s="7" t="n">
        <v>178</v>
      </c>
      <c r="N204" s="7" t="n">
        <v>80.90000000000001</v>
      </c>
      <c r="P204" s="7" t="n">
        <v>145.7</v>
      </c>
      <c r="R204" s="7" t="n">
        <v>38</v>
      </c>
      <c r="T204" s="7" t="n">
        <v>102.2</v>
      </c>
      <c r="V204" s="7" t="n">
        <v>104.5</v>
      </c>
      <c r="X204" s="7" t="n">
        <v>91.40000000000001</v>
      </c>
      <c r="Z204" s="7" t="n">
        <v>28</v>
      </c>
      <c r="AB204" s="7" t="n">
        <v>1157.3</v>
      </c>
    </row>
    <row r="205">
      <c r="A205" s="4" t="inlineStr">
        <is>
          <t>网络费</t>
        </is>
      </c>
      <c r="D205" s="7" t="n">
        <v>90.2</v>
      </c>
      <c r="F205" s="7" t="n">
        <v>53.2</v>
      </c>
      <c r="H205" s="7" t="n">
        <v>89.5</v>
      </c>
      <c r="J205" s="7" t="n">
        <v>117.1</v>
      </c>
      <c r="L205" s="7" t="n">
        <v>114.7</v>
      </c>
      <c r="N205" s="7" t="n">
        <v>76.5</v>
      </c>
      <c r="P205" s="7" t="n">
        <v>166.1</v>
      </c>
      <c r="R205" s="7" t="n">
        <v>49.4</v>
      </c>
      <c r="T205" s="7" t="n">
        <v>100.6</v>
      </c>
      <c r="V205" s="7" t="n">
        <v>77.5</v>
      </c>
      <c r="X205" s="7" t="n">
        <v>60.9</v>
      </c>
      <c r="Z205" s="7" t="n">
        <v>24</v>
      </c>
      <c r="AB205" s="7" t="n">
        <v>1019.7</v>
      </c>
    </row>
    <row r="206">
      <c r="A206" s="4" t="inlineStr">
        <is>
          <t>修理费</t>
        </is>
      </c>
      <c r="D206" s="7" t="n">
        <v>24.1</v>
      </c>
      <c r="F206" s="7" t="n">
        <v>14</v>
      </c>
      <c r="H206" s="7" t="n">
        <v>30.4</v>
      </c>
      <c r="J206" s="7" t="n">
        <v>21.5</v>
      </c>
      <c r="L206" s="7" t="n">
        <v>34.4</v>
      </c>
      <c r="N206" s="7" t="n">
        <v>24.5</v>
      </c>
      <c r="P206" s="7" t="n">
        <v>27.6</v>
      </c>
      <c r="R206" s="7" t="n">
        <v>13.3</v>
      </c>
      <c r="T206" s="7" t="n">
        <v>15.3</v>
      </c>
      <c r="V206" s="7" t="n">
        <v>26.1</v>
      </c>
      <c r="X206" s="7" t="n">
        <v>17.7</v>
      </c>
      <c r="Z206" s="7" t="n">
        <v>7.9</v>
      </c>
      <c r="AB206" s="7" t="n">
        <v>256.8</v>
      </c>
    </row>
    <row r="207">
      <c r="A207" s="4" t="inlineStr">
        <is>
          <t>车辆费</t>
        </is>
      </c>
      <c r="D207" s="7" t="n">
        <v>114.4</v>
      </c>
      <c r="F207" s="7" t="n">
        <v>53.1</v>
      </c>
      <c r="H207" s="7" t="n">
        <v>129.5</v>
      </c>
      <c r="J207" s="7" t="n">
        <v>137.5</v>
      </c>
      <c r="L207" s="7" t="n">
        <v>133.7</v>
      </c>
      <c r="N207" s="7" t="n">
        <v>129.1</v>
      </c>
      <c r="P207" s="7" t="n">
        <v>148.3</v>
      </c>
      <c r="R207" s="7" t="n">
        <v>42.2</v>
      </c>
      <c r="T207" s="7" t="n">
        <v>123.6</v>
      </c>
      <c r="V207" s="7" t="n">
        <v>140.9</v>
      </c>
      <c r="X207" s="7" t="n">
        <v>75.40000000000001</v>
      </c>
      <c r="Z207" s="7" t="n">
        <v>30</v>
      </c>
      <c r="AB207" s="7" t="n">
        <v>1257.7</v>
      </c>
    </row>
    <row r="208">
      <c r="A208" s="4" t="inlineStr">
        <is>
          <t>租赁费</t>
        </is>
      </c>
      <c r="D208" s="7" t="n">
        <v>1105.8</v>
      </c>
      <c r="F208" s="7" t="n">
        <v>703.3</v>
      </c>
      <c r="H208" s="7" t="n">
        <v>1404.8</v>
      </c>
      <c r="J208" s="7" t="n">
        <v>1569.3</v>
      </c>
      <c r="L208" s="7" t="n">
        <v>2644.1</v>
      </c>
      <c r="N208" s="7" t="n">
        <v>1841.3</v>
      </c>
      <c r="P208" s="7" t="n">
        <v>2145.4</v>
      </c>
      <c r="R208" s="7" t="n">
        <v>631.6</v>
      </c>
      <c r="T208" s="7" t="n">
        <v>1412.3</v>
      </c>
      <c r="V208" s="7" t="n">
        <v>995.6</v>
      </c>
      <c r="X208" s="7" t="n">
        <v>1275.3</v>
      </c>
      <c r="Z208" s="7" t="n">
        <v>404.1</v>
      </c>
      <c r="AB208" s="7" t="n">
        <v>16132.9</v>
      </c>
    </row>
    <row r="209">
      <c r="A209" s="4" t="inlineStr">
        <is>
          <t>能源费</t>
        </is>
      </c>
      <c r="D209" s="7" t="n">
        <v>381.6</v>
      </c>
      <c r="F209" s="7" t="n">
        <v>297.3</v>
      </c>
      <c r="H209" s="7" t="n">
        <v>519.5</v>
      </c>
      <c r="J209" s="7" t="n">
        <v>528.4</v>
      </c>
      <c r="L209" s="7" t="n">
        <v>601</v>
      </c>
      <c r="N209" s="7" t="n">
        <v>480.5</v>
      </c>
      <c r="P209" s="7" t="n">
        <v>700.4</v>
      </c>
      <c r="R209" s="7" t="n">
        <v>216.2</v>
      </c>
      <c r="T209" s="7" t="n">
        <v>445.6</v>
      </c>
      <c r="V209" s="7" t="n">
        <v>478.7</v>
      </c>
      <c r="X209" s="7" t="n">
        <v>353.4</v>
      </c>
      <c r="Z209" s="7" t="n">
        <v>126.4</v>
      </c>
      <c r="AB209" s="7" t="n">
        <v>5129</v>
      </c>
    </row>
    <row r="210">
      <c r="A210" s="4" t="inlineStr">
        <is>
          <t>水费</t>
        </is>
      </c>
      <c r="D210" s="7" t="n">
        <v>90.2</v>
      </c>
      <c r="F210" s="7" t="n">
        <v>73.59999999999999</v>
      </c>
      <c r="H210" s="7" t="n">
        <v>100.8</v>
      </c>
      <c r="J210" s="7" t="n">
        <v>145.5</v>
      </c>
      <c r="L210" s="7" t="n">
        <v>148.9</v>
      </c>
      <c r="N210" s="7" t="n">
        <v>135.3</v>
      </c>
      <c r="P210" s="7" t="n">
        <v>184.2</v>
      </c>
      <c r="R210" s="7" t="n">
        <v>54.7</v>
      </c>
      <c r="T210" s="7" t="n">
        <v>109.6</v>
      </c>
      <c r="V210" s="7" t="n">
        <v>76.09999999999999</v>
      </c>
      <c r="X210" s="7" t="n">
        <v>71.40000000000001</v>
      </c>
      <c r="Z210" s="7" t="n">
        <v>34.9</v>
      </c>
      <c r="AB210" s="7" t="n">
        <v>1225.2</v>
      </c>
    </row>
    <row r="211">
      <c r="A211" s="4" t="inlineStr">
        <is>
          <t>电费</t>
        </is>
      </c>
      <c r="D211" s="7" t="n">
        <v>51.3</v>
      </c>
      <c r="F211" s="7" t="n">
        <v>54.9</v>
      </c>
      <c r="H211" s="7" t="n">
        <v>93.90000000000001</v>
      </c>
      <c r="J211" s="7" t="n">
        <v>63.1</v>
      </c>
      <c r="L211" s="7" t="n">
        <v>92</v>
      </c>
      <c r="N211" s="7" t="n">
        <v>68.40000000000001</v>
      </c>
      <c r="P211" s="7" t="n">
        <v>125.2</v>
      </c>
      <c r="R211" s="7" t="n">
        <v>31.1</v>
      </c>
      <c r="T211" s="7" t="n">
        <v>63.4</v>
      </c>
      <c r="V211" s="7" t="n">
        <v>95.5</v>
      </c>
      <c r="X211" s="7" t="n">
        <v>56.4</v>
      </c>
      <c r="Z211" s="7" t="n">
        <v>21.5</v>
      </c>
      <c r="AB211" s="7" t="n">
        <v>816.7</v>
      </c>
    </row>
    <row r="212">
      <c r="A212" s="4" t="inlineStr">
        <is>
          <t>燃气费</t>
        </is>
      </c>
      <c r="D212" s="7" t="n">
        <v>102.1</v>
      </c>
      <c r="F212" s="7" t="n">
        <v>85.7</v>
      </c>
      <c r="H212" s="7" t="n">
        <v>143.2</v>
      </c>
      <c r="J212" s="7" t="n">
        <v>150.8</v>
      </c>
      <c r="L212" s="7" t="n">
        <v>161.6</v>
      </c>
      <c r="N212" s="7" t="n">
        <v>102.3</v>
      </c>
      <c r="P212" s="7" t="n">
        <v>157.9</v>
      </c>
      <c r="R212" s="7" t="n">
        <v>70.40000000000001</v>
      </c>
      <c r="T212" s="7" t="n">
        <v>124</v>
      </c>
      <c r="V212" s="7" t="n">
        <v>147.7</v>
      </c>
      <c r="X212" s="7" t="n">
        <v>92.2</v>
      </c>
      <c r="Z212" s="7" t="n">
        <v>38.5</v>
      </c>
      <c r="AB212" s="7" t="n">
        <v>1376.4</v>
      </c>
    </row>
    <row r="213">
      <c r="A213" s="4" t="inlineStr">
        <is>
          <t>蒸汽费</t>
        </is>
      </c>
      <c r="D213" s="7" t="n">
        <v>138</v>
      </c>
      <c r="F213" s="7" t="n">
        <v>83.09999999999999</v>
      </c>
      <c r="H213" s="7" t="n">
        <v>181.6</v>
      </c>
      <c r="J213" s="7" t="n">
        <v>169</v>
      </c>
      <c r="L213" s="7" t="n">
        <v>198.5</v>
      </c>
      <c r="N213" s="7" t="n">
        <v>174.5</v>
      </c>
      <c r="P213" s="7" t="n">
        <v>233.1</v>
      </c>
      <c r="R213" s="7" t="n">
        <v>60</v>
      </c>
      <c r="T213" s="7" t="n">
        <v>148.6</v>
      </c>
      <c r="V213" s="7" t="n">
        <v>159.4</v>
      </c>
      <c r="X213" s="7" t="n">
        <v>133.4</v>
      </c>
      <c r="Z213" s="7" t="n">
        <v>31.5</v>
      </c>
      <c r="AB213" s="7" t="n">
        <v>1710.7</v>
      </c>
    </row>
    <row r="214">
      <c r="A214" s="4" t="inlineStr">
        <is>
          <t>物业费</t>
        </is>
      </c>
      <c r="D214" s="7" t="n">
        <v>72.40000000000001</v>
      </c>
      <c r="F214" s="7" t="n">
        <v>48.6</v>
      </c>
      <c r="H214" s="7" t="n">
        <v>101.2</v>
      </c>
      <c r="J214" s="7" t="n">
        <v>119</v>
      </c>
      <c r="L214" s="7" t="n">
        <v>122.1</v>
      </c>
      <c r="N214" s="7" t="n">
        <v>79.09999999999999</v>
      </c>
      <c r="P214" s="7" t="n">
        <v>85.5</v>
      </c>
      <c r="R214" s="7" t="n">
        <v>41.9</v>
      </c>
      <c r="T214" s="7" t="n">
        <v>82</v>
      </c>
      <c r="V214" s="7" t="n">
        <v>62.5</v>
      </c>
      <c r="X214" s="7" t="n">
        <v>68.59999999999999</v>
      </c>
      <c r="Z214" s="7" t="n">
        <v>21.5</v>
      </c>
      <c r="AB214" s="7" t="n">
        <v>904.4</v>
      </c>
    </row>
    <row r="215">
      <c r="A215" s="4" t="inlineStr">
        <is>
          <t>劳动保护费</t>
        </is>
      </c>
      <c r="D215" s="7" t="n">
        <v>109.3</v>
      </c>
      <c r="F215" s="7" t="n">
        <v>85.2</v>
      </c>
      <c r="H215" s="7" t="n">
        <v>152.4</v>
      </c>
      <c r="J215" s="7" t="n">
        <v>203.6</v>
      </c>
      <c r="L215" s="7" t="n">
        <v>240.9</v>
      </c>
      <c r="N215" s="7" t="n">
        <v>203.2</v>
      </c>
      <c r="P215" s="7" t="n">
        <v>256.5</v>
      </c>
      <c r="R215" s="7" t="n">
        <v>66.5</v>
      </c>
      <c r="T215" s="7" t="n">
        <v>147.3</v>
      </c>
      <c r="V215" s="7" t="n">
        <v>116.6</v>
      </c>
      <c r="X215" s="7" t="n">
        <v>136.5</v>
      </c>
      <c r="Z215" s="7" t="n">
        <v>36.5</v>
      </c>
      <c r="AB215" s="7" t="n">
        <v>1754.5</v>
      </c>
    </row>
    <row r="216">
      <c r="A216" s="4" t="inlineStr">
        <is>
          <t>顾问费</t>
        </is>
      </c>
      <c r="D216" s="7" t="n">
        <v>115.4</v>
      </c>
      <c r="F216" s="7" t="n">
        <v>76.40000000000001</v>
      </c>
      <c r="H216" s="7" t="n">
        <v>151.7</v>
      </c>
      <c r="J216" s="7" t="n">
        <v>111.9</v>
      </c>
      <c r="L216" s="7" t="n">
        <v>242</v>
      </c>
      <c r="N216" s="7" t="n">
        <v>162.3</v>
      </c>
      <c r="P216" s="7" t="n">
        <v>217.7</v>
      </c>
      <c r="R216" s="7" t="n">
        <v>70.2</v>
      </c>
      <c r="T216" s="7" t="n">
        <v>83.3</v>
      </c>
      <c r="V216" s="7" t="n">
        <v>100.8</v>
      </c>
      <c r="X216" s="7" t="n">
        <v>76.90000000000001</v>
      </c>
      <c r="Z216" s="7" t="n">
        <v>26.9</v>
      </c>
      <c r="AB216" s="7" t="n">
        <v>1435.5</v>
      </c>
    </row>
    <row r="217">
      <c r="A217" s="4" t="inlineStr">
        <is>
          <t>快递费</t>
        </is>
      </c>
      <c r="D217" s="7" t="n">
        <v>69.59999999999999</v>
      </c>
      <c r="F217" s="7" t="n">
        <v>41.5</v>
      </c>
      <c r="H217" s="7" t="n">
        <v>83.3</v>
      </c>
      <c r="J217" s="7" t="n">
        <v>81.40000000000001</v>
      </c>
      <c r="L217" s="7" t="n">
        <v>162</v>
      </c>
      <c r="N217" s="7" t="n">
        <v>90.09999999999999</v>
      </c>
      <c r="P217" s="7" t="n">
        <v>143.7</v>
      </c>
      <c r="R217" s="7" t="n">
        <v>43.3</v>
      </c>
      <c r="T217" s="7" t="n">
        <v>71.59999999999999</v>
      </c>
      <c r="V217" s="7" t="n">
        <v>85.2</v>
      </c>
      <c r="X217" s="7" t="n">
        <v>56.1</v>
      </c>
      <c r="Z217" s="7" t="n">
        <v>19.2</v>
      </c>
      <c r="AB217" s="7" t="n">
        <v>947</v>
      </c>
    </row>
    <row r="218">
      <c r="A218" s="4" t="inlineStr">
        <is>
          <t>诉讼费</t>
        </is>
      </c>
      <c r="D218" s="7" t="n">
        <v>86.40000000000001</v>
      </c>
      <c r="F218" s="7" t="n">
        <v>49.8</v>
      </c>
      <c r="H218" s="7" t="n">
        <v>89.5</v>
      </c>
      <c r="J218" s="7" t="n">
        <v>104.7</v>
      </c>
      <c r="L218" s="7" t="n">
        <v>169</v>
      </c>
      <c r="N218" s="7" t="n">
        <v>107.6</v>
      </c>
      <c r="P218" s="7" t="n">
        <v>109</v>
      </c>
      <c r="R218" s="7" t="n">
        <v>46.2</v>
      </c>
      <c r="T218" s="7" t="n">
        <v>74.09999999999999</v>
      </c>
      <c r="V218" s="7" t="n">
        <v>127.4</v>
      </c>
      <c r="X218" s="7" t="n">
        <v>67.40000000000001</v>
      </c>
      <c r="Z218" s="7" t="n">
        <v>24.5</v>
      </c>
      <c r="AB218" s="7" t="n">
        <v>1055.6</v>
      </c>
    </row>
    <row r="219">
      <c r="A219" s="4" t="inlineStr">
        <is>
          <t>会员费</t>
        </is>
      </c>
      <c r="D219" s="7" t="n">
        <v>112</v>
      </c>
      <c r="F219" s="7" t="n">
        <v>88.90000000000001</v>
      </c>
      <c r="H219" s="7" t="n">
        <v>184.5</v>
      </c>
      <c r="J219" s="7" t="n">
        <v>187</v>
      </c>
      <c r="L219" s="7" t="n">
        <v>229.2</v>
      </c>
      <c r="N219" s="7" t="n">
        <v>174.3</v>
      </c>
      <c r="P219" s="7" t="n">
        <v>202.8</v>
      </c>
      <c r="R219" s="7" t="n">
        <v>62.4</v>
      </c>
      <c r="T219" s="7" t="n">
        <v>165.1</v>
      </c>
      <c r="V219" s="7" t="n">
        <v>106.3</v>
      </c>
      <c r="X219" s="7" t="n">
        <v>116.5</v>
      </c>
      <c r="Z219" s="7" t="n">
        <v>49.5</v>
      </c>
      <c r="AB219" s="7" t="n">
        <v>1678.5</v>
      </c>
    </row>
    <row r="220">
      <c r="A220" s="4" t="inlineStr">
        <is>
          <t>广告宣传费</t>
        </is>
      </c>
      <c r="D220" s="7" t="n">
        <v>675.3</v>
      </c>
      <c r="F220" s="7" t="n">
        <v>590.8</v>
      </c>
      <c r="H220" s="7" t="n">
        <v>1074.4</v>
      </c>
      <c r="J220" s="7" t="n">
        <v>928.4</v>
      </c>
      <c r="L220" s="7" t="n">
        <v>1199</v>
      </c>
      <c r="N220" s="7" t="n">
        <v>764.7</v>
      </c>
      <c r="P220" s="7" t="n">
        <v>1389.8</v>
      </c>
      <c r="R220" s="7" t="n">
        <v>322.9</v>
      </c>
      <c r="T220" s="7" t="n">
        <v>802</v>
      </c>
      <c r="V220" s="7" t="n">
        <v>833.1</v>
      </c>
      <c r="X220" s="7" t="n">
        <v>534.8</v>
      </c>
      <c r="Z220" s="7" t="n">
        <v>187.2</v>
      </c>
      <c r="AB220" s="7" t="n">
        <v>9302.4</v>
      </c>
    </row>
    <row r="221">
      <c r="A221" s="4" t="inlineStr">
        <is>
          <t>会务费</t>
        </is>
      </c>
      <c r="D221" s="7" t="n">
        <v>88.7</v>
      </c>
      <c r="F221" s="7" t="n">
        <v>57.2</v>
      </c>
      <c r="H221" s="7" t="n">
        <v>132.9</v>
      </c>
      <c r="J221" s="7" t="n">
        <v>151.7</v>
      </c>
      <c r="L221" s="7" t="n">
        <v>172.8</v>
      </c>
      <c r="N221" s="7" t="n">
        <v>163.5</v>
      </c>
      <c r="P221" s="7" t="n">
        <v>172.9</v>
      </c>
      <c r="R221" s="7" t="n">
        <v>54.1</v>
      </c>
      <c r="T221" s="7" t="n">
        <v>106.4</v>
      </c>
      <c r="V221" s="7" t="n">
        <v>94.5</v>
      </c>
      <c r="X221" s="7" t="n">
        <v>95.09999999999999</v>
      </c>
      <c r="Z221" s="7" t="n">
        <v>37.5</v>
      </c>
      <c r="AB221" s="7" t="n">
        <v>1327.3</v>
      </c>
    </row>
    <row r="222">
      <c r="A222" s="4" t="inlineStr">
        <is>
          <t>装修费</t>
        </is>
      </c>
      <c r="D222" s="7" t="n">
        <v>10.1</v>
      </c>
      <c r="F222" s="7" t="n">
        <v>4.8</v>
      </c>
      <c r="H222" s="7" t="n">
        <v>9.300000000000001</v>
      </c>
      <c r="J222" s="7" t="n">
        <v>8.6</v>
      </c>
      <c r="L222" s="7" t="n">
        <v>17.5</v>
      </c>
      <c r="N222" s="7" t="n">
        <v>10.1</v>
      </c>
      <c r="P222" s="7" t="n">
        <v>10.7</v>
      </c>
      <c r="R222" s="7" t="n">
        <v>3.3</v>
      </c>
      <c r="T222" s="7" t="n">
        <v>9.4</v>
      </c>
      <c r="V222" s="7" t="n">
        <v>8.199999999999999</v>
      </c>
      <c r="X222" s="7" t="n">
        <v>6.7</v>
      </c>
      <c r="Z222" s="7" t="n">
        <v>2.6</v>
      </c>
      <c r="AB222" s="7" t="n">
        <v>101.3</v>
      </c>
    </row>
    <row r="223">
      <c r="A223" s="4" t="inlineStr">
        <is>
          <t>推广费</t>
        </is>
      </c>
      <c r="D223" s="7" t="n">
        <v>23.7</v>
      </c>
      <c r="F223" s="7" t="n">
        <v>14</v>
      </c>
      <c r="H223" s="7" t="n">
        <v>28</v>
      </c>
      <c r="J223" s="7" t="n">
        <v>37.5</v>
      </c>
      <c r="L223" s="7" t="n">
        <v>58</v>
      </c>
      <c r="N223" s="7" t="n">
        <v>33</v>
      </c>
      <c r="P223" s="7" t="n">
        <v>50.1</v>
      </c>
      <c r="R223" s="7" t="n">
        <v>12.6</v>
      </c>
      <c r="T223" s="7" t="n">
        <v>26.3</v>
      </c>
      <c r="V223" s="7" t="n">
        <v>32.6</v>
      </c>
      <c r="X223" s="7" t="n">
        <v>24.6</v>
      </c>
      <c r="Z223" s="7" t="n">
        <v>8.6</v>
      </c>
      <c r="AB223" s="7" t="n">
        <v>349</v>
      </c>
    </row>
    <row r="224">
      <c r="A224" s="4" t="inlineStr">
        <is>
          <t>展会费</t>
        </is>
      </c>
      <c r="D224" s="7" t="n">
        <v>44</v>
      </c>
      <c r="F224" s="7" t="n">
        <v>19.4</v>
      </c>
      <c r="H224" s="7" t="n">
        <v>35.6</v>
      </c>
      <c r="J224" s="7" t="n">
        <v>58.2</v>
      </c>
      <c r="L224" s="7" t="n">
        <v>74.8</v>
      </c>
      <c r="N224" s="7" t="n">
        <v>39.6</v>
      </c>
      <c r="P224" s="7" t="n">
        <v>47.3</v>
      </c>
      <c r="R224" s="7" t="n">
        <v>19.1</v>
      </c>
      <c r="T224" s="7" t="n">
        <v>51.8</v>
      </c>
      <c r="V224" s="7" t="n">
        <v>47.9</v>
      </c>
      <c r="X224" s="7" t="n">
        <v>25.8</v>
      </c>
      <c r="Z224" s="7" t="n">
        <v>15.1</v>
      </c>
      <c r="AB224" s="7" t="n">
        <v>478.6</v>
      </c>
    </row>
    <row r="225">
      <c r="A225" s="4" t="inlineStr">
        <is>
          <t>设计费</t>
        </is>
      </c>
      <c r="D225" s="7" t="n">
        <v>132.9</v>
      </c>
      <c r="F225" s="7" t="n">
        <v>77.09999999999999</v>
      </c>
      <c r="H225" s="7" t="n">
        <v>191.3</v>
      </c>
      <c r="J225" s="7" t="n">
        <v>187.5</v>
      </c>
      <c r="L225" s="7" t="n">
        <v>239.9</v>
      </c>
      <c r="N225" s="7" t="n">
        <v>216.3</v>
      </c>
      <c r="P225" s="7" t="n">
        <v>175.5</v>
      </c>
      <c r="R225" s="7" t="n">
        <v>72.3</v>
      </c>
      <c r="T225" s="7" t="n">
        <v>122.1</v>
      </c>
      <c r="V225" s="7" t="n">
        <v>151.2</v>
      </c>
      <c r="X225" s="7" t="n">
        <v>84.5</v>
      </c>
      <c r="Z225" s="7" t="n">
        <v>36.2</v>
      </c>
      <c r="AB225" s="7" t="n">
        <v>1686.8</v>
      </c>
    </row>
    <row r="226">
      <c r="A226" s="4" t="inlineStr">
        <is>
          <t>折旧费</t>
        </is>
      </c>
      <c r="D226" s="7" t="n">
        <v>766.1</v>
      </c>
      <c r="F226" s="7" t="n">
        <v>598.2</v>
      </c>
      <c r="H226" s="7" t="n">
        <v>1218.2</v>
      </c>
      <c r="J226" s="7" t="n">
        <v>1244.8</v>
      </c>
      <c r="L226" s="7" t="n">
        <v>2170.2</v>
      </c>
      <c r="N226" s="7" t="n">
        <v>1662.3</v>
      </c>
      <c r="P226" s="7" t="n">
        <v>1927</v>
      </c>
      <c r="R226" s="7" t="n">
        <v>526</v>
      </c>
      <c r="T226" s="7" t="n">
        <v>1119.3</v>
      </c>
      <c r="V226" s="7" t="n">
        <v>1112.7</v>
      </c>
      <c r="X226" s="7" t="n">
        <v>608.3</v>
      </c>
      <c r="Z226" s="7" t="n">
        <v>269.1</v>
      </c>
      <c r="AB226" s="7" t="n">
        <v>13222.2</v>
      </c>
    </row>
    <row r="227">
      <c r="A227" s="4" t="inlineStr">
        <is>
          <t>认证费</t>
        </is>
      </c>
      <c r="D227" s="7" t="n">
        <v>41</v>
      </c>
      <c r="F227" s="7" t="n">
        <v>26.2</v>
      </c>
      <c r="H227" s="7" t="n">
        <v>33.9</v>
      </c>
      <c r="J227" s="7" t="n">
        <v>45.6</v>
      </c>
      <c r="L227" s="7" t="n">
        <v>46.2</v>
      </c>
      <c r="N227" s="7" t="n">
        <v>49.8</v>
      </c>
      <c r="P227" s="7" t="n">
        <v>61.4</v>
      </c>
      <c r="R227" s="7" t="n">
        <v>22.5</v>
      </c>
      <c r="T227" s="7" t="n">
        <v>30.7</v>
      </c>
      <c r="V227" s="7" t="n">
        <v>36.5</v>
      </c>
      <c r="X227" s="7" t="n">
        <v>30.4</v>
      </c>
      <c r="Z227" s="7" t="n">
        <v>11.2</v>
      </c>
      <c r="AB227" s="7" t="n">
        <v>435.4</v>
      </c>
    </row>
    <row r="228">
      <c r="A228" s="4" t="inlineStr">
        <is>
          <t>样品费</t>
        </is>
      </c>
      <c r="D228" s="7" t="n">
        <v>571.2</v>
      </c>
      <c r="F228" s="7" t="n">
        <v>293.6</v>
      </c>
      <c r="H228" s="7" t="n">
        <v>413.4</v>
      </c>
      <c r="J228" s="7" t="n">
        <v>833.3</v>
      </c>
      <c r="L228" s="7" t="n">
        <v>1097.8</v>
      </c>
      <c r="N228" s="7" t="n">
        <v>838.2</v>
      </c>
      <c r="P228" s="7" t="n">
        <v>1033.8</v>
      </c>
      <c r="R228" s="7" t="n">
        <v>316.6</v>
      </c>
      <c r="T228" s="7" t="n">
        <v>604.4</v>
      </c>
      <c r="V228" s="7" t="n">
        <v>607.6</v>
      </c>
      <c r="X228" s="7" t="n">
        <v>456.5</v>
      </c>
      <c r="Z228" s="7" t="n">
        <v>154.7</v>
      </c>
      <c r="AB228" s="7" t="n">
        <v>7221.1</v>
      </c>
    </row>
    <row r="229">
      <c r="A229" s="4" t="inlineStr">
        <is>
          <t>劳务费</t>
        </is>
      </c>
      <c r="D229" s="7" t="n">
        <v>150.6</v>
      </c>
      <c r="F229" s="7" t="n">
        <v>87.7</v>
      </c>
      <c r="H229" s="7" t="n">
        <v>197</v>
      </c>
      <c r="J229" s="7" t="n">
        <v>187.9</v>
      </c>
      <c r="L229" s="7" t="n">
        <v>190.2</v>
      </c>
      <c r="N229" s="7" t="n">
        <v>148.2</v>
      </c>
      <c r="P229" s="7" t="n">
        <v>184.2</v>
      </c>
      <c r="R229" s="7" t="n">
        <v>67.5</v>
      </c>
      <c r="T229" s="7" t="n">
        <v>178.4</v>
      </c>
      <c r="V229" s="7" t="n">
        <v>145.2</v>
      </c>
      <c r="X229" s="7" t="n">
        <v>116.2</v>
      </c>
      <c r="Z229" s="7" t="n">
        <v>42.5</v>
      </c>
      <c r="AB229" s="7" t="n">
        <v>1695.6</v>
      </c>
    </row>
    <row r="230">
      <c r="A230" s="4" t="inlineStr">
        <is>
          <t>销售佣金</t>
        </is>
      </c>
      <c r="D230" s="7" t="n">
        <v>42.9</v>
      </c>
      <c r="F230" s="7" t="n">
        <v>29.3</v>
      </c>
      <c r="H230" s="7" t="n">
        <v>57.4</v>
      </c>
      <c r="J230" s="7" t="n">
        <v>73.40000000000001</v>
      </c>
      <c r="L230" s="7" t="n">
        <v>101.4</v>
      </c>
      <c r="N230" s="7" t="n">
        <v>74.8</v>
      </c>
      <c r="P230" s="7" t="n">
        <v>57.2</v>
      </c>
      <c r="R230" s="7" t="n">
        <v>30.9</v>
      </c>
      <c r="T230" s="7" t="n">
        <v>49</v>
      </c>
      <c r="V230" s="7" t="n">
        <v>55</v>
      </c>
      <c r="X230" s="7" t="n">
        <v>30</v>
      </c>
      <c r="Z230" s="7" t="n">
        <v>14.2</v>
      </c>
      <c r="AB230" s="7" t="n">
        <v>615.5</v>
      </c>
    </row>
    <row r="231">
      <c r="A231" s="4" t="inlineStr">
        <is>
          <t>检测费</t>
        </is>
      </c>
      <c r="D231" s="7" t="n">
        <v>66.8</v>
      </c>
      <c r="F231" s="7" t="n">
        <v>35.4</v>
      </c>
      <c r="H231" s="7" t="n">
        <v>88.90000000000001</v>
      </c>
      <c r="J231" s="7" t="n">
        <v>107.6</v>
      </c>
      <c r="L231" s="7" t="n">
        <v>117.6</v>
      </c>
      <c r="N231" s="7" t="n">
        <v>116.1</v>
      </c>
      <c r="P231" s="7" t="n">
        <v>128.1</v>
      </c>
      <c r="R231" s="7" t="n">
        <v>33.4</v>
      </c>
      <c r="T231" s="7" t="n">
        <v>61.5</v>
      </c>
      <c r="V231" s="7" t="n">
        <v>63.4</v>
      </c>
      <c r="X231" s="7" t="n">
        <v>78</v>
      </c>
      <c r="Z231" s="7" t="n">
        <v>24</v>
      </c>
      <c r="AB231" s="7" t="n">
        <v>920.8</v>
      </c>
    </row>
    <row r="232">
      <c r="A232" s="4" t="inlineStr">
        <is>
          <t>质量赔偿</t>
        </is>
      </c>
      <c r="D232" s="7" t="n">
        <v>32.6</v>
      </c>
      <c r="F232" s="7" t="n">
        <v>21.5</v>
      </c>
      <c r="H232" s="7" t="n">
        <v>33.6</v>
      </c>
      <c r="J232" s="7" t="n">
        <v>41</v>
      </c>
      <c r="L232" s="7" t="n">
        <v>57.2</v>
      </c>
      <c r="N232" s="7" t="n">
        <v>37.9</v>
      </c>
      <c r="P232" s="7" t="n">
        <v>45.3</v>
      </c>
      <c r="R232" s="7" t="n">
        <v>15.6</v>
      </c>
      <c r="T232" s="7" t="n">
        <v>27</v>
      </c>
      <c r="V232" s="7" t="n">
        <v>29</v>
      </c>
      <c r="X232" s="7" t="n">
        <v>30.1</v>
      </c>
      <c r="Z232" s="7" t="n">
        <v>8.6</v>
      </c>
      <c r="AB232" s="7" t="n">
        <v>379.4</v>
      </c>
    </row>
    <row r="233">
      <c r="A233" s="4" t="inlineStr">
        <is>
          <t>保险费</t>
        </is>
      </c>
      <c r="D233" s="7" t="n">
        <v>50.5</v>
      </c>
      <c r="F233" s="7" t="n">
        <v>40.5</v>
      </c>
      <c r="H233" s="7" t="n">
        <v>73.59999999999999</v>
      </c>
      <c r="J233" s="7" t="n">
        <v>86.3</v>
      </c>
      <c r="L233" s="7" t="n">
        <v>114.8</v>
      </c>
      <c r="N233" s="7" t="n">
        <v>69.2</v>
      </c>
      <c r="P233" s="7" t="n">
        <v>123.4</v>
      </c>
      <c r="R233" s="7" t="n">
        <v>31.8</v>
      </c>
      <c r="T233" s="7" t="n">
        <v>58.2</v>
      </c>
      <c r="V233" s="7" t="n">
        <v>65.8</v>
      </c>
      <c r="X233" s="7" t="n">
        <v>44.6</v>
      </c>
      <c r="Z233" s="7" t="n">
        <v>16.8</v>
      </c>
      <c r="AB233" s="7" t="n">
        <v>775.5</v>
      </c>
    </row>
    <row r="234">
      <c r="A234" s="4" t="inlineStr">
        <is>
          <t>清洁费</t>
        </is>
      </c>
      <c r="D234" s="7" t="n">
        <v>113.5</v>
      </c>
      <c r="F234" s="7" t="n">
        <v>67.09999999999999</v>
      </c>
      <c r="H234" s="7" t="n">
        <v>126.1</v>
      </c>
      <c r="J234" s="7" t="n">
        <v>102.7</v>
      </c>
      <c r="L234" s="7" t="n">
        <v>176.4</v>
      </c>
      <c r="N234" s="7" t="n">
        <v>151.1</v>
      </c>
      <c r="P234" s="7" t="n">
        <v>147.9</v>
      </c>
      <c r="R234" s="7" t="n">
        <v>65.40000000000001</v>
      </c>
      <c r="T234" s="7" t="n">
        <v>103.1</v>
      </c>
      <c r="V234" s="7" t="n">
        <v>90.59999999999999</v>
      </c>
      <c r="X234" s="7" t="n">
        <v>59.2</v>
      </c>
      <c r="Z234" s="7" t="n">
        <v>22.8</v>
      </c>
      <c r="AB234" s="7" t="n">
        <v>1225.9</v>
      </c>
    </row>
    <row r="235">
      <c r="A235" s="4" t="inlineStr">
        <is>
          <t>低值易耗品</t>
        </is>
      </c>
      <c r="D235" s="7" t="n">
        <v>92.2</v>
      </c>
      <c r="F235" s="7" t="n">
        <v>80.7</v>
      </c>
      <c r="H235" s="7" t="n">
        <v>121.8</v>
      </c>
      <c r="J235" s="7" t="n">
        <v>96.40000000000001</v>
      </c>
      <c r="L235" s="7" t="n">
        <v>221</v>
      </c>
      <c r="N235" s="7" t="n">
        <v>139.6</v>
      </c>
      <c r="P235" s="7" t="n">
        <v>153.4</v>
      </c>
      <c r="R235" s="7" t="n">
        <v>66.09999999999999</v>
      </c>
      <c r="T235" s="7" t="n">
        <v>112.8</v>
      </c>
      <c r="V235" s="7" t="n">
        <v>116</v>
      </c>
      <c r="X235" s="7" t="n">
        <v>69.7</v>
      </c>
      <c r="Z235" s="7" t="n">
        <v>32</v>
      </c>
      <c r="AB235" s="7" t="n">
        <v>1301.7</v>
      </c>
    </row>
    <row r="236">
      <c r="A236" s="4" t="inlineStr">
        <is>
          <t>物料消耗</t>
        </is>
      </c>
      <c r="D236" s="7" t="n">
        <v>142.1</v>
      </c>
      <c r="F236" s="7" t="n">
        <v>95.8</v>
      </c>
      <c r="H236" s="7" t="n">
        <v>151.4</v>
      </c>
      <c r="J236" s="7" t="n">
        <v>139.5</v>
      </c>
      <c r="L236" s="7" t="n">
        <v>303.7</v>
      </c>
      <c r="N236" s="7" t="n">
        <v>173.8</v>
      </c>
      <c r="P236" s="7" t="n">
        <v>216.5</v>
      </c>
      <c r="R236" s="7" t="n">
        <v>70.5</v>
      </c>
      <c r="T236" s="7" t="n">
        <v>102.2</v>
      </c>
      <c r="V236" s="7" t="n">
        <v>135.6</v>
      </c>
      <c r="X236" s="7" t="n">
        <v>122</v>
      </c>
      <c r="Z236" s="7" t="n">
        <v>45.7</v>
      </c>
      <c r="AB236" s="7" t="n">
        <v>1698.8</v>
      </c>
    </row>
    <row r="237">
      <c r="A237" s="4" t="inlineStr">
        <is>
          <t>盘盈盘亏</t>
        </is>
      </c>
      <c r="D237" s="7" t="n">
        <v>58.5</v>
      </c>
      <c r="F237" s="7" t="n">
        <v>52.2</v>
      </c>
      <c r="H237" s="7" t="n">
        <v>111.7</v>
      </c>
      <c r="J237" s="7" t="n">
        <v>95.59999999999999</v>
      </c>
      <c r="L237" s="7" t="n">
        <v>118.5</v>
      </c>
      <c r="N237" s="7" t="n">
        <v>116.1</v>
      </c>
      <c r="P237" s="7" t="n">
        <v>102</v>
      </c>
      <c r="R237" s="7" t="n">
        <v>54.3</v>
      </c>
      <c r="T237" s="7" t="n">
        <v>81.59999999999999</v>
      </c>
      <c r="V237" s="7" t="n">
        <v>114.2</v>
      </c>
      <c r="X237" s="7" t="n">
        <v>60.7</v>
      </c>
      <c r="Z237" s="7" t="n">
        <v>17</v>
      </c>
      <c r="AB237" s="7" t="n">
        <v>982.4</v>
      </c>
    </row>
    <row r="238">
      <c r="A238" s="4" t="inlineStr">
        <is>
          <t>平台服务费</t>
        </is>
      </c>
      <c r="D238" s="7" t="n">
        <v>141.3</v>
      </c>
      <c r="F238" s="7" t="n">
        <v>95.2</v>
      </c>
      <c r="H238" s="7" t="n">
        <v>174.1</v>
      </c>
      <c r="J238" s="7" t="n">
        <v>163</v>
      </c>
      <c r="L238" s="7" t="n">
        <v>240.6</v>
      </c>
      <c r="N238" s="7" t="n">
        <v>201.3</v>
      </c>
      <c r="P238" s="7" t="n">
        <v>188</v>
      </c>
      <c r="R238" s="7" t="n">
        <v>71.09999999999999</v>
      </c>
      <c r="T238" s="7" t="n">
        <v>138.7</v>
      </c>
      <c r="V238" s="7" t="n">
        <v>133.5</v>
      </c>
      <c r="X238" s="7" t="n">
        <v>84.09999999999999</v>
      </c>
      <c r="Z238" s="7" t="n">
        <v>47.1</v>
      </c>
      <c r="AB238" s="7" t="n">
        <v>1678</v>
      </c>
    </row>
    <row r="239">
      <c r="A239" s="4" t="inlineStr">
        <is>
          <t>无形资产摊销</t>
        </is>
      </c>
      <c r="D239" s="7" t="n">
        <v>104.8</v>
      </c>
      <c r="F239" s="7" t="n">
        <v>59.9</v>
      </c>
      <c r="H239" s="7" t="n">
        <v>76.40000000000001</v>
      </c>
      <c r="J239" s="7" t="n">
        <v>91.90000000000001</v>
      </c>
      <c r="L239" s="7" t="n">
        <v>124.6</v>
      </c>
      <c r="N239" s="7" t="n">
        <v>95.2</v>
      </c>
      <c r="P239" s="7" t="n">
        <v>160.3</v>
      </c>
      <c r="R239" s="7" t="n">
        <v>57</v>
      </c>
      <c r="T239" s="7" t="n">
        <v>94.2</v>
      </c>
      <c r="V239" s="7" t="n">
        <v>93.8</v>
      </c>
      <c r="X239" s="7" t="n">
        <v>63.9</v>
      </c>
      <c r="Z239" s="7" t="n">
        <v>25.5</v>
      </c>
      <c r="AB239" s="7" t="n">
        <v>1047.5</v>
      </c>
    </row>
    <row r="240">
      <c r="A240" s="4" t="inlineStr">
        <is>
          <t>研发材料</t>
        </is>
      </c>
      <c r="D240" s="7" t="n">
        <v>47.2</v>
      </c>
      <c r="F240" s="7" t="n">
        <v>34.2</v>
      </c>
      <c r="H240" s="7" t="n">
        <v>45.4</v>
      </c>
      <c r="J240" s="7" t="n">
        <v>60.3</v>
      </c>
      <c r="L240" s="7" t="n">
        <v>62.9</v>
      </c>
      <c r="N240" s="7" t="n">
        <v>70.09999999999999</v>
      </c>
      <c r="P240" s="7" t="n">
        <v>73.3</v>
      </c>
      <c r="R240" s="7" t="n">
        <v>22.9</v>
      </c>
      <c r="T240" s="7" t="n">
        <v>48.9</v>
      </c>
      <c r="V240" s="7" t="n">
        <v>54.9</v>
      </c>
      <c r="X240" s="7" t="n">
        <v>29.2</v>
      </c>
      <c r="Z240" s="7" t="n">
        <v>10.8</v>
      </c>
      <c r="AB240" s="7" t="n">
        <v>560.1</v>
      </c>
    </row>
    <row r="241">
      <c r="A241" s="4" t="inlineStr">
        <is>
          <t>项目名称</t>
        </is>
      </c>
      <c r="D241" s="7" t="n">
        <v>99.40000000000001</v>
      </c>
      <c r="F241" s="7" t="n">
        <v>60.8</v>
      </c>
      <c r="H241" s="7" t="n">
        <v>134.7</v>
      </c>
      <c r="J241" s="7" t="n">
        <v>119.2</v>
      </c>
      <c r="L241" s="7" t="n">
        <v>135.3</v>
      </c>
      <c r="N241" s="7" t="n">
        <v>152</v>
      </c>
      <c r="P241" s="7" t="n">
        <v>135.8</v>
      </c>
      <c r="R241" s="7" t="n">
        <v>59.1</v>
      </c>
      <c r="T241" s="7" t="n">
        <v>65.8</v>
      </c>
      <c r="V241" s="7" t="n">
        <v>99.3</v>
      </c>
      <c r="X241" s="7" t="n">
        <v>62</v>
      </c>
      <c r="Z241" s="7" t="n">
        <v>32.6</v>
      </c>
      <c r="AB241" s="7" t="n">
        <v>1156</v>
      </c>
    </row>
    <row r="242">
      <c r="A242" s="4" t="inlineStr">
        <is>
          <t>研发费</t>
        </is>
      </c>
      <c r="D242" s="7" t="n">
        <v>11.9</v>
      </c>
      <c r="F242" s="7" t="n">
        <v>9.6</v>
      </c>
      <c r="H242" s="7" t="n">
        <v>20.8</v>
      </c>
      <c r="J242" s="7" t="n">
        <v>23.4</v>
      </c>
      <c r="L242" s="7" t="n">
        <v>21.4</v>
      </c>
      <c r="N242" s="7" t="n">
        <v>16.6</v>
      </c>
      <c r="P242" s="7" t="n">
        <v>30.6</v>
      </c>
      <c r="R242" s="7" t="n">
        <v>11.7</v>
      </c>
      <c r="T242" s="7" t="n">
        <v>16.1</v>
      </c>
      <c r="V242" s="7" t="n">
        <v>21.6</v>
      </c>
      <c r="X242" s="7" t="n">
        <v>11.9</v>
      </c>
      <c r="Z242" s="7" t="n">
        <v>3.6</v>
      </c>
      <c r="AB242" s="7" t="n">
        <v>199.2</v>
      </c>
    </row>
    <row r="243">
      <c r="A243" s="4" t="inlineStr">
        <is>
          <t>残保金</t>
        </is>
      </c>
      <c r="D243" s="7" t="n">
        <v>96.40000000000001</v>
      </c>
      <c r="F243" s="7" t="n">
        <v>45.9</v>
      </c>
      <c r="H243" s="7" t="n">
        <v>103.2</v>
      </c>
      <c r="J243" s="7" t="n">
        <v>102.3</v>
      </c>
      <c r="L243" s="7" t="n">
        <v>120.8</v>
      </c>
      <c r="N243" s="7" t="n">
        <v>146</v>
      </c>
      <c r="P243" s="7" t="n">
        <v>113.9</v>
      </c>
      <c r="R243" s="7" t="n">
        <v>57.2</v>
      </c>
      <c r="T243" s="7" t="n">
        <v>81.7</v>
      </c>
      <c r="V243" s="7" t="n">
        <v>117.8</v>
      </c>
      <c r="X243" s="7" t="n">
        <v>62.5</v>
      </c>
      <c r="Z243" s="7" t="n">
        <v>27.4</v>
      </c>
      <c r="AB243" s="7" t="n">
        <v>1075.1</v>
      </c>
    </row>
    <row r="244">
      <c r="A244" s="4" t="inlineStr">
        <is>
          <t>环保费</t>
        </is>
      </c>
      <c r="D244" s="7" t="n">
        <v>131.8</v>
      </c>
      <c r="F244" s="7" t="n">
        <v>80.2</v>
      </c>
      <c r="H244" s="7" t="n">
        <v>163.5</v>
      </c>
      <c r="J244" s="7" t="n">
        <v>153</v>
      </c>
      <c r="L244" s="7" t="n">
        <v>190</v>
      </c>
      <c r="N244" s="7" t="n">
        <v>164</v>
      </c>
      <c r="P244" s="7" t="n">
        <v>272</v>
      </c>
      <c r="R244" s="7" t="n">
        <v>66.7</v>
      </c>
      <c r="T244" s="7" t="n">
        <v>143.2</v>
      </c>
      <c r="V244" s="7" t="n">
        <v>132.2</v>
      </c>
      <c r="X244" s="7" t="n">
        <v>110.1</v>
      </c>
      <c r="Z244" s="7" t="n">
        <v>36.7</v>
      </c>
      <c r="AB244" s="7" t="n">
        <v>1643.4</v>
      </c>
    </row>
    <row r="245">
      <c r="A245" s="4" t="inlineStr">
        <is>
          <t>报废损失</t>
        </is>
      </c>
      <c r="D245" s="7" t="n">
        <v>75.40000000000001</v>
      </c>
      <c r="F245" s="7" t="n">
        <v>40</v>
      </c>
      <c r="H245" s="7" t="n">
        <v>93.5</v>
      </c>
      <c r="J245" s="7" t="n">
        <v>89.40000000000001</v>
      </c>
      <c r="L245" s="7" t="n">
        <v>107.7</v>
      </c>
      <c r="N245" s="7" t="n">
        <v>87.7</v>
      </c>
      <c r="P245" s="7" t="n">
        <v>152.6</v>
      </c>
      <c r="R245" s="7" t="n">
        <v>53.4</v>
      </c>
      <c r="T245" s="7" t="n">
        <v>92.3</v>
      </c>
      <c r="V245" s="7" t="n">
        <v>95.40000000000001</v>
      </c>
      <c r="X245" s="7" t="n">
        <v>49.8</v>
      </c>
      <c r="Z245" s="7" t="n">
        <v>19.5</v>
      </c>
      <c r="AB245" s="7" t="n">
        <v>956.7</v>
      </c>
    </row>
    <row r="246">
      <c r="A246" s="6" t="inlineStr">
        <is>
          <t>财务费用</t>
        </is>
      </c>
      <c r="B246" s="3" t="inlineStr">
        <is>
          <t>9</t>
        </is>
      </c>
      <c r="C246" s="7" t="n">
        <v>9742.700000000001</v>
      </c>
      <c r="D246" s="7" t="n">
        <v>10090</v>
      </c>
      <c r="E246" s="7" t="n">
        <v>10806.5</v>
      </c>
      <c r="F246" s="7" t="n">
        <v>17769.4</v>
      </c>
      <c r="G246" s="7" t="n">
        <v>11153.9</v>
      </c>
      <c r="H246" s="7" t="n">
        <v>2747.2</v>
      </c>
      <c r="I246" s="7" t="n">
        <v>11352.7</v>
      </c>
      <c r="J246" s="7" t="n">
        <v>7312.5</v>
      </c>
      <c r="K246" s="7" t="n">
        <v>9304.6</v>
      </c>
      <c r="L246" s="7" t="n">
        <v>2743.9</v>
      </c>
      <c r="M246" s="7" t="n">
        <v>11390.4</v>
      </c>
      <c r="N246" s="7" t="n">
        <v>10362.2</v>
      </c>
      <c r="O246" s="7" t="n">
        <v>9088.6</v>
      </c>
      <c r="P246" s="7" t="n">
        <v>5805.3</v>
      </c>
      <c r="Q246" s="7" t="n">
        <v>10803.5</v>
      </c>
      <c r="R246" s="7" t="n">
        <v>16276.6</v>
      </c>
      <c r="S246" s="7" t="n">
        <v>11420.8</v>
      </c>
      <c r="T246" s="7" t="n">
        <v>18072.1</v>
      </c>
      <c r="U246" s="7" t="n">
        <v>10503.3</v>
      </c>
      <c r="V246" s="7" t="n">
        <v>2841.2</v>
      </c>
      <c r="W246" s="7" t="n">
        <v>10493.2</v>
      </c>
      <c r="X246" s="7" t="n">
        <v>12806.7</v>
      </c>
      <c r="Y246" s="7" t="n">
        <v>11243.1</v>
      </c>
      <c r="Z246" s="7" t="n">
        <v>13179.5</v>
      </c>
      <c r="AA246" s="8" t="n">
        <v>127303.3</v>
      </c>
      <c r="AB246" s="8" t="n">
        <v>120006.6</v>
      </c>
    </row>
    <row r="247">
      <c r="A247" s="4" t="inlineStr">
        <is>
          <t>资产减值损失</t>
        </is>
      </c>
      <c r="B247" s="3" t="inlineStr">
        <is>
          <t>10</t>
        </is>
      </c>
      <c r="C247" s="7" t="n">
        <v>0</v>
      </c>
      <c r="D247" s="7" t="n">
        <v>0</v>
      </c>
      <c r="E247" s="7" t="n">
        <v>0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7" t="n">
        <v>0</v>
      </c>
      <c r="N247" s="7" t="n">
        <v>0</v>
      </c>
      <c r="O247" s="7" t="n">
        <v>0</v>
      </c>
      <c r="P247" s="7" t="n">
        <v>0</v>
      </c>
      <c r="Q247" s="7" t="n">
        <v>0</v>
      </c>
      <c r="R247" s="7" t="n">
        <v>0</v>
      </c>
      <c r="S247" s="7" t="n">
        <v>0</v>
      </c>
      <c r="T247" s="7" t="n">
        <v>0</v>
      </c>
      <c r="U247" s="7" t="n">
        <v>0</v>
      </c>
      <c r="V247" s="7" t="n">
        <v>0</v>
      </c>
      <c r="W247" s="7" t="n">
        <v>0</v>
      </c>
      <c r="X247" s="7" t="n">
        <v>0</v>
      </c>
      <c r="Y247" s="7" t="n">
        <v>0</v>
      </c>
      <c r="Z247" s="7" t="n">
        <v>0</v>
      </c>
      <c r="AA247" s="7" t="n">
        <v>0</v>
      </c>
      <c r="AB247" s="7" t="n">
        <v>0</v>
      </c>
    </row>
    <row r="248">
      <c r="A248" s="4" t="inlineStr">
        <is>
          <t>信用减值损失</t>
        </is>
      </c>
      <c r="B248" s="3" t="inlineStr">
        <is>
          <t>11</t>
        </is>
      </c>
      <c r="C248" s="7" t="n">
        <v>0</v>
      </c>
      <c r="D248" s="7" t="n">
        <v>1735.4</v>
      </c>
      <c r="E248" s="7" t="n">
        <v>0</v>
      </c>
      <c r="F248" s="7" t="n">
        <v>-2716.7</v>
      </c>
      <c r="G248" s="7" t="n">
        <v>0</v>
      </c>
      <c r="H248" s="7" t="n">
        <v>-1357.9</v>
      </c>
      <c r="I248" s="7" t="n">
        <v>0</v>
      </c>
      <c r="J248" s="7" t="n">
        <v>1288.9</v>
      </c>
      <c r="K248" s="7" t="n">
        <v>0</v>
      </c>
      <c r="L248" s="7" t="n">
        <v>3434.8</v>
      </c>
      <c r="M248" s="7" t="n">
        <v>0</v>
      </c>
      <c r="N248" s="7" t="n">
        <v>607.2</v>
      </c>
      <c r="O248" s="7" t="n">
        <v>0</v>
      </c>
      <c r="P248" s="7" t="n">
        <v>-3466.3</v>
      </c>
      <c r="Q248" s="7" t="n">
        <v>0</v>
      </c>
      <c r="R248" s="7" t="n">
        <v>3243.6</v>
      </c>
      <c r="S248" s="7" t="n">
        <v>0</v>
      </c>
      <c r="T248" s="7" t="n">
        <v>136.7</v>
      </c>
      <c r="U248" s="7" t="n">
        <v>0</v>
      </c>
      <c r="V248" s="7" t="n">
        <v>4743.1</v>
      </c>
      <c r="W248" s="7" t="n">
        <v>0</v>
      </c>
      <c r="X248" s="7" t="n">
        <v>-1572.9</v>
      </c>
      <c r="Y248" s="7" t="n">
        <v>0</v>
      </c>
      <c r="Z248" s="7" t="n">
        <v>4485.8</v>
      </c>
      <c r="AA248" s="7" t="n">
        <v>0</v>
      </c>
      <c r="AB248" s="7" t="n">
        <v>10561.7</v>
      </c>
    </row>
    <row r="249">
      <c r="A249" s="4" t="inlineStr">
        <is>
          <t>加：公允价值变动收益（损失以"-"号填列）</t>
        </is>
      </c>
      <c r="B249" s="3" t="inlineStr">
        <is>
          <t>12</t>
        </is>
      </c>
      <c r="C249" s="7" t="n">
        <v>0</v>
      </c>
      <c r="D249" s="7" t="n">
        <v>0</v>
      </c>
      <c r="E249" s="7" t="n">
        <v>0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7" t="n">
        <v>0</v>
      </c>
      <c r="N249" s="7" t="n">
        <v>0</v>
      </c>
      <c r="O249" s="7" t="n">
        <v>0</v>
      </c>
      <c r="P249" s="7" t="n">
        <v>0</v>
      </c>
      <c r="Q249" s="7" t="n">
        <v>0</v>
      </c>
      <c r="R249" s="7" t="n">
        <v>0</v>
      </c>
      <c r="S249" s="7" t="n">
        <v>0</v>
      </c>
      <c r="T249" s="7" t="n">
        <v>0</v>
      </c>
      <c r="U249" s="7" t="n">
        <v>0</v>
      </c>
      <c r="V249" s="7" t="n">
        <v>0</v>
      </c>
      <c r="W249" s="7" t="n">
        <v>0</v>
      </c>
      <c r="X249" s="7" t="n">
        <v>0</v>
      </c>
      <c r="Y249" s="7" t="n">
        <v>0</v>
      </c>
      <c r="Z249" s="7" t="n">
        <v>0</v>
      </c>
      <c r="AA249" s="7" t="n">
        <v>0</v>
      </c>
      <c r="AB249" s="7" t="n">
        <v>0</v>
      </c>
    </row>
    <row r="250">
      <c r="A250" s="4" t="inlineStr">
        <is>
          <t>投资收益（损失以"-"号填列）</t>
        </is>
      </c>
      <c r="B250" s="3" t="inlineStr">
        <is>
          <t>13</t>
        </is>
      </c>
      <c r="C250" s="7" t="n">
        <v>0</v>
      </c>
      <c r="D250" s="7" t="n">
        <v>0</v>
      </c>
      <c r="E250" s="7" t="n">
        <v>0</v>
      </c>
      <c r="F250" s="7" t="n">
        <v>0</v>
      </c>
      <c r="G250" s="7" t="n">
        <v>0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7" t="n">
        <v>0</v>
      </c>
      <c r="N250" s="7" t="n">
        <v>0</v>
      </c>
      <c r="O250" s="7" t="n">
        <v>0</v>
      </c>
      <c r="P250" s="7" t="n">
        <v>0</v>
      </c>
      <c r="Q250" s="7" t="n">
        <v>0</v>
      </c>
      <c r="R250" s="7" t="n">
        <v>0</v>
      </c>
      <c r="S250" s="7" t="n">
        <v>0</v>
      </c>
      <c r="T250" s="7" t="n">
        <v>0</v>
      </c>
      <c r="U250" s="7" t="n">
        <v>0</v>
      </c>
      <c r="V250" s="7" t="n">
        <v>0</v>
      </c>
      <c r="W250" s="7" t="n">
        <v>0</v>
      </c>
      <c r="X250" s="7" t="n">
        <v>0</v>
      </c>
      <c r="Y250" s="7" t="n">
        <v>0</v>
      </c>
      <c r="Z250" s="7" t="n">
        <v>0</v>
      </c>
      <c r="AA250" s="7" t="n">
        <v>0</v>
      </c>
      <c r="AB250" s="7" t="n">
        <v>0</v>
      </c>
    </row>
    <row r="251">
      <c r="A251" s="4" t="inlineStr">
        <is>
          <t>其中：对联营企业和合营企业的投资收益</t>
        </is>
      </c>
      <c r="B251" s="3" t="inlineStr">
        <is>
          <t>14</t>
        </is>
      </c>
      <c r="C251" s="7" t="n">
        <v>0</v>
      </c>
      <c r="D251" s="7" t="n">
        <v>0</v>
      </c>
      <c r="E251" s="7" t="n">
        <v>0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7" t="n">
        <v>0</v>
      </c>
      <c r="N251" s="7" t="n">
        <v>0</v>
      </c>
      <c r="O251" s="7" t="n">
        <v>0</v>
      </c>
      <c r="P251" s="7" t="n">
        <v>0</v>
      </c>
      <c r="Q251" s="7" t="n">
        <v>0</v>
      </c>
      <c r="R251" s="7" t="n">
        <v>0</v>
      </c>
      <c r="S251" s="7" t="n">
        <v>0</v>
      </c>
      <c r="T251" s="7" t="n">
        <v>0</v>
      </c>
      <c r="U251" s="7" t="n">
        <v>0</v>
      </c>
      <c r="V251" s="7" t="n">
        <v>0</v>
      </c>
      <c r="W251" s="7" t="n">
        <v>0</v>
      </c>
      <c r="X251" s="7" t="n">
        <v>0</v>
      </c>
      <c r="Y251" s="7" t="n">
        <v>0</v>
      </c>
      <c r="Z251" s="7" t="n">
        <v>0</v>
      </c>
      <c r="AA251" s="7" t="n">
        <v>0</v>
      </c>
      <c r="AB251" s="7" t="n">
        <v>0</v>
      </c>
    </row>
    <row r="252">
      <c r="A252" s="4" t="inlineStr">
        <is>
          <t>资产处置收益（损失以"-"号填列）</t>
        </is>
      </c>
      <c r="B252" s="3" t="inlineStr">
        <is>
          <t>15</t>
        </is>
      </c>
      <c r="C252" s="7" t="n">
        <v>0</v>
      </c>
      <c r="D252" s="7" t="n">
        <v>0</v>
      </c>
      <c r="E252" s="7" t="n">
        <v>0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7" t="n">
        <v>0</v>
      </c>
      <c r="N252" s="7" t="n">
        <v>0</v>
      </c>
      <c r="O252" s="7" t="n">
        <v>0</v>
      </c>
      <c r="P252" s="7" t="n">
        <v>0</v>
      </c>
      <c r="Q252" s="7" t="n">
        <v>0</v>
      </c>
      <c r="R252" s="7" t="n">
        <v>0</v>
      </c>
      <c r="S252" s="7" t="n">
        <v>0</v>
      </c>
      <c r="T252" s="7" t="n">
        <v>0</v>
      </c>
      <c r="U252" s="7" t="n">
        <v>0</v>
      </c>
      <c r="V252" s="7" t="n">
        <v>0</v>
      </c>
      <c r="W252" s="7" t="n">
        <v>0</v>
      </c>
      <c r="X252" s="7" t="n">
        <v>0</v>
      </c>
      <c r="Y252" s="7" t="n">
        <v>0</v>
      </c>
      <c r="Z252" s="7" t="n">
        <v>0</v>
      </c>
      <c r="AA252" s="7" t="n">
        <v>0</v>
      </c>
      <c r="AB252" s="7" t="n">
        <v>0</v>
      </c>
    </row>
    <row r="253">
      <c r="A253" s="4" t="inlineStr">
        <is>
          <t>其他收益</t>
        </is>
      </c>
      <c r="B253" s="3" t="inlineStr">
        <is>
          <t>16</t>
        </is>
      </c>
      <c r="C253" s="7" t="n">
        <v>16829.8</v>
      </c>
      <c r="D253" s="7" t="n">
        <v>20081.7</v>
      </c>
      <c r="E253" s="7" t="n">
        <v>20878.6</v>
      </c>
      <c r="F253" s="7" t="n">
        <v>7118.5</v>
      </c>
      <c r="G253" s="7" t="n">
        <v>20087.7</v>
      </c>
      <c r="H253" s="7" t="n">
        <v>21883.8</v>
      </c>
      <c r="I253" s="7" t="n">
        <v>21719</v>
      </c>
      <c r="J253" s="7" t="n">
        <v>24293.3</v>
      </c>
      <c r="K253" s="7" t="n">
        <v>20801.3</v>
      </c>
      <c r="L253" s="7" t="n">
        <v>28379.3</v>
      </c>
      <c r="M253" s="7" t="n">
        <v>17188.3</v>
      </c>
      <c r="N253" s="7" t="n">
        <v>21226.3</v>
      </c>
      <c r="O253" s="7" t="n">
        <v>17747.6</v>
      </c>
      <c r="P253" s="7" t="n">
        <v>23997.6</v>
      </c>
      <c r="Q253" s="7" t="n">
        <v>20004.3</v>
      </c>
      <c r="R253" s="7" t="n">
        <v>4244.7</v>
      </c>
      <c r="S253" s="7" t="n">
        <v>18082.4</v>
      </c>
      <c r="T253" s="7" t="n">
        <v>15197.4</v>
      </c>
      <c r="U253" s="7" t="n">
        <v>17147.2</v>
      </c>
      <c r="V253" s="7" t="n">
        <v>22907.6</v>
      </c>
      <c r="W253" s="7" t="n">
        <v>18399.5</v>
      </c>
      <c r="X253" s="7" t="n">
        <v>11710.2</v>
      </c>
      <c r="Y253" s="7" t="n">
        <v>21526.3</v>
      </c>
      <c r="Z253" s="7" t="n">
        <v>28169.2</v>
      </c>
      <c r="AA253" s="7" t="n">
        <v>230412</v>
      </c>
      <c r="AB253" s="7" t="n">
        <v>229209.6</v>
      </c>
    </row>
    <row r="254">
      <c r="A254" s="6" t="inlineStr">
        <is>
          <t>二、营业利润（亏损以"-"号填列）</t>
        </is>
      </c>
      <c r="B254" s="3" t="inlineStr">
        <is>
          <t>17</t>
        </is>
      </c>
      <c r="C254" s="7" t="n">
        <v>87246.89999999999</v>
      </c>
      <c r="D254" s="7" t="n">
        <v>52893</v>
      </c>
      <c r="E254" s="7" t="n">
        <v>80907.8</v>
      </c>
      <c r="F254" s="7" t="n">
        <v>82475</v>
      </c>
      <c r="G254" s="7" t="n">
        <v>80775.7</v>
      </c>
      <c r="H254" s="7" t="n">
        <v>65469.2</v>
      </c>
      <c r="I254" s="7" t="n">
        <v>76806.2</v>
      </c>
      <c r="J254" s="7" t="n">
        <v>112671</v>
      </c>
      <c r="K254" s="7" t="n">
        <v>80838.3</v>
      </c>
      <c r="L254" s="7" t="n">
        <v>68604</v>
      </c>
      <c r="M254" s="7" t="n">
        <v>92030.89999999999</v>
      </c>
      <c r="N254" s="7" t="n">
        <v>91945.8</v>
      </c>
      <c r="O254" s="7" t="n">
        <v>78454</v>
      </c>
      <c r="P254" s="7" t="n">
        <v>122180.6</v>
      </c>
      <c r="Q254" s="7" t="n">
        <v>94690.89999999999</v>
      </c>
      <c r="R254" s="7" t="n">
        <v>71980.89999999999</v>
      </c>
      <c r="S254" s="7" t="n">
        <v>74150.5</v>
      </c>
      <c r="T254" s="7" t="n">
        <v>106105.3</v>
      </c>
      <c r="U254" s="7" t="n">
        <v>73852.7</v>
      </c>
      <c r="V254" s="7" t="n">
        <v>127018.8</v>
      </c>
      <c r="W254" s="7" t="n">
        <v>90859.10000000001</v>
      </c>
      <c r="X254" s="7" t="n">
        <v>67360.89999999999</v>
      </c>
      <c r="Y254" s="7" t="n">
        <v>84808</v>
      </c>
      <c r="Z254" s="7" t="n">
        <v>39217.2</v>
      </c>
      <c r="AA254" s="8" t="n">
        <v>995421</v>
      </c>
      <c r="AB254" s="8" t="n">
        <v>1007921.7</v>
      </c>
    </row>
    <row r="255">
      <c r="A255" s="4" t="inlineStr">
        <is>
          <t>加：营业外收入</t>
        </is>
      </c>
      <c r="B255" s="3" t="inlineStr">
        <is>
          <t>18</t>
        </is>
      </c>
      <c r="C255" s="7" t="n">
        <v>0</v>
      </c>
      <c r="D255" s="7" t="n">
        <v>4250</v>
      </c>
      <c r="E255" s="7" t="n">
        <v>0</v>
      </c>
      <c r="F255" s="7" t="n">
        <v>4525.4</v>
      </c>
      <c r="G255" s="7" t="n">
        <v>0</v>
      </c>
      <c r="H255" s="7" t="n">
        <v>1713</v>
      </c>
      <c r="I255" s="7" t="n">
        <v>0</v>
      </c>
      <c r="J255" s="7" t="n">
        <v>1069.1</v>
      </c>
      <c r="K255" s="7" t="n">
        <v>0</v>
      </c>
      <c r="L255" s="7" t="n">
        <v>4606.8</v>
      </c>
      <c r="M255" s="7" t="n">
        <v>0</v>
      </c>
      <c r="N255" s="7" t="n">
        <v>937.9</v>
      </c>
      <c r="O255" s="7" t="n">
        <v>0</v>
      </c>
      <c r="P255" s="7" t="n">
        <v>4831.9</v>
      </c>
      <c r="Q255" s="7" t="n">
        <v>0</v>
      </c>
      <c r="R255" s="7" t="n">
        <v>3435.7</v>
      </c>
      <c r="S255" s="7" t="n">
        <v>0</v>
      </c>
      <c r="T255" s="7" t="n">
        <v>721.9</v>
      </c>
      <c r="U255" s="7" t="n">
        <v>0</v>
      </c>
      <c r="V255" s="7" t="n">
        <v>1030.4</v>
      </c>
      <c r="W255" s="7" t="n">
        <v>0</v>
      </c>
      <c r="X255" s="7" t="n">
        <v>4127.6</v>
      </c>
      <c r="Y255" s="7" t="n">
        <v>0</v>
      </c>
      <c r="Z255" s="7" t="n">
        <v>3217.3</v>
      </c>
      <c r="AA255" s="7" t="n">
        <v>0</v>
      </c>
      <c r="AB255" s="7" t="n">
        <v>34467</v>
      </c>
    </row>
    <row r="256">
      <c r="A256" s="4" t="inlineStr">
        <is>
          <t>减：营业外支出</t>
        </is>
      </c>
      <c r="B256" s="3" t="inlineStr">
        <is>
          <t>19</t>
        </is>
      </c>
      <c r="C256" s="7" t="n">
        <v>0</v>
      </c>
      <c r="D256" s="7" t="n">
        <v>300.8</v>
      </c>
      <c r="E256" s="7" t="n">
        <v>0</v>
      </c>
      <c r="F256" s="7" t="n">
        <v>1779.3</v>
      </c>
      <c r="G256" s="7" t="n">
        <v>0</v>
      </c>
      <c r="H256" s="7" t="n">
        <v>1333.7</v>
      </c>
      <c r="I256" s="7" t="n">
        <v>0</v>
      </c>
      <c r="J256" s="7" t="n">
        <v>2853.7</v>
      </c>
      <c r="K256" s="7" t="n">
        <v>0</v>
      </c>
      <c r="L256" s="7" t="n">
        <v>1286.5</v>
      </c>
      <c r="M256" s="7" t="n">
        <v>0</v>
      </c>
      <c r="N256" s="7" t="n">
        <v>902.7</v>
      </c>
      <c r="O256" s="7" t="n">
        <v>0</v>
      </c>
      <c r="P256" s="7" t="n">
        <v>299.2</v>
      </c>
      <c r="Q256" s="7" t="n">
        <v>0</v>
      </c>
      <c r="R256" s="7" t="n">
        <v>2335.8</v>
      </c>
      <c r="S256" s="7" t="n">
        <v>0</v>
      </c>
      <c r="T256" s="7" t="n">
        <v>838.4</v>
      </c>
      <c r="U256" s="7" t="n">
        <v>0</v>
      </c>
      <c r="V256" s="7" t="n">
        <v>1490</v>
      </c>
      <c r="W256" s="7" t="n">
        <v>0</v>
      </c>
      <c r="X256" s="7" t="n">
        <v>240.8</v>
      </c>
      <c r="Y256" s="7" t="n">
        <v>0</v>
      </c>
      <c r="Z256" s="7" t="n">
        <v>1146</v>
      </c>
      <c r="AA256" s="7" t="n">
        <v>0</v>
      </c>
      <c r="AB256" s="7" t="n">
        <v>14806.9</v>
      </c>
    </row>
    <row r="257">
      <c r="A257" s="6" t="inlineStr">
        <is>
          <t>三、利润总额（亏损总额以"-"号填列）</t>
        </is>
      </c>
      <c r="B257" s="3" t="inlineStr">
        <is>
          <t>20</t>
        </is>
      </c>
      <c r="C257" s="7" t="n">
        <v>76595.39999999999</v>
      </c>
      <c r="D257" s="7" t="n">
        <v>49027.4</v>
      </c>
      <c r="E257" s="7" t="n">
        <v>71994.39999999999</v>
      </c>
      <c r="F257" s="7" t="n">
        <v>74687.7</v>
      </c>
      <c r="G257" s="7" t="n">
        <v>79423.60000000001</v>
      </c>
      <c r="H257" s="7" t="n">
        <v>59897.8</v>
      </c>
      <c r="I257" s="7" t="n">
        <v>88225.10000000001</v>
      </c>
      <c r="J257" s="7" t="n">
        <v>116318.7</v>
      </c>
      <c r="K257" s="7" t="n">
        <v>76731.39999999999</v>
      </c>
      <c r="L257" s="7" t="n">
        <v>65089.1</v>
      </c>
      <c r="M257" s="7" t="n">
        <v>74263.89999999999</v>
      </c>
      <c r="N257" s="7" t="n">
        <v>87218.60000000001</v>
      </c>
      <c r="O257" s="7" t="n">
        <v>88926</v>
      </c>
      <c r="P257" s="7" t="n">
        <v>116486.1</v>
      </c>
      <c r="Q257" s="7" t="n">
        <v>68443.60000000001</v>
      </c>
      <c r="R257" s="7" t="n">
        <v>65641.8</v>
      </c>
      <c r="S257" s="7" t="n">
        <v>80965.10000000001</v>
      </c>
      <c r="T257" s="7" t="n">
        <v>97562.7</v>
      </c>
      <c r="U257" s="7" t="n">
        <v>90909.39999999999</v>
      </c>
      <c r="V257" s="7" t="n">
        <v>119006</v>
      </c>
      <c r="W257" s="7" t="n">
        <v>83066</v>
      </c>
      <c r="X257" s="7" t="n">
        <v>62901.4</v>
      </c>
      <c r="Y257" s="7" t="n">
        <v>78829.7</v>
      </c>
      <c r="Z257" s="7" t="n">
        <v>36919.5</v>
      </c>
      <c r="AA257" s="8" t="n">
        <v>958373.6</v>
      </c>
      <c r="AB257" s="8" t="n">
        <v>950756.8</v>
      </c>
    </row>
    <row r="258">
      <c r="A258" s="4" t="inlineStr">
        <is>
          <t>减：所得税费用</t>
        </is>
      </c>
      <c r="B258" s="3" t="inlineStr">
        <is>
          <t>21</t>
        </is>
      </c>
      <c r="C258" s="7" t="n">
        <v>17480.5</v>
      </c>
      <c r="D258" s="7" t="n">
        <v>12256.9</v>
      </c>
      <c r="E258" s="7" t="n">
        <v>20065.7</v>
      </c>
      <c r="F258" s="7" t="n">
        <v>18671.9</v>
      </c>
      <c r="G258" s="7" t="n">
        <v>21444.4</v>
      </c>
      <c r="H258" s="7" t="n">
        <v>14974.5</v>
      </c>
      <c r="I258" s="7" t="n">
        <v>19077.8</v>
      </c>
      <c r="J258" s="7" t="n">
        <v>29079.7</v>
      </c>
      <c r="K258" s="7" t="n">
        <v>21236.3</v>
      </c>
      <c r="L258" s="7" t="n">
        <v>16272.3</v>
      </c>
      <c r="M258" s="7" t="n">
        <v>19053.8</v>
      </c>
      <c r="N258" s="7" t="n">
        <v>21804.7</v>
      </c>
      <c r="O258" s="7" t="n">
        <v>19707.5</v>
      </c>
      <c r="P258" s="7" t="n">
        <v>29121.5</v>
      </c>
      <c r="Q258" s="7" t="n">
        <v>20723.8</v>
      </c>
      <c r="R258" s="7" t="n">
        <v>16410.5</v>
      </c>
      <c r="S258" s="7" t="n">
        <v>20930.8</v>
      </c>
      <c r="T258" s="7" t="n">
        <v>24390.7</v>
      </c>
      <c r="U258" s="7" t="n">
        <v>17226.6</v>
      </c>
      <c r="V258" s="7" t="n">
        <v>29751.5</v>
      </c>
      <c r="W258" s="7" t="n">
        <v>19308.5</v>
      </c>
      <c r="X258" s="7" t="n">
        <v>15725.4</v>
      </c>
      <c r="Y258" s="7" t="n">
        <v>22531.7</v>
      </c>
      <c r="Z258" s="7" t="n">
        <v>9229.9</v>
      </c>
      <c r="AA258" s="7" t="n">
        <v>238787.4</v>
      </c>
      <c r="AB258" s="7" t="n">
        <v>237689.5</v>
      </c>
    </row>
    <row r="259">
      <c r="A259" s="6" t="inlineStr">
        <is>
          <t>四、净利润（净亏损以"-"号填列）</t>
        </is>
      </c>
      <c r="B259" s="3" t="inlineStr">
        <is>
          <t>22</t>
        </is>
      </c>
      <c r="C259" s="7" t="n">
        <v>84879.39999999999</v>
      </c>
      <c r="D259" s="7" t="n">
        <v>36770.5</v>
      </c>
      <c r="E259" s="7" t="n">
        <v>75741.10000000001</v>
      </c>
      <c r="F259" s="7" t="n">
        <v>56015.8</v>
      </c>
      <c r="G259" s="7" t="n">
        <v>54662.7</v>
      </c>
      <c r="H259" s="7" t="n">
        <v>44923.3</v>
      </c>
      <c r="I259" s="7" t="n">
        <v>53250</v>
      </c>
      <c r="J259" s="7" t="n">
        <v>87239</v>
      </c>
      <c r="K259" s="7" t="n">
        <v>57827</v>
      </c>
      <c r="L259" s="7" t="n">
        <v>48816.8</v>
      </c>
      <c r="M259" s="7" t="n">
        <v>77935.5</v>
      </c>
      <c r="N259" s="7" t="n">
        <v>65413.9</v>
      </c>
      <c r="O259" s="7" t="n">
        <v>80386.89999999999</v>
      </c>
      <c r="P259" s="7" t="n">
        <v>87364.60000000001</v>
      </c>
      <c r="Q259" s="7" t="n">
        <v>62836</v>
      </c>
      <c r="R259" s="7" t="n">
        <v>49231.3</v>
      </c>
      <c r="S259" s="7" t="n">
        <v>79861.5</v>
      </c>
      <c r="T259" s="7" t="n">
        <v>73172</v>
      </c>
      <c r="U259" s="7" t="n">
        <v>72162.89999999999</v>
      </c>
      <c r="V259" s="7" t="n">
        <v>89254.5</v>
      </c>
      <c r="W259" s="7" t="n">
        <v>70257.89999999999</v>
      </c>
      <c r="X259" s="7" t="n">
        <v>47176</v>
      </c>
      <c r="Y259" s="7" t="n">
        <v>62882.5</v>
      </c>
      <c r="Z259" s="7" t="n">
        <v>27689.6</v>
      </c>
      <c r="AA259" s="8" t="n">
        <v>832683.4</v>
      </c>
      <c r="AB259" s="8" t="n">
        <v>713067.3</v>
      </c>
    </row>
    <row r="260">
      <c r="A260" s="4" t="inlineStr">
        <is>
          <t>五、分红</t>
        </is>
      </c>
      <c r="B260" s="3" t="inlineStr">
        <is>
          <t>23</t>
        </is>
      </c>
      <c r="C260" s="7" t="n">
        <v>0</v>
      </c>
      <c r="D260" s="7" t="n">
        <v>5504.4</v>
      </c>
      <c r="E260" s="7" t="n">
        <v>0</v>
      </c>
      <c r="F260" s="7" t="n">
        <v>702.4</v>
      </c>
      <c r="G260" s="7" t="n">
        <v>0</v>
      </c>
      <c r="H260" s="7" t="n">
        <v>7353</v>
      </c>
      <c r="I260" s="7" t="n">
        <v>0</v>
      </c>
      <c r="J260" s="7" t="n">
        <v>22129.6</v>
      </c>
      <c r="K260" s="7" t="n">
        <v>0</v>
      </c>
      <c r="L260" s="7" t="n">
        <v>5781.2</v>
      </c>
      <c r="M260" s="7" t="n">
        <v>0</v>
      </c>
      <c r="N260" s="7" t="n">
        <v>968</v>
      </c>
      <c r="O260" s="7" t="n">
        <v>0</v>
      </c>
      <c r="P260" s="7" t="n">
        <v>7857.7</v>
      </c>
      <c r="Q260" s="7" t="n">
        <v>0</v>
      </c>
      <c r="R260" s="7" t="n">
        <v>7399.5</v>
      </c>
      <c r="S260" s="7" t="n">
        <v>0</v>
      </c>
      <c r="T260" s="7" t="n">
        <v>17866.9</v>
      </c>
      <c r="U260" s="7" t="n">
        <v>0</v>
      </c>
      <c r="V260" s="7" t="n">
        <v>5954.3</v>
      </c>
      <c r="W260" s="7" t="n">
        <v>0</v>
      </c>
      <c r="X260" s="7" t="n">
        <v>3201.2</v>
      </c>
      <c r="Y260" s="7" t="n">
        <v>0</v>
      </c>
      <c r="Z260" s="7" t="n">
        <v>6870.7</v>
      </c>
      <c r="AA260" s="7" t="n">
        <v>0</v>
      </c>
      <c r="AB260" s="7" t="n">
        <v>91588.89999999999</v>
      </c>
    </row>
    <row r="261">
      <c r="A261" s="6" t="inlineStr">
        <is>
          <t>六、分红后净利润（净亏损以"-"号填列）</t>
        </is>
      </c>
      <c r="B261" s="3" t="inlineStr">
        <is>
          <t>24</t>
        </is>
      </c>
      <c r="C261" s="7" t="n">
        <v>84879.39999999999</v>
      </c>
      <c r="D261" s="7" t="n">
        <v>31266.1</v>
      </c>
      <c r="E261" s="7" t="n">
        <v>75741.10000000001</v>
      </c>
      <c r="F261" s="7" t="n">
        <v>55313.4</v>
      </c>
      <c r="G261" s="7" t="n">
        <v>54662.7</v>
      </c>
      <c r="H261" s="7" t="n">
        <v>37570.3</v>
      </c>
      <c r="I261" s="7" t="n">
        <v>53250</v>
      </c>
      <c r="J261" s="7" t="n">
        <v>65109.4</v>
      </c>
      <c r="K261" s="7" t="n">
        <v>57827</v>
      </c>
      <c r="L261" s="7" t="n">
        <v>43035.6</v>
      </c>
      <c r="M261" s="7" t="n">
        <v>77935.5</v>
      </c>
      <c r="N261" s="7" t="n">
        <v>64445.9</v>
      </c>
      <c r="O261" s="7" t="n">
        <v>80386.89999999999</v>
      </c>
      <c r="P261" s="7" t="n">
        <v>79506.89999999999</v>
      </c>
      <c r="Q261" s="7" t="n">
        <v>62836</v>
      </c>
      <c r="R261" s="7" t="n">
        <v>41831.8</v>
      </c>
      <c r="S261" s="7" t="n">
        <v>79861.5</v>
      </c>
      <c r="T261" s="7" t="n">
        <v>55305.1</v>
      </c>
      <c r="U261" s="7" t="n">
        <v>72162.89999999999</v>
      </c>
      <c r="V261" s="7" t="n">
        <v>83300.2</v>
      </c>
      <c r="W261" s="7" t="n">
        <v>70257.89999999999</v>
      </c>
      <c r="X261" s="7" t="n">
        <v>43974.8</v>
      </c>
      <c r="Y261" s="7" t="n">
        <v>62882.5</v>
      </c>
      <c r="Z261" s="7" t="n">
        <v>20818.9</v>
      </c>
      <c r="AA261" s="8" t="n">
        <v>832683.4</v>
      </c>
      <c r="AB261" s="8" t="n">
        <v>621478.4</v>
      </c>
    </row>
    <row r="262">
      <c r="A262" s="4" t="inlineStr">
        <is>
          <t>净利率</t>
        </is>
      </c>
      <c r="D262" s="13" t="n">
        <v>5</v>
      </c>
      <c r="F262" s="13" t="n">
        <v>6.1</v>
      </c>
      <c r="H262" s="13" t="n">
        <v>4.6</v>
      </c>
      <c r="J262" s="13" t="n">
        <v>7.3</v>
      </c>
      <c r="L262" s="13" t="n">
        <v>3.6</v>
      </c>
      <c r="N262" s="13" t="n">
        <v>4.4</v>
      </c>
      <c r="P262" s="13" t="n">
        <v>5.8</v>
      </c>
      <c r="R262" s="13" t="n">
        <v>4.1</v>
      </c>
      <c r="T262" s="13" t="n">
        <v>6.3</v>
      </c>
      <c r="V262" s="13" t="n">
        <v>6.3</v>
      </c>
      <c r="X262" s="13" t="n">
        <v>4.6</v>
      </c>
      <c r="Z262" s="13" t="n">
        <v>3.9</v>
      </c>
    </row>
    <row r="263">
      <c r="A263" s="4" t="inlineStr">
        <is>
          <t>销售达成率</t>
        </is>
      </c>
      <c r="D263" s="13" t="n">
        <v>58.1</v>
      </c>
      <c r="F263" s="13" t="n">
        <v>76.40000000000001</v>
      </c>
      <c r="H263" s="13" t="n">
        <v>80.3</v>
      </c>
      <c r="J263" s="13" t="n">
        <v>119.8</v>
      </c>
      <c r="L263" s="13" t="n">
        <v>104.5</v>
      </c>
      <c r="N263" s="13" t="n">
        <v>116.9</v>
      </c>
      <c r="P263" s="13" t="n">
        <v>139.9</v>
      </c>
      <c r="R263" s="13" t="n">
        <v>115.5</v>
      </c>
      <c r="T263" s="13" t="n">
        <v>94.40000000000001</v>
      </c>
      <c r="V263" s="13" t="n">
        <v>129.8</v>
      </c>
      <c r="X263" s="13" t="n">
        <v>92.3</v>
      </c>
      <c r="Z263" s="13" t="n">
        <v>71.8</v>
      </c>
    </row>
    <row r="264">
      <c r="A264" s="4" t="inlineStr">
        <is>
          <t>净利达成率</t>
        </is>
      </c>
      <c r="D264" s="13" t="n">
        <v>43.3</v>
      </c>
      <c r="F264" s="13" t="n">
        <v>74</v>
      </c>
      <c r="H264" s="13" t="n">
        <v>82.2</v>
      </c>
      <c r="J264" s="13" t="n">
        <v>163.8</v>
      </c>
      <c r="L264" s="13" t="n">
        <v>84.40000000000001</v>
      </c>
      <c r="N264" s="13" t="n">
        <v>83.90000000000001</v>
      </c>
      <c r="P264" s="13" t="n">
        <v>108.7</v>
      </c>
      <c r="R264" s="13" t="n">
        <v>78.3</v>
      </c>
      <c r="T264" s="13" t="n">
        <v>91.59999999999999</v>
      </c>
      <c r="V264" s="13" t="n">
        <v>123.7</v>
      </c>
      <c r="X264" s="13" t="n">
        <v>67.09999999999999</v>
      </c>
      <c r="Z264" s="13" t="n">
        <v>44</v>
      </c>
    </row>
    <row r="266"/>
    <row r="267">
      <c r="A267" t="inlineStr">
        <is>
          <t>编制说明：</t>
        </is>
      </c>
      <c r="B267" t="inlineStr">
        <is>
          <t>1、营业收入的取数来源为2025年1-12月销售明细表
2、数据基于ERP系统导出</t>
        </is>
      </c>
    </row>
  </sheetData>
  <mergeCells count="19">
    <mergeCell ref="W4:X4"/>
    <mergeCell ref="Y4:Z4"/>
    <mergeCell ref="C4:D4"/>
    <mergeCell ref="E4:F4"/>
    <mergeCell ref="B267:AB267"/>
    <mergeCell ref="O4:P4"/>
    <mergeCell ref="AA4:AB4"/>
    <mergeCell ref="Q4:R4"/>
    <mergeCell ref="A266:AB266"/>
    <mergeCell ref="A4:A5"/>
    <mergeCell ref="A3:AB3"/>
    <mergeCell ref="A1:AB1"/>
    <mergeCell ref="G4:H4"/>
    <mergeCell ref="I4:J4"/>
    <mergeCell ref="B4:B5"/>
    <mergeCell ref="K4:L4"/>
    <mergeCell ref="M4:N4"/>
    <mergeCell ref="S4:T4"/>
    <mergeCell ref="U4:V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2" customWidth="1" min="5" max="5"/>
    <col width="10" customWidth="1" min="6" max="6"/>
  </cols>
  <sheetData>
    <row r="1">
      <c r="A1" s="2" t="inlineStr">
        <is>
          <t>日期</t>
        </is>
      </c>
      <c r="B1" s="2" t="inlineStr">
        <is>
          <t>月份</t>
        </is>
      </c>
      <c r="C1" s="2" t="inlineStr">
        <is>
          <t>摘要</t>
        </is>
      </c>
      <c r="D1" s="2" t="inlineStr">
        <is>
          <t>贷方金额</t>
        </is>
      </c>
      <c r="E1" s="2" t="inlineStr">
        <is>
          <t>区域</t>
        </is>
      </c>
      <c r="F1" s="2" t="inlineStr">
        <is>
          <t>业务员</t>
        </is>
      </c>
    </row>
    <row r="2">
      <c r="A2" s="14" t="n">
        <v>45307</v>
      </c>
      <c r="B2" s="4" t="inlineStr">
        <is>
          <t>2024-01</t>
        </is>
      </c>
      <c r="C2" s="4" t="inlineStr">
        <is>
          <t>冲减计提吴中食品有限公司经销商返点实现10341</t>
        </is>
      </c>
      <c r="D2" s="15" t="n">
        <v>10341.67</v>
      </c>
      <c r="E2" s="4" t="inlineStr">
        <is>
          <t>华中区域</t>
        </is>
      </c>
      <c r="F2" s="4" t="inlineStr">
        <is>
          <t>何明秀</t>
        </is>
      </c>
    </row>
    <row r="3">
      <c r="A3" s="14" t="n">
        <v>45327</v>
      </c>
      <c r="B3" s="4" t="inlineStr">
        <is>
          <t>2024-02</t>
        </is>
      </c>
      <c r="C3" s="4" t="inlineStr">
        <is>
          <t>姑苏供应链管理有限公司经销商返点实现14296</t>
        </is>
      </c>
      <c r="D3" s="15" t="n">
        <v>-14296.93</v>
      </c>
      <c r="E3" s="4" t="inlineStr">
        <is>
          <t>浙江区域</t>
        </is>
      </c>
      <c r="F3" s="4" t="inlineStr">
        <is>
          <t>杨娜英</t>
        </is>
      </c>
    </row>
    <row r="4">
      <c r="A4" s="14" t="n">
        <v>45335</v>
      </c>
      <c r="B4" s="4" t="inlineStr">
        <is>
          <t>2024-02</t>
        </is>
      </c>
      <c r="C4" s="4" t="inlineStr">
        <is>
          <t>钟楼商贸有限公司经销商返点实现11877</t>
        </is>
      </c>
      <c r="D4" s="15" t="n">
        <v>-11877.1</v>
      </c>
      <c r="E4" s="4" t="inlineStr">
        <is>
          <t>江苏区域</t>
        </is>
      </c>
      <c r="F4" s="4" t="inlineStr">
        <is>
          <t>徐丽英</t>
        </is>
      </c>
    </row>
    <row r="5">
      <c r="A5" s="14" t="n">
        <v>45336</v>
      </c>
      <c r="B5" s="4" t="inlineStr">
        <is>
          <t>2024-02</t>
        </is>
      </c>
      <c r="C5" s="4" t="inlineStr">
        <is>
          <t>冲减计提海宁食品有限公司经销商返点实现596</t>
        </is>
      </c>
      <c r="D5" s="15" t="n">
        <v>596.12</v>
      </c>
      <c r="E5" s="4" t="inlineStr">
        <is>
          <t>江苏区域</t>
        </is>
      </c>
      <c r="F5" s="4" t="inlineStr">
        <is>
          <t>黄静芳</t>
        </is>
      </c>
    </row>
    <row r="6">
      <c r="A6" s="14" t="n">
        <v>45344</v>
      </c>
      <c r="B6" s="4" t="inlineStr">
        <is>
          <t>2024-02</t>
        </is>
      </c>
      <c r="C6" s="4" t="inlineStr">
        <is>
          <t>钟楼供应链管理有限公司经销商返点实现8531</t>
        </is>
      </c>
      <c r="D6" s="15" t="n">
        <v>-8531.530000000001</v>
      </c>
      <c r="E6" s="4" t="inlineStr">
        <is>
          <t>江苏区域</t>
        </is>
      </c>
      <c r="F6" s="4" t="inlineStr">
        <is>
          <t>王娟芳</t>
        </is>
      </c>
    </row>
    <row r="7">
      <c r="A7" s="14" t="n">
        <v>45364</v>
      </c>
      <c r="B7" s="4" t="inlineStr">
        <is>
          <t>2024-03</t>
        </is>
      </c>
      <c r="C7" s="4" t="inlineStr">
        <is>
          <t>吴中食品有限公司经销商返点实现4828</t>
        </is>
      </c>
      <c r="D7" s="15" t="n">
        <v>-4828.4</v>
      </c>
      <c r="E7" s="4" t="inlineStr">
        <is>
          <t>广东区域</t>
        </is>
      </c>
      <c r="F7" s="4" t="inlineStr">
        <is>
          <t>徐艳娜</t>
        </is>
      </c>
    </row>
    <row r="8">
      <c r="A8" s="14" t="n">
        <v>45364</v>
      </c>
      <c r="B8" s="4" t="inlineStr">
        <is>
          <t>2024-03</t>
        </is>
      </c>
      <c r="C8" s="4" t="inlineStr">
        <is>
          <t>海宁供应链管理有限公司经销商返点实现1945</t>
        </is>
      </c>
      <c r="D8" s="15" t="n">
        <v>-1945.98</v>
      </c>
      <c r="E8" s="4" t="inlineStr">
        <is>
          <t>华中区域</t>
        </is>
      </c>
      <c r="F8" s="4" t="inlineStr">
        <is>
          <t>李强英</t>
        </is>
      </c>
    </row>
    <row r="9">
      <c r="A9" s="14" t="n">
        <v>45368</v>
      </c>
      <c r="B9" s="4" t="inlineStr">
        <is>
          <t>2024-03</t>
        </is>
      </c>
      <c r="C9" s="4" t="inlineStr">
        <is>
          <t>余杭实业有限公司经销商返点实现14574</t>
        </is>
      </c>
      <c r="D9" s="15" t="n">
        <v>-14574.03</v>
      </c>
      <c r="E9" s="4" t="inlineStr">
        <is>
          <t>江苏区域</t>
        </is>
      </c>
      <c r="F9" s="4" t="inlineStr">
        <is>
          <t>徐丽秀</t>
        </is>
      </c>
    </row>
    <row r="10">
      <c r="A10" s="14" t="n">
        <v>45373</v>
      </c>
      <c r="B10" s="4" t="inlineStr">
        <is>
          <t>2024-03</t>
        </is>
      </c>
      <c r="C10" s="4" t="inlineStr">
        <is>
          <t>武进供应链管理有限公司经销商返点实现3861</t>
        </is>
      </c>
      <c r="D10" s="15" t="n">
        <v>-3861.51</v>
      </c>
      <c r="E10" s="4" t="inlineStr">
        <is>
          <t>江苏区域</t>
        </is>
      </c>
      <c r="F10" s="4" t="inlineStr">
        <is>
          <t>朱超芳</t>
        </is>
      </c>
    </row>
    <row r="11">
      <c r="A11" s="14" t="n">
        <v>45373</v>
      </c>
      <c r="B11" s="4" t="inlineStr">
        <is>
          <t>2024-03</t>
        </is>
      </c>
      <c r="C11" s="4" t="inlineStr">
        <is>
          <t>冲减计提姑苏供应链管理有限公司经销商返点实现14233</t>
        </is>
      </c>
      <c r="D11" s="15" t="n">
        <v>14233.17</v>
      </c>
      <c r="E11" s="4" t="inlineStr">
        <is>
          <t>浙江区域</t>
        </is>
      </c>
      <c r="F11" s="4" t="inlineStr">
        <is>
          <t>张娜秀</t>
        </is>
      </c>
    </row>
    <row r="12">
      <c r="A12" s="14" t="n">
        <v>45378</v>
      </c>
      <c r="B12" s="4" t="inlineStr">
        <is>
          <t>2024-03</t>
        </is>
      </c>
      <c r="C12" s="4" t="inlineStr">
        <is>
          <t>海宁实业有限公司经销商返点实现4739</t>
        </is>
      </c>
      <c r="D12" s="15" t="n">
        <v>-4739.14</v>
      </c>
      <c r="E12" s="4" t="inlineStr">
        <is>
          <t>江苏区域</t>
        </is>
      </c>
      <c r="F12" s="4" t="inlineStr">
        <is>
          <t>黄艳伟</t>
        </is>
      </c>
    </row>
    <row r="13">
      <c r="A13" s="14" t="n">
        <v>45384</v>
      </c>
      <c r="B13" s="4" t="inlineStr">
        <is>
          <t>2024-04</t>
        </is>
      </c>
      <c r="C13" s="4" t="inlineStr">
        <is>
          <t>姑苏市优鲜食品商行经销商返点实现5996</t>
        </is>
      </c>
      <c r="D13" s="15" t="n">
        <v>-5996.74</v>
      </c>
      <c r="E13" s="4" t="inlineStr">
        <is>
          <t>浙江区域</t>
        </is>
      </c>
      <c r="F13" s="4" t="inlineStr">
        <is>
          <t>杨兰英</t>
        </is>
      </c>
    </row>
    <row r="14">
      <c r="A14" s="14" t="n">
        <v>45385</v>
      </c>
      <c r="B14" s="4" t="inlineStr">
        <is>
          <t>2024-04</t>
        </is>
      </c>
      <c r="C14" s="4" t="inlineStr">
        <is>
          <t>冲减计提吴中市京功食品商行经销商返点实现2538</t>
        </is>
      </c>
      <c r="D14" s="15" t="n">
        <v>2538.64</v>
      </c>
      <c r="E14" s="4" t="inlineStr">
        <is>
          <t>浙江区域</t>
        </is>
      </c>
      <c r="F14" s="4" t="inlineStr">
        <is>
          <t>马英娜</t>
        </is>
      </c>
    </row>
    <row r="15">
      <c r="A15" s="14" t="n">
        <v>45389</v>
      </c>
      <c r="B15" s="4" t="inlineStr">
        <is>
          <t>2024-04</t>
        </is>
      </c>
      <c r="C15" s="4" t="inlineStr">
        <is>
          <t>武进实业有限公司经销商返点实现10487</t>
        </is>
      </c>
      <c r="D15" s="15" t="n">
        <v>-10487.52</v>
      </c>
      <c r="E15" s="4" t="inlineStr">
        <is>
          <t>江苏区域</t>
        </is>
      </c>
      <c r="F15" s="4" t="inlineStr">
        <is>
          <t>高勇英</t>
        </is>
      </c>
    </row>
    <row r="16">
      <c r="A16" s="14" t="n">
        <v>45393</v>
      </c>
      <c r="B16" s="4" t="inlineStr">
        <is>
          <t>2024-04</t>
        </is>
      </c>
      <c r="C16" s="4" t="inlineStr">
        <is>
          <t>海宁市优鲜食品商行经销商返点实现1809</t>
        </is>
      </c>
      <c r="D16" s="15" t="n">
        <v>-1809.99</v>
      </c>
      <c r="E16" s="4" t="inlineStr">
        <is>
          <t>华中区域</t>
        </is>
      </c>
      <c r="F16" s="4" t="inlineStr">
        <is>
          <t>何艳娜</t>
        </is>
      </c>
    </row>
    <row r="17">
      <c r="A17" s="14" t="n">
        <v>45398</v>
      </c>
      <c r="B17" s="4" t="inlineStr">
        <is>
          <t>2024-04</t>
        </is>
      </c>
      <c r="C17" s="4" t="inlineStr">
        <is>
          <t>海宁供应链管理有限公司经销商返点实现5376</t>
        </is>
      </c>
      <c r="D17" s="15" t="n">
        <v>-5376.81</v>
      </c>
      <c r="E17" s="4" t="inlineStr">
        <is>
          <t>江苏区域</t>
        </is>
      </c>
      <c r="F17" s="4" t="inlineStr">
        <is>
          <t>王艳娜</t>
        </is>
      </c>
    </row>
    <row r="18">
      <c r="A18" s="14" t="n">
        <v>45415</v>
      </c>
      <c r="B18" s="4" t="inlineStr">
        <is>
          <t>2024-05</t>
        </is>
      </c>
      <c r="C18" s="4" t="inlineStr">
        <is>
          <t>钟楼供应链管理有限公司经销商返点实现4173</t>
        </is>
      </c>
      <c r="D18" s="15" t="n">
        <v>-4173.87</v>
      </c>
      <c r="E18" s="4" t="inlineStr">
        <is>
          <t>浙江区域</t>
        </is>
      </c>
      <c r="F18" s="4" t="inlineStr">
        <is>
          <t>周艳伟</t>
        </is>
      </c>
    </row>
    <row r="19">
      <c r="A19" s="14" t="n">
        <v>45429</v>
      </c>
      <c r="B19" s="4" t="inlineStr">
        <is>
          <t>2024-05</t>
        </is>
      </c>
      <c r="C19" s="4" t="inlineStr">
        <is>
          <t>冲减计提余杭区优鲜冷冻食品批发部经销商返点实现6383</t>
        </is>
      </c>
      <c r="D19" s="15" t="n">
        <v>6383.97</v>
      </c>
      <c r="E19" s="4" t="inlineStr">
        <is>
          <t>华中区域</t>
        </is>
      </c>
      <c r="F19" s="4" t="inlineStr">
        <is>
          <t>罗英伟</t>
        </is>
      </c>
    </row>
    <row r="20">
      <c r="A20" s="14" t="n">
        <v>45431</v>
      </c>
      <c r="B20" s="4" t="inlineStr">
        <is>
          <t>2024-05</t>
        </is>
      </c>
      <c r="C20" s="4" t="inlineStr">
        <is>
          <t>吴中区淼沃冷冻食品批发部经销商返点实现8872</t>
        </is>
      </c>
      <c r="D20" s="15" t="n">
        <v>-8872.84</v>
      </c>
      <c r="E20" s="4" t="inlineStr">
        <is>
          <t>广东区域</t>
        </is>
      </c>
      <c r="F20" s="4" t="inlineStr">
        <is>
          <t>朱敏英</t>
        </is>
      </c>
    </row>
    <row r="21">
      <c r="A21" s="14" t="n">
        <v>45446</v>
      </c>
      <c r="B21" s="4" t="inlineStr">
        <is>
          <t>2024-06</t>
        </is>
      </c>
      <c r="C21" s="4" t="inlineStr">
        <is>
          <t>姑苏供应链管理有限公司经销商返点实现1649</t>
        </is>
      </c>
      <c r="D21" s="15" t="n">
        <v>-1649.68</v>
      </c>
      <c r="E21" s="4" t="inlineStr">
        <is>
          <t>江苏区域</t>
        </is>
      </c>
      <c r="F21" s="4" t="inlineStr">
        <is>
          <t>刘明秀</t>
        </is>
      </c>
    </row>
    <row r="22">
      <c r="A22" s="14" t="n">
        <v>45451</v>
      </c>
      <c r="B22" s="4" t="inlineStr">
        <is>
          <t>2024-06</t>
        </is>
      </c>
      <c r="C22" s="4" t="inlineStr">
        <is>
          <t>姑苏区大匠冷冻食品批发部经销商返点实现5750</t>
        </is>
      </c>
      <c r="D22" s="15" t="n">
        <v>-5750.59</v>
      </c>
      <c r="E22" s="4" t="inlineStr">
        <is>
          <t>江苏区域</t>
        </is>
      </c>
      <c r="F22" s="4" t="inlineStr">
        <is>
          <t>赵秀英</t>
        </is>
      </c>
    </row>
    <row r="23">
      <c r="A23" s="14" t="n">
        <v>45452</v>
      </c>
      <c r="B23" s="4" t="inlineStr">
        <is>
          <t>2024-06</t>
        </is>
      </c>
      <c r="C23" s="4" t="inlineStr">
        <is>
          <t>钟楼区大匠冷冻食品批发部经销商返点实现11148</t>
        </is>
      </c>
      <c r="D23" s="15" t="n">
        <v>-11148.87</v>
      </c>
      <c r="E23" s="4" t="inlineStr">
        <is>
          <t>华中区域</t>
        </is>
      </c>
      <c r="F23" s="4" t="inlineStr">
        <is>
          <t>高静娜</t>
        </is>
      </c>
    </row>
    <row r="24">
      <c r="A24" s="14" t="n">
        <v>45456</v>
      </c>
      <c r="B24" s="4" t="inlineStr">
        <is>
          <t>2024-06</t>
        </is>
      </c>
      <c r="C24" s="4" t="inlineStr">
        <is>
          <t>钟楼实业有限公司经销商返点实现9118</t>
        </is>
      </c>
      <c r="D24" s="15" t="n">
        <v>-9118.1</v>
      </c>
      <c r="E24" s="4" t="inlineStr">
        <is>
          <t>江苏区域</t>
        </is>
      </c>
      <c r="F24" s="4" t="inlineStr">
        <is>
          <t>徐磊芳</t>
        </is>
      </c>
    </row>
    <row r="25">
      <c r="A25" s="14" t="n">
        <v>45470</v>
      </c>
      <c r="B25" s="4" t="inlineStr">
        <is>
          <t>2024-06</t>
        </is>
      </c>
      <c r="C25" s="4" t="inlineStr">
        <is>
          <t>钟楼区京功冷冻食品批发部经销商返点实现7519</t>
        </is>
      </c>
      <c r="D25" s="15" t="n">
        <v>-7519.69</v>
      </c>
      <c r="E25" s="4" t="inlineStr">
        <is>
          <t>广东区域</t>
        </is>
      </c>
      <c r="F25" s="4" t="inlineStr">
        <is>
          <t>林杰伟</t>
        </is>
      </c>
    </row>
    <row r="26">
      <c r="A26" s="14" t="n">
        <v>45478</v>
      </c>
      <c r="B26" s="4" t="inlineStr">
        <is>
          <t>2024-07</t>
        </is>
      </c>
      <c r="C26" s="4" t="inlineStr">
        <is>
          <t>武进食品有限公司经销商返点实现12214</t>
        </is>
      </c>
      <c r="D26" s="15" t="n">
        <v>-12214.51</v>
      </c>
      <c r="E26" s="4" t="inlineStr">
        <is>
          <t>华中区域</t>
        </is>
      </c>
      <c r="F26" s="4" t="inlineStr">
        <is>
          <t>黄涛秀</t>
        </is>
      </c>
    </row>
    <row r="27">
      <c r="A27" s="14" t="n">
        <v>45488</v>
      </c>
      <c r="B27" s="4" t="inlineStr">
        <is>
          <t>2024-07</t>
        </is>
      </c>
      <c r="C27" s="4" t="inlineStr">
        <is>
          <t>姑苏实业有限公司经销商返点实现4997</t>
        </is>
      </c>
      <c r="D27" s="15" t="n">
        <v>-4997.38</v>
      </c>
      <c r="E27" s="4" t="inlineStr">
        <is>
          <t>华中区域</t>
        </is>
      </c>
      <c r="F27" s="4" t="inlineStr">
        <is>
          <t>朱芳伟</t>
        </is>
      </c>
    </row>
    <row r="28">
      <c r="A28" s="14" t="n">
        <v>45491</v>
      </c>
      <c r="B28" s="4" t="inlineStr">
        <is>
          <t>2024-07</t>
        </is>
      </c>
      <c r="C28" s="4" t="inlineStr">
        <is>
          <t>吴中区优鲜冷冻食品批发部经销商返点实现3039</t>
        </is>
      </c>
      <c r="D28" s="15" t="n">
        <v>-3039.7</v>
      </c>
      <c r="E28" s="4" t="inlineStr">
        <is>
          <t>浙江区域</t>
        </is>
      </c>
      <c r="F28" s="4" t="inlineStr">
        <is>
          <t>高艳秀</t>
        </is>
      </c>
    </row>
    <row r="29">
      <c r="A29" s="14" t="n">
        <v>45497</v>
      </c>
      <c r="B29" s="4" t="inlineStr">
        <is>
          <t>2024-07</t>
        </is>
      </c>
      <c r="C29" s="4" t="inlineStr">
        <is>
          <t>钟楼供应链管理有限公司经销商返点实现4881</t>
        </is>
      </c>
      <c r="D29" s="15" t="n">
        <v>-4881.82</v>
      </c>
      <c r="E29" s="4" t="inlineStr">
        <is>
          <t>华中区域</t>
        </is>
      </c>
      <c r="F29" s="4" t="inlineStr">
        <is>
          <t>徐涛娜</t>
        </is>
      </c>
    </row>
    <row r="30">
      <c r="A30" s="14" t="n">
        <v>45515</v>
      </c>
      <c r="B30" s="4" t="inlineStr">
        <is>
          <t>2024-08</t>
        </is>
      </c>
      <c r="C30" s="4" t="inlineStr">
        <is>
          <t>衢州实业有限公司经销商返点实现8781</t>
        </is>
      </c>
      <c r="D30" s="15" t="n">
        <v>-8781.709999999999</v>
      </c>
      <c r="E30" s="4" t="inlineStr">
        <is>
          <t>江苏区域</t>
        </is>
      </c>
      <c r="F30" s="4" t="inlineStr">
        <is>
          <t>赵勇芳</t>
        </is>
      </c>
    </row>
    <row r="31">
      <c r="A31" s="14" t="n">
        <v>45517</v>
      </c>
      <c r="B31" s="4" t="inlineStr">
        <is>
          <t>2024-08</t>
        </is>
      </c>
      <c r="C31" s="4" t="inlineStr">
        <is>
          <t>衢州商贸有限公司经销商返点实现6565</t>
        </is>
      </c>
      <c r="D31" s="15" t="n">
        <v>-6565.75</v>
      </c>
      <c r="E31" s="4" t="inlineStr">
        <is>
          <t>广东区域</t>
        </is>
      </c>
      <c r="F31" s="4" t="inlineStr">
        <is>
          <t>胡勇娜</t>
        </is>
      </c>
    </row>
    <row r="32">
      <c r="A32" s="14" t="n">
        <v>45519</v>
      </c>
      <c r="B32" s="4" t="inlineStr">
        <is>
          <t>2024-08</t>
        </is>
      </c>
      <c r="C32" s="4" t="inlineStr">
        <is>
          <t>钟楼实业有限公司经销商返点实现3474</t>
        </is>
      </c>
      <c r="D32" s="15" t="n">
        <v>-3474.25</v>
      </c>
      <c r="E32" s="4" t="inlineStr">
        <is>
          <t>华中区域</t>
        </is>
      </c>
      <c r="F32" s="4" t="inlineStr">
        <is>
          <t>胡兰娜</t>
        </is>
      </c>
    </row>
    <row r="33">
      <c r="A33" s="14" t="n">
        <v>45523</v>
      </c>
      <c r="B33" s="4" t="inlineStr">
        <is>
          <t>2024-08</t>
        </is>
      </c>
      <c r="C33" s="4" t="inlineStr">
        <is>
          <t>冲减计提钟楼实业有限公司经销商返点实现13969</t>
        </is>
      </c>
      <c r="D33" s="15" t="n">
        <v>13969.73</v>
      </c>
      <c r="E33" s="4" t="inlineStr">
        <is>
          <t>江苏区域</t>
        </is>
      </c>
      <c r="F33" s="4" t="inlineStr">
        <is>
          <t>黄洋英</t>
        </is>
      </c>
    </row>
    <row r="34">
      <c r="A34" s="14" t="n">
        <v>45527</v>
      </c>
      <c r="B34" s="4" t="inlineStr">
        <is>
          <t>2024-08</t>
        </is>
      </c>
      <c r="C34" s="4" t="inlineStr">
        <is>
          <t>海宁实业有限公司经销商返点实现13659</t>
        </is>
      </c>
      <c r="D34" s="15" t="n">
        <v>-13659.54</v>
      </c>
      <c r="E34" s="4" t="inlineStr">
        <is>
          <t>江苏区域</t>
        </is>
      </c>
      <c r="F34" s="4" t="inlineStr">
        <is>
          <t>杨芳娜</t>
        </is>
      </c>
    </row>
    <row r="35">
      <c r="A35" s="14" t="n">
        <v>45554</v>
      </c>
      <c r="B35" s="4" t="inlineStr">
        <is>
          <t>2024-09</t>
        </is>
      </c>
      <c r="C35" s="4" t="inlineStr">
        <is>
          <t>海宁商贸有限公司经销商返点实现4792</t>
        </is>
      </c>
      <c r="D35" s="15" t="n">
        <v>-4792.63</v>
      </c>
      <c r="E35" s="4" t="inlineStr">
        <is>
          <t>华中区域</t>
        </is>
      </c>
      <c r="F35" s="4" t="inlineStr">
        <is>
          <t>陈敏秀</t>
        </is>
      </c>
    </row>
    <row r="36">
      <c r="A36" s="14" t="n">
        <v>45558</v>
      </c>
      <c r="B36" s="4" t="inlineStr">
        <is>
          <t>2024-09</t>
        </is>
      </c>
      <c r="C36" s="4" t="inlineStr">
        <is>
          <t>姑苏供应链管理有限公司经销商返点实现14678</t>
        </is>
      </c>
      <c r="D36" s="15" t="n">
        <v>-14678.44</v>
      </c>
      <c r="E36" s="4" t="inlineStr">
        <is>
          <t>江苏区域</t>
        </is>
      </c>
      <c r="F36" s="4" t="inlineStr">
        <is>
          <t>朱芳伟</t>
        </is>
      </c>
    </row>
    <row r="37">
      <c r="A37" s="14" t="n">
        <v>45560</v>
      </c>
      <c r="B37" s="4" t="inlineStr">
        <is>
          <t>2024-09</t>
        </is>
      </c>
      <c r="C37" s="4" t="inlineStr">
        <is>
          <t>余杭市淼沃食品商行经销商返点实现1606</t>
        </is>
      </c>
      <c r="D37" s="15" t="n">
        <v>-1606.19</v>
      </c>
      <c r="E37" s="4" t="inlineStr">
        <is>
          <t>华中区域</t>
        </is>
      </c>
      <c r="F37" s="4" t="inlineStr">
        <is>
          <t>刘明秀</t>
        </is>
      </c>
    </row>
    <row r="38">
      <c r="A38" s="14" t="n">
        <v>45563</v>
      </c>
      <c r="B38" s="4" t="inlineStr">
        <is>
          <t>2024-09</t>
        </is>
      </c>
      <c r="C38" s="4" t="inlineStr">
        <is>
          <t>余杭商贸有限公司经销商返点实现12733</t>
        </is>
      </c>
      <c r="D38" s="15" t="n">
        <v>-12733.61</v>
      </c>
      <c r="E38" s="4" t="inlineStr">
        <is>
          <t>江苏区域</t>
        </is>
      </c>
      <c r="F38" s="4" t="inlineStr">
        <is>
          <t>高磊秀</t>
        </is>
      </c>
    </row>
    <row r="39">
      <c r="A39" s="14" t="n">
        <v>45567</v>
      </c>
      <c r="B39" s="4" t="inlineStr">
        <is>
          <t>2024-10</t>
        </is>
      </c>
      <c r="C39" s="4" t="inlineStr">
        <is>
          <t>姑苏市淼沃食品商行经销商返点实现14971</t>
        </is>
      </c>
      <c r="D39" s="15" t="n">
        <v>-14971.71</v>
      </c>
      <c r="E39" s="4" t="inlineStr">
        <is>
          <t>华中区域</t>
        </is>
      </c>
      <c r="F39" s="4" t="inlineStr">
        <is>
          <t>张丽娜</t>
        </is>
      </c>
    </row>
    <row r="40">
      <c r="A40" s="14" t="n">
        <v>45573</v>
      </c>
      <c r="B40" s="4" t="inlineStr">
        <is>
          <t>2024-10</t>
        </is>
      </c>
      <c r="C40" s="4" t="inlineStr">
        <is>
          <t>余杭食品有限公司经销商返点实现3285</t>
        </is>
      </c>
      <c r="D40" s="15" t="n">
        <v>-3285.8</v>
      </c>
      <c r="E40" s="4" t="inlineStr">
        <is>
          <t>浙江区域</t>
        </is>
      </c>
      <c r="F40" s="4" t="inlineStr">
        <is>
          <t>孙超芳</t>
        </is>
      </c>
    </row>
    <row r="41">
      <c r="A41" s="14" t="n">
        <v>45580</v>
      </c>
      <c r="B41" s="4" t="inlineStr">
        <is>
          <t>2024-10</t>
        </is>
      </c>
      <c r="C41" s="4" t="inlineStr">
        <is>
          <t>冲减计提余杭商贸有限公司经销商返点实现8600</t>
        </is>
      </c>
      <c r="D41" s="15" t="n">
        <v>8600.469999999999</v>
      </c>
      <c r="E41" s="4" t="inlineStr">
        <is>
          <t>江苏区域</t>
        </is>
      </c>
      <c r="F41" s="4" t="inlineStr">
        <is>
          <t>赵超伟</t>
        </is>
      </c>
    </row>
    <row r="42">
      <c r="A42" s="14" t="n">
        <v>45589</v>
      </c>
      <c r="B42" s="4" t="inlineStr">
        <is>
          <t>2024-10</t>
        </is>
      </c>
      <c r="C42" s="4" t="inlineStr">
        <is>
          <t>冲减计提余杭供应链管理有限公司经销商返点实现7958</t>
        </is>
      </c>
      <c r="D42" s="15" t="n">
        <v>7958.79</v>
      </c>
      <c r="E42" s="4" t="inlineStr">
        <is>
          <t>江苏区域</t>
        </is>
      </c>
      <c r="F42" s="4" t="inlineStr">
        <is>
          <t>何明秀</t>
        </is>
      </c>
    </row>
    <row r="43">
      <c r="A43" s="14" t="n">
        <v>45597</v>
      </c>
      <c r="B43" s="4" t="inlineStr">
        <is>
          <t>2024-11</t>
        </is>
      </c>
      <c r="C43" s="4" t="inlineStr">
        <is>
          <t>姑苏食品有限公司经销商返点实现6013</t>
        </is>
      </c>
      <c r="D43" s="15" t="n">
        <v>-6013.27</v>
      </c>
      <c r="E43" s="4" t="inlineStr">
        <is>
          <t>浙江区域</t>
        </is>
      </c>
      <c r="F43" s="4" t="inlineStr">
        <is>
          <t>高伟英</t>
        </is>
      </c>
    </row>
    <row r="44">
      <c r="A44" s="14" t="n">
        <v>45599</v>
      </c>
      <c r="B44" s="4" t="inlineStr">
        <is>
          <t>2024-11</t>
        </is>
      </c>
      <c r="C44" s="4" t="inlineStr">
        <is>
          <t>余杭市优鲜食品商行经销商返点实现12843</t>
        </is>
      </c>
      <c r="D44" s="15" t="n">
        <v>-12843.6</v>
      </c>
      <c r="E44" s="4" t="inlineStr">
        <is>
          <t>江苏区域</t>
        </is>
      </c>
      <c r="F44" s="4" t="inlineStr">
        <is>
          <t>朱勇秀</t>
        </is>
      </c>
    </row>
    <row r="45">
      <c r="A45" s="14" t="n">
        <v>45617</v>
      </c>
      <c r="B45" s="4" t="inlineStr">
        <is>
          <t>2024-11</t>
        </is>
      </c>
      <c r="C45" s="4" t="inlineStr">
        <is>
          <t>海宁实业有限公司经销商返点实现2171</t>
        </is>
      </c>
      <c r="D45" s="15" t="n">
        <v>-2171.9</v>
      </c>
      <c r="E45" s="4" t="inlineStr">
        <is>
          <t>广东区域</t>
        </is>
      </c>
      <c r="F45" s="4" t="inlineStr">
        <is>
          <t>杨丽秀</t>
        </is>
      </c>
    </row>
    <row r="46">
      <c r="A46" s="14" t="n">
        <v>45623</v>
      </c>
      <c r="B46" s="4" t="inlineStr">
        <is>
          <t>2024-11</t>
        </is>
      </c>
      <c r="C46" s="4" t="inlineStr">
        <is>
          <t>钟楼市大匠食品商行经销商返点实现3774</t>
        </is>
      </c>
      <c r="D46" s="15" t="n">
        <v>-3774.08</v>
      </c>
      <c r="E46" s="4" t="inlineStr">
        <is>
          <t>华中区域</t>
        </is>
      </c>
      <c r="F46" s="4" t="inlineStr">
        <is>
          <t>黄娜秀</t>
        </is>
      </c>
    </row>
    <row r="47">
      <c r="A47" s="14" t="n">
        <v>45627</v>
      </c>
      <c r="B47" s="4" t="inlineStr">
        <is>
          <t>2024-12</t>
        </is>
      </c>
      <c r="C47" s="4" t="inlineStr">
        <is>
          <t>钟楼商贸有限公司经销商返点实现9373</t>
        </is>
      </c>
      <c r="D47" s="15" t="n">
        <v>-9373.59</v>
      </c>
      <c r="E47" s="4" t="inlineStr">
        <is>
          <t>华中区域</t>
        </is>
      </c>
      <c r="F47" s="4" t="inlineStr">
        <is>
          <t>高强芳</t>
        </is>
      </c>
    </row>
    <row r="48">
      <c r="A48" s="14" t="n">
        <v>45637</v>
      </c>
      <c r="B48" s="4" t="inlineStr">
        <is>
          <t>2024-12</t>
        </is>
      </c>
      <c r="C48" s="4" t="inlineStr">
        <is>
          <t>衢州食品有限公司经销商返点实现8329</t>
        </is>
      </c>
      <c r="D48" s="15" t="n">
        <v>-8329.209999999999</v>
      </c>
      <c r="E48" s="4" t="inlineStr">
        <is>
          <t>华中区域</t>
        </is>
      </c>
      <c r="F48" s="4" t="inlineStr">
        <is>
          <t>朱静英</t>
        </is>
      </c>
    </row>
    <row r="49">
      <c r="A49" s="14" t="n">
        <v>45640</v>
      </c>
      <c r="B49" s="4" t="inlineStr">
        <is>
          <t>2024-12</t>
        </is>
      </c>
      <c r="C49" s="4" t="inlineStr">
        <is>
          <t>海宁商贸有限公司经销商返点实现13871</t>
        </is>
      </c>
      <c r="D49" s="15" t="n">
        <v>-13871.45</v>
      </c>
      <c r="E49" s="4" t="inlineStr">
        <is>
          <t>江苏区域</t>
        </is>
      </c>
      <c r="F49" s="4" t="inlineStr">
        <is>
          <t>朱艳英</t>
        </is>
      </c>
    </row>
    <row r="50">
      <c r="A50" s="14" t="n">
        <v>45645</v>
      </c>
      <c r="B50" s="4" t="inlineStr">
        <is>
          <t>2024-12</t>
        </is>
      </c>
      <c r="C50" s="4" t="inlineStr">
        <is>
          <t>冲减计提吴中区京功冷冻食品批发部经销商返点实现13578</t>
        </is>
      </c>
      <c r="D50" s="15" t="n">
        <v>13578.48</v>
      </c>
      <c r="E50" s="4" t="inlineStr">
        <is>
          <t>浙江区域</t>
        </is>
      </c>
      <c r="F50" s="4" t="inlineStr">
        <is>
          <t>刘秀芳</t>
        </is>
      </c>
    </row>
    <row r="51">
      <c r="A51" s="14" t="n">
        <v>45654</v>
      </c>
      <c r="B51" s="4" t="inlineStr">
        <is>
          <t>2024-12</t>
        </is>
      </c>
      <c r="C51" s="4" t="inlineStr">
        <is>
          <t>吴中市食佳食品商行经销商返点实现7407</t>
        </is>
      </c>
      <c r="D51" s="15" t="n">
        <v>-7407.19</v>
      </c>
      <c r="E51" s="4" t="inlineStr">
        <is>
          <t>华中区域</t>
        </is>
      </c>
      <c r="F51" s="4" t="inlineStr">
        <is>
          <t>李静英</t>
        </is>
      </c>
    </row>
    <row r="52">
      <c r="C52" s="6" t="inlineStr">
        <is>
          <t>合计</t>
        </is>
      </c>
      <c r="D52" s="16" t="n">
        <v>-231825.61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22" customWidth="1" min="5" max="5"/>
    <col width="6" customWidth="1" min="6" max="6"/>
    <col width="16" customWidth="1" min="7" max="7"/>
    <col width="16" customWidth="1" min="8" max="8"/>
  </cols>
  <sheetData>
    <row r="1">
      <c r="A1" s="1" t="inlineStr">
        <is>
          <t>苏州精密机械制造有限公司资产负债表</t>
        </is>
      </c>
    </row>
    <row r="2">
      <c r="A2" s="17" t="inlineStr">
        <is>
          <t>编制日期：2025年12月31日</t>
        </is>
      </c>
      <c r="H2" t="inlineStr">
        <is>
          <t>单位：元</t>
        </is>
      </c>
    </row>
    <row r="3">
      <c r="A3" s="2" t="inlineStr">
        <is>
          <t>资产</t>
        </is>
      </c>
      <c r="B3" s="2" t="inlineStr">
        <is>
          <t>行次</t>
        </is>
      </c>
      <c r="C3" s="2" t="inlineStr">
        <is>
          <t>期末余额</t>
        </is>
      </c>
      <c r="D3" s="2" t="inlineStr">
        <is>
          <t>年初余额</t>
        </is>
      </c>
      <c r="E3" s="2" t="inlineStr">
        <is>
          <t>负债和所有者权益</t>
        </is>
      </c>
      <c r="F3" s="2" t="inlineStr">
        <is>
          <t>行次</t>
        </is>
      </c>
      <c r="G3" s="2" t="inlineStr">
        <is>
          <t>期末余额</t>
        </is>
      </c>
      <c r="H3" s="2" t="inlineStr">
        <is>
          <t>年初余额</t>
        </is>
      </c>
    </row>
    <row r="4">
      <c r="A4" s="6" t="inlineStr">
        <is>
          <t>流动资产：</t>
        </is>
      </c>
      <c r="E4" s="6" t="inlineStr">
        <is>
          <t>流动负债：</t>
        </is>
      </c>
    </row>
    <row r="5">
      <c r="A5" s="4" t="inlineStr">
        <is>
          <t>货币资金</t>
        </is>
      </c>
      <c r="B5" s="3" t="n">
        <v>1</v>
      </c>
      <c r="C5" s="15" t="n">
        <v>6509296.64</v>
      </c>
      <c r="D5" s="15" t="n">
        <v>1748833.96</v>
      </c>
      <c r="E5" s="4" t="inlineStr">
        <is>
          <t>短期借款</t>
        </is>
      </c>
      <c r="F5" s="3" t="n">
        <v>21</v>
      </c>
      <c r="G5" s="15" t="n">
        <v>949635.13</v>
      </c>
      <c r="H5" s="15" t="n">
        <v>2559955.99</v>
      </c>
    </row>
    <row r="6">
      <c r="A6" s="4" t="inlineStr">
        <is>
          <t>交易性金融资产</t>
        </is>
      </c>
      <c r="B6" s="3" t="n">
        <v>2</v>
      </c>
      <c r="C6" s="15" t="n">
        <v>5284168.58</v>
      </c>
      <c r="D6" s="15" t="n">
        <v>5114768.52</v>
      </c>
      <c r="E6" s="4" t="inlineStr">
        <is>
          <t>应付票据</t>
        </is>
      </c>
      <c r="F6" s="3" t="n">
        <v>22</v>
      </c>
      <c r="G6" s="15" t="n">
        <v>3481402.55</v>
      </c>
      <c r="H6" s="15" t="n">
        <v>1792034.53</v>
      </c>
    </row>
    <row r="7">
      <c r="A7" s="4" t="inlineStr">
        <is>
          <t>应收票据</t>
        </is>
      </c>
      <c r="B7" s="3" t="n">
        <v>3</v>
      </c>
      <c r="C7" s="15" t="n">
        <v>4744161.27</v>
      </c>
      <c r="D7" s="15" t="n">
        <v>5018752.97</v>
      </c>
      <c r="E7" s="4" t="inlineStr">
        <is>
          <t>应付账款</t>
        </is>
      </c>
      <c r="F7" s="3" t="n">
        <v>23</v>
      </c>
      <c r="G7" s="15" t="n">
        <v>5298932.48</v>
      </c>
      <c r="H7" s="15" t="n">
        <v>4089755.8</v>
      </c>
    </row>
    <row r="8">
      <c r="A8" s="4" t="inlineStr">
        <is>
          <t>应收账款</t>
        </is>
      </c>
      <c r="B8" s="3" t="n">
        <v>4</v>
      </c>
      <c r="C8" s="15" t="n">
        <v>8530861</v>
      </c>
      <c r="D8" s="15" t="n">
        <v>6318682.01</v>
      </c>
      <c r="E8" s="4" t="inlineStr">
        <is>
          <t>预收款项</t>
        </is>
      </c>
      <c r="F8" s="3" t="n">
        <v>24</v>
      </c>
      <c r="G8" s="15" t="n">
        <v>4959133.65</v>
      </c>
      <c r="H8" s="15" t="n">
        <v>3520787.8</v>
      </c>
    </row>
    <row r="9">
      <c r="A9" s="4" t="inlineStr">
        <is>
          <t>预付款项</t>
        </is>
      </c>
      <c r="B9" s="3" t="n">
        <v>5</v>
      </c>
      <c r="C9" s="15" t="n">
        <v>8485678.75</v>
      </c>
      <c r="D9" s="15" t="n">
        <v>1803286.66</v>
      </c>
      <c r="E9" s="4" t="inlineStr">
        <is>
          <t>合同负债</t>
        </is>
      </c>
      <c r="F9" s="3" t="n">
        <v>25</v>
      </c>
      <c r="G9" s="15" t="n">
        <v>2822415.97</v>
      </c>
      <c r="H9" s="15" t="n">
        <v>2124770.45</v>
      </c>
    </row>
    <row r="10">
      <c r="A10" s="4" t="inlineStr">
        <is>
          <t>其他应收款</t>
        </is>
      </c>
      <c r="B10" s="3" t="n">
        <v>6</v>
      </c>
      <c r="C10" s="15" t="n">
        <v>6094928.52</v>
      </c>
      <c r="D10" s="15" t="n">
        <v>2566685.77</v>
      </c>
      <c r="E10" s="4" t="inlineStr">
        <is>
          <t>应付职工薪酬</t>
        </is>
      </c>
      <c r="F10" s="3" t="n">
        <v>26</v>
      </c>
      <c r="G10" s="15" t="n">
        <v>4599843.08</v>
      </c>
      <c r="H10" s="15" t="n">
        <v>3182010.62</v>
      </c>
    </row>
    <row r="11">
      <c r="A11" s="4" t="inlineStr">
        <is>
          <t>存货</t>
        </is>
      </c>
      <c r="B11" s="3" t="n">
        <v>7</v>
      </c>
      <c r="C11" s="15" t="n">
        <v>1084155.69</v>
      </c>
      <c r="D11" s="15" t="n">
        <v>1978472.51</v>
      </c>
      <c r="E11" s="4" t="inlineStr">
        <is>
          <t>应交税费</t>
        </is>
      </c>
      <c r="F11" s="3" t="n">
        <v>27</v>
      </c>
      <c r="G11" s="15" t="n">
        <v>2787462.36</v>
      </c>
      <c r="H11" s="15" t="n">
        <v>3020423.91</v>
      </c>
    </row>
    <row r="12">
      <c r="A12" s="4" t="inlineStr">
        <is>
          <t>其中：原材料</t>
        </is>
      </c>
      <c r="C12" s="15" t="n">
        <v>194086.84</v>
      </c>
      <c r="D12" s="15" t="n">
        <v>491487.56</v>
      </c>
      <c r="E12" s="4" t="inlineStr">
        <is>
          <t>其他应付款</t>
        </is>
      </c>
      <c r="F12" s="3" t="n">
        <v>28</v>
      </c>
      <c r="G12" s="15" t="n">
        <v>3942799.08</v>
      </c>
      <c r="H12" s="15" t="n">
        <v>2779248.58</v>
      </c>
    </row>
    <row r="13">
      <c r="A13" s="4" t="inlineStr">
        <is>
          <t>在制品</t>
        </is>
      </c>
      <c r="C13" s="15" t="n">
        <v>481333.88</v>
      </c>
      <c r="D13" s="15" t="n">
        <v>378429.27</v>
      </c>
      <c r="E13" s="4" t="inlineStr">
        <is>
          <t>一年内到期的非流动负债</t>
        </is>
      </c>
      <c r="F13" s="3" t="n">
        <v>29</v>
      </c>
      <c r="G13" s="15" t="n">
        <v>1083573.14</v>
      </c>
      <c r="H13" s="15" t="n">
        <v>1160749.1</v>
      </c>
    </row>
    <row r="14">
      <c r="A14" s="4" t="inlineStr">
        <is>
          <t>库存商品</t>
        </is>
      </c>
      <c r="C14" s="15" t="n">
        <v>308958.28</v>
      </c>
      <c r="D14" s="15" t="n">
        <v>323255.06</v>
      </c>
      <c r="E14" s="4" t="inlineStr">
        <is>
          <t>其他流动负债</t>
        </is>
      </c>
      <c r="F14" s="3" t="n">
        <v>30</v>
      </c>
      <c r="G14" s="15" t="n">
        <v>4410429.26</v>
      </c>
      <c r="H14" s="15" t="n">
        <v>6306082.2</v>
      </c>
    </row>
    <row r="15">
      <c r="A15" s="4" t="inlineStr">
        <is>
          <t>合同资产</t>
        </is>
      </c>
      <c r="B15" s="3" t="n">
        <v>8</v>
      </c>
      <c r="C15" s="15" t="n">
        <v>1876208.34</v>
      </c>
      <c r="D15" s="15" t="n">
        <v>5135661.43</v>
      </c>
      <c r="E15" s="6" t="inlineStr">
        <is>
          <t>流动负债合计</t>
        </is>
      </c>
      <c r="F15" s="3" t="n">
        <v>31</v>
      </c>
      <c r="G15" s="16" t="n">
        <v>34335626.7</v>
      </c>
      <c r="H15" s="16" t="n">
        <v>30535818.98</v>
      </c>
    </row>
    <row r="16">
      <c r="A16" s="4" t="inlineStr">
        <is>
          <t>一年内到期的非流动资产</t>
        </is>
      </c>
      <c r="B16" s="3" t="n">
        <v>9</v>
      </c>
      <c r="C16" s="15" t="n">
        <v>1442665.86</v>
      </c>
      <c r="D16" s="15" t="n">
        <v>7236936.5</v>
      </c>
      <c r="E16" s="6" t="inlineStr">
        <is>
          <t>非流动负债：</t>
        </is>
      </c>
    </row>
    <row r="17">
      <c r="A17" s="4" t="inlineStr">
        <is>
          <t>其他流动资产</t>
        </is>
      </c>
      <c r="B17" s="3" t="n">
        <v>10</v>
      </c>
      <c r="C17" s="15" t="n">
        <v>1888463.79</v>
      </c>
      <c r="D17" s="15" t="n">
        <v>7157674.22</v>
      </c>
      <c r="E17" s="4" t="inlineStr">
        <is>
          <t>长期借款</t>
        </is>
      </c>
      <c r="F17" s="3" t="n">
        <v>32</v>
      </c>
      <c r="G17" s="15" t="n">
        <v>3153647.32</v>
      </c>
      <c r="H17" s="15" t="n">
        <v>4545074.3</v>
      </c>
    </row>
    <row r="18">
      <c r="A18" s="6" t="inlineStr">
        <is>
          <t>流动资产合计</t>
        </is>
      </c>
      <c r="B18" s="3" t="n">
        <v>11</v>
      </c>
      <c r="C18" s="16" t="n">
        <v>45940588.44</v>
      </c>
      <c r="D18" s="16" t="n">
        <v>44079754.55</v>
      </c>
      <c r="E18" s="4" t="inlineStr">
        <is>
          <t>长期应付款</t>
        </is>
      </c>
      <c r="F18" s="3" t="n">
        <v>33</v>
      </c>
      <c r="G18" s="15" t="n">
        <v>1638099.48</v>
      </c>
      <c r="H18" s="15" t="n">
        <v>3772109.69</v>
      </c>
    </row>
    <row r="19">
      <c r="A19" s="6" t="inlineStr">
        <is>
          <t>非流动资产：</t>
        </is>
      </c>
      <c r="E19" s="4" t="inlineStr">
        <is>
          <t>递延收益</t>
        </is>
      </c>
      <c r="F19" s="3" t="n">
        <v>34</v>
      </c>
      <c r="G19" s="15" t="n">
        <v>3719968.83</v>
      </c>
      <c r="H19" s="15" t="n">
        <v>2427194.93</v>
      </c>
    </row>
    <row r="20">
      <c r="A20" s="4" t="inlineStr">
        <is>
          <t>长期股权投资</t>
        </is>
      </c>
      <c r="B20" s="3" t="n">
        <v>12</v>
      </c>
      <c r="C20" s="15" t="n">
        <v>4430248.17</v>
      </c>
      <c r="D20" s="15" t="n">
        <v>3273766.04</v>
      </c>
      <c r="E20" s="4" t="inlineStr">
        <is>
          <t>递延所得税负债</t>
        </is>
      </c>
      <c r="F20" s="3" t="n">
        <v>35</v>
      </c>
      <c r="G20" s="15" t="n">
        <v>6203552.96</v>
      </c>
      <c r="H20" s="15" t="n">
        <v>2342400.64</v>
      </c>
    </row>
    <row r="21">
      <c r="A21" s="4" t="inlineStr">
        <is>
          <t>固定资产</t>
        </is>
      </c>
      <c r="B21" s="3" t="n">
        <v>13</v>
      </c>
      <c r="C21" s="15" t="n">
        <v>6209210.65</v>
      </c>
      <c r="D21" s="15" t="n">
        <v>5310928.98</v>
      </c>
      <c r="E21" s="6" t="inlineStr">
        <is>
          <t>非流动负债合计</t>
        </is>
      </c>
      <c r="F21" s="3" t="n">
        <v>36</v>
      </c>
      <c r="G21" s="16" t="n">
        <v>14715268.59</v>
      </c>
      <c r="H21" s="16" t="n">
        <v>13086779.56</v>
      </c>
    </row>
    <row r="22">
      <c r="A22" s="4" t="inlineStr">
        <is>
          <t>在建工程</t>
        </is>
      </c>
      <c r="B22" s="3" t="n">
        <v>14</v>
      </c>
      <c r="C22" s="15" t="n">
        <v>5582900.54</v>
      </c>
      <c r="D22" s="15" t="n">
        <v>5162315.38</v>
      </c>
      <c r="E22" s="6" t="inlineStr">
        <is>
          <t>负债合计</t>
        </is>
      </c>
      <c r="F22" s="3" t="n">
        <v>37</v>
      </c>
      <c r="G22" s="16" t="n">
        <v>49050895.3</v>
      </c>
      <c r="H22" s="16" t="n">
        <v>43622598.54</v>
      </c>
    </row>
    <row r="23">
      <c r="A23" s="4" t="inlineStr">
        <is>
          <t>无形资产</t>
        </is>
      </c>
      <c r="B23" s="3" t="n">
        <v>15</v>
      </c>
      <c r="C23" s="15" t="n">
        <v>4495698.75</v>
      </c>
      <c r="D23" s="15" t="n">
        <v>5192344.14</v>
      </c>
      <c r="E23" s="6" t="inlineStr">
        <is>
          <t>所有者权益：</t>
        </is>
      </c>
    </row>
    <row r="24">
      <c r="A24" s="4" t="inlineStr">
        <is>
          <t>长期待摊费用</t>
        </is>
      </c>
      <c r="B24" s="3" t="n">
        <v>16</v>
      </c>
      <c r="C24" s="15" t="n">
        <v>3979593.57</v>
      </c>
      <c r="D24" s="15" t="n">
        <v>4666164.48</v>
      </c>
      <c r="E24" s="4" t="inlineStr">
        <is>
          <t>实收资本</t>
        </is>
      </c>
      <c r="F24" s="3" t="n">
        <v>38</v>
      </c>
      <c r="G24" s="15" t="n">
        <v>7936464.75</v>
      </c>
      <c r="H24" s="15" t="n">
        <v>3671233.74</v>
      </c>
    </row>
    <row r="25">
      <c r="A25" s="4" t="inlineStr">
        <is>
          <t>递延所得税资产</t>
        </is>
      </c>
      <c r="B25" s="3" t="n">
        <v>17</v>
      </c>
      <c r="C25" s="15" t="n">
        <v>4546678.41</v>
      </c>
      <c r="D25" s="15" t="n">
        <v>954007.42</v>
      </c>
      <c r="E25" s="4" t="inlineStr">
        <is>
          <t>资本公积</t>
        </is>
      </c>
      <c r="F25" s="3" t="n">
        <v>39</v>
      </c>
      <c r="G25" s="15" t="n">
        <v>6897869.13</v>
      </c>
      <c r="H25" s="15" t="n">
        <v>11191717.92</v>
      </c>
    </row>
    <row r="26">
      <c r="A26" s="4" t="inlineStr">
        <is>
          <t>其他非流动资产</t>
        </is>
      </c>
      <c r="B26" s="3" t="n">
        <v>18</v>
      </c>
      <c r="C26" s="15" t="n">
        <v>1382728.86</v>
      </c>
      <c r="D26" s="15" t="n">
        <v>4826976.6</v>
      </c>
      <c r="E26" s="4" t="inlineStr">
        <is>
          <t>盈余公积</t>
        </is>
      </c>
      <c r="F26" s="3" t="n">
        <v>40</v>
      </c>
      <c r="G26" s="15" t="n">
        <v>7467615.83</v>
      </c>
      <c r="H26" s="15" t="n">
        <v>5295821.19</v>
      </c>
    </row>
    <row r="27">
      <c r="A27" s="6" t="inlineStr">
        <is>
          <t>非流动资产合计</t>
        </is>
      </c>
      <c r="B27" s="3" t="n">
        <v>19</v>
      </c>
      <c r="C27" s="16" t="n">
        <v>30627058.95</v>
      </c>
      <c r="D27" s="16" t="n">
        <v>29386503.04</v>
      </c>
      <c r="E27" s="4" t="inlineStr">
        <is>
          <t>未分配利润</t>
        </is>
      </c>
      <c r="F27" s="3" t="n">
        <v>41</v>
      </c>
      <c r="G27" s="15" t="n">
        <v>5214802.39</v>
      </c>
      <c r="H27" s="15" t="n">
        <v>9684886.220000001</v>
      </c>
    </row>
    <row r="28">
      <c r="A28" s="6" t="inlineStr">
        <is>
          <t>资产总计</t>
        </is>
      </c>
      <c r="B28" s="3" t="n">
        <v>20</v>
      </c>
      <c r="C28" s="16" t="n">
        <v>76567647.39</v>
      </c>
      <c r="D28" s="16" t="n">
        <v>73466257.59999999</v>
      </c>
      <c r="E28" s="6" t="inlineStr">
        <is>
          <t>所有者权益合计</t>
        </is>
      </c>
      <c r="F28" s="3" t="n">
        <v>42</v>
      </c>
      <c r="G28" s="16" t="n">
        <v>27516752.1</v>
      </c>
      <c r="H28" s="16" t="n">
        <v>29843659.06</v>
      </c>
    </row>
    <row r="29">
      <c r="E29" s="6" t="inlineStr">
        <is>
          <t>负债和所有者权益总计</t>
        </is>
      </c>
      <c r="F29" s="3" t="n">
        <v>43</v>
      </c>
      <c r="G29" s="16" t="n">
        <v>76567647.39</v>
      </c>
      <c r="H29" s="16" t="n">
        <v>73466257.59999999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0" customWidth="1" min="5" max="5"/>
    <col width="8" customWidth="1" min="6" max="6"/>
    <col width="10" customWidth="1" min="7" max="7"/>
    <col width="14" customWidth="1" min="8" max="8"/>
    <col width="12" customWidth="1" min="9" max="9"/>
    <col width="10" customWidth="1" min="10" max="10"/>
  </cols>
  <sheetData>
    <row r="1">
      <c r="A1" s="1" t="inlineStr">
        <is>
          <t>苏州精密机械制造有限公司2025年销售明细表</t>
        </is>
      </c>
    </row>
    <row r="2">
      <c r="A2" s="2" t="inlineStr">
        <is>
          <t>日期</t>
        </is>
      </c>
      <c r="B2" s="2" t="inlineStr">
        <is>
          <t>订单号</t>
        </is>
      </c>
      <c r="C2" s="2" t="inlineStr">
        <is>
          <t>客户名称</t>
        </is>
      </c>
      <c r="D2" s="2" t="inlineStr">
        <is>
          <t>产品</t>
        </is>
      </c>
      <c r="E2" s="2" t="inlineStr">
        <is>
          <t>规格型号</t>
        </is>
      </c>
      <c r="F2" s="2" t="inlineStr">
        <is>
          <t>数量</t>
        </is>
      </c>
      <c r="G2" s="2" t="inlineStr">
        <is>
          <t>单价(元)</t>
        </is>
      </c>
      <c r="H2" s="2" t="inlineStr">
        <is>
          <t>金额(元)</t>
        </is>
      </c>
      <c r="I2" s="2" t="inlineStr">
        <is>
          <t>区域</t>
        </is>
      </c>
      <c r="J2" s="2" t="inlineStr">
        <is>
          <t>业务员</t>
        </is>
      </c>
    </row>
    <row r="3">
      <c r="A3" s="14" t="n">
        <v>45658</v>
      </c>
      <c r="B3" s="4" t="inlineStr">
        <is>
          <t>SO202510137</t>
        </is>
      </c>
      <c r="C3" s="4" t="inlineStr">
        <is>
          <t>合肥淼沃酒店管理集团</t>
        </is>
      </c>
      <c r="D3" s="4" t="inlineStr">
        <is>
          <t>模具</t>
        </is>
      </c>
      <c r="E3" s="4" t="inlineStr">
        <is>
          <t>1kg</t>
        </is>
      </c>
      <c r="F3" s="18" t="n">
        <v>1010</v>
      </c>
      <c r="G3" s="15" t="n">
        <v>87.15000000000001</v>
      </c>
      <c r="H3" s="15" t="n">
        <v>88021.5</v>
      </c>
      <c r="I3" s="4" t="inlineStr">
        <is>
          <t>浙江区域</t>
        </is>
      </c>
      <c r="J3" s="4" t="inlineStr">
        <is>
          <t>李英敏</t>
        </is>
      </c>
    </row>
    <row r="4">
      <c r="A4" s="14" t="n">
        <v>45658</v>
      </c>
      <c r="B4" s="4" t="inlineStr">
        <is>
          <t>SO202510162</t>
        </is>
      </c>
      <c r="C4" s="4" t="inlineStr">
        <is>
          <t>杭州食佳餐饮管理有限公司</t>
        </is>
      </c>
      <c r="D4" s="4" t="inlineStr">
        <is>
          <t>模具</t>
        </is>
      </c>
      <c r="E4" s="4" t="inlineStr">
        <is>
          <t>2.5kg</t>
        </is>
      </c>
      <c r="F4" s="18" t="n">
        <v>920</v>
      </c>
      <c r="G4" s="15" t="n">
        <v>210.58</v>
      </c>
      <c r="H4" s="15" t="n">
        <v>193733.6</v>
      </c>
      <c r="I4" s="4" t="inlineStr">
        <is>
          <t>江苏区域</t>
        </is>
      </c>
      <c r="J4" s="4" t="inlineStr">
        <is>
          <t>马英秀</t>
        </is>
      </c>
    </row>
    <row r="5">
      <c r="A5" s="14" t="n">
        <v>45658</v>
      </c>
      <c r="B5" s="4" t="inlineStr">
        <is>
          <t>SO202510178</t>
        </is>
      </c>
      <c r="C5" s="4" t="inlineStr">
        <is>
          <t>苏州食佳酒店管理集团</t>
        </is>
      </c>
      <c r="D5" s="4" t="inlineStr">
        <is>
          <t>液压件</t>
        </is>
      </c>
      <c r="E5" s="4" t="inlineStr">
        <is>
          <t>简装</t>
        </is>
      </c>
      <c r="F5" s="18" t="n">
        <v>1010</v>
      </c>
      <c r="G5" s="15" t="n">
        <v>260.71</v>
      </c>
      <c r="H5" s="15" t="n">
        <v>263317.1</v>
      </c>
      <c r="I5" s="4" t="inlineStr">
        <is>
          <t>华中区域</t>
        </is>
      </c>
      <c r="J5" s="4" t="inlineStr">
        <is>
          <t>朱芳娜</t>
        </is>
      </c>
    </row>
    <row r="6">
      <c r="A6" s="14" t="n">
        <v>45659</v>
      </c>
      <c r="B6" s="4" t="inlineStr">
        <is>
          <t>SO202510075</t>
        </is>
      </c>
      <c r="C6" s="4" t="inlineStr">
        <is>
          <t>苏州优鲜超市</t>
        </is>
      </c>
      <c r="D6" s="4" t="inlineStr">
        <is>
          <t>液压件</t>
        </is>
      </c>
      <c r="E6" s="4" t="inlineStr">
        <is>
          <t>精装</t>
        </is>
      </c>
      <c r="F6" s="18" t="n">
        <v>3160</v>
      </c>
      <c r="G6" s="15" t="n">
        <v>14.41</v>
      </c>
      <c r="H6" s="15" t="n">
        <v>45535.6</v>
      </c>
      <c r="I6" s="4" t="inlineStr">
        <is>
          <t>华中区域</t>
        </is>
      </c>
      <c r="J6" s="4" t="inlineStr">
        <is>
          <t>吴娜娜</t>
        </is>
      </c>
    </row>
    <row r="7">
      <c r="A7" s="14" t="n">
        <v>45660</v>
      </c>
      <c r="B7" s="4" t="inlineStr">
        <is>
          <t>SO202510294</t>
        </is>
      </c>
      <c r="C7" s="4" t="inlineStr">
        <is>
          <t>苏州淼沃商贸有限公司</t>
        </is>
      </c>
      <c r="D7" s="4" t="inlineStr">
        <is>
          <t>气动元件</t>
        </is>
      </c>
      <c r="E7" s="4" t="inlineStr">
        <is>
          <t>5kg</t>
        </is>
      </c>
      <c r="F7" s="18" t="n">
        <v>70</v>
      </c>
      <c r="G7" s="15" t="n">
        <v>143.55</v>
      </c>
      <c r="H7" s="15" t="n">
        <v>10048.5</v>
      </c>
      <c r="I7" s="4" t="inlineStr">
        <is>
          <t>广东区域</t>
        </is>
      </c>
      <c r="J7" s="4" t="inlineStr">
        <is>
          <t>罗磊敏</t>
        </is>
      </c>
    </row>
    <row r="8">
      <c r="A8" s="14" t="n">
        <v>45661</v>
      </c>
      <c r="B8" s="4" t="inlineStr">
        <is>
          <t>SO202510291</t>
        </is>
      </c>
      <c r="C8" s="4" t="inlineStr">
        <is>
          <t>镇江京功电商平台</t>
        </is>
      </c>
      <c r="D8" s="4" t="inlineStr">
        <is>
          <t>气动元件</t>
        </is>
      </c>
      <c r="E8" s="4" t="inlineStr">
        <is>
          <t>标准</t>
        </is>
      </c>
      <c r="F8" s="18" t="n">
        <v>4960</v>
      </c>
      <c r="G8" s="15" t="n">
        <v>279.59</v>
      </c>
      <c r="H8" s="15" t="n">
        <v>1386766.4</v>
      </c>
      <c r="I8" s="4" t="inlineStr">
        <is>
          <t>华中区域</t>
        </is>
      </c>
      <c r="J8" s="4" t="inlineStr">
        <is>
          <t>胡静娜</t>
        </is>
      </c>
    </row>
    <row r="9">
      <c r="A9" s="14" t="n">
        <v>45662</v>
      </c>
      <c r="B9" s="4" t="inlineStr">
        <is>
          <t>SO202510051</t>
        </is>
      </c>
      <c r="C9" s="4" t="inlineStr">
        <is>
          <t>南京百味超市</t>
        </is>
      </c>
      <c r="D9" s="4" t="inlineStr">
        <is>
          <t>精密轴承</t>
        </is>
      </c>
      <c r="E9" s="4" t="inlineStr">
        <is>
          <t>C级</t>
        </is>
      </c>
      <c r="F9" s="18" t="n">
        <v>4600</v>
      </c>
      <c r="G9" s="15" t="n">
        <v>286.52</v>
      </c>
      <c r="H9" s="15" t="n">
        <v>1317992</v>
      </c>
      <c r="I9" s="4" t="inlineStr">
        <is>
          <t>广东区域</t>
        </is>
      </c>
      <c r="J9" s="4" t="inlineStr">
        <is>
          <t>胡娟伟</t>
        </is>
      </c>
    </row>
    <row r="10">
      <c r="A10" s="14" t="n">
        <v>45662</v>
      </c>
      <c r="B10" s="4" t="inlineStr">
        <is>
          <t>SO202510118</t>
        </is>
      </c>
      <c r="C10" s="4" t="inlineStr">
        <is>
          <t>南京大匠酒店管理集团</t>
        </is>
      </c>
      <c r="D10" s="4" t="inlineStr">
        <is>
          <t>工装夹具</t>
        </is>
      </c>
      <c r="E10" s="4" t="inlineStr">
        <is>
          <t>标准</t>
        </is>
      </c>
      <c r="F10" s="18" t="n">
        <v>3350</v>
      </c>
      <c r="G10" s="15" t="n">
        <v>162.22</v>
      </c>
      <c r="H10" s="15" t="n">
        <v>543437</v>
      </c>
      <c r="I10" s="4" t="inlineStr">
        <is>
          <t>浙江区域</t>
        </is>
      </c>
      <c r="J10" s="4" t="inlineStr">
        <is>
          <t>周英敏</t>
        </is>
      </c>
    </row>
    <row r="11">
      <c r="A11" s="14" t="n">
        <v>45662</v>
      </c>
      <c r="B11" s="4" t="inlineStr">
        <is>
          <t>SO202510155</t>
        </is>
      </c>
      <c r="C11" s="4" t="inlineStr">
        <is>
          <t>南昌京功超市</t>
        </is>
      </c>
      <c r="D11" s="4" t="inlineStr">
        <is>
          <t>数控机床</t>
        </is>
      </c>
      <c r="E11" s="4" t="inlineStr">
        <is>
          <t>标准</t>
        </is>
      </c>
      <c r="F11" s="18" t="n">
        <v>210</v>
      </c>
      <c r="G11" s="15" t="n">
        <v>127.74</v>
      </c>
      <c r="H11" s="15" t="n">
        <v>26825.4</v>
      </c>
      <c r="I11" s="4" t="inlineStr">
        <is>
          <t>广东区域</t>
        </is>
      </c>
      <c r="J11" s="4" t="inlineStr">
        <is>
          <t>杨杰娜</t>
        </is>
      </c>
    </row>
    <row r="12">
      <c r="A12" s="14" t="n">
        <v>45662</v>
      </c>
      <c r="B12" s="4" t="inlineStr">
        <is>
          <t>SO202510160</t>
        </is>
      </c>
      <c r="C12" s="4" t="inlineStr">
        <is>
          <t>合肥百味食品有限公司</t>
        </is>
      </c>
      <c r="D12" s="4" t="inlineStr">
        <is>
          <t>气动元件</t>
        </is>
      </c>
      <c r="E12" s="4" t="inlineStr">
        <is>
          <t>2.5kg</t>
        </is>
      </c>
      <c r="F12" s="18" t="n">
        <v>1090</v>
      </c>
      <c r="G12" s="15" t="n">
        <v>213.92</v>
      </c>
      <c r="H12" s="15" t="n">
        <v>233172.8</v>
      </c>
      <c r="I12" s="4" t="inlineStr">
        <is>
          <t>广东区域</t>
        </is>
      </c>
      <c r="J12" s="4" t="inlineStr">
        <is>
          <t>林涛英</t>
        </is>
      </c>
    </row>
    <row r="13">
      <c r="A13" s="14" t="n">
        <v>45664</v>
      </c>
      <c r="B13" s="4" t="inlineStr">
        <is>
          <t>SO202510264</t>
        </is>
      </c>
      <c r="C13" s="4" t="inlineStr">
        <is>
          <t>杭州百味食品有限公司</t>
        </is>
      </c>
      <c r="D13" s="4" t="inlineStr">
        <is>
          <t>模具</t>
        </is>
      </c>
      <c r="E13" s="4" t="inlineStr">
        <is>
          <t>A级</t>
        </is>
      </c>
      <c r="F13" s="18" t="n">
        <v>3140</v>
      </c>
      <c r="G13" s="15" t="n">
        <v>118.39</v>
      </c>
      <c r="H13" s="15" t="n">
        <v>371744.6</v>
      </c>
      <c r="I13" s="4" t="inlineStr">
        <is>
          <t>广东区域</t>
        </is>
      </c>
      <c r="J13" s="4" t="inlineStr">
        <is>
          <t>马娟伟</t>
        </is>
      </c>
    </row>
    <row r="14">
      <c r="A14" s="14" t="n">
        <v>45664</v>
      </c>
      <c r="B14" s="4" t="inlineStr">
        <is>
          <t>SO202510281</t>
        </is>
      </c>
      <c r="C14" s="4" t="inlineStr">
        <is>
          <t>宁波淼沃酒店管理集团</t>
        </is>
      </c>
      <c r="D14" s="4" t="inlineStr">
        <is>
          <t>液压件</t>
        </is>
      </c>
      <c r="E14" s="4" t="inlineStr">
        <is>
          <t>2.5kg</t>
        </is>
      </c>
      <c r="F14" s="18" t="n">
        <v>4500</v>
      </c>
      <c r="G14" s="15" t="n">
        <v>241.29</v>
      </c>
      <c r="H14" s="15" t="n">
        <v>1085805</v>
      </c>
      <c r="I14" s="4" t="inlineStr">
        <is>
          <t>广东区域</t>
        </is>
      </c>
      <c r="J14" s="4" t="inlineStr">
        <is>
          <t>徐强娜</t>
        </is>
      </c>
    </row>
    <row r="15">
      <c r="A15" s="14" t="n">
        <v>45664</v>
      </c>
      <c r="B15" s="4" t="inlineStr">
        <is>
          <t>SO202510308</t>
        </is>
      </c>
      <c r="C15" s="4" t="inlineStr">
        <is>
          <t>镇江京功供应链有限公司</t>
        </is>
      </c>
      <c r="D15" s="4" t="inlineStr">
        <is>
          <t>工装夹具</t>
        </is>
      </c>
      <c r="E15" s="4" t="inlineStr">
        <is>
          <t>500g</t>
        </is>
      </c>
      <c r="F15" s="18" t="n">
        <v>3820</v>
      </c>
      <c r="G15" s="15" t="n">
        <v>145.67</v>
      </c>
      <c r="H15" s="15" t="n">
        <v>556459.4</v>
      </c>
      <c r="I15" s="4" t="inlineStr">
        <is>
          <t>江苏区域</t>
        </is>
      </c>
      <c r="J15" s="4" t="inlineStr">
        <is>
          <t>胡芳芳</t>
        </is>
      </c>
    </row>
    <row r="16">
      <c r="A16" s="14" t="n">
        <v>45665</v>
      </c>
      <c r="B16" s="4" t="inlineStr">
        <is>
          <t>SO202510020</t>
        </is>
      </c>
      <c r="C16" s="4" t="inlineStr">
        <is>
          <t>苏州京功餐饮管理有限公司</t>
        </is>
      </c>
      <c r="D16" s="4" t="inlineStr">
        <is>
          <t>精密轴承</t>
        </is>
      </c>
      <c r="E16" s="4" t="inlineStr">
        <is>
          <t>精装</t>
        </is>
      </c>
      <c r="F16" s="18" t="n">
        <v>1780</v>
      </c>
      <c r="G16" s="15" t="n">
        <v>20.61</v>
      </c>
      <c r="H16" s="15" t="n">
        <v>36685.8</v>
      </c>
      <c r="I16" s="4" t="inlineStr">
        <is>
          <t>江苏区域</t>
        </is>
      </c>
      <c r="J16" s="4" t="inlineStr">
        <is>
          <t>陈丽芳</t>
        </is>
      </c>
    </row>
    <row r="17">
      <c r="A17" s="14" t="n">
        <v>45665</v>
      </c>
      <c r="B17" s="4" t="inlineStr">
        <is>
          <t>SO202510121</t>
        </is>
      </c>
      <c r="C17" s="4" t="inlineStr">
        <is>
          <t>上海优鲜超市</t>
        </is>
      </c>
      <c r="D17" s="4" t="inlineStr">
        <is>
          <t>精密轴承</t>
        </is>
      </c>
      <c r="E17" s="4" t="inlineStr">
        <is>
          <t>B级</t>
        </is>
      </c>
      <c r="F17" s="18" t="n">
        <v>4400</v>
      </c>
      <c r="G17" s="15" t="n">
        <v>7.92</v>
      </c>
      <c r="H17" s="15" t="n">
        <v>34848</v>
      </c>
      <c r="I17" s="4" t="inlineStr">
        <is>
          <t>华中区域</t>
        </is>
      </c>
      <c r="J17" s="4" t="inlineStr">
        <is>
          <t>李伟秀</t>
        </is>
      </c>
    </row>
    <row r="18">
      <c r="A18" s="14" t="n">
        <v>45665</v>
      </c>
      <c r="B18" s="4" t="inlineStr">
        <is>
          <t>SO202510130</t>
        </is>
      </c>
      <c r="C18" s="4" t="inlineStr">
        <is>
          <t>常州大匠食品有限公司</t>
        </is>
      </c>
      <c r="D18" s="4" t="inlineStr">
        <is>
          <t>数控机床</t>
        </is>
      </c>
      <c r="E18" s="4" t="inlineStr">
        <is>
          <t>25kg</t>
        </is>
      </c>
      <c r="F18" s="18" t="n">
        <v>2280</v>
      </c>
      <c r="G18" s="15" t="n">
        <v>88.34</v>
      </c>
      <c r="H18" s="15" t="n">
        <v>201415.2</v>
      </c>
      <c r="I18" s="4" t="inlineStr">
        <is>
          <t>江苏区域</t>
        </is>
      </c>
      <c r="J18" s="4" t="inlineStr">
        <is>
          <t>张强娜</t>
        </is>
      </c>
    </row>
    <row r="19">
      <c r="A19" s="14" t="n">
        <v>45665</v>
      </c>
      <c r="B19" s="4" t="inlineStr">
        <is>
          <t>SO202510287</t>
        </is>
      </c>
      <c r="C19" s="4" t="inlineStr">
        <is>
          <t>宁波优鲜供应链有限公司</t>
        </is>
      </c>
      <c r="D19" s="4" t="inlineStr">
        <is>
          <t>液压件</t>
        </is>
      </c>
      <c r="E19" s="4" t="inlineStr">
        <is>
          <t>A级</t>
        </is>
      </c>
      <c r="F19" s="18" t="n">
        <v>4180</v>
      </c>
      <c r="G19" s="15" t="n">
        <v>161.85</v>
      </c>
      <c r="H19" s="15" t="n">
        <v>676533</v>
      </c>
      <c r="I19" s="4" t="inlineStr">
        <is>
          <t>江苏区域</t>
        </is>
      </c>
      <c r="J19" s="4" t="inlineStr">
        <is>
          <t>杨涛秀</t>
        </is>
      </c>
    </row>
    <row r="20">
      <c r="A20" s="14" t="n">
        <v>45666</v>
      </c>
      <c r="B20" s="4" t="inlineStr">
        <is>
          <t>SO202510273</t>
        </is>
      </c>
      <c r="C20" s="4" t="inlineStr">
        <is>
          <t>南昌食佳超市</t>
        </is>
      </c>
      <c r="D20" s="4" t="inlineStr">
        <is>
          <t>工装夹具</t>
        </is>
      </c>
      <c r="E20" s="4" t="inlineStr">
        <is>
          <t>25kg</t>
        </is>
      </c>
      <c r="F20" s="18" t="n">
        <v>1210</v>
      </c>
      <c r="G20" s="15" t="n">
        <v>127.77</v>
      </c>
      <c r="H20" s="15" t="n">
        <v>154601.7</v>
      </c>
      <c r="I20" s="4" t="inlineStr">
        <is>
          <t>广东区域</t>
        </is>
      </c>
      <c r="J20" s="4" t="inlineStr">
        <is>
          <t>吴杰秀</t>
        </is>
      </c>
    </row>
    <row r="21">
      <c r="A21" s="14" t="n">
        <v>45667</v>
      </c>
      <c r="B21" s="4" t="inlineStr">
        <is>
          <t>SO202510191</t>
        </is>
      </c>
      <c r="C21" s="4" t="inlineStr">
        <is>
          <t>上海淼沃电商平台</t>
        </is>
      </c>
      <c r="D21" s="4" t="inlineStr">
        <is>
          <t>数控机床</t>
        </is>
      </c>
      <c r="E21" s="4" t="inlineStr">
        <is>
          <t>A级</t>
        </is>
      </c>
      <c r="F21" s="18" t="n">
        <v>2080</v>
      </c>
      <c r="G21" s="15" t="n">
        <v>90.63</v>
      </c>
      <c r="H21" s="15" t="n">
        <v>188510.4</v>
      </c>
      <c r="I21" s="4" t="inlineStr">
        <is>
          <t>广东区域</t>
        </is>
      </c>
      <c r="J21" s="4" t="inlineStr">
        <is>
          <t>杨娟娜</t>
        </is>
      </c>
    </row>
    <row r="22">
      <c r="A22" s="14" t="n">
        <v>45669</v>
      </c>
      <c r="B22" s="4" t="inlineStr">
        <is>
          <t>SO202510083</t>
        </is>
      </c>
      <c r="C22" s="4" t="inlineStr">
        <is>
          <t>南昌大匠电商平台</t>
        </is>
      </c>
      <c r="D22" s="4" t="inlineStr">
        <is>
          <t>液压件</t>
        </is>
      </c>
      <c r="E22" s="4" t="inlineStr">
        <is>
          <t>C级</t>
        </is>
      </c>
      <c r="F22" s="18" t="n">
        <v>2870</v>
      </c>
      <c r="G22" s="15" t="n">
        <v>195.02</v>
      </c>
      <c r="H22" s="15" t="n">
        <v>559707.4</v>
      </c>
      <c r="I22" s="4" t="inlineStr">
        <is>
          <t>江苏区域</t>
        </is>
      </c>
      <c r="J22" s="4" t="inlineStr">
        <is>
          <t>徐娟英</t>
        </is>
      </c>
    </row>
    <row r="23">
      <c r="A23" s="14" t="n">
        <v>45669</v>
      </c>
      <c r="B23" s="4" t="inlineStr">
        <is>
          <t>SO202510116</t>
        </is>
      </c>
      <c r="C23" s="4" t="inlineStr">
        <is>
          <t>常州淼沃超市</t>
        </is>
      </c>
      <c r="D23" s="4" t="inlineStr">
        <is>
          <t>数控机床</t>
        </is>
      </c>
      <c r="E23" s="4" t="inlineStr">
        <is>
          <t>C级</t>
        </is>
      </c>
      <c r="F23" s="18" t="n">
        <v>170</v>
      </c>
      <c r="G23" s="15" t="n">
        <v>157.63</v>
      </c>
      <c r="H23" s="15" t="n">
        <v>26797.1</v>
      </c>
      <c r="I23" s="4" t="inlineStr">
        <is>
          <t>浙江区域</t>
        </is>
      </c>
      <c r="J23" s="4" t="inlineStr">
        <is>
          <t>何强敏</t>
        </is>
      </c>
    </row>
    <row r="24">
      <c r="A24" s="14" t="n">
        <v>45670</v>
      </c>
      <c r="B24" s="4" t="inlineStr">
        <is>
          <t>SO202510059</t>
        </is>
      </c>
      <c r="C24" s="4" t="inlineStr">
        <is>
          <t>苏州食佳电商平台</t>
        </is>
      </c>
      <c r="D24" s="4" t="inlineStr">
        <is>
          <t>数控机床</t>
        </is>
      </c>
      <c r="E24" s="4" t="inlineStr">
        <is>
          <t>2.5kg</t>
        </is>
      </c>
      <c r="F24" s="18" t="n">
        <v>130</v>
      </c>
      <c r="G24" s="15" t="n">
        <v>84.63</v>
      </c>
      <c r="H24" s="15" t="n">
        <v>11001.9</v>
      </c>
      <c r="I24" s="4" t="inlineStr">
        <is>
          <t>浙江区域</t>
        </is>
      </c>
      <c r="J24" s="4" t="inlineStr">
        <is>
          <t>高秀伟</t>
        </is>
      </c>
    </row>
    <row r="25">
      <c r="A25" s="14" t="n">
        <v>45672</v>
      </c>
      <c r="B25" s="4" t="inlineStr">
        <is>
          <t>SO202510028</t>
        </is>
      </c>
      <c r="C25" s="4" t="inlineStr">
        <is>
          <t>南京大匠超市</t>
        </is>
      </c>
      <c r="D25" s="4" t="inlineStr">
        <is>
          <t>气动元件</t>
        </is>
      </c>
      <c r="E25" s="4" t="inlineStr">
        <is>
          <t>1kg</t>
        </is>
      </c>
      <c r="F25" s="18" t="n">
        <v>4820</v>
      </c>
      <c r="G25" s="15" t="n">
        <v>28.9</v>
      </c>
      <c r="H25" s="15" t="n">
        <v>139298</v>
      </c>
      <c r="I25" s="4" t="inlineStr">
        <is>
          <t>华中区域</t>
        </is>
      </c>
      <c r="J25" s="4" t="inlineStr">
        <is>
          <t>王洋英</t>
        </is>
      </c>
    </row>
    <row r="26">
      <c r="A26" s="14" t="n">
        <v>45672</v>
      </c>
      <c r="B26" s="4" t="inlineStr">
        <is>
          <t>SO202510175</t>
        </is>
      </c>
      <c r="C26" s="4" t="inlineStr">
        <is>
          <t>常州百味超市</t>
        </is>
      </c>
      <c r="D26" s="4" t="inlineStr">
        <is>
          <t>数控机床</t>
        </is>
      </c>
      <c r="E26" s="4" t="inlineStr">
        <is>
          <t>500g</t>
        </is>
      </c>
      <c r="F26" s="18" t="n">
        <v>4150</v>
      </c>
      <c r="G26" s="15" t="n">
        <v>211.34</v>
      </c>
      <c r="H26" s="15" t="n">
        <v>877061</v>
      </c>
      <c r="I26" s="4" t="inlineStr">
        <is>
          <t>江苏区域</t>
        </is>
      </c>
      <c r="J26" s="4" t="inlineStr">
        <is>
          <t>徐涛秀</t>
        </is>
      </c>
    </row>
    <row r="27">
      <c r="A27" s="14" t="n">
        <v>45673</v>
      </c>
      <c r="B27" s="4" t="inlineStr">
        <is>
          <t>SO202510021</t>
        </is>
      </c>
      <c r="C27" s="4" t="inlineStr">
        <is>
          <t>上海食佳超市</t>
        </is>
      </c>
      <c r="D27" s="4" t="inlineStr">
        <is>
          <t>工装夹具</t>
        </is>
      </c>
      <c r="E27" s="4" t="inlineStr">
        <is>
          <t>标准</t>
        </is>
      </c>
      <c r="F27" s="18" t="n">
        <v>460</v>
      </c>
      <c r="G27" s="15" t="n">
        <v>114.45</v>
      </c>
      <c r="H27" s="15" t="n">
        <v>52647</v>
      </c>
      <c r="I27" s="4" t="inlineStr">
        <is>
          <t>江苏区域</t>
        </is>
      </c>
      <c r="J27" s="4" t="inlineStr">
        <is>
          <t>林芳英</t>
        </is>
      </c>
    </row>
    <row r="28">
      <c r="A28" s="14" t="n">
        <v>45673</v>
      </c>
      <c r="B28" s="4" t="inlineStr">
        <is>
          <t>SO202510112</t>
        </is>
      </c>
      <c r="C28" s="4" t="inlineStr">
        <is>
          <t>杭州大匠食品有限公司</t>
        </is>
      </c>
      <c r="D28" s="4" t="inlineStr">
        <is>
          <t>工装夹具</t>
        </is>
      </c>
      <c r="E28" s="4" t="inlineStr">
        <is>
          <t>简装</t>
        </is>
      </c>
      <c r="F28" s="18" t="n">
        <v>3670</v>
      </c>
      <c r="G28" s="15" t="n">
        <v>160.1</v>
      </c>
      <c r="H28" s="15" t="n">
        <v>587567</v>
      </c>
      <c r="I28" s="4" t="inlineStr">
        <is>
          <t>广东区域</t>
        </is>
      </c>
      <c r="J28" s="4" t="inlineStr">
        <is>
          <t>胡丽敏</t>
        </is>
      </c>
    </row>
    <row r="29">
      <c r="A29" s="14" t="n">
        <v>45677</v>
      </c>
      <c r="B29" s="4" t="inlineStr">
        <is>
          <t>SO202510067</t>
        </is>
      </c>
      <c r="C29" s="4" t="inlineStr">
        <is>
          <t>镇江百味商贸有限公司</t>
        </is>
      </c>
      <c r="D29" s="4" t="inlineStr">
        <is>
          <t>精密轴承</t>
        </is>
      </c>
      <c r="E29" s="4" t="inlineStr">
        <is>
          <t>C级</t>
        </is>
      </c>
      <c r="F29" s="18" t="n">
        <v>1270</v>
      </c>
      <c r="G29" s="15" t="n">
        <v>185.47</v>
      </c>
      <c r="H29" s="15" t="n">
        <v>235546.9</v>
      </c>
      <c r="I29" s="4" t="inlineStr">
        <is>
          <t>华中区域</t>
        </is>
      </c>
      <c r="J29" s="4" t="inlineStr">
        <is>
          <t>罗磊伟</t>
        </is>
      </c>
    </row>
    <row r="30">
      <c r="A30" s="14" t="n">
        <v>45678</v>
      </c>
      <c r="B30" s="4" t="inlineStr">
        <is>
          <t>SO202510008</t>
        </is>
      </c>
      <c r="C30" s="4" t="inlineStr">
        <is>
          <t>常州大匠电商平台</t>
        </is>
      </c>
      <c r="D30" s="4" t="inlineStr">
        <is>
          <t>数控机床</t>
        </is>
      </c>
      <c r="E30" s="4" t="inlineStr">
        <is>
          <t>1kg</t>
        </is>
      </c>
      <c r="F30" s="18" t="n">
        <v>2680</v>
      </c>
      <c r="G30" s="15" t="n">
        <v>85.27</v>
      </c>
      <c r="H30" s="15" t="n">
        <v>228523.6</v>
      </c>
      <c r="I30" s="4" t="inlineStr">
        <is>
          <t>广东区域</t>
        </is>
      </c>
      <c r="J30" s="4" t="inlineStr">
        <is>
          <t>杨洋英</t>
        </is>
      </c>
    </row>
    <row r="31">
      <c r="A31" s="14" t="n">
        <v>45679</v>
      </c>
      <c r="B31" s="4" t="inlineStr">
        <is>
          <t>SO202510045</t>
        </is>
      </c>
      <c r="C31" s="4" t="inlineStr">
        <is>
          <t>南京淼沃供应链有限公司</t>
        </is>
      </c>
      <c r="D31" s="4" t="inlineStr">
        <is>
          <t>数控机床</t>
        </is>
      </c>
      <c r="E31" s="4" t="inlineStr">
        <is>
          <t>1kg</t>
        </is>
      </c>
      <c r="F31" s="18" t="n">
        <v>1760</v>
      </c>
      <c r="G31" s="15" t="n">
        <v>94.02</v>
      </c>
      <c r="H31" s="15" t="n">
        <v>165475.2</v>
      </c>
      <c r="I31" s="4" t="inlineStr">
        <is>
          <t>浙江区域</t>
        </is>
      </c>
      <c r="J31" s="4" t="inlineStr">
        <is>
          <t>王秀英</t>
        </is>
      </c>
    </row>
    <row r="32">
      <c r="A32" s="14" t="n">
        <v>45679</v>
      </c>
      <c r="B32" s="4" t="inlineStr">
        <is>
          <t>SO202510138</t>
        </is>
      </c>
      <c r="C32" s="4" t="inlineStr">
        <is>
          <t>苏州京功酒店管理集团</t>
        </is>
      </c>
      <c r="D32" s="4" t="inlineStr">
        <is>
          <t>气动元件</t>
        </is>
      </c>
      <c r="E32" s="4" t="inlineStr">
        <is>
          <t>25kg</t>
        </is>
      </c>
      <c r="F32" s="18" t="n">
        <v>1440</v>
      </c>
      <c r="G32" s="15" t="n">
        <v>121.7</v>
      </c>
      <c r="H32" s="15" t="n">
        <v>175248</v>
      </c>
      <c r="I32" s="4" t="inlineStr">
        <is>
          <t>华中区域</t>
        </is>
      </c>
      <c r="J32" s="4" t="inlineStr">
        <is>
          <t>黄秀英</t>
        </is>
      </c>
    </row>
    <row r="33">
      <c r="A33" s="14" t="n">
        <v>45679</v>
      </c>
      <c r="B33" s="4" t="inlineStr">
        <is>
          <t>SO202510188</t>
        </is>
      </c>
      <c r="C33" s="4" t="inlineStr">
        <is>
          <t>南昌食佳超市</t>
        </is>
      </c>
      <c r="D33" s="4" t="inlineStr">
        <is>
          <t>精密轴承</t>
        </is>
      </c>
      <c r="E33" s="4" t="inlineStr">
        <is>
          <t>5kg</t>
        </is>
      </c>
      <c r="F33" s="18" t="n">
        <v>3180</v>
      </c>
      <c r="G33" s="15" t="n">
        <v>271.11</v>
      </c>
      <c r="H33" s="15" t="n">
        <v>862129.8</v>
      </c>
      <c r="I33" s="4" t="inlineStr">
        <is>
          <t>华中区域</t>
        </is>
      </c>
      <c r="J33" s="4" t="inlineStr">
        <is>
          <t>罗涛娜</t>
        </is>
      </c>
    </row>
    <row r="34">
      <c r="A34" s="14" t="n">
        <v>45682</v>
      </c>
      <c r="B34" s="4" t="inlineStr">
        <is>
          <t>SO202510073</t>
        </is>
      </c>
      <c r="C34" s="4" t="inlineStr">
        <is>
          <t>杭州百味酒店管理集团</t>
        </is>
      </c>
      <c r="D34" s="4" t="inlineStr">
        <is>
          <t>数控机床</t>
        </is>
      </c>
      <c r="E34" s="4" t="inlineStr">
        <is>
          <t>2.5kg</t>
        </is>
      </c>
      <c r="F34" s="18" t="n">
        <v>2280</v>
      </c>
      <c r="G34" s="15" t="n">
        <v>149.74</v>
      </c>
      <c r="H34" s="15" t="n">
        <v>341407.2</v>
      </c>
      <c r="I34" s="4" t="inlineStr">
        <is>
          <t>浙江区域</t>
        </is>
      </c>
      <c r="J34" s="4" t="inlineStr">
        <is>
          <t>徐秀娜</t>
        </is>
      </c>
    </row>
    <row r="35">
      <c r="A35" s="14" t="n">
        <v>45683</v>
      </c>
      <c r="B35" s="4" t="inlineStr">
        <is>
          <t>SO202510136</t>
        </is>
      </c>
      <c r="C35" s="4" t="inlineStr">
        <is>
          <t>无锡京功商贸有限公司</t>
        </is>
      </c>
      <c r="D35" s="4" t="inlineStr">
        <is>
          <t>数控机床</t>
        </is>
      </c>
      <c r="E35" s="4" t="inlineStr">
        <is>
          <t>10kg</t>
        </is>
      </c>
      <c r="F35" s="18" t="n">
        <v>4500</v>
      </c>
      <c r="G35" s="15" t="n">
        <v>109.47</v>
      </c>
      <c r="H35" s="15" t="n">
        <v>492615</v>
      </c>
      <c r="I35" s="4" t="inlineStr">
        <is>
          <t>华中区域</t>
        </is>
      </c>
      <c r="J35" s="4" t="inlineStr">
        <is>
          <t>杨静秀</t>
        </is>
      </c>
    </row>
    <row r="36">
      <c r="A36" s="14" t="n">
        <v>45683</v>
      </c>
      <c r="B36" s="4" t="inlineStr">
        <is>
          <t>SO202510268</t>
        </is>
      </c>
      <c r="C36" s="4" t="inlineStr">
        <is>
          <t>南昌优鲜超市</t>
        </is>
      </c>
      <c r="D36" s="4" t="inlineStr">
        <is>
          <t>气动元件</t>
        </is>
      </c>
      <c r="E36" s="4" t="inlineStr">
        <is>
          <t>特级</t>
        </is>
      </c>
      <c r="F36" s="18" t="n">
        <v>1730</v>
      </c>
      <c r="G36" s="15" t="n">
        <v>267.69</v>
      </c>
      <c r="H36" s="15" t="n">
        <v>463103.7</v>
      </c>
      <c r="I36" s="4" t="inlineStr">
        <is>
          <t>浙江区域</t>
        </is>
      </c>
      <c r="J36" s="4" t="inlineStr">
        <is>
          <t>何明英</t>
        </is>
      </c>
    </row>
    <row r="37">
      <c r="A37" s="14" t="n">
        <v>45684</v>
      </c>
      <c r="B37" s="4" t="inlineStr">
        <is>
          <t>SO202510186</t>
        </is>
      </c>
      <c r="C37" s="4" t="inlineStr">
        <is>
          <t>上海淼沃食品有限公司</t>
        </is>
      </c>
      <c r="D37" s="4" t="inlineStr">
        <is>
          <t>数控机床</t>
        </is>
      </c>
      <c r="E37" s="4" t="inlineStr">
        <is>
          <t>A级</t>
        </is>
      </c>
      <c r="F37" s="18" t="n">
        <v>2550</v>
      </c>
      <c r="G37" s="15" t="n">
        <v>169.92</v>
      </c>
      <c r="H37" s="15" t="n">
        <v>433296</v>
      </c>
      <c r="I37" s="4" t="inlineStr">
        <is>
          <t>浙江区域</t>
        </is>
      </c>
      <c r="J37" s="4" t="inlineStr">
        <is>
          <t>刘伟娜</t>
        </is>
      </c>
    </row>
    <row r="38">
      <c r="A38" s="14" t="n">
        <v>45685</v>
      </c>
      <c r="B38" s="4" t="inlineStr">
        <is>
          <t>SO202510314</t>
        </is>
      </c>
      <c r="C38" s="4" t="inlineStr">
        <is>
          <t>无锡大匠电商平台</t>
        </is>
      </c>
      <c r="D38" s="4" t="inlineStr">
        <is>
          <t>数控机床</t>
        </is>
      </c>
      <c r="E38" s="4" t="inlineStr">
        <is>
          <t>C级</t>
        </is>
      </c>
      <c r="F38" s="18" t="n">
        <v>1000</v>
      </c>
      <c r="G38" s="15" t="n">
        <v>97.39</v>
      </c>
      <c r="H38" s="15" t="n">
        <v>97390</v>
      </c>
      <c r="I38" s="4" t="inlineStr">
        <is>
          <t>华中区域</t>
        </is>
      </c>
      <c r="J38" s="4" t="inlineStr">
        <is>
          <t>王敏秀</t>
        </is>
      </c>
    </row>
    <row r="39">
      <c r="A39" s="14" t="n">
        <v>45690</v>
      </c>
      <c r="B39" s="4" t="inlineStr">
        <is>
          <t>SO202510321</t>
        </is>
      </c>
      <c r="C39" s="4" t="inlineStr">
        <is>
          <t>南昌淼沃电商平台</t>
        </is>
      </c>
      <c r="D39" s="4" t="inlineStr">
        <is>
          <t>精密轴承</t>
        </is>
      </c>
      <c r="E39" s="4" t="inlineStr">
        <is>
          <t>10kg</t>
        </is>
      </c>
      <c r="F39" s="18" t="n">
        <v>4150</v>
      </c>
      <c r="G39" s="15" t="n">
        <v>74.61</v>
      </c>
      <c r="H39" s="15" t="n">
        <v>309631.5</v>
      </c>
      <c r="I39" s="4" t="inlineStr">
        <is>
          <t>广东区域</t>
        </is>
      </c>
      <c r="J39" s="4" t="inlineStr">
        <is>
          <t>王伟英</t>
        </is>
      </c>
    </row>
    <row r="40">
      <c r="A40" s="14" t="n">
        <v>45691</v>
      </c>
      <c r="B40" s="4" t="inlineStr">
        <is>
          <t>SO202510101</t>
        </is>
      </c>
      <c r="C40" s="4" t="inlineStr">
        <is>
          <t>杭州百味食品有限公司</t>
        </is>
      </c>
      <c r="D40" s="4" t="inlineStr">
        <is>
          <t>液压件</t>
        </is>
      </c>
      <c r="E40" s="4" t="inlineStr">
        <is>
          <t>10kg</t>
        </is>
      </c>
      <c r="F40" s="18" t="n">
        <v>4010</v>
      </c>
      <c r="G40" s="15" t="n">
        <v>291.54</v>
      </c>
      <c r="H40" s="15" t="n">
        <v>1169075.4</v>
      </c>
      <c r="I40" s="4" t="inlineStr">
        <is>
          <t>江苏区域</t>
        </is>
      </c>
      <c r="J40" s="4" t="inlineStr">
        <is>
          <t>周伟英</t>
        </is>
      </c>
    </row>
    <row r="41">
      <c r="A41" s="14" t="n">
        <v>45693</v>
      </c>
      <c r="B41" s="4" t="inlineStr">
        <is>
          <t>SO202510158</t>
        </is>
      </c>
      <c r="C41" s="4" t="inlineStr">
        <is>
          <t>温州大匠酒店管理集团</t>
        </is>
      </c>
      <c r="D41" s="4" t="inlineStr">
        <is>
          <t>精密轴承</t>
        </is>
      </c>
      <c r="E41" s="4" t="inlineStr">
        <is>
          <t>标准</t>
        </is>
      </c>
      <c r="F41" s="18" t="n">
        <v>4460</v>
      </c>
      <c r="G41" s="15" t="n">
        <v>51.21</v>
      </c>
      <c r="H41" s="15" t="n">
        <v>228396.6</v>
      </c>
      <c r="I41" s="4" t="inlineStr">
        <is>
          <t>广东区域</t>
        </is>
      </c>
      <c r="J41" s="4" t="inlineStr">
        <is>
          <t>张勇秀</t>
        </is>
      </c>
    </row>
    <row r="42">
      <c r="A42" s="14" t="n">
        <v>45694</v>
      </c>
      <c r="B42" s="4" t="inlineStr">
        <is>
          <t>SO202510218</t>
        </is>
      </c>
      <c r="C42" s="4" t="inlineStr">
        <is>
          <t>合肥食佳餐饮管理有限公司</t>
        </is>
      </c>
      <c r="D42" s="4" t="inlineStr">
        <is>
          <t>工装夹具</t>
        </is>
      </c>
      <c r="E42" s="4" t="inlineStr">
        <is>
          <t>标准</t>
        </is>
      </c>
      <c r="F42" s="18" t="n">
        <v>2680</v>
      </c>
      <c r="G42" s="15" t="n">
        <v>213.68</v>
      </c>
      <c r="H42" s="15" t="n">
        <v>572662.4</v>
      </c>
      <c r="I42" s="4" t="inlineStr">
        <is>
          <t>华中区域</t>
        </is>
      </c>
      <c r="J42" s="4" t="inlineStr">
        <is>
          <t>王洋英</t>
        </is>
      </c>
    </row>
    <row r="43">
      <c r="A43" s="14" t="n">
        <v>45694</v>
      </c>
      <c r="B43" s="4" t="inlineStr">
        <is>
          <t>SO202510253</t>
        </is>
      </c>
      <c r="C43" s="4" t="inlineStr">
        <is>
          <t>无锡京功食品有限公司</t>
        </is>
      </c>
      <c r="D43" s="4" t="inlineStr">
        <is>
          <t>气动元件</t>
        </is>
      </c>
      <c r="E43" s="4" t="inlineStr">
        <is>
          <t>2.5kg</t>
        </is>
      </c>
      <c r="F43" s="18" t="n">
        <v>1230</v>
      </c>
      <c r="G43" s="15" t="n">
        <v>92.43000000000001</v>
      </c>
      <c r="H43" s="15" t="n">
        <v>113688.9</v>
      </c>
      <c r="I43" s="4" t="inlineStr">
        <is>
          <t>江苏区域</t>
        </is>
      </c>
      <c r="J43" s="4" t="inlineStr">
        <is>
          <t>陈伟芳</t>
        </is>
      </c>
    </row>
    <row r="44">
      <c r="A44" s="14" t="n">
        <v>45695</v>
      </c>
      <c r="B44" s="4" t="inlineStr">
        <is>
          <t>SO202510192</t>
        </is>
      </c>
      <c r="C44" s="4" t="inlineStr">
        <is>
          <t>常州大匠电商平台</t>
        </is>
      </c>
      <c r="D44" s="4" t="inlineStr">
        <is>
          <t>精密轴承</t>
        </is>
      </c>
      <c r="E44" s="4" t="inlineStr">
        <is>
          <t>10kg</t>
        </is>
      </c>
      <c r="F44" s="18" t="n">
        <v>2350</v>
      </c>
      <c r="G44" s="15" t="n">
        <v>281.7</v>
      </c>
      <c r="H44" s="15" t="n">
        <v>661995</v>
      </c>
      <c r="I44" s="4" t="inlineStr">
        <is>
          <t>华中区域</t>
        </is>
      </c>
      <c r="J44" s="4" t="inlineStr">
        <is>
          <t>胡杰秀</t>
        </is>
      </c>
    </row>
    <row r="45">
      <c r="A45" s="14" t="n">
        <v>45697</v>
      </c>
      <c r="B45" s="4" t="inlineStr">
        <is>
          <t>SO202510261</t>
        </is>
      </c>
      <c r="C45" s="4" t="inlineStr">
        <is>
          <t>上海淼沃食品有限公司</t>
        </is>
      </c>
      <c r="D45" s="4" t="inlineStr">
        <is>
          <t>模具</t>
        </is>
      </c>
      <c r="E45" s="4" t="inlineStr">
        <is>
          <t>25kg</t>
        </is>
      </c>
      <c r="F45" s="18" t="n">
        <v>2440</v>
      </c>
      <c r="G45" s="15" t="n">
        <v>232.71</v>
      </c>
      <c r="H45" s="15" t="n">
        <v>567812.4</v>
      </c>
      <c r="I45" s="4" t="inlineStr">
        <is>
          <t>浙江区域</t>
        </is>
      </c>
      <c r="J45" s="4" t="inlineStr">
        <is>
          <t>林娟娜</t>
        </is>
      </c>
    </row>
    <row r="46">
      <c r="A46" s="14" t="n">
        <v>45698</v>
      </c>
      <c r="B46" s="4" t="inlineStr">
        <is>
          <t>SO202510278</t>
        </is>
      </c>
      <c r="C46" s="4" t="inlineStr">
        <is>
          <t>杭州京功餐饮管理有限公司</t>
        </is>
      </c>
      <c r="D46" s="4" t="inlineStr">
        <is>
          <t>气动元件</t>
        </is>
      </c>
      <c r="E46" s="4" t="inlineStr">
        <is>
          <t>C级</t>
        </is>
      </c>
      <c r="F46" s="18" t="n">
        <v>4700</v>
      </c>
      <c r="G46" s="15" t="n">
        <v>16.58</v>
      </c>
      <c r="H46" s="15" t="n">
        <v>77926</v>
      </c>
      <c r="I46" s="4" t="inlineStr">
        <is>
          <t>华中区域</t>
        </is>
      </c>
      <c r="J46" s="4" t="inlineStr">
        <is>
          <t>李明英</t>
        </is>
      </c>
    </row>
    <row r="47">
      <c r="A47" s="14" t="n">
        <v>45700</v>
      </c>
      <c r="B47" s="4" t="inlineStr">
        <is>
          <t>SO202510327</t>
        </is>
      </c>
      <c r="C47" s="4" t="inlineStr">
        <is>
          <t>杭州食佳餐饮管理有限公司</t>
        </is>
      </c>
      <c r="D47" s="4" t="inlineStr">
        <is>
          <t>气动元件</t>
        </is>
      </c>
      <c r="E47" s="4" t="inlineStr">
        <is>
          <t>A级</t>
        </is>
      </c>
      <c r="F47" s="18" t="n">
        <v>3410</v>
      </c>
      <c r="G47" s="15" t="n">
        <v>211.29</v>
      </c>
      <c r="H47" s="15" t="n">
        <v>720498.9</v>
      </c>
      <c r="I47" s="4" t="inlineStr">
        <is>
          <t>广东区域</t>
        </is>
      </c>
      <c r="J47" s="4" t="inlineStr">
        <is>
          <t>刘杰娜</t>
        </is>
      </c>
    </row>
    <row r="48">
      <c r="A48" s="14" t="n">
        <v>45707</v>
      </c>
      <c r="B48" s="4" t="inlineStr">
        <is>
          <t>SO202510325</t>
        </is>
      </c>
      <c r="C48" s="4" t="inlineStr">
        <is>
          <t>嘉兴淼沃超市</t>
        </is>
      </c>
      <c r="D48" s="4" t="inlineStr">
        <is>
          <t>模具</t>
        </is>
      </c>
      <c r="E48" s="4" t="inlineStr">
        <is>
          <t>2.5kg</t>
        </is>
      </c>
      <c r="F48" s="18" t="n">
        <v>4110</v>
      </c>
      <c r="G48" s="15" t="n">
        <v>215.43</v>
      </c>
      <c r="H48" s="15" t="n">
        <v>885417.3</v>
      </c>
      <c r="I48" s="4" t="inlineStr">
        <is>
          <t>华中区域</t>
        </is>
      </c>
      <c r="J48" s="4" t="inlineStr">
        <is>
          <t>赵涛秀</t>
        </is>
      </c>
    </row>
    <row r="49">
      <c r="A49" s="14" t="n">
        <v>45710</v>
      </c>
      <c r="B49" s="4" t="inlineStr">
        <is>
          <t>SO202510052</t>
        </is>
      </c>
      <c r="C49" s="4" t="inlineStr">
        <is>
          <t>南京优鲜电商平台</t>
        </is>
      </c>
      <c r="D49" s="4" t="inlineStr">
        <is>
          <t>液压件</t>
        </is>
      </c>
      <c r="E49" s="4" t="inlineStr">
        <is>
          <t>C级</t>
        </is>
      </c>
      <c r="F49" s="18" t="n">
        <v>2660</v>
      </c>
      <c r="G49" s="15" t="n">
        <v>172.43</v>
      </c>
      <c r="H49" s="15" t="n">
        <v>458663.8</v>
      </c>
      <c r="I49" s="4" t="inlineStr">
        <is>
          <t>江苏区域</t>
        </is>
      </c>
      <c r="J49" s="4" t="inlineStr">
        <is>
          <t>赵明敏</t>
        </is>
      </c>
    </row>
    <row r="50">
      <c r="A50" s="14" t="n">
        <v>45710</v>
      </c>
      <c r="B50" s="4" t="inlineStr">
        <is>
          <t>SO202510257</t>
        </is>
      </c>
      <c r="C50" s="4" t="inlineStr">
        <is>
          <t>温州淼沃酒店管理集团</t>
        </is>
      </c>
      <c r="D50" s="4" t="inlineStr">
        <is>
          <t>精密轴承</t>
        </is>
      </c>
      <c r="E50" s="4" t="inlineStr">
        <is>
          <t>C级</t>
        </is>
      </c>
      <c r="F50" s="18" t="n">
        <v>990</v>
      </c>
      <c r="G50" s="15" t="n">
        <v>101.37</v>
      </c>
      <c r="H50" s="15" t="n">
        <v>100356.3</v>
      </c>
      <c r="I50" s="4" t="inlineStr">
        <is>
          <t>浙江区域</t>
        </is>
      </c>
      <c r="J50" s="4" t="inlineStr">
        <is>
          <t>杨秀秀</t>
        </is>
      </c>
    </row>
    <row r="51">
      <c r="A51" s="14" t="n">
        <v>45712</v>
      </c>
      <c r="B51" s="4" t="inlineStr">
        <is>
          <t>SO202510125</t>
        </is>
      </c>
      <c r="C51" s="4" t="inlineStr">
        <is>
          <t>上海大匠电商平台</t>
        </is>
      </c>
      <c r="D51" s="4" t="inlineStr">
        <is>
          <t>工装夹具</t>
        </is>
      </c>
      <c r="E51" s="4" t="inlineStr">
        <is>
          <t>10kg</t>
        </is>
      </c>
      <c r="F51" s="18" t="n">
        <v>3960</v>
      </c>
      <c r="G51" s="15" t="n">
        <v>64.58</v>
      </c>
      <c r="H51" s="15" t="n">
        <v>255736.8</v>
      </c>
      <c r="I51" s="4" t="inlineStr">
        <is>
          <t>浙江区域</t>
        </is>
      </c>
      <c r="J51" s="4" t="inlineStr">
        <is>
          <t>徐勇芳</t>
        </is>
      </c>
    </row>
    <row r="52">
      <c r="A52" s="14" t="n">
        <v>45712</v>
      </c>
      <c r="B52" s="4" t="inlineStr">
        <is>
          <t>SO202510300</t>
        </is>
      </c>
      <c r="C52" s="4" t="inlineStr">
        <is>
          <t>苏州百味食品有限公司</t>
        </is>
      </c>
      <c r="D52" s="4" t="inlineStr">
        <is>
          <t>数控机床</t>
        </is>
      </c>
      <c r="E52" s="4" t="inlineStr">
        <is>
          <t>简装</t>
        </is>
      </c>
      <c r="F52" s="18" t="n">
        <v>2500</v>
      </c>
      <c r="G52" s="15" t="n">
        <v>220.36</v>
      </c>
      <c r="H52" s="15" t="n">
        <v>550900</v>
      </c>
      <c r="I52" s="4" t="inlineStr">
        <is>
          <t>广东区域</t>
        </is>
      </c>
      <c r="J52" s="4" t="inlineStr">
        <is>
          <t>赵娜娜</t>
        </is>
      </c>
    </row>
    <row r="53">
      <c r="A53" s="14" t="n">
        <v>45713</v>
      </c>
      <c r="B53" s="4" t="inlineStr">
        <is>
          <t>SO202510094</t>
        </is>
      </c>
      <c r="C53" s="4" t="inlineStr">
        <is>
          <t>无锡百味食品有限公司</t>
        </is>
      </c>
      <c r="D53" s="4" t="inlineStr">
        <is>
          <t>模具</t>
        </is>
      </c>
      <c r="E53" s="4" t="inlineStr">
        <is>
          <t>10kg</t>
        </is>
      </c>
      <c r="F53" s="18" t="n">
        <v>2810</v>
      </c>
      <c r="G53" s="15" t="n">
        <v>47.34</v>
      </c>
      <c r="H53" s="15" t="n">
        <v>133025.4</v>
      </c>
      <c r="I53" s="4" t="inlineStr">
        <is>
          <t>华中区域</t>
        </is>
      </c>
      <c r="J53" s="4" t="inlineStr">
        <is>
          <t>杨娜英</t>
        </is>
      </c>
    </row>
    <row r="54">
      <c r="A54" s="14" t="n">
        <v>45713</v>
      </c>
      <c r="B54" s="4" t="inlineStr">
        <is>
          <t>SO202510313</t>
        </is>
      </c>
      <c r="C54" s="4" t="inlineStr">
        <is>
          <t>苏州食佳餐饮管理有限公司</t>
        </is>
      </c>
      <c r="D54" s="4" t="inlineStr">
        <is>
          <t>模具</t>
        </is>
      </c>
      <c r="E54" s="4" t="inlineStr">
        <is>
          <t>2.5kg</t>
        </is>
      </c>
      <c r="F54" s="18" t="n">
        <v>2620</v>
      </c>
      <c r="G54" s="15" t="n">
        <v>54.35</v>
      </c>
      <c r="H54" s="15" t="n">
        <v>142397</v>
      </c>
      <c r="I54" s="4" t="inlineStr">
        <is>
          <t>广东区域</t>
        </is>
      </c>
      <c r="J54" s="4" t="inlineStr">
        <is>
          <t>周涛秀</t>
        </is>
      </c>
    </row>
    <row r="55">
      <c r="A55" s="14" t="n">
        <v>45714</v>
      </c>
      <c r="B55" s="4" t="inlineStr">
        <is>
          <t>SO202510221</t>
        </is>
      </c>
      <c r="C55" s="4" t="inlineStr">
        <is>
          <t>杭州大匠酒店管理集团</t>
        </is>
      </c>
      <c r="D55" s="4" t="inlineStr">
        <is>
          <t>工装夹具</t>
        </is>
      </c>
      <c r="E55" s="4" t="inlineStr">
        <is>
          <t>简装</t>
        </is>
      </c>
      <c r="F55" s="18" t="n">
        <v>3870</v>
      </c>
      <c r="G55" s="15" t="n">
        <v>260.48</v>
      </c>
      <c r="H55" s="15" t="n">
        <v>1008057.6</v>
      </c>
      <c r="I55" s="4" t="inlineStr">
        <is>
          <t>华中区域</t>
        </is>
      </c>
      <c r="J55" s="4" t="inlineStr">
        <is>
          <t>张静秀</t>
        </is>
      </c>
    </row>
    <row r="56">
      <c r="A56" s="14" t="n">
        <v>45715</v>
      </c>
      <c r="B56" s="4" t="inlineStr">
        <is>
          <t>SO202510089</t>
        </is>
      </c>
      <c r="C56" s="4" t="inlineStr">
        <is>
          <t>苏州食佳电商平台</t>
        </is>
      </c>
      <c r="D56" s="4" t="inlineStr">
        <is>
          <t>液压件</t>
        </is>
      </c>
      <c r="E56" s="4" t="inlineStr">
        <is>
          <t>标准</t>
        </is>
      </c>
      <c r="F56" s="18" t="n">
        <v>2180</v>
      </c>
      <c r="G56" s="15" t="n">
        <v>29.09</v>
      </c>
      <c r="H56" s="15" t="n">
        <v>63416.2</v>
      </c>
      <c r="I56" s="4" t="inlineStr">
        <is>
          <t>广东区域</t>
        </is>
      </c>
      <c r="J56" s="4" t="inlineStr">
        <is>
          <t>胡静英</t>
        </is>
      </c>
    </row>
    <row r="57">
      <c r="A57" s="14" t="n">
        <v>45721</v>
      </c>
      <c r="B57" s="4" t="inlineStr">
        <is>
          <t>SO202510050</t>
        </is>
      </c>
      <c r="C57" s="4" t="inlineStr">
        <is>
          <t>上海百味酒店管理集团</t>
        </is>
      </c>
      <c r="D57" s="4" t="inlineStr">
        <is>
          <t>液压件</t>
        </is>
      </c>
      <c r="E57" s="4" t="inlineStr">
        <is>
          <t>C级</t>
        </is>
      </c>
      <c r="F57" s="18" t="n">
        <v>800</v>
      </c>
      <c r="G57" s="15" t="n">
        <v>139.81</v>
      </c>
      <c r="H57" s="15" t="n">
        <v>111848</v>
      </c>
      <c r="I57" s="4" t="inlineStr">
        <is>
          <t>浙江区域</t>
        </is>
      </c>
      <c r="J57" s="4" t="inlineStr">
        <is>
          <t>王伟芳</t>
        </is>
      </c>
    </row>
    <row r="58">
      <c r="A58" s="14" t="n">
        <v>45722</v>
      </c>
      <c r="B58" s="4" t="inlineStr">
        <is>
          <t>SO202510056</t>
        </is>
      </c>
      <c r="C58" s="4" t="inlineStr">
        <is>
          <t>宁波食佳供应链有限公司</t>
        </is>
      </c>
      <c r="D58" s="4" t="inlineStr">
        <is>
          <t>液压件</t>
        </is>
      </c>
      <c r="E58" s="4" t="inlineStr">
        <is>
          <t>B级</t>
        </is>
      </c>
      <c r="F58" s="18" t="n">
        <v>3560</v>
      </c>
      <c r="G58" s="15" t="n">
        <v>169.93</v>
      </c>
      <c r="H58" s="15" t="n">
        <v>604950.8</v>
      </c>
      <c r="I58" s="4" t="inlineStr">
        <is>
          <t>浙江区域</t>
        </is>
      </c>
      <c r="J58" s="4" t="inlineStr">
        <is>
          <t>马静敏</t>
        </is>
      </c>
    </row>
    <row r="59">
      <c r="A59" s="14" t="n">
        <v>45724</v>
      </c>
      <c r="B59" s="4" t="inlineStr">
        <is>
          <t>SO202510077</t>
        </is>
      </c>
      <c r="C59" s="4" t="inlineStr">
        <is>
          <t>嘉兴大匠食品有限公司</t>
        </is>
      </c>
      <c r="D59" s="4" t="inlineStr">
        <is>
          <t>模具</t>
        </is>
      </c>
      <c r="E59" s="4" t="inlineStr">
        <is>
          <t>A级</t>
        </is>
      </c>
      <c r="F59" s="18" t="n">
        <v>560</v>
      </c>
      <c r="G59" s="15" t="n">
        <v>147.91</v>
      </c>
      <c r="H59" s="15" t="n">
        <v>82829.60000000001</v>
      </c>
      <c r="I59" s="4" t="inlineStr">
        <is>
          <t>江苏区域</t>
        </is>
      </c>
      <c r="J59" s="4" t="inlineStr">
        <is>
          <t>黄勇芳</t>
        </is>
      </c>
    </row>
    <row r="60">
      <c r="A60" s="14" t="n">
        <v>45724</v>
      </c>
      <c r="B60" s="4" t="inlineStr">
        <is>
          <t>SO202510234</t>
        </is>
      </c>
      <c r="C60" s="4" t="inlineStr">
        <is>
          <t>上海食佳供应链有限公司</t>
        </is>
      </c>
      <c r="D60" s="4" t="inlineStr">
        <is>
          <t>工装夹具</t>
        </is>
      </c>
      <c r="E60" s="4" t="inlineStr">
        <is>
          <t>标准</t>
        </is>
      </c>
      <c r="F60" s="18" t="n">
        <v>3150</v>
      </c>
      <c r="G60" s="15" t="n">
        <v>84.06999999999999</v>
      </c>
      <c r="H60" s="15" t="n">
        <v>264820.5</v>
      </c>
      <c r="I60" s="4" t="inlineStr">
        <is>
          <t>江苏区域</t>
        </is>
      </c>
      <c r="J60" s="4" t="inlineStr">
        <is>
          <t>周敏秀</t>
        </is>
      </c>
    </row>
    <row r="61">
      <c r="A61" s="14" t="n">
        <v>45725</v>
      </c>
      <c r="B61" s="4" t="inlineStr">
        <is>
          <t>SO202510153</t>
        </is>
      </c>
      <c r="C61" s="4" t="inlineStr">
        <is>
          <t>无锡大匠商贸有限公司</t>
        </is>
      </c>
      <c r="D61" s="4" t="inlineStr">
        <is>
          <t>模具</t>
        </is>
      </c>
      <c r="E61" s="4" t="inlineStr">
        <is>
          <t>B级</t>
        </is>
      </c>
      <c r="F61" s="18" t="n">
        <v>3540</v>
      </c>
      <c r="G61" s="15" t="n">
        <v>23.19</v>
      </c>
      <c r="H61" s="15" t="n">
        <v>82092.60000000001</v>
      </c>
      <c r="I61" s="4" t="inlineStr">
        <is>
          <t>广东区域</t>
        </is>
      </c>
      <c r="J61" s="4" t="inlineStr">
        <is>
          <t>周涛秀</t>
        </is>
      </c>
    </row>
    <row r="62">
      <c r="A62" s="14" t="n">
        <v>45726</v>
      </c>
      <c r="B62" s="4" t="inlineStr">
        <is>
          <t>SO202510019</t>
        </is>
      </c>
      <c r="C62" s="4" t="inlineStr">
        <is>
          <t>嘉兴食佳供应链有限公司</t>
        </is>
      </c>
      <c r="D62" s="4" t="inlineStr">
        <is>
          <t>气动元件</t>
        </is>
      </c>
      <c r="E62" s="4" t="inlineStr">
        <is>
          <t>500g</t>
        </is>
      </c>
      <c r="F62" s="18" t="n">
        <v>4780</v>
      </c>
      <c r="G62" s="15" t="n">
        <v>81.65000000000001</v>
      </c>
      <c r="H62" s="15" t="n">
        <v>390287</v>
      </c>
      <c r="I62" s="4" t="inlineStr">
        <is>
          <t>浙江区域</t>
        </is>
      </c>
      <c r="J62" s="4" t="inlineStr">
        <is>
          <t>孙静敏</t>
        </is>
      </c>
    </row>
    <row r="63">
      <c r="A63" s="14" t="n">
        <v>45728</v>
      </c>
      <c r="B63" s="4" t="inlineStr">
        <is>
          <t>SO202510005</t>
        </is>
      </c>
      <c r="C63" s="4" t="inlineStr">
        <is>
          <t>南京百味商贸有限公司</t>
        </is>
      </c>
      <c r="D63" s="4" t="inlineStr">
        <is>
          <t>液压件</t>
        </is>
      </c>
      <c r="E63" s="4" t="inlineStr">
        <is>
          <t>2.5kg</t>
        </is>
      </c>
      <c r="F63" s="18" t="n">
        <v>3050</v>
      </c>
      <c r="G63" s="15" t="n">
        <v>52.48</v>
      </c>
      <c r="H63" s="15" t="n">
        <v>160064</v>
      </c>
      <c r="I63" s="4" t="inlineStr">
        <is>
          <t>江苏区域</t>
        </is>
      </c>
      <c r="J63" s="4" t="inlineStr">
        <is>
          <t>罗丽伟</t>
        </is>
      </c>
    </row>
    <row r="64">
      <c r="A64" s="14" t="n">
        <v>45728</v>
      </c>
      <c r="B64" s="4" t="inlineStr">
        <is>
          <t>SO202510109</t>
        </is>
      </c>
      <c r="C64" s="4" t="inlineStr">
        <is>
          <t>合肥京功食品有限公司</t>
        </is>
      </c>
      <c r="D64" s="4" t="inlineStr">
        <is>
          <t>气动元件</t>
        </is>
      </c>
      <c r="E64" s="4" t="inlineStr">
        <is>
          <t>标准</t>
        </is>
      </c>
      <c r="F64" s="18" t="n">
        <v>4910</v>
      </c>
      <c r="G64" s="15" t="n">
        <v>198.48</v>
      </c>
      <c r="H64" s="15" t="n">
        <v>974536.8</v>
      </c>
      <c r="I64" s="4" t="inlineStr">
        <is>
          <t>浙江区域</t>
        </is>
      </c>
      <c r="J64" s="4" t="inlineStr">
        <is>
          <t>刘勇英</t>
        </is>
      </c>
    </row>
    <row r="65">
      <c r="A65" s="14" t="n">
        <v>45728</v>
      </c>
      <c r="B65" s="4" t="inlineStr">
        <is>
          <t>SO202510201</t>
        </is>
      </c>
      <c r="C65" s="4" t="inlineStr">
        <is>
          <t>嘉兴京功商贸有限公司</t>
        </is>
      </c>
      <c r="D65" s="4" t="inlineStr">
        <is>
          <t>模具</t>
        </is>
      </c>
      <c r="E65" s="4" t="inlineStr">
        <is>
          <t>1kg</t>
        </is>
      </c>
      <c r="F65" s="18" t="n">
        <v>4960</v>
      </c>
      <c r="G65" s="15" t="n">
        <v>284.87</v>
      </c>
      <c r="H65" s="15" t="n">
        <v>1412955.2</v>
      </c>
      <c r="I65" s="4" t="inlineStr">
        <is>
          <t>浙江区域</t>
        </is>
      </c>
      <c r="J65" s="4" t="inlineStr">
        <is>
          <t>徐洋娜</t>
        </is>
      </c>
    </row>
    <row r="66">
      <c r="A66" s="14" t="n">
        <v>45731</v>
      </c>
      <c r="B66" s="4" t="inlineStr">
        <is>
          <t>SO202510013</t>
        </is>
      </c>
      <c r="C66" s="4" t="inlineStr">
        <is>
          <t>镇江优鲜酒店管理集团</t>
        </is>
      </c>
      <c r="D66" s="4" t="inlineStr">
        <is>
          <t>模具</t>
        </is>
      </c>
      <c r="E66" s="4" t="inlineStr">
        <is>
          <t>A级</t>
        </is>
      </c>
      <c r="F66" s="18" t="n">
        <v>2510</v>
      </c>
      <c r="G66" s="15" t="n">
        <v>80.45999999999999</v>
      </c>
      <c r="H66" s="15" t="n">
        <v>201954.6</v>
      </c>
      <c r="I66" s="4" t="inlineStr">
        <is>
          <t>广东区域</t>
        </is>
      </c>
      <c r="J66" s="4" t="inlineStr">
        <is>
          <t>徐强敏</t>
        </is>
      </c>
    </row>
    <row r="67">
      <c r="A67" s="14" t="n">
        <v>45732</v>
      </c>
      <c r="B67" s="4" t="inlineStr">
        <is>
          <t>SO202510205</t>
        </is>
      </c>
      <c r="C67" s="4" t="inlineStr">
        <is>
          <t>宁波大匠超市</t>
        </is>
      </c>
      <c r="D67" s="4" t="inlineStr">
        <is>
          <t>液压件</t>
        </is>
      </c>
      <c r="E67" s="4" t="inlineStr">
        <is>
          <t>500g</t>
        </is>
      </c>
      <c r="F67" s="18" t="n">
        <v>2750</v>
      </c>
      <c r="G67" s="15" t="n">
        <v>21.37</v>
      </c>
      <c r="H67" s="15" t="n">
        <v>58767.5</v>
      </c>
      <c r="I67" s="4" t="inlineStr">
        <is>
          <t>华中区域</t>
        </is>
      </c>
      <c r="J67" s="4" t="inlineStr">
        <is>
          <t>罗敏秀</t>
        </is>
      </c>
    </row>
    <row r="68">
      <c r="A68" s="14" t="n">
        <v>45732</v>
      </c>
      <c r="B68" s="4" t="inlineStr">
        <is>
          <t>SO202510223</t>
        </is>
      </c>
      <c r="C68" s="4" t="inlineStr">
        <is>
          <t>合肥淼沃食品有限公司</t>
        </is>
      </c>
      <c r="D68" s="4" t="inlineStr">
        <is>
          <t>精密轴承</t>
        </is>
      </c>
      <c r="E68" s="4" t="inlineStr">
        <is>
          <t>1kg</t>
        </is>
      </c>
      <c r="F68" s="18" t="n">
        <v>2710</v>
      </c>
      <c r="G68" s="15" t="n">
        <v>142.86</v>
      </c>
      <c r="H68" s="15" t="n">
        <v>387150.6</v>
      </c>
      <c r="I68" s="4" t="inlineStr">
        <is>
          <t>华中区域</t>
        </is>
      </c>
      <c r="J68" s="4" t="inlineStr">
        <is>
          <t>黄英伟</t>
        </is>
      </c>
    </row>
    <row r="69">
      <c r="A69" s="14" t="n">
        <v>45732</v>
      </c>
      <c r="B69" s="4" t="inlineStr">
        <is>
          <t>SO202510283</t>
        </is>
      </c>
      <c r="C69" s="4" t="inlineStr">
        <is>
          <t>温州食佳餐饮管理有限公司</t>
        </is>
      </c>
      <c r="D69" s="4" t="inlineStr">
        <is>
          <t>精密轴承</t>
        </is>
      </c>
      <c r="E69" s="4" t="inlineStr">
        <is>
          <t>C级</t>
        </is>
      </c>
      <c r="F69" s="18" t="n">
        <v>4900</v>
      </c>
      <c r="G69" s="15" t="n">
        <v>72.01000000000001</v>
      </c>
      <c r="H69" s="15" t="n">
        <v>352849</v>
      </c>
      <c r="I69" s="4" t="inlineStr">
        <is>
          <t>江苏区域</t>
        </is>
      </c>
      <c r="J69" s="4" t="inlineStr">
        <is>
          <t>林强敏</t>
        </is>
      </c>
    </row>
    <row r="70">
      <c r="A70" s="14" t="n">
        <v>45734</v>
      </c>
      <c r="B70" s="4" t="inlineStr">
        <is>
          <t>SO202510114</t>
        </is>
      </c>
      <c r="C70" s="4" t="inlineStr">
        <is>
          <t>苏州淼沃餐饮管理有限公司</t>
        </is>
      </c>
      <c r="D70" s="4" t="inlineStr">
        <is>
          <t>气动元件</t>
        </is>
      </c>
      <c r="E70" s="4" t="inlineStr">
        <is>
          <t>10kg</t>
        </is>
      </c>
      <c r="F70" s="18" t="n">
        <v>1300</v>
      </c>
      <c r="G70" s="15" t="n">
        <v>250.16</v>
      </c>
      <c r="H70" s="15" t="n">
        <v>325208</v>
      </c>
      <c r="I70" s="4" t="inlineStr">
        <is>
          <t>华中区域</t>
        </is>
      </c>
      <c r="J70" s="4" t="inlineStr">
        <is>
          <t>刘涛英</t>
        </is>
      </c>
    </row>
    <row r="71">
      <c r="A71" s="14" t="n">
        <v>45734</v>
      </c>
      <c r="B71" s="4" t="inlineStr">
        <is>
          <t>SO202510228</t>
        </is>
      </c>
      <c r="C71" s="4" t="inlineStr">
        <is>
          <t>南昌优鲜食品有限公司</t>
        </is>
      </c>
      <c r="D71" s="4" t="inlineStr">
        <is>
          <t>液压件</t>
        </is>
      </c>
      <c r="E71" s="4" t="inlineStr">
        <is>
          <t>25kg</t>
        </is>
      </c>
      <c r="F71" s="18" t="n">
        <v>4180</v>
      </c>
      <c r="G71" s="15" t="n">
        <v>277.91</v>
      </c>
      <c r="H71" s="15" t="n">
        <v>1161663.8</v>
      </c>
      <c r="I71" s="4" t="inlineStr">
        <is>
          <t>浙江区域</t>
        </is>
      </c>
      <c r="J71" s="4" t="inlineStr">
        <is>
          <t>刘强伟</t>
        </is>
      </c>
    </row>
    <row r="72">
      <c r="A72" s="14" t="n">
        <v>45736</v>
      </c>
      <c r="B72" s="4" t="inlineStr">
        <is>
          <t>SO202510002</t>
        </is>
      </c>
      <c r="C72" s="4" t="inlineStr">
        <is>
          <t>杭州食佳超市</t>
        </is>
      </c>
      <c r="D72" s="4" t="inlineStr">
        <is>
          <t>模具</t>
        </is>
      </c>
      <c r="E72" s="4" t="inlineStr">
        <is>
          <t>标准</t>
        </is>
      </c>
      <c r="F72" s="18" t="n">
        <v>250</v>
      </c>
      <c r="G72" s="15" t="n">
        <v>230.65</v>
      </c>
      <c r="H72" s="15" t="n">
        <v>57662.5</v>
      </c>
      <c r="I72" s="4" t="inlineStr">
        <is>
          <t>华中区域</t>
        </is>
      </c>
      <c r="J72" s="4" t="inlineStr">
        <is>
          <t>张磊芳</t>
        </is>
      </c>
    </row>
    <row r="73">
      <c r="A73" s="14" t="n">
        <v>45736</v>
      </c>
      <c r="B73" s="4" t="inlineStr">
        <is>
          <t>SO202510255</t>
        </is>
      </c>
      <c r="C73" s="4" t="inlineStr">
        <is>
          <t>温州淼沃供应链有限公司</t>
        </is>
      </c>
      <c r="D73" s="4" t="inlineStr">
        <is>
          <t>模具</t>
        </is>
      </c>
      <c r="E73" s="4" t="inlineStr">
        <is>
          <t>简装</t>
        </is>
      </c>
      <c r="F73" s="18" t="n">
        <v>4870</v>
      </c>
      <c r="G73" s="15" t="n">
        <v>183.68</v>
      </c>
      <c r="H73" s="15" t="n">
        <v>894521.6</v>
      </c>
      <c r="I73" s="4" t="inlineStr">
        <is>
          <t>华中区域</t>
        </is>
      </c>
      <c r="J73" s="4" t="inlineStr">
        <is>
          <t>郭娜英</t>
        </is>
      </c>
    </row>
    <row r="74">
      <c r="A74" s="14" t="n">
        <v>45736</v>
      </c>
      <c r="B74" s="4" t="inlineStr">
        <is>
          <t>SO202510289</t>
        </is>
      </c>
      <c r="C74" s="4" t="inlineStr">
        <is>
          <t>镇江百味餐饮管理有限公司</t>
        </is>
      </c>
      <c r="D74" s="4" t="inlineStr">
        <is>
          <t>液压件</t>
        </is>
      </c>
      <c r="E74" s="4" t="inlineStr">
        <is>
          <t>C级</t>
        </is>
      </c>
      <c r="F74" s="18" t="n">
        <v>1310</v>
      </c>
      <c r="G74" s="15" t="n">
        <v>90.89</v>
      </c>
      <c r="H74" s="15" t="n">
        <v>119065.9</v>
      </c>
      <c r="I74" s="4" t="inlineStr">
        <is>
          <t>江苏区域</t>
        </is>
      </c>
      <c r="J74" s="4" t="inlineStr">
        <is>
          <t>高洋娜</t>
        </is>
      </c>
    </row>
    <row r="75">
      <c r="A75" s="14" t="n">
        <v>45737</v>
      </c>
      <c r="B75" s="4" t="inlineStr">
        <is>
          <t>SO202510014</t>
        </is>
      </c>
      <c r="C75" s="4" t="inlineStr">
        <is>
          <t>南昌大匠供应链有限公司</t>
        </is>
      </c>
      <c r="D75" s="4" t="inlineStr">
        <is>
          <t>精密轴承</t>
        </is>
      </c>
      <c r="E75" s="4" t="inlineStr">
        <is>
          <t>精装</t>
        </is>
      </c>
      <c r="F75" s="18" t="n">
        <v>640</v>
      </c>
      <c r="G75" s="15" t="n">
        <v>124.66</v>
      </c>
      <c r="H75" s="15" t="n">
        <v>79782.39999999999</v>
      </c>
      <c r="I75" s="4" t="inlineStr">
        <is>
          <t>广东区域</t>
        </is>
      </c>
      <c r="J75" s="4" t="inlineStr">
        <is>
          <t>王杰秀</t>
        </is>
      </c>
    </row>
    <row r="76">
      <c r="A76" s="14" t="n">
        <v>45737</v>
      </c>
      <c r="B76" s="4" t="inlineStr">
        <is>
          <t>SO202510322</t>
        </is>
      </c>
      <c r="C76" s="4" t="inlineStr">
        <is>
          <t>南京淼沃商贸有限公司</t>
        </is>
      </c>
      <c r="D76" s="4" t="inlineStr">
        <is>
          <t>精密轴承</t>
        </is>
      </c>
      <c r="E76" s="4" t="inlineStr">
        <is>
          <t>特级</t>
        </is>
      </c>
      <c r="F76" s="18" t="n">
        <v>1290</v>
      </c>
      <c r="G76" s="15" t="n">
        <v>281.16</v>
      </c>
      <c r="H76" s="15" t="n">
        <v>362696.4</v>
      </c>
      <c r="I76" s="4" t="inlineStr">
        <is>
          <t>浙江区域</t>
        </is>
      </c>
      <c r="J76" s="4" t="inlineStr">
        <is>
          <t>胡伟娜</t>
        </is>
      </c>
    </row>
    <row r="77">
      <c r="A77" s="14" t="n">
        <v>45738</v>
      </c>
      <c r="B77" s="4" t="inlineStr">
        <is>
          <t>SO202510163</t>
        </is>
      </c>
      <c r="C77" s="4" t="inlineStr">
        <is>
          <t>南昌优鲜超市</t>
        </is>
      </c>
      <c r="D77" s="4" t="inlineStr">
        <is>
          <t>精密轴承</t>
        </is>
      </c>
      <c r="E77" s="4" t="inlineStr">
        <is>
          <t>500g</t>
        </is>
      </c>
      <c r="F77" s="18" t="n">
        <v>770</v>
      </c>
      <c r="G77" s="15" t="n">
        <v>25.66</v>
      </c>
      <c r="H77" s="15" t="n">
        <v>19758.2</v>
      </c>
      <c r="I77" s="4" t="inlineStr">
        <is>
          <t>江苏区域</t>
        </is>
      </c>
      <c r="J77" s="4" t="inlineStr">
        <is>
          <t>张艳伟</t>
        </is>
      </c>
    </row>
    <row r="78">
      <c r="A78" s="14" t="n">
        <v>45740</v>
      </c>
      <c r="B78" s="4" t="inlineStr">
        <is>
          <t>SO202510166</t>
        </is>
      </c>
      <c r="C78" s="4" t="inlineStr">
        <is>
          <t>嘉兴淼沃商贸有限公司</t>
        </is>
      </c>
      <c r="D78" s="4" t="inlineStr">
        <is>
          <t>数控机床</t>
        </is>
      </c>
      <c r="E78" s="4" t="inlineStr">
        <is>
          <t>5kg</t>
        </is>
      </c>
      <c r="F78" s="18" t="n">
        <v>2830</v>
      </c>
      <c r="G78" s="15" t="n">
        <v>197.35</v>
      </c>
      <c r="H78" s="15" t="n">
        <v>558500.5</v>
      </c>
      <c r="I78" s="4" t="inlineStr">
        <is>
          <t>江苏区域</t>
        </is>
      </c>
      <c r="J78" s="4" t="inlineStr">
        <is>
          <t>黄秀敏</t>
        </is>
      </c>
    </row>
    <row r="79">
      <c r="A79" s="14" t="n">
        <v>45740</v>
      </c>
      <c r="B79" s="4" t="inlineStr">
        <is>
          <t>SO202510243</t>
        </is>
      </c>
      <c r="C79" s="4" t="inlineStr">
        <is>
          <t>南京淼沃餐饮管理有限公司</t>
        </is>
      </c>
      <c r="D79" s="4" t="inlineStr">
        <is>
          <t>工装夹具</t>
        </is>
      </c>
      <c r="E79" s="4" t="inlineStr">
        <is>
          <t>25kg</t>
        </is>
      </c>
      <c r="F79" s="18" t="n">
        <v>4600</v>
      </c>
      <c r="G79" s="15" t="n">
        <v>114.84</v>
      </c>
      <c r="H79" s="15" t="n">
        <v>528264</v>
      </c>
      <c r="I79" s="4" t="inlineStr">
        <is>
          <t>江苏区域</t>
        </is>
      </c>
      <c r="J79" s="4" t="inlineStr">
        <is>
          <t>郭明芳</t>
        </is>
      </c>
    </row>
    <row r="80">
      <c r="A80" s="14" t="n">
        <v>45740</v>
      </c>
      <c r="B80" s="4" t="inlineStr">
        <is>
          <t>SO202510247</t>
        </is>
      </c>
      <c r="C80" s="4" t="inlineStr">
        <is>
          <t>宁波京功超市</t>
        </is>
      </c>
      <c r="D80" s="4" t="inlineStr">
        <is>
          <t>数控机床</t>
        </is>
      </c>
      <c r="E80" s="4" t="inlineStr">
        <is>
          <t>25kg</t>
        </is>
      </c>
      <c r="F80" s="18" t="n">
        <v>4030</v>
      </c>
      <c r="G80" s="15" t="n">
        <v>56.8</v>
      </c>
      <c r="H80" s="15" t="n">
        <v>228904</v>
      </c>
      <c r="I80" s="4" t="inlineStr">
        <is>
          <t>华中区域</t>
        </is>
      </c>
      <c r="J80" s="4" t="inlineStr">
        <is>
          <t>刘秀芳</t>
        </is>
      </c>
    </row>
    <row r="81">
      <c r="A81" s="14" t="n">
        <v>45741</v>
      </c>
      <c r="B81" s="4" t="inlineStr">
        <is>
          <t>SO202510320</t>
        </is>
      </c>
      <c r="C81" s="4" t="inlineStr">
        <is>
          <t>杭州淼沃餐饮管理有限公司</t>
        </is>
      </c>
      <c r="D81" s="4" t="inlineStr">
        <is>
          <t>模具</t>
        </is>
      </c>
      <c r="E81" s="4" t="inlineStr">
        <is>
          <t>25kg</t>
        </is>
      </c>
      <c r="F81" s="18" t="n">
        <v>1190</v>
      </c>
      <c r="G81" s="15" t="n">
        <v>143.62</v>
      </c>
      <c r="H81" s="15" t="n">
        <v>170907.8</v>
      </c>
      <c r="I81" s="4" t="inlineStr">
        <is>
          <t>浙江区域</t>
        </is>
      </c>
      <c r="J81" s="4" t="inlineStr">
        <is>
          <t>刘敏娜</t>
        </is>
      </c>
    </row>
    <row r="82">
      <c r="A82" s="14" t="n">
        <v>45744</v>
      </c>
      <c r="B82" s="4" t="inlineStr">
        <is>
          <t>SO202510027</t>
        </is>
      </c>
      <c r="C82" s="4" t="inlineStr">
        <is>
          <t>温州优鲜酒店管理集团</t>
        </is>
      </c>
      <c r="D82" s="4" t="inlineStr">
        <is>
          <t>数控机床</t>
        </is>
      </c>
      <c r="E82" s="4" t="inlineStr">
        <is>
          <t>C级</t>
        </is>
      </c>
      <c r="F82" s="18" t="n">
        <v>3440</v>
      </c>
      <c r="G82" s="15" t="n">
        <v>203.36</v>
      </c>
      <c r="H82" s="15" t="n">
        <v>699558.4</v>
      </c>
      <c r="I82" s="4" t="inlineStr">
        <is>
          <t>江苏区域</t>
        </is>
      </c>
      <c r="J82" s="4" t="inlineStr">
        <is>
          <t>朱丽娜</t>
        </is>
      </c>
    </row>
    <row r="83">
      <c r="A83" s="14" t="n">
        <v>45753</v>
      </c>
      <c r="B83" s="4" t="inlineStr">
        <is>
          <t>SO202510026</t>
        </is>
      </c>
      <c r="C83" s="4" t="inlineStr">
        <is>
          <t>宁波大匠餐饮管理有限公司</t>
        </is>
      </c>
      <c r="D83" s="4" t="inlineStr">
        <is>
          <t>模具</t>
        </is>
      </c>
      <c r="E83" s="4" t="inlineStr">
        <is>
          <t>10kg</t>
        </is>
      </c>
      <c r="F83" s="18" t="n">
        <v>3240</v>
      </c>
      <c r="G83" s="15" t="n">
        <v>197.51</v>
      </c>
      <c r="H83" s="15" t="n">
        <v>639932.4</v>
      </c>
      <c r="I83" s="4" t="inlineStr">
        <is>
          <t>华中区域</t>
        </is>
      </c>
      <c r="J83" s="4" t="inlineStr">
        <is>
          <t>张杰伟</t>
        </is>
      </c>
    </row>
    <row r="84">
      <c r="A84" s="14" t="n">
        <v>45754</v>
      </c>
      <c r="B84" s="4" t="inlineStr">
        <is>
          <t>SO202510110</t>
        </is>
      </c>
      <c r="C84" s="4" t="inlineStr">
        <is>
          <t>南京百味超市</t>
        </is>
      </c>
      <c r="D84" s="4" t="inlineStr">
        <is>
          <t>数控机床</t>
        </is>
      </c>
      <c r="E84" s="4" t="inlineStr">
        <is>
          <t>1kg</t>
        </is>
      </c>
      <c r="F84" s="18" t="n">
        <v>4080</v>
      </c>
      <c r="G84" s="15" t="n">
        <v>11.72</v>
      </c>
      <c r="H84" s="15" t="n">
        <v>47817.6</v>
      </c>
      <c r="I84" s="4" t="inlineStr">
        <is>
          <t>浙江区域</t>
        </is>
      </c>
      <c r="J84" s="4" t="inlineStr">
        <is>
          <t>黄芳敏</t>
        </is>
      </c>
    </row>
    <row r="85">
      <c r="A85" s="14" t="n">
        <v>45755</v>
      </c>
      <c r="B85" s="4" t="inlineStr">
        <is>
          <t>SO202510161</t>
        </is>
      </c>
      <c r="C85" s="4" t="inlineStr">
        <is>
          <t>杭州淼沃供应链有限公司</t>
        </is>
      </c>
      <c r="D85" s="4" t="inlineStr">
        <is>
          <t>工装夹具</t>
        </is>
      </c>
      <c r="E85" s="4" t="inlineStr">
        <is>
          <t>5kg</t>
        </is>
      </c>
      <c r="F85" s="18" t="n">
        <v>710</v>
      </c>
      <c r="G85" s="15" t="n">
        <v>150.29</v>
      </c>
      <c r="H85" s="15" t="n">
        <v>106705.9</v>
      </c>
      <c r="I85" s="4" t="inlineStr">
        <is>
          <t>华中区域</t>
        </is>
      </c>
      <c r="J85" s="4" t="inlineStr">
        <is>
          <t>罗芳娜</t>
        </is>
      </c>
    </row>
    <row r="86">
      <c r="A86" s="14" t="n">
        <v>45755</v>
      </c>
      <c r="B86" s="4" t="inlineStr">
        <is>
          <t>SO202510316</t>
        </is>
      </c>
      <c r="C86" s="4" t="inlineStr">
        <is>
          <t>南京优鲜餐饮管理有限公司</t>
        </is>
      </c>
      <c r="D86" s="4" t="inlineStr">
        <is>
          <t>数控机床</t>
        </is>
      </c>
      <c r="E86" s="4" t="inlineStr">
        <is>
          <t>精装</t>
        </is>
      </c>
      <c r="F86" s="18" t="n">
        <v>3140</v>
      </c>
      <c r="G86" s="15" t="n">
        <v>273.83</v>
      </c>
      <c r="H86" s="15" t="n">
        <v>859826.2</v>
      </c>
      <c r="I86" s="4" t="inlineStr">
        <is>
          <t>江苏区域</t>
        </is>
      </c>
      <c r="J86" s="4" t="inlineStr">
        <is>
          <t>王艳芳</t>
        </is>
      </c>
    </row>
    <row r="87">
      <c r="A87" s="14" t="n">
        <v>45756</v>
      </c>
      <c r="B87" s="4" t="inlineStr">
        <is>
          <t>SO202510225</t>
        </is>
      </c>
      <c r="C87" s="4" t="inlineStr">
        <is>
          <t>嘉兴优鲜酒店管理集团</t>
        </is>
      </c>
      <c r="D87" s="4" t="inlineStr">
        <is>
          <t>工装夹具</t>
        </is>
      </c>
      <c r="E87" s="4" t="inlineStr">
        <is>
          <t>简装</t>
        </is>
      </c>
      <c r="F87" s="18" t="n">
        <v>3250</v>
      </c>
      <c r="G87" s="15" t="n">
        <v>108.99</v>
      </c>
      <c r="H87" s="15" t="n">
        <v>354217.5</v>
      </c>
      <c r="I87" s="4" t="inlineStr">
        <is>
          <t>浙江区域</t>
        </is>
      </c>
      <c r="J87" s="4" t="inlineStr">
        <is>
          <t>林丽娜</t>
        </is>
      </c>
    </row>
    <row r="88">
      <c r="A88" s="14" t="n">
        <v>45757</v>
      </c>
      <c r="B88" s="4" t="inlineStr">
        <is>
          <t>SO202510148</t>
        </is>
      </c>
      <c r="C88" s="4" t="inlineStr">
        <is>
          <t>镇江京功商贸有限公司</t>
        </is>
      </c>
      <c r="D88" s="4" t="inlineStr">
        <is>
          <t>工装夹具</t>
        </is>
      </c>
      <c r="E88" s="4" t="inlineStr">
        <is>
          <t>500g</t>
        </is>
      </c>
      <c r="F88" s="18" t="n">
        <v>200</v>
      </c>
      <c r="G88" s="15" t="n">
        <v>150.48</v>
      </c>
      <c r="H88" s="15" t="n">
        <v>30096</v>
      </c>
      <c r="I88" s="4" t="inlineStr">
        <is>
          <t>华中区域</t>
        </is>
      </c>
      <c r="J88" s="4" t="inlineStr">
        <is>
          <t>胡秀敏</t>
        </is>
      </c>
    </row>
    <row r="89">
      <c r="A89" s="14" t="n">
        <v>45757</v>
      </c>
      <c r="B89" s="4" t="inlineStr">
        <is>
          <t>SO202510248</t>
        </is>
      </c>
      <c r="C89" s="4" t="inlineStr">
        <is>
          <t>南京优鲜供应链有限公司</t>
        </is>
      </c>
      <c r="D89" s="4" t="inlineStr">
        <is>
          <t>工装夹具</t>
        </is>
      </c>
      <c r="E89" s="4" t="inlineStr">
        <is>
          <t>B级</t>
        </is>
      </c>
      <c r="F89" s="18" t="n">
        <v>4280</v>
      </c>
      <c r="G89" s="15" t="n">
        <v>239.83</v>
      </c>
      <c r="H89" s="15" t="n">
        <v>1026472.4</v>
      </c>
      <c r="I89" s="4" t="inlineStr">
        <is>
          <t>江苏区域</t>
        </is>
      </c>
      <c r="J89" s="4" t="inlineStr">
        <is>
          <t>李敏敏</t>
        </is>
      </c>
    </row>
    <row r="90">
      <c r="A90" s="14" t="n">
        <v>45759</v>
      </c>
      <c r="B90" s="4" t="inlineStr">
        <is>
          <t>SO202510181</t>
        </is>
      </c>
      <c r="C90" s="4" t="inlineStr">
        <is>
          <t>合肥京功电商平台</t>
        </is>
      </c>
      <c r="D90" s="4" t="inlineStr">
        <is>
          <t>工装夹具</t>
        </is>
      </c>
      <c r="E90" s="4" t="inlineStr">
        <is>
          <t>B级</t>
        </is>
      </c>
      <c r="F90" s="18" t="n">
        <v>3520</v>
      </c>
      <c r="G90" s="15" t="n">
        <v>86.48999999999999</v>
      </c>
      <c r="H90" s="15" t="n">
        <v>304444.8</v>
      </c>
      <c r="I90" s="4" t="inlineStr">
        <is>
          <t>广东区域</t>
        </is>
      </c>
      <c r="J90" s="4" t="inlineStr">
        <is>
          <t>李秀英</t>
        </is>
      </c>
    </row>
    <row r="91">
      <c r="A91" s="14" t="n">
        <v>45759</v>
      </c>
      <c r="B91" s="4" t="inlineStr">
        <is>
          <t>SO202510237</t>
        </is>
      </c>
      <c r="C91" s="4" t="inlineStr">
        <is>
          <t>上海京功供应链有限公司</t>
        </is>
      </c>
      <c r="D91" s="4" t="inlineStr">
        <is>
          <t>气动元件</t>
        </is>
      </c>
      <c r="E91" s="4" t="inlineStr">
        <is>
          <t>A级</t>
        </is>
      </c>
      <c r="F91" s="18" t="n">
        <v>2820</v>
      </c>
      <c r="G91" s="15" t="n">
        <v>190.18</v>
      </c>
      <c r="H91" s="15" t="n">
        <v>536307.6</v>
      </c>
      <c r="I91" s="4" t="inlineStr">
        <is>
          <t>江苏区域</t>
        </is>
      </c>
      <c r="J91" s="4" t="inlineStr">
        <is>
          <t>王超敏</t>
        </is>
      </c>
    </row>
    <row r="92">
      <c r="A92" s="14" t="n">
        <v>45762</v>
      </c>
      <c r="B92" s="4" t="inlineStr">
        <is>
          <t>SO202510269</t>
        </is>
      </c>
      <c r="C92" s="4" t="inlineStr">
        <is>
          <t>常州大匠餐饮管理有限公司</t>
        </is>
      </c>
      <c r="D92" s="4" t="inlineStr">
        <is>
          <t>液压件</t>
        </is>
      </c>
      <c r="E92" s="4" t="inlineStr">
        <is>
          <t>1kg</t>
        </is>
      </c>
      <c r="F92" s="18" t="n">
        <v>3080</v>
      </c>
      <c r="G92" s="15" t="n">
        <v>221.67</v>
      </c>
      <c r="H92" s="15" t="n">
        <v>682743.6</v>
      </c>
      <c r="I92" s="4" t="inlineStr">
        <is>
          <t>浙江区域</t>
        </is>
      </c>
      <c r="J92" s="4" t="inlineStr">
        <is>
          <t>陈明娜</t>
        </is>
      </c>
    </row>
    <row r="93">
      <c r="A93" s="14" t="n">
        <v>45765</v>
      </c>
      <c r="B93" s="4" t="inlineStr">
        <is>
          <t>SO202510215</t>
        </is>
      </c>
      <c r="C93" s="4" t="inlineStr">
        <is>
          <t>无锡百味供应链有限公司</t>
        </is>
      </c>
      <c r="D93" s="4" t="inlineStr">
        <is>
          <t>工装夹具</t>
        </is>
      </c>
      <c r="E93" s="4" t="inlineStr">
        <is>
          <t>简装</t>
        </is>
      </c>
      <c r="F93" s="18" t="n">
        <v>80</v>
      </c>
      <c r="G93" s="15" t="n">
        <v>151.28</v>
      </c>
      <c r="H93" s="15" t="n">
        <v>12102.4</v>
      </c>
      <c r="I93" s="4" t="inlineStr">
        <is>
          <t>江苏区域</t>
        </is>
      </c>
      <c r="J93" s="4" t="inlineStr">
        <is>
          <t>何芳秀</t>
        </is>
      </c>
    </row>
    <row r="94">
      <c r="A94" s="14" t="n">
        <v>45766</v>
      </c>
      <c r="B94" s="4" t="inlineStr">
        <is>
          <t>SO202510236</t>
        </is>
      </c>
      <c r="C94" s="4" t="inlineStr">
        <is>
          <t>杭州食佳酒店管理集团</t>
        </is>
      </c>
      <c r="D94" s="4" t="inlineStr">
        <is>
          <t>模具</t>
        </is>
      </c>
      <c r="E94" s="4" t="inlineStr">
        <is>
          <t>C级</t>
        </is>
      </c>
      <c r="F94" s="18" t="n">
        <v>150</v>
      </c>
      <c r="G94" s="15" t="n">
        <v>210.44</v>
      </c>
      <c r="H94" s="15" t="n">
        <v>31566</v>
      </c>
      <c r="I94" s="4" t="inlineStr">
        <is>
          <t>浙江区域</t>
        </is>
      </c>
      <c r="J94" s="4" t="inlineStr">
        <is>
          <t>林娜秀</t>
        </is>
      </c>
    </row>
    <row r="95">
      <c r="A95" s="14" t="n">
        <v>45768</v>
      </c>
      <c r="B95" s="4" t="inlineStr">
        <is>
          <t>SO202510115</t>
        </is>
      </c>
      <c r="C95" s="4" t="inlineStr">
        <is>
          <t>常州淼沃酒店管理集团</t>
        </is>
      </c>
      <c r="D95" s="4" t="inlineStr">
        <is>
          <t>气动元件</t>
        </is>
      </c>
      <c r="E95" s="4" t="inlineStr">
        <is>
          <t>B级</t>
        </is>
      </c>
      <c r="F95" s="18" t="n">
        <v>1680</v>
      </c>
      <c r="G95" s="15" t="n">
        <v>26.87</v>
      </c>
      <c r="H95" s="15" t="n">
        <v>45141.6</v>
      </c>
      <c r="I95" s="4" t="inlineStr">
        <is>
          <t>江苏区域</t>
        </is>
      </c>
      <c r="J95" s="4" t="inlineStr">
        <is>
          <t>徐勇娜</t>
        </is>
      </c>
    </row>
    <row r="96">
      <c r="A96" s="14" t="n">
        <v>45768</v>
      </c>
      <c r="B96" s="4" t="inlineStr">
        <is>
          <t>SO202510226</t>
        </is>
      </c>
      <c r="C96" s="4" t="inlineStr">
        <is>
          <t>南昌淼沃餐饮管理有限公司</t>
        </is>
      </c>
      <c r="D96" s="4" t="inlineStr">
        <is>
          <t>精密轴承</t>
        </is>
      </c>
      <c r="E96" s="4" t="inlineStr">
        <is>
          <t>精装</t>
        </is>
      </c>
      <c r="F96" s="18" t="n">
        <v>4400</v>
      </c>
      <c r="G96" s="15" t="n">
        <v>242.73</v>
      </c>
      <c r="H96" s="15" t="n">
        <v>1068012</v>
      </c>
      <c r="I96" s="4" t="inlineStr">
        <is>
          <t>浙江区域</t>
        </is>
      </c>
      <c r="J96" s="4" t="inlineStr">
        <is>
          <t>王芳娜</t>
        </is>
      </c>
    </row>
    <row r="97">
      <c r="A97" s="14" t="n">
        <v>45770</v>
      </c>
      <c r="B97" s="4" t="inlineStr">
        <is>
          <t>SO202510266</t>
        </is>
      </c>
      <c r="C97" s="4" t="inlineStr">
        <is>
          <t>苏州淼沃酒店管理集团</t>
        </is>
      </c>
      <c r="D97" s="4" t="inlineStr">
        <is>
          <t>气动元件</t>
        </is>
      </c>
      <c r="E97" s="4" t="inlineStr">
        <is>
          <t>25kg</t>
        </is>
      </c>
      <c r="F97" s="18" t="n">
        <v>310</v>
      </c>
      <c r="G97" s="15" t="n">
        <v>16.06</v>
      </c>
      <c r="H97" s="15" t="n">
        <v>4978.6</v>
      </c>
      <c r="I97" s="4" t="inlineStr">
        <is>
          <t>江苏区域</t>
        </is>
      </c>
      <c r="J97" s="4" t="inlineStr">
        <is>
          <t>徐明伟</t>
        </is>
      </c>
    </row>
    <row r="98">
      <c r="A98" s="14" t="n">
        <v>45770</v>
      </c>
      <c r="B98" s="4" t="inlineStr">
        <is>
          <t>SO202510328</t>
        </is>
      </c>
      <c r="C98" s="4" t="inlineStr">
        <is>
          <t>杭州食佳酒店管理集团</t>
        </is>
      </c>
      <c r="D98" s="4" t="inlineStr">
        <is>
          <t>精密轴承</t>
        </is>
      </c>
      <c r="E98" s="4" t="inlineStr">
        <is>
          <t>精装</t>
        </is>
      </c>
      <c r="F98" s="18" t="n">
        <v>3230</v>
      </c>
      <c r="G98" s="15" t="n">
        <v>248.49</v>
      </c>
      <c r="H98" s="15" t="n">
        <v>802622.7</v>
      </c>
      <c r="I98" s="4" t="inlineStr">
        <is>
          <t>浙江区域</t>
        </is>
      </c>
      <c r="J98" s="4" t="inlineStr">
        <is>
          <t>朱明英</t>
        </is>
      </c>
    </row>
    <row r="99">
      <c r="A99" s="14" t="n">
        <v>45771</v>
      </c>
      <c r="B99" s="4" t="inlineStr">
        <is>
          <t>SO202510016</t>
        </is>
      </c>
      <c r="C99" s="4" t="inlineStr">
        <is>
          <t>镇江大匠超市</t>
        </is>
      </c>
      <c r="D99" s="4" t="inlineStr">
        <is>
          <t>工装夹具</t>
        </is>
      </c>
      <c r="E99" s="4" t="inlineStr">
        <is>
          <t>10kg</t>
        </is>
      </c>
      <c r="F99" s="18" t="n">
        <v>3030</v>
      </c>
      <c r="G99" s="15" t="n">
        <v>260.55</v>
      </c>
      <c r="H99" s="15" t="n">
        <v>789466.5</v>
      </c>
      <c r="I99" s="4" t="inlineStr">
        <is>
          <t>浙江区域</t>
        </is>
      </c>
      <c r="J99" s="4" t="inlineStr">
        <is>
          <t>郭涛英</t>
        </is>
      </c>
    </row>
    <row r="100">
      <c r="A100" s="14" t="n">
        <v>45771</v>
      </c>
      <c r="B100" s="4" t="inlineStr">
        <is>
          <t>SO202510260</t>
        </is>
      </c>
      <c r="C100" s="4" t="inlineStr">
        <is>
          <t>杭州优鲜超市</t>
        </is>
      </c>
      <c r="D100" s="4" t="inlineStr">
        <is>
          <t>精密轴承</t>
        </is>
      </c>
      <c r="E100" s="4" t="inlineStr">
        <is>
          <t>A级</t>
        </is>
      </c>
      <c r="F100" s="18" t="n">
        <v>4010</v>
      </c>
      <c r="G100" s="15" t="n">
        <v>53.97</v>
      </c>
      <c r="H100" s="15" t="n">
        <v>216419.7</v>
      </c>
      <c r="I100" s="4" t="inlineStr">
        <is>
          <t>华中区域</t>
        </is>
      </c>
      <c r="J100" s="4" t="inlineStr">
        <is>
          <t>高勇秀</t>
        </is>
      </c>
    </row>
    <row r="101">
      <c r="A101" s="14" t="n">
        <v>45772</v>
      </c>
      <c r="B101" s="4" t="inlineStr">
        <is>
          <t>SO202510323</t>
        </is>
      </c>
      <c r="C101" s="4" t="inlineStr">
        <is>
          <t>嘉兴食佳供应链有限公司</t>
        </is>
      </c>
      <c r="D101" s="4" t="inlineStr">
        <is>
          <t>精密轴承</t>
        </is>
      </c>
      <c r="E101" s="4" t="inlineStr">
        <is>
          <t>精装</t>
        </is>
      </c>
      <c r="F101" s="18" t="n">
        <v>3500</v>
      </c>
      <c r="G101" s="15" t="n">
        <v>43.71</v>
      </c>
      <c r="H101" s="15" t="n">
        <v>152985</v>
      </c>
      <c r="I101" s="4" t="inlineStr">
        <is>
          <t>华中区域</t>
        </is>
      </c>
      <c r="J101" s="4" t="inlineStr">
        <is>
          <t>杨超娜</t>
        </is>
      </c>
    </row>
    <row r="102">
      <c r="A102" s="14" t="n">
        <v>45774</v>
      </c>
      <c r="B102" s="4" t="inlineStr">
        <is>
          <t>SO202510074</t>
        </is>
      </c>
      <c r="C102" s="4" t="inlineStr">
        <is>
          <t>苏州百味食品有限公司</t>
        </is>
      </c>
      <c r="D102" s="4" t="inlineStr">
        <is>
          <t>数控机床</t>
        </is>
      </c>
      <c r="E102" s="4" t="inlineStr">
        <is>
          <t>25kg</t>
        </is>
      </c>
      <c r="F102" s="18" t="n">
        <v>2280</v>
      </c>
      <c r="G102" s="15" t="n">
        <v>161.88</v>
      </c>
      <c r="H102" s="15" t="n">
        <v>369086.4</v>
      </c>
      <c r="I102" s="4" t="inlineStr">
        <is>
          <t>华中区域</t>
        </is>
      </c>
      <c r="J102" s="4" t="inlineStr">
        <is>
          <t>赵秀敏</t>
        </is>
      </c>
    </row>
    <row r="103">
      <c r="A103" s="14" t="n">
        <v>45778</v>
      </c>
      <c r="B103" s="4" t="inlineStr">
        <is>
          <t>SO202510062</t>
        </is>
      </c>
      <c r="C103" s="4" t="inlineStr">
        <is>
          <t>镇江大匠商贸有限公司</t>
        </is>
      </c>
      <c r="D103" s="4" t="inlineStr">
        <is>
          <t>液压件</t>
        </is>
      </c>
      <c r="E103" s="4" t="inlineStr">
        <is>
          <t>2.5kg</t>
        </is>
      </c>
      <c r="F103" s="18" t="n">
        <v>4720</v>
      </c>
      <c r="G103" s="15" t="n">
        <v>32.63</v>
      </c>
      <c r="H103" s="15" t="n">
        <v>154013.6</v>
      </c>
      <c r="I103" s="4" t="inlineStr">
        <is>
          <t>江苏区域</t>
        </is>
      </c>
      <c r="J103" s="4" t="inlineStr">
        <is>
          <t>徐秀秀</t>
        </is>
      </c>
    </row>
    <row r="104">
      <c r="A104" s="14" t="n">
        <v>45780</v>
      </c>
      <c r="B104" s="4" t="inlineStr">
        <is>
          <t>SO202510061</t>
        </is>
      </c>
      <c r="C104" s="4" t="inlineStr">
        <is>
          <t>宁波大匠食品有限公司</t>
        </is>
      </c>
      <c r="D104" s="4" t="inlineStr">
        <is>
          <t>数控机床</t>
        </is>
      </c>
      <c r="E104" s="4" t="inlineStr">
        <is>
          <t>B级</t>
        </is>
      </c>
      <c r="F104" s="18" t="n">
        <v>1130</v>
      </c>
      <c r="G104" s="15" t="n">
        <v>84.09</v>
      </c>
      <c r="H104" s="15" t="n">
        <v>95021.7</v>
      </c>
      <c r="I104" s="4" t="inlineStr">
        <is>
          <t>江苏区域</t>
        </is>
      </c>
      <c r="J104" s="4" t="inlineStr">
        <is>
          <t>李明伟</t>
        </is>
      </c>
    </row>
    <row r="105">
      <c r="A105" s="14" t="n">
        <v>45780</v>
      </c>
      <c r="B105" s="4" t="inlineStr">
        <is>
          <t>SO202510068</t>
        </is>
      </c>
      <c r="C105" s="4" t="inlineStr">
        <is>
          <t>杭州百味商贸有限公司</t>
        </is>
      </c>
      <c r="D105" s="4" t="inlineStr">
        <is>
          <t>数控机床</t>
        </is>
      </c>
      <c r="E105" s="4" t="inlineStr">
        <is>
          <t>B级</t>
        </is>
      </c>
      <c r="F105" s="18" t="n">
        <v>4270</v>
      </c>
      <c r="G105" s="15" t="n">
        <v>120.2</v>
      </c>
      <c r="H105" s="15" t="n">
        <v>513254</v>
      </c>
      <c r="I105" s="4" t="inlineStr">
        <is>
          <t>江苏区域</t>
        </is>
      </c>
      <c r="J105" s="4" t="inlineStr">
        <is>
          <t>胡勇芳</t>
        </is>
      </c>
    </row>
    <row r="106">
      <c r="A106" s="14" t="n">
        <v>45781</v>
      </c>
      <c r="B106" s="4" t="inlineStr">
        <is>
          <t>SO202510095</t>
        </is>
      </c>
      <c r="C106" s="4" t="inlineStr">
        <is>
          <t>嘉兴淼沃酒店管理集团</t>
        </is>
      </c>
      <c r="D106" s="4" t="inlineStr">
        <is>
          <t>气动元件</t>
        </is>
      </c>
      <c r="E106" s="4" t="inlineStr">
        <is>
          <t>特级</t>
        </is>
      </c>
      <c r="F106" s="18" t="n">
        <v>1970</v>
      </c>
      <c r="G106" s="15" t="n">
        <v>25.97</v>
      </c>
      <c r="H106" s="15" t="n">
        <v>51160.9</v>
      </c>
      <c r="I106" s="4" t="inlineStr">
        <is>
          <t>华中区域</t>
        </is>
      </c>
      <c r="J106" s="4" t="inlineStr">
        <is>
          <t>黄伟芳</t>
        </is>
      </c>
    </row>
    <row r="107">
      <c r="A107" s="14" t="n">
        <v>45781</v>
      </c>
      <c r="B107" s="4" t="inlineStr">
        <is>
          <t>SO202510124</t>
        </is>
      </c>
      <c r="C107" s="4" t="inlineStr">
        <is>
          <t>南京食佳酒店管理集团</t>
        </is>
      </c>
      <c r="D107" s="4" t="inlineStr">
        <is>
          <t>数控机床</t>
        </is>
      </c>
      <c r="E107" s="4" t="inlineStr">
        <is>
          <t>10kg</t>
        </is>
      </c>
      <c r="F107" s="18" t="n">
        <v>1840</v>
      </c>
      <c r="G107" s="15" t="n">
        <v>9.279999999999999</v>
      </c>
      <c r="H107" s="15" t="n">
        <v>17075.2</v>
      </c>
      <c r="I107" s="4" t="inlineStr">
        <is>
          <t>华中区域</t>
        </is>
      </c>
      <c r="J107" s="4" t="inlineStr">
        <is>
          <t>朱兰英</t>
        </is>
      </c>
    </row>
    <row r="108">
      <c r="A108" s="14" t="n">
        <v>45781</v>
      </c>
      <c r="B108" s="4" t="inlineStr">
        <is>
          <t>SO202510230</t>
        </is>
      </c>
      <c r="C108" s="4" t="inlineStr">
        <is>
          <t>温州京功供应链有限公司</t>
        </is>
      </c>
      <c r="D108" s="4" t="inlineStr">
        <is>
          <t>数控机床</t>
        </is>
      </c>
      <c r="E108" s="4" t="inlineStr">
        <is>
          <t>5kg</t>
        </is>
      </c>
      <c r="F108" s="18" t="n">
        <v>2130</v>
      </c>
      <c r="G108" s="15" t="n">
        <v>146.93</v>
      </c>
      <c r="H108" s="15" t="n">
        <v>312960.9</v>
      </c>
      <c r="I108" s="4" t="inlineStr">
        <is>
          <t>广东区域</t>
        </is>
      </c>
      <c r="J108" s="4" t="inlineStr">
        <is>
          <t>孙秀秀</t>
        </is>
      </c>
    </row>
    <row r="109">
      <c r="A109" s="14" t="n">
        <v>45782</v>
      </c>
      <c r="B109" s="4" t="inlineStr">
        <is>
          <t>SO202510022</t>
        </is>
      </c>
      <c r="C109" s="4" t="inlineStr">
        <is>
          <t>嘉兴优鲜酒店管理集团</t>
        </is>
      </c>
      <c r="D109" s="4" t="inlineStr">
        <is>
          <t>精密轴承</t>
        </is>
      </c>
      <c r="E109" s="4" t="inlineStr">
        <is>
          <t>B级</t>
        </is>
      </c>
      <c r="F109" s="18" t="n">
        <v>4590</v>
      </c>
      <c r="G109" s="15" t="n">
        <v>196.93</v>
      </c>
      <c r="H109" s="15" t="n">
        <v>903908.7</v>
      </c>
      <c r="I109" s="4" t="inlineStr">
        <is>
          <t>江苏区域</t>
        </is>
      </c>
      <c r="J109" s="4" t="inlineStr">
        <is>
          <t>徐艳娜</t>
        </is>
      </c>
    </row>
    <row r="110">
      <c r="A110" s="14" t="n">
        <v>45782</v>
      </c>
      <c r="B110" s="4" t="inlineStr">
        <is>
          <t>SO202510222</t>
        </is>
      </c>
      <c r="C110" s="4" t="inlineStr">
        <is>
          <t>南昌百味供应链有限公司</t>
        </is>
      </c>
      <c r="D110" s="4" t="inlineStr">
        <is>
          <t>气动元件</t>
        </is>
      </c>
      <c r="E110" s="4" t="inlineStr">
        <is>
          <t>10kg</t>
        </is>
      </c>
      <c r="F110" s="18" t="n">
        <v>4760</v>
      </c>
      <c r="G110" s="15" t="n">
        <v>262.76</v>
      </c>
      <c r="H110" s="15" t="n">
        <v>1250737.6</v>
      </c>
      <c r="I110" s="4" t="inlineStr">
        <is>
          <t>广东区域</t>
        </is>
      </c>
      <c r="J110" s="4" t="inlineStr">
        <is>
          <t>陈杰英</t>
        </is>
      </c>
    </row>
    <row r="111">
      <c r="A111" s="14" t="n">
        <v>45783</v>
      </c>
      <c r="B111" s="4" t="inlineStr">
        <is>
          <t>SO202510302</t>
        </is>
      </c>
      <c r="C111" s="4" t="inlineStr">
        <is>
          <t>南昌淼沃商贸有限公司</t>
        </is>
      </c>
      <c r="D111" s="4" t="inlineStr">
        <is>
          <t>工装夹具</t>
        </is>
      </c>
      <c r="E111" s="4" t="inlineStr">
        <is>
          <t>25kg</t>
        </is>
      </c>
      <c r="F111" s="18" t="n">
        <v>3930</v>
      </c>
      <c r="G111" s="15" t="n">
        <v>95.83</v>
      </c>
      <c r="H111" s="15" t="n">
        <v>376611.9</v>
      </c>
      <c r="I111" s="4" t="inlineStr">
        <is>
          <t>广东区域</t>
        </is>
      </c>
      <c r="J111" s="4" t="inlineStr">
        <is>
          <t>郭超敏</t>
        </is>
      </c>
    </row>
    <row r="112">
      <c r="A112" s="14" t="n">
        <v>45785</v>
      </c>
      <c r="B112" s="4" t="inlineStr">
        <is>
          <t>SO202510048</t>
        </is>
      </c>
      <c r="C112" s="4" t="inlineStr">
        <is>
          <t>常州京功商贸有限公司</t>
        </is>
      </c>
      <c r="D112" s="4" t="inlineStr">
        <is>
          <t>液压件</t>
        </is>
      </c>
      <c r="E112" s="4" t="inlineStr">
        <is>
          <t>500g</t>
        </is>
      </c>
      <c r="F112" s="18" t="n">
        <v>810</v>
      </c>
      <c r="G112" s="15" t="n">
        <v>187.41</v>
      </c>
      <c r="H112" s="15" t="n">
        <v>151802.1</v>
      </c>
      <c r="I112" s="4" t="inlineStr">
        <is>
          <t>华中区域</t>
        </is>
      </c>
      <c r="J112" s="4" t="inlineStr">
        <is>
          <t>林强伟</t>
        </is>
      </c>
    </row>
    <row r="113">
      <c r="A113" s="14" t="n">
        <v>45785</v>
      </c>
      <c r="B113" s="4" t="inlineStr">
        <is>
          <t>SO202510184</t>
        </is>
      </c>
      <c r="C113" s="4" t="inlineStr">
        <is>
          <t>常州淼沃超市</t>
        </is>
      </c>
      <c r="D113" s="4" t="inlineStr">
        <is>
          <t>精密轴承</t>
        </is>
      </c>
      <c r="E113" s="4" t="inlineStr">
        <is>
          <t>500g</t>
        </is>
      </c>
      <c r="F113" s="18" t="n">
        <v>2180</v>
      </c>
      <c r="G113" s="15" t="n">
        <v>292.7</v>
      </c>
      <c r="H113" s="15" t="n">
        <v>638086</v>
      </c>
      <c r="I113" s="4" t="inlineStr">
        <is>
          <t>浙江区域</t>
        </is>
      </c>
      <c r="J113" s="4" t="inlineStr">
        <is>
          <t>胡兰秀</t>
        </is>
      </c>
    </row>
    <row r="114">
      <c r="A114" s="14" t="n">
        <v>45786</v>
      </c>
      <c r="B114" s="4" t="inlineStr">
        <is>
          <t>SO202510100</t>
        </is>
      </c>
      <c r="C114" s="4" t="inlineStr">
        <is>
          <t>杭州淼沃电商平台</t>
        </is>
      </c>
      <c r="D114" s="4" t="inlineStr">
        <is>
          <t>液压件</t>
        </is>
      </c>
      <c r="E114" s="4" t="inlineStr">
        <is>
          <t>1kg</t>
        </is>
      </c>
      <c r="F114" s="18" t="n">
        <v>3510</v>
      </c>
      <c r="G114" s="15" t="n">
        <v>159.67</v>
      </c>
      <c r="H114" s="15" t="n">
        <v>560441.7</v>
      </c>
      <c r="I114" s="4" t="inlineStr">
        <is>
          <t>江苏区域</t>
        </is>
      </c>
      <c r="J114" s="4" t="inlineStr">
        <is>
          <t>朱超秀</t>
        </is>
      </c>
    </row>
    <row r="115">
      <c r="A115" s="14" t="n">
        <v>45786</v>
      </c>
      <c r="B115" s="4" t="inlineStr">
        <is>
          <t>SO202510172</t>
        </is>
      </c>
      <c r="C115" s="4" t="inlineStr">
        <is>
          <t>温州优鲜供应链有限公司</t>
        </is>
      </c>
      <c r="D115" s="4" t="inlineStr">
        <is>
          <t>气动元件</t>
        </is>
      </c>
      <c r="E115" s="4" t="inlineStr">
        <is>
          <t>简装</t>
        </is>
      </c>
      <c r="F115" s="18" t="n">
        <v>3610</v>
      </c>
      <c r="G115" s="15" t="n">
        <v>130.08</v>
      </c>
      <c r="H115" s="15" t="n">
        <v>469588.8</v>
      </c>
      <c r="I115" s="4" t="inlineStr">
        <is>
          <t>江苏区域</t>
        </is>
      </c>
      <c r="J115" s="4" t="inlineStr">
        <is>
          <t>陈强秀</t>
        </is>
      </c>
    </row>
    <row r="116">
      <c r="A116" s="14" t="n">
        <v>45786</v>
      </c>
      <c r="B116" s="4" t="inlineStr">
        <is>
          <t>SO202510195</t>
        </is>
      </c>
      <c r="C116" s="4" t="inlineStr">
        <is>
          <t>南京优鲜商贸有限公司</t>
        </is>
      </c>
      <c r="D116" s="4" t="inlineStr">
        <is>
          <t>模具</t>
        </is>
      </c>
      <c r="E116" s="4" t="inlineStr">
        <is>
          <t>标准</t>
        </is>
      </c>
      <c r="F116" s="18" t="n">
        <v>3140</v>
      </c>
      <c r="G116" s="15" t="n">
        <v>17.7</v>
      </c>
      <c r="H116" s="15" t="n">
        <v>55578</v>
      </c>
      <c r="I116" s="4" t="inlineStr">
        <is>
          <t>江苏区域</t>
        </is>
      </c>
      <c r="J116" s="4" t="inlineStr">
        <is>
          <t>郭艳芳</t>
        </is>
      </c>
    </row>
    <row r="117">
      <c r="A117" s="14" t="n">
        <v>45787</v>
      </c>
      <c r="B117" s="4" t="inlineStr">
        <is>
          <t>SO202510063</t>
        </is>
      </c>
      <c r="C117" s="4" t="inlineStr">
        <is>
          <t>合肥食佳食品有限公司</t>
        </is>
      </c>
      <c r="D117" s="4" t="inlineStr">
        <is>
          <t>气动元件</t>
        </is>
      </c>
      <c r="E117" s="4" t="inlineStr">
        <is>
          <t>500g</t>
        </is>
      </c>
      <c r="F117" s="18" t="n">
        <v>200</v>
      </c>
      <c r="G117" s="15" t="n">
        <v>154.43</v>
      </c>
      <c r="H117" s="15" t="n">
        <v>30886</v>
      </c>
      <c r="I117" s="4" t="inlineStr">
        <is>
          <t>江苏区域</t>
        </is>
      </c>
      <c r="J117" s="4" t="inlineStr">
        <is>
          <t>周芳秀</t>
        </is>
      </c>
    </row>
    <row r="118">
      <c r="A118" s="14" t="n">
        <v>45788</v>
      </c>
      <c r="B118" s="4" t="inlineStr">
        <is>
          <t>SO202510065</t>
        </is>
      </c>
      <c r="C118" s="4" t="inlineStr">
        <is>
          <t>无锡优鲜餐饮管理有限公司</t>
        </is>
      </c>
      <c r="D118" s="4" t="inlineStr">
        <is>
          <t>气动元件</t>
        </is>
      </c>
      <c r="E118" s="4" t="inlineStr">
        <is>
          <t>25kg</t>
        </is>
      </c>
      <c r="F118" s="18" t="n">
        <v>650</v>
      </c>
      <c r="G118" s="15" t="n">
        <v>284.31</v>
      </c>
      <c r="H118" s="15" t="n">
        <v>184801.5</v>
      </c>
      <c r="I118" s="4" t="inlineStr">
        <is>
          <t>江苏区域</t>
        </is>
      </c>
      <c r="J118" s="4" t="inlineStr">
        <is>
          <t>林兰娜</t>
        </is>
      </c>
    </row>
    <row r="119">
      <c r="A119" s="14" t="n">
        <v>45789</v>
      </c>
      <c r="B119" s="4" t="inlineStr">
        <is>
          <t>SO202510197</t>
        </is>
      </c>
      <c r="C119" s="4" t="inlineStr">
        <is>
          <t>南昌食佳酒店管理集团</t>
        </is>
      </c>
      <c r="D119" s="4" t="inlineStr">
        <is>
          <t>精密轴承</t>
        </is>
      </c>
      <c r="E119" s="4" t="inlineStr">
        <is>
          <t>B级</t>
        </is>
      </c>
      <c r="F119" s="18" t="n">
        <v>1630</v>
      </c>
      <c r="G119" s="15" t="n">
        <v>50.02</v>
      </c>
      <c r="H119" s="15" t="n">
        <v>81532.60000000001</v>
      </c>
      <c r="I119" s="4" t="inlineStr">
        <is>
          <t>江苏区域</t>
        </is>
      </c>
      <c r="J119" s="4" t="inlineStr">
        <is>
          <t>赵秀伟</t>
        </is>
      </c>
    </row>
    <row r="120">
      <c r="A120" s="14" t="n">
        <v>45790</v>
      </c>
      <c r="B120" s="4" t="inlineStr">
        <is>
          <t>SO202510301</t>
        </is>
      </c>
      <c r="C120" s="4" t="inlineStr">
        <is>
          <t>苏州食佳供应链有限公司</t>
        </is>
      </c>
      <c r="D120" s="4" t="inlineStr">
        <is>
          <t>工装夹具</t>
        </is>
      </c>
      <c r="E120" s="4" t="inlineStr">
        <is>
          <t>500g</t>
        </is>
      </c>
      <c r="F120" s="18" t="n">
        <v>3330</v>
      </c>
      <c r="G120" s="15" t="n">
        <v>31.4</v>
      </c>
      <c r="H120" s="15" t="n">
        <v>104562</v>
      </c>
      <c r="I120" s="4" t="inlineStr">
        <is>
          <t>广东区域</t>
        </is>
      </c>
      <c r="J120" s="4" t="inlineStr">
        <is>
          <t>黄芳英</t>
        </is>
      </c>
    </row>
    <row r="121">
      <c r="A121" s="14" t="n">
        <v>45791</v>
      </c>
      <c r="B121" s="4" t="inlineStr">
        <is>
          <t>SO202510070</t>
        </is>
      </c>
      <c r="C121" s="4" t="inlineStr">
        <is>
          <t>合肥百味食品有限公司</t>
        </is>
      </c>
      <c r="D121" s="4" t="inlineStr">
        <is>
          <t>数控机床</t>
        </is>
      </c>
      <c r="E121" s="4" t="inlineStr">
        <is>
          <t>标准</t>
        </is>
      </c>
      <c r="F121" s="18" t="n">
        <v>850</v>
      </c>
      <c r="G121" s="15" t="n">
        <v>101.72</v>
      </c>
      <c r="H121" s="15" t="n">
        <v>86462</v>
      </c>
      <c r="I121" s="4" t="inlineStr">
        <is>
          <t>华中区域</t>
        </is>
      </c>
      <c r="J121" s="4" t="inlineStr">
        <is>
          <t>吴伟伟</t>
        </is>
      </c>
    </row>
    <row r="122">
      <c r="A122" s="14" t="n">
        <v>45794</v>
      </c>
      <c r="B122" s="4" t="inlineStr">
        <is>
          <t>SO202510071</t>
        </is>
      </c>
      <c r="C122" s="4" t="inlineStr">
        <is>
          <t>温州淼沃餐饮管理有限公司</t>
        </is>
      </c>
      <c r="D122" s="4" t="inlineStr">
        <is>
          <t>气动元件</t>
        </is>
      </c>
      <c r="E122" s="4" t="inlineStr">
        <is>
          <t>标准</t>
        </is>
      </c>
      <c r="F122" s="18" t="n">
        <v>2380</v>
      </c>
      <c r="G122" s="15" t="n">
        <v>182.84</v>
      </c>
      <c r="H122" s="15" t="n">
        <v>435159.2</v>
      </c>
      <c r="I122" s="4" t="inlineStr">
        <is>
          <t>广东区域</t>
        </is>
      </c>
      <c r="J122" s="4" t="inlineStr">
        <is>
          <t>高明英</t>
        </is>
      </c>
    </row>
    <row r="123">
      <c r="A123" s="14" t="n">
        <v>45795</v>
      </c>
      <c r="B123" s="4" t="inlineStr">
        <is>
          <t>SO202510113</t>
        </is>
      </c>
      <c r="C123" s="4" t="inlineStr">
        <is>
          <t>南昌京功商贸有限公司</t>
        </is>
      </c>
      <c r="D123" s="4" t="inlineStr">
        <is>
          <t>液压件</t>
        </is>
      </c>
      <c r="E123" s="4" t="inlineStr">
        <is>
          <t>A级</t>
        </is>
      </c>
      <c r="F123" s="18" t="n">
        <v>770</v>
      </c>
      <c r="G123" s="15" t="n">
        <v>61.29</v>
      </c>
      <c r="H123" s="15" t="n">
        <v>47193.3</v>
      </c>
      <c r="I123" s="4" t="inlineStr">
        <is>
          <t>广东区域</t>
        </is>
      </c>
      <c r="J123" s="4" t="inlineStr">
        <is>
          <t>李兰秀</t>
        </is>
      </c>
    </row>
    <row r="124">
      <c r="A124" s="14" t="n">
        <v>45797</v>
      </c>
      <c r="B124" s="4" t="inlineStr">
        <is>
          <t>SO202510078</t>
        </is>
      </c>
      <c r="C124" s="4" t="inlineStr">
        <is>
          <t>无锡淼沃餐饮管理有限公司</t>
        </is>
      </c>
      <c r="D124" s="4" t="inlineStr">
        <is>
          <t>工装夹具</t>
        </is>
      </c>
      <c r="E124" s="4" t="inlineStr">
        <is>
          <t>10kg</t>
        </is>
      </c>
      <c r="F124" s="18" t="n">
        <v>4090</v>
      </c>
      <c r="G124" s="15" t="n">
        <v>178.81</v>
      </c>
      <c r="H124" s="15" t="n">
        <v>731332.9</v>
      </c>
      <c r="I124" s="4" t="inlineStr">
        <is>
          <t>华中区域</t>
        </is>
      </c>
      <c r="J124" s="4" t="inlineStr">
        <is>
          <t>马勇芳</t>
        </is>
      </c>
    </row>
    <row r="125">
      <c r="A125" s="14" t="n">
        <v>45799</v>
      </c>
      <c r="B125" s="4" t="inlineStr">
        <is>
          <t>SO202510064</t>
        </is>
      </c>
      <c r="C125" s="4" t="inlineStr">
        <is>
          <t>苏州大匠食品有限公司</t>
        </is>
      </c>
      <c r="D125" s="4" t="inlineStr">
        <is>
          <t>模具</t>
        </is>
      </c>
      <c r="E125" s="4" t="inlineStr">
        <is>
          <t>25kg</t>
        </is>
      </c>
      <c r="F125" s="18" t="n">
        <v>2350</v>
      </c>
      <c r="G125" s="15" t="n">
        <v>161.52</v>
      </c>
      <c r="H125" s="15" t="n">
        <v>379572</v>
      </c>
      <c r="I125" s="4" t="inlineStr">
        <is>
          <t>华中区域</t>
        </is>
      </c>
      <c r="J125" s="4" t="inlineStr">
        <is>
          <t>赵强娜</t>
        </is>
      </c>
    </row>
    <row r="126">
      <c r="A126" s="14" t="n">
        <v>45799</v>
      </c>
      <c r="B126" s="4" t="inlineStr">
        <is>
          <t>SO202510312</t>
        </is>
      </c>
      <c r="C126" s="4" t="inlineStr">
        <is>
          <t>上海大匠餐饮管理有限公司</t>
        </is>
      </c>
      <c r="D126" s="4" t="inlineStr">
        <is>
          <t>液压件</t>
        </is>
      </c>
      <c r="E126" s="4" t="inlineStr">
        <is>
          <t>精装</t>
        </is>
      </c>
      <c r="F126" s="18" t="n">
        <v>4160</v>
      </c>
      <c r="G126" s="15" t="n">
        <v>107.04</v>
      </c>
      <c r="H126" s="15" t="n">
        <v>445286.4</v>
      </c>
      <c r="I126" s="4" t="inlineStr">
        <is>
          <t>广东区域</t>
        </is>
      </c>
      <c r="J126" s="4" t="inlineStr">
        <is>
          <t>朱涛秀</t>
        </is>
      </c>
    </row>
    <row r="127">
      <c r="A127" s="14" t="n">
        <v>45800</v>
      </c>
      <c r="B127" s="4" t="inlineStr">
        <is>
          <t>SO202510245</t>
        </is>
      </c>
      <c r="C127" s="4" t="inlineStr">
        <is>
          <t>杭州淼沃食品有限公司</t>
        </is>
      </c>
      <c r="D127" s="4" t="inlineStr">
        <is>
          <t>液压件</t>
        </is>
      </c>
      <c r="E127" s="4" t="inlineStr">
        <is>
          <t>简装</t>
        </is>
      </c>
      <c r="F127" s="18" t="n">
        <v>1640</v>
      </c>
      <c r="G127" s="15" t="n">
        <v>51.06</v>
      </c>
      <c r="H127" s="15" t="n">
        <v>83738.39999999999</v>
      </c>
      <c r="I127" s="4" t="inlineStr">
        <is>
          <t>广东区域</t>
        </is>
      </c>
      <c r="J127" s="4" t="inlineStr">
        <is>
          <t>陈涛敏</t>
        </is>
      </c>
    </row>
    <row r="128">
      <c r="A128" s="14" t="n">
        <v>45802</v>
      </c>
      <c r="B128" s="4" t="inlineStr">
        <is>
          <t>SO202510096</t>
        </is>
      </c>
      <c r="C128" s="4" t="inlineStr">
        <is>
          <t>常州百味商贸有限公司</t>
        </is>
      </c>
      <c r="D128" s="4" t="inlineStr">
        <is>
          <t>数控机床</t>
        </is>
      </c>
      <c r="E128" s="4" t="inlineStr">
        <is>
          <t>5kg</t>
        </is>
      </c>
      <c r="F128" s="18" t="n">
        <v>3540</v>
      </c>
      <c r="G128" s="15" t="n">
        <v>191.13</v>
      </c>
      <c r="H128" s="15" t="n">
        <v>676600.2</v>
      </c>
      <c r="I128" s="4" t="inlineStr">
        <is>
          <t>江苏区域</t>
        </is>
      </c>
      <c r="J128" s="4" t="inlineStr">
        <is>
          <t>郭静娜</t>
        </is>
      </c>
    </row>
    <row r="129">
      <c r="A129" s="14" t="n">
        <v>45803</v>
      </c>
      <c r="B129" s="4" t="inlineStr">
        <is>
          <t>SO202510256</t>
        </is>
      </c>
      <c r="C129" s="4" t="inlineStr">
        <is>
          <t>常州淼沃食品有限公司</t>
        </is>
      </c>
      <c r="D129" s="4" t="inlineStr">
        <is>
          <t>液压件</t>
        </is>
      </c>
      <c r="E129" s="4" t="inlineStr">
        <is>
          <t>1kg</t>
        </is>
      </c>
      <c r="F129" s="18" t="n">
        <v>810</v>
      </c>
      <c r="G129" s="15" t="n">
        <v>62.56</v>
      </c>
      <c r="H129" s="15" t="n">
        <v>50673.6</v>
      </c>
      <c r="I129" s="4" t="inlineStr">
        <is>
          <t>浙江区域</t>
        </is>
      </c>
      <c r="J129" s="4" t="inlineStr">
        <is>
          <t>高秀伟</t>
        </is>
      </c>
    </row>
    <row r="130">
      <c r="A130" s="14" t="n">
        <v>45804</v>
      </c>
      <c r="B130" s="4" t="inlineStr">
        <is>
          <t>SO202510210</t>
        </is>
      </c>
      <c r="C130" s="4" t="inlineStr">
        <is>
          <t>南昌大匠供应链有限公司</t>
        </is>
      </c>
      <c r="D130" s="4" t="inlineStr">
        <is>
          <t>模具</t>
        </is>
      </c>
      <c r="E130" s="4" t="inlineStr">
        <is>
          <t>B级</t>
        </is>
      </c>
      <c r="F130" s="18" t="n">
        <v>1470</v>
      </c>
      <c r="G130" s="15" t="n">
        <v>237.88</v>
      </c>
      <c r="H130" s="15" t="n">
        <v>349683.6</v>
      </c>
      <c r="I130" s="4" t="inlineStr">
        <is>
          <t>江苏区域</t>
        </is>
      </c>
      <c r="J130" s="4" t="inlineStr">
        <is>
          <t>朱勇秀</t>
        </is>
      </c>
    </row>
    <row r="131">
      <c r="A131" s="14" t="n">
        <v>45809</v>
      </c>
      <c r="B131" s="4" t="inlineStr">
        <is>
          <t>SO202510088</t>
        </is>
      </c>
      <c r="C131" s="4" t="inlineStr">
        <is>
          <t>南京京功食品有限公司</t>
        </is>
      </c>
      <c r="D131" s="4" t="inlineStr">
        <is>
          <t>模具</t>
        </is>
      </c>
      <c r="E131" s="4" t="inlineStr">
        <is>
          <t>25kg</t>
        </is>
      </c>
      <c r="F131" s="18" t="n">
        <v>4740</v>
      </c>
      <c r="G131" s="15" t="n">
        <v>58.29</v>
      </c>
      <c r="H131" s="15" t="n">
        <v>276294.6</v>
      </c>
      <c r="I131" s="4" t="inlineStr">
        <is>
          <t>江苏区域</t>
        </is>
      </c>
      <c r="J131" s="4" t="inlineStr">
        <is>
          <t>李秀敏</t>
        </is>
      </c>
    </row>
    <row r="132">
      <c r="A132" s="14" t="n">
        <v>45809</v>
      </c>
      <c r="B132" s="4" t="inlineStr">
        <is>
          <t>SO202510241</t>
        </is>
      </c>
      <c r="C132" s="4" t="inlineStr">
        <is>
          <t>杭州淼沃酒店管理集团</t>
        </is>
      </c>
      <c r="D132" s="4" t="inlineStr">
        <is>
          <t>液压件</t>
        </is>
      </c>
      <c r="E132" s="4" t="inlineStr">
        <is>
          <t>10kg</t>
        </is>
      </c>
      <c r="F132" s="18" t="n">
        <v>1660</v>
      </c>
      <c r="G132" s="15" t="n">
        <v>269.74</v>
      </c>
      <c r="H132" s="15" t="n">
        <v>447768.4</v>
      </c>
      <c r="I132" s="4" t="inlineStr">
        <is>
          <t>江苏区域</t>
        </is>
      </c>
      <c r="J132" s="4" t="inlineStr">
        <is>
          <t>马英英</t>
        </is>
      </c>
    </row>
    <row r="133">
      <c r="A133" s="14" t="n">
        <v>45811</v>
      </c>
      <c r="B133" s="4" t="inlineStr">
        <is>
          <t>SO202510053</t>
        </is>
      </c>
      <c r="C133" s="4" t="inlineStr">
        <is>
          <t>镇江京功供应链有限公司</t>
        </is>
      </c>
      <c r="D133" s="4" t="inlineStr">
        <is>
          <t>气动元件</t>
        </is>
      </c>
      <c r="E133" s="4" t="inlineStr">
        <is>
          <t>C级</t>
        </is>
      </c>
      <c r="F133" s="18" t="n">
        <v>2070</v>
      </c>
      <c r="G133" s="15" t="n">
        <v>133.67</v>
      </c>
      <c r="H133" s="15" t="n">
        <v>276696.9</v>
      </c>
      <c r="I133" s="4" t="inlineStr">
        <is>
          <t>华中区域</t>
        </is>
      </c>
      <c r="J133" s="4" t="inlineStr">
        <is>
          <t>刘静英</t>
        </is>
      </c>
    </row>
    <row r="134">
      <c r="A134" s="14" t="n">
        <v>45813</v>
      </c>
      <c r="B134" s="4" t="inlineStr">
        <is>
          <t>SO202510220</t>
        </is>
      </c>
      <c r="C134" s="4" t="inlineStr">
        <is>
          <t>杭州淼沃电商平台</t>
        </is>
      </c>
      <c r="D134" s="4" t="inlineStr">
        <is>
          <t>数控机床</t>
        </is>
      </c>
      <c r="E134" s="4" t="inlineStr">
        <is>
          <t>1kg</t>
        </is>
      </c>
      <c r="F134" s="18" t="n">
        <v>1250</v>
      </c>
      <c r="G134" s="15" t="n">
        <v>30.68</v>
      </c>
      <c r="H134" s="15" t="n">
        <v>38350</v>
      </c>
      <c r="I134" s="4" t="inlineStr">
        <is>
          <t>华中区域</t>
        </is>
      </c>
      <c r="J134" s="4" t="inlineStr">
        <is>
          <t>刘兰英</t>
        </is>
      </c>
    </row>
    <row r="135">
      <c r="A135" s="14" t="n">
        <v>45814</v>
      </c>
      <c r="B135" s="4" t="inlineStr">
        <is>
          <t>SO202510174</t>
        </is>
      </c>
      <c r="C135" s="4" t="inlineStr">
        <is>
          <t>温州淼沃餐饮管理有限公司</t>
        </is>
      </c>
      <c r="D135" s="4" t="inlineStr">
        <is>
          <t>液压件</t>
        </is>
      </c>
      <c r="E135" s="4" t="inlineStr">
        <is>
          <t>1kg</t>
        </is>
      </c>
      <c r="F135" s="18" t="n">
        <v>2370</v>
      </c>
      <c r="G135" s="15" t="n">
        <v>71.12</v>
      </c>
      <c r="H135" s="15" t="n">
        <v>168554.4</v>
      </c>
      <c r="I135" s="4" t="inlineStr">
        <is>
          <t>广东区域</t>
        </is>
      </c>
      <c r="J135" s="4" t="inlineStr">
        <is>
          <t>周涛秀</t>
        </is>
      </c>
    </row>
    <row r="136">
      <c r="A136" s="14" t="n">
        <v>45816</v>
      </c>
      <c r="B136" s="4" t="inlineStr">
        <is>
          <t>SO202510018</t>
        </is>
      </c>
      <c r="C136" s="4" t="inlineStr">
        <is>
          <t>杭州大匠食品有限公司</t>
        </is>
      </c>
      <c r="D136" s="4" t="inlineStr">
        <is>
          <t>工装夹具</t>
        </is>
      </c>
      <c r="E136" s="4" t="inlineStr">
        <is>
          <t>B级</t>
        </is>
      </c>
      <c r="F136" s="18" t="n">
        <v>4600</v>
      </c>
      <c r="G136" s="15" t="n">
        <v>252.69</v>
      </c>
      <c r="H136" s="15" t="n">
        <v>1162374</v>
      </c>
      <c r="I136" s="4" t="inlineStr">
        <is>
          <t>浙江区域</t>
        </is>
      </c>
      <c r="J136" s="4" t="inlineStr">
        <is>
          <t>黄杰娜</t>
        </is>
      </c>
    </row>
    <row r="137">
      <c r="A137" s="14" t="n">
        <v>45817</v>
      </c>
      <c r="B137" s="4" t="inlineStr">
        <is>
          <t>SO202510049</t>
        </is>
      </c>
      <c r="C137" s="4" t="inlineStr">
        <is>
          <t>温州百味供应链有限公司</t>
        </is>
      </c>
      <c r="D137" s="4" t="inlineStr">
        <is>
          <t>气动元件</t>
        </is>
      </c>
      <c r="E137" s="4" t="inlineStr">
        <is>
          <t>1kg</t>
        </is>
      </c>
      <c r="F137" s="18" t="n">
        <v>3870</v>
      </c>
      <c r="G137" s="15" t="n">
        <v>120.84</v>
      </c>
      <c r="H137" s="15" t="n">
        <v>467650.8</v>
      </c>
      <c r="I137" s="4" t="inlineStr">
        <is>
          <t>华中区域</t>
        </is>
      </c>
      <c r="J137" s="4" t="inlineStr">
        <is>
          <t>杨勇伟</t>
        </is>
      </c>
    </row>
    <row r="138">
      <c r="A138" s="14" t="n">
        <v>45818</v>
      </c>
      <c r="B138" s="4" t="inlineStr">
        <is>
          <t>SO202510038</t>
        </is>
      </c>
      <c r="C138" s="4" t="inlineStr">
        <is>
          <t>南昌优鲜食品有限公司</t>
        </is>
      </c>
      <c r="D138" s="4" t="inlineStr">
        <is>
          <t>模具</t>
        </is>
      </c>
      <c r="E138" s="4" t="inlineStr">
        <is>
          <t>2.5kg</t>
        </is>
      </c>
      <c r="F138" s="18" t="n">
        <v>2810</v>
      </c>
      <c r="G138" s="15" t="n">
        <v>67.29000000000001</v>
      </c>
      <c r="H138" s="15" t="n">
        <v>189084.9</v>
      </c>
      <c r="I138" s="4" t="inlineStr">
        <is>
          <t>江苏区域</t>
        </is>
      </c>
      <c r="J138" s="4" t="inlineStr">
        <is>
          <t>马涛娜</t>
        </is>
      </c>
    </row>
    <row r="139">
      <c r="A139" s="14" t="n">
        <v>45819</v>
      </c>
      <c r="B139" s="4" t="inlineStr">
        <is>
          <t>SO202510129</t>
        </is>
      </c>
      <c r="C139" s="4" t="inlineStr">
        <is>
          <t>无锡百味餐饮管理有限公司</t>
        </is>
      </c>
      <c r="D139" s="4" t="inlineStr">
        <is>
          <t>模具</t>
        </is>
      </c>
      <c r="E139" s="4" t="inlineStr">
        <is>
          <t>C级</t>
        </is>
      </c>
      <c r="F139" s="18" t="n">
        <v>3520</v>
      </c>
      <c r="G139" s="15" t="n">
        <v>134.86</v>
      </c>
      <c r="H139" s="15" t="n">
        <v>474707.2</v>
      </c>
      <c r="I139" s="4" t="inlineStr">
        <is>
          <t>华中区域</t>
        </is>
      </c>
      <c r="J139" s="4" t="inlineStr">
        <is>
          <t>何超英</t>
        </is>
      </c>
    </row>
    <row r="140">
      <c r="A140" s="14" t="n">
        <v>45819</v>
      </c>
      <c r="B140" s="4" t="inlineStr">
        <is>
          <t>SO202510229</t>
        </is>
      </c>
      <c r="C140" s="4" t="inlineStr">
        <is>
          <t>温州淼沃供应链有限公司</t>
        </is>
      </c>
      <c r="D140" s="4" t="inlineStr">
        <is>
          <t>液压件</t>
        </is>
      </c>
      <c r="E140" s="4" t="inlineStr">
        <is>
          <t>500g</t>
        </is>
      </c>
      <c r="F140" s="18" t="n">
        <v>1490</v>
      </c>
      <c r="G140" s="15" t="n">
        <v>273.16</v>
      </c>
      <c r="H140" s="15" t="n">
        <v>407008.4</v>
      </c>
      <c r="I140" s="4" t="inlineStr">
        <is>
          <t>江苏区域</t>
        </is>
      </c>
      <c r="J140" s="4" t="inlineStr">
        <is>
          <t>黄秀秀</t>
        </is>
      </c>
    </row>
    <row r="141">
      <c r="A141" s="14" t="n">
        <v>45822</v>
      </c>
      <c r="B141" s="4" t="inlineStr">
        <is>
          <t>SO202510211</t>
        </is>
      </c>
      <c r="C141" s="4" t="inlineStr">
        <is>
          <t>镇江淼沃商贸有限公司</t>
        </is>
      </c>
      <c r="D141" s="4" t="inlineStr">
        <is>
          <t>模具</t>
        </is>
      </c>
      <c r="E141" s="4" t="inlineStr">
        <is>
          <t>A级</t>
        </is>
      </c>
      <c r="F141" s="18" t="n">
        <v>4120</v>
      </c>
      <c r="G141" s="15" t="n">
        <v>125.1</v>
      </c>
      <c r="H141" s="15" t="n">
        <v>515412</v>
      </c>
      <c r="I141" s="4" t="inlineStr">
        <is>
          <t>华中区域</t>
        </is>
      </c>
      <c r="J141" s="4" t="inlineStr">
        <is>
          <t>黄芳秀</t>
        </is>
      </c>
    </row>
    <row r="142">
      <c r="A142" s="14" t="n">
        <v>45823</v>
      </c>
      <c r="B142" s="4" t="inlineStr">
        <is>
          <t>SO202510017</t>
        </is>
      </c>
      <c r="C142" s="4" t="inlineStr">
        <is>
          <t>温州大匠食品有限公司</t>
        </is>
      </c>
      <c r="D142" s="4" t="inlineStr">
        <is>
          <t>精密轴承</t>
        </is>
      </c>
      <c r="E142" s="4" t="inlineStr">
        <is>
          <t>特级</t>
        </is>
      </c>
      <c r="F142" s="18" t="n">
        <v>1280</v>
      </c>
      <c r="G142" s="15" t="n">
        <v>249.47</v>
      </c>
      <c r="H142" s="15" t="n">
        <v>319321.6</v>
      </c>
      <c r="I142" s="4" t="inlineStr">
        <is>
          <t>广东区域</t>
        </is>
      </c>
      <c r="J142" s="4" t="inlineStr">
        <is>
          <t>黄伟秀</t>
        </is>
      </c>
    </row>
    <row r="143">
      <c r="A143" s="14" t="n">
        <v>45824</v>
      </c>
      <c r="B143" s="4" t="inlineStr">
        <is>
          <t>SO202510001</t>
        </is>
      </c>
      <c r="C143" s="4" t="inlineStr">
        <is>
          <t>镇江优鲜电商平台</t>
        </is>
      </c>
      <c r="D143" s="4" t="inlineStr">
        <is>
          <t>数控机床</t>
        </is>
      </c>
      <c r="E143" s="4" t="inlineStr">
        <is>
          <t>5kg</t>
        </is>
      </c>
      <c r="F143" s="18" t="n">
        <v>1730</v>
      </c>
      <c r="G143" s="15" t="n">
        <v>271.92</v>
      </c>
      <c r="H143" s="15" t="n">
        <v>470421.6</v>
      </c>
      <c r="I143" s="4" t="inlineStr">
        <is>
          <t>江苏区域</t>
        </is>
      </c>
      <c r="J143" s="4" t="inlineStr">
        <is>
          <t>黄明敏</t>
        </is>
      </c>
    </row>
    <row r="144">
      <c r="A144" s="14" t="n">
        <v>45824</v>
      </c>
      <c r="B144" s="4" t="inlineStr">
        <is>
          <t>SO202510069</t>
        </is>
      </c>
      <c r="C144" s="4" t="inlineStr">
        <is>
          <t>南京京功食品有限公司</t>
        </is>
      </c>
      <c r="D144" s="4" t="inlineStr">
        <is>
          <t>气动元件</t>
        </is>
      </c>
      <c r="E144" s="4" t="inlineStr">
        <is>
          <t>5kg</t>
        </is>
      </c>
      <c r="F144" s="18" t="n">
        <v>1240</v>
      </c>
      <c r="G144" s="15" t="n">
        <v>33.12</v>
      </c>
      <c r="H144" s="15" t="n">
        <v>41068.8</v>
      </c>
      <c r="I144" s="4" t="inlineStr">
        <is>
          <t>广东区域</t>
        </is>
      </c>
      <c r="J144" s="4" t="inlineStr">
        <is>
          <t>何兰秀</t>
        </is>
      </c>
    </row>
    <row r="145">
      <c r="A145" s="14" t="n">
        <v>45824</v>
      </c>
      <c r="B145" s="4" t="inlineStr">
        <is>
          <t>SO202510086</t>
        </is>
      </c>
      <c r="C145" s="4" t="inlineStr">
        <is>
          <t>常州大匠酒店管理集团</t>
        </is>
      </c>
      <c r="D145" s="4" t="inlineStr">
        <is>
          <t>数控机床</t>
        </is>
      </c>
      <c r="E145" s="4" t="inlineStr">
        <is>
          <t>10kg</t>
        </is>
      </c>
      <c r="F145" s="18" t="n">
        <v>4340</v>
      </c>
      <c r="G145" s="15" t="n">
        <v>263.12</v>
      </c>
      <c r="H145" s="15" t="n">
        <v>1141940.8</v>
      </c>
      <c r="I145" s="4" t="inlineStr">
        <is>
          <t>江苏区域</t>
        </is>
      </c>
      <c r="J145" s="4" t="inlineStr">
        <is>
          <t>周英秀</t>
        </is>
      </c>
    </row>
    <row r="146">
      <c r="A146" s="14" t="n">
        <v>45825</v>
      </c>
      <c r="B146" s="4" t="inlineStr">
        <is>
          <t>SO202510207</t>
        </is>
      </c>
      <c r="C146" s="4" t="inlineStr">
        <is>
          <t>宁波大匠食品有限公司</t>
        </is>
      </c>
      <c r="D146" s="4" t="inlineStr">
        <is>
          <t>液压件</t>
        </is>
      </c>
      <c r="E146" s="4" t="inlineStr">
        <is>
          <t>2.5kg</t>
        </is>
      </c>
      <c r="F146" s="18" t="n">
        <v>4530</v>
      </c>
      <c r="G146" s="15" t="n">
        <v>139.69</v>
      </c>
      <c r="H146" s="15" t="n">
        <v>632795.7</v>
      </c>
      <c r="I146" s="4" t="inlineStr">
        <is>
          <t>浙江区域</t>
        </is>
      </c>
      <c r="J146" s="4" t="inlineStr">
        <is>
          <t>周伟伟</t>
        </is>
      </c>
    </row>
    <row r="147">
      <c r="A147" s="14" t="n">
        <v>45825</v>
      </c>
      <c r="B147" s="4" t="inlineStr">
        <is>
          <t>SO202510227</t>
        </is>
      </c>
      <c r="C147" s="4" t="inlineStr">
        <is>
          <t>杭州大匠食品有限公司</t>
        </is>
      </c>
      <c r="D147" s="4" t="inlineStr">
        <is>
          <t>液压件</t>
        </is>
      </c>
      <c r="E147" s="4" t="inlineStr">
        <is>
          <t>5kg</t>
        </is>
      </c>
      <c r="F147" s="18" t="n">
        <v>3620</v>
      </c>
      <c r="G147" s="15" t="n">
        <v>178.32</v>
      </c>
      <c r="H147" s="15" t="n">
        <v>645518.4</v>
      </c>
      <c r="I147" s="4" t="inlineStr">
        <is>
          <t>浙江区域</t>
        </is>
      </c>
      <c r="J147" s="4" t="inlineStr">
        <is>
          <t>胡丽敏</t>
        </is>
      </c>
    </row>
    <row r="148">
      <c r="A148" s="14" t="n">
        <v>45825</v>
      </c>
      <c r="B148" s="4" t="inlineStr">
        <is>
          <t>SO202510276</t>
        </is>
      </c>
      <c r="C148" s="4" t="inlineStr">
        <is>
          <t>苏州优鲜酒店管理集团</t>
        </is>
      </c>
      <c r="D148" s="4" t="inlineStr">
        <is>
          <t>液压件</t>
        </is>
      </c>
      <c r="E148" s="4" t="inlineStr">
        <is>
          <t>500g</t>
        </is>
      </c>
      <c r="F148" s="18" t="n">
        <v>30</v>
      </c>
      <c r="G148" s="15" t="n">
        <v>157.51</v>
      </c>
      <c r="H148" s="15" t="n">
        <v>4725.3</v>
      </c>
      <c r="I148" s="4" t="inlineStr">
        <is>
          <t>浙江区域</t>
        </is>
      </c>
      <c r="J148" s="4" t="inlineStr">
        <is>
          <t>周娜娜</t>
        </is>
      </c>
    </row>
    <row r="149">
      <c r="A149" s="14" t="n">
        <v>45826</v>
      </c>
      <c r="B149" s="4" t="inlineStr">
        <is>
          <t>SO202510102</t>
        </is>
      </c>
      <c r="C149" s="4" t="inlineStr">
        <is>
          <t>上海淼沃超市</t>
        </is>
      </c>
      <c r="D149" s="4" t="inlineStr">
        <is>
          <t>气动元件</t>
        </is>
      </c>
      <c r="E149" s="4" t="inlineStr">
        <is>
          <t>5kg</t>
        </is>
      </c>
      <c r="F149" s="18" t="n">
        <v>2460</v>
      </c>
      <c r="G149" s="15" t="n">
        <v>32.41</v>
      </c>
      <c r="H149" s="15" t="n">
        <v>79728.60000000001</v>
      </c>
      <c r="I149" s="4" t="inlineStr">
        <is>
          <t>江苏区域</t>
        </is>
      </c>
      <c r="J149" s="4" t="inlineStr">
        <is>
          <t>孙兰敏</t>
        </is>
      </c>
    </row>
    <row r="150">
      <c r="A150" s="14" t="n">
        <v>45828</v>
      </c>
      <c r="B150" s="4" t="inlineStr">
        <is>
          <t>SO202510212</t>
        </is>
      </c>
      <c r="C150" s="4" t="inlineStr">
        <is>
          <t>上海京功商贸有限公司</t>
        </is>
      </c>
      <c r="D150" s="4" t="inlineStr">
        <is>
          <t>液压件</t>
        </is>
      </c>
      <c r="E150" s="4" t="inlineStr">
        <is>
          <t>10kg</t>
        </is>
      </c>
      <c r="F150" s="18" t="n">
        <v>2660</v>
      </c>
      <c r="G150" s="15" t="n">
        <v>16.35</v>
      </c>
      <c r="H150" s="15" t="n">
        <v>43491</v>
      </c>
      <c r="I150" s="4" t="inlineStr">
        <is>
          <t>浙江区域</t>
        </is>
      </c>
      <c r="J150" s="4" t="inlineStr">
        <is>
          <t>马芳芳</t>
        </is>
      </c>
    </row>
    <row r="151">
      <c r="A151" s="14" t="n">
        <v>45830</v>
      </c>
      <c r="B151" s="4" t="inlineStr">
        <is>
          <t>SO202510106</t>
        </is>
      </c>
      <c r="C151" s="4" t="inlineStr">
        <is>
          <t>南昌大匠餐饮管理有限公司</t>
        </is>
      </c>
      <c r="D151" s="4" t="inlineStr">
        <is>
          <t>模具</t>
        </is>
      </c>
      <c r="E151" s="4" t="inlineStr">
        <is>
          <t>2.5kg</t>
        </is>
      </c>
      <c r="F151" s="18" t="n">
        <v>3020</v>
      </c>
      <c r="G151" s="15" t="n">
        <v>173.57</v>
      </c>
      <c r="H151" s="15" t="n">
        <v>524181.4</v>
      </c>
      <c r="I151" s="4" t="inlineStr">
        <is>
          <t>广东区域</t>
        </is>
      </c>
      <c r="J151" s="4" t="inlineStr">
        <is>
          <t>胡秀芳</t>
        </is>
      </c>
    </row>
    <row r="152">
      <c r="A152" s="14" t="n">
        <v>45830</v>
      </c>
      <c r="B152" s="4" t="inlineStr">
        <is>
          <t>SO202510187</t>
        </is>
      </c>
      <c r="C152" s="4" t="inlineStr">
        <is>
          <t>嘉兴淼沃电商平台</t>
        </is>
      </c>
      <c r="D152" s="4" t="inlineStr">
        <is>
          <t>液压件</t>
        </is>
      </c>
      <c r="E152" s="4" t="inlineStr">
        <is>
          <t>A级</t>
        </is>
      </c>
      <c r="F152" s="18" t="n">
        <v>2900</v>
      </c>
      <c r="G152" s="15" t="n">
        <v>146.01</v>
      </c>
      <c r="H152" s="15" t="n">
        <v>423429</v>
      </c>
      <c r="I152" s="4" t="inlineStr">
        <is>
          <t>江苏区域</t>
        </is>
      </c>
      <c r="J152" s="4" t="inlineStr">
        <is>
          <t>黄兰芳</t>
        </is>
      </c>
    </row>
    <row r="153">
      <c r="A153" s="14" t="n">
        <v>45830</v>
      </c>
      <c r="B153" s="4" t="inlineStr">
        <is>
          <t>SO202510209</t>
        </is>
      </c>
      <c r="C153" s="4" t="inlineStr">
        <is>
          <t>宁波大匠餐饮管理有限公司</t>
        </is>
      </c>
      <c r="D153" s="4" t="inlineStr">
        <is>
          <t>数控机床</t>
        </is>
      </c>
      <c r="E153" s="4" t="inlineStr">
        <is>
          <t>B级</t>
        </is>
      </c>
      <c r="F153" s="18" t="n">
        <v>3580</v>
      </c>
      <c r="G153" s="15" t="n">
        <v>177.57</v>
      </c>
      <c r="H153" s="15" t="n">
        <v>635700.6</v>
      </c>
      <c r="I153" s="4" t="inlineStr">
        <is>
          <t>浙江区域</t>
        </is>
      </c>
      <c r="J153" s="4" t="inlineStr">
        <is>
          <t>郭兰伟</t>
        </is>
      </c>
    </row>
    <row r="154">
      <c r="A154" s="14" t="n">
        <v>45831</v>
      </c>
      <c r="B154" s="4" t="inlineStr">
        <is>
          <t>SO202510132</t>
        </is>
      </c>
      <c r="C154" s="4" t="inlineStr">
        <is>
          <t>宁波淼沃酒店管理集团</t>
        </is>
      </c>
      <c r="D154" s="4" t="inlineStr">
        <is>
          <t>液压件</t>
        </is>
      </c>
      <c r="E154" s="4" t="inlineStr">
        <is>
          <t>A级</t>
        </is>
      </c>
      <c r="F154" s="18" t="n">
        <v>4920</v>
      </c>
      <c r="G154" s="15" t="n">
        <v>209.95</v>
      </c>
      <c r="H154" s="15" t="n">
        <v>1032954</v>
      </c>
      <c r="I154" s="4" t="inlineStr">
        <is>
          <t>广东区域</t>
        </is>
      </c>
      <c r="J154" s="4" t="inlineStr">
        <is>
          <t>孙兰芳</t>
        </is>
      </c>
    </row>
    <row r="155">
      <c r="A155" s="14" t="n">
        <v>45831</v>
      </c>
      <c r="B155" s="4" t="inlineStr">
        <is>
          <t>SO202510216</t>
        </is>
      </c>
      <c r="C155" s="4" t="inlineStr">
        <is>
          <t>温州食佳超市</t>
        </is>
      </c>
      <c r="D155" s="4" t="inlineStr">
        <is>
          <t>液压件</t>
        </is>
      </c>
      <c r="E155" s="4" t="inlineStr">
        <is>
          <t>精装</t>
        </is>
      </c>
      <c r="F155" s="18" t="n">
        <v>1780</v>
      </c>
      <c r="G155" s="15" t="n">
        <v>189.61</v>
      </c>
      <c r="H155" s="15" t="n">
        <v>337505.8</v>
      </c>
      <c r="I155" s="4" t="inlineStr">
        <is>
          <t>华中区域</t>
        </is>
      </c>
      <c r="J155" s="4" t="inlineStr">
        <is>
          <t>马艳芳</t>
        </is>
      </c>
    </row>
    <row r="156">
      <c r="A156" s="14" t="n">
        <v>45831</v>
      </c>
      <c r="B156" s="4" t="inlineStr">
        <is>
          <t>SO202510217</t>
        </is>
      </c>
      <c r="C156" s="4" t="inlineStr">
        <is>
          <t>南京淼沃商贸有限公司</t>
        </is>
      </c>
      <c r="D156" s="4" t="inlineStr">
        <is>
          <t>液压件</t>
        </is>
      </c>
      <c r="E156" s="4" t="inlineStr">
        <is>
          <t>精装</t>
        </is>
      </c>
      <c r="F156" s="18" t="n">
        <v>410</v>
      </c>
      <c r="G156" s="15" t="n">
        <v>160.44</v>
      </c>
      <c r="H156" s="15" t="n">
        <v>65780.39999999999</v>
      </c>
      <c r="I156" s="4" t="inlineStr">
        <is>
          <t>浙江区域</t>
        </is>
      </c>
      <c r="J156" s="4" t="inlineStr">
        <is>
          <t>何明芳</t>
        </is>
      </c>
    </row>
    <row r="157">
      <c r="A157" s="14" t="n">
        <v>45831</v>
      </c>
      <c r="B157" s="4" t="inlineStr">
        <is>
          <t>SO202510249</t>
        </is>
      </c>
      <c r="C157" s="4" t="inlineStr">
        <is>
          <t>常州食佳超市</t>
        </is>
      </c>
      <c r="D157" s="4" t="inlineStr">
        <is>
          <t>工装夹具</t>
        </is>
      </c>
      <c r="E157" s="4" t="inlineStr">
        <is>
          <t>A级</t>
        </is>
      </c>
      <c r="F157" s="18" t="n">
        <v>850</v>
      </c>
      <c r="G157" s="15" t="n">
        <v>110.92</v>
      </c>
      <c r="H157" s="15" t="n">
        <v>94282</v>
      </c>
      <c r="I157" s="4" t="inlineStr">
        <is>
          <t>广东区域</t>
        </is>
      </c>
      <c r="J157" s="4" t="inlineStr">
        <is>
          <t>高芳敏</t>
        </is>
      </c>
    </row>
    <row r="158">
      <c r="A158" s="14" t="n">
        <v>45831</v>
      </c>
      <c r="B158" s="4" t="inlineStr">
        <is>
          <t>SO202510262</t>
        </is>
      </c>
      <c r="C158" s="4" t="inlineStr">
        <is>
          <t>苏州百味电商平台</t>
        </is>
      </c>
      <c r="D158" s="4" t="inlineStr">
        <is>
          <t>工装夹具</t>
        </is>
      </c>
      <c r="E158" s="4" t="inlineStr">
        <is>
          <t>A级</t>
        </is>
      </c>
      <c r="F158" s="18" t="n">
        <v>2360</v>
      </c>
      <c r="G158" s="15" t="n">
        <v>51.97</v>
      </c>
      <c r="H158" s="15" t="n">
        <v>122649.2</v>
      </c>
      <c r="I158" s="4" t="inlineStr">
        <is>
          <t>浙江区域</t>
        </is>
      </c>
      <c r="J158" s="4" t="inlineStr">
        <is>
          <t>杨秀秀</t>
        </is>
      </c>
    </row>
    <row r="159">
      <c r="A159" s="14" t="n">
        <v>45832</v>
      </c>
      <c r="B159" s="4" t="inlineStr">
        <is>
          <t>SO202510123</t>
        </is>
      </c>
      <c r="C159" s="4" t="inlineStr">
        <is>
          <t>宁波食佳商贸有限公司</t>
        </is>
      </c>
      <c r="D159" s="4" t="inlineStr">
        <is>
          <t>工装夹具</t>
        </is>
      </c>
      <c r="E159" s="4" t="inlineStr">
        <is>
          <t>A级</t>
        </is>
      </c>
      <c r="F159" s="18" t="n">
        <v>490</v>
      </c>
      <c r="G159" s="15" t="n">
        <v>150.77</v>
      </c>
      <c r="H159" s="15" t="n">
        <v>73877.3</v>
      </c>
      <c r="I159" s="4" t="inlineStr">
        <is>
          <t>浙江区域</t>
        </is>
      </c>
      <c r="J159" s="4" t="inlineStr">
        <is>
          <t>朱敏英</t>
        </is>
      </c>
    </row>
    <row r="160">
      <c r="A160" s="14" t="n">
        <v>45833</v>
      </c>
      <c r="B160" s="4" t="inlineStr">
        <is>
          <t>SO202510135</t>
        </is>
      </c>
      <c r="C160" s="4" t="inlineStr">
        <is>
          <t>合肥食佳食品有限公司</t>
        </is>
      </c>
      <c r="D160" s="4" t="inlineStr">
        <is>
          <t>工装夹具</t>
        </is>
      </c>
      <c r="E160" s="4" t="inlineStr">
        <is>
          <t>2.5kg</t>
        </is>
      </c>
      <c r="F160" s="18" t="n">
        <v>540</v>
      </c>
      <c r="G160" s="15" t="n">
        <v>33.17</v>
      </c>
      <c r="H160" s="15" t="n">
        <v>17911.8</v>
      </c>
      <c r="I160" s="4" t="inlineStr">
        <is>
          <t>华中区域</t>
        </is>
      </c>
      <c r="J160" s="4" t="inlineStr">
        <is>
          <t>高勇英</t>
        </is>
      </c>
    </row>
    <row r="161">
      <c r="A161" s="14" t="n">
        <v>45835</v>
      </c>
      <c r="B161" s="4" t="inlineStr">
        <is>
          <t>SO202510238</t>
        </is>
      </c>
      <c r="C161" s="4" t="inlineStr">
        <is>
          <t>杭州百味超市</t>
        </is>
      </c>
      <c r="D161" s="4" t="inlineStr">
        <is>
          <t>精密轴承</t>
        </is>
      </c>
      <c r="E161" s="4" t="inlineStr">
        <is>
          <t>5kg</t>
        </is>
      </c>
      <c r="F161" s="18" t="n">
        <v>1060</v>
      </c>
      <c r="G161" s="15" t="n">
        <v>141.18</v>
      </c>
      <c r="H161" s="15" t="n">
        <v>149650.8</v>
      </c>
      <c r="I161" s="4" t="inlineStr">
        <is>
          <t>华中区域</t>
        </is>
      </c>
      <c r="J161" s="4" t="inlineStr">
        <is>
          <t>胡伟芳</t>
        </is>
      </c>
    </row>
    <row r="162">
      <c r="A162" s="14" t="n">
        <v>45841</v>
      </c>
      <c r="B162" s="4" t="inlineStr">
        <is>
          <t>SO202510055</t>
        </is>
      </c>
      <c r="C162" s="4" t="inlineStr">
        <is>
          <t>常州食佳超市</t>
        </is>
      </c>
      <c r="D162" s="4" t="inlineStr">
        <is>
          <t>液压件</t>
        </is>
      </c>
      <c r="E162" s="4" t="inlineStr">
        <is>
          <t>C级</t>
        </is>
      </c>
      <c r="F162" s="18" t="n">
        <v>720</v>
      </c>
      <c r="G162" s="15" t="n">
        <v>146.04</v>
      </c>
      <c r="H162" s="15" t="n">
        <v>105148.8</v>
      </c>
      <c r="I162" s="4" t="inlineStr">
        <is>
          <t>江苏区域</t>
        </is>
      </c>
      <c r="J162" s="4" t="inlineStr">
        <is>
          <t>吴磊娜</t>
        </is>
      </c>
    </row>
    <row r="163">
      <c r="A163" s="14" t="n">
        <v>45841</v>
      </c>
      <c r="B163" s="4" t="inlineStr">
        <is>
          <t>SO202510176</t>
        </is>
      </c>
      <c r="C163" s="4" t="inlineStr">
        <is>
          <t>温州百味供应链有限公司</t>
        </is>
      </c>
      <c r="D163" s="4" t="inlineStr">
        <is>
          <t>精密轴承</t>
        </is>
      </c>
      <c r="E163" s="4" t="inlineStr">
        <is>
          <t>C级</t>
        </is>
      </c>
      <c r="F163" s="18" t="n">
        <v>4640</v>
      </c>
      <c r="G163" s="15" t="n">
        <v>187.34</v>
      </c>
      <c r="H163" s="15" t="n">
        <v>869257.6</v>
      </c>
      <c r="I163" s="4" t="inlineStr">
        <is>
          <t>华中区域</t>
        </is>
      </c>
      <c r="J163" s="4" t="inlineStr">
        <is>
          <t>陈超娜</t>
        </is>
      </c>
    </row>
    <row r="164">
      <c r="A164" s="14" t="n">
        <v>45842</v>
      </c>
      <c r="B164" s="4" t="inlineStr">
        <is>
          <t>SO202510149</t>
        </is>
      </c>
      <c r="C164" s="4" t="inlineStr">
        <is>
          <t>上海京功酒店管理集团</t>
        </is>
      </c>
      <c r="D164" s="4" t="inlineStr">
        <is>
          <t>工装夹具</t>
        </is>
      </c>
      <c r="E164" s="4" t="inlineStr">
        <is>
          <t>1kg</t>
        </is>
      </c>
      <c r="F164" s="18" t="n">
        <v>3270</v>
      </c>
      <c r="G164" s="15" t="n">
        <v>259.02</v>
      </c>
      <c r="H164" s="15" t="n">
        <v>846995.4</v>
      </c>
      <c r="I164" s="4" t="inlineStr">
        <is>
          <t>浙江区域</t>
        </is>
      </c>
      <c r="J164" s="4" t="inlineStr">
        <is>
          <t>张涛英</t>
        </is>
      </c>
    </row>
    <row r="165">
      <c r="A165" s="14" t="n">
        <v>45844</v>
      </c>
      <c r="B165" s="4" t="inlineStr">
        <is>
          <t>SO202510117</t>
        </is>
      </c>
      <c r="C165" s="4" t="inlineStr">
        <is>
          <t>杭州京功餐饮管理有限公司</t>
        </is>
      </c>
      <c r="D165" s="4" t="inlineStr">
        <is>
          <t>精密轴承</t>
        </is>
      </c>
      <c r="E165" s="4" t="inlineStr">
        <is>
          <t>特级</t>
        </is>
      </c>
      <c r="F165" s="18" t="n">
        <v>3540</v>
      </c>
      <c r="G165" s="15" t="n">
        <v>21.44</v>
      </c>
      <c r="H165" s="15" t="n">
        <v>75897.60000000001</v>
      </c>
      <c r="I165" s="4" t="inlineStr">
        <is>
          <t>广东区域</t>
        </is>
      </c>
      <c r="J165" s="4" t="inlineStr">
        <is>
          <t>胡英芳</t>
        </is>
      </c>
    </row>
    <row r="166">
      <c r="A166" s="14" t="n">
        <v>45845</v>
      </c>
      <c r="B166" s="4" t="inlineStr">
        <is>
          <t>SO202510047</t>
        </is>
      </c>
      <c r="C166" s="4" t="inlineStr">
        <is>
          <t>宁波食佳商贸有限公司</t>
        </is>
      </c>
      <c r="D166" s="4" t="inlineStr">
        <is>
          <t>数控机床</t>
        </is>
      </c>
      <c r="E166" s="4" t="inlineStr">
        <is>
          <t>A级</t>
        </is>
      </c>
      <c r="F166" s="18" t="n">
        <v>1040</v>
      </c>
      <c r="G166" s="15" t="n">
        <v>241.01</v>
      </c>
      <c r="H166" s="15" t="n">
        <v>250650.4</v>
      </c>
      <c r="I166" s="4" t="inlineStr">
        <is>
          <t>江苏区域</t>
        </is>
      </c>
      <c r="J166" s="4" t="inlineStr">
        <is>
          <t>黄芳伟</t>
        </is>
      </c>
    </row>
    <row r="167">
      <c r="A167" s="14" t="n">
        <v>45846</v>
      </c>
      <c r="B167" s="4" t="inlineStr">
        <is>
          <t>SO202510275</t>
        </is>
      </c>
      <c r="C167" s="4" t="inlineStr">
        <is>
          <t>无锡百味供应链有限公司</t>
        </is>
      </c>
      <c r="D167" s="4" t="inlineStr">
        <is>
          <t>数控机床</t>
        </is>
      </c>
      <c r="E167" s="4" t="inlineStr">
        <is>
          <t>B级</t>
        </is>
      </c>
      <c r="F167" s="18" t="n">
        <v>2350</v>
      </c>
      <c r="G167" s="15" t="n">
        <v>104.88</v>
      </c>
      <c r="H167" s="15" t="n">
        <v>246468</v>
      </c>
      <c r="I167" s="4" t="inlineStr">
        <is>
          <t>广东区域</t>
        </is>
      </c>
      <c r="J167" s="4" t="inlineStr">
        <is>
          <t>林艳伟</t>
        </is>
      </c>
    </row>
    <row r="168">
      <c r="A168" s="14" t="n">
        <v>45847</v>
      </c>
      <c r="B168" s="4" t="inlineStr">
        <is>
          <t>SO202510122</t>
        </is>
      </c>
      <c r="C168" s="4" t="inlineStr">
        <is>
          <t>嘉兴优鲜供应链有限公司</t>
        </is>
      </c>
      <c r="D168" s="4" t="inlineStr">
        <is>
          <t>模具</t>
        </is>
      </c>
      <c r="E168" s="4" t="inlineStr">
        <is>
          <t>A级</t>
        </is>
      </c>
      <c r="F168" s="18" t="n">
        <v>2380</v>
      </c>
      <c r="G168" s="15" t="n">
        <v>8.75</v>
      </c>
      <c r="H168" s="15" t="n">
        <v>20825</v>
      </c>
      <c r="I168" s="4" t="inlineStr">
        <is>
          <t>江苏区域</t>
        </is>
      </c>
      <c r="J168" s="4" t="inlineStr">
        <is>
          <t>吴洋英</t>
        </is>
      </c>
    </row>
    <row r="169">
      <c r="A169" s="14" t="n">
        <v>45848</v>
      </c>
      <c r="B169" s="4" t="inlineStr">
        <is>
          <t>SO202510040</t>
        </is>
      </c>
      <c r="C169" s="4" t="inlineStr">
        <is>
          <t>嘉兴优鲜供应链有限公司</t>
        </is>
      </c>
      <c r="D169" s="4" t="inlineStr">
        <is>
          <t>液压件</t>
        </is>
      </c>
      <c r="E169" s="4" t="inlineStr">
        <is>
          <t>特级</t>
        </is>
      </c>
      <c r="F169" s="18" t="n">
        <v>2210</v>
      </c>
      <c r="G169" s="15" t="n">
        <v>20.79</v>
      </c>
      <c r="H169" s="15" t="n">
        <v>45945.9</v>
      </c>
      <c r="I169" s="4" t="inlineStr">
        <is>
          <t>江苏区域</t>
        </is>
      </c>
      <c r="J169" s="4" t="inlineStr">
        <is>
          <t>马静娜</t>
        </is>
      </c>
    </row>
    <row r="170">
      <c r="A170" s="14" t="n">
        <v>45848</v>
      </c>
      <c r="B170" s="4" t="inlineStr">
        <is>
          <t>SO202510085</t>
        </is>
      </c>
      <c r="C170" s="4" t="inlineStr">
        <is>
          <t>温州食佳酒店管理集团</t>
        </is>
      </c>
      <c r="D170" s="4" t="inlineStr">
        <is>
          <t>气动元件</t>
        </is>
      </c>
      <c r="E170" s="4" t="inlineStr">
        <is>
          <t>标准</t>
        </is>
      </c>
      <c r="F170" s="18" t="n">
        <v>1070</v>
      </c>
      <c r="G170" s="15" t="n">
        <v>247.24</v>
      </c>
      <c r="H170" s="15" t="n">
        <v>264546.8</v>
      </c>
      <c r="I170" s="4" t="inlineStr">
        <is>
          <t>广东区域</t>
        </is>
      </c>
      <c r="J170" s="4" t="inlineStr">
        <is>
          <t>胡伟伟</t>
        </is>
      </c>
    </row>
    <row r="171">
      <c r="A171" s="14" t="n">
        <v>45849</v>
      </c>
      <c r="B171" s="4" t="inlineStr">
        <is>
          <t>SO202510042</t>
        </is>
      </c>
      <c r="C171" s="4" t="inlineStr">
        <is>
          <t>镇江百味餐饮管理有限公司</t>
        </is>
      </c>
      <c r="D171" s="4" t="inlineStr">
        <is>
          <t>精密轴承</t>
        </is>
      </c>
      <c r="E171" s="4" t="inlineStr">
        <is>
          <t>特级</t>
        </is>
      </c>
      <c r="F171" s="18" t="n">
        <v>1230</v>
      </c>
      <c r="G171" s="15" t="n">
        <v>232.88</v>
      </c>
      <c r="H171" s="15" t="n">
        <v>286442.4</v>
      </c>
      <c r="I171" s="4" t="inlineStr">
        <is>
          <t>江苏区域</t>
        </is>
      </c>
      <c r="J171" s="4" t="inlineStr">
        <is>
          <t>黄伟敏</t>
        </is>
      </c>
    </row>
    <row r="172">
      <c r="A172" s="14" t="n">
        <v>45851</v>
      </c>
      <c r="B172" s="4" t="inlineStr">
        <is>
          <t>SO202510039</t>
        </is>
      </c>
      <c r="C172" s="4" t="inlineStr">
        <is>
          <t>南昌京功超市</t>
        </is>
      </c>
      <c r="D172" s="4" t="inlineStr">
        <is>
          <t>模具</t>
        </is>
      </c>
      <c r="E172" s="4" t="inlineStr">
        <is>
          <t>B级</t>
        </is>
      </c>
      <c r="F172" s="18" t="n">
        <v>2640</v>
      </c>
      <c r="G172" s="15" t="n">
        <v>219.04</v>
      </c>
      <c r="H172" s="15" t="n">
        <v>578265.6</v>
      </c>
      <c r="I172" s="4" t="inlineStr">
        <is>
          <t>江苏区域</t>
        </is>
      </c>
      <c r="J172" s="4" t="inlineStr">
        <is>
          <t>何洋秀</t>
        </is>
      </c>
    </row>
    <row r="173">
      <c r="A173" s="14" t="n">
        <v>45854</v>
      </c>
      <c r="B173" s="4" t="inlineStr">
        <is>
          <t>SO202510043</t>
        </is>
      </c>
      <c r="C173" s="4" t="inlineStr">
        <is>
          <t>常州大匠电商平台</t>
        </is>
      </c>
      <c r="D173" s="4" t="inlineStr">
        <is>
          <t>工装夹具</t>
        </is>
      </c>
      <c r="E173" s="4" t="inlineStr">
        <is>
          <t>标准</t>
        </is>
      </c>
      <c r="F173" s="18" t="n">
        <v>2860</v>
      </c>
      <c r="G173" s="15" t="n">
        <v>148.2</v>
      </c>
      <c r="H173" s="15" t="n">
        <v>423852</v>
      </c>
      <c r="I173" s="4" t="inlineStr">
        <is>
          <t>华中区域</t>
        </is>
      </c>
      <c r="J173" s="4" t="inlineStr">
        <is>
          <t>朱秀娜</t>
        </is>
      </c>
    </row>
    <row r="174">
      <c r="A174" s="14" t="n">
        <v>45855</v>
      </c>
      <c r="B174" s="4" t="inlineStr">
        <is>
          <t>SO202510033</t>
        </is>
      </c>
      <c r="C174" s="4" t="inlineStr">
        <is>
          <t>上海食佳食品有限公司</t>
        </is>
      </c>
      <c r="D174" s="4" t="inlineStr">
        <is>
          <t>气动元件</t>
        </is>
      </c>
      <c r="E174" s="4" t="inlineStr">
        <is>
          <t>A级</t>
        </is>
      </c>
      <c r="F174" s="18" t="n">
        <v>3630</v>
      </c>
      <c r="G174" s="15" t="n">
        <v>164.18</v>
      </c>
      <c r="H174" s="15" t="n">
        <v>595973.4</v>
      </c>
      <c r="I174" s="4" t="inlineStr">
        <is>
          <t>广东区域</t>
        </is>
      </c>
      <c r="J174" s="4" t="inlineStr">
        <is>
          <t>孙杰英</t>
        </is>
      </c>
    </row>
    <row r="175">
      <c r="A175" s="14" t="n">
        <v>45855</v>
      </c>
      <c r="B175" s="4" t="inlineStr">
        <is>
          <t>SO202510317</t>
        </is>
      </c>
      <c r="C175" s="4" t="inlineStr">
        <is>
          <t>宁波百味餐饮管理有限公司</t>
        </is>
      </c>
      <c r="D175" s="4" t="inlineStr">
        <is>
          <t>液压件</t>
        </is>
      </c>
      <c r="E175" s="4" t="inlineStr">
        <is>
          <t>C级</t>
        </is>
      </c>
      <c r="F175" s="18" t="n">
        <v>760</v>
      </c>
      <c r="G175" s="15" t="n">
        <v>196.83</v>
      </c>
      <c r="H175" s="15" t="n">
        <v>149590.8</v>
      </c>
      <c r="I175" s="4" t="inlineStr">
        <is>
          <t>广东区域</t>
        </is>
      </c>
      <c r="J175" s="4" t="inlineStr">
        <is>
          <t>林勇伟</t>
        </is>
      </c>
    </row>
    <row r="176">
      <c r="A176" s="14" t="n">
        <v>45856</v>
      </c>
      <c r="B176" s="4" t="inlineStr">
        <is>
          <t>SO202510159</t>
        </is>
      </c>
      <c r="C176" s="4" t="inlineStr">
        <is>
          <t>南京优鲜超市</t>
        </is>
      </c>
      <c r="D176" s="4" t="inlineStr">
        <is>
          <t>工装夹具</t>
        </is>
      </c>
      <c r="E176" s="4" t="inlineStr">
        <is>
          <t>2.5kg</t>
        </is>
      </c>
      <c r="F176" s="18" t="n">
        <v>1810</v>
      </c>
      <c r="G176" s="15" t="n">
        <v>80.14</v>
      </c>
      <c r="H176" s="15" t="n">
        <v>145053.4</v>
      </c>
      <c r="I176" s="4" t="inlineStr">
        <is>
          <t>广东区域</t>
        </is>
      </c>
      <c r="J176" s="4" t="inlineStr">
        <is>
          <t>孙洋娜</t>
        </is>
      </c>
    </row>
    <row r="177">
      <c r="A177" s="14" t="n">
        <v>45856</v>
      </c>
      <c r="B177" s="4" t="inlineStr">
        <is>
          <t>SO202510193</t>
        </is>
      </c>
      <c r="C177" s="4" t="inlineStr">
        <is>
          <t>合肥京功电商平台</t>
        </is>
      </c>
      <c r="D177" s="4" t="inlineStr">
        <is>
          <t>数控机床</t>
        </is>
      </c>
      <c r="E177" s="4" t="inlineStr">
        <is>
          <t>500g</t>
        </is>
      </c>
      <c r="F177" s="18" t="n">
        <v>3810</v>
      </c>
      <c r="G177" s="15" t="n">
        <v>205.25</v>
      </c>
      <c r="H177" s="15" t="n">
        <v>782002.5</v>
      </c>
      <c r="I177" s="4" t="inlineStr">
        <is>
          <t>江苏区域</t>
        </is>
      </c>
      <c r="J177" s="4" t="inlineStr">
        <is>
          <t>郭洋娜</t>
        </is>
      </c>
    </row>
    <row r="178">
      <c r="A178" s="14" t="n">
        <v>45857</v>
      </c>
      <c r="B178" s="4" t="inlineStr">
        <is>
          <t>SO202510150</t>
        </is>
      </c>
      <c r="C178" s="4" t="inlineStr">
        <is>
          <t>镇江食佳酒店管理集团</t>
        </is>
      </c>
      <c r="D178" s="4" t="inlineStr">
        <is>
          <t>精密轴承</t>
        </is>
      </c>
      <c r="E178" s="4" t="inlineStr">
        <is>
          <t>特级</t>
        </is>
      </c>
      <c r="F178" s="18" t="n">
        <v>770</v>
      </c>
      <c r="G178" s="15" t="n">
        <v>63.29</v>
      </c>
      <c r="H178" s="15" t="n">
        <v>48733.3</v>
      </c>
      <c r="I178" s="4" t="inlineStr">
        <is>
          <t>浙江区域</t>
        </is>
      </c>
      <c r="J178" s="4" t="inlineStr">
        <is>
          <t>徐磊伟</t>
        </is>
      </c>
    </row>
    <row r="179">
      <c r="A179" s="14" t="n">
        <v>45857</v>
      </c>
      <c r="B179" s="4" t="inlineStr">
        <is>
          <t>SO202510151</t>
        </is>
      </c>
      <c r="C179" s="4" t="inlineStr">
        <is>
          <t>温州淼沃超市</t>
        </is>
      </c>
      <c r="D179" s="4" t="inlineStr">
        <is>
          <t>模具</t>
        </is>
      </c>
      <c r="E179" s="4" t="inlineStr">
        <is>
          <t>B级</t>
        </is>
      </c>
      <c r="F179" s="18" t="n">
        <v>3100</v>
      </c>
      <c r="G179" s="15" t="n">
        <v>106.97</v>
      </c>
      <c r="H179" s="15" t="n">
        <v>331607</v>
      </c>
      <c r="I179" s="4" t="inlineStr">
        <is>
          <t>浙江区域</t>
        </is>
      </c>
      <c r="J179" s="4" t="inlineStr">
        <is>
          <t>王敏芳</t>
        </is>
      </c>
    </row>
    <row r="180">
      <c r="A180" s="14" t="n">
        <v>45859</v>
      </c>
      <c r="B180" s="4" t="inlineStr">
        <is>
          <t>SO202510164</t>
        </is>
      </c>
      <c r="C180" s="4" t="inlineStr">
        <is>
          <t>苏州淼沃超市</t>
        </is>
      </c>
      <c r="D180" s="4" t="inlineStr">
        <is>
          <t>气动元件</t>
        </is>
      </c>
      <c r="E180" s="4" t="inlineStr">
        <is>
          <t>A级</t>
        </is>
      </c>
      <c r="F180" s="18" t="n">
        <v>130</v>
      </c>
      <c r="G180" s="15" t="n">
        <v>275.92</v>
      </c>
      <c r="H180" s="15" t="n">
        <v>35869.6</v>
      </c>
      <c r="I180" s="4" t="inlineStr">
        <is>
          <t>浙江区域</t>
        </is>
      </c>
      <c r="J180" s="4" t="inlineStr">
        <is>
          <t>赵敏伟</t>
        </is>
      </c>
    </row>
    <row r="181">
      <c r="A181" s="14" t="n">
        <v>45859</v>
      </c>
      <c r="B181" s="4" t="inlineStr">
        <is>
          <t>SO202510244</t>
        </is>
      </c>
      <c r="C181" s="4" t="inlineStr">
        <is>
          <t>常州淼沃酒店管理集团</t>
        </is>
      </c>
      <c r="D181" s="4" t="inlineStr">
        <is>
          <t>液压件</t>
        </is>
      </c>
      <c r="E181" s="4" t="inlineStr">
        <is>
          <t>精装</t>
        </is>
      </c>
      <c r="F181" s="18" t="n">
        <v>500</v>
      </c>
      <c r="G181" s="15" t="n">
        <v>263.05</v>
      </c>
      <c r="H181" s="15" t="n">
        <v>131525</v>
      </c>
      <c r="I181" s="4" t="inlineStr">
        <is>
          <t>华中区域</t>
        </is>
      </c>
      <c r="J181" s="4" t="inlineStr">
        <is>
          <t>刘娜娜</t>
        </is>
      </c>
    </row>
    <row r="182">
      <c r="A182" s="14" t="n">
        <v>45860</v>
      </c>
      <c r="B182" s="4" t="inlineStr">
        <is>
          <t>SO202510058</t>
        </is>
      </c>
      <c r="C182" s="4" t="inlineStr">
        <is>
          <t>苏州京功超市</t>
        </is>
      </c>
      <c r="D182" s="4" t="inlineStr">
        <is>
          <t>气动元件</t>
        </is>
      </c>
      <c r="E182" s="4" t="inlineStr">
        <is>
          <t>2.5kg</t>
        </is>
      </c>
      <c r="F182" s="18" t="n">
        <v>3240</v>
      </c>
      <c r="G182" s="15" t="n">
        <v>179.24</v>
      </c>
      <c r="H182" s="15" t="n">
        <v>580737.6</v>
      </c>
      <c r="I182" s="4" t="inlineStr">
        <is>
          <t>华中区域</t>
        </is>
      </c>
      <c r="J182" s="4" t="inlineStr">
        <is>
          <t>罗丽敏</t>
        </is>
      </c>
    </row>
    <row r="183">
      <c r="A183" s="14" t="n">
        <v>45861</v>
      </c>
      <c r="B183" s="4" t="inlineStr">
        <is>
          <t>SO202510004</t>
        </is>
      </c>
      <c r="C183" s="4" t="inlineStr">
        <is>
          <t>合肥优鲜商贸有限公司</t>
        </is>
      </c>
      <c r="D183" s="4" t="inlineStr">
        <is>
          <t>液压件</t>
        </is>
      </c>
      <c r="E183" s="4" t="inlineStr">
        <is>
          <t>10kg</t>
        </is>
      </c>
      <c r="F183" s="18" t="n">
        <v>2480</v>
      </c>
      <c r="G183" s="15" t="n">
        <v>74.20999999999999</v>
      </c>
      <c r="H183" s="15" t="n">
        <v>184040.8</v>
      </c>
      <c r="I183" s="4" t="inlineStr">
        <is>
          <t>浙江区域</t>
        </is>
      </c>
      <c r="J183" s="4" t="inlineStr">
        <is>
          <t>刘艳秀</t>
        </is>
      </c>
    </row>
    <row r="184">
      <c r="A184" s="14" t="n">
        <v>45861</v>
      </c>
      <c r="B184" s="4" t="inlineStr">
        <is>
          <t>SO202510120</t>
        </is>
      </c>
      <c r="C184" s="4" t="inlineStr">
        <is>
          <t>合肥百味供应链有限公司</t>
        </is>
      </c>
      <c r="D184" s="4" t="inlineStr">
        <is>
          <t>气动元件</t>
        </is>
      </c>
      <c r="E184" s="4" t="inlineStr">
        <is>
          <t>5kg</t>
        </is>
      </c>
      <c r="F184" s="18" t="n">
        <v>1140</v>
      </c>
      <c r="G184" s="15" t="n">
        <v>43.76</v>
      </c>
      <c r="H184" s="15" t="n">
        <v>49886.4</v>
      </c>
      <c r="I184" s="4" t="inlineStr">
        <is>
          <t>广东区域</t>
        </is>
      </c>
      <c r="J184" s="4" t="inlineStr">
        <is>
          <t>何涛敏</t>
        </is>
      </c>
    </row>
    <row r="185">
      <c r="A185" s="14" t="n">
        <v>45862</v>
      </c>
      <c r="B185" s="4" t="inlineStr">
        <is>
          <t>SO202510031</t>
        </is>
      </c>
      <c r="C185" s="4" t="inlineStr">
        <is>
          <t>杭州大匠供应链有限公司</t>
        </is>
      </c>
      <c r="D185" s="4" t="inlineStr">
        <is>
          <t>数控机床</t>
        </is>
      </c>
      <c r="E185" s="4" t="inlineStr">
        <is>
          <t>1kg</t>
        </is>
      </c>
      <c r="F185" s="18" t="n">
        <v>4350</v>
      </c>
      <c r="G185" s="15" t="n">
        <v>22.14</v>
      </c>
      <c r="H185" s="15" t="n">
        <v>96309</v>
      </c>
      <c r="I185" s="4" t="inlineStr">
        <is>
          <t>江苏区域</t>
        </is>
      </c>
      <c r="J185" s="4" t="inlineStr">
        <is>
          <t>林明英</t>
        </is>
      </c>
    </row>
    <row r="186">
      <c r="A186" s="14" t="n">
        <v>45862</v>
      </c>
      <c r="B186" s="4" t="inlineStr">
        <is>
          <t>SO202510105</t>
        </is>
      </c>
      <c r="C186" s="4" t="inlineStr">
        <is>
          <t>上海优鲜供应链有限公司</t>
        </is>
      </c>
      <c r="D186" s="4" t="inlineStr">
        <is>
          <t>数控机床</t>
        </is>
      </c>
      <c r="E186" s="4" t="inlineStr">
        <is>
          <t>C级</t>
        </is>
      </c>
      <c r="F186" s="18" t="n">
        <v>1110</v>
      </c>
      <c r="G186" s="15" t="n">
        <v>50.13</v>
      </c>
      <c r="H186" s="15" t="n">
        <v>55644.3</v>
      </c>
      <c r="I186" s="4" t="inlineStr">
        <is>
          <t>广东区域</t>
        </is>
      </c>
      <c r="J186" s="4" t="inlineStr">
        <is>
          <t>李超伟</t>
        </is>
      </c>
    </row>
    <row r="187">
      <c r="A187" s="14" t="n">
        <v>45864</v>
      </c>
      <c r="B187" s="4" t="inlineStr">
        <is>
          <t>SO202510154</t>
        </is>
      </c>
      <c r="C187" s="4" t="inlineStr">
        <is>
          <t>常州淼沃商贸有限公司</t>
        </is>
      </c>
      <c r="D187" s="4" t="inlineStr">
        <is>
          <t>模具</t>
        </is>
      </c>
      <c r="E187" s="4" t="inlineStr">
        <is>
          <t>精装</t>
        </is>
      </c>
      <c r="F187" s="18" t="n">
        <v>1690</v>
      </c>
      <c r="G187" s="15" t="n">
        <v>266.72</v>
      </c>
      <c r="H187" s="15" t="n">
        <v>450756.8</v>
      </c>
      <c r="I187" s="4" t="inlineStr">
        <is>
          <t>华中区域</t>
        </is>
      </c>
      <c r="J187" s="4" t="inlineStr">
        <is>
          <t>孙洋娜</t>
        </is>
      </c>
    </row>
    <row r="188">
      <c r="A188" s="14" t="n">
        <v>45866</v>
      </c>
      <c r="B188" s="4" t="inlineStr">
        <is>
          <t>SO202510097</t>
        </is>
      </c>
      <c r="C188" s="4" t="inlineStr">
        <is>
          <t>杭州大匠商贸有限公司</t>
        </is>
      </c>
      <c r="D188" s="4" t="inlineStr">
        <is>
          <t>气动元件</t>
        </is>
      </c>
      <c r="E188" s="4" t="inlineStr">
        <is>
          <t>2.5kg</t>
        </is>
      </c>
      <c r="F188" s="18" t="n">
        <v>2230</v>
      </c>
      <c r="G188" s="15" t="n">
        <v>87.62</v>
      </c>
      <c r="H188" s="15" t="n">
        <v>195392.6</v>
      </c>
      <c r="I188" s="4" t="inlineStr">
        <is>
          <t>浙江区域</t>
        </is>
      </c>
      <c r="J188" s="4" t="inlineStr">
        <is>
          <t>高娜敏</t>
        </is>
      </c>
    </row>
    <row r="189">
      <c r="A189" s="14" t="n">
        <v>45866</v>
      </c>
      <c r="B189" s="4" t="inlineStr">
        <is>
          <t>SO202510231</t>
        </is>
      </c>
      <c r="C189" s="4" t="inlineStr">
        <is>
          <t>合肥优鲜电商平台</t>
        </is>
      </c>
      <c r="D189" s="4" t="inlineStr">
        <is>
          <t>工装夹具</t>
        </is>
      </c>
      <c r="E189" s="4" t="inlineStr">
        <is>
          <t>标准</t>
        </is>
      </c>
      <c r="F189" s="18" t="n">
        <v>2360</v>
      </c>
      <c r="G189" s="15" t="n">
        <v>75.61</v>
      </c>
      <c r="H189" s="15" t="n">
        <v>178439.6</v>
      </c>
      <c r="I189" s="4" t="inlineStr">
        <is>
          <t>广东区域</t>
        </is>
      </c>
      <c r="J189" s="4" t="inlineStr">
        <is>
          <t>马兰伟</t>
        </is>
      </c>
    </row>
    <row r="190">
      <c r="A190" s="14" t="n">
        <v>45866</v>
      </c>
      <c r="B190" s="4" t="inlineStr">
        <is>
          <t>SO202510258</t>
        </is>
      </c>
      <c r="C190" s="4" t="inlineStr">
        <is>
          <t>宁波淼沃酒店管理集团</t>
        </is>
      </c>
      <c r="D190" s="4" t="inlineStr">
        <is>
          <t>工装夹具</t>
        </is>
      </c>
      <c r="E190" s="4" t="inlineStr">
        <is>
          <t>A级</t>
        </is>
      </c>
      <c r="F190" s="18" t="n">
        <v>2050</v>
      </c>
      <c r="G190" s="15" t="n">
        <v>150.55</v>
      </c>
      <c r="H190" s="15" t="n">
        <v>308627.5</v>
      </c>
      <c r="I190" s="4" t="inlineStr">
        <is>
          <t>浙江区域</t>
        </is>
      </c>
      <c r="J190" s="4" t="inlineStr">
        <is>
          <t>李涛伟</t>
        </is>
      </c>
    </row>
    <row r="191">
      <c r="A191" s="14" t="n">
        <v>45872</v>
      </c>
      <c r="B191" s="4" t="inlineStr">
        <is>
          <t>SO202510168</t>
        </is>
      </c>
      <c r="C191" s="4" t="inlineStr">
        <is>
          <t>南京京功电商平台</t>
        </is>
      </c>
      <c r="D191" s="4" t="inlineStr">
        <is>
          <t>精密轴承</t>
        </is>
      </c>
      <c r="E191" s="4" t="inlineStr">
        <is>
          <t>1kg</t>
        </is>
      </c>
      <c r="F191" s="18" t="n">
        <v>890</v>
      </c>
      <c r="G191" s="15" t="n">
        <v>276.5</v>
      </c>
      <c r="H191" s="15" t="n">
        <v>246085</v>
      </c>
      <c r="I191" s="4" t="inlineStr">
        <is>
          <t>浙江区域</t>
        </is>
      </c>
      <c r="J191" s="4" t="inlineStr">
        <is>
          <t>何英芳</t>
        </is>
      </c>
    </row>
    <row r="192">
      <c r="A192" s="14" t="n">
        <v>45872</v>
      </c>
      <c r="B192" s="4" t="inlineStr">
        <is>
          <t>SO202510252</t>
        </is>
      </c>
      <c r="C192" s="4" t="inlineStr">
        <is>
          <t>嘉兴百味供应链有限公司</t>
        </is>
      </c>
      <c r="D192" s="4" t="inlineStr">
        <is>
          <t>精密轴承</t>
        </is>
      </c>
      <c r="E192" s="4" t="inlineStr">
        <is>
          <t>1kg</t>
        </is>
      </c>
      <c r="F192" s="18" t="n">
        <v>1100</v>
      </c>
      <c r="G192" s="15" t="n">
        <v>183.24</v>
      </c>
      <c r="H192" s="15" t="n">
        <v>201564</v>
      </c>
      <c r="I192" s="4" t="inlineStr">
        <is>
          <t>华中区域</t>
        </is>
      </c>
      <c r="J192" s="4" t="inlineStr">
        <is>
          <t>刘娟秀</t>
        </is>
      </c>
    </row>
    <row r="193">
      <c r="A193" s="14" t="n">
        <v>45873</v>
      </c>
      <c r="B193" s="4" t="inlineStr">
        <is>
          <t>SO202510242</t>
        </is>
      </c>
      <c r="C193" s="4" t="inlineStr">
        <is>
          <t>宁波食佳食品有限公司</t>
        </is>
      </c>
      <c r="D193" s="4" t="inlineStr">
        <is>
          <t>液压件</t>
        </is>
      </c>
      <c r="E193" s="4" t="inlineStr">
        <is>
          <t>C级</t>
        </is>
      </c>
      <c r="F193" s="18" t="n">
        <v>2640</v>
      </c>
      <c r="G193" s="15" t="n">
        <v>114.13</v>
      </c>
      <c r="H193" s="15" t="n">
        <v>301303.2</v>
      </c>
      <c r="I193" s="4" t="inlineStr">
        <is>
          <t>广东区域</t>
        </is>
      </c>
      <c r="J193" s="4" t="inlineStr">
        <is>
          <t>黄兰娜</t>
        </is>
      </c>
    </row>
    <row r="194">
      <c r="A194" s="14" t="n">
        <v>45874</v>
      </c>
      <c r="B194" s="4" t="inlineStr">
        <is>
          <t>SO202510036</t>
        </is>
      </c>
      <c r="C194" s="4" t="inlineStr">
        <is>
          <t>上海优鲜餐饮管理有限公司</t>
        </is>
      </c>
      <c r="D194" s="4" t="inlineStr">
        <is>
          <t>工装夹具</t>
        </is>
      </c>
      <c r="E194" s="4" t="inlineStr">
        <is>
          <t>特级</t>
        </is>
      </c>
      <c r="F194" s="18" t="n">
        <v>990</v>
      </c>
      <c r="G194" s="15" t="n">
        <v>141.49</v>
      </c>
      <c r="H194" s="15" t="n">
        <v>140075.1</v>
      </c>
      <c r="I194" s="4" t="inlineStr">
        <is>
          <t>江苏区域</t>
        </is>
      </c>
      <c r="J194" s="4" t="inlineStr">
        <is>
          <t>张娟英</t>
        </is>
      </c>
    </row>
    <row r="195">
      <c r="A195" s="14" t="n">
        <v>45874</v>
      </c>
      <c r="B195" s="4" t="inlineStr">
        <is>
          <t>SO202510092</t>
        </is>
      </c>
      <c r="C195" s="4" t="inlineStr">
        <is>
          <t>苏州优鲜食品有限公司</t>
        </is>
      </c>
      <c r="D195" s="4" t="inlineStr">
        <is>
          <t>精密轴承</t>
        </is>
      </c>
      <c r="E195" s="4" t="inlineStr">
        <is>
          <t>500g</t>
        </is>
      </c>
      <c r="F195" s="18" t="n">
        <v>3460</v>
      </c>
      <c r="G195" s="15" t="n">
        <v>280.16</v>
      </c>
      <c r="H195" s="15" t="n">
        <v>969353.6</v>
      </c>
      <c r="I195" s="4" t="inlineStr">
        <is>
          <t>华中区域</t>
        </is>
      </c>
      <c r="J195" s="4" t="inlineStr">
        <is>
          <t>周明伟</t>
        </is>
      </c>
    </row>
    <row r="196">
      <c r="A196" s="14" t="n">
        <v>45875</v>
      </c>
      <c r="B196" s="4" t="inlineStr">
        <is>
          <t>SO202510007</t>
        </is>
      </c>
      <c r="C196" s="4" t="inlineStr">
        <is>
          <t>苏州百味超市</t>
        </is>
      </c>
      <c r="D196" s="4" t="inlineStr">
        <is>
          <t>精密轴承</t>
        </is>
      </c>
      <c r="E196" s="4" t="inlineStr">
        <is>
          <t>25kg</t>
        </is>
      </c>
      <c r="F196" s="18" t="n">
        <v>2030</v>
      </c>
      <c r="G196" s="15" t="n">
        <v>98.39</v>
      </c>
      <c r="H196" s="15" t="n">
        <v>199731.7</v>
      </c>
      <c r="I196" s="4" t="inlineStr">
        <is>
          <t>江苏区域</t>
        </is>
      </c>
      <c r="J196" s="4" t="inlineStr">
        <is>
          <t>徐杰英</t>
        </is>
      </c>
    </row>
    <row r="197">
      <c r="A197" s="14" t="n">
        <v>45875</v>
      </c>
      <c r="B197" s="4" t="inlineStr">
        <is>
          <t>SO202510239</t>
        </is>
      </c>
      <c r="C197" s="4" t="inlineStr">
        <is>
          <t>上海优鲜餐饮管理有限公司</t>
        </is>
      </c>
      <c r="D197" s="4" t="inlineStr">
        <is>
          <t>模具</t>
        </is>
      </c>
      <c r="E197" s="4" t="inlineStr">
        <is>
          <t>2.5kg</t>
        </is>
      </c>
      <c r="F197" s="18" t="n">
        <v>3930</v>
      </c>
      <c r="G197" s="15" t="n">
        <v>142.29</v>
      </c>
      <c r="H197" s="15" t="n">
        <v>559199.7</v>
      </c>
      <c r="I197" s="4" t="inlineStr">
        <is>
          <t>广东区域</t>
        </is>
      </c>
      <c r="J197" s="4" t="inlineStr">
        <is>
          <t>罗杰敏</t>
        </is>
      </c>
    </row>
    <row r="198">
      <c r="A198" s="14" t="n">
        <v>45876</v>
      </c>
      <c r="B198" s="4" t="inlineStr">
        <is>
          <t>SO202510246</t>
        </is>
      </c>
      <c r="C198" s="4" t="inlineStr">
        <is>
          <t>温州优鲜商贸有限公司</t>
        </is>
      </c>
      <c r="D198" s="4" t="inlineStr">
        <is>
          <t>数控机床</t>
        </is>
      </c>
      <c r="E198" s="4" t="inlineStr">
        <is>
          <t>精装</t>
        </is>
      </c>
      <c r="F198" s="18" t="n">
        <v>2630</v>
      </c>
      <c r="G198" s="15" t="n">
        <v>221.22</v>
      </c>
      <c r="H198" s="15" t="n">
        <v>581808.6</v>
      </c>
      <c r="I198" s="4" t="inlineStr">
        <is>
          <t>浙江区域</t>
        </is>
      </c>
      <c r="J198" s="4" t="inlineStr">
        <is>
          <t>王静敏</t>
        </is>
      </c>
    </row>
    <row r="199">
      <c r="A199" s="14" t="n">
        <v>45877</v>
      </c>
      <c r="B199" s="4" t="inlineStr">
        <is>
          <t>SO202510057</t>
        </is>
      </c>
      <c r="C199" s="4" t="inlineStr">
        <is>
          <t>南京京功商贸有限公司</t>
        </is>
      </c>
      <c r="D199" s="4" t="inlineStr">
        <is>
          <t>气动元件</t>
        </is>
      </c>
      <c r="E199" s="4" t="inlineStr">
        <is>
          <t>10kg</t>
        </is>
      </c>
      <c r="F199" s="18" t="n">
        <v>400</v>
      </c>
      <c r="G199" s="15" t="n">
        <v>95.31</v>
      </c>
      <c r="H199" s="15" t="n">
        <v>38124</v>
      </c>
      <c r="I199" s="4" t="inlineStr">
        <is>
          <t>浙江区域</t>
        </is>
      </c>
      <c r="J199" s="4" t="inlineStr">
        <is>
          <t>赵超伟</t>
        </is>
      </c>
    </row>
    <row r="200">
      <c r="A200" s="14" t="n">
        <v>45878</v>
      </c>
      <c r="B200" s="4" t="inlineStr">
        <is>
          <t>SO202510076</t>
        </is>
      </c>
      <c r="C200" s="4" t="inlineStr">
        <is>
          <t>嘉兴优鲜供应链有限公司</t>
        </is>
      </c>
      <c r="D200" s="4" t="inlineStr">
        <is>
          <t>精密轴承</t>
        </is>
      </c>
      <c r="E200" s="4" t="inlineStr">
        <is>
          <t>精装</t>
        </is>
      </c>
      <c r="F200" s="18" t="n">
        <v>1190</v>
      </c>
      <c r="G200" s="15" t="n">
        <v>75.73999999999999</v>
      </c>
      <c r="H200" s="15" t="n">
        <v>90130.60000000001</v>
      </c>
      <c r="I200" s="4" t="inlineStr">
        <is>
          <t>广东区域</t>
        </is>
      </c>
      <c r="J200" s="4" t="inlineStr">
        <is>
          <t>高杰敏</t>
        </is>
      </c>
    </row>
    <row r="201">
      <c r="A201" s="14" t="n">
        <v>45879</v>
      </c>
      <c r="B201" s="4" t="inlineStr">
        <is>
          <t>SO202510194</t>
        </is>
      </c>
      <c r="C201" s="4" t="inlineStr">
        <is>
          <t>上海优鲜供应链有限公司</t>
        </is>
      </c>
      <c r="D201" s="4" t="inlineStr">
        <is>
          <t>模具</t>
        </is>
      </c>
      <c r="E201" s="4" t="inlineStr">
        <is>
          <t>1kg</t>
        </is>
      </c>
      <c r="F201" s="18" t="n">
        <v>3370</v>
      </c>
      <c r="G201" s="15" t="n">
        <v>21.08</v>
      </c>
      <c r="H201" s="15" t="n">
        <v>71039.60000000001</v>
      </c>
      <c r="I201" s="4" t="inlineStr">
        <is>
          <t>江苏区域</t>
        </is>
      </c>
      <c r="J201" s="4" t="inlineStr">
        <is>
          <t>罗艳英</t>
        </is>
      </c>
    </row>
    <row r="202">
      <c r="A202" s="14" t="n">
        <v>45880</v>
      </c>
      <c r="B202" s="4" t="inlineStr">
        <is>
          <t>SO202510119</t>
        </is>
      </c>
      <c r="C202" s="4" t="inlineStr">
        <is>
          <t>合肥食佳电商平台</t>
        </is>
      </c>
      <c r="D202" s="4" t="inlineStr">
        <is>
          <t>精密轴承</t>
        </is>
      </c>
      <c r="E202" s="4" t="inlineStr">
        <is>
          <t>2.5kg</t>
        </is>
      </c>
      <c r="F202" s="18" t="n">
        <v>2950</v>
      </c>
      <c r="G202" s="15" t="n">
        <v>41.06</v>
      </c>
      <c r="H202" s="15" t="n">
        <v>121127</v>
      </c>
      <c r="I202" s="4" t="inlineStr">
        <is>
          <t>江苏区域</t>
        </is>
      </c>
      <c r="J202" s="4" t="inlineStr">
        <is>
          <t>陈超伟</t>
        </is>
      </c>
    </row>
    <row r="203">
      <c r="A203" s="14" t="n">
        <v>45882</v>
      </c>
      <c r="B203" s="4" t="inlineStr">
        <is>
          <t>SO202510295</t>
        </is>
      </c>
      <c r="C203" s="4" t="inlineStr">
        <is>
          <t>南京优鲜电商平台</t>
        </is>
      </c>
      <c r="D203" s="4" t="inlineStr">
        <is>
          <t>数控机床</t>
        </is>
      </c>
      <c r="E203" s="4" t="inlineStr">
        <is>
          <t>标准</t>
        </is>
      </c>
      <c r="F203" s="18" t="n">
        <v>3780</v>
      </c>
      <c r="G203" s="15" t="n">
        <v>223.49</v>
      </c>
      <c r="H203" s="15" t="n">
        <v>844792.2</v>
      </c>
      <c r="I203" s="4" t="inlineStr">
        <is>
          <t>江苏区域</t>
        </is>
      </c>
      <c r="J203" s="4" t="inlineStr">
        <is>
          <t>高磊英</t>
        </is>
      </c>
    </row>
    <row r="204">
      <c r="A204" s="14" t="n">
        <v>45883</v>
      </c>
      <c r="B204" s="4" t="inlineStr">
        <is>
          <t>SO202510235</t>
        </is>
      </c>
      <c r="C204" s="4" t="inlineStr">
        <is>
          <t>上海京功商贸有限公司</t>
        </is>
      </c>
      <c r="D204" s="4" t="inlineStr">
        <is>
          <t>数控机床</t>
        </is>
      </c>
      <c r="E204" s="4" t="inlineStr">
        <is>
          <t>A级</t>
        </is>
      </c>
      <c r="F204" s="18" t="n">
        <v>3260</v>
      </c>
      <c r="G204" s="15" t="n">
        <v>169.88</v>
      </c>
      <c r="H204" s="15" t="n">
        <v>553808.8</v>
      </c>
      <c r="I204" s="4" t="inlineStr">
        <is>
          <t>浙江区域</t>
        </is>
      </c>
      <c r="J204" s="4" t="inlineStr">
        <is>
          <t>李英敏</t>
        </is>
      </c>
    </row>
    <row r="205">
      <c r="A205" s="14" t="n">
        <v>45886</v>
      </c>
      <c r="B205" s="4" t="inlineStr">
        <is>
          <t>SO202510147</t>
        </is>
      </c>
      <c r="C205" s="4" t="inlineStr">
        <is>
          <t>上海淼沃餐饮管理有限公司</t>
        </is>
      </c>
      <c r="D205" s="4" t="inlineStr">
        <is>
          <t>精密轴承</t>
        </is>
      </c>
      <c r="E205" s="4" t="inlineStr">
        <is>
          <t>500g</t>
        </is>
      </c>
      <c r="F205" s="18" t="n">
        <v>4730</v>
      </c>
      <c r="G205" s="15" t="n">
        <v>204.04</v>
      </c>
      <c r="H205" s="15" t="n">
        <v>965109.2</v>
      </c>
      <c r="I205" s="4" t="inlineStr">
        <is>
          <t>广东区域</t>
        </is>
      </c>
      <c r="J205" s="4" t="inlineStr">
        <is>
          <t>何娜秀</t>
        </is>
      </c>
    </row>
    <row r="206">
      <c r="A206" s="14" t="n">
        <v>45887</v>
      </c>
      <c r="B206" s="4" t="inlineStr">
        <is>
          <t>SO202510224</t>
        </is>
      </c>
      <c r="C206" s="4" t="inlineStr">
        <is>
          <t>苏州京功酒店管理集团</t>
        </is>
      </c>
      <c r="D206" s="4" t="inlineStr">
        <is>
          <t>精密轴承</t>
        </is>
      </c>
      <c r="E206" s="4" t="inlineStr">
        <is>
          <t>1kg</t>
        </is>
      </c>
      <c r="F206" s="18" t="n">
        <v>4260</v>
      </c>
      <c r="G206" s="15" t="n">
        <v>86.08</v>
      </c>
      <c r="H206" s="15" t="n">
        <v>366700.8</v>
      </c>
      <c r="I206" s="4" t="inlineStr">
        <is>
          <t>浙江区域</t>
        </is>
      </c>
      <c r="J206" s="4" t="inlineStr">
        <is>
          <t>朱敏敏</t>
        </is>
      </c>
    </row>
    <row r="207">
      <c r="A207" s="14" t="n">
        <v>45887</v>
      </c>
      <c r="B207" s="4" t="inlineStr">
        <is>
          <t>SO202510304</t>
        </is>
      </c>
      <c r="C207" s="4" t="inlineStr">
        <is>
          <t>无锡大匠超市</t>
        </is>
      </c>
      <c r="D207" s="4" t="inlineStr">
        <is>
          <t>模具</t>
        </is>
      </c>
      <c r="E207" s="4" t="inlineStr">
        <is>
          <t>C级</t>
        </is>
      </c>
      <c r="F207" s="18" t="n">
        <v>4550</v>
      </c>
      <c r="G207" s="15" t="n">
        <v>42.89</v>
      </c>
      <c r="H207" s="15" t="n">
        <v>195149.5</v>
      </c>
      <c r="I207" s="4" t="inlineStr">
        <is>
          <t>江苏区域</t>
        </is>
      </c>
      <c r="J207" s="4" t="inlineStr">
        <is>
          <t>刘洋伟</t>
        </is>
      </c>
    </row>
    <row r="208">
      <c r="A208" s="14" t="n">
        <v>45888</v>
      </c>
      <c r="B208" s="4" t="inlineStr">
        <is>
          <t>SO202510134</t>
        </is>
      </c>
      <c r="C208" s="4" t="inlineStr">
        <is>
          <t>宁波优鲜电商平台</t>
        </is>
      </c>
      <c r="D208" s="4" t="inlineStr">
        <is>
          <t>模具</t>
        </is>
      </c>
      <c r="E208" s="4" t="inlineStr">
        <is>
          <t>500g</t>
        </is>
      </c>
      <c r="F208" s="18" t="n">
        <v>1150</v>
      </c>
      <c r="G208" s="15" t="n">
        <v>12.86</v>
      </c>
      <c r="H208" s="15" t="n">
        <v>14789</v>
      </c>
      <c r="I208" s="4" t="inlineStr">
        <is>
          <t>广东区域</t>
        </is>
      </c>
      <c r="J208" s="4" t="inlineStr">
        <is>
          <t>胡杰芳</t>
        </is>
      </c>
    </row>
    <row r="209">
      <c r="A209" s="14" t="n">
        <v>45889</v>
      </c>
      <c r="B209" s="4" t="inlineStr">
        <is>
          <t>SO202510250</t>
        </is>
      </c>
      <c r="C209" s="4" t="inlineStr">
        <is>
          <t>嘉兴大匠商贸有限公司</t>
        </is>
      </c>
      <c r="D209" s="4" t="inlineStr">
        <is>
          <t>液压件</t>
        </is>
      </c>
      <c r="E209" s="4" t="inlineStr">
        <is>
          <t>A级</t>
        </is>
      </c>
      <c r="F209" s="18" t="n">
        <v>460</v>
      </c>
      <c r="G209" s="15" t="n">
        <v>47.37</v>
      </c>
      <c r="H209" s="15" t="n">
        <v>21790.2</v>
      </c>
      <c r="I209" s="4" t="inlineStr">
        <is>
          <t>江苏区域</t>
        </is>
      </c>
      <c r="J209" s="4" t="inlineStr">
        <is>
          <t>徐磊秀</t>
        </is>
      </c>
    </row>
    <row r="210">
      <c r="A210" s="14" t="n">
        <v>45890</v>
      </c>
      <c r="B210" s="4" t="inlineStr">
        <is>
          <t>SO202510213</t>
        </is>
      </c>
      <c r="C210" s="4" t="inlineStr">
        <is>
          <t>杭州百味电商平台</t>
        </is>
      </c>
      <c r="D210" s="4" t="inlineStr">
        <is>
          <t>液压件</t>
        </is>
      </c>
      <c r="E210" s="4" t="inlineStr">
        <is>
          <t>1kg</t>
        </is>
      </c>
      <c r="F210" s="18" t="n">
        <v>1240</v>
      </c>
      <c r="G210" s="15" t="n">
        <v>80.06</v>
      </c>
      <c r="H210" s="15" t="n">
        <v>99274.39999999999</v>
      </c>
      <c r="I210" s="4" t="inlineStr">
        <is>
          <t>华中区域</t>
        </is>
      </c>
      <c r="J210" s="4" t="inlineStr">
        <is>
          <t>刘涛伟</t>
        </is>
      </c>
    </row>
    <row r="211">
      <c r="A211" s="14" t="n">
        <v>45892</v>
      </c>
      <c r="B211" s="4" t="inlineStr">
        <is>
          <t>SO202510240</t>
        </is>
      </c>
      <c r="C211" s="4" t="inlineStr">
        <is>
          <t>上海优鲜餐饮管理有限公司</t>
        </is>
      </c>
      <c r="D211" s="4" t="inlineStr">
        <is>
          <t>模具</t>
        </is>
      </c>
      <c r="E211" s="4" t="inlineStr">
        <is>
          <t>2.5kg</t>
        </is>
      </c>
      <c r="F211" s="18" t="n">
        <v>3420</v>
      </c>
      <c r="G211" s="15" t="n">
        <v>270.16</v>
      </c>
      <c r="H211" s="15" t="n">
        <v>923947.2</v>
      </c>
      <c r="I211" s="4" t="inlineStr">
        <is>
          <t>广东区域</t>
        </is>
      </c>
      <c r="J211" s="4" t="inlineStr">
        <is>
          <t>高洋英</t>
        </is>
      </c>
    </row>
    <row r="212">
      <c r="A212" s="14" t="n">
        <v>45893</v>
      </c>
      <c r="B212" s="4" t="inlineStr">
        <is>
          <t>SO202510066</t>
        </is>
      </c>
      <c r="C212" s="4" t="inlineStr">
        <is>
          <t>南昌优鲜超市</t>
        </is>
      </c>
      <c r="D212" s="4" t="inlineStr">
        <is>
          <t>液压件</t>
        </is>
      </c>
      <c r="E212" s="4" t="inlineStr">
        <is>
          <t>1kg</t>
        </is>
      </c>
      <c r="F212" s="18" t="n">
        <v>140</v>
      </c>
      <c r="G212" s="15" t="n">
        <v>72.58</v>
      </c>
      <c r="H212" s="15" t="n">
        <v>10161.2</v>
      </c>
      <c r="I212" s="4" t="inlineStr">
        <is>
          <t>华中区域</t>
        </is>
      </c>
      <c r="J212" s="4" t="inlineStr">
        <is>
          <t>罗秀英</t>
        </is>
      </c>
    </row>
    <row r="213">
      <c r="A213" s="14" t="n">
        <v>45893</v>
      </c>
      <c r="B213" s="4" t="inlineStr">
        <is>
          <t>SO202510170</t>
        </is>
      </c>
      <c r="C213" s="4" t="inlineStr">
        <is>
          <t>无锡大匠供应链有限公司</t>
        </is>
      </c>
      <c r="D213" s="4" t="inlineStr">
        <is>
          <t>模具</t>
        </is>
      </c>
      <c r="E213" s="4" t="inlineStr">
        <is>
          <t>C级</t>
        </is>
      </c>
      <c r="F213" s="18" t="n">
        <v>2750</v>
      </c>
      <c r="G213" s="15" t="n">
        <v>267.57</v>
      </c>
      <c r="H213" s="15" t="n">
        <v>735817.5</v>
      </c>
      <c r="I213" s="4" t="inlineStr">
        <is>
          <t>浙江区域</t>
        </is>
      </c>
      <c r="J213" s="4" t="inlineStr">
        <is>
          <t>王艳芳</t>
        </is>
      </c>
    </row>
    <row r="214">
      <c r="A214" s="14" t="n">
        <v>45893</v>
      </c>
      <c r="B214" s="4" t="inlineStr">
        <is>
          <t>SO202510204</t>
        </is>
      </c>
      <c r="C214" s="4" t="inlineStr">
        <is>
          <t>南昌大匠电商平台</t>
        </is>
      </c>
      <c r="D214" s="4" t="inlineStr">
        <is>
          <t>模具</t>
        </is>
      </c>
      <c r="E214" s="4" t="inlineStr">
        <is>
          <t>B级</t>
        </is>
      </c>
      <c r="F214" s="18" t="n">
        <v>4710</v>
      </c>
      <c r="G214" s="15" t="n">
        <v>81.23</v>
      </c>
      <c r="H214" s="15" t="n">
        <v>382593.3</v>
      </c>
      <c r="I214" s="4" t="inlineStr">
        <is>
          <t>华中区域</t>
        </is>
      </c>
      <c r="J214" s="4" t="inlineStr">
        <is>
          <t>李强秀</t>
        </is>
      </c>
    </row>
    <row r="215">
      <c r="A215" s="14" t="n">
        <v>45893</v>
      </c>
      <c r="B215" s="4" t="inlineStr">
        <is>
          <t>SO202510311</t>
        </is>
      </c>
      <c r="C215" s="4" t="inlineStr">
        <is>
          <t>合肥大匠酒店管理集团</t>
        </is>
      </c>
      <c r="D215" s="4" t="inlineStr">
        <is>
          <t>液压件</t>
        </is>
      </c>
      <c r="E215" s="4" t="inlineStr">
        <is>
          <t>A级</t>
        </is>
      </c>
      <c r="F215" s="18" t="n">
        <v>2770</v>
      </c>
      <c r="G215" s="15" t="n">
        <v>136.28</v>
      </c>
      <c r="H215" s="15" t="n">
        <v>377495.6</v>
      </c>
      <c r="I215" s="4" t="inlineStr">
        <is>
          <t>华中区域</t>
        </is>
      </c>
      <c r="J215" s="4" t="inlineStr">
        <is>
          <t>罗杰娜</t>
        </is>
      </c>
    </row>
    <row r="216">
      <c r="A216" s="14" t="n">
        <v>45895</v>
      </c>
      <c r="B216" s="4" t="inlineStr">
        <is>
          <t>SO202510009</t>
        </is>
      </c>
      <c r="C216" s="4" t="inlineStr">
        <is>
          <t>温州大匠酒店管理集团</t>
        </is>
      </c>
      <c r="D216" s="4" t="inlineStr">
        <is>
          <t>液压件</t>
        </is>
      </c>
      <c r="E216" s="4" t="inlineStr">
        <is>
          <t>5kg</t>
        </is>
      </c>
      <c r="F216" s="18" t="n">
        <v>840</v>
      </c>
      <c r="G216" s="15" t="n">
        <v>53.69</v>
      </c>
      <c r="H216" s="15" t="n">
        <v>45099.6</v>
      </c>
      <c r="I216" s="4" t="inlineStr">
        <is>
          <t>华中区域</t>
        </is>
      </c>
      <c r="J216" s="4" t="inlineStr">
        <is>
          <t>徐兰秀</t>
        </is>
      </c>
    </row>
    <row r="217">
      <c r="A217" s="14" t="n">
        <v>45897</v>
      </c>
      <c r="B217" s="4" t="inlineStr">
        <is>
          <t>SO202510107</t>
        </is>
      </c>
      <c r="C217" s="4" t="inlineStr">
        <is>
          <t>苏州淼沃供应链有限公司</t>
        </is>
      </c>
      <c r="D217" s="4" t="inlineStr">
        <is>
          <t>模具</t>
        </is>
      </c>
      <c r="E217" s="4" t="inlineStr">
        <is>
          <t>500g</t>
        </is>
      </c>
      <c r="F217" s="18" t="n">
        <v>1620</v>
      </c>
      <c r="G217" s="15" t="n">
        <v>230.86</v>
      </c>
      <c r="H217" s="15" t="n">
        <v>373993.2</v>
      </c>
      <c r="I217" s="4" t="inlineStr">
        <is>
          <t>广东区域</t>
        </is>
      </c>
      <c r="J217" s="4" t="inlineStr">
        <is>
          <t>陈强敏</t>
        </is>
      </c>
    </row>
    <row r="218">
      <c r="A218" s="14" t="n">
        <v>45897</v>
      </c>
      <c r="B218" s="4" t="inlineStr">
        <is>
          <t>SO202510183</t>
        </is>
      </c>
      <c r="C218" s="4" t="inlineStr">
        <is>
          <t>南昌淼沃餐饮管理有限公司</t>
        </is>
      </c>
      <c r="D218" s="4" t="inlineStr">
        <is>
          <t>数控机床</t>
        </is>
      </c>
      <c r="E218" s="4" t="inlineStr">
        <is>
          <t>标准</t>
        </is>
      </c>
      <c r="F218" s="18" t="n">
        <v>1880</v>
      </c>
      <c r="G218" s="15" t="n">
        <v>57.39</v>
      </c>
      <c r="H218" s="15" t="n">
        <v>107893.2</v>
      </c>
      <c r="I218" s="4" t="inlineStr">
        <is>
          <t>江苏区域</t>
        </is>
      </c>
      <c r="J218" s="4" t="inlineStr">
        <is>
          <t>赵芳秀</t>
        </is>
      </c>
    </row>
    <row r="219">
      <c r="A219" s="14" t="n">
        <v>45901</v>
      </c>
      <c r="B219" s="4" t="inlineStr">
        <is>
          <t>SO202510182</t>
        </is>
      </c>
      <c r="C219" s="4" t="inlineStr">
        <is>
          <t>镇江百味食品有限公司</t>
        </is>
      </c>
      <c r="D219" s="4" t="inlineStr">
        <is>
          <t>模具</t>
        </is>
      </c>
      <c r="E219" s="4" t="inlineStr">
        <is>
          <t>5kg</t>
        </is>
      </c>
      <c r="F219" s="18" t="n">
        <v>2260</v>
      </c>
      <c r="G219" s="15" t="n">
        <v>8.31</v>
      </c>
      <c r="H219" s="15" t="n">
        <v>18780.6</v>
      </c>
      <c r="I219" s="4" t="inlineStr">
        <is>
          <t>华中区域</t>
        </is>
      </c>
      <c r="J219" s="4" t="inlineStr">
        <is>
          <t>张明敏</t>
        </is>
      </c>
    </row>
    <row r="220">
      <c r="A220" s="14" t="n">
        <v>45901</v>
      </c>
      <c r="B220" s="4" t="inlineStr">
        <is>
          <t>SO202510326</t>
        </is>
      </c>
      <c r="C220" s="4" t="inlineStr">
        <is>
          <t>上海淼沃电商平台</t>
        </is>
      </c>
      <c r="D220" s="4" t="inlineStr">
        <is>
          <t>工装夹具</t>
        </is>
      </c>
      <c r="E220" s="4" t="inlineStr">
        <is>
          <t>10kg</t>
        </is>
      </c>
      <c r="F220" s="18" t="n">
        <v>3220</v>
      </c>
      <c r="G220" s="15" t="n">
        <v>120.45</v>
      </c>
      <c r="H220" s="15" t="n">
        <v>387849</v>
      </c>
      <c r="I220" s="4" t="inlineStr">
        <is>
          <t>浙江区域</t>
        </is>
      </c>
      <c r="J220" s="4" t="inlineStr">
        <is>
          <t>孙磊娜</t>
        </is>
      </c>
    </row>
    <row r="221">
      <c r="A221" s="14" t="n">
        <v>45902</v>
      </c>
      <c r="B221" s="4" t="inlineStr">
        <is>
          <t>SO202510035</t>
        </is>
      </c>
      <c r="C221" s="4" t="inlineStr">
        <is>
          <t>镇江大匠餐饮管理有限公司</t>
        </is>
      </c>
      <c r="D221" s="4" t="inlineStr">
        <is>
          <t>数控机床</t>
        </is>
      </c>
      <c r="E221" s="4" t="inlineStr">
        <is>
          <t>5kg</t>
        </is>
      </c>
      <c r="F221" s="18" t="n">
        <v>2460</v>
      </c>
      <c r="G221" s="15" t="n">
        <v>285.15</v>
      </c>
      <c r="H221" s="15" t="n">
        <v>701469</v>
      </c>
      <c r="I221" s="4" t="inlineStr">
        <is>
          <t>广东区域</t>
        </is>
      </c>
      <c r="J221" s="4" t="inlineStr">
        <is>
          <t>张超伟</t>
        </is>
      </c>
    </row>
    <row r="222">
      <c r="A222" s="14" t="n">
        <v>45902</v>
      </c>
      <c r="B222" s="4" t="inlineStr">
        <is>
          <t>SO202510041</t>
        </is>
      </c>
      <c r="C222" s="4" t="inlineStr">
        <is>
          <t>常州京功商贸有限公司</t>
        </is>
      </c>
      <c r="D222" s="4" t="inlineStr">
        <is>
          <t>工装夹具</t>
        </is>
      </c>
      <c r="E222" s="4" t="inlineStr">
        <is>
          <t>1kg</t>
        </is>
      </c>
      <c r="F222" s="18" t="n">
        <v>3360</v>
      </c>
      <c r="G222" s="15" t="n">
        <v>135.88</v>
      </c>
      <c r="H222" s="15" t="n">
        <v>456556.8</v>
      </c>
      <c r="I222" s="4" t="inlineStr">
        <is>
          <t>广东区域</t>
        </is>
      </c>
      <c r="J222" s="4" t="inlineStr">
        <is>
          <t>王英娜</t>
        </is>
      </c>
    </row>
    <row r="223">
      <c r="A223" s="14" t="n">
        <v>45902</v>
      </c>
      <c r="B223" s="4" t="inlineStr">
        <is>
          <t>SO202510177</t>
        </is>
      </c>
      <c r="C223" s="4" t="inlineStr">
        <is>
          <t>无锡淼沃餐饮管理有限公司</t>
        </is>
      </c>
      <c r="D223" s="4" t="inlineStr">
        <is>
          <t>模具</t>
        </is>
      </c>
      <c r="E223" s="4" t="inlineStr">
        <is>
          <t>B级</t>
        </is>
      </c>
      <c r="F223" s="18" t="n">
        <v>700</v>
      </c>
      <c r="G223" s="15" t="n">
        <v>157.45</v>
      </c>
      <c r="H223" s="15" t="n">
        <v>110215</v>
      </c>
      <c r="I223" s="4" t="inlineStr">
        <is>
          <t>华中区域</t>
        </is>
      </c>
      <c r="J223" s="4" t="inlineStr">
        <is>
          <t>李艳娜</t>
        </is>
      </c>
    </row>
    <row r="224">
      <c r="A224" s="14" t="n">
        <v>45903</v>
      </c>
      <c r="B224" s="4" t="inlineStr">
        <is>
          <t>SO202510072</t>
        </is>
      </c>
      <c r="C224" s="4" t="inlineStr">
        <is>
          <t>杭州京功餐饮管理有限公司</t>
        </is>
      </c>
      <c r="D224" s="4" t="inlineStr">
        <is>
          <t>气动元件</t>
        </is>
      </c>
      <c r="E224" s="4" t="inlineStr">
        <is>
          <t>25kg</t>
        </is>
      </c>
      <c r="F224" s="18" t="n">
        <v>70</v>
      </c>
      <c r="G224" s="15" t="n">
        <v>270.22</v>
      </c>
      <c r="H224" s="15" t="n">
        <v>18915.4</v>
      </c>
      <c r="I224" s="4" t="inlineStr">
        <is>
          <t>华中区域</t>
        </is>
      </c>
      <c r="J224" s="4" t="inlineStr">
        <is>
          <t>张芳秀</t>
        </is>
      </c>
    </row>
    <row r="225">
      <c r="A225" s="14" t="n">
        <v>45904</v>
      </c>
      <c r="B225" s="4" t="inlineStr">
        <is>
          <t>SO202510277</t>
        </is>
      </c>
      <c r="C225" s="4" t="inlineStr">
        <is>
          <t>镇江京功餐饮管理有限公司</t>
        </is>
      </c>
      <c r="D225" s="4" t="inlineStr">
        <is>
          <t>工装夹具</t>
        </is>
      </c>
      <c r="E225" s="4" t="inlineStr">
        <is>
          <t>简装</t>
        </is>
      </c>
      <c r="F225" s="18" t="n">
        <v>1600</v>
      </c>
      <c r="G225" s="15" t="n">
        <v>215.57</v>
      </c>
      <c r="H225" s="15" t="n">
        <v>344912</v>
      </c>
      <c r="I225" s="4" t="inlineStr">
        <is>
          <t>江苏区域</t>
        </is>
      </c>
      <c r="J225" s="4" t="inlineStr">
        <is>
          <t>李杰英</t>
        </is>
      </c>
    </row>
    <row r="226">
      <c r="A226" s="14" t="n">
        <v>45908</v>
      </c>
      <c r="B226" s="4" t="inlineStr">
        <is>
          <t>SO202510037</t>
        </is>
      </c>
      <c r="C226" s="4" t="inlineStr">
        <is>
          <t>南昌食佳供应链有限公司</t>
        </is>
      </c>
      <c r="D226" s="4" t="inlineStr">
        <is>
          <t>数控机床</t>
        </is>
      </c>
      <c r="E226" s="4" t="inlineStr">
        <is>
          <t>B级</t>
        </is>
      </c>
      <c r="F226" s="18" t="n">
        <v>3940</v>
      </c>
      <c r="G226" s="15" t="n">
        <v>124.6</v>
      </c>
      <c r="H226" s="15" t="n">
        <v>490924</v>
      </c>
      <c r="I226" s="4" t="inlineStr">
        <is>
          <t>广东区域</t>
        </is>
      </c>
      <c r="J226" s="4" t="inlineStr">
        <is>
          <t>高秀娜</t>
        </is>
      </c>
    </row>
    <row r="227">
      <c r="A227" s="14" t="n">
        <v>45908</v>
      </c>
      <c r="B227" s="4" t="inlineStr">
        <is>
          <t>SO202510293</t>
        </is>
      </c>
      <c r="C227" s="4" t="inlineStr">
        <is>
          <t>镇江食佳供应链有限公司</t>
        </is>
      </c>
      <c r="D227" s="4" t="inlineStr">
        <is>
          <t>精密轴承</t>
        </is>
      </c>
      <c r="E227" s="4" t="inlineStr">
        <is>
          <t>5kg</t>
        </is>
      </c>
      <c r="F227" s="18" t="n">
        <v>2170</v>
      </c>
      <c r="G227" s="15" t="n">
        <v>88.95999999999999</v>
      </c>
      <c r="H227" s="15" t="n">
        <v>193043.2</v>
      </c>
      <c r="I227" s="4" t="inlineStr">
        <is>
          <t>江苏区域</t>
        </is>
      </c>
      <c r="J227" s="4" t="inlineStr">
        <is>
          <t>林娜敏</t>
        </is>
      </c>
    </row>
    <row r="228">
      <c r="A228" s="14" t="n">
        <v>45914</v>
      </c>
      <c r="B228" s="4" t="inlineStr">
        <is>
          <t>SO202510274</t>
        </is>
      </c>
      <c r="C228" s="4" t="inlineStr">
        <is>
          <t>宁波百味食品有限公司</t>
        </is>
      </c>
      <c r="D228" s="4" t="inlineStr">
        <is>
          <t>工装夹具</t>
        </is>
      </c>
      <c r="E228" s="4" t="inlineStr">
        <is>
          <t>C级</t>
        </is>
      </c>
      <c r="F228" s="18" t="n">
        <v>2460</v>
      </c>
      <c r="G228" s="15" t="n">
        <v>283.54</v>
      </c>
      <c r="H228" s="15" t="n">
        <v>697508.4</v>
      </c>
      <c r="I228" s="4" t="inlineStr">
        <is>
          <t>江苏区域</t>
        </is>
      </c>
      <c r="J228" s="4" t="inlineStr">
        <is>
          <t>黄涛伟</t>
        </is>
      </c>
    </row>
    <row r="229">
      <c r="A229" s="14" t="n">
        <v>45917</v>
      </c>
      <c r="B229" s="4" t="inlineStr">
        <is>
          <t>SO202510179</t>
        </is>
      </c>
      <c r="C229" s="4" t="inlineStr">
        <is>
          <t>镇江淼沃电商平台</t>
        </is>
      </c>
      <c r="D229" s="4" t="inlineStr">
        <is>
          <t>数控机床</t>
        </is>
      </c>
      <c r="E229" s="4" t="inlineStr">
        <is>
          <t>500g</t>
        </is>
      </c>
      <c r="F229" s="18" t="n">
        <v>4070</v>
      </c>
      <c r="G229" s="15" t="n">
        <v>66.37</v>
      </c>
      <c r="H229" s="15" t="n">
        <v>270125.9</v>
      </c>
      <c r="I229" s="4" t="inlineStr">
        <is>
          <t>广东区域</t>
        </is>
      </c>
      <c r="J229" s="4" t="inlineStr">
        <is>
          <t>马艳娜</t>
        </is>
      </c>
    </row>
    <row r="230">
      <c r="A230" s="14" t="n">
        <v>45918</v>
      </c>
      <c r="B230" s="4" t="inlineStr">
        <is>
          <t>SO202510054</t>
        </is>
      </c>
      <c r="C230" s="4" t="inlineStr">
        <is>
          <t>嘉兴京功供应链有限公司</t>
        </is>
      </c>
      <c r="D230" s="4" t="inlineStr">
        <is>
          <t>液压件</t>
        </is>
      </c>
      <c r="E230" s="4" t="inlineStr">
        <is>
          <t>25kg</t>
        </is>
      </c>
      <c r="F230" s="18" t="n">
        <v>3950</v>
      </c>
      <c r="G230" s="15" t="n">
        <v>88.06</v>
      </c>
      <c r="H230" s="15" t="n">
        <v>347837</v>
      </c>
      <c r="I230" s="4" t="inlineStr">
        <is>
          <t>浙江区域</t>
        </is>
      </c>
      <c r="J230" s="4" t="inlineStr">
        <is>
          <t>高超秀</t>
        </is>
      </c>
    </row>
    <row r="231">
      <c r="A231" s="14" t="n">
        <v>45918</v>
      </c>
      <c r="B231" s="4" t="inlineStr">
        <is>
          <t>SO202510299</t>
        </is>
      </c>
      <c r="C231" s="4" t="inlineStr">
        <is>
          <t>苏州食佳电商平台</t>
        </is>
      </c>
      <c r="D231" s="4" t="inlineStr">
        <is>
          <t>精密轴承</t>
        </is>
      </c>
      <c r="E231" s="4" t="inlineStr">
        <is>
          <t>1kg</t>
        </is>
      </c>
      <c r="F231" s="18" t="n">
        <v>4530</v>
      </c>
      <c r="G231" s="15" t="n">
        <v>220.66</v>
      </c>
      <c r="H231" s="15" t="n">
        <v>999589.8</v>
      </c>
      <c r="I231" s="4" t="inlineStr">
        <is>
          <t>广东区域</t>
        </is>
      </c>
      <c r="J231" s="4" t="inlineStr">
        <is>
          <t>胡芳敏</t>
        </is>
      </c>
    </row>
    <row r="232">
      <c r="A232" s="14" t="n">
        <v>45920</v>
      </c>
      <c r="B232" s="4" t="inlineStr">
        <is>
          <t>SO202510032</t>
        </is>
      </c>
      <c r="C232" s="4" t="inlineStr">
        <is>
          <t>合肥京功酒店管理集团</t>
        </is>
      </c>
      <c r="D232" s="4" t="inlineStr">
        <is>
          <t>精密轴承</t>
        </is>
      </c>
      <c r="E232" s="4" t="inlineStr">
        <is>
          <t>1kg</t>
        </is>
      </c>
      <c r="F232" s="18" t="n">
        <v>200</v>
      </c>
      <c r="G232" s="15" t="n">
        <v>89.70999999999999</v>
      </c>
      <c r="H232" s="15" t="n">
        <v>17942</v>
      </c>
      <c r="I232" s="4" t="inlineStr">
        <is>
          <t>江苏区域</t>
        </is>
      </c>
      <c r="J232" s="4" t="inlineStr">
        <is>
          <t>马丽英</t>
        </is>
      </c>
    </row>
    <row r="233">
      <c r="A233" s="14" t="n">
        <v>45920</v>
      </c>
      <c r="B233" s="4" t="inlineStr">
        <is>
          <t>SO202510251</t>
        </is>
      </c>
      <c r="C233" s="4" t="inlineStr">
        <is>
          <t>苏州优鲜商贸有限公司</t>
        </is>
      </c>
      <c r="D233" s="4" t="inlineStr">
        <is>
          <t>数控机床</t>
        </is>
      </c>
      <c r="E233" s="4" t="inlineStr">
        <is>
          <t>10kg</t>
        </is>
      </c>
      <c r="F233" s="18" t="n">
        <v>4890</v>
      </c>
      <c r="G233" s="15" t="n">
        <v>290.21</v>
      </c>
      <c r="H233" s="15" t="n">
        <v>1419126.9</v>
      </c>
      <c r="I233" s="4" t="inlineStr">
        <is>
          <t>广东区域</t>
        </is>
      </c>
      <c r="J233" s="4" t="inlineStr">
        <is>
          <t>黄强英</t>
        </is>
      </c>
    </row>
    <row r="234">
      <c r="A234" s="14" t="n">
        <v>45921</v>
      </c>
      <c r="B234" s="4" t="inlineStr">
        <is>
          <t>SO202510309</t>
        </is>
      </c>
      <c r="C234" s="4" t="inlineStr">
        <is>
          <t>镇江百味酒店管理集团</t>
        </is>
      </c>
      <c r="D234" s="4" t="inlineStr">
        <is>
          <t>模具</t>
        </is>
      </c>
      <c r="E234" s="4" t="inlineStr">
        <is>
          <t>A级</t>
        </is>
      </c>
      <c r="F234" s="18" t="n">
        <v>3850</v>
      </c>
      <c r="G234" s="15" t="n">
        <v>221.95</v>
      </c>
      <c r="H234" s="15" t="n">
        <v>854507.5</v>
      </c>
      <c r="I234" s="4" t="inlineStr">
        <is>
          <t>华中区域</t>
        </is>
      </c>
      <c r="J234" s="4" t="inlineStr">
        <is>
          <t>高丽芳</t>
        </is>
      </c>
    </row>
    <row r="235">
      <c r="A235" s="14" t="n">
        <v>45922</v>
      </c>
      <c r="B235" s="4" t="inlineStr">
        <is>
          <t>SO202510232</t>
        </is>
      </c>
      <c r="C235" s="4" t="inlineStr">
        <is>
          <t>南昌大匠酒店管理集团</t>
        </is>
      </c>
      <c r="D235" s="4" t="inlineStr">
        <is>
          <t>液压件</t>
        </is>
      </c>
      <c r="E235" s="4" t="inlineStr">
        <is>
          <t>C级</t>
        </is>
      </c>
      <c r="F235" s="18" t="n">
        <v>3830</v>
      </c>
      <c r="G235" s="15" t="n">
        <v>203.81</v>
      </c>
      <c r="H235" s="15" t="n">
        <v>780592.3</v>
      </c>
      <c r="I235" s="4" t="inlineStr">
        <is>
          <t>江苏区域</t>
        </is>
      </c>
      <c r="J235" s="4" t="inlineStr">
        <is>
          <t>杨敏敏</t>
        </is>
      </c>
    </row>
    <row r="236">
      <c r="A236" s="14" t="n">
        <v>45923</v>
      </c>
      <c r="B236" s="4" t="inlineStr">
        <is>
          <t>SO202510272</t>
        </is>
      </c>
      <c r="C236" s="4" t="inlineStr">
        <is>
          <t>常州淼沃电商平台</t>
        </is>
      </c>
      <c r="D236" s="4" t="inlineStr">
        <is>
          <t>气动元件</t>
        </is>
      </c>
      <c r="E236" s="4" t="inlineStr">
        <is>
          <t>1kg</t>
        </is>
      </c>
      <c r="F236" s="18" t="n">
        <v>1010</v>
      </c>
      <c r="G236" s="15" t="n">
        <v>123.44</v>
      </c>
      <c r="H236" s="15" t="n">
        <v>124674.4</v>
      </c>
      <c r="I236" s="4" t="inlineStr">
        <is>
          <t>江苏区域</t>
        </is>
      </c>
      <c r="J236" s="4" t="inlineStr">
        <is>
          <t>杨英芳</t>
        </is>
      </c>
    </row>
    <row r="237">
      <c r="A237" s="14" t="n">
        <v>45925</v>
      </c>
      <c r="B237" s="4" t="inlineStr">
        <is>
          <t>SO202510141</t>
        </is>
      </c>
      <c r="C237" s="4" t="inlineStr">
        <is>
          <t>常州百味餐饮管理有限公司</t>
        </is>
      </c>
      <c r="D237" s="4" t="inlineStr">
        <is>
          <t>液压件</t>
        </is>
      </c>
      <c r="E237" s="4" t="inlineStr">
        <is>
          <t>2.5kg</t>
        </is>
      </c>
      <c r="F237" s="18" t="n">
        <v>3980</v>
      </c>
      <c r="G237" s="15" t="n">
        <v>76.19</v>
      </c>
      <c r="H237" s="15" t="n">
        <v>303236.2</v>
      </c>
      <c r="I237" s="4" t="inlineStr">
        <is>
          <t>江苏区域</t>
        </is>
      </c>
      <c r="J237" s="4" t="inlineStr">
        <is>
          <t>黄芳敏</t>
        </is>
      </c>
    </row>
    <row r="238">
      <c r="A238" s="14" t="n">
        <v>45926</v>
      </c>
      <c r="B238" s="4" t="inlineStr">
        <is>
          <t>SO202510029</t>
        </is>
      </c>
      <c r="C238" s="4" t="inlineStr">
        <is>
          <t>常州百味餐饮管理有限公司</t>
        </is>
      </c>
      <c r="D238" s="4" t="inlineStr">
        <is>
          <t>液压件</t>
        </is>
      </c>
      <c r="E238" s="4" t="inlineStr">
        <is>
          <t>5kg</t>
        </is>
      </c>
      <c r="F238" s="18" t="n">
        <v>3420</v>
      </c>
      <c r="G238" s="15" t="n">
        <v>198.25</v>
      </c>
      <c r="H238" s="15" t="n">
        <v>678015</v>
      </c>
      <c r="I238" s="4" t="inlineStr">
        <is>
          <t>浙江区域</t>
        </is>
      </c>
      <c r="J238" s="4" t="inlineStr">
        <is>
          <t>李磊芳</t>
        </is>
      </c>
    </row>
    <row r="239">
      <c r="A239" s="14" t="n">
        <v>45932</v>
      </c>
      <c r="B239" s="4" t="inlineStr">
        <is>
          <t>SO202510012</t>
        </is>
      </c>
      <c r="C239" s="4" t="inlineStr">
        <is>
          <t>合肥百味超市</t>
        </is>
      </c>
      <c r="D239" s="4" t="inlineStr">
        <is>
          <t>工装夹具</t>
        </is>
      </c>
      <c r="E239" s="4" t="inlineStr">
        <is>
          <t>标准</t>
        </is>
      </c>
      <c r="F239" s="18" t="n">
        <v>4980</v>
      </c>
      <c r="G239" s="15" t="n">
        <v>193.58</v>
      </c>
      <c r="H239" s="15" t="n">
        <v>964028.4</v>
      </c>
      <c r="I239" s="4" t="inlineStr">
        <is>
          <t>广东区域</t>
        </is>
      </c>
      <c r="J239" s="4" t="inlineStr">
        <is>
          <t>朱娜敏</t>
        </is>
      </c>
    </row>
    <row r="240">
      <c r="A240" s="14" t="n">
        <v>45933</v>
      </c>
      <c r="B240" s="4" t="inlineStr">
        <is>
          <t>SO202510024</t>
        </is>
      </c>
      <c r="C240" s="4" t="inlineStr">
        <is>
          <t>上海优鲜食品有限公司</t>
        </is>
      </c>
      <c r="D240" s="4" t="inlineStr">
        <is>
          <t>精密轴承</t>
        </is>
      </c>
      <c r="E240" s="4" t="inlineStr">
        <is>
          <t>标准</t>
        </is>
      </c>
      <c r="F240" s="18" t="n">
        <v>4220</v>
      </c>
      <c r="G240" s="15" t="n">
        <v>293.35</v>
      </c>
      <c r="H240" s="15" t="n">
        <v>1237937</v>
      </c>
      <c r="I240" s="4" t="inlineStr">
        <is>
          <t>江苏区域</t>
        </is>
      </c>
      <c r="J240" s="4" t="inlineStr">
        <is>
          <t>黄磊英</t>
        </is>
      </c>
    </row>
    <row r="241">
      <c r="A241" s="14" t="n">
        <v>45936</v>
      </c>
      <c r="B241" s="4" t="inlineStr">
        <is>
          <t>SO202510111</t>
        </is>
      </c>
      <c r="C241" s="4" t="inlineStr">
        <is>
          <t>温州食佳商贸有限公司</t>
        </is>
      </c>
      <c r="D241" s="4" t="inlineStr">
        <is>
          <t>工装夹具</t>
        </is>
      </c>
      <c r="E241" s="4" t="inlineStr">
        <is>
          <t>25kg</t>
        </is>
      </c>
      <c r="F241" s="18" t="n">
        <v>1300</v>
      </c>
      <c r="G241" s="15" t="n">
        <v>298.31</v>
      </c>
      <c r="H241" s="15" t="n">
        <v>387803</v>
      </c>
      <c r="I241" s="4" t="inlineStr">
        <is>
          <t>江苏区域</t>
        </is>
      </c>
      <c r="J241" s="4" t="inlineStr">
        <is>
          <t>胡丽芳</t>
        </is>
      </c>
    </row>
    <row r="242">
      <c r="A242" s="14" t="n">
        <v>45937</v>
      </c>
      <c r="B242" s="4" t="inlineStr">
        <is>
          <t>SO202510319</t>
        </is>
      </c>
      <c r="C242" s="4" t="inlineStr">
        <is>
          <t>杭州优鲜商贸有限公司</t>
        </is>
      </c>
      <c r="D242" s="4" t="inlineStr">
        <is>
          <t>精密轴承</t>
        </is>
      </c>
      <c r="E242" s="4" t="inlineStr">
        <is>
          <t>精装</t>
        </is>
      </c>
      <c r="F242" s="18" t="n">
        <v>700</v>
      </c>
      <c r="G242" s="15" t="n">
        <v>151.58</v>
      </c>
      <c r="H242" s="15" t="n">
        <v>106106</v>
      </c>
      <c r="I242" s="4" t="inlineStr">
        <is>
          <t>华中区域</t>
        </is>
      </c>
      <c r="J242" s="4" t="inlineStr">
        <is>
          <t>陈英英</t>
        </is>
      </c>
    </row>
    <row r="243">
      <c r="A243" s="14" t="n">
        <v>45938</v>
      </c>
      <c r="B243" s="4" t="inlineStr">
        <is>
          <t>SO202510015</t>
        </is>
      </c>
      <c r="C243" s="4" t="inlineStr">
        <is>
          <t>杭州食佳酒店管理集团</t>
        </is>
      </c>
      <c r="D243" s="4" t="inlineStr">
        <is>
          <t>模具</t>
        </is>
      </c>
      <c r="E243" s="4" t="inlineStr">
        <is>
          <t>标准</t>
        </is>
      </c>
      <c r="F243" s="18" t="n">
        <v>1010</v>
      </c>
      <c r="G243" s="15" t="n">
        <v>96.94</v>
      </c>
      <c r="H243" s="15" t="n">
        <v>97909.39999999999</v>
      </c>
      <c r="I243" s="4" t="inlineStr">
        <is>
          <t>广东区域</t>
        </is>
      </c>
      <c r="J243" s="4" t="inlineStr">
        <is>
          <t>马秀伟</t>
        </is>
      </c>
    </row>
    <row r="244">
      <c r="A244" s="14" t="n">
        <v>45938</v>
      </c>
      <c r="B244" s="4" t="inlineStr">
        <is>
          <t>SO202510099</t>
        </is>
      </c>
      <c r="C244" s="4" t="inlineStr">
        <is>
          <t>常州优鲜供应链有限公司</t>
        </is>
      </c>
      <c r="D244" s="4" t="inlineStr">
        <is>
          <t>气动元件</t>
        </is>
      </c>
      <c r="E244" s="4" t="inlineStr">
        <is>
          <t>C级</t>
        </is>
      </c>
      <c r="F244" s="18" t="n">
        <v>2990</v>
      </c>
      <c r="G244" s="15" t="n">
        <v>83.56</v>
      </c>
      <c r="H244" s="15" t="n">
        <v>249844.4</v>
      </c>
      <c r="I244" s="4" t="inlineStr">
        <is>
          <t>华中区域</t>
        </is>
      </c>
      <c r="J244" s="4" t="inlineStr">
        <is>
          <t>刘敏娜</t>
        </is>
      </c>
    </row>
    <row r="245">
      <c r="A245" s="14" t="n">
        <v>45938</v>
      </c>
      <c r="B245" s="4" t="inlineStr">
        <is>
          <t>SO202510199</t>
        </is>
      </c>
      <c r="C245" s="4" t="inlineStr">
        <is>
          <t>常州京功餐饮管理有限公司</t>
        </is>
      </c>
      <c r="D245" s="4" t="inlineStr">
        <is>
          <t>精密轴承</t>
        </is>
      </c>
      <c r="E245" s="4" t="inlineStr">
        <is>
          <t>5kg</t>
        </is>
      </c>
      <c r="F245" s="18" t="n">
        <v>400</v>
      </c>
      <c r="G245" s="15" t="n">
        <v>78.51000000000001</v>
      </c>
      <c r="H245" s="15" t="n">
        <v>31404</v>
      </c>
      <c r="I245" s="4" t="inlineStr">
        <is>
          <t>华中区域</t>
        </is>
      </c>
      <c r="J245" s="4" t="inlineStr">
        <is>
          <t>郭静伟</t>
        </is>
      </c>
    </row>
    <row r="246">
      <c r="A246" s="14" t="n">
        <v>45938</v>
      </c>
      <c r="B246" s="4" t="inlineStr">
        <is>
          <t>SO202510315</t>
        </is>
      </c>
      <c r="C246" s="4" t="inlineStr">
        <is>
          <t>镇江淼沃餐饮管理有限公司</t>
        </is>
      </c>
      <c r="D246" s="4" t="inlineStr">
        <is>
          <t>数控机床</t>
        </is>
      </c>
      <c r="E246" s="4" t="inlineStr">
        <is>
          <t>精装</t>
        </is>
      </c>
      <c r="F246" s="18" t="n">
        <v>1110</v>
      </c>
      <c r="G246" s="15" t="n">
        <v>44.06</v>
      </c>
      <c r="H246" s="15" t="n">
        <v>48906.6</v>
      </c>
      <c r="I246" s="4" t="inlineStr">
        <is>
          <t>华中区域</t>
        </is>
      </c>
      <c r="J246" s="4" t="inlineStr">
        <is>
          <t>周勇芳</t>
        </is>
      </c>
    </row>
    <row r="247">
      <c r="A247" s="14" t="n">
        <v>45939</v>
      </c>
      <c r="B247" s="4" t="inlineStr">
        <is>
          <t>SO202510156</t>
        </is>
      </c>
      <c r="C247" s="4" t="inlineStr">
        <is>
          <t>无锡食佳食品有限公司</t>
        </is>
      </c>
      <c r="D247" s="4" t="inlineStr">
        <is>
          <t>气动元件</t>
        </is>
      </c>
      <c r="E247" s="4" t="inlineStr">
        <is>
          <t>2.5kg</t>
        </is>
      </c>
      <c r="F247" s="18" t="n">
        <v>4100</v>
      </c>
      <c r="G247" s="15" t="n">
        <v>122.05</v>
      </c>
      <c r="H247" s="15" t="n">
        <v>500405</v>
      </c>
      <c r="I247" s="4" t="inlineStr">
        <is>
          <t>江苏区域</t>
        </is>
      </c>
      <c r="J247" s="4" t="inlineStr">
        <is>
          <t>高丽敏</t>
        </is>
      </c>
    </row>
    <row r="248">
      <c r="A248" s="14" t="n">
        <v>45944</v>
      </c>
      <c r="B248" s="4" t="inlineStr">
        <is>
          <t>SO202510173</t>
        </is>
      </c>
      <c r="C248" s="4" t="inlineStr">
        <is>
          <t>合肥优鲜电商平台</t>
        </is>
      </c>
      <c r="D248" s="4" t="inlineStr">
        <is>
          <t>工装夹具</t>
        </is>
      </c>
      <c r="E248" s="4" t="inlineStr">
        <is>
          <t>5kg</t>
        </is>
      </c>
      <c r="F248" s="18" t="n">
        <v>4210</v>
      </c>
      <c r="G248" s="15" t="n">
        <v>13.19</v>
      </c>
      <c r="H248" s="15" t="n">
        <v>55529.9</v>
      </c>
      <c r="I248" s="4" t="inlineStr">
        <is>
          <t>广东区域</t>
        </is>
      </c>
      <c r="J248" s="4" t="inlineStr">
        <is>
          <t>胡英敏</t>
        </is>
      </c>
    </row>
    <row r="249">
      <c r="A249" s="14" t="n">
        <v>45944</v>
      </c>
      <c r="B249" s="4" t="inlineStr">
        <is>
          <t>SO202510271</t>
        </is>
      </c>
      <c r="C249" s="4" t="inlineStr">
        <is>
          <t>宁波大匠供应链有限公司</t>
        </is>
      </c>
      <c r="D249" s="4" t="inlineStr">
        <is>
          <t>数控机床</t>
        </is>
      </c>
      <c r="E249" s="4" t="inlineStr">
        <is>
          <t>1kg</t>
        </is>
      </c>
      <c r="F249" s="18" t="n">
        <v>4940</v>
      </c>
      <c r="G249" s="15" t="n">
        <v>70.31999999999999</v>
      </c>
      <c r="H249" s="15" t="n">
        <v>347380.8</v>
      </c>
      <c r="I249" s="4" t="inlineStr">
        <is>
          <t>浙江区域</t>
        </is>
      </c>
      <c r="J249" s="4" t="inlineStr">
        <is>
          <t>黄杰秀</t>
        </is>
      </c>
    </row>
    <row r="250">
      <c r="A250" s="14" t="n">
        <v>45944</v>
      </c>
      <c r="B250" s="4" t="inlineStr">
        <is>
          <t>SO202510306</t>
        </is>
      </c>
      <c r="C250" s="4" t="inlineStr">
        <is>
          <t>南京食佳商贸有限公司</t>
        </is>
      </c>
      <c r="D250" s="4" t="inlineStr">
        <is>
          <t>工装夹具</t>
        </is>
      </c>
      <c r="E250" s="4" t="inlineStr">
        <is>
          <t>特级</t>
        </is>
      </c>
      <c r="F250" s="18" t="n">
        <v>2080</v>
      </c>
      <c r="G250" s="15" t="n">
        <v>127.99</v>
      </c>
      <c r="H250" s="15" t="n">
        <v>266219.2</v>
      </c>
      <c r="I250" s="4" t="inlineStr">
        <is>
          <t>浙江区域</t>
        </is>
      </c>
      <c r="J250" s="4" t="inlineStr">
        <is>
          <t>朱勇敏</t>
        </is>
      </c>
    </row>
    <row r="251">
      <c r="A251" s="14" t="n">
        <v>45946</v>
      </c>
      <c r="B251" s="4" t="inlineStr">
        <is>
          <t>SO202510267</t>
        </is>
      </c>
      <c r="C251" s="4" t="inlineStr">
        <is>
          <t>温州大匠餐饮管理有限公司</t>
        </is>
      </c>
      <c r="D251" s="4" t="inlineStr">
        <is>
          <t>数控机床</t>
        </is>
      </c>
      <c r="E251" s="4" t="inlineStr">
        <is>
          <t>标准</t>
        </is>
      </c>
      <c r="F251" s="18" t="n">
        <v>1410</v>
      </c>
      <c r="G251" s="15" t="n">
        <v>199.37</v>
      </c>
      <c r="H251" s="15" t="n">
        <v>281111.7</v>
      </c>
      <c r="I251" s="4" t="inlineStr">
        <is>
          <t>浙江区域</t>
        </is>
      </c>
      <c r="J251" s="4" t="inlineStr">
        <is>
          <t>黄敏芳</t>
        </is>
      </c>
    </row>
    <row r="252">
      <c r="A252" s="14" t="n">
        <v>45947</v>
      </c>
      <c r="B252" s="4" t="inlineStr">
        <is>
          <t>SO202510202</t>
        </is>
      </c>
      <c r="C252" s="4" t="inlineStr">
        <is>
          <t>苏州食佳酒店管理集团</t>
        </is>
      </c>
      <c r="D252" s="4" t="inlineStr">
        <is>
          <t>气动元件</t>
        </is>
      </c>
      <c r="E252" s="4" t="inlineStr">
        <is>
          <t>500g</t>
        </is>
      </c>
      <c r="F252" s="18" t="n">
        <v>4720</v>
      </c>
      <c r="G252" s="15" t="n">
        <v>239.07</v>
      </c>
      <c r="H252" s="15" t="n">
        <v>1128410.4</v>
      </c>
      <c r="I252" s="4" t="inlineStr">
        <is>
          <t>广东区域</t>
        </is>
      </c>
      <c r="J252" s="4" t="inlineStr">
        <is>
          <t>陈娜娜</t>
        </is>
      </c>
    </row>
    <row r="253">
      <c r="A253" s="14" t="n">
        <v>45947</v>
      </c>
      <c r="B253" s="4" t="inlineStr">
        <is>
          <t>SO202510206</t>
        </is>
      </c>
      <c r="C253" s="4" t="inlineStr">
        <is>
          <t>常州食佳供应链有限公司</t>
        </is>
      </c>
      <c r="D253" s="4" t="inlineStr">
        <is>
          <t>模具</t>
        </is>
      </c>
      <c r="E253" s="4" t="inlineStr">
        <is>
          <t>标准</t>
        </is>
      </c>
      <c r="F253" s="18" t="n">
        <v>3330</v>
      </c>
      <c r="G253" s="15" t="n">
        <v>188.46</v>
      </c>
      <c r="H253" s="15" t="n">
        <v>627571.8</v>
      </c>
      <c r="I253" s="4" t="inlineStr">
        <is>
          <t>广东区域</t>
        </is>
      </c>
      <c r="J253" s="4" t="inlineStr">
        <is>
          <t>胡涛娜</t>
        </is>
      </c>
    </row>
    <row r="254">
      <c r="A254" s="14" t="n">
        <v>45950</v>
      </c>
      <c r="B254" s="4" t="inlineStr">
        <is>
          <t>SO202510023</t>
        </is>
      </c>
      <c r="C254" s="4" t="inlineStr">
        <is>
          <t>苏州优鲜商贸有限公司</t>
        </is>
      </c>
      <c r="D254" s="4" t="inlineStr">
        <is>
          <t>精密轴承</t>
        </is>
      </c>
      <c r="E254" s="4" t="inlineStr">
        <is>
          <t>500g</t>
        </is>
      </c>
      <c r="F254" s="18" t="n">
        <v>1910</v>
      </c>
      <c r="G254" s="15" t="n">
        <v>245.31</v>
      </c>
      <c r="H254" s="15" t="n">
        <v>468542.1</v>
      </c>
      <c r="I254" s="4" t="inlineStr">
        <is>
          <t>江苏区域</t>
        </is>
      </c>
      <c r="J254" s="4" t="inlineStr">
        <is>
          <t>黄明伟</t>
        </is>
      </c>
    </row>
    <row r="255">
      <c r="A255" s="14" t="n">
        <v>45950</v>
      </c>
      <c r="B255" s="4" t="inlineStr">
        <is>
          <t>SO202510265</t>
        </is>
      </c>
      <c r="C255" s="4" t="inlineStr">
        <is>
          <t>合肥淼沃餐饮管理有限公司</t>
        </is>
      </c>
      <c r="D255" s="4" t="inlineStr">
        <is>
          <t>液压件</t>
        </is>
      </c>
      <c r="E255" s="4" t="inlineStr">
        <is>
          <t>C级</t>
        </is>
      </c>
      <c r="F255" s="18" t="n">
        <v>2070</v>
      </c>
      <c r="G255" s="15" t="n">
        <v>274.84</v>
      </c>
      <c r="H255" s="15" t="n">
        <v>568918.8</v>
      </c>
      <c r="I255" s="4" t="inlineStr">
        <is>
          <t>浙江区域</t>
        </is>
      </c>
      <c r="J255" s="4" t="inlineStr">
        <is>
          <t>罗丽敏</t>
        </is>
      </c>
    </row>
    <row r="256">
      <c r="A256" s="14" t="n">
        <v>45951</v>
      </c>
      <c r="B256" s="4" t="inlineStr">
        <is>
          <t>SO202510307</t>
        </is>
      </c>
      <c r="C256" s="4" t="inlineStr">
        <is>
          <t>宁波淼沃餐饮管理有限公司</t>
        </is>
      </c>
      <c r="D256" s="4" t="inlineStr">
        <is>
          <t>液压件</t>
        </is>
      </c>
      <c r="E256" s="4" t="inlineStr">
        <is>
          <t>25kg</t>
        </is>
      </c>
      <c r="F256" s="18" t="n">
        <v>2360</v>
      </c>
      <c r="G256" s="15" t="n">
        <v>25.98</v>
      </c>
      <c r="H256" s="15" t="n">
        <v>61312.8</v>
      </c>
      <c r="I256" s="4" t="inlineStr">
        <is>
          <t>江苏区域</t>
        </is>
      </c>
      <c r="J256" s="4" t="inlineStr">
        <is>
          <t>郭英伟</t>
        </is>
      </c>
    </row>
    <row r="257">
      <c r="A257" s="14" t="n">
        <v>45952</v>
      </c>
      <c r="B257" s="4" t="inlineStr">
        <is>
          <t>SO202510292</t>
        </is>
      </c>
      <c r="C257" s="4" t="inlineStr">
        <is>
          <t>常州大匠商贸有限公司</t>
        </is>
      </c>
      <c r="D257" s="4" t="inlineStr">
        <is>
          <t>液压件</t>
        </is>
      </c>
      <c r="E257" s="4" t="inlineStr">
        <is>
          <t>10kg</t>
        </is>
      </c>
      <c r="F257" s="18" t="n">
        <v>3570</v>
      </c>
      <c r="G257" s="15" t="n">
        <v>227.24</v>
      </c>
      <c r="H257" s="15" t="n">
        <v>811246.8</v>
      </c>
      <c r="I257" s="4" t="inlineStr">
        <is>
          <t>浙江区域</t>
        </is>
      </c>
      <c r="J257" s="4" t="inlineStr">
        <is>
          <t>徐秀秀</t>
        </is>
      </c>
    </row>
    <row r="258">
      <c r="A258" s="14" t="n">
        <v>45953</v>
      </c>
      <c r="B258" s="4" t="inlineStr">
        <is>
          <t>SO202510025</t>
        </is>
      </c>
      <c r="C258" s="4" t="inlineStr">
        <is>
          <t>南昌优鲜电商平台</t>
        </is>
      </c>
      <c r="D258" s="4" t="inlineStr">
        <is>
          <t>气动元件</t>
        </is>
      </c>
      <c r="E258" s="4" t="inlineStr">
        <is>
          <t>简装</t>
        </is>
      </c>
      <c r="F258" s="18" t="n">
        <v>570</v>
      </c>
      <c r="G258" s="15" t="n">
        <v>104.96</v>
      </c>
      <c r="H258" s="15" t="n">
        <v>59827.2</v>
      </c>
      <c r="I258" s="4" t="inlineStr">
        <is>
          <t>华中区域</t>
        </is>
      </c>
      <c r="J258" s="4" t="inlineStr">
        <is>
          <t>孙涛伟</t>
        </is>
      </c>
    </row>
    <row r="259">
      <c r="A259" s="14" t="n">
        <v>45953</v>
      </c>
      <c r="B259" s="4" t="inlineStr">
        <is>
          <t>SO202510219</t>
        </is>
      </c>
      <c r="C259" s="4" t="inlineStr">
        <is>
          <t>无锡食佳供应链有限公司</t>
        </is>
      </c>
      <c r="D259" s="4" t="inlineStr">
        <is>
          <t>模具</t>
        </is>
      </c>
      <c r="E259" s="4" t="inlineStr">
        <is>
          <t>500g</t>
        </is>
      </c>
      <c r="F259" s="18" t="n">
        <v>2700</v>
      </c>
      <c r="G259" s="15" t="n">
        <v>230.15</v>
      </c>
      <c r="H259" s="15" t="n">
        <v>621405</v>
      </c>
      <c r="I259" s="4" t="inlineStr">
        <is>
          <t>江苏区域</t>
        </is>
      </c>
      <c r="J259" s="4" t="inlineStr">
        <is>
          <t>刘超娜</t>
        </is>
      </c>
    </row>
    <row r="260">
      <c r="A260" s="14" t="n">
        <v>45954</v>
      </c>
      <c r="B260" s="4" t="inlineStr">
        <is>
          <t>SO202510203</t>
        </is>
      </c>
      <c r="C260" s="4" t="inlineStr">
        <is>
          <t>合肥优鲜食品有限公司</t>
        </is>
      </c>
      <c r="D260" s="4" t="inlineStr">
        <is>
          <t>模具</t>
        </is>
      </c>
      <c r="E260" s="4" t="inlineStr">
        <is>
          <t>500g</t>
        </is>
      </c>
      <c r="F260" s="18" t="n">
        <v>1440</v>
      </c>
      <c r="G260" s="15" t="n">
        <v>138.21</v>
      </c>
      <c r="H260" s="15" t="n">
        <v>199022.4</v>
      </c>
      <c r="I260" s="4" t="inlineStr">
        <is>
          <t>江苏区域</t>
        </is>
      </c>
      <c r="J260" s="4" t="inlineStr">
        <is>
          <t>刘秀芳</t>
        </is>
      </c>
    </row>
    <row r="261">
      <c r="A261" s="14" t="n">
        <v>45958</v>
      </c>
      <c r="B261" s="4" t="inlineStr">
        <is>
          <t>SO202510003</t>
        </is>
      </c>
      <c r="C261" s="4" t="inlineStr">
        <is>
          <t>南京京功酒店管理集团</t>
        </is>
      </c>
      <c r="D261" s="4" t="inlineStr">
        <is>
          <t>气动元件</t>
        </is>
      </c>
      <c r="E261" s="4" t="inlineStr">
        <is>
          <t>2.5kg</t>
        </is>
      </c>
      <c r="F261" s="18" t="n">
        <v>4930</v>
      </c>
      <c r="G261" s="15" t="n">
        <v>22.29</v>
      </c>
      <c r="H261" s="15" t="n">
        <v>109889.7</v>
      </c>
      <c r="I261" s="4" t="inlineStr">
        <is>
          <t>江苏区域</t>
        </is>
      </c>
      <c r="J261" s="4" t="inlineStr">
        <is>
          <t>高磊伟</t>
        </is>
      </c>
    </row>
    <row r="262">
      <c r="A262" s="14" t="n">
        <v>45958</v>
      </c>
      <c r="B262" s="4" t="inlineStr">
        <is>
          <t>SO202510046</t>
        </is>
      </c>
      <c r="C262" s="4" t="inlineStr">
        <is>
          <t>杭州食佳供应链有限公司</t>
        </is>
      </c>
      <c r="D262" s="4" t="inlineStr">
        <is>
          <t>气动元件</t>
        </is>
      </c>
      <c r="E262" s="4" t="inlineStr">
        <is>
          <t>简装</t>
        </is>
      </c>
      <c r="F262" s="18" t="n">
        <v>2060</v>
      </c>
      <c r="G262" s="15" t="n">
        <v>192.1</v>
      </c>
      <c r="H262" s="15" t="n">
        <v>395726</v>
      </c>
      <c r="I262" s="4" t="inlineStr">
        <is>
          <t>江苏区域</t>
        </is>
      </c>
      <c r="J262" s="4" t="inlineStr">
        <is>
          <t>林英娜</t>
        </is>
      </c>
    </row>
    <row r="263">
      <c r="A263" s="14" t="n">
        <v>45958</v>
      </c>
      <c r="B263" s="4" t="inlineStr">
        <is>
          <t>SO202510139</t>
        </is>
      </c>
      <c r="C263" s="4" t="inlineStr">
        <is>
          <t>嘉兴淼沃超市</t>
        </is>
      </c>
      <c r="D263" s="4" t="inlineStr">
        <is>
          <t>模具</t>
        </is>
      </c>
      <c r="E263" s="4" t="inlineStr">
        <is>
          <t>特级</t>
        </is>
      </c>
      <c r="F263" s="18" t="n">
        <v>650</v>
      </c>
      <c r="G263" s="15" t="n">
        <v>143.96</v>
      </c>
      <c r="H263" s="15" t="n">
        <v>93574</v>
      </c>
      <c r="I263" s="4" t="inlineStr">
        <is>
          <t>华中区域</t>
        </is>
      </c>
      <c r="J263" s="4" t="inlineStr">
        <is>
          <t>马芳芳</t>
        </is>
      </c>
    </row>
    <row r="264">
      <c r="A264" s="14" t="n">
        <v>45958</v>
      </c>
      <c r="B264" s="4" t="inlineStr">
        <is>
          <t>SO202510165</t>
        </is>
      </c>
      <c r="C264" s="4" t="inlineStr">
        <is>
          <t>南京百味餐饮管理有限公司</t>
        </is>
      </c>
      <c r="D264" s="4" t="inlineStr">
        <is>
          <t>精密轴承</t>
        </is>
      </c>
      <c r="E264" s="4" t="inlineStr">
        <is>
          <t>B级</t>
        </is>
      </c>
      <c r="F264" s="18" t="n">
        <v>1300</v>
      </c>
      <c r="G264" s="15" t="n">
        <v>97.98</v>
      </c>
      <c r="H264" s="15" t="n">
        <v>127374</v>
      </c>
      <c r="I264" s="4" t="inlineStr">
        <is>
          <t>华中区域</t>
        </is>
      </c>
      <c r="J264" s="4" t="inlineStr">
        <is>
          <t>罗涛芳</t>
        </is>
      </c>
    </row>
    <row r="265">
      <c r="A265" s="14" t="n">
        <v>45962</v>
      </c>
      <c r="B265" s="4" t="inlineStr">
        <is>
          <t>SO202510142</t>
        </is>
      </c>
      <c r="C265" s="4" t="inlineStr">
        <is>
          <t>宁波食佳供应链有限公司</t>
        </is>
      </c>
      <c r="D265" s="4" t="inlineStr">
        <is>
          <t>气动元件</t>
        </is>
      </c>
      <c r="E265" s="4" t="inlineStr">
        <is>
          <t>精装</t>
        </is>
      </c>
      <c r="F265" s="18" t="n">
        <v>1220</v>
      </c>
      <c r="G265" s="15" t="n">
        <v>152.71</v>
      </c>
      <c r="H265" s="15" t="n">
        <v>186306.2</v>
      </c>
      <c r="I265" s="4" t="inlineStr">
        <is>
          <t>华中区域</t>
        </is>
      </c>
      <c r="J265" s="4" t="inlineStr">
        <is>
          <t>罗磊娜</t>
        </is>
      </c>
    </row>
    <row r="266">
      <c r="A266" s="14" t="n">
        <v>45963</v>
      </c>
      <c r="B266" s="4" t="inlineStr">
        <is>
          <t>SO202510034</t>
        </is>
      </c>
      <c r="C266" s="4" t="inlineStr">
        <is>
          <t>合肥食佳电商平台</t>
        </is>
      </c>
      <c r="D266" s="4" t="inlineStr">
        <is>
          <t>工装夹具</t>
        </is>
      </c>
      <c r="E266" s="4" t="inlineStr">
        <is>
          <t>500g</t>
        </is>
      </c>
      <c r="F266" s="18" t="n">
        <v>3030</v>
      </c>
      <c r="G266" s="15" t="n">
        <v>119.18</v>
      </c>
      <c r="H266" s="15" t="n">
        <v>361115.4</v>
      </c>
      <c r="I266" s="4" t="inlineStr">
        <is>
          <t>浙江区域</t>
        </is>
      </c>
      <c r="J266" s="4" t="inlineStr">
        <is>
          <t>何敏秀</t>
        </is>
      </c>
    </row>
    <row r="267">
      <c r="A267" s="14" t="n">
        <v>45964</v>
      </c>
      <c r="B267" s="4" t="inlineStr">
        <is>
          <t>SO202510108</t>
        </is>
      </c>
      <c r="C267" s="4" t="inlineStr">
        <is>
          <t>杭州百味餐饮管理有限公司</t>
        </is>
      </c>
      <c r="D267" s="4" t="inlineStr">
        <is>
          <t>数控机床</t>
        </is>
      </c>
      <c r="E267" s="4" t="inlineStr">
        <is>
          <t>1kg</t>
        </is>
      </c>
      <c r="F267" s="18" t="n">
        <v>330</v>
      </c>
      <c r="G267" s="15" t="n">
        <v>147.75</v>
      </c>
      <c r="H267" s="15" t="n">
        <v>48757.5</v>
      </c>
      <c r="I267" s="4" t="inlineStr">
        <is>
          <t>华中区域</t>
        </is>
      </c>
      <c r="J267" s="4" t="inlineStr">
        <is>
          <t>张静敏</t>
        </is>
      </c>
    </row>
    <row r="268">
      <c r="A268" s="14" t="n">
        <v>45964</v>
      </c>
      <c r="B268" s="4" t="inlineStr">
        <is>
          <t>SO202510180</t>
        </is>
      </c>
      <c r="C268" s="4" t="inlineStr">
        <is>
          <t>杭州大匠食品有限公司</t>
        </is>
      </c>
      <c r="D268" s="4" t="inlineStr">
        <is>
          <t>精密轴承</t>
        </is>
      </c>
      <c r="E268" s="4" t="inlineStr">
        <is>
          <t>5kg</t>
        </is>
      </c>
      <c r="F268" s="18" t="n">
        <v>2390</v>
      </c>
      <c r="G268" s="15" t="n">
        <v>177.92</v>
      </c>
      <c r="H268" s="15" t="n">
        <v>425228.8</v>
      </c>
      <c r="I268" s="4" t="inlineStr">
        <is>
          <t>广东区域</t>
        </is>
      </c>
      <c r="J268" s="4" t="inlineStr">
        <is>
          <t>周英英</t>
        </is>
      </c>
    </row>
    <row r="269">
      <c r="A269" s="14" t="n">
        <v>45966</v>
      </c>
      <c r="B269" s="4" t="inlineStr">
        <is>
          <t>SO202510044</t>
        </is>
      </c>
      <c r="C269" s="4" t="inlineStr">
        <is>
          <t>宁波京功酒店管理集团</t>
        </is>
      </c>
      <c r="D269" s="4" t="inlineStr">
        <is>
          <t>数控机床</t>
        </is>
      </c>
      <c r="E269" s="4" t="inlineStr">
        <is>
          <t>精装</t>
        </is>
      </c>
      <c r="F269" s="18" t="n">
        <v>4370</v>
      </c>
      <c r="G269" s="15" t="n">
        <v>37.77</v>
      </c>
      <c r="H269" s="15" t="n">
        <v>165054.9</v>
      </c>
      <c r="I269" s="4" t="inlineStr">
        <is>
          <t>广东区域</t>
        </is>
      </c>
      <c r="J269" s="4" t="inlineStr">
        <is>
          <t>陈勇娜</t>
        </is>
      </c>
    </row>
    <row r="270">
      <c r="A270" s="14" t="n">
        <v>45966</v>
      </c>
      <c r="B270" s="4" t="inlineStr">
        <is>
          <t>SO202510157</t>
        </is>
      </c>
      <c r="C270" s="4" t="inlineStr">
        <is>
          <t>南京百味电商平台</t>
        </is>
      </c>
      <c r="D270" s="4" t="inlineStr">
        <is>
          <t>气动元件</t>
        </is>
      </c>
      <c r="E270" s="4" t="inlineStr">
        <is>
          <t>10kg</t>
        </is>
      </c>
      <c r="F270" s="18" t="n">
        <v>3470</v>
      </c>
      <c r="G270" s="15" t="n">
        <v>221.73</v>
      </c>
      <c r="H270" s="15" t="n">
        <v>769403.1</v>
      </c>
      <c r="I270" s="4" t="inlineStr">
        <is>
          <t>华中区域</t>
        </is>
      </c>
      <c r="J270" s="4" t="inlineStr">
        <is>
          <t>徐伟秀</t>
        </is>
      </c>
    </row>
    <row r="271">
      <c r="A271" s="14" t="n">
        <v>45967</v>
      </c>
      <c r="B271" s="4" t="inlineStr">
        <is>
          <t>SO202510098</t>
        </is>
      </c>
      <c r="C271" s="4" t="inlineStr">
        <is>
          <t>温州淼沃商贸有限公司</t>
        </is>
      </c>
      <c r="D271" s="4" t="inlineStr">
        <is>
          <t>液压件</t>
        </is>
      </c>
      <c r="E271" s="4" t="inlineStr">
        <is>
          <t>C级</t>
        </is>
      </c>
      <c r="F271" s="18" t="n">
        <v>720</v>
      </c>
      <c r="G271" s="15" t="n">
        <v>238.11</v>
      </c>
      <c r="H271" s="15" t="n">
        <v>171439.2</v>
      </c>
      <c r="I271" s="4" t="inlineStr">
        <is>
          <t>华中区域</t>
        </is>
      </c>
      <c r="J271" s="4" t="inlineStr">
        <is>
          <t>马娟伟</t>
        </is>
      </c>
    </row>
    <row r="272">
      <c r="A272" s="14" t="n">
        <v>45968</v>
      </c>
      <c r="B272" s="4" t="inlineStr">
        <is>
          <t>SO202510297</t>
        </is>
      </c>
      <c r="C272" s="4" t="inlineStr">
        <is>
          <t>南昌优鲜酒店管理集团</t>
        </is>
      </c>
      <c r="D272" s="4" t="inlineStr">
        <is>
          <t>气动元件</t>
        </is>
      </c>
      <c r="E272" s="4" t="inlineStr">
        <is>
          <t>1kg</t>
        </is>
      </c>
      <c r="F272" s="18" t="n">
        <v>870</v>
      </c>
      <c r="G272" s="15" t="n">
        <v>204.79</v>
      </c>
      <c r="H272" s="15" t="n">
        <v>178167.3</v>
      </c>
      <c r="I272" s="4" t="inlineStr">
        <is>
          <t>江苏区域</t>
        </is>
      </c>
      <c r="J272" s="4" t="inlineStr">
        <is>
          <t>马涛英</t>
        </is>
      </c>
    </row>
    <row r="273">
      <c r="A273" s="14" t="n">
        <v>45968</v>
      </c>
      <c r="B273" s="4" t="inlineStr">
        <is>
          <t>SO202510298</t>
        </is>
      </c>
      <c r="C273" s="4" t="inlineStr">
        <is>
          <t>上海优鲜餐饮管理有限公司</t>
        </is>
      </c>
      <c r="D273" s="4" t="inlineStr">
        <is>
          <t>数控机床</t>
        </is>
      </c>
      <c r="E273" s="4" t="inlineStr">
        <is>
          <t>B级</t>
        </is>
      </c>
      <c r="F273" s="18" t="n">
        <v>4710</v>
      </c>
      <c r="G273" s="15" t="n">
        <v>48.02</v>
      </c>
      <c r="H273" s="15" t="n">
        <v>226174.2</v>
      </c>
      <c r="I273" s="4" t="inlineStr">
        <is>
          <t>广东区域</t>
        </is>
      </c>
      <c r="J273" s="4" t="inlineStr">
        <is>
          <t>胡涛伟</t>
        </is>
      </c>
    </row>
    <row r="274">
      <c r="A274" s="14" t="n">
        <v>45969</v>
      </c>
      <c r="B274" s="4" t="inlineStr">
        <is>
          <t>SO202510081</t>
        </is>
      </c>
      <c r="C274" s="4" t="inlineStr">
        <is>
          <t>嘉兴百味电商平台</t>
        </is>
      </c>
      <c r="D274" s="4" t="inlineStr">
        <is>
          <t>模具</t>
        </is>
      </c>
      <c r="E274" s="4" t="inlineStr">
        <is>
          <t>B级</t>
        </is>
      </c>
      <c r="F274" s="18" t="n">
        <v>790</v>
      </c>
      <c r="G274" s="15" t="n">
        <v>260.73</v>
      </c>
      <c r="H274" s="15" t="n">
        <v>205976.7</v>
      </c>
      <c r="I274" s="4" t="inlineStr">
        <is>
          <t>广东区域</t>
        </is>
      </c>
      <c r="J274" s="4" t="inlineStr">
        <is>
          <t>何娟敏</t>
        </is>
      </c>
    </row>
    <row r="275">
      <c r="A275" s="14" t="n">
        <v>45969</v>
      </c>
      <c r="B275" s="4" t="inlineStr">
        <is>
          <t>SO202510093</t>
        </is>
      </c>
      <c r="C275" s="4" t="inlineStr">
        <is>
          <t>上海淼沃超市</t>
        </is>
      </c>
      <c r="D275" s="4" t="inlineStr">
        <is>
          <t>工装夹具</t>
        </is>
      </c>
      <c r="E275" s="4" t="inlineStr">
        <is>
          <t>C级</t>
        </is>
      </c>
      <c r="F275" s="18" t="n">
        <v>2120</v>
      </c>
      <c r="G275" s="15" t="n">
        <v>257.9</v>
      </c>
      <c r="H275" s="15" t="n">
        <v>546748</v>
      </c>
      <c r="I275" s="4" t="inlineStr">
        <is>
          <t>浙江区域</t>
        </is>
      </c>
      <c r="J275" s="4" t="inlineStr">
        <is>
          <t>朱娜英</t>
        </is>
      </c>
    </row>
    <row r="276">
      <c r="A276" s="14" t="n">
        <v>45971</v>
      </c>
      <c r="B276" s="4" t="inlineStr">
        <is>
          <t>SO202510127</t>
        </is>
      </c>
      <c r="C276" s="4" t="inlineStr">
        <is>
          <t>镇江淼沃食品有限公司</t>
        </is>
      </c>
      <c r="D276" s="4" t="inlineStr">
        <is>
          <t>精密轴承</t>
        </is>
      </c>
      <c r="E276" s="4" t="inlineStr">
        <is>
          <t>C级</t>
        </is>
      </c>
      <c r="F276" s="18" t="n">
        <v>1800</v>
      </c>
      <c r="G276" s="15" t="n">
        <v>276.96</v>
      </c>
      <c r="H276" s="15" t="n">
        <v>498528</v>
      </c>
      <c r="I276" s="4" t="inlineStr">
        <is>
          <t>广东区域</t>
        </is>
      </c>
      <c r="J276" s="4" t="inlineStr">
        <is>
          <t>吴涛秀</t>
        </is>
      </c>
    </row>
    <row r="277">
      <c r="A277" s="14" t="n">
        <v>45971</v>
      </c>
      <c r="B277" s="4" t="inlineStr">
        <is>
          <t>SO202510185</t>
        </is>
      </c>
      <c r="C277" s="4" t="inlineStr">
        <is>
          <t>上海京功食品有限公司</t>
        </is>
      </c>
      <c r="D277" s="4" t="inlineStr">
        <is>
          <t>气动元件</t>
        </is>
      </c>
      <c r="E277" s="4" t="inlineStr">
        <is>
          <t>A级</t>
        </is>
      </c>
      <c r="F277" s="18" t="n">
        <v>430</v>
      </c>
      <c r="G277" s="15" t="n">
        <v>203.38</v>
      </c>
      <c r="H277" s="15" t="n">
        <v>87453.39999999999</v>
      </c>
      <c r="I277" s="4" t="inlineStr">
        <is>
          <t>华中区域</t>
        </is>
      </c>
      <c r="J277" s="4" t="inlineStr">
        <is>
          <t>王秀伟</t>
        </is>
      </c>
    </row>
    <row r="278">
      <c r="A278" s="14" t="n">
        <v>45973</v>
      </c>
      <c r="B278" s="4" t="inlineStr">
        <is>
          <t>SO202510196</t>
        </is>
      </c>
      <c r="C278" s="4" t="inlineStr">
        <is>
          <t>南京食佳供应链有限公司</t>
        </is>
      </c>
      <c r="D278" s="4" t="inlineStr">
        <is>
          <t>气动元件</t>
        </is>
      </c>
      <c r="E278" s="4" t="inlineStr">
        <is>
          <t>特级</t>
        </is>
      </c>
      <c r="F278" s="18" t="n">
        <v>1310</v>
      </c>
      <c r="G278" s="15" t="n">
        <v>85.17</v>
      </c>
      <c r="H278" s="15" t="n">
        <v>111572.7</v>
      </c>
      <c r="I278" s="4" t="inlineStr">
        <is>
          <t>浙江区域</t>
        </is>
      </c>
      <c r="J278" s="4" t="inlineStr">
        <is>
          <t>高超秀</t>
        </is>
      </c>
    </row>
    <row r="279">
      <c r="A279" s="14" t="n">
        <v>45973</v>
      </c>
      <c r="B279" s="4" t="inlineStr">
        <is>
          <t>SO202510270</t>
        </is>
      </c>
      <c r="C279" s="4" t="inlineStr">
        <is>
          <t>宁波优鲜超市</t>
        </is>
      </c>
      <c r="D279" s="4" t="inlineStr">
        <is>
          <t>模具</t>
        </is>
      </c>
      <c r="E279" s="4" t="inlineStr">
        <is>
          <t>25kg</t>
        </is>
      </c>
      <c r="F279" s="18" t="n">
        <v>4850</v>
      </c>
      <c r="G279" s="15" t="n">
        <v>106.27</v>
      </c>
      <c r="H279" s="15" t="n">
        <v>515409.5</v>
      </c>
      <c r="I279" s="4" t="inlineStr">
        <is>
          <t>江苏区域</t>
        </is>
      </c>
      <c r="J279" s="4" t="inlineStr">
        <is>
          <t>赵静英</t>
        </is>
      </c>
    </row>
    <row r="280">
      <c r="A280" s="14" t="n">
        <v>45974</v>
      </c>
      <c r="B280" s="4" t="inlineStr">
        <is>
          <t>SO202510103</t>
        </is>
      </c>
      <c r="C280" s="4" t="inlineStr">
        <is>
          <t>南昌百味供应链有限公司</t>
        </is>
      </c>
      <c r="D280" s="4" t="inlineStr">
        <is>
          <t>工装夹具</t>
        </is>
      </c>
      <c r="E280" s="4" t="inlineStr">
        <is>
          <t>精装</t>
        </is>
      </c>
      <c r="F280" s="18" t="n">
        <v>4560</v>
      </c>
      <c r="G280" s="15" t="n">
        <v>56.32</v>
      </c>
      <c r="H280" s="15" t="n">
        <v>256819.2</v>
      </c>
      <c r="I280" s="4" t="inlineStr">
        <is>
          <t>江苏区域</t>
        </is>
      </c>
      <c r="J280" s="4" t="inlineStr">
        <is>
          <t>罗芳芳</t>
        </is>
      </c>
    </row>
    <row r="281">
      <c r="A281" s="14" t="n">
        <v>45975</v>
      </c>
      <c r="B281" s="4" t="inlineStr">
        <is>
          <t>SO202510282</t>
        </is>
      </c>
      <c r="C281" s="4" t="inlineStr">
        <is>
          <t>南京京功电商平台</t>
        </is>
      </c>
      <c r="D281" s="4" t="inlineStr">
        <is>
          <t>气动元件</t>
        </is>
      </c>
      <c r="E281" s="4" t="inlineStr">
        <is>
          <t>5kg</t>
        </is>
      </c>
      <c r="F281" s="18" t="n">
        <v>150</v>
      </c>
      <c r="G281" s="15" t="n">
        <v>10.09</v>
      </c>
      <c r="H281" s="15" t="n">
        <v>1513.5</v>
      </c>
      <c r="I281" s="4" t="inlineStr">
        <is>
          <t>浙江区域</t>
        </is>
      </c>
      <c r="J281" s="4" t="inlineStr">
        <is>
          <t>李兰秀</t>
        </is>
      </c>
    </row>
    <row r="282">
      <c r="A282" s="14" t="n">
        <v>45976</v>
      </c>
      <c r="B282" s="4" t="inlineStr">
        <is>
          <t>SO202510169</t>
        </is>
      </c>
      <c r="C282" s="4" t="inlineStr">
        <is>
          <t>南昌京功电商平台</t>
        </is>
      </c>
      <c r="D282" s="4" t="inlineStr">
        <is>
          <t>气动元件</t>
        </is>
      </c>
      <c r="E282" s="4" t="inlineStr">
        <is>
          <t>1kg</t>
        </is>
      </c>
      <c r="F282" s="18" t="n">
        <v>3840</v>
      </c>
      <c r="G282" s="15" t="n">
        <v>89.31999999999999</v>
      </c>
      <c r="H282" s="15" t="n">
        <v>342988.8</v>
      </c>
      <c r="I282" s="4" t="inlineStr">
        <is>
          <t>广东区域</t>
        </is>
      </c>
      <c r="J282" s="4" t="inlineStr">
        <is>
          <t>徐磊英</t>
        </is>
      </c>
    </row>
    <row r="283">
      <c r="A283" s="14" t="n">
        <v>45977</v>
      </c>
      <c r="B283" s="4" t="inlineStr">
        <is>
          <t>SO202510263</t>
        </is>
      </c>
      <c r="C283" s="4" t="inlineStr">
        <is>
          <t>苏州淼沃酒店管理集团</t>
        </is>
      </c>
      <c r="D283" s="4" t="inlineStr">
        <is>
          <t>工装夹具</t>
        </is>
      </c>
      <c r="E283" s="4" t="inlineStr">
        <is>
          <t>25kg</t>
        </is>
      </c>
      <c r="F283" s="18" t="n">
        <v>2580</v>
      </c>
      <c r="G283" s="15" t="n">
        <v>220.47</v>
      </c>
      <c r="H283" s="15" t="n">
        <v>568812.6</v>
      </c>
      <c r="I283" s="4" t="inlineStr">
        <is>
          <t>华中区域</t>
        </is>
      </c>
      <c r="J283" s="4" t="inlineStr">
        <is>
          <t>王洋敏</t>
        </is>
      </c>
    </row>
    <row r="284">
      <c r="A284" s="14" t="n">
        <v>45982</v>
      </c>
      <c r="B284" s="4" t="inlineStr">
        <is>
          <t>SO202510143</t>
        </is>
      </c>
      <c r="C284" s="4" t="inlineStr">
        <is>
          <t>宁波京功超市</t>
        </is>
      </c>
      <c r="D284" s="4" t="inlineStr">
        <is>
          <t>工装夹具</t>
        </is>
      </c>
      <c r="E284" s="4" t="inlineStr">
        <is>
          <t>2.5kg</t>
        </is>
      </c>
      <c r="F284" s="18" t="n">
        <v>1300</v>
      </c>
      <c r="G284" s="15" t="n">
        <v>261.84</v>
      </c>
      <c r="H284" s="15" t="n">
        <v>340392</v>
      </c>
      <c r="I284" s="4" t="inlineStr">
        <is>
          <t>浙江区域</t>
        </is>
      </c>
      <c r="J284" s="4" t="inlineStr">
        <is>
          <t>王娟秀</t>
        </is>
      </c>
    </row>
    <row r="285">
      <c r="A285" s="14" t="n">
        <v>45982</v>
      </c>
      <c r="B285" s="4" t="inlineStr">
        <is>
          <t>SO202510146</t>
        </is>
      </c>
      <c r="C285" s="4" t="inlineStr">
        <is>
          <t>南京食佳餐饮管理有限公司</t>
        </is>
      </c>
      <c r="D285" s="4" t="inlineStr">
        <is>
          <t>工装夹具</t>
        </is>
      </c>
      <c r="E285" s="4" t="inlineStr">
        <is>
          <t>1kg</t>
        </is>
      </c>
      <c r="F285" s="18" t="n">
        <v>4420</v>
      </c>
      <c r="G285" s="15" t="n">
        <v>173.55</v>
      </c>
      <c r="H285" s="15" t="n">
        <v>767091</v>
      </c>
      <c r="I285" s="4" t="inlineStr">
        <is>
          <t>广东区域</t>
        </is>
      </c>
      <c r="J285" s="4" t="inlineStr">
        <is>
          <t>高杰娜</t>
        </is>
      </c>
    </row>
    <row r="286">
      <c r="A286" s="14" t="n">
        <v>45982</v>
      </c>
      <c r="B286" s="4" t="inlineStr">
        <is>
          <t>SO202510214</t>
        </is>
      </c>
      <c r="C286" s="4" t="inlineStr">
        <is>
          <t>上海大匠餐饮管理有限公司</t>
        </is>
      </c>
      <c r="D286" s="4" t="inlineStr">
        <is>
          <t>精密轴承</t>
        </is>
      </c>
      <c r="E286" s="4" t="inlineStr">
        <is>
          <t>5kg</t>
        </is>
      </c>
      <c r="F286" s="18" t="n">
        <v>1460</v>
      </c>
      <c r="G286" s="15" t="n">
        <v>94.73999999999999</v>
      </c>
      <c r="H286" s="15" t="n">
        <v>138320.4</v>
      </c>
      <c r="I286" s="4" t="inlineStr">
        <is>
          <t>江苏区域</t>
        </is>
      </c>
      <c r="J286" s="4" t="inlineStr">
        <is>
          <t>李秀芳</t>
        </is>
      </c>
    </row>
    <row r="287">
      <c r="A287" s="14" t="n">
        <v>45984</v>
      </c>
      <c r="B287" s="4" t="inlineStr">
        <is>
          <t>SO202510189</t>
        </is>
      </c>
      <c r="C287" s="4" t="inlineStr">
        <is>
          <t>上海大匠酒店管理集团</t>
        </is>
      </c>
      <c r="D287" s="4" t="inlineStr">
        <is>
          <t>工装夹具</t>
        </is>
      </c>
      <c r="E287" s="4" t="inlineStr">
        <is>
          <t>2.5kg</t>
        </is>
      </c>
      <c r="F287" s="18" t="n">
        <v>3400</v>
      </c>
      <c r="G287" s="15" t="n">
        <v>259.08</v>
      </c>
      <c r="H287" s="15" t="n">
        <v>880872</v>
      </c>
      <c r="I287" s="4" t="inlineStr">
        <is>
          <t>华中区域</t>
        </is>
      </c>
      <c r="J287" s="4" t="inlineStr">
        <is>
          <t>罗杰娜</t>
        </is>
      </c>
    </row>
    <row r="288">
      <c r="A288" s="14" t="n">
        <v>45985</v>
      </c>
      <c r="B288" s="4" t="inlineStr">
        <is>
          <t>SO202510305</t>
        </is>
      </c>
      <c r="C288" s="4" t="inlineStr">
        <is>
          <t>无锡大匠电商平台</t>
        </is>
      </c>
      <c r="D288" s="4" t="inlineStr">
        <is>
          <t>模具</t>
        </is>
      </c>
      <c r="E288" s="4" t="inlineStr">
        <is>
          <t>2.5kg</t>
        </is>
      </c>
      <c r="F288" s="18" t="n">
        <v>4250</v>
      </c>
      <c r="G288" s="15" t="n">
        <v>16.51</v>
      </c>
      <c r="H288" s="15" t="n">
        <v>70167.5</v>
      </c>
      <c r="I288" s="4" t="inlineStr">
        <is>
          <t>江苏区域</t>
        </is>
      </c>
      <c r="J288" s="4" t="inlineStr">
        <is>
          <t>马涛英</t>
        </is>
      </c>
    </row>
    <row r="289">
      <c r="A289" s="14" t="n">
        <v>45986</v>
      </c>
      <c r="B289" s="4" t="inlineStr">
        <is>
          <t>SO202510091</t>
        </is>
      </c>
      <c r="C289" s="4" t="inlineStr">
        <is>
          <t>嘉兴食佳餐饮管理有限公司</t>
        </is>
      </c>
      <c r="D289" s="4" t="inlineStr">
        <is>
          <t>精密轴承</t>
        </is>
      </c>
      <c r="E289" s="4" t="inlineStr">
        <is>
          <t>5kg</t>
        </is>
      </c>
      <c r="F289" s="18" t="n">
        <v>2720</v>
      </c>
      <c r="G289" s="15" t="n">
        <v>257.21</v>
      </c>
      <c r="H289" s="15" t="n">
        <v>699611.2</v>
      </c>
      <c r="I289" s="4" t="inlineStr">
        <is>
          <t>华中区域</t>
        </is>
      </c>
      <c r="J289" s="4" t="inlineStr">
        <is>
          <t>罗芳敏</t>
        </is>
      </c>
    </row>
    <row r="290">
      <c r="A290" s="14" t="n">
        <v>45986</v>
      </c>
      <c r="B290" s="4" t="inlineStr">
        <is>
          <t>SO202510324</t>
        </is>
      </c>
      <c r="C290" s="4" t="inlineStr">
        <is>
          <t>南昌淼沃供应链有限公司</t>
        </is>
      </c>
      <c r="D290" s="4" t="inlineStr">
        <is>
          <t>数控机床</t>
        </is>
      </c>
      <c r="E290" s="4" t="inlineStr">
        <is>
          <t>特级</t>
        </is>
      </c>
      <c r="F290" s="18" t="n">
        <v>660</v>
      </c>
      <c r="G290" s="15" t="n">
        <v>112.81</v>
      </c>
      <c r="H290" s="15" t="n">
        <v>74454.60000000001</v>
      </c>
      <c r="I290" s="4" t="inlineStr">
        <is>
          <t>华中区域</t>
        </is>
      </c>
      <c r="J290" s="4" t="inlineStr">
        <is>
          <t>张强秀</t>
        </is>
      </c>
    </row>
    <row r="291">
      <c r="A291" s="14" t="n">
        <v>45987</v>
      </c>
      <c r="B291" s="4" t="inlineStr">
        <is>
          <t>SO202510152</t>
        </is>
      </c>
      <c r="C291" s="4" t="inlineStr">
        <is>
          <t>南昌优鲜商贸有限公司</t>
        </is>
      </c>
      <c r="D291" s="4" t="inlineStr">
        <is>
          <t>气动元件</t>
        </is>
      </c>
      <c r="E291" s="4" t="inlineStr">
        <is>
          <t>2.5kg</t>
        </is>
      </c>
      <c r="F291" s="18" t="n">
        <v>1620</v>
      </c>
      <c r="G291" s="15" t="n">
        <v>64.7</v>
      </c>
      <c r="H291" s="15" t="n">
        <v>104814</v>
      </c>
      <c r="I291" s="4" t="inlineStr">
        <is>
          <t>华中区域</t>
        </is>
      </c>
      <c r="J291" s="4" t="inlineStr">
        <is>
          <t>徐秀娜</t>
        </is>
      </c>
    </row>
    <row r="292">
      <c r="A292" s="14" t="n">
        <v>45987</v>
      </c>
      <c r="B292" s="4" t="inlineStr">
        <is>
          <t>SO202510285</t>
        </is>
      </c>
      <c r="C292" s="4" t="inlineStr">
        <is>
          <t>嘉兴百味酒店管理集团</t>
        </is>
      </c>
      <c r="D292" s="4" t="inlineStr">
        <is>
          <t>数控机床</t>
        </is>
      </c>
      <c r="E292" s="4" t="inlineStr">
        <is>
          <t>标准</t>
        </is>
      </c>
      <c r="F292" s="18" t="n">
        <v>4830</v>
      </c>
      <c r="G292" s="15" t="n">
        <v>177.42</v>
      </c>
      <c r="H292" s="15" t="n">
        <v>856938.6</v>
      </c>
      <c r="I292" s="4" t="inlineStr">
        <is>
          <t>江苏区域</t>
        </is>
      </c>
      <c r="J292" s="4" t="inlineStr">
        <is>
          <t>张秀芳</t>
        </is>
      </c>
    </row>
    <row r="293">
      <c r="A293" s="14" t="n">
        <v>45989</v>
      </c>
      <c r="B293" s="4" t="inlineStr">
        <is>
          <t>SO202510284</t>
        </is>
      </c>
      <c r="C293" s="4" t="inlineStr">
        <is>
          <t>镇江大匠电商平台</t>
        </is>
      </c>
      <c r="D293" s="4" t="inlineStr">
        <is>
          <t>工装夹具</t>
        </is>
      </c>
      <c r="E293" s="4" t="inlineStr">
        <is>
          <t>1kg</t>
        </is>
      </c>
      <c r="F293" s="18" t="n">
        <v>4950</v>
      </c>
      <c r="G293" s="15" t="n">
        <v>231.54</v>
      </c>
      <c r="H293" s="15" t="n">
        <v>1146123</v>
      </c>
      <c r="I293" s="4" t="inlineStr">
        <is>
          <t>广东区域</t>
        </is>
      </c>
      <c r="J293" s="4" t="inlineStr">
        <is>
          <t>马明芳</t>
        </is>
      </c>
    </row>
    <row r="294">
      <c r="A294" s="14" t="n">
        <v>45993</v>
      </c>
      <c r="B294" s="4" t="inlineStr">
        <is>
          <t>SO202510310</t>
        </is>
      </c>
      <c r="C294" s="4" t="inlineStr">
        <is>
          <t>温州优鲜商贸有限公司</t>
        </is>
      </c>
      <c r="D294" s="4" t="inlineStr">
        <is>
          <t>模具</t>
        </is>
      </c>
      <c r="E294" s="4" t="inlineStr">
        <is>
          <t>C级</t>
        </is>
      </c>
      <c r="F294" s="18" t="n">
        <v>4940</v>
      </c>
      <c r="G294" s="15" t="n">
        <v>267.62</v>
      </c>
      <c r="H294" s="15" t="n">
        <v>1322042.8</v>
      </c>
      <c r="I294" s="4" t="inlineStr">
        <is>
          <t>华中区域</t>
        </is>
      </c>
      <c r="J294" s="4" t="inlineStr">
        <is>
          <t>郭强英</t>
        </is>
      </c>
    </row>
    <row r="295">
      <c r="A295" s="14" t="n">
        <v>45994</v>
      </c>
      <c r="B295" s="4" t="inlineStr">
        <is>
          <t>SO202510082</t>
        </is>
      </c>
      <c r="C295" s="4" t="inlineStr">
        <is>
          <t>苏州百味电商平台</t>
        </is>
      </c>
      <c r="D295" s="4" t="inlineStr">
        <is>
          <t>精密轴承</t>
        </is>
      </c>
      <c r="E295" s="4" t="inlineStr">
        <is>
          <t>A级</t>
        </is>
      </c>
      <c r="F295" s="18" t="n">
        <v>1410</v>
      </c>
      <c r="G295" s="15" t="n">
        <v>176.13</v>
      </c>
      <c r="H295" s="15" t="n">
        <v>248343.3</v>
      </c>
      <c r="I295" s="4" t="inlineStr">
        <is>
          <t>华中区域</t>
        </is>
      </c>
      <c r="J295" s="4" t="inlineStr">
        <is>
          <t>罗艳秀</t>
        </is>
      </c>
    </row>
    <row r="296">
      <c r="A296" s="14" t="n">
        <v>45995</v>
      </c>
      <c r="B296" s="4" t="inlineStr">
        <is>
          <t>SO202510079</t>
        </is>
      </c>
      <c r="C296" s="4" t="inlineStr">
        <is>
          <t>南昌京功商贸有限公司</t>
        </is>
      </c>
      <c r="D296" s="4" t="inlineStr">
        <is>
          <t>工装夹具</t>
        </is>
      </c>
      <c r="E296" s="4" t="inlineStr">
        <is>
          <t>标准</t>
        </is>
      </c>
      <c r="F296" s="18" t="n">
        <v>3150</v>
      </c>
      <c r="G296" s="15" t="n">
        <v>147.2</v>
      </c>
      <c r="H296" s="15" t="n">
        <v>463680</v>
      </c>
      <c r="I296" s="4" t="inlineStr">
        <is>
          <t>华中区域</t>
        </is>
      </c>
      <c r="J296" s="4" t="inlineStr">
        <is>
          <t>胡静英</t>
        </is>
      </c>
    </row>
    <row r="297">
      <c r="A297" s="14" t="n">
        <v>45995</v>
      </c>
      <c r="B297" s="4" t="inlineStr">
        <is>
          <t>SO202510084</t>
        </is>
      </c>
      <c r="C297" s="4" t="inlineStr">
        <is>
          <t>合肥食佳酒店管理集团</t>
        </is>
      </c>
      <c r="D297" s="4" t="inlineStr">
        <is>
          <t>气动元件</t>
        </is>
      </c>
      <c r="E297" s="4" t="inlineStr">
        <is>
          <t>精装</t>
        </is>
      </c>
      <c r="F297" s="18" t="n">
        <v>700</v>
      </c>
      <c r="G297" s="15" t="n">
        <v>106.66</v>
      </c>
      <c r="H297" s="15" t="n">
        <v>74662</v>
      </c>
      <c r="I297" s="4" t="inlineStr">
        <is>
          <t>广东区域</t>
        </is>
      </c>
      <c r="J297" s="4" t="inlineStr">
        <is>
          <t>何兰芳</t>
        </is>
      </c>
    </row>
    <row r="298">
      <c r="A298" s="14" t="n">
        <v>45996</v>
      </c>
      <c r="B298" s="4" t="inlineStr">
        <is>
          <t>SO202510080</t>
        </is>
      </c>
      <c r="C298" s="4" t="inlineStr">
        <is>
          <t>镇江大匠商贸有限公司</t>
        </is>
      </c>
      <c r="D298" s="4" t="inlineStr">
        <is>
          <t>液压件</t>
        </is>
      </c>
      <c r="E298" s="4" t="inlineStr">
        <is>
          <t>简装</t>
        </is>
      </c>
      <c r="F298" s="18" t="n">
        <v>2600</v>
      </c>
      <c r="G298" s="15" t="n">
        <v>152.38</v>
      </c>
      <c r="H298" s="15" t="n">
        <v>396188</v>
      </c>
      <c r="I298" s="4" t="inlineStr">
        <is>
          <t>广东区域</t>
        </is>
      </c>
      <c r="J298" s="4" t="inlineStr">
        <is>
          <t>何勇英</t>
        </is>
      </c>
    </row>
    <row r="299">
      <c r="A299" s="14" t="n">
        <v>45996</v>
      </c>
      <c r="B299" s="4" t="inlineStr">
        <is>
          <t>SO202510104</t>
        </is>
      </c>
      <c r="C299" s="4" t="inlineStr">
        <is>
          <t>合肥百味商贸有限公司</t>
        </is>
      </c>
      <c r="D299" s="4" t="inlineStr">
        <is>
          <t>数控机床</t>
        </is>
      </c>
      <c r="E299" s="4" t="inlineStr">
        <is>
          <t>C级</t>
        </is>
      </c>
      <c r="F299" s="18" t="n">
        <v>3660</v>
      </c>
      <c r="G299" s="15" t="n">
        <v>220.95</v>
      </c>
      <c r="H299" s="15" t="n">
        <v>808677</v>
      </c>
      <c r="I299" s="4" t="inlineStr">
        <is>
          <t>华中区域</t>
        </is>
      </c>
      <c r="J299" s="4" t="inlineStr">
        <is>
          <t>刘秀秀</t>
        </is>
      </c>
    </row>
    <row r="300">
      <c r="A300" s="14" t="n">
        <v>45997</v>
      </c>
      <c r="B300" s="4" t="inlineStr">
        <is>
          <t>SO202510126</t>
        </is>
      </c>
      <c r="C300" s="4" t="inlineStr">
        <is>
          <t>温州优鲜食品有限公司</t>
        </is>
      </c>
      <c r="D300" s="4" t="inlineStr">
        <is>
          <t>精密轴承</t>
        </is>
      </c>
      <c r="E300" s="4" t="inlineStr">
        <is>
          <t>500g</t>
        </is>
      </c>
      <c r="F300" s="18" t="n">
        <v>3390</v>
      </c>
      <c r="G300" s="15" t="n">
        <v>239.51</v>
      </c>
      <c r="H300" s="15" t="n">
        <v>811938.9</v>
      </c>
      <c r="I300" s="4" t="inlineStr">
        <is>
          <t>华中区域</t>
        </is>
      </c>
      <c r="J300" s="4" t="inlineStr">
        <is>
          <t>郭超芳</t>
        </is>
      </c>
    </row>
    <row r="301">
      <c r="A301" s="14" t="n">
        <v>45997</v>
      </c>
      <c r="B301" s="4" t="inlineStr">
        <is>
          <t>SO202510233</t>
        </is>
      </c>
      <c r="C301" s="4" t="inlineStr">
        <is>
          <t>上海百味供应链有限公司</t>
        </is>
      </c>
      <c r="D301" s="4" t="inlineStr">
        <is>
          <t>液压件</t>
        </is>
      </c>
      <c r="E301" s="4" t="inlineStr">
        <is>
          <t>5kg</t>
        </is>
      </c>
      <c r="F301" s="18" t="n">
        <v>2790</v>
      </c>
      <c r="G301" s="15" t="n">
        <v>183.67</v>
      </c>
      <c r="H301" s="15" t="n">
        <v>512439.3</v>
      </c>
      <c r="I301" s="4" t="inlineStr">
        <is>
          <t>华中区域</t>
        </is>
      </c>
      <c r="J301" s="4" t="inlineStr">
        <is>
          <t>胡伟伟</t>
        </is>
      </c>
    </row>
    <row r="302">
      <c r="A302" s="14" t="n">
        <v>45997</v>
      </c>
      <c r="B302" s="4" t="inlineStr">
        <is>
          <t>SO202510303</t>
        </is>
      </c>
      <c r="C302" s="4" t="inlineStr">
        <is>
          <t>嘉兴优鲜餐饮管理有限公司</t>
        </is>
      </c>
      <c r="D302" s="4" t="inlineStr">
        <is>
          <t>精密轴承</t>
        </is>
      </c>
      <c r="E302" s="4" t="inlineStr">
        <is>
          <t>A级</t>
        </is>
      </c>
      <c r="F302" s="18" t="n">
        <v>2550</v>
      </c>
      <c r="G302" s="15" t="n">
        <v>300</v>
      </c>
      <c r="H302" s="15" t="n">
        <v>765000</v>
      </c>
      <c r="I302" s="4" t="inlineStr">
        <is>
          <t>江苏区域</t>
        </is>
      </c>
      <c r="J302" s="4" t="inlineStr">
        <is>
          <t>何涛秀</t>
        </is>
      </c>
    </row>
    <row r="303">
      <c r="A303" s="14" t="n">
        <v>46000</v>
      </c>
      <c r="B303" s="4" t="inlineStr">
        <is>
          <t>SO202510006</t>
        </is>
      </c>
      <c r="C303" s="4" t="inlineStr">
        <is>
          <t>苏州优鲜酒店管理集团</t>
        </is>
      </c>
      <c r="D303" s="4" t="inlineStr">
        <is>
          <t>工装夹具</t>
        </is>
      </c>
      <c r="E303" s="4" t="inlineStr">
        <is>
          <t>B级</t>
        </is>
      </c>
      <c r="F303" s="18" t="n">
        <v>4990</v>
      </c>
      <c r="G303" s="15" t="n">
        <v>24.65</v>
      </c>
      <c r="H303" s="15" t="n">
        <v>123003.5</v>
      </c>
      <c r="I303" s="4" t="inlineStr">
        <is>
          <t>江苏区域</t>
        </is>
      </c>
      <c r="J303" s="4" t="inlineStr">
        <is>
          <t>陈娟芳</t>
        </is>
      </c>
    </row>
    <row r="304">
      <c r="A304" s="14" t="n">
        <v>46001</v>
      </c>
      <c r="B304" s="4" t="inlineStr">
        <is>
          <t>SO202510011</t>
        </is>
      </c>
      <c r="C304" s="4" t="inlineStr">
        <is>
          <t>合肥京功超市</t>
        </is>
      </c>
      <c r="D304" s="4" t="inlineStr">
        <is>
          <t>气动元件</t>
        </is>
      </c>
      <c r="E304" s="4" t="inlineStr">
        <is>
          <t>2.5kg</t>
        </is>
      </c>
      <c r="F304" s="18" t="n">
        <v>3740</v>
      </c>
      <c r="G304" s="15" t="n">
        <v>235.47</v>
      </c>
      <c r="H304" s="15" t="n">
        <v>880657.8</v>
      </c>
      <c r="I304" s="4" t="inlineStr">
        <is>
          <t>江苏区域</t>
        </is>
      </c>
      <c r="J304" s="4" t="inlineStr">
        <is>
          <t>王静芳</t>
        </is>
      </c>
    </row>
    <row r="305">
      <c r="A305" s="14" t="n">
        <v>46001</v>
      </c>
      <c r="B305" s="4" t="inlineStr">
        <is>
          <t>SO202510190</t>
        </is>
      </c>
      <c r="C305" s="4" t="inlineStr">
        <is>
          <t>上海百味商贸有限公司</t>
        </is>
      </c>
      <c r="D305" s="4" t="inlineStr">
        <is>
          <t>液压件</t>
        </is>
      </c>
      <c r="E305" s="4" t="inlineStr">
        <is>
          <t>5kg</t>
        </is>
      </c>
      <c r="F305" s="18" t="n">
        <v>4260</v>
      </c>
      <c r="G305" s="15" t="n">
        <v>229.82</v>
      </c>
      <c r="H305" s="15" t="n">
        <v>979033.2</v>
      </c>
      <c r="I305" s="4" t="inlineStr">
        <is>
          <t>浙江区域</t>
        </is>
      </c>
      <c r="J305" s="4" t="inlineStr">
        <is>
          <t>罗强敏</t>
        </is>
      </c>
    </row>
    <row r="306">
      <c r="A306" s="14" t="n">
        <v>46002</v>
      </c>
      <c r="B306" s="4" t="inlineStr">
        <is>
          <t>SO202510060</t>
        </is>
      </c>
      <c r="C306" s="4" t="inlineStr">
        <is>
          <t>常州优鲜商贸有限公司</t>
        </is>
      </c>
      <c r="D306" s="4" t="inlineStr">
        <is>
          <t>气动元件</t>
        </is>
      </c>
      <c r="E306" s="4" t="inlineStr">
        <is>
          <t>1kg</t>
        </is>
      </c>
      <c r="F306" s="18" t="n">
        <v>4900</v>
      </c>
      <c r="G306" s="15" t="n">
        <v>199.9</v>
      </c>
      <c r="H306" s="15" t="n">
        <v>979510</v>
      </c>
      <c r="I306" s="4" t="inlineStr">
        <is>
          <t>浙江区域</t>
        </is>
      </c>
      <c r="J306" s="4" t="inlineStr">
        <is>
          <t>林杰英</t>
        </is>
      </c>
    </row>
    <row r="307">
      <c r="A307" s="14" t="n">
        <v>46004</v>
      </c>
      <c r="B307" s="4" t="inlineStr">
        <is>
          <t>SO202510145</t>
        </is>
      </c>
      <c r="C307" s="4" t="inlineStr">
        <is>
          <t>宁波优鲜商贸有限公司</t>
        </is>
      </c>
      <c r="D307" s="4" t="inlineStr">
        <is>
          <t>数控机床</t>
        </is>
      </c>
      <c r="E307" s="4" t="inlineStr">
        <is>
          <t>2.5kg</t>
        </is>
      </c>
      <c r="F307" s="18" t="n">
        <v>4800</v>
      </c>
      <c r="G307" s="15" t="n">
        <v>241.6</v>
      </c>
      <c r="H307" s="15" t="n">
        <v>1159680</v>
      </c>
      <c r="I307" s="4" t="inlineStr">
        <is>
          <t>广东区域</t>
        </is>
      </c>
      <c r="J307" s="4" t="inlineStr">
        <is>
          <t>高明芳</t>
        </is>
      </c>
    </row>
    <row r="308">
      <c r="A308" s="14" t="n">
        <v>46004</v>
      </c>
      <c r="B308" s="4" t="inlineStr">
        <is>
          <t>SO202510280</t>
        </is>
      </c>
      <c r="C308" s="4" t="inlineStr">
        <is>
          <t>温州优鲜电商平台</t>
        </is>
      </c>
      <c r="D308" s="4" t="inlineStr">
        <is>
          <t>模具</t>
        </is>
      </c>
      <c r="E308" s="4" t="inlineStr">
        <is>
          <t>B级</t>
        </is>
      </c>
      <c r="F308" s="18" t="n">
        <v>4970</v>
      </c>
      <c r="G308" s="15" t="n">
        <v>79.69</v>
      </c>
      <c r="H308" s="15" t="n">
        <v>396059.3</v>
      </c>
      <c r="I308" s="4" t="inlineStr">
        <is>
          <t>广东区域</t>
        </is>
      </c>
      <c r="J308" s="4" t="inlineStr">
        <is>
          <t>黄涛秀</t>
        </is>
      </c>
    </row>
    <row r="309">
      <c r="A309" s="14" t="n">
        <v>46005</v>
      </c>
      <c r="B309" s="4" t="inlineStr">
        <is>
          <t>SO202510030</t>
        </is>
      </c>
      <c r="C309" s="4" t="inlineStr">
        <is>
          <t>南京食佳酒店管理集团</t>
        </is>
      </c>
      <c r="D309" s="4" t="inlineStr">
        <is>
          <t>数控机床</t>
        </is>
      </c>
      <c r="E309" s="4" t="inlineStr">
        <is>
          <t>B级</t>
        </is>
      </c>
      <c r="F309" s="18" t="n">
        <v>4680</v>
      </c>
      <c r="G309" s="15" t="n">
        <v>280.48</v>
      </c>
      <c r="H309" s="15" t="n">
        <v>1312646.4</v>
      </c>
      <c r="I309" s="4" t="inlineStr">
        <is>
          <t>广东区域</t>
        </is>
      </c>
      <c r="J309" s="4" t="inlineStr">
        <is>
          <t>王秀伟</t>
        </is>
      </c>
    </row>
    <row r="310">
      <c r="A310" s="14" t="n">
        <v>46005</v>
      </c>
      <c r="B310" s="4" t="inlineStr">
        <is>
          <t>SO202510144</t>
        </is>
      </c>
      <c r="C310" s="4" t="inlineStr">
        <is>
          <t>上海淼沃超市</t>
        </is>
      </c>
      <c r="D310" s="4" t="inlineStr">
        <is>
          <t>精密轴承</t>
        </is>
      </c>
      <c r="E310" s="4" t="inlineStr">
        <is>
          <t>精装</t>
        </is>
      </c>
      <c r="F310" s="18" t="n">
        <v>1980</v>
      </c>
      <c r="G310" s="15" t="n">
        <v>194.77</v>
      </c>
      <c r="H310" s="15" t="n">
        <v>385644.6</v>
      </c>
      <c r="I310" s="4" t="inlineStr">
        <is>
          <t>江苏区域</t>
        </is>
      </c>
      <c r="J310" s="4" t="inlineStr">
        <is>
          <t>黄磊秀</t>
        </is>
      </c>
    </row>
    <row r="311">
      <c r="A311" s="14" t="n">
        <v>46005</v>
      </c>
      <c r="B311" s="4" t="inlineStr">
        <is>
          <t>SO202510288</t>
        </is>
      </c>
      <c r="C311" s="4" t="inlineStr">
        <is>
          <t>常州淼沃超市</t>
        </is>
      </c>
      <c r="D311" s="4" t="inlineStr">
        <is>
          <t>精密轴承</t>
        </is>
      </c>
      <c r="E311" s="4" t="inlineStr">
        <is>
          <t>B级</t>
        </is>
      </c>
      <c r="F311" s="18" t="n">
        <v>4150</v>
      </c>
      <c r="G311" s="15" t="n">
        <v>149.95</v>
      </c>
      <c r="H311" s="15" t="n">
        <v>622292.5</v>
      </c>
      <c r="I311" s="4" t="inlineStr">
        <is>
          <t>广东区域</t>
        </is>
      </c>
      <c r="J311" s="4" t="inlineStr">
        <is>
          <t>高洋敏</t>
        </is>
      </c>
    </row>
    <row r="312">
      <c r="A312" s="14" t="n">
        <v>46007</v>
      </c>
      <c r="B312" s="4" t="inlineStr">
        <is>
          <t>SO202510010</t>
        </is>
      </c>
      <c r="C312" s="4" t="inlineStr">
        <is>
          <t>上海食佳商贸有限公司</t>
        </is>
      </c>
      <c r="D312" s="4" t="inlineStr">
        <is>
          <t>气动元件</t>
        </is>
      </c>
      <c r="E312" s="4" t="inlineStr">
        <is>
          <t>简装</t>
        </is>
      </c>
      <c r="F312" s="18" t="n">
        <v>4090</v>
      </c>
      <c r="G312" s="15" t="n">
        <v>280.76</v>
      </c>
      <c r="H312" s="15" t="n">
        <v>1148308.4</v>
      </c>
      <c r="I312" s="4" t="inlineStr">
        <is>
          <t>浙江区域</t>
        </is>
      </c>
      <c r="J312" s="4" t="inlineStr">
        <is>
          <t>张敏芳</t>
        </is>
      </c>
    </row>
    <row r="313">
      <c r="A313" s="14" t="n">
        <v>46008</v>
      </c>
      <c r="B313" s="4" t="inlineStr">
        <is>
          <t>SO202510198</t>
        </is>
      </c>
      <c r="C313" s="4" t="inlineStr">
        <is>
          <t>苏州优鲜供应链有限公司</t>
        </is>
      </c>
      <c r="D313" s="4" t="inlineStr">
        <is>
          <t>液压件</t>
        </is>
      </c>
      <c r="E313" s="4" t="inlineStr">
        <is>
          <t>2.5kg</t>
        </is>
      </c>
      <c r="F313" s="18" t="n">
        <v>4100</v>
      </c>
      <c r="G313" s="15" t="n">
        <v>210.2</v>
      </c>
      <c r="H313" s="15" t="n">
        <v>861820</v>
      </c>
      <c r="I313" s="4" t="inlineStr">
        <is>
          <t>广东区域</t>
        </is>
      </c>
      <c r="J313" s="4" t="inlineStr">
        <is>
          <t>朱杰英</t>
        </is>
      </c>
    </row>
    <row r="314">
      <c r="A314" s="14" t="n">
        <v>46009</v>
      </c>
      <c r="B314" s="4" t="inlineStr">
        <is>
          <t>SO202510087</t>
        </is>
      </c>
      <c r="C314" s="4" t="inlineStr">
        <is>
          <t>常州优鲜商贸有限公司</t>
        </is>
      </c>
      <c r="D314" s="4" t="inlineStr">
        <is>
          <t>气动元件</t>
        </is>
      </c>
      <c r="E314" s="4" t="inlineStr">
        <is>
          <t>5kg</t>
        </is>
      </c>
      <c r="F314" s="18" t="n">
        <v>2040</v>
      </c>
      <c r="G314" s="15" t="n">
        <v>286.48</v>
      </c>
      <c r="H314" s="15" t="n">
        <v>584419.2</v>
      </c>
      <c r="I314" s="4" t="inlineStr">
        <is>
          <t>江苏区域</t>
        </is>
      </c>
      <c r="J314" s="4" t="inlineStr">
        <is>
          <t>徐英英</t>
        </is>
      </c>
    </row>
    <row r="315">
      <c r="A315" s="14" t="n">
        <v>46009</v>
      </c>
      <c r="B315" s="4" t="inlineStr">
        <is>
          <t>SO202510140</t>
        </is>
      </c>
      <c r="C315" s="4" t="inlineStr">
        <is>
          <t>无锡优鲜供应链有限公司</t>
        </is>
      </c>
      <c r="D315" s="4" t="inlineStr">
        <is>
          <t>模具</t>
        </is>
      </c>
      <c r="E315" s="4" t="inlineStr">
        <is>
          <t>简装</t>
        </is>
      </c>
      <c r="F315" s="18" t="n">
        <v>3470</v>
      </c>
      <c r="G315" s="15" t="n">
        <v>110.68</v>
      </c>
      <c r="H315" s="15" t="n">
        <v>384059.6</v>
      </c>
      <c r="I315" s="4" t="inlineStr">
        <is>
          <t>江苏区域</t>
        </is>
      </c>
      <c r="J315" s="4" t="inlineStr">
        <is>
          <t>何兰英</t>
        </is>
      </c>
    </row>
    <row r="316">
      <c r="A316" s="14" t="n">
        <v>46009</v>
      </c>
      <c r="B316" s="4" t="inlineStr">
        <is>
          <t>SO202510259</t>
        </is>
      </c>
      <c r="C316" s="4" t="inlineStr">
        <is>
          <t>温州百味电商平台</t>
        </is>
      </c>
      <c r="D316" s="4" t="inlineStr">
        <is>
          <t>模具</t>
        </is>
      </c>
      <c r="E316" s="4" t="inlineStr">
        <is>
          <t>A级</t>
        </is>
      </c>
      <c r="F316" s="18" t="n">
        <v>480</v>
      </c>
      <c r="G316" s="15" t="n">
        <v>188.38</v>
      </c>
      <c r="H316" s="15" t="n">
        <v>90422.39999999999</v>
      </c>
      <c r="I316" s="4" t="inlineStr">
        <is>
          <t>江苏区域</t>
        </is>
      </c>
      <c r="J316" s="4" t="inlineStr">
        <is>
          <t>吴芳娜</t>
        </is>
      </c>
    </row>
    <row r="317">
      <c r="A317" s="14" t="n">
        <v>46009</v>
      </c>
      <c r="B317" s="4" t="inlineStr">
        <is>
          <t>SO202510318</t>
        </is>
      </c>
      <c r="C317" s="4" t="inlineStr">
        <is>
          <t>常州京功供应链有限公司</t>
        </is>
      </c>
      <c r="D317" s="4" t="inlineStr">
        <is>
          <t>精密轴承</t>
        </is>
      </c>
      <c r="E317" s="4" t="inlineStr">
        <is>
          <t>简装</t>
        </is>
      </c>
      <c r="F317" s="18" t="n">
        <v>2470</v>
      </c>
      <c r="G317" s="15" t="n">
        <v>229.82</v>
      </c>
      <c r="H317" s="15" t="n">
        <v>567655.4</v>
      </c>
      <c r="I317" s="4" t="inlineStr">
        <is>
          <t>华中区域</t>
        </is>
      </c>
      <c r="J317" s="4" t="inlineStr">
        <is>
          <t>王勇芳</t>
        </is>
      </c>
    </row>
    <row r="318">
      <c r="A318" s="14" t="n">
        <v>46010</v>
      </c>
      <c r="B318" s="4" t="inlineStr">
        <is>
          <t>SO202510208</t>
        </is>
      </c>
      <c r="C318" s="4" t="inlineStr">
        <is>
          <t>南京优鲜酒店管理集团</t>
        </is>
      </c>
      <c r="D318" s="4" t="inlineStr">
        <is>
          <t>工装夹具</t>
        </is>
      </c>
      <c r="E318" s="4" t="inlineStr">
        <is>
          <t>10kg</t>
        </is>
      </c>
      <c r="F318" s="18" t="n">
        <v>1100</v>
      </c>
      <c r="G318" s="15" t="n">
        <v>129.17</v>
      </c>
      <c r="H318" s="15" t="n">
        <v>142087</v>
      </c>
      <c r="I318" s="4" t="inlineStr">
        <is>
          <t>华中区域</t>
        </is>
      </c>
      <c r="J318" s="4" t="inlineStr">
        <is>
          <t>罗杰芳</t>
        </is>
      </c>
    </row>
    <row r="319">
      <c r="A319" s="14" t="n">
        <v>46011</v>
      </c>
      <c r="B319" s="4" t="inlineStr">
        <is>
          <t>SO202510090</t>
        </is>
      </c>
      <c r="C319" s="4" t="inlineStr">
        <is>
          <t>苏州大匠电商平台</t>
        </is>
      </c>
      <c r="D319" s="4" t="inlineStr">
        <is>
          <t>工装夹具</t>
        </is>
      </c>
      <c r="E319" s="4" t="inlineStr">
        <is>
          <t>10kg</t>
        </is>
      </c>
      <c r="F319" s="18" t="n">
        <v>2640</v>
      </c>
      <c r="G319" s="15" t="n">
        <v>31.46</v>
      </c>
      <c r="H319" s="15" t="n">
        <v>83054.39999999999</v>
      </c>
      <c r="I319" s="4" t="inlineStr">
        <is>
          <t>浙江区域</t>
        </is>
      </c>
      <c r="J319" s="4" t="inlineStr">
        <is>
          <t>张芳敏</t>
        </is>
      </c>
    </row>
    <row r="320">
      <c r="A320" s="14" t="n">
        <v>46011</v>
      </c>
      <c r="B320" s="4" t="inlineStr">
        <is>
          <t>SO202510167</t>
        </is>
      </c>
      <c r="C320" s="4" t="inlineStr">
        <is>
          <t>嘉兴大匠供应链有限公司</t>
        </is>
      </c>
      <c r="D320" s="4" t="inlineStr">
        <is>
          <t>精密轴承</t>
        </is>
      </c>
      <c r="E320" s="4" t="inlineStr">
        <is>
          <t>特级</t>
        </is>
      </c>
      <c r="F320" s="18" t="n">
        <v>2960</v>
      </c>
      <c r="G320" s="15" t="n">
        <v>276.56</v>
      </c>
      <c r="H320" s="15" t="n">
        <v>818617.6</v>
      </c>
      <c r="I320" s="4" t="inlineStr">
        <is>
          <t>江苏区域</t>
        </is>
      </c>
      <c r="J320" s="4" t="inlineStr">
        <is>
          <t>赵伟娜</t>
        </is>
      </c>
    </row>
    <row r="321">
      <c r="A321" s="14" t="n">
        <v>46011</v>
      </c>
      <c r="B321" s="4" t="inlineStr">
        <is>
          <t>SO202510286</t>
        </is>
      </c>
      <c r="C321" s="4" t="inlineStr">
        <is>
          <t>上海食佳食品有限公司</t>
        </is>
      </c>
      <c r="D321" s="4" t="inlineStr">
        <is>
          <t>模具</t>
        </is>
      </c>
      <c r="E321" s="4" t="inlineStr">
        <is>
          <t>简装</t>
        </is>
      </c>
      <c r="F321" s="18" t="n">
        <v>440</v>
      </c>
      <c r="G321" s="15" t="n">
        <v>126.37</v>
      </c>
      <c r="H321" s="15" t="n">
        <v>55602.8</v>
      </c>
      <c r="I321" s="4" t="inlineStr">
        <is>
          <t>广东区域</t>
        </is>
      </c>
      <c r="J321" s="4" t="inlineStr">
        <is>
          <t>赵娜芳</t>
        </is>
      </c>
    </row>
    <row r="322">
      <c r="A322" s="14" t="n">
        <v>46013</v>
      </c>
      <c r="B322" s="4" t="inlineStr">
        <is>
          <t>SO202510171</t>
        </is>
      </c>
      <c r="C322" s="4" t="inlineStr">
        <is>
          <t>镇江京功食品有限公司</t>
        </is>
      </c>
      <c r="D322" s="4" t="inlineStr">
        <is>
          <t>模具</t>
        </is>
      </c>
      <c r="E322" s="4" t="inlineStr">
        <is>
          <t>1kg</t>
        </is>
      </c>
      <c r="F322" s="18" t="n">
        <v>4260</v>
      </c>
      <c r="G322" s="15" t="n">
        <v>210.41</v>
      </c>
      <c r="H322" s="15" t="n">
        <v>896346.6</v>
      </c>
      <c r="I322" s="4" t="inlineStr">
        <is>
          <t>江苏区域</t>
        </is>
      </c>
      <c r="J322" s="4" t="inlineStr">
        <is>
          <t>刘杰英</t>
        </is>
      </c>
    </row>
    <row r="323">
      <c r="A323" s="14" t="n">
        <v>46014</v>
      </c>
      <c r="B323" s="4" t="inlineStr">
        <is>
          <t>SO202510200</t>
        </is>
      </c>
      <c r="C323" s="4" t="inlineStr">
        <is>
          <t>温州京功食品有限公司</t>
        </is>
      </c>
      <c r="D323" s="4" t="inlineStr">
        <is>
          <t>精密轴承</t>
        </is>
      </c>
      <c r="E323" s="4" t="inlineStr">
        <is>
          <t>简装</t>
        </is>
      </c>
      <c r="F323" s="18" t="n">
        <v>3340</v>
      </c>
      <c r="G323" s="15" t="n">
        <v>87.94</v>
      </c>
      <c r="H323" s="15" t="n">
        <v>293719.6</v>
      </c>
      <c r="I323" s="4" t="inlineStr">
        <is>
          <t>广东区域</t>
        </is>
      </c>
      <c r="J323" s="4" t="inlineStr">
        <is>
          <t>陈英敏</t>
        </is>
      </c>
    </row>
    <row r="324">
      <c r="A324" s="14" t="n">
        <v>46014</v>
      </c>
      <c r="B324" s="4" t="inlineStr">
        <is>
          <t>SO202510254</t>
        </is>
      </c>
      <c r="C324" s="4" t="inlineStr">
        <is>
          <t>杭州京功食品有限公司</t>
        </is>
      </c>
      <c r="D324" s="4" t="inlineStr">
        <is>
          <t>精密轴承</t>
        </is>
      </c>
      <c r="E324" s="4" t="inlineStr">
        <is>
          <t>1kg</t>
        </is>
      </c>
      <c r="F324" s="18" t="n">
        <v>2580</v>
      </c>
      <c r="G324" s="15" t="n">
        <v>31.95</v>
      </c>
      <c r="H324" s="15" t="n">
        <v>82431</v>
      </c>
      <c r="I324" s="4" t="inlineStr">
        <is>
          <t>江苏区域</t>
        </is>
      </c>
      <c r="J324" s="4" t="inlineStr">
        <is>
          <t>吴秀娜</t>
        </is>
      </c>
    </row>
    <row r="325">
      <c r="A325" s="14" t="n">
        <v>46015</v>
      </c>
      <c r="B325" s="4" t="inlineStr">
        <is>
          <t>SO202510279</t>
        </is>
      </c>
      <c r="C325" s="4" t="inlineStr">
        <is>
          <t>上海淼沃酒店管理集团</t>
        </is>
      </c>
      <c r="D325" s="4" t="inlineStr">
        <is>
          <t>数控机床</t>
        </is>
      </c>
      <c r="E325" s="4" t="inlineStr">
        <is>
          <t>标准</t>
        </is>
      </c>
      <c r="F325" s="18" t="n">
        <v>4010</v>
      </c>
      <c r="G325" s="15" t="n">
        <v>104.86</v>
      </c>
      <c r="H325" s="15" t="n">
        <v>420488.6</v>
      </c>
      <c r="I325" s="4" t="inlineStr">
        <is>
          <t>浙江区域</t>
        </is>
      </c>
      <c r="J325" s="4" t="inlineStr">
        <is>
          <t>周艳娜</t>
        </is>
      </c>
    </row>
    <row r="326">
      <c r="A326" s="14" t="n">
        <v>46016</v>
      </c>
      <c r="B326" s="4" t="inlineStr">
        <is>
          <t>SO202510131</t>
        </is>
      </c>
      <c r="C326" s="4" t="inlineStr">
        <is>
          <t>温州京功餐饮管理有限公司</t>
        </is>
      </c>
      <c r="D326" s="4" t="inlineStr">
        <is>
          <t>模具</t>
        </is>
      </c>
      <c r="E326" s="4" t="inlineStr">
        <is>
          <t>2.5kg</t>
        </is>
      </c>
      <c r="F326" s="18" t="n">
        <v>2420</v>
      </c>
      <c r="G326" s="15" t="n">
        <v>41.94</v>
      </c>
      <c r="H326" s="15" t="n">
        <v>101494.8</v>
      </c>
      <c r="I326" s="4" t="inlineStr">
        <is>
          <t>浙江区域</t>
        </is>
      </c>
      <c r="J326" s="4" t="inlineStr">
        <is>
          <t>吴英芳</t>
        </is>
      </c>
    </row>
    <row r="327">
      <c r="A327" s="14" t="n">
        <v>46016</v>
      </c>
      <c r="B327" s="4" t="inlineStr">
        <is>
          <t>SO202510290</t>
        </is>
      </c>
      <c r="C327" s="4" t="inlineStr">
        <is>
          <t>镇江百味超市</t>
        </is>
      </c>
      <c r="D327" s="4" t="inlineStr">
        <is>
          <t>工装夹具</t>
        </is>
      </c>
      <c r="E327" s="4" t="inlineStr">
        <is>
          <t>C级</t>
        </is>
      </c>
      <c r="F327" s="18" t="n">
        <v>2440</v>
      </c>
      <c r="G327" s="15" t="n">
        <v>253.95</v>
      </c>
      <c r="H327" s="15" t="n">
        <v>619638</v>
      </c>
      <c r="I327" s="4" t="inlineStr">
        <is>
          <t>江苏区域</t>
        </is>
      </c>
      <c r="J327" s="4" t="inlineStr">
        <is>
          <t>陈涛娜</t>
        </is>
      </c>
    </row>
    <row r="328">
      <c r="A328" s="14" t="n">
        <v>46017</v>
      </c>
      <c r="B328" s="4" t="inlineStr">
        <is>
          <t>SO202510133</t>
        </is>
      </c>
      <c r="C328" s="4" t="inlineStr">
        <is>
          <t>上海百味餐饮管理有限公司</t>
        </is>
      </c>
      <c r="D328" s="4" t="inlineStr">
        <is>
          <t>液压件</t>
        </is>
      </c>
      <c r="E328" s="4" t="inlineStr">
        <is>
          <t>B级</t>
        </is>
      </c>
      <c r="F328" s="18" t="n">
        <v>2890</v>
      </c>
      <c r="G328" s="15" t="n">
        <v>126.48</v>
      </c>
      <c r="H328" s="15" t="n">
        <v>365527.2</v>
      </c>
      <c r="I328" s="4" t="inlineStr">
        <is>
          <t>浙江区域</t>
        </is>
      </c>
      <c r="J328" s="4" t="inlineStr">
        <is>
          <t>罗兰伟</t>
        </is>
      </c>
    </row>
    <row r="329">
      <c r="A329" s="14" t="n">
        <v>46019</v>
      </c>
      <c r="B329" s="4" t="inlineStr">
        <is>
          <t>SO202510128</t>
        </is>
      </c>
      <c r="C329" s="4" t="inlineStr">
        <is>
          <t>南京京功电商平台</t>
        </is>
      </c>
      <c r="D329" s="4" t="inlineStr">
        <is>
          <t>工装夹具</t>
        </is>
      </c>
      <c r="E329" s="4" t="inlineStr">
        <is>
          <t>25kg</t>
        </is>
      </c>
      <c r="F329" s="18" t="n">
        <v>1020</v>
      </c>
      <c r="G329" s="15" t="n">
        <v>181.78</v>
      </c>
      <c r="H329" s="15" t="n">
        <v>185415.6</v>
      </c>
      <c r="I329" s="4" t="inlineStr">
        <is>
          <t>浙江区域</t>
        </is>
      </c>
      <c r="J329" s="4" t="inlineStr">
        <is>
          <t>李秀娜</t>
        </is>
      </c>
    </row>
    <row r="330">
      <c r="A330" s="14" t="n">
        <v>46019</v>
      </c>
      <c r="B330" s="4" t="inlineStr">
        <is>
          <t>SO202510296</t>
        </is>
      </c>
      <c r="C330" s="4" t="inlineStr">
        <is>
          <t>嘉兴大匠电商平台</t>
        </is>
      </c>
      <c r="D330" s="4" t="inlineStr">
        <is>
          <t>液压件</t>
        </is>
      </c>
      <c r="E330" s="4" t="inlineStr">
        <is>
          <t>25kg</t>
        </is>
      </c>
      <c r="F330" s="18" t="n">
        <v>890</v>
      </c>
      <c r="G330" s="15" t="n">
        <v>190.46</v>
      </c>
      <c r="H330" s="15" t="n">
        <v>169509.4</v>
      </c>
      <c r="I330" s="4" t="inlineStr">
        <is>
          <t>浙江区域</t>
        </is>
      </c>
      <c r="J330" s="4" t="inlineStr">
        <is>
          <t>徐勇芳</t>
        </is>
      </c>
    </row>
    <row r="331">
      <c r="A331" s="6" t="inlineStr">
        <is>
          <t>合计</t>
        </is>
      </c>
      <c r="F331" s="19" t="n">
        <v>847920</v>
      </c>
      <c r="H331" s="16" t="n">
        <v>127869068.8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s="1" t="inlineStr">
        <is>
          <t>苏州精密机械制造有限公司应收账款账龄分析表</t>
        </is>
      </c>
    </row>
    <row r="2">
      <c r="A2" t="inlineStr">
        <is>
          <t>截止日期：2025年12月31日</t>
        </is>
      </c>
      <c r="H2" t="inlineStr">
        <is>
          <t>单位：元</t>
        </is>
      </c>
    </row>
    <row r="3">
      <c r="A3" s="2" t="inlineStr">
        <is>
          <t>客户名称</t>
        </is>
      </c>
      <c r="B3" s="2" t="inlineStr">
        <is>
          <t>应收余额</t>
        </is>
      </c>
      <c r="C3" s="2" t="inlineStr">
        <is>
          <t>账龄分布</t>
        </is>
      </c>
      <c r="H3" s="2" t="inlineStr">
        <is>
          <t>信用额度</t>
        </is>
      </c>
    </row>
    <row r="4">
      <c r="A4" s="12" t="n"/>
      <c r="B4" s="12" t="n"/>
      <c r="C4" s="2" t="inlineStr">
        <is>
          <t>0-30天</t>
        </is>
      </c>
      <c r="D4" s="2" t="inlineStr">
        <is>
          <t>31-60天</t>
        </is>
      </c>
      <c r="E4" s="2" t="inlineStr">
        <is>
          <t>61-90天</t>
        </is>
      </c>
      <c r="F4" s="2" t="inlineStr">
        <is>
          <t>91-180天</t>
        </is>
      </c>
      <c r="G4" s="2" t="inlineStr">
        <is>
          <t>180天以上</t>
        </is>
      </c>
      <c r="H4" s="12" t="n"/>
    </row>
    <row r="5">
      <c r="A5" s="4" t="inlineStr">
        <is>
          <t>宁波百味食品有限公司</t>
        </is>
      </c>
      <c r="B5" s="15" t="n">
        <v>1062508.18</v>
      </c>
      <c r="C5" s="15" t="n">
        <v>528756.8199999999</v>
      </c>
      <c r="D5" s="15" t="n">
        <v>361307.17</v>
      </c>
      <c r="E5" s="15" t="n">
        <v>43748.99</v>
      </c>
      <c r="F5" s="15" t="n">
        <v>112818.43</v>
      </c>
      <c r="G5" s="15" t="n">
        <v>15876.77</v>
      </c>
      <c r="H5" s="15" t="n">
        <v>2571918.37</v>
      </c>
    </row>
    <row r="6">
      <c r="A6" s="4" t="inlineStr">
        <is>
          <t>深圳永利电子商务有限公司</t>
        </is>
      </c>
      <c r="B6" s="15" t="n">
        <v>625447.71</v>
      </c>
      <c r="C6" s="15" t="n">
        <v>394803.3</v>
      </c>
      <c r="D6" s="15" t="n">
        <v>122542.99</v>
      </c>
      <c r="E6" s="15" t="n">
        <v>58698.68</v>
      </c>
      <c r="F6" s="15" t="n">
        <v>46685.14</v>
      </c>
      <c r="G6" s="15" t="n">
        <v>2717.6</v>
      </c>
      <c r="H6" s="15" t="n">
        <v>1251707.03</v>
      </c>
    </row>
    <row r="7">
      <c r="A7" s="4" t="inlineStr">
        <is>
          <t>昆明百味连锁超市</t>
        </is>
      </c>
      <c r="B7" s="15" t="n">
        <v>30188.88</v>
      </c>
      <c r="C7" s="15" t="n">
        <v>15166.75</v>
      </c>
      <c r="D7" s="15" t="n">
        <v>5977.15</v>
      </c>
      <c r="E7" s="15" t="n">
        <v>5257.59</v>
      </c>
      <c r="F7" s="15" t="n">
        <v>1976.56</v>
      </c>
      <c r="G7" s="15" t="n">
        <v>1810.83</v>
      </c>
      <c r="H7" s="15" t="n">
        <v>48136.04</v>
      </c>
    </row>
    <row r="8">
      <c r="A8" s="4" t="inlineStr">
        <is>
          <t>无锡汇通食品有限公司</t>
        </is>
      </c>
      <c r="B8" s="15" t="n">
        <v>2911006.37</v>
      </c>
      <c r="C8" s="15" t="n">
        <v>1025211.01</v>
      </c>
      <c r="D8" s="15" t="n">
        <v>766011.67</v>
      </c>
      <c r="E8" s="15" t="n">
        <v>642648.3199999999</v>
      </c>
      <c r="F8" s="15" t="n">
        <v>368285.11</v>
      </c>
      <c r="G8" s="15" t="n">
        <v>108850.26</v>
      </c>
      <c r="H8" s="15" t="n">
        <v>4239328.25</v>
      </c>
    </row>
    <row r="9">
      <c r="A9" s="4" t="inlineStr">
        <is>
          <t>深圳优鲜商贸有限公司</t>
        </is>
      </c>
      <c r="B9" s="15" t="n">
        <v>2270032.59</v>
      </c>
      <c r="C9" s="15" t="n">
        <v>1272601.66</v>
      </c>
      <c r="D9" s="15" t="n">
        <v>495284.38</v>
      </c>
      <c r="E9" s="15" t="n">
        <v>211621.25</v>
      </c>
      <c r="F9" s="15" t="n">
        <v>192023.12</v>
      </c>
      <c r="G9" s="15" t="n">
        <v>98502.17999999999</v>
      </c>
      <c r="H9" s="15" t="n">
        <v>4020561.53</v>
      </c>
    </row>
    <row r="10">
      <c r="A10" s="4" t="inlineStr">
        <is>
          <t>天津汇通进出口有限公司</t>
        </is>
      </c>
      <c r="B10" s="15" t="n">
        <v>1847902.56</v>
      </c>
      <c r="C10" s="15" t="n">
        <v>1177761.59</v>
      </c>
      <c r="D10" s="15" t="n">
        <v>351993.42</v>
      </c>
      <c r="E10" s="15" t="n">
        <v>185494.24</v>
      </c>
      <c r="F10" s="15" t="n">
        <v>123725.33</v>
      </c>
      <c r="G10" s="15" t="n">
        <v>8927.98</v>
      </c>
      <c r="H10" s="15" t="n">
        <v>4109986.31</v>
      </c>
    </row>
    <row r="11">
      <c r="A11" s="4" t="inlineStr">
        <is>
          <t>长沙汇通商贸有限公司</t>
        </is>
      </c>
      <c r="B11" s="15" t="n">
        <v>2017622.47</v>
      </c>
      <c r="C11" s="15" t="n">
        <v>1051263.18</v>
      </c>
      <c r="D11" s="15" t="n">
        <v>435931.71</v>
      </c>
      <c r="E11" s="15" t="n">
        <v>321988.91</v>
      </c>
      <c r="F11" s="15" t="n">
        <v>76943.25999999999</v>
      </c>
      <c r="G11" s="15" t="n">
        <v>131495.41</v>
      </c>
      <c r="H11" s="15" t="n">
        <v>4158091.58</v>
      </c>
    </row>
    <row r="12">
      <c r="A12" s="4" t="inlineStr">
        <is>
          <t>南京优鲜实业有限公司</t>
        </is>
      </c>
      <c r="B12" s="15" t="n">
        <v>1990639.58</v>
      </c>
      <c r="C12" s="15" t="n">
        <v>1255693.33</v>
      </c>
      <c r="D12" s="15" t="n">
        <v>542970.53</v>
      </c>
      <c r="E12" s="15" t="n">
        <v>5871.99</v>
      </c>
      <c r="F12" s="15" t="n">
        <v>106478.74</v>
      </c>
      <c r="G12" s="15" t="n">
        <v>79624.99000000001</v>
      </c>
      <c r="H12" s="15" t="n">
        <v>2727947.02</v>
      </c>
    </row>
    <row r="13">
      <c r="A13" s="4" t="inlineStr">
        <is>
          <t>南京荣泰进出口有限公司</t>
        </is>
      </c>
      <c r="B13" s="15" t="n">
        <v>826621.97</v>
      </c>
      <c r="C13" s="15" t="n">
        <v>407289.58</v>
      </c>
      <c r="D13" s="15" t="n">
        <v>214315.34</v>
      </c>
      <c r="E13" s="15" t="n">
        <v>47230.11</v>
      </c>
      <c r="F13" s="15" t="n">
        <v>107887.59</v>
      </c>
      <c r="G13" s="15" t="n">
        <v>49899.35</v>
      </c>
      <c r="H13" s="15" t="n">
        <v>1680521.83</v>
      </c>
    </row>
    <row r="14">
      <c r="A14" s="4" t="inlineStr">
        <is>
          <t>青岛荣泰食品有限公司</t>
        </is>
      </c>
      <c r="B14" s="15" t="n">
        <v>2906062.92</v>
      </c>
      <c r="C14" s="15" t="n">
        <v>1323393.44</v>
      </c>
      <c r="D14" s="15" t="n">
        <v>767477.86</v>
      </c>
      <c r="E14" s="15" t="n">
        <v>409797.95</v>
      </c>
      <c r="F14" s="15" t="n">
        <v>259275.9</v>
      </c>
      <c r="G14" s="15" t="n">
        <v>146117.77</v>
      </c>
      <c r="H14" s="15" t="n">
        <v>7024358.62</v>
      </c>
    </row>
    <row r="15">
      <c r="A15" s="4" t="inlineStr">
        <is>
          <t>济南永利连锁超市</t>
        </is>
      </c>
      <c r="B15" s="15" t="n">
        <v>986862</v>
      </c>
      <c r="C15" s="15" t="n">
        <v>522388.01</v>
      </c>
      <c r="D15" s="15" t="n">
        <v>257860.59</v>
      </c>
      <c r="E15" s="15" t="n">
        <v>125084.09</v>
      </c>
      <c r="F15" s="15" t="n">
        <v>55360.29</v>
      </c>
      <c r="G15" s="15" t="n">
        <v>26169.02</v>
      </c>
      <c r="H15" s="15" t="n">
        <v>2448453.14</v>
      </c>
    </row>
    <row r="16">
      <c r="A16" s="4" t="inlineStr">
        <is>
          <t>成都永利进出口有限公司</t>
        </is>
      </c>
      <c r="B16" s="15" t="n">
        <v>1666080.54</v>
      </c>
      <c r="C16" s="15" t="n">
        <v>871808.28</v>
      </c>
      <c r="D16" s="15" t="n">
        <v>568082.16</v>
      </c>
      <c r="E16" s="15" t="n">
        <v>101336.26</v>
      </c>
      <c r="F16" s="15" t="n">
        <v>112735.24</v>
      </c>
      <c r="G16" s="15" t="n">
        <v>12118.6</v>
      </c>
      <c r="H16" s="15" t="n">
        <v>2987278.63</v>
      </c>
    </row>
    <row r="17">
      <c r="A17" s="4" t="inlineStr">
        <is>
          <t>福州大匠供应链有限公司</t>
        </is>
      </c>
      <c r="B17" s="15" t="n">
        <v>2264649.98</v>
      </c>
      <c r="C17" s="15" t="n">
        <v>1085900.1</v>
      </c>
      <c r="D17" s="15" t="n">
        <v>774194.49</v>
      </c>
      <c r="E17" s="15" t="n">
        <v>107732.96</v>
      </c>
      <c r="F17" s="15" t="n">
        <v>240913.25</v>
      </c>
      <c r="G17" s="15" t="n">
        <v>55909.18</v>
      </c>
      <c r="H17" s="15" t="n">
        <v>4323998.71</v>
      </c>
    </row>
    <row r="18">
      <c r="A18" s="4" t="inlineStr">
        <is>
          <t>重庆荣泰连锁超市</t>
        </is>
      </c>
      <c r="B18" s="15" t="n">
        <v>1218780.91</v>
      </c>
      <c r="C18" s="15" t="n">
        <v>821803.59</v>
      </c>
      <c r="D18" s="15" t="n">
        <v>293868.38</v>
      </c>
      <c r="E18" s="15" t="n">
        <v>14515.51</v>
      </c>
      <c r="F18" s="15" t="n">
        <v>42321.86</v>
      </c>
      <c r="G18" s="15" t="n">
        <v>46271.57</v>
      </c>
      <c r="H18" s="15" t="n">
        <v>1492635.46</v>
      </c>
    </row>
    <row r="19">
      <c r="A19" s="4" t="inlineStr">
        <is>
          <t>宁波汇通商贸有限公司</t>
        </is>
      </c>
      <c r="B19" s="15" t="n">
        <v>149560.25</v>
      </c>
      <c r="C19" s="15" t="n">
        <v>85365.85000000001</v>
      </c>
      <c r="D19" s="15" t="n">
        <v>34305.61</v>
      </c>
      <c r="E19" s="15" t="n">
        <v>19373.9</v>
      </c>
      <c r="F19" s="15" t="n">
        <v>6837.13</v>
      </c>
      <c r="G19" s="15" t="n">
        <v>3677.76</v>
      </c>
      <c r="H19" s="15" t="n">
        <v>286017.5</v>
      </c>
    </row>
    <row r="20">
      <c r="A20" s="4" t="inlineStr">
        <is>
          <t>南京百味实业有限公司</t>
        </is>
      </c>
      <c r="B20" s="15" t="n">
        <v>1924743.53</v>
      </c>
      <c r="C20" s="15" t="n">
        <v>1029092.23</v>
      </c>
      <c r="D20" s="15" t="n">
        <v>396516.87</v>
      </c>
      <c r="E20" s="15" t="n">
        <v>368490.48</v>
      </c>
      <c r="F20" s="15" t="n">
        <v>82851.78</v>
      </c>
      <c r="G20" s="15" t="n">
        <v>47792.17</v>
      </c>
      <c r="H20" s="15" t="n">
        <v>3096047.29</v>
      </c>
    </row>
    <row r="21">
      <c r="A21" s="4" t="inlineStr">
        <is>
          <t>上海鑫达餐饮集团</t>
        </is>
      </c>
      <c r="B21" s="15" t="n">
        <v>999980.25</v>
      </c>
      <c r="C21" s="15" t="n">
        <v>774560.5</v>
      </c>
      <c r="D21" s="15" t="n">
        <v>151346.53</v>
      </c>
      <c r="E21" s="15" t="n">
        <v>19815.4</v>
      </c>
      <c r="F21" s="15" t="n">
        <v>51759.15</v>
      </c>
      <c r="G21" s="15" t="n">
        <v>2498.67</v>
      </c>
      <c r="H21" s="15" t="n">
        <v>1352675.05</v>
      </c>
    </row>
    <row r="22">
      <c r="A22" s="4" t="inlineStr">
        <is>
          <t>福州荣泰餐饮集团</t>
        </is>
      </c>
      <c r="B22" s="15" t="n">
        <v>1363842.14</v>
      </c>
      <c r="C22" s="15" t="n">
        <v>534519.84</v>
      </c>
      <c r="D22" s="15" t="n">
        <v>466000.51</v>
      </c>
      <c r="E22" s="15" t="n">
        <v>74051.47</v>
      </c>
      <c r="F22" s="15" t="n">
        <v>229965.02</v>
      </c>
      <c r="G22" s="15" t="n">
        <v>59305.3</v>
      </c>
      <c r="H22" s="15" t="n">
        <v>1958622</v>
      </c>
    </row>
    <row r="23">
      <c r="A23" s="4" t="inlineStr">
        <is>
          <t>宁波大匠实业有限公司</t>
        </is>
      </c>
      <c r="B23" s="15" t="n">
        <v>1290092.22</v>
      </c>
      <c r="C23" s="15" t="n">
        <v>856971.47</v>
      </c>
      <c r="D23" s="15" t="n">
        <v>314630.75</v>
      </c>
      <c r="E23" s="15" t="n">
        <v>13349.28</v>
      </c>
      <c r="F23" s="15" t="n">
        <v>81488.8</v>
      </c>
      <c r="G23" s="15" t="n">
        <v>23651.92</v>
      </c>
      <c r="H23" s="15" t="n">
        <v>1824586.45</v>
      </c>
    </row>
    <row r="24">
      <c r="A24" s="4" t="inlineStr">
        <is>
          <t>长沙荣泰连锁超市</t>
        </is>
      </c>
      <c r="B24" s="15" t="n">
        <v>1299483.16</v>
      </c>
      <c r="C24" s="15" t="n">
        <v>927270.55</v>
      </c>
      <c r="D24" s="15" t="n">
        <v>167517.67</v>
      </c>
      <c r="E24" s="15" t="n">
        <v>181699.6</v>
      </c>
      <c r="F24" s="15" t="n">
        <v>15051.59</v>
      </c>
      <c r="G24" s="15" t="n">
        <v>7943.75</v>
      </c>
      <c r="H24" s="15" t="n">
        <v>1645313.27</v>
      </c>
    </row>
    <row r="25">
      <c r="A25" s="4" t="inlineStr">
        <is>
          <t>厦门鑫达连锁超市</t>
        </is>
      </c>
      <c r="B25" s="15" t="n">
        <v>2440281.68</v>
      </c>
      <c r="C25" s="15" t="n">
        <v>828585.8</v>
      </c>
      <c r="D25" s="15" t="n">
        <v>839460.15</v>
      </c>
      <c r="E25" s="15" t="n">
        <v>374000.41</v>
      </c>
      <c r="F25" s="15" t="n">
        <v>314885.85</v>
      </c>
      <c r="G25" s="15" t="n">
        <v>83349.47</v>
      </c>
      <c r="H25" s="15" t="n">
        <v>3586029.41</v>
      </c>
    </row>
    <row r="26">
      <c r="A26" s="4" t="inlineStr">
        <is>
          <t>重庆荣泰连锁超市</t>
        </is>
      </c>
      <c r="B26" s="15" t="n">
        <v>1063176.29</v>
      </c>
      <c r="C26" s="15" t="n">
        <v>565260.64</v>
      </c>
      <c r="D26" s="15" t="n">
        <v>254857.09</v>
      </c>
      <c r="E26" s="15" t="n">
        <v>115760.1</v>
      </c>
      <c r="F26" s="15" t="n">
        <v>85715.21000000001</v>
      </c>
      <c r="G26" s="15" t="n">
        <v>41583.25</v>
      </c>
      <c r="H26" s="15" t="n">
        <v>2503154.2</v>
      </c>
    </row>
    <row r="27">
      <c r="A27" s="4" t="inlineStr">
        <is>
          <t>天津鑫达实业有限公司</t>
        </is>
      </c>
      <c r="B27" s="15" t="n">
        <v>147577.17</v>
      </c>
      <c r="C27" s="15" t="n">
        <v>97066.28999999999</v>
      </c>
      <c r="D27" s="15" t="n">
        <v>26690.84</v>
      </c>
      <c r="E27" s="15" t="n">
        <v>8780.57</v>
      </c>
      <c r="F27" s="15" t="n">
        <v>12635.09</v>
      </c>
      <c r="G27" s="15" t="n">
        <v>2404.38</v>
      </c>
      <c r="H27" s="15" t="n">
        <v>230103.84</v>
      </c>
    </row>
    <row r="28">
      <c r="A28" s="4" t="inlineStr">
        <is>
          <t>天津鑫达食品有限公司</t>
        </is>
      </c>
      <c r="B28" s="15" t="n">
        <v>2537600.9</v>
      </c>
      <c r="C28" s="15" t="n">
        <v>1377688.45</v>
      </c>
      <c r="D28" s="15" t="n">
        <v>853032.6899999999</v>
      </c>
      <c r="E28" s="15" t="n">
        <v>217554.94</v>
      </c>
      <c r="F28" s="15" t="n">
        <v>40850.13</v>
      </c>
      <c r="G28" s="15" t="n">
        <v>48474.69</v>
      </c>
      <c r="H28" s="15" t="n">
        <v>3732031.9</v>
      </c>
    </row>
    <row r="29">
      <c r="A29" s="4" t="inlineStr">
        <is>
          <t>合肥汇通实业有限公司</t>
        </is>
      </c>
      <c r="B29" s="15" t="n">
        <v>2251386.36</v>
      </c>
      <c r="C29" s="15" t="n">
        <v>1444871.34</v>
      </c>
      <c r="D29" s="15" t="n">
        <v>227922.62</v>
      </c>
      <c r="E29" s="15" t="n">
        <v>247908.93</v>
      </c>
      <c r="F29" s="15" t="n">
        <v>249149.2</v>
      </c>
      <c r="G29" s="15" t="n">
        <v>81534.27</v>
      </c>
      <c r="H29" s="15" t="n">
        <v>4918666.05</v>
      </c>
    </row>
    <row r="30">
      <c r="A30" s="4" t="inlineStr">
        <is>
          <t>成都荣泰实业有限公司</t>
        </is>
      </c>
      <c r="B30" s="15" t="n">
        <v>49511.72</v>
      </c>
      <c r="C30" s="15" t="n">
        <v>28801.89</v>
      </c>
      <c r="D30" s="15" t="n">
        <v>13221.15</v>
      </c>
      <c r="E30" s="15" t="n">
        <v>496.44</v>
      </c>
      <c r="F30" s="15" t="n">
        <v>4644.99</v>
      </c>
      <c r="G30" s="15" t="n">
        <v>2347.25</v>
      </c>
      <c r="H30" s="15" t="n">
        <v>113095.95</v>
      </c>
    </row>
    <row r="31">
      <c r="A31" s="4" t="inlineStr">
        <is>
          <t>青岛汇通连锁超市</t>
        </is>
      </c>
      <c r="B31" s="15" t="n">
        <v>297610.54</v>
      </c>
      <c r="C31" s="15" t="n">
        <v>143160.66</v>
      </c>
      <c r="D31" s="15" t="n">
        <v>93611.94</v>
      </c>
      <c r="E31" s="15" t="n">
        <v>28027.79</v>
      </c>
      <c r="F31" s="15" t="n">
        <v>14470.56</v>
      </c>
      <c r="G31" s="15" t="n">
        <v>18339.59</v>
      </c>
      <c r="H31" s="15" t="n">
        <v>658501.8</v>
      </c>
    </row>
    <row r="32">
      <c r="A32" s="4" t="inlineStr">
        <is>
          <t>无锡永利食品有限公司</t>
        </is>
      </c>
      <c r="B32" s="15" t="n">
        <v>1799246.2</v>
      </c>
      <c r="C32" s="15" t="n">
        <v>948599.67</v>
      </c>
      <c r="D32" s="15" t="n">
        <v>520365.49</v>
      </c>
      <c r="E32" s="15" t="n">
        <v>36428.61</v>
      </c>
      <c r="F32" s="15" t="n">
        <v>215239.66</v>
      </c>
      <c r="G32" s="15" t="n">
        <v>78612.77</v>
      </c>
      <c r="H32" s="15" t="n">
        <v>3753290.64</v>
      </c>
    </row>
    <row r="33">
      <c r="A33" s="4" t="inlineStr">
        <is>
          <t>昆明永利连锁超市</t>
        </is>
      </c>
      <c r="B33" s="15" t="n">
        <v>123003.4</v>
      </c>
      <c r="C33" s="15" t="n">
        <v>71708.35000000001</v>
      </c>
      <c r="D33" s="15" t="n">
        <v>20433.85</v>
      </c>
      <c r="E33" s="15" t="n">
        <v>2846.28</v>
      </c>
      <c r="F33" s="15" t="n">
        <v>18289.53</v>
      </c>
      <c r="G33" s="15" t="n">
        <v>9725.389999999999</v>
      </c>
      <c r="H33" s="15" t="n">
        <v>164076.3</v>
      </c>
    </row>
    <row r="34">
      <c r="A34" s="4" t="inlineStr">
        <is>
          <t>苏州京功餐饮集团</t>
        </is>
      </c>
      <c r="B34" s="15" t="n">
        <v>2787175.21</v>
      </c>
      <c r="C34" s="15" t="n">
        <v>1415286.92</v>
      </c>
      <c r="D34" s="15" t="n">
        <v>647384.7</v>
      </c>
      <c r="E34" s="15" t="n">
        <v>280692.97</v>
      </c>
      <c r="F34" s="15" t="n">
        <v>333594.98</v>
      </c>
      <c r="G34" s="15" t="n">
        <v>110215.64</v>
      </c>
      <c r="H34" s="15" t="n">
        <v>4806597.23</v>
      </c>
    </row>
    <row r="35">
      <c r="A35" s="4" t="inlineStr">
        <is>
          <t>无锡京功餐饮集团</t>
        </is>
      </c>
      <c r="B35" s="15" t="n">
        <v>1615759.81</v>
      </c>
      <c r="C35" s="15" t="n">
        <v>897655.04</v>
      </c>
      <c r="D35" s="15" t="n">
        <v>409211.51</v>
      </c>
      <c r="E35" s="15" t="n">
        <v>42671.69</v>
      </c>
      <c r="F35" s="15" t="n">
        <v>184449.17</v>
      </c>
      <c r="G35" s="15" t="n">
        <v>81772.39999999999</v>
      </c>
      <c r="H35" s="15" t="n">
        <v>3436430.86</v>
      </c>
    </row>
    <row r="36">
      <c r="A36" s="4" t="inlineStr">
        <is>
          <t>厦门百味进出口有限公司</t>
        </is>
      </c>
      <c r="B36" s="15" t="n">
        <v>2843959.21</v>
      </c>
      <c r="C36" s="15" t="n">
        <v>1379674.06</v>
      </c>
      <c r="D36" s="15" t="n">
        <v>708394.58</v>
      </c>
      <c r="E36" s="15" t="n">
        <v>363274.04</v>
      </c>
      <c r="F36" s="15" t="n">
        <v>241975.94</v>
      </c>
      <c r="G36" s="15" t="n">
        <v>150640.59</v>
      </c>
      <c r="H36" s="15" t="n">
        <v>2917643.01</v>
      </c>
    </row>
    <row r="37">
      <c r="A37" s="4" t="inlineStr">
        <is>
          <t>济南百味餐饮集团</t>
        </is>
      </c>
      <c r="B37" s="15" t="n">
        <v>2756451.06</v>
      </c>
      <c r="C37" s="15" t="n">
        <v>1616879.7</v>
      </c>
      <c r="D37" s="15" t="n">
        <v>695556.09</v>
      </c>
      <c r="E37" s="15" t="n">
        <v>41591.66</v>
      </c>
      <c r="F37" s="15" t="n">
        <v>358709.92</v>
      </c>
      <c r="G37" s="15" t="n">
        <v>43713.69</v>
      </c>
      <c r="H37" s="15" t="n">
        <v>6117035.23</v>
      </c>
    </row>
    <row r="38">
      <c r="A38" s="6" t="inlineStr">
        <is>
          <t>合计</t>
        </is>
      </c>
      <c r="B38" s="16" t="n">
        <v>50364847.76</v>
      </c>
      <c r="C38" s="16" t="n">
        <v>26776859.89</v>
      </c>
      <c r="D38" s="16" t="n">
        <v>12798278.48</v>
      </c>
      <c r="E38" s="16" t="n">
        <v>4717841.41</v>
      </c>
      <c r="F38" s="16" t="n">
        <v>4389993.52</v>
      </c>
      <c r="G38" s="16" t="n">
        <v>1681874.46</v>
      </c>
      <c r="H38" s="16" t="n">
        <v>90184840.5</v>
      </c>
    </row>
    <row r="39">
      <c r="A39" s="6" t="inlineStr">
        <is>
          <t>占比</t>
        </is>
      </c>
      <c r="B39" s="20" t="n">
        <v>1</v>
      </c>
      <c r="C39" s="20" t="n">
        <v>0.5317</v>
      </c>
      <c r="D39" s="20" t="n">
        <v>0.2541</v>
      </c>
      <c r="E39" s="20" t="n">
        <v>0.09370000000000001</v>
      </c>
      <c r="F39" s="20" t="n">
        <v>0.0872</v>
      </c>
      <c r="G39" s="20" t="n">
        <v>0.0334</v>
      </c>
    </row>
  </sheetData>
  <mergeCells count="5">
    <mergeCell ref="B3:B4"/>
    <mergeCell ref="A3:A4"/>
    <mergeCell ref="H3:H4"/>
    <mergeCell ref="A1:H1"/>
    <mergeCell ref="C3:G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苏州精密机械制造有限公司2025年12月库存台账</t>
        </is>
      </c>
    </row>
    <row r="2">
      <c r="A2" s="2" t="inlineStr">
        <is>
          <t>产品名称</t>
        </is>
      </c>
      <c r="B2" s="2" t="inlineStr">
        <is>
          <t>规格</t>
        </is>
      </c>
      <c r="C2" s="2" t="inlineStr">
        <is>
          <t>成品仓</t>
        </is>
      </c>
      <c r="G2" s="2" t="inlineStr">
        <is>
          <t>原材料仓</t>
        </is>
      </c>
      <c r="K2" s="2" t="inlineStr">
        <is>
          <t>半成品仓</t>
        </is>
      </c>
      <c r="O2" s="2" t="inlineStr">
        <is>
          <t>冷链仓</t>
        </is>
      </c>
      <c r="S2" s="2" t="inlineStr">
        <is>
          <t>合计</t>
        </is>
      </c>
    </row>
    <row r="3">
      <c r="A3" s="12" t="n"/>
      <c r="B3" s="12" t="n"/>
      <c r="C3" s="2" t="inlineStr">
        <is>
          <t>期初</t>
        </is>
      </c>
      <c r="D3" s="2" t="inlineStr">
        <is>
          <t>入库</t>
        </is>
      </c>
      <c r="E3" s="2" t="inlineStr">
        <is>
          <t>出库</t>
        </is>
      </c>
      <c r="F3" s="2" t="inlineStr">
        <is>
          <t>期末</t>
        </is>
      </c>
      <c r="G3" s="2" t="inlineStr">
        <is>
          <t>期初</t>
        </is>
      </c>
      <c r="H3" s="2" t="inlineStr">
        <is>
          <t>入库</t>
        </is>
      </c>
      <c r="I3" s="2" t="inlineStr">
        <is>
          <t>出库</t>
        </is>
      </c>
      <c r="J3" s="2" t="inlineStr">
        <is>
          <t>期末</t>
        </is>
      </c>
      <c r="K3" s="2" t="inlineStr">
        <is>
          <t>期初</t>
        </is>
      </c>
      <c r="L3" s="2" t="inlineStr">
        <is>
          <t>入库</t>
        </is>
      </c>
      <c r="M3" s="2" t="inlineStr">
        <is>
          <t>出库</t>
        </is>
      </c>
      <c r="N3" s="2" t="inlineStr">
        <is>
          <t>期末</t>
        </is>
      </c>
      <c r="O3" s="2" t="inlineStr">
        <is>
          <t>期初</t>
        </is>
      </c>
      <c r="P3" s="2" t="inlineStr">
        <is>
          <t>入库</t>
        </is>
      </c>
      <c r="Q3" s="2" t="inlineStr">
        <is>
          <t>出库</t>
        </is>
      </c>
      <c r="R3" s="2" t="inlineStr">
        <is>
          <t>期末</t>
        </is>
      </c>
      <c r="S3" s="2" t="inlineStr">
        <is>
          <t>期初</t>
        </is>
      </c>
      <c r="T3" s="2" t="inlineStr">
        <is>
          <t>入库</t>
        </is>
      </c>
      <c r="U3" s="2" t="inlineStr">
        <is>
          <t>出库</t>
        </is>
      </c>
      <c r="V3" s="2" t="inlineStr">
        <is>
          <t>期末</t>
        </is>
      </c>
    </row>
    <row r="4">
      <c r="A4" s="4" t="inlineStr">
        <is>
          <t>数控机床</t>
        </is>
      </c>
      <c r="B4" s="4" t="inlineStr">
        <is>
          <t>500g/袋</t>
        </is>
      </c>
      <c r="C4" s="18" t="n">
        <v>1645</v>
      </c>
      <c r="D4" s="18" t="n">
        <v>2389</v>
      </c>
      <c r="E4" s="18" t="n">
        <v>2441</v>
      </c>
      <c r="F4" s="18" t="n">
        <v>1593</v>
      </c>
      <c r="G4" s="18" t="n">
        <v>2941</v>
      </c>
      <c r="H4" s="18" t="n">
        <v>1436</v>
      </c>
      <c r="I4" s="18" t="n">
        <v>1184</v>
      </c>
      <c r="J4" s="18" t="n">
        <v>3193</v>
      </c>
      <c r="K4" s="18" t="n">
        <v>394</v>
      </c>
      <c r="L4" s="18" t="n">
        <v>4708</v>
      </c>
      <c r="M4" s="18" t="n">
        <v>2252</v>
      </c>
      <c r="N4" s="18" t="n">
        <v>2850</v>
      </c>
      <c r="O4" s="18" t="n">
        <v>388</v>
      </c>
      <c r="P4" s="18" t="n">
        <v>5553</v>
      </c>
      <c r="Q4" s="18" t="n">
        <v>507</v>
      </c>
      <c r="R4" s="18" t="n">
        <v>5434</v>
      </c>
      <c r="S4" s="18" t="n">
        <v>5368</v>
      </c>
      <c r="T4" s="18" t="n">
        <v>14086</v>
      </c>
      <c r="U4" s="18" t="n">
        <v>6384</v>
      </c>
      <c r="V4" s="18" t="n">
        <v>13070</v>
      </c>
    </row>
    <row r="5">
      <c r="A5" s="4" t="inlineStr">
        <is>
          <t>精密轴承</t>
        </is>
      </c>
      <c r="B5" s="4" t="inlineStr">
        <is>
          <t>1kg/箱</t>
        </is>
      </c>
      <c r="C5" s="18" t="n">
        <v>3965</v>
      </c>
      <c r="D5" s="18" t="n">
        <v>7249</v>
      </c>
      <c r="E5" s="18" t="n">
        <v>5619</v>
      </c>
      <c r="F5" s="18" t="n">
        <v>5595</v>
      </c>
      <c r="G5" s="18" t="n">
        <v>648</v>
      </c>
      <c r="H5" s="18" t="n">
        <v>7764</v>
      </c>
      <c r="I5" s="18" t="n">
        <v>3939</v>
      </c>
      <c r="J5" s="18" t="n">
        <v>4473</v>
      </c>
      <c r="K5" s="18" t="n">
        <v>4113</v>
      </c>
      <c r="L5" s="18" t="n">
        <v>3075</v>
      </c>
      <c r="M5" s="18" t="n">
        <v>4357</v>
      </c>
      <c r="N5" s="18" t="n">
        <v>2831</v>
      </c>
      <c r="O5" s="18" t="n">
        <v>4602</v>
      </c>
      <c r="P5" s="18" t="n">
        <v>2957</v>
      </c>
      <c r="Q5" s="18" t="n">
        <v>3236</v>
      </c>
      <c r="R5" s="18" t="n">
        <v>4323</v>
      </c>
      <c r="S5" s="18" t="n">
        <v>13328</v>
      </c>
      <c r="T5" s="18" t="n">
        <v>21045</v>
      </c>
      <c r="U5" s="18" t="n">
        <v>17151</v>
      </c>
      <c r="V5" s="18" t="n">
        <v>17222</v>
      </c>
    </row>
    <row r="6">
      <c r="A6" s="4" t="inlineStr">
        <is>
          <t>液压件</t>
        </is>
      </c>
      <c r="B6" s="4" t="inlineStr">
        <is>
          <t>1kg/箱</t>
        </is>
      </c>
      <c r="C6" s="18" t="n">
        <v>3727</v>
      </c>
      <c r="D6" s="18" t="n">
        <v>2188</v>
      </c>
      <c r="E6" s="18" t="n">
        <v>4511</v>
      </c>
      <c r="F6" s="18" t="n">
        <v>1404</v>
      </c>
      <c r="G6" s="18" t="n">
        <v>106</v>
      </c>
      <c r="H6" s="18" t="n">
        <v>3283</v>
      </c>
      <c r="I6" s="18" t="n">
        <v>1716</v>
      </c>
      <c r="J6" s="18" t="n">
        <v>1673</v>
      </c>
      <c r="K6" s="18" t="n">
        <v>920</v>
      </c>
      <c r="L6" s="18" t="n">
        <v>659</v>
      </c>
      <c r="M6" s="18" t="n">
        <v>1494</v>
      </c>
      <c r="N6" s="18" t="n">
        <v>85</v>
      </c>
      <c r="O6" s="18" t="n">
        <v>1535</v>
      </c>
      <c r="P6" s="18" t="n">
        <v>7514</v>
      </c>
      <c r="Q6" s="18" t="n">
        <v>3475</v>
      </c>
      <c r="R6" s="18" t="n">
        <v>5574</v>
      </c>
      <c r="S6" s="18" t="n">
        <v>6288</v>
      </c>
      <c r="T6" s="18" t="n">
        <v>13644</v>
      </c>
      <c r="U6" s="18" t="n">
        <v>11196</v>
      </c>
      <c r="V6" s="18" t="n">
        <v>8736</v>
      </c>
    </row>
    <row r="7">
      <c r="A7" s="4" t="inlineStr">
        <is>
          <t>气动元件</t>
        </is>
      </c>
      <c r="B7" s="4" t="inlineStr">
        <is>
          <t>25kg/袋</t>
        </is>
      </c>
      <c r="C7" s="18" t="n">
        <v>1125</v>
      </c>
      <c r="D7" s="18" t="n">
        <v>6004</v>
      </c>
      <c r="E7" s="18" t="n">
        <v>348</v>
      </c>
      <c r="F7" s="18" t="n">
        <v>6781</v>
      </c>
      <c r="G7" s="18" t="n">
        <v>1930</v>
      </c>
      <c r="H7" s="18" t="n">
        <v>7610</v>
      </c>
      <c r="I7" s="18" t="n">
        <v>567</v>
      </c>
      <c r="J7" s="18" t="n">
        <v>8973</v>
      </c>
      <c r="K7" s="18" t="n">
        <v>3231</v>
      </c>
      <c r="L7" s="18" t="n">
        <v>4948</v>
      </c>
      <c r="M7" s="18" t="n">
        <v>6880</v>
      </c>
      <c r="N7" s="18" t="n">
        <v>1299</v>
      </c>
      <c r="O7" s="18" t="n">
        <v>3085</v>
      </c>
      <c r="P7" s="18" t="n">
        <v>7826</v>
      </c>
      <c r="Q7" s="18" t="n">
        <v>681</v>
      </c>
      <c r="R7" s="18" t="n">
        <v>10230</v>
      </c>
      <c r="S7" s="18" t="n">
        <v>9371</v>
      </c>
      <c r="T7" s="18" t="n">
        <v>26388</v>
      </c>
      <c r="U7" s="18" t="n">
        <v>8476</v>
      </c>
      <c r="V7" s="18" t="n">
        <v>27283</v>
      </c>
    </row>
    <row r="8">
      <c r="A8" s="4" t="inlineStr">
        <is>
          <t>模具</t>
        </is>
      </c>
      <c r="B8" s="4" t="inlineStr">
        <is>
          <t>5kg/箱</t>
        </is>
      </c>
      <c r="C8" s="18" t="n">
        <v>2655</v>
      </c>
      <c r="D8" s="18" t="n">
        <v>4117</v>
      </c>
      <c r="E8" s="18" t="n">
        <v>5599</v>
      </c>
      <c r="F8" s="18" t="n">
        <v>1173</v>
      </c>
      <c r="G8" s="18" t="n">
        <v>814</v>
      </c>
      <c r="H8" s="18" t="n">
        <v>1476</v>
      </c>
      <c r="I8" s="18" t="n">
        <v>531</v>
      </c>
      <c r="J8" s="18" t="n">
        <v>1759</v>
      </c>
      <c r="K8" s="18" t="n">
        <v>1015</v>
      </c>
      <c r="L8" s="18" t="n">
        <v>4641</v>
      </c>
      <c r="M8" s="18" t="n">
        <v>3615</v>
      </c>
      <c r="N8" s="18" t="n">
        <v>2041</v>
      </c>
      <c r="O8" s="18" t="n">
        <v>443</v>
      </c>
      <c r="P8" s="18" t="n">
        <v>6911</v>
      </c>
      <c r="Q8" s="18" t="n">
        <v>5349</v>
      </c>
      <c r="R8" s="18" t="n">
        <v>2005</v>
      </c>
      <c r="S8" s="18" t="n">
        <v>4927</v>
      </c>
      <c r="T8" s="18" t="n">
        <v>17145</v>
      </c>
      <c r="U8" s="18" t="n">
        <v>15094</v>
      </c>
      <c r="V8" s="18" t="n">
        <v>6978</v>
      </c>
    </row>
    <row r="9">
      <c r="A9" s="4" t="inlineStr">
        <is>
          <t>工装夹具</t>
        </is>
      </c>
      <c r="B9" s="4" t="inlineStr">
        <is>
          <t>500g/袋</t>
        </is>
      </c>
      <c r="C9" s="18" t="n">
        <v>4490</v>
      </c>
      <c r="D9" s="18" t="n">
        <v>770</v>
      </c>
      <c r="E9" s="18" t="n">
        <v>1074</v>
      </c>
      <c r="F9" s="18" t="n">
        <v>4186</v>
      </c>
      <c r="G9" s="18" t="n">
        <v>1129</v>
      </c>
      <c r="H9" s="18" t="n">
        <v>7173</v>
      </c>
      <c r="I9" s="18" t="n">
        <v>5553</v>
      </c>
      <c r="J9" s="18" t="n">
        <v>2749</v>
      </c>
      <c r="K9" s="18" t="n">
        <v>1934</v>
      </c>
      <c r="L9" s="18" t="n">
        <v>7266</v>
      </c>
      <c r="M9" s="18" t="n">
        <v>5646</v>
      </c>
      <c r="N9" s="18" t="n">
        <v>3554</v>
      </c>
      <c r="O9" s="18" t="n">
        <v>1865</v>
      </c>
      <c r="P9" s="18" t="n">
        <v>1702</v>
      </c>
      <c r="Q9" s="18" t="n">
        <v>322</v>
      </c>
      <c r="R9" s="18" t="n">
        <v>3245</v>
      </c>
      <c r="S9" s="18" t="n">
        <v>9418</v>
      </c>
      <c r="T9" s="18" t="n">
        <v>16911</v>
      </c>
      <c r="U9" s="18" t="n">
        <v>12595</v>
      </c>
      <c r="V9" s="18" t="n">
        <v>13734</v>
      </c>
    </row>
    <row r="10">
      <c r="A10" s="6" t="inlineStr">
        <is>
          <t>合计</t>
        </is>
      </c>
      <c r="C10" s="19" t="n">
        <v>17607</v>
      </c>
      <c r="D10" s="19" t="n">
        <v>22717</v>
      </c>
      <c r="E10" s="19" t="n">
        <v>19592</v>
      </c>
      <c r="F10" s="19" t="n">
        <v>20732</v>
      </c>
      <c r="G10" s="19" t="n">
        <v>7568</v>
      </c>
      <c r="H10" s="19" t="n">
        <v>28742</v>
      </c>
      <c r="I10" s="19" t="n">
        <v>13490</v>
      </c>
      <c r="J10" s="19" t="n">
        <v>22820</v>
      </c>
      <c r="K10" s="19" t="n">
        <v>11607</v>
      </c>
      <c r="L10" s="19" t="n">
        <v>25297</v>
      </c>
      <c r="M10" s="19" t="n">
        <v>24244</v>
      </c>
      <c r="N10" s="19" t="n">
        <v>12660</v>
      </c>
      <c r="O10" s="19" t="n">
        <v>11918</v>
      </c>
      <c r="P10" s="19" t="n">
        <v>32463</v>
      </c>
      <c r="Q10" s="19" t="n">
        <v>13570</v>
      </c>
      <c r="R10" s="19" t="n">
        <v>30811</v>
      </c>
      <c r="S10" s="19" t="n">
        <v>48700</v>
      </c>
      <c r="T10" s="19" t="n">
        <v>109219</v>
      </c>
      <c r="U10" s="19" t="n">
        <v>70896</v>
      </c>
      <c r="V10" s="19" t="n">
        <v>87023</v>
      </c>
    </row>
  </sheetData>
  <mergeCells count="8">
    <mergeCell ref="S2:V2"/>
    <mergeCell ref="G2:J2"/>
    <mergeCell ref="B2:B3"/>
    <mergeCell ref="A2:A3"/>
    <mergeCell ref="A1:R1"/>
    <mergeCell ref="K2:N2"/>
    <mergeCell ref="C2:F2"/>
    <mergeCell ref="O2:R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苏州精密机械制造有限公司2025年度经营KPI</t>
        </is>
      </c>
    </row>
    <row r="2">
      <c r="A2" s="2" t="inlineStr">
        <is>
          <t>指标</t>
        </is>
      </c>
      <c r="B2" s="2" t="inlineStr">
        <is>
          <t>年度目标</t>
        </is>
      </c>
      <c r="C2" s="2" t="inlineStr">
        <is>
          <t>年度实际</t>
        </is>
      </c>
      <c r="D2" s="2" t="inlineStr">
        <is>
          <t>达成率</t>
        </is>
      </c>
      <c r="E2" s="2" t="inlineStr">
        <is>
          <t>去年同期</t>
        </is>
      </c>
      <c r="F2" s="2" t="inlineStr">
        <is>
          <t>同比增长</t>
        </is>
      </c>
    </row>
    <row r="3">
      <c r="A3" s="6" t="inlineStr">
        <is>
          <t>营业收入(万元)</t>
        </is>
      </c>
      <c r="B3" s="3" t="n">
        <v>36481.5</v>
      </c>
      <c r="C3" s="3" t="n">
        <v>36376.4</v>
      </c>
      <c r="D3" s="21" t="n">
        <v>0.9971</v>
      </c>
      <c r="E3" s="3" t="n">
        <v>28607.2</v>
      </c>
      <c r="F3" s="21" t="n">
        <v>0.2716</v>
      </c>
    </row>
    <row r="4">
      <c r="A4" s="6" t="inlineStr">
        <is>
          <t>净利润(万元)</t>
        </is>
      </c>
      <c r="B4" s="3" t="n">
        <v>2400.9</v>
      </c>
      <c r="C4" s="3" t="n">
        <v>2000.8</v>
      </c>
      <c r="D4" s="21" t="n">
        <v>0.8333</v>
      </c>
      <c r="E4" s="3" t="n">
        <v>1600.6</v>
      </c>
      <c r="F4" s="21" t="n">
        <v>0.25</v>
      </c>
    </row>
    <row r="5">
      <c r="A5" s="6" t="inlineStr">
        <is>
          <t>毛利率</t>
        </is>
      </c>
      <c r="B5" s="21" t="n">
        <v>0.3</v>
      </c>
      <c r="C5" s="21" t="n">
        <v>0.3375</v>
      </c>
      <c r="D5" s="3" t="inlineStr">
        <is>
          <t>-</t>
        </is>
      </c>
      <c r="E5" s="21" t="n">
        <v>0.3008</v>
      </c>
      <c r="F5" s="3" t="inlineStr">
        <is>
          <t>-</t>
        </is>
      </c>
    </row>
    <row r="6">
      <c r="A6" s="6" t="inlineStr">
        <is>
          <t>净利率</t>
        </is>
      </c>
      <c r="B6" s="21" t="n">
        <v>0.05</v>
      </c>
      <c r="C6" s="21" t="n">
        <v>0.055</v>
      </c>
      <c r="D6" s="3" t="inlineStr">
        <is>
          <t>-</t>
        </is>
      </c>
      <c r="E6" s="21" t="n">
        <v>0.0548</v>
      </c>
      <c r="F6" s="3" t="inlineStr">
        <is>
          <t>-</t>
        </is>
      </c>
    </row>
    <row r="7">
      <c r="A7" s="6" t="inlineStr">
        <is>
          <t>客户数(家)</t>
        </is>
      </c>
      <c r="B7" s="3" t="n">
        <v>484</v>
      </c>
      <c r="C7" s="3" t="n">
        <v>484</v>
      </c>
      <c r="D7" s="3" t="inlineStr">
        <is>
          <t>-</t>
        </is>
      </c>
      <c r="E7" s="3" t="n">
        <v>234</v>
      </c>
      <c r="F7" s="3" t="inlineStr">
        <is>
          <t>-</t>
        </is>
      </c>
    </row>
    <row r="10">
      <c r="A10" s="2" t="inlineStr">
        <is>
          <t>产品销售排名</t>
        </is>
      </c>
      <c r="H10" s="2" t="inlineStr">
        <is>
          <t>区域经营对比</t>
        </is>
      </c>
    </row>
    <row r="11">
      <c r="A11" s="2" t="inlineStr">
        <is>
          <t>排名</t>
        </is>
      </c>
      <c r="B11" s="2" t="inlineStr">
        <is>
          <t>产品</t>
        </is>
      </c>
      <c r="C11" s="2" t="inlineStr">
        <is>
          <t>销售额(万元)</t>
        </is>
      </c>
      <c r="D11" s="2" t="inlineStr">
        <is>
          <t>占比</t>
        </is>
      </c>
      <c r="E11" s="2" t="inlineStr">
        <is>
          <t>同比</t>
        </is>
      </c>
      <c r="F11" s="2" t="inlineStr">
        <is>
          <t>毛利率</t>
        </is>
      </c>
      <c r="H11" s="2" t="inlineStr">
        <is>
          <t>区域</t>
        </is>
      </c>
      <c r="I11" s="2" t="inlineStr">
        <is>
          <t>收入(万元)</t>
        </is>
      </c>
      <c r="J11" s="2" t="inlineStr">
        <is>
          <t>净利(万元)</t>
        </is>
      </c>
      <c r="K11" s="2" t="inlineStr">
        <is>
          <t>净利率</t>
        </is>
      </c>
      <c r="L11" s="2" t="inlineStr">
        <is>
          <t>达成率</t>
        </is>
      </c>
    </row>
    <row r="12">
      <c r="A12" s="3" t="n">
        <v>1</v>
      </c>
      <c r="B12" s="4" t="inlineStr">
        <is>
          <t>模具</t>
        </is>
      </c>
      <c r="C12" s="7" t="n">
        <v>8366.6</v>
      </c>
      <c r="D12" s="21" t="n">
        <v>0.23</v>
      </c>
      <c r="E12" s="22" t="n">
        <v>-0.1232</v>
      </c>
      <c r="F12" s="21" t="n">
        <v>0.397</v>
      </c>
      <c r="H12" s="4" t="inlineStr">
        <is>
          <t>江苏区域</t>
        </is>
      </c>
      <c r="I12" s="7" t="n">
        <v>6859.7</v>
      </c>
      <c r="J12" s="7" t="n">
        <v>513.4</v>
      </c>
      <c r="K12" s="21" t="n">
        <v>0.07489999999999999</v>
      </c>
      <c r="L12" s="21" t="n">
        <v>1.0276</v>
      </c>
    </row>
    <row r="13">
      <c r="A13" s="3" t="n">
        <v>2</v>
      </c>
      <c r="B13" s="4" t="inlineStr">
        <is>
          <t>工装夹具</t>
        </is>
      </c>
      <c r="C13" s="7" t="n">
        <v>6433.5</v>
      </c>
      <c r="D13" s="21" t="n">
        <v>0.1769</v>
      </c>
      <c r="E13" s="22" t="n">
        <v>-0.0505</v>
      </c>
      <c r="F13" s="21" t="n">
        <v>0.3977</v>
      </c>
      <c r="H13" s="4" t="inlineStr">
        <is>
          <t>浙江区域</t>
        </is>
      </c>
      <c r="I13" s="7" t="n">
        <v>11582.4</v>
      </c>
      <c r="J13" s="7" t="n">
        <v>717.9</v>
      </c>
      <c r="K13" s="21" t="n">
        <v>0.062</v>
      </c>
      <c r="L13" s="21" t="n">
        <v>0.9868</v>
      </c>
    </row>
    <row r="14">
      <c r="A14" s="3" t="n">
        <v>3</v>
      </c>
      <c r="B14" s="4" t="inlineStr">
        <is>
          <t>液压件</t>
        </is>
      </c>
      <c r="C14" s="7" t="n">
        <v>6285.2</v>
      </c>
      <c r="D14" s="21" t="n">
        <v>0.1728</v>
      </c>
      <c r="E14" s="22" t="n">
        <v>0.2172</v>
      </c>
      <c r="F14" s="21" t="n">
        <v>0.2852</v>
      </c>
      <c r="H14" s="4" t="inlineStr">
        <is>
          <t>广东区域</t>
        </is>
      </c>
      <c r="I14" s="7" t="n">
        <v>3723.1</v>
      </c>
      <c r="J14" s="7" t="n">
        <v>259.8</v>
      </c>
      <c r="K14" s="21" t="n">
        <v>0.0698</v>
      </c>
      <c r="L14" s="21" t="n">
        <v>0.9949</v>
      </c>
    </row>
    <row r="15">
      <c r="A15" s="3" t="n">
        <v>4</v>
      </c>
      <c r="B15" s="4" t="inlineStr">
        <is>
          <t>气动元件</t>
        </is>
      </c>
      <c r="C15" s="7" t="n">
        <v>5661.8</v>
      </c>
      <c r="D15" s="21" t="n">
        <v>0.1556</v>
      </c>
      <c r="E15" s="22" t="n">
        <v>0.0437</v>
      </c>
      <c r="F15" s="21" t="n">
        <v>0.3645</v>
      </c>
      <c r="H15" s="4" t="inlineStr">
        <is>
          <t>华中区域</t>
        </is>
      </c>
      <c r="I15" s="7" t="n">
        <v>10873.4</v>
      </c>
      <c r="J15" s="7" t="n">
        <v>672.3</v>
      </c>
      <c r="K15" s="21" t="n">
        <v>0.0618</v>
      </c>
      <c r="L15" s="21" t="n">
        <v>0.9898</v>
      </c>
    </row>
    <row r="16">
      <c r="A16" s="3" t="n">
        <v>5</v>
      </c>
      <c r="B16" s="4" t="inlineStr">
        <is>
          <t>精密轴承</t>
        </is>
      </c>
      <c r="C16" s="7" t="n">
        <v>5168.8</v>
      </c>
      <c r="D16" s="21" t="n">
        <v>0.1421</v>
      </c>
      <c r="E16" s="22" t="n">
        <v>0.0772</v>
      </c>
      <c r="F16" s="21" t="n">
        <v>0.3513</v>
      </c>
      <c r="H16" s="4" t="inlineStr">
        <is>
          <t>湖北省区</t>
        </is>
      </c>
      <c r="I16" s="7" t="n">
        <v>1949.1</v>
      </c>
      <c r="J16" s="7" t="n">
        <v>114.7</v>
      </c>
      <c r="K16" s="21" t="n">
        <v>0.0589</v>
      </c>
      <c r="L16" s="21" t="n">
        <v>0.9923999999999999</v>
      </c>
    </row>
    <row r="17">
      <c r="A17" s="3" t="n">
        <v>6</v>
      </c>
      <c r="B17" s="4" t="inlineStr">
        <is>
          <t>数控机床</t>
        </is>
      </c>
      <c r="C17" s="7" t="n">
        <v>4460.5</v>
      </c>
      <c r="D17" s="21" t="n">
        <v>0.1226</v>
      </c>
      <c r="E17" s="22" t="n">
        <v>0.2308</v>
      </c>
      <c r="F17" s="21" t="n">
        <v>0.2264</v>
      </c>
      <c r="H17" s="4" t="inlineStr">
        <is>
          <t>湖南省区</t>
        </is>
      </c>
      <c r="I17" s="7" t="n">
        <v>1388.7</v>
      </c>
      <c r="J17" s="7" t="n">
        <v>71.3</v>
      </c>
      <c r="K17" s="21" t="n">
        <v>0.0513</v>
      </c>
      <c r="L17" s="21" t="n">
        <v>1.0084</v>
      </c>
    </row>
  </sheetData>
  <mergeCells count="3">
    <mergeCell ref="H10:L10"/>
    <mergeCell ref="A10:F10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1" t="inlineStr">
        <is>
          <t>苏州精密机械制造有限公司2025年费用预算执行表</t>
        </is>
      </c>
    </row>
    <row r="2">
      <c r="A2" s="2" t="inlineStr">
        <is>
          <t>部门</t>
        </is>
      </c>
      <c r="B2" s="2" t="inlineStr">
        <is>
          <t>费用类别</t>
        </is>
      </c>
      <c r="C2" s="2" t="inlineStr">
        <is>
          <t>1月</t>
        </is>
      </c>
      <c r="F2" s="2" t="inlineStr">
        <is>
          <t>2月</t>
        </is>
      </c>
      <c r="I2" s="2" t="inlineStr">
        <is>
          <t>3月</t>
        </is>
      </c>
      <c r="L2" s="2" t="inlineStr">
        <is>
          <t>4月</t>
        </is>
      </c>
      <c r="O2" s="2" t="inlineStr">
        <is>
          <t>5月</t>
        </is>
      </c>
      <c r="R2" s="2" t="inlineStr">
        <is>
          <t>6月</t>
        </is>
      </c>
      <c r="U2" s="2" t="inlineStr">
        <is>
          <t>7月</t>
        </is>
      </c>
      <c r="X2" s="2" t="inlineStr">
        <is>
          <t>8月</t>
        </is>
      </c>
      <c r="AA2" s="2" t="inlineStr">
        <is>
          <t>9月</t>
        </is>
      </c>
      <c r="AD2" s="2" t="inlineStr">
        <is>
          <t>10月</t>
        </is>
      </c>
      <c r="AG2" s="2" t="inlineStr">
        <is>
          <t>11月</t>
        </is>
      </c>
      <c r="AJ2" s="2" t="inlineStr">
        <is>
          <t>12月</t>
        </is>
      </c>
    </row>
    <row r="3">
      <c r="A3" s="12" t="n"/>
      <c r="B3" s="12" t="n"/>
      <c r="C3" s="2" t="inlineStr">
        <is>
          <t>预算</t>
        </is>
      </c>
      <c r="D3" s="2" t="inlineStr">
        <is>
          <t>实际</t>
        </is>
      </c>
      <c r="E3" s="2" t="inlineStr">
        <is>
          <t>差异</t>
        </is>
      </c>
      <c r="F3" s="2" t="inlineStr">
        <is>
          <t>预算</t>
        </is>
      </c>
      <c r="G3" s="2" t="inlineStr">
        <is>
          <t>实际</t>
        </is>
      </c>
      <c r="H3" s="2" t="inlineStr">
        <is>
          <t>差异</t>
        </is>
      </c>
      <c r="I3" s="2" t="inlineStr">
        <is>
          <t>预算</t>
        </is>
      </c>
      <c r="J3" s="2" t="inlineStr">
        <is>
          <t>实际</t>
        </is>
      </c>
      <c r="K3" s="2" t="inlineStr">
        <is>
          <t>差异</t>
        </is>
      </c>
      <c r="L3" s="2" t="inlineStr">
        <is>
          <t>预算</t>
        </is>
      </c>
      <c r="M3" s="2" t="inlineStr">
        <is>
          <t>实际</t>
        </is>
      </c>
      <c r="N3" s="2" t="inlineStr">
        <is>
          <t>差异</t>
        </is>
      </c>
      <c r="O3" s="2" t="inlineStr">
        <is>
          <t>预算</t>
        </is>
      </c>
      <c r="P3" s="2" t="inlineStr">
        <is>
          <t>实际</t>
        </is>
      </c>
      <c r="Q3" s="2" t="inlineStr">
        <is>
          <t>差异</t>
        </is>
      </c>
      <c r="R3" s="2" t="inlineStr">
        <is>
          <t>预算</t>
        </is>
      </c>
      <c r="S3" s="2" t="inlineStr">
        <is>
          <t>实际</t>
        </is>
      </c>
      <c r="T3" s="2" t="inlineStr">
        <is>
          <t>差异</t>
        </is>
      </c>
      <c r="U3" s="2" t="inlineStr">
        <is>
          <t>预算</t>
        </is>
      </c>
      <c r="V3" s="2" t="inlineStr">
        <is>
          <t>实际</t>
        </is>
      </c>
      <c r="W3" s="2" t="inlineStr">
        <is>
          <t>差异</t>
        </is>
      </c>
      <c r="X3" s="2" t="inlineStr">
        <is>
          <t>预算</t>
        </is>
      </c>
      <c r="Y3" s="2" t="inlineStr">
        <is>
          <t>实际</t>
        </is>
      </c>
      <c r="Z3" s="2" t="inlineStr">
        <is>
          <t>差异</t>
        </is>
      </c>
      <c r="AA3" s="2" t="inlineStr">
        <is>
          <t>预算</t>
        </is>
      </c>
      <c r="AB3" s="2" t="inlineStr">
        <is>
          <t>实际</t>
        </is>
      </c>
      <c r="AC3" s="2" t="inlineStr">
        <is>
          <t>差异</t>
        </is>
      </c>
      <c r="AD3" s="2" t="inlineStr">
        <is>
          <t>预算</t>
        </is>
      </c>
      <c r="AE3" s="2" t="inlineStr">
        <is>
          <t>实际</t>
        </is>
      </c>
      <c r="AF3" s="2" t="inlineStr">
        <is>
          <t>差异</t>
        </is>
      </c>
      <c r="AG3" s="2" t="inlineStr">
        <is>
          <t>预算</t>
        </is>
      </c>
      <c r="AH3" s="2" t="inlineStr">
        <is>
          <t>实际</t>
        </is>
      </c>
      <c r="AI3" s="2" t="inlineStr">
        <is>
          <t>差异</t>
        </is>
      </c>
      <c r="AJ3" s="2" t="inlineStr">
        <is>
          <t>预算</t>
        </is>
      </c>
      <c r="AK3" s="2" t="inlineStr">
        <is>
          <t>实际</t>
        </is>
      </c>
      <c r="AL3" s="2" t="inlineStr">
        <is>
          <t>差异</t>
        </is>
      </c>
    </row>
    <row r="4">
      <c r="A4" s="23" t="inlineStr">
        <is>
          <t>销售部</t>
        </is>
      </c>
      <c r="B4" s="4" t="inlineStr">
        <is>
          <t>人工费用</t>
        </is>
      </c>
      <c r="C4" s="18" t="n">
        <v>30214</v>
      </c>
      <c r="D4" s="18" t="n">
        <v>28164</v>
      </c>
      <c r="E4" s="18" t="n">
        <v>-2050</v>
      </c>
      <c r="F4" s="18" t="n">
        <v>23967</v>
      </c>
      <c r="G4" s="18" t="n">
        <v>27746</v>
      </c>
      <c r="H4" s="24" t="n">
        <v>3779</v>
      </c>
      <c r="I4" s="18" t="n">
        <v>35846</v>
      </c>
      <c r="J4" s="18" t="n">
        <v>26133</v>
      </c>
      <c r="K4" s="18" t="n">
        <v>-9713</v>
      </c>
      <c r="L4" s="18" t="n">
        <v>35579</v>
      </c>
      <c r="M4" s="18" t="n">
        <v>25564</v>
      </c>
      <c r="N4" s="18" t="n">
        <v>-10015</v>
      </c>
      <c r="O4" s="18" t="n">
        <v>34651</v>
      </c>
      <c r="P4" s="18" t="n">
        <v>25609</v>
      </c>
      <c r="Q4" s="18" t="n">
        <v>-9042</v>
      </c>
      <c r="R4" s="18" t="n">
        <v>42948</v>
      </c>
      <c r="S4" s="18" t="n">
        <v>51775</v>
      </c>
      <c r="T4" s="24" t="n">
        <v>8827</v>
      </c>
      <c r="U4" s="18" t="n">
        <v>47192</v>
      </c>
      <c r="V4" s="18" t="n">
        <v>33201</v>
      </c>
      <c r="W4" s="18" t="n">
        <v>-13991</v>
      </c>
      <c r="X4" s="18" t="n">
        <v>34347</v>
      </c>
      <c r="Y4" s="18" t="n">
        <v>40241</v>
      </c>
      <c r="Z4" s="24" t="n">
        <v>5894</v>
      </c>
      <c r="AA4" s="18" t="n">
        <v>35283</v>
      </c>
      <c r="AB4" s="18" t="n">
        <v>44628</v>
      </c>
      <c r="AC4" s="24" t="n">
        <v>9345</v>
      </c>
      <c r="AD4" s="18" t="n">
        <v>44055</v>
      </c>
      <c r="AE4" s="18" t="n">
        <v>51157</v>
      </c>
      <c r="AF4" s="24" t="n">
        <v>7102</v>
      </c>
      <c r="AG4" s="18" t="n">
        <v>35319</v>
      </c>
      <c r="AH4" s="18" t="n">
        <v>40556</v>
      </c>
      <c r="AI4" s="24" t="n">
        <v>5237</v>
      </c>
      <c r="AJ4" s="18" t="n">
        <v>51267</v>
      </c>
      <c r="AK4" s="18" t="n">
        <v>61720</v>
      </c>
      <c r="AL4" s="24" t="n">
        <v>10453</v>
      </c>
    </row>
    <row r="5">
      <c r="B5" s="4" t="inlineStr">
        <is>
          <t>差旅费</t>
        </is>
      </c>
      <c r="C5" s="18" t="n">
        <v>10653</v>
      </c>
      <c r="D5" s="18" t="n">
        <v>11941</v>
      </c>
      <c r="E5" s="24" t="n">
        <v>1288</v>
      </c>
      <c r="F5" s="18" t="n">
        <v>9001</v>
      </c>
      <c r="G5" s="18" t="n">
        <v>8999</v>
      </c>
      <c r="H5" s="18" t="n">
        <v>-2</v>
      </c>
      <c r="I5" s="18" t="n">
        <v>10259</v>
      </c>
      <c r="J5" s="18" t="n">
        <v>7416</v>
      </c>
      <c r="K5" s="18" t="n">
        <v>-2843</v>
      </c>
      <c r="L5" s="18" t="n">
        <v>13064</v>
      </c>
      <c r="M5" s="18" t="n">
        <v>15735</v>
      </c>
      <c r="N5" s="24" t="n">
        <v>2671</v>
      </c>
      <c r="O5" s="18" t="n">
        <v>11822</v>
      </c>
      <c r="P5" s="18" t="n">
        <v>12275</v>
      </c>
      <c r="Q5" s="24" t="n">
        <v>453</v>
      </c>
      <c r="R5" s="18" t="n">
        <v>12979</v>
      </c>
      <c r="S5" s="18" t="n">
        <v>13493</v>
      </c>
      <c r="T5" s="24" t="n">
        <v>514</v>
      </c>
      <c r="U5" s="18" t="n">
        <v>14422</v>
      </c>
      <c r="V5" s="18" t="n">
        <v>17193</v>
      </c>
      <c r="W5" s="24" t="n">
        <v>2771</v>
      </c>
      <c r="X5" s="18" t="n">
        <v>11174</v>
      </c>
      <c r="Y5" s="18" t="n">
        <v>12381</v>
      </c>
      <c r="Z5" s="24" t="n">
        <v>1207</v>
      </c>
      <c r="AA5" s="18" t="n">
        <v>11925</v>
      </c>
      <c r="AB5" s="18" t="n">
        <v>10726</v>
      </c>
      <c r="AC5" s="18" t="n">
        <v>-1199</v>
      </c>
      <c r="AD5" s="18" t="n">
        <v>14736</v>
      </c>
      <c r="AE5" s="18" t="n">
        <v>14749</v>
      </c>
      <c r="AF5" s="24" t="n">
        <v>13</v>
      </c>
      <c r="AG5" s="18" t="n">
        <v>12171</v>
      </c>
      <c r="AH5" s="18" t="n">
        <v>9481</v>
      </c>
      <c r="AI5" s="18" t="n">
        <v>-2690</v>
      </c>
      <c r="AJ5" s="18" t="n">
        <v>17531</v>
      </c>
      <c r="AK5" s="18" t="n">
        <v>15030</v>
      </c>
      <c r="AL5" s="18" t="n">
        <v>-2501</v>
      </c>
    </row>
    <row r="6">
      <c r="B6" s="4" t="inlineStr">
        <is>
          <t>业务招待费</t>
        </is>
      </c>
      <c r="C6" s="18" t="n">
        <v>7765</v>
      </c>
      <c r="D6" s="18" t="n">
        <v>8204</v>
      </c>
      <c r="E6" s="24" t="n">
        <v>439</v>
      </c>
      <c r="F6" s="18" t="n">
        <v>6547</v>
      </c>
      <c r="G6" s="18" t="n">
        <v>7011</v>
      </c>
      <c r="H6" s="24" t="n">
        <v>464</v>
      </c>
      <c r="I6" s="18" t="n">
        <v>8999</v>
      </c>
      <c r="J6" s="18" t="n">
        <v>10797</v>
      </c>
      <c r="K6" s="24" t="n">
        <v>1798</v>
      </c>
      <c r="L6" s="18" t="n">
        <v>10049</v>
      </c>
      <c r="M6" s="18" t="n">
        <v>7279</v>
      </c>
      <c r="N6" s="18" t="n">
        <v>-2770</v>
      </c>
      <c r="O6" s="18" t="n">
        <v>9428</v>
      </c>
      <c r="P6" s="18" t="n">
        <v>10041</v>
      </c>
      <c r="Q6" s="24" t="n">
        <v>613</v>
      </c>
      <c r="R6" s="18" t="n">
        <v>10406</v>
      </c>
      <c r="S6" s="18" t="n">
        <v>9189</v>
      </c>
      <c r="T6" s="18" t="n">
        <v>-1217</v>
      </c>
      <c r="U6" s="18" t="n">
        <v>12282</v>
      </c>
      <c r="V6" s="18" t="n">
        <v>13446</v>
      </c>
      <c r="W6" s="24" t="n">
        <v>1164</v>
      </c>
      <c r="X6" s="18" t="n">
        <v>9492</v>
      </c>
      <c r="Y6" s="18" t="n">
        <v>8689</v>
      </c>
      <c r="Z6" s="18" t="n">
        <v>-803</v>
      </c>
      <c r="AA6" s="18" t="n">
        <v>9683</v>
      </c>
      <c r="AB6" s="18" t="n">
        <v>12569</v>
      </c>
      <c r="AC6" s="24" t="n">
        <v>2886</v>
      </c>
      <c r="AD6" s="18" t="n">
        <v>10774</v>
      </c>
      <c r="AE6" s="18" t="n">
        <v>10328</v>
      </c>
      <c r="AF6" s="18" t="n">
        <v>-446</v>
      </c>
      <c r="AG6" s="18" t="n">
        <v>9543</v>
      </c>
      <c r="AH6" s="18" t="n">
        <v>7771</v>
      </c>
      <c r="AI6" s="18" t="n">
        <v>-1772</v>
      </c>
      <c r="AJ6" s="18" t="n">
        <v>13552</v>
      </c>
      <c r="AK6" s="18" t="n">
        <v>13826</v>
      </c>
      <c r="AL6" s="24" t="n">
        <v>274</v>
      </c>
    </row>
    <row r="7">
      <c r="B7" s="4" t="inlineStr">
        <is>
          <t>办公费</t>
        </is>
      </c>
      <c r="C7" s="18" t="n">
        <v>6544</v>
      </c>
      <c r="D7" s="18" t="n">
        <v>7536</v>
      </c>
      <c r="E7" s="24" t="n">
        <v>992</v>
      </c>
      <c r="F7" s="18" t="n">
        <v>5900</v>
      </c>
      <c r="G7" s="18" t="n">
        <v>7239</v>
      </c>
      <c r="H7" s="24" t="n">
        <v>1339</v>
      </c>
      <c r="I7" s="18" t="n">
        <v>7886</v>
      </c>
      <c r="J7" s="18" t="n">
        <v>6444</v>
      </c>
      <c r="K7" s="18" t="n">
        <v>-1442</v>
      </c>
      <c r="L7" s="18" t="n">
        <v>7589</v>
      </c>
      <c r="M7" s="18" t="n">
        <v>9584</v>
      </c>
      <c r="N7" s="24" t="n">
        <v>1995</v>
      </c>
      <c r="O7" s="18" t="n">
        <v>9028</v>
      </c>
      <c r="P7" s="18" t="n">
        <v>9003</v>
      </c>
      <c r="Q7" s="18" t="n">
        <v>-25</v>
      </c>
      <c r="R7" s="18" t="n">
        <v>9126</v>
      </c>
      <c r="S7" s="18" t="n">
        <v>9838</v>
      </c>
      <c r="T7" s="24" t="n">
        <v>712</v>
      </c>
      <c r="U7" s="18" t="n">
        <v>9161</v>
      </c>
      <c r="V7" s="18" t="n">
        <v>11850</v>
      </c>
      <c r="W7" s="24" t="n">
        <v>2689</v>
      </c>
      <c r="X7" s="18" t="n">
        <v>8541</v>
      </c>
      <c r="Y7" s="18" t="n">
        <v>7902</v>
      </c>
      <c r="Z7" s="18" t="n">
        <v>-639</v>
      </c>
      <c r="AA7" s="18" t="n">
        <v>7458</v>
      </c>
      <c r="AB7" s="18" t="n">
        <v>7827</v>
      </c>
      <c r="AC7" s="24" t="n">
        <v>369</v>
      </c>
      <c r="AD7" s="18" t="n">
        <v>8200</v>
      </c>
      <c r="AE7" s="18" t="n">
        <v>10493</v>
      </c>
      <c r="AF7" s="24" t="n">
        <v>2293</v>
      </c>
      <c r="AG7" s="18" t="n">
        <v>9019</v>
      </c>
      <c r="AH7" s="18" t="n">
        <v>8410</v>
      </c>
      <c r="AI7" s="18" t="n">
        <v>-609</v>
      </c>
      <c r="AJ7" s="18" t="n">
        <v>10966</v>
      </c>
      <c r="AK7" s="18" t="n">
        <v>10611</v>
      </c>
      <c r="AL7" s="18" t="n">
        <v>-355</v>
      </c>
    </row>
    <row r="8">
      <c r="B8" s="4" t="inlineStr">
        <is>
          <t>折旧费</t>
        </is>
      </c>
      <c r="C8" s="18" t="n">
        <v>5166</v>
      </c>
      <c r="D8" s="18" t="n">
        <v>3991</v>
      </c>
      <c r="E8" s="18" t="n">
        <v>-1175</v>
      </c>
      <c r="F8" s="18" t="n">
        <v>4522</v>
      </c>
      <c r="G8" s="18" t="n">
        <v>3537</v>
      </c>
      <c r="H8" s="18" t="n">
        <v>-985</v>
      </c>
      <c r="I8" s="18" t="n">
        <v>6205</v>
      </c>
      <c r="J8" s="18" t="n">
        <v>5829</v>
      </c>
      <c r="K8" s="18" t="n">
        <v>-376</v>
      </c>
      <c r="L8" s="18" t="n">
        <v>5955</v>
      </c>
      <c r="M8" s="18" t="n">
        <v>4846</v>
      </c>
      <c r="N8" s="18" t="n">
        <v>-1109</v>
      </c>
      <c r="O8" s="18" t="n">
        <v>6733</v>
      </c>
      <c r="P8" s="18" t="n">
        <v>5228</v>
      </c>
      <c r="Q8" s="18" t="n">
        <v>-1505</v>
      </c>
      <c r="R8" s="18" t="n">
        <v>7713</v>
      </c>
      <c r="S8" s="18" t="n">
        <v>7250</v>
      </c>
      <c r="T8" s="18" t="n">
        <v>-463</v>
      </c>
      <c r="U8" s="18" t="n">
        <v>8003</v>
      </c>
      <c r="V8" s="18" t="n">
        <v>10008</v>
      </c>
      <c r="W8" s="24" t="n">
        <v>2005</v>
      </c>
      <c r="X8" s="18" t="n">
        <v>7263</v>
      </c>
      <c r="Y8" s="18" t="n">
        <v>8026</v>
      </c>
      <c r="Z8" s="24" t="n">
        <v>763</v>
      </c>
      <c r="AA8" s="18" t="n">
        <v>5924</v>
      </c>
      <c r="AB8" s="18" t="n">
        <v>4310</v>
      </c>
      <c r="AC8" s="18" t="n">
        <v>-1614</v>
      </c>
      <c r="AD8" s="18" t="n">
        <v>7114</v>
      </c>
      <c r="AE8" s="18" t="n">
        <v>6595</v>
      </c>
      <c r="AF8" s="18" t="n">
        <v>-519</v>
      </c>
      <c r="AG8" s="18" t="n">
        <v>7053</v>
      </c>
      <c r="AH8" s="18" t="n">
        <v>8094</v>
      </c>
      <c r="AI8" s="24" t="n">
        <v>1041</v>
      </c>
      <c r="AJ8" s="18" t="n">
        <v>9139</v>
      </c>
      <c r="AK8" s="18" t="n">
        <v>8017</v>
      </c>
      <c r="AL8" s="18" t="n">
        <v>-1122</v>
      </c>
    </row>
    <row r="9">
      <c r="B9" s="6" t="inlineStr">
        <is>
          <t>小计</t>
        </is>
      </c>
      <c r="C9" s="19" t="n">
        <v>60342</v>
      </c>
      <c r="D9" s="19" t="n">
        <v>59836</v>
      </c>
      <c r="E9" s="19" t="n">
        <v>-506</v>
      </c>
      <c r="F9" s="19" t="n">
        <v>49937</v>
      </c>
      <c r="G9" s="19" t="n">
        <v>54532</v>
      </c>
      <c r="H9" s="19" t="n">
        <v>4595</v>
      </c>
      <c r="I9" s="19" t="n">
        <v>69195</v>
      </c>
      <c r="J9" s="19" t="n">
        <v>56619</v>
      </c>
      <c r="K9" s="19" t="n">
        <v>-12576</v>
      </c>
      <c r="L9" s="19" t="n">
        <v>72236</v>
      </c>
      <c r="M9" s="19" t="n">
        <v>63008</v>
      </c>
      <c r="N9" s="19" t="n">
        <v>-9228</v>
      </c>
      <c r="O9" s="19" t="n">
        <v>71662</v>
      </c>
      <c r="P9" s="19" t="n">
        <v>62156</v>
      </c>
      <c r="Q9" s="19" t="n">
        <v>-9506</v>
      </c>
      <c r="R9" s="19" t="n">
        <v>83172</v>
      </c>
      <c r="S9" s="19" t="n">
        <v>91545</v>
      </c>
      <c r="T9" s="19" t="n">
        <v>8373</v>
      </c>
      <c r="U9" s="19" t="n">
        <v>91060</v>
      </c>
      <c r="V9" s="19" t="n">
        <v>85698</v>
      </c>
      <c r="W9" s="19" t="n">
        <v>-5362</v>
      </c>
      <c r="X9" s="19" t="n">
        <v>70817</v>
      </c>
      <c r="Y9" s="19" t="n">
        <v>77239</v>
      </c>
      <c r="Z9" s="19" t="n">
        <v>6422</v>
      </c>
      <c r="AA9" s="19" t="n">
        <v>70273</v>
      </c>
      <c r="AB9" s="19" t="n">
        <v>80060</v>
      </c>
      <c r="AC9" s="19" t="n">
        <v>9787</v>
      </c>
      <c r="AD9" s="19" t="n">
        <v>84879</v>
      </c>
      <c r="AE9" s="19" t="n">
        <v>93322</v>
      </c>
      <c r="AF9" s="19" t="n">
        <v>8443</v>
      </c>
      <c r="AG9" s="19" t="n">
        <v>73105</v>
      </c>
      <c r="AH9" s="19" t="n">
        <v>74312</v>
      </c>
      <c r="AI9" s="19" t="n">
        <v>1207</v>
      </c>
      <c r="AJ9" s="19" t="n">
        <v>102455</v>
      </c>
      <c r="AK9" s="19" t="n">
        <v>109204</v>
      </c>
      <c r="AL9" s="19" t="n">
        <v>6749</v>
      </c>
    </row>
    <row r="10">
      <c r="A10" s="23" t="inlineStr">
        <is>
          <t>市场部</t>
        </is>
      </c>
      <c r="B10" s="4" t="inlineStr">
        <is>
          <t>人工费用</t>
        </is>
      </c>
      <c r="C10" s="18" t="n">
        <v>52186</v>
      </c>
      <c r="D10" s="18" t="n">
        <v>62264</v>
      </c>
      <c r="E10" s="24" t="n">
        <v>10078</v>
      </c>
      <c r="F10" s="18" t="n">
        <v>42282</v>
      </c>
      <c r="G10" s="18" t="n">
        <v>32950</v>
      </c>
      <c r="H10" s="18" t="n">
        <v>-9332</v>
      </c>
      <c r="I10" s="18" t="n">
        <v>49896</v>
      </c>
      <c r="J10" s="18" t="n">
        <v>63003</v>
      </c>
      <c r="K10" s="24" t="n">
        <v>13107</v>
      </c>
      <c r="L10" s="18" t="n">
        <v>58288</v>
      </c>
      <c r="M10" s="18" t="n">
        <v>50367</v>
      </c>
      <c r="N10" s="18" t="n">
        <v>-7921</v>
      </c>
      <c r="O10" s="18" t="n">
        <v>66008</v>
      </c>
      <c r="P10" s="18" t="n">
        <v>59679</v>
      </c>
      <c r="Q10" s="18" t="n">
        <v>-6329</v>
      </c>
      <c r="R10" s="18" t="n">
        <v>64373</v>
      </c>
      <c r="S10" s="18" t="n">
        <v>73750</v>
      </c>
      <c r="T10" s="24" t="n">
        <v>9377</v>
      </c>
      <c r="U10" s="18" t="n">
        <v>77326</v>
      </c>
      <c r="V10" s="18" t="n">
        <v>54160</v>
      </c>
      <c r="W10" s="18" t="n">
        <v>-23166</v>
      </c>
      <c r="X10" s="18" t="n">
        <v>58272</v>
      </c>
      <c r="Y10" s="18" t="n">
        <v>70052</v>
      </c>
      <c r="Z10" s="24" t="n">
        <v>11780</v>
      </c>
      <c r="AA10" s="18" t="n">
        <v>58066</v>
      </c>
      <c r="AB10" s="18" t="n">
        <v>51408</v>
      </c>
      <c r="AC10" s="18" t="n">
        <v>-6658</v>
      </c>
      <c r="AD10" s="18" t="n">
        <v>65023</v>
      </c>
      <c r="AE10" s="18" t="n">
        <v>47955</v>
      </c>
      <c r="AF10" s="18" t="n">
        <v>-17068</v>
      </c>
      <c r="AG10" s="18" t="n">
        <v>56565</v>
      </c>
      <c r="AH10" s="18" t="n">
        <v>51880</v>
      </c>
      <c r="AI10" s="18" t="n">
        <v>-4685</v>
      </c>
      <c r="AJ10" s="18" t="n">
        <v>84054</v>
      </c>
      <c r="AK10" s="18" t="n">
        <v>75959</v>
      </c>
      <c r="AL10" s="18" t="n">
        <v>-8095</v>
      </c>
    </row>
    <row r="11">
      <c r="B11" s="4" t="inlineStr">
        <is>
          <t>差旅费</t>
        </is>
      </c>
      <c r="C11" s="18" t="n">
        <v>14989</v>
      </c>
      <c r="D11" s="18" t="n">
        <v>16122</v>
      </c>
      <c r="E11" s="24" t="n">
        <v>1133</v>
      </c>
      <c r="F11" s="18" t="n">
        <v>15253</v>
      </c>
      <c r="G11" s="18" t="n">
        <v>18887</v>
      </c>
      <c r="H11" s="24" t="n">
        <v>3634</v>
      </c>
      <c r="I11" s="18" t="n">
        <v>17516</v>
      </c>
      <c r="J11" s="18" t="n">
        <v>20328</v>
      </c>
      <c r="K11" s="24" t="n">
        <v>2812</v>
      </c>
      <c r="L11" s="18" t="n">
        <v>18890</v>
      </c>
      <c r="M11" s="18" t="n">
        <v>14572</v>
      </c>
      <c r="N11" s="18" t="n">
        <v>-4318</v>
      </c>
      <c r="O11" s="18" t="n">
        <v>19227</v>
      </c>
      <c r="P11" s="18" t="n">
        <v>24055</v>
      </c>
      <c r="Q11" s="24" t="n">
        <v>4828</v>
      </c>
      <c r="R11" s="18" t="n">
        <v>20018</v>
      </c>
      <c r="S11" s="18" t="n">
        <v>21371</v>
      </c>
      <c r="T11" s="24" t="n">
        <v>1353</v>
      </c>
      <c r="U11" s="18" t="n">
        <v>25766</v>
      </c>
      <c r="V11" s="18" t="n">
        <v>21591</v>
      </c>
      <c r="W11" s="18" t="n">
        <v>-4175</v>
      </c>
      <c r="X11" s="18" t="n">
        <v>20805</v>
      </c>
      <c r="Y11" s="18" t="n">
        <v>17587</v>
      </c>
      <c r="Z11" s="18" t="n">
        <v>-3218</v>
      </c>
      <c r="AA11" s="18" t="n">
        <v>16778</v>
      </c>
      <c r="AB11" s="18" t="n">
        <v>18971</v>
      </c>
      <c r="AC11" s="24" t="n">
        <v>2193</v>
      </c>
      <c r="AD11" s="18" t="n">
        <v>20491</v>
      </c>
      <c r="AE11" s="18" t="n">
        <v>21776</v>
      </c>
      <c r="AF11" s="24" t="n">
        <v>1285</v>
      </c>
      <c r="AG11" s="18" t="n">
        <v>21689</v>
      </c>
      <c r="AH11" s="18" t="n">
        <v>27172</v>
      </c>
      <c r="AI11" s="24" t="n">
        <v>5483</v>
      </c>
      <c r="AJ11" s="18" t="n">
        <v>26601</v>
      </c>
      <c r="AK11" s="18" t="n">
        <v>33247</v>
      </c>
      <c r="AL11" s="24" t="n">
        <v>6646</v>
      </c>
    </row>
    <row r="12">
      <c r="B12" s="4" t="inlineStr">
        <is>
          <t>业务招待费</t>
        </is>
      </c>
      <c r="C12" s="18" t="n">
        <v>13896</v>
      </c>
      <c r="D12" s="18" t="n">
        <v>11613</v>
      </c>
      <c r="E12" s="18" t="n">
        <v>-2283</v>
      </c>
      <c r="F12" s="18" t="n">
        <v>10399</v>
      </c>
      <c r="G12" s="18" t="n">
        <v>12361</v>
      </c>
      <c r="H12" s="24" t="n">
        <v>1962</v>
      </c>
      <c r="I12" s="18" t="n">
        <v>15690</v>
      </c>
      <c r="J12" s="18" t="n">
        <v>17014</v>
      </c>
      <c r="K12" s="24" t="n">
        <v>1324</v>
      </c>
      <c r="L12" s="18" t="n">
        <v>14747</v>
      </c>
      <c r="M12" s="18" t="n">
        <v>17951</v>
      </c>
      <c r="N12" s="24" t="n">
        <v>3204</v>
      </c>
      <c r="O12" s="18" t="n">
        <v>17107</v>
      </c>
      <c r="P12" s="18" t="n">
        <v>17500</v>
      </c>
      <c r="Q12" s="24" t="n">
        <v>393</v>
      </c>
      <c r="R12" s="18" t="n">
        <v>18756</v>
      </c>
      <c r="S12" s="18" t="n">
        <v>18891</v>
      </c>
      <c r="T12" s="24" t="n">
        <v>135</v>
      </c>
      <c r="U12" s="18" t="n">
        <v>18431</v>
      </c>
      <c r="V12" s="18" t="n">
        <v>22931</v>
      </c>
      <c r="W12" s="24" t="n">
        <v>4500</v>
      </c>
      <c r="X12" s="18" t="n">
        <v>17270</v>
      </c>
      <c r="Y12" s="18" t="n">
        <v>19145</v>
      </c>
      <c r="Z12" s="24" t="n">
        <v>1875</v>
      </c>
      <c r="AA12" s="18" t="n">
        <v>14897</v>
      </c>
      <c r="AB12" s="18" t="n">
        <v>18257</v>
      </c>
      <c r="AC12" s="24" t="n">
        <v>3360</v>
      </c>
      <c r="AD12" s="18" t="n">
        <v>17663</v>
      </c>
      <c r="AE12" s="18" t="n">
        <v>20440</v>
      </c>
      <c r="AF12" s="24" t="n">
        <v>2777</v>
      </c>
      <c r="AG12" s="18" t="n">
        <v>14992</v>
      </c>
      <c r="AH12" s="18" t="n">
        <v>18355</v>
      </c>
      <c r="AI12" s="24" t="n">
        <v>3363</v>
      </c>
      <c r="AJ12" s="18" t="n">
        <v>19045</v>
      </c>
      <c r="AK12" s="18" t="n">
        <v>15029</v>
      </c>
      <c r="AL12" s="18" t="n">
        <v>-4016</v>
      </c>
    </row>
    <row r="13">
      <c r="B13" s="4" t="inlineStr">
        <is>
          <t>办公费</t>
        </is>
      </c>
      <c r="C13" s="18" t="n">
        <v>11664</v>
      </c>
      <c r="D13" s="18" t="n">
        <v>11154</v>
      </c>
      <c r="E13" s="18" t="n">
        <v>-510</v>
      </c>
      <c r="F13" s="18" t="n">
        <v>9459</v>
      </c>
      <c r="G13" s="18" t="n">
        <v>7916</v>
      </c>
      <c r="H13" s="18" t="n">
        <v>-1543</v>
      </c>
      <c r="I13" s="18" t="n">
        <v>11403</v>
      </c>
      <c r="J13" s="18" t="n">
        <v>12243</v>
      </c>
      <c r="K13" s="24" t="n">
        <v>840</v>
      </c>
      <c r="L13" s="18" t="n">
        <v>13607</v>
      </c>
      <c r="M13" s="18" t="n">
        <v>15088</v>
      </c>
      <c r="N13" s="24" t="n">
        <v>1481</v>
      </c>
      <c r="O13" s="18" t="n">
        <v>14090</v>
      </c>
      <c r="P13" s="18" t="n">
        <v>10546</v>
      </c>
      <c r="Q13" s="18" t="n">
        <v>-3544</v>
      </c>
      <c r="R13" s="18" t="n">
        <v>13618</v>
      </c>
      <c r="S13" s="18" t="n">
        <v>9659</v>
      </c>
      <c r="T13" s="18" t="n">
        <v>-3959</v>
      </c>
      <c r="U13" s="18" t="n">
        <v>14642</v>
      </c>
      <c r="V13" s="18" t="n">
        <v>16233</v>
      </c>
      <c r="W13" s="24" t="n">
        <v>1591</v>
      </c>
      <c r="X13" s="18" t="n">
        <v>13116</v>
      </c>
      <c r="Y13" s="18" t="n">
        <v>15961</v>
      </c>
      <c r="Z13" s="24" t="n">
        <v>2845</v>
      </c>
      <c r="AA13" s="18" t="n">
        <v>11272</v>
      </c>
      <c r="AB13" s="18" t="n">
        <v>10652</v>
      </c>
      <c r="AC13" s="18" t="n">
        <v>-620</v>
      </c>
      <c r="AD13" s="18" t="n">
        <v>16231</v>
      </c>
      <c r="AE13" s="18" t="n">
        <v>16419</v>
      </c>
      <c r="AF13" s="24" t="n">
        <v>188</v>
      </c>
      <c r="AG13" s="18" t="n">
        <v>13743</v>
      </c>
      <c r="AH13" s="18" t="n">
        <v>16262</v>
      </c>
      <c r="AI13" s="24" t="n">
        <v>2519</v>
      </c>
      <c r="AJ13" s="18" t="n">
        <v>18544</v>
      </c>
      <c r="AK13" s="18" t="n">
        <v>20539</v>
      </c>
      <c r="AL13" s="24" t="n">
        <v>1995</v>
      </c>
    </row>
    <row r="14">
      <c r="B14" s="4" t="inlineStr">
        <is>
          <t>折旧费</t>
        </is>
      </c>
      <c r="C14" s="18" t="n">
        <v>8357</v>
      </c>
      <c r="D14" s="18" t="n">
        <v>8224</v>
      </c>
      <c r="E14" s="18" t="n">
        <v>-133</v>
      </c>
      <c r="F14" s="18" t="n">
        <v>8231</v>
      </c>
      <c r="G14" s="18" t="n">
        <v>9596</v>
      </c>
      <c r="H14" s="24" t="n">
        <v>1365</v>
      </c>
      <c r="I14" s="18" t="n">
        <v>10387</v>
      </c>
      <c r="J14" s="18" t="n">
        <v>12673</v>
      </c>
      <c r="K14" s="24" t="n">
        <v>2286</v>
      </c>
      <c r="L14" s="18" t="n">
        <v>10566</v>
      </c>
      <c r="M14" s="18" t="n">
        <v>12260</v>
      </c>
      <c r="N14" s="24" t="n">
        <v>1694</v>
      </c>
      <c r="O14" s="18" t="n">
        <v>10315</v>
      </c>
      <c r="P14" s="18" t="n">
        <v>10455</v>
      </c>
      <c r="Q14" s="24" t="n">
        <v>140</v>
      </c>
      <c r="R14" s="18" t="n">
        <v>11897</v>
      </c>
      <c r="S14" s="18" t="n">
        <v>9723</v>
      </c>
      <c r="T14" s="18" t="n">
        <v>-2174</v>
      </c>
      <c r="U14" s="18" t="n">
        <v>13556</v>
      </c>
      <c r="V14" s="18" t="n">
        <v>13507</v>
      </c>
      <c r="W14" s="18" t="n">
        <v>-49</v>
      </c>
      <c r="X14" s="18" t="n">
        <v>11016</v>
      </c>
      <c r="Y14" s="18" t="n">
        <v>9790</v>
      </c>
      <c r="Z14" s="18" t="n">
        <v>-1226</v>
      </c>
      <c r="AA14" s="18" t="n">
        <v>9274</v>
      </c>
      <c r="AB14" s="18" t="n">
        <v>7525</v>
      </c>
      <c r="AC14" s="18" t="n">
        <v>-1749</v>
      </c>
      <c r="AD14" s="18" t="n">
        <v>12148</v>
      </c>
      <c r="AE14" s="18" t="n">
        <v>9980</v>
      </c>
      <c r="AF14" s="18" t="n">
        <v>-2168</v>
      </c>
      <c r="AG14" s="18" t="n">
        <v>9921</v>
      </c>
      <c r="AH14" s="18" t="n">
        <v>12296</v>
      </c>
      <c r="AI14" s="24" t="n">
        <v>2375</v>
      </c>
      <c r="AJ14" s="18" t="n">
        <v>15280</v>
      </c>
      <c r="AK14" s="18" t="n">
        <v>16926</v>
      </c>
      <c r="AL14" s="24" t="n">
        <v>1646</v>
      </c>
    </row>
    <row r="15">
      <c r="B15" s="6" t="inlineStr">
        <is>
          <t>小计</t>
        </is>
      </c>
      <c r="C15" s="19" t="n">
        <v>101092</v>
      </c>
      <c r="D15" s="19" t="n">
        <v>109377</v>
      </c>
      <c r="E15" s="19" t="n">
        <v>8285</v>
      </c>
      <c r="F15" s="19" t="n">
        <v>85624</v>
      </c>
      <c r="G15" s="19" t="n">
        <v>81710</v>
      </c>
      <c r="H15" s="19" t="n">
        <v>-3914</v>
      </c>
      <c r="I15" s="19" t="n">
        <v>104892</v>
      </c>
      <c r="J15" s="19" t="n">
        <v>125261</v>
      </c>
      <c r="K15" s="19" t="n">
        <v>20369</v>
      </c>
      <c r="L15" s="19" t="n">
        <v>116098</v>
      </c>
      <c r="M15" s="19" t="n">
        <v>110238</v>
      </c>
      <c r="N15" s="19" t="n">
        <v>-5860</v>
      </c>
      <c r="O15" s="19" t="n">
        <v>126747</v>
      </c>
      <c r="P15" s="19" t="n">
        <v>122235</v>
      </c>
      <c r="Q15" s="19" t="n">
        <v>-4512</v>
      </c>
      <c r="R15" s="19" t="n">
        <v>128662</v>
      </c>
      <c r="S15" s="19" t="n">
        <v>133394</v>
      </c>
      <c r="T15" s="19" t="n">
        <v>4732</v>
      </c>
      <c r="U15" s="19" t="n">
        <v>149721</v>
      </c>
      <c r="V15" s="19" t="n">
        <v>128422</v>
      </c>
      <c r="W15" s="19" t="n">
        <v>-21299</v>
      </c>
      <c r="X15" s="19" t="n">
        <v>120479</v>
      </c>
      <c r="Y15" s="19" t="n">
        <v>132535</v>
      </c>
      <c r="Z15" s="19" t="n">
        <v>12056</v>
      </c>
      <c r="AA15" s="19" t="n">
        <v>110287</v>
      </c>
      <c r="AB15" s="19" t="n">
        <v>106813</v>
      </c>
      <c r="AC15" s="19" t="n">
        <v>-3474</v>
      </c>
      <c r="AD15" s="19" t="n">
        <v>131556</v>
      </c>
      <c r="AE15" s="19" t="n">
        <v>116570</v>
      </c>
      <c r="AF15" s="19" t="n">
        <v>-14986</v>
      </c>
      <c r="AG15" s="19" t="n">
        <v>116910</v>
      </c>
      <c r="AH15" s="19" t="n">
        <v>125965</v>
      </c>
      <c r="AI15" s="19" t="n">
        <v>9055</v>
      </c>
      <c r="AJ15" s="19" t="n">
        <v>163524</v>
      </c>
      <c r="AK15" s="19" t="n">
        <v>161700</v>
      </c>
      <c r="AL15" s="19" t="n">
        <v>-1824</v>
      </c>
    </row>
    <row r="16">
      <c r="A16" s="23" t="inlineStr">
        <is>
          <t>研发部</t>
        </is>
      </c>
      <c r="B16" s="4" t="inlineStr">
        <is>
          <t>人工费用</t>
        </is>
      </c>
      <c r="C16" s="18" t="n">
        <v>130609</v>
      </c>
      <c r="D16" s="18" t="n">
        <v>117375</v>
      </c>
      <c r="E16" s="18" t="n">
        <v>-13234</v>
      </c>
      <c r="F16" s="18" t="n">
        <v>124038</v>
      </c>
      <c r="G16" s="18" t="n">
        <v>105564</v>
      </c>
      <c r="H16" s="18" t="n">
        <v>-18474</v>
      </c>
      <c r="I16" s="18" t="n">
        <v>141469</v>
      </c>
      <c r="J16" s="18" t="n">
        <v>146054</v>
      </c>
      <c r="K16" s="24" t="n">
        <v>4585</v>
      </c>
      <c r="L16" s="18" t="n">
        <v>162413</v>
      </c>
      <c r="M16" s="18" t="n">
        <v>163464</v>
      </c>
      <c r="N16" s="24" t="n">
        <v>1051</v>
      </c>
      <c r="O16" s="18" t="n">
        <v>160619</v>
      </c>
      <c r="P16" s="18" t="n">
        <v>113119</v>
      </c>
      <c r="Q16" s="18" t="n">
        <v>-47500</v>
      </c>
      <c r="R16" s="18" t="n">
        <v>169227</v>
      </c>
      <c r="S16" s="18" t="n">
        <v>158739</v>
      </c>
      <c r="T16" s="18" t="n">
        <v>-10488</v>
      </c>
      <c r="U16" s="18" t="n">
        <v>191324</v>
      </c>
      <c r="V16" s="18" t="n">
        <v>238973</v>
      </c>
      <c r="W16" s="24" t="n">
        <v>47649</v>
      </c>
      <c r="X16" s="18" t="n">
        <v>168271</v>
      </c>
      <c r="Y16" s="18" t="n">
        <v>171530</v>
      </c>
      <c r="Z16" s="24" t="n">
        <v>3259</v>
      </c>
      <c r="AA16" s="18" t="n">
        <v>146552</v>
      </c>
      <c r="AB16" s="18" t="n">
        <v>187868</v>
      </c>
      <c r="AC16" s="24" t="n">
        <v>41316</v>
      </c>
      <c r="AD16" s="18" t="n">
        <v>170550</v>
      </c>
      <c r="AE16" s="18" t="n">
        <v>191709</v>
      </c>
      <c r="AF16" s="24" t="n">
        <v>21159</v>
      </c>
      <c r="AG16" s="18" t="n">
        <v>172122</v>
      </c>
      <c r="AH16" s="18" t="n">
        <v>166622</v>
      </c>
      <c r="AI16" s="18" t="n">
        <v>-5500</v>
      </c>
      <c r="AJ16" s="18" t="n">
        <v>219356</v>
      </c>
      <c r="AK16" s="18" t="n">
        <v>170578</v>
      </c>
      <c r="AL16" s="18" t="n">
        <v>-48778</v>
      </c>
    </row>
    <row r="17">
      <c r="B17" s="4" t="inlineStr">
        <is>
          <t>差旅费</t>
        </is>
      </c>
      <c r="C17" s="18" t="n">
        <v>44159</v>
      </c>
      <c r="D17" s="18" t="n">
        <v>39215</v>
      </c>
      <c r="E17" s="18" t="n">
        <v>-4944</v>
      </c>
      <c r="F17" s="18" t="n">
        <v>34466</v>
      </c>
      <c r="G17" s="18" t="n">
        <v>41539</v>
      </c>
      <c r="H17" s="24" t="n">
        <v>7073</v>
      </c>
      <c r="I17" s="18" t="n">
        <v>45699</v>
      </c>
      <c r="J17" s="18" t="n">
        <v>56977</v>
      </c>
      <c r="K17" s="24" t="n">
        <v>11278</v>
      </c>
      <c r="L17" s="18" t="n">
        <v>54441</v>
      </c>
      <c r="M17" s="18" t="n">
        <v>57844</v>
      </c>
      <c r="N17" s="24" t="n">
        <v>3403</v>
      </c>
      <c r="O17" s="18" t="n">
        <v>49566</v>
      </c>
      <c r="P17" s="18" t="n">
        <v>57808</v>
      </c>
      <c r="Q17" s="24" t="n">
        <v>8242</v>
      </c>
      <c r="R17" s="18" t="n">
        <v>61708</v>
      </c>
      <c r="S17" s="18" t="n">
        <v>57862</v>
      </c>
      <c r="T17" s="18" t="n">
        <v>-3846</v>
      </c>
      <c r="U17" s="18" t="n">
        <v>59383</v>
      </c>
      <c r="V17" s="18" t="n">
        <v>64900</v>
      </c>
      <c r="W17" s="24" t="n">
        <v>5517</v>
      </c>
      <c r="X17" s="18" t="n">
        <v>53637</v>
      </c>
      <c r="Y17" s="18" t="n">
        <v>47057</v>
      </c>
      <c r="Z17" s="18" t="n">
        <v>-6580</v>
      </c>
      <c r="AA17" s="18" t="n">
        <v>52322</v>
      </c>
      <c r="AB17" s="18" t="n">
        <v>39206</v>
      </c>
      <c r="AC17" s="18" t="n">
        <v>-13116</v>
      </c>
      <c r="AD17" s="18" t="n">
        <v>62668</v>
      </c>
      <c r="AE17" s="18" t="n">
        <v>53769</v>
      </c>
      <c r="AF17" s="18" t="n">
        <v>-8899</v>
      </c>
      <c r="AG17" s="18" t="n">
        <v>48500</v>
      </c>
      <c r="AH17" s="18" t="n">
        <v>57784</v>
      </c>
      <c r="AI17" s="24" t="n">
        <v>9284</v>
      </c>
      <c r="AJ17" s="18" t="n">
        <v>63211</v>
      </c>
      <c r="AK17" s="18" t="n">
        <v>58951</v>
      </c>
      <c r="AL17" s="18" t="n">
        <v>-4260</v>
      </c>
    </row>
    <row r="18">
      <c r="B18" s="4" t="inlineStr">
        <is>
          <t>业务招待费</t>
        </is>
      </c>
      <c r="C18" s="18" t="n">
        <v>32926</v>
      </c>
      <c r="D18" s="18" t="n">
        <v>28701</v>
      </c>
      <c r="E18" s="18" t="n">
        <v>-4225</v>
      </c>
      <c r="F18" s="18" t="n">
        <v>27996</v>
      </c>
      <c r="G18" s="18" t="n">
        <v>32841</v>
      </c>
      <c r="H18" s="24" t="n">
        <v>4845</v>
      </c>
      <c r="I18" s="18" t="n">
        <v>39524</v>
      </c>
      <c r="J18" s="18" t="n">
        <v>49754</v>
      </c>
      <c r="K18" s="24" t="n">
        <v>10230</v>
      </c>
      <c r="L18" s="18" t="n">
        <v>41805</v>
      </c>
      <c r="M18" s="18" t="n">
        <v>40836</v>
      </c>
      <c r="N18" s="18" t="n">
        <v>-969</v>
      </c>
      <c r="O18" s="18" t="n">
        <v>41104</v>
      </c>
      <c r="P18" s="18" t="n">
        <v>33822</v>
      </c>
      <c r="Q18" s="18" t="n">
        <v>-7282</v>
      </c>
      <c r="R18" s="18" t="n">
        <v>43300</v>
      </c>
      <c r="S18" s="18" t="n">
        <v>50982</v>
      </c>
      <c r="T18" s="24" t="n">
        <v>7682</v>
      </c>
      <c r="U18" s="18" t="n">
        <v>55311</v>
      </c>
      <c r="V18" s="18" t="n">
        <v>41926</v>
      </c>
      <c r="W18" s="18" t="n">
        <v>-13385</v>
      </c>
      <c r="X18" s="18" t="n">
        <v>39823</v>
      </c>
      <c r="Y18" s="18" t="n">
        <v>48217</v>
      </c>
      <c r="Z18" s="24" t="n">
        <v>8394</v>
      </c>
      <c r="AA18" s="18" t="n">
        <v>36649</v>
      </c>
      <c r="AB18" s="18" t="n">
        <v>43657</v>
      </c>
      <c r="AC18" s="24" t="n">
        <v>7008</v>
      </c>
      <c r="AD18" s="18" t="n">
        <v>51052</v>
      </c>
      <c r="AE18" s="18" t="n">
        <v>59797</v>
      </c>
      <c r="AF18" s="24" t="n">
        <v>8745</v>
      </c>
      <c r="AG18" s="18" t="n">
        <v>46804</v>
      </c>
      <c r="AH18" s="18" t="n">
        <v>37386</v>
      </c>
      <c r="AI18" s="18" t="n">
        <v>-9418</v>
      </c>
      <c r="AJ18" s="18" t="n">
        <v>55238</v>
      </c>
      <c r="AK18" s="18" t="n">
        <v>59058</v>
      </c>
      <c r="AL18" s="24" t="n">
        <v>3820</v>
      </c>
    </row>
    <row r="19">
      <c r="B19" s="4" t="inlineStr">
        <is>
          <t>办公费</t>
        </is>
      </c>
      <c r="C19" s="18" t="n">
        <v>26009</v>
      </c>
      <c r="D19" s="18" t="n">
        <v>18599</v>
      </c>
      <c r="E19" s="18" t="n">
        <v>-7410</v>
      </c>
      <c r="F19" s="18" t="n">
        <v>22844</v>
      </c>
      <c r="G19" s="18" t="n">
        <v>18815</v>
      </c>
      <c r="H19" s="18" t="n">
        <v>-4029</v>
      </c>
      <c r="I19" s="18" t="n">
        <v>33167</v>
      </c>
      <c r="J19" s="18" t="n">
        <v>27720</v>
      </c>
      <c r="K19" s="18" t="n">
        <v>-5447</v>
      </c>
      <c r="L19" s="18" t="n">
        <v>34471</v>
      </c>
      <c r="M19" s="18" t="n">
        <v>36532</v>
      </c>
      <c r="N19" s="24" t="n">
        <v>2061</v>
      </c>
      <c r="O19" s="18" t="n">
        <v>34922</v>
      </c>
      <c r="P19" s="18" t="n">
        <v>39352</v>
      </c>
      <c r="Q19" s="24" t="n">
        <v>4430</v>
      </c>
      <c r="R19" s="18" t="n">
        <v>41073</v>
      </c>
      <c r="S19" s="18" t="n">
        <v>48804</v>
      </c>
      <c r="T19" s="24" t="n">
        <v>7731</v>
      </c>
      <c r="U19" s="18" t="n">
        <v>44944</v>
      </c>
      <c r="V19" s="18" t="n">
        <v>48366</v>
      </c>
      <c r="W19" s="24" t="n">
        <v>3422</v>
      </c>
      <c r="X19" s="18" t="n">
        <v>37574</v>
      </c>
      <c r="Y19" s="18" t="n">
        <v>38104</v>
      </c>
      <c r="Z19" s="24" t="n">
        <v>530</v>
      </c>
      <c r="AA19" s="18" t="n">
        <v>29672</v>
      </c>
      <c r="AB19" s="18" t="n">
        <v>37374</v>
      </c>
      <c r="AC19" s="24" t="n">
        <v>7702</v>
      </c>
      <c r="AD19" s="18" t="n">
        <v>39578</v>
      </c>
      <c r="AE19" s="18" t="n">
        <v>28980</v>
      </c>
      <c r="AF19" s="18" t="n">
        <v>-10598</v>
      </c>
      <c r="AG19" s="18" t="n">
        <v>37408</v>
      </c>
      <c r="AH19" s="18" t="n">
        <v>47068</v>
      </c>
      <c r="AI19" s="24" t="n">
        <v>9660</v>
      </c>
      <c r="AJ19" s="18" t="n">
        <v>50236</v>
      </c>
      <c r="AK19" s="18" t="n">
        <v>38650</v>
      </c>
      <c r="AL19" s="18" t="n">
        <v>-11586</v>
      </c>
    </row>
    <row r="20">
      <c r="B20" s="4" t="inlineStr">
        <is>
          <t>折旧费</t>
        </is>
      </c>
      <c r="C20" s="18" t="n">
        <v>23307</v>
      </c>
      <c r="D20" s="18" t="n">
        <v>18461</v>
      </c>
      <c r="E20" s="18" t="n">
        <v>-4846</v>
      </c>
      <c r="F20" s="18" t="n">
        <v>20532</v>
      </c>
      <c r="G20" s="18" t="n">
        <v>17050</v>
      </c>
      <c r="H20" s="18" t="n">
        <v>-3482</v>
      </c>
      <c r="I20" s="18" t="n">
        <v>25520</v>
      </c>
      <c r="J20" s="18" t="n">
        <v>31925</v>
      </c>
      <c r="K20" s="24" t="n">
        <v>6405</v>
      </c>
      <c r="L20" s="18" t="n">
        <v>28803</v>
      </c>
      <c r="M20" s="18" t="n">
        <v>28648</v>
      </c>
      <c r="N20" s="18" t="n">
        <v>-155</v>
      </c>
      <c r="O20" s="18" t="n">
        <v>27502</v>
      </c>
      <c r="P20" s="18" t="n">
        <v>33566</v>
      </c>
      <c r="Q20" s="24" t="n">
        <v>6064</v>
      </c>
      <c r="R20" s="18" t="n">
        <v>34448</v>
      </c>
      <c r="S20" s="18" t="n">
        <v>28468</v>
      </c>
      <c r="T20" s="18" t="n">
        <v>-5980</v>
      </c>
      <c r="U20" s="18" t="n">
        <v>31824</v>
      </c>
      <c r="V20" s="18" t="n">
        <v>25473</v>
      </c>
      <c r="W20" s="18" t="n">
        <v>-6351</v>
      </c>
      <c r="X20" s="18" t="n">
        <v>27161</v>
      </c>
      <c r="Y20" s="18" t="n">
        <v>28825</v>
      </c>
      <c r="Z20" s="24" t="n">
        <v>1664</v>
      </c>
      <c r="AA20" s="18" t="n">
        <v>24625</v>
      </c>
      <c r="AB20" s="18" t="n">
        <v>17843</v>
      </c>
      <c r="AC20" s="18" t="n">
        <v>-6782</v>
      </c>
      <c r="AD20" s="18" t="n">
        <v>33988</v>
      </c>
      <c r="AE20" s="18" t="n">
        <v>24073</v>
      </c>
      <c r="AF20" s="18" t="n">
        <v>-9915</v>
      </c>
      <c r="AG20" s="18" t="n">
        <v>28432</v>
      </c>
      <c r="AH20" s="18" t="n">
        <v>31601</v>
      </c>
      <c r="AI20" s="24" t="n">
        <v>3169</v>
      </c>
      <c r="AJ20" s="18" t="n">
        <v>40920</v>
      </c>
      <c r="AK20" s="18" t="n">
        <v>46612</v>
      </c>
      <c r="AL20" s="24" t="n">
        <v>5692</v>
      </c>
    </row>
    <row r="21">
      <c r="B21" s="6" t="inlineStr">
        <is>
          <t>小计</t>
        </is>
      </c>
      <c r="C21" s="19" t="n">
        <v>257010</v>
      </c>
      <c r="D21" s="19" t="n">
        <v>222351</v>
      </c>
      <c r="E21" s="19" t="n">
        <v>-34659</v>
      </c>
      <c r="F21" s="19" t="n">
        <v>229876</v>
      </c>
      <c r="G21" s="19" t="n">
        <v>215809</v>
      </c>
      <c r="H21" s="19" t="n">
        <v>-14067</v>
      </c>
      <c r="I21" s="19" t="n">
        <v>285379</v>
      </c>
      <c r="J21" s="19" t="n">
        <v>312430</v>
      </c>
      <c r="K21" s="19" t="n">
        <v>27051</v>
      </c>
      <c r="L21" s="19" t="n">
        <v>321933</v>
      </c>
      <c r="M21" s="19" t="n">
        <v>327324</v>
      </c>
      <c r="N21" s="19" t="n">
        <v>5391</v>
      </c>
      <c r="O21" s="19" t="n">
        <v>313713</v>
      </c>
      <c r="P21" s="19" t="n">
        <v>277667</v>
      </c>
      <c r="Q21" s="19" t="n">
        <v>-36046</v>
      </c>
      <c r="R21" s="19" t="n">
        <v>349756</v>
      </c>
      <c r="S21" s="19" t="n">
        <v>344855</v>
      </c>
      <c r="T21" s="19" t="n">
        <v>-4901</v>
      </c>
      <c r="U21" s="19" t="n">
        <v>382786</v>
      </c>
      <c r="V21" s="19" t="n">
        <v>419638</v>
      </c>
      <c r="W21" s="19" t="n">
        <v>36852</v>
      </c>
      <c r="X21" s="19" t="n">
        <v>326466</v>
      </c>
      <c r="Y21" s="19" t="n">
        <v>333733</v>
      </c>
      <c r="Z21" s="19" t="n">
        <v>7267</v>
      </c>
      <c r="AA21" s="19" t="n">
        <v>289820</v>
      </c>
      <c r="AB21" s="19" t="n">
        <v>325948</v>
      </c>
      <c r="AC21" s="19" t="n">
        <v>36128</v>
      </c>
      <c r="AD21" s="19" t="n">
        <v>357836</v>
      </c>
      <c r="AE21" s="19" t="n">
        <v>358328</v>
      </c>
      <c r="AF21" s="19" t="n">
        <v>492</v>
      </c>
      <c r="AG21" s="19" t="n">
        <v>333266</v>
      </c>
      <c r="AH21" s="19" t="n">
        <v>340461</v>
      </c>
      <c r="AI21" s="19" t="n">
        <v>7195</v>
      </c>
      <c r="AJ21" s="19" t="n">
        <v>428961</v>
      </c>
      <c r="AK21" s="19" t="n">
        <v>373849</v>
      </c>
      <c r="AL21" s="19" t="n">
        <v>-55112</v>
      </c>
    </row>
    <row r="22">
      <c r="A22" s="23" t="inlineStr">
        <is>
          <t>生产部</t>
        </is>
      </c>
      <c r="B22" s="4" t="inlineStr">
        <is>
          <t>人工费用</t>
        </is>
      </c>
      <c r="C22" s="18" t="n">
        <v>156584</v>
      </c>
      <c r="D22" s="18" t="n">
        <v>158967</v>
      </c>
      <c r="E22" s="24" t="n">
        <v>2383</v>
      </c>
      <c r="F22" s="18" t="n">
        <v>134964</v>
      </c>
      <c r="G22" s="18" t="n">
        <v>139464</v>
      </c>
      <c r="H22" s="24" t="n">
        <v>4500</v>
      </c>
      <c r="I22" s="18" t="n">
        <v>157544</v>
      </c>
      <c r="J22" s="18" t="n">
        <v>154859</v>
      </c>
      <c r="K22" s="18" t="n">
        <v>-2685</v>
      </c>
      <c r="L22" s="18" t="n">
        <v>195024</v>
      </c>
      <c r="M22" s="18" t="n">
        <v>166454</v>
      </c>
      <c r="N22" s="18" t="n">
        <v>-28570</v>
      </c>
      <c r="O22" s="18" t="n">
        <v>180486</v>
      </c>
      <c r="P22" s="18" t="n">
        <v>150292</v>
      </c>
      <c r="Q22" s="18" t="n">
        <v>-30194</v>
      </c>
      <c r="R22" s="18" t="n">
        <v>195570</v>
      </c>
      <c r="S22" s="18" t="n">
        <v>237770</v>
      </c>
      <c r="T22" s="24" t="n">
        <v>42200</v>
      </c>
      <c r="U22" s="18" t="n">
        <v>239423</v>
      </c>
      <c r="V22" s="18" t="n">
        <v>218342</v>
      </c>
      <c r="W22" s="18" t="n">
        <v>-21081</v>
      </c>
      <c r="X22" s="18" t="n">
        <v>164234</v>
      </c>
      <c r="Y22" s="18" t="n">
        <v>181204</v>
      </c>
      <c r="Z22" s="24" t="n">
        <v>16970</v>
      </c>
      <c r="AA22" s="18" t="n">
        <v>162117</v>
      </c>
      <c r="AB22" s="18" t="n">
        <v>207090</v>
      </c>
      <c r="AC22" s="24" t="n">
        <v>44973</v>
      </c>
      <c r="AD22" s="18" t="n">
        <v>185731</v>
      </c>
      <c r="AE22" s="18" t="n">
        <v>225270</v>
      </c>
      <c r="AF22" s="24" t="n">
        <v>39539</v>
      </c>
      <c r="AG22" s="18" t="n">
        <v>183782</v>
      </c>
      <c r="AH22" s="18" t="n">
        <v>145701</v>
      </c>
      <c r="AI22" s="18" t="n">
        <v>-38081</v>
      </c>
      <c r="AJ22" s="18" t="n">
        <v>253860</v>
      </c>
      <c r="AK22" s="18" t="n">
        <v>205269</v>
      </c>
      <c r="AL22" s="18" t="n">
        <v>-48591</v>
      </c>
    </row>
    <row r="23">
      <c r="B23" s="4" t="inlineStr">
        <is>
          <t>差旅费</t>
        </is>
      </c>
      <c r="C23" s="18" t="n">
        <v>50346</v>
      </c>
      <c r="D23" s="18" t="n">
        <v>51517</v>
      </c>
      <c r="E23" s="24" t="n">
        <v>1171</v>
      </c>
      <c r="F23" s="18" t="n">
        <v>39242</v>
      </c>
      <c r="G23" s="18" t="n">
        <v>46988</v>
      </c>
      <c r="H23" s="24" t="n">
        <v>7746</v>
      </c>
      <c r="I23" s="18" t="n">
        <v>51454</v>
      </c>
      <c r="J23" s="18" t="n">
        <v>62457</v>
      </c>
      <c r="K23" s="24" t="n">
        <v>11003</v>
      </c>
      <c r="L23" s="18" t="n">
        <v>59632</v>
      </c>
      <c r="M23" s="18" t="n">
        <v>76033</v>
      </c>
      <c r="N23" s="24" t="n">
        <v>16401</v>
      </c>
      <c r="O23" s="18" t="n">
        <v>56595</v>
      </c>
      <c r="P23" s="18" t="n">
        <v>58483</v>
      </c>
      <c r="Q23" s="24" t="n">
        <v>1888</v>
      </c>
      <c r="R23" s="18" t="n">
        <v>63543</v>
      </c>
      <c r="S23" s="18" t="n">
        <v>61269</v>
      </c>
      <c r="T23" s="18" t="n">
        <v>-2274</v>
      </c>
      <c r="U23" s="18" t="n">
        <v>71723</v>
      </c>
      <c r="V23" s="18" t="n">
        <v>80688</v>
      </c>
      <c r="W23" s="24" t="n">
        <v>8965</v>
      </c>
      <c r="X23" s="18" t="n">
        <v>57207</v>
      </c>
      <c r="Y23" s="18" t="n">
        <v>47115</v>
      </c>
      <c r="Z23" s="18" t="n">
        <v>-10092</v>
      </c>
      <c r="AA23" s="18" t="n">
        <v>58420</v>
      </c>
      <c r="AB23" s="18" t="n">
        <v>72662</v>
      </c>
      <c r="AC23" s="24" t="n">
        <v>14242</v>
      </c>
      <c r="AD23" s="18" t="n">
        <v>69686</v>
      </c>
      <c r="AE23" s="18" t="n">
        <v>63839</v>
      </c>
      <c r="AF23" s="18" t="n">
        <v>-5847</v>
      </c>
      <c r="AG23" s="18" t="n">
        <v>61705</v>
      </c>
      <c r="AH23" s="18" t="n">
        <v>74238</v>
      </c>
      <c r="AI23" s="24" t="n">
        <v>12533</v>
      </c>
      <c r="AJ23" s="18" t="n">
        <v>79959</v>
      </c>
      <c r="AK23" s="18" t="n">
        <v>87743</v>
      </c>
      <c r="AL23" s="24" t="n">
        <v>7784</v>
      </c>
    </row>
    <row r="24">
      <c r="B24" s="4" t="inlineStr">
        <is>
          <t>业务招待费</t>
        </is>
      </c>
      <c r="C24" s="18" t="n">
        <v>35224</v>
      </c>
      <c r="D24" s="18" t="n">
        <v>33159</v>
      </c>
      <c r="E24" s="18" t="n">
        <v>-2065</v>
      </c>
      <c r="F24" s="18" t="n">
        <v>35057</v>
      </c>
      <c r="G24" s="18" t="n">
        <v>32892</v>
      </c>
      <c r="H24" s="18" t="n">
        <v>-2165</v>
      </c>
      <c r="I24" s="18" t="n">
        <v>47059</v>
      </c>
      <c r="J24" s="18" t="n">
        <v>48275</v>
      </c>
      <c r="K24" s="24" t="n">
        <v>1216</v>
      </c>
      <c r="L24" s="18" t="n">
        <v>53268</v>
      </c>
      <c r="M24" s="18" t="n">
        <v>40308</v>
      </c>
      <c r="N24" s="18" t="n">
        <v>-12960</v>
      </c>
      <c r="O24" s="18" t="n">
        <v>45639</v>
      </c>
      <c r="P24" s="18" t="n">
        <v>49840</v>
      </c>
      <c r="Q24" s="24" t="n">
        <v>4201</v>
      </c>
      <c r="R24" s="18" t="n">
        <v>50867</v>
      </c>
      <c r="S24" s="18" t="n">
        <v>66081</v>
      </c>
      <c r="T24" s="24" t="n">
        <v>15214</v>
      </c>
      <c r="U24" s="18" t="n">
        <v>58478</v>
      </c>
      <c r="V24" s="18" t="n">
        <v>66443</v>
      </c>
      <c r="W24" s="24" t="n">
        <v>7965</v>
      </c>
      <c r="X24" s="18" t="n">
        <v>49287</v>
      </c>
      <c r="Y24" s="18" t="n">
        <v>64063</v>
      </c>
      <c r="Z24" s="24" t="n">
        <v>14776</v>
      </c>
      <c r="AA24" s="18" t="n">
        <v>40107</v>
      </c>
      <c r="AB24" s="18" t="n">
        <v>51335</v>
      </c>
      <c r="AC24" s="24" t="n">
        <v>11228</v>
      </c>
      <c r="AD24" s="18" t="n">
        <v>55065</v>
      </c>
      <c r="AE24" s="18" t="n">
        <v>70972</v>
      </c>
      <c r="AF24" s="24" t="n">
        <v>15907</v>
      </c>
      <c r="AG24" s="18" t="n">
        <v>51423</v>
      </c>
      <c r="AH24" s="18" t="n">
        <v>46841</v>
      </c>
      <c r="AI24" s="18" t="n">
        <v>-4582</v>
      </c>
      <c r="AJ24" s="18" t="n">
        <v>58720</v>
      </c>
      <c r="AK24" s="18" t="n">
        <v>50313</v>
      </c>
      <c r="AL24" s="18" t="n">
        <v>-8407</v>
      </c>
    </row>
    <row r="25">
      <c r="B25" s="4" t="inlineStr">
        <is>
          <t>办公费</t>
        </is>
      </c>
      <c r="C25" s="18" t="n">
        <v>29882</v>
      </c>
      <c r="D25" s="18" t="n">
        <v>36568</v>
      </c>
      <c r="E25" s="24" t="n">
        <v>6686</v>
      </c>
      <c r="F25" s="18" t="n">
        <v>29719</v>
      </c>
      <c r="G25" s="18" t="n">
        <v>29143</v>
      </c>
      <c r="H25" s="18" t="n">
        <v>-576</v>
      </c>
      <c r="I25" s="18" t="n">
        <v>37722</v>
      </c>
      <c r="J25" s="18" t="n">
        <v>37130</v>
      </c>
      <c r="K25" s="18" t="n">
        <v>-592</v>
      </c>
      <c r="L25" s="18" t="n">
        <v>42118</v>
      </c>
      <c r="M25" s="18" t="n">
        <v>37239</v>
      </c>
      <c r="N25" s="18" t="n">
        <v>-4879</v>
      </c>
      <c r="O25" s="18" t="n">
        <v>42140</v>
      </c>
      <c r="P25" s="18" t="n">
        <v>53214</v>
      </c>
      <c r="Q25" s="24" t="n">
        <v>11074</v>
      </c>
      <c r="R25" s="18" t="n">
        <v>47057</v>
      </c>
      <c r="S25" s="18" t="n">
        <v>40067</v>
      </c>
      <c r="T25" s="18" t="n">
        <v>-6990</v>
      </c>
      <c r="U25" s="18" t="n">
        <v>52891</v>
      </c>
      <c r="V25" s="18" t="n">
        <v>40034</v>
      </c>
      <c r="W25" s="18" t="n">
        <v>-12857</v>
      </c>
      <c r="X25" s="18" t="n">
        <v>41970</v>
      </c>
      <c r="Y25" s="18" t="n">
        <v>47677</v>
      </c>
      <c r="Z25" s="24" t="n">
        <v>5707</v>
      </c>
      <c r="AA25" s="18" t="n">
        <v>36973</v>
      </c>
      <c r="AB25" s="18" t="n">
        <v>46417</v>
      </c>
      <c r="AC25" s="24" t="n">
        <v>9444</v>
      </c>
      <c r="AD25" s="18" t="n">
        <v>46602</v>
      </c>
      <c r="AE25" s="18" t="n">
        <v>55557</v>
      </c>
      <c r="AF25" s="24" t="n">
        <v>8955</v>
      </c>
      <c r="AG25" s="18" t="n">
        <v>42918</v>
      </c>
      <c r="AH25" s="18" t="n">
        <v>48319</v>
      </c>
      <c r="AI25" s="24" t="n">
        <v>5401</v>
      </c>
      <c r="AJ25" s="18" t="n">
        <v>53336</v>
      </c>
      <c r="AK25" s="18" t="n">
        <v>45592</v>
      </c>
      <c r="AL25" s="18" t="n">
        <v>-7744</v>
      </c>
    </row>
    <row r="26">
      <c r="B26" s="4" t="inlineStr">
        <is>
          <t>折旧费</t>
        </is>
      </c>
      <c r="C26" s="18" t="n">
        <v>23672</v>
      </c>
      <c r="D26" s="18" t="n">
        <v>20075</v>
      </c>
      <c r="E26" s="18" t="n">
        <v>-3597</v>
      </c>
      <c r="F26" s="18" t="n">
        <v>22980</v>
      </c>
      <c r="G26" s="18" t="n">
        <v>18807</v>
      </c>
      <c r="H26" s="18" t="n">
        <v>-4173</v>
      </c>
      <c r="I26" s="18" t="n">
        <v>26813</v>
      </c>
      <c r="J26" s="18" t="n">
        <v>31045</v>
      </c>
      <c r="K26" s="24" t="n">
        <v>4232</v>
      </c>
      <c r="L26" s="18" t="n">
        <v>31770</v>
      </c>
      <c r="M26" s="18" t="n">
        <v>39578</v>
      </c>
      <c r="N26" s="24" t="n">
        <v>7808</v>
      </c>
      <c r="O26" s="18" t="n">
        <v>31665</v>
      </c>
      <c r="P26" s="18" t="n">
        <v>33113</v>
      </c>
      <c r="Q26" s="24" t="n">
        <v>1448</v>
      </c>
      <c r="R26" s="18" t="n">
        <v>33289</v>
      </c>
      <c r="S26" s="18" t="n">
        <v>31287</v>
      </c>
      <c r="T26" s="18" t="n">
        <v>-2002</v>
      </c>
      <c r="U26" s="18" t="n">
        <v>38260</v>
      </c>
      <c r="V26" s="18" t="n">
        <v>38085</v>
      </c>
      <c r="W26" s="18" t="n">
        <v>-175</v>
      </c>
      <c r="X26" s="18" t="n">
        <v>32274</v>
      </c>
      <c r="Y26" s="18" t="n">
        <v>33590</v>
      </c>
      <c r="Z26" s="24" t="n">
        <v>1316</v>
      </c>
      <c r="AA26" s="18" t="n">
        <v>28306</v>
      </c>
      <c r="AB26" s="18" t="n">
        <v>29308</v>
      </c>
      <c r="AC26" s="24" t="n">
        <v>1002</v>
      </c>
      <c r="AD26" s="18" t="n">
        <v>32540</v>
      </c>
      <c r="AE26" s="18" t="n">
        <v>39050</v>
      </c>
      <c r="AF26" s="24" t="n">
        <v>6510</v>
      </c>
      <c r="AG26" s="18" t="n">
        <v>31113</v>
      </c>
      <c r="AH26" s="18" t="n">
        <v>30843</v>
      </c>
      <c r="AI26" s="18" t="n">
        <v>-270</v>
      </c>
      <c r="AJ26" s="18" t="n">
        <v>46249</v>
      </c>
      <c r="AK26" s="18" t="n">
        <v>34399</v>
      </c>
      <c r="AL26" s="18" t="n">
        <v>-11850</v>
      </c>
    </row>
    <row r="27">
      <c r="B27" s="6" t="inlineStr">
        <is>
          <t>小计</t>
        </is>
      </c>
      <c r="C27" s="19" t="n">
        <v>295708</v>
      </c>
      <c r="D27" s="19" t="n">
        <v>300286</v>
      </c>
      <c r="E27" s="19" t="n">
        <v>4578</v>
      </c>
      <c r="F27" s="19" t="n">
        <v>261962</v>
      </c>
      <c r="G27" s="19" t="n">
        <v>267294</v>
      </c>
      <c r="H27" s="19" t="n">
        <v>5332</v>
      </c>
      <c r="I27" s="19" t="n">
        <v>320592</v>
      </c>
      <c r="J27" s="19" t="n">
        <v>333766</v>
      </c>
      <c r="K27" s="19" t="n">
        <v>13174</v>
      </c>
      <c r="L27" s="19" t="n">
        <v>381812</v>
      </c>
      <c r="M27" s="19" t="n">
        <v>359612</v>
      </c>
      <c r="N27" s="19" t="n">
        <v>-22200</v>
      </c>
      <c r="O27" s="19" t="n">
        <v>356525</v>
      </c>
      <c r="P27" s="19" t="n">
        <v>344942</v>
      </c>
      <c r="Q27" s="19" t="n">
        <v>-11583</v>
      </c>
      <c r="R27" s="19" t="n">
        <v>390326</v>
      </c>
      <c r="S27" s="19" t="n">
        <v>436474</v>
      </c>
      <c r="T27" s="19" t="n">
        <v>46148</v>
      </c>
      <c r="U27" s="19" t="n">
        <v>460775</v>
      </c>
      <c r="V27" s="19" t="n">
        <v>443592</v>
      </c>
      <c r="W27" s="19" t="n">
        <v>-17183</v>
      </c>
      <c r="X27" s="19" t="n">
        <v>344972</v>
      </c>
      <c r="Y27" s="19" t="n">
        <v>373649</v>
      </c>
      <c r="Z27" s="19" t="n">
        <v>28677</v>
      </c>
      <c r="AA27" s="19" t="n">
        <v>325923</v>
      </c>
      <c r="AB27" s="19" t="n">
        <v>406812</v>
      </c>
      <c r="AC27" s="19" t="n">
        <v>80889</v>
      </c>
      <c r="AD27" s="19" t="n">
        <v>389624</v>
      </c>
      <c r="AE27" s="19" t="n">
        <v>454688</v>
      </c>
      <c r="AF27" s="19" t="n">
        <v>65064</v>
      </c>
      <c r="AG27" s="19" t="n">
        <v>370941</v>
      </c>
      <c r="AH27" s="19" t="n">
        <v>345942</v>
      </c>
      <c r="AI27" s="19" t="n">
        <v>-24999</v>
      </c>
      <c r="AJ27" s="19" t="n">
        <v>492124</v>
      </c>
      <c r="AK27" s="19" t="n">
        <v>423316</v>
      </c>
      <c r="AL27" s="19" t="n">
        <v>-68808</v>
      </c>
    </row>
    <row r="28">
      <c r="A28" s="23" t="inlineStr">
        <is>
          <t>采购部</t>
        </is>
      </c>
      <c r="B28" s="4" t="inlineStr">
        <is>
          <t>人工费用</t>
        </is>
      </c>
      <c r="C28" s="18" t="n">
        <v>77762</v>
      </c>
      <c r="D28" s="18" t="n">
        <v>100898</v>
      </c>
      <c r="E28" s="24" t="n">
        <v>23136</v>
      </c>
      <c r="F28" s="18" t="n">
        <v>58355</v>
      </c>
      <c r="G28" s="18" t="n">
        <v>60026</v>
      </c>
      <c r="H28" s="24" t="n">
        <v>1671</v>
      </c>
      <c r="I28" s="18" t="n">
        <v>83667</v>
      </c>
      <c r="J28" s="18" t="n">
        <v>73516</v>
      </c>
      <c r="K28" s="18" t="n">
        <v>-10151</v>
      </c>
      <c r="L28" s="18" t="n">
        <v>90899</v>
      </c>
      <c r="M28" s="18" t="n">
        <v>90429</v>
      </c>
      <c r="N28" s="18" t="n">
        <v>-470</v>
      </c>
      <c r="O28" s="18" t="n">
        <v>85332</v>
      </c>
      <c r="P28" s="18" t="n">
        <v>69997</v>
      </c>
      <c r="Q28" s="18" t="n">
        <v>-15335</v>
      </c>
      <c r="R28" s="18" t="n">
        <v>103528</v>
      </c>
      <c r="S28" s="18" t="n">
        <v>114683</v>
      </c>
      <c r="T28" s="24" t="n">
        <v>11155</v>
      </c>
      <c r="U28" s="18" t="n">
        <v>110353</v>
      </c>
      <c r="V28" s="18" t="n">
        <v>104132</v>
      </c>
      <c r="W28" s="18" t="n">
        <v>-6221</v>
      </c>
      <c r="X28" s="18" t="n">
        <v>89626</v>
      </c>
      <c r="Y28" s="18" t="n">
        <v>64221</v>
      </c>
      <c r="Z28" s="18" t="n">
        <v>-25405</v>
      </c>
      <c r="AA28" s="18" t="n">
        <v>76196</v>
      </c>
      <c r="AB28" s="18" t="n">
        <v>57086</v>
      </c>
      <c r="AC28" s="18" t="n">
        <v>-19110</v>
      </c>
      <c r="AD28" s="18" t="n">
        <v>103585</v>
      </c>
      <c r="AE28" s="18" t="n">
        <v>93287</v>
      </c>
      <c r="AF28" s="18" t="n">
        <v>-10298</v>
      </c>
      <c r="AG28" s="18" t="n">
        <v>92619</v>
      </c>
      <c r="AH28" s="18" t="n">
        <v>64846</v>
      </c>
      <c r="AI28" s="18" t="n">
        <v>-27773</v>
      </c>
      <c r="AJ28" s="18" t="n">
        <v>114591</v>
      </c>
      <c r="AK28" s="18" t="n">
        <v>131737</v>
      </c>
      <c r="AL28" s="24" t="n">
        <v>17146</v>
      </c>
    </row>
    <row r="29">
      <c r="B29" s="4" t="inlineStr">
        <is>
          <t>差旅费</t>
        </is>
      </c>
      <c r="C29" s="18" t="n">
        <v>24143</v>
      </c>
      <c r="D29" s="18" t="n">
        <v>20538</v>
      </c>
      <c r="E29" s="18" t="n">
        <v>-3605</v>
      </c>
      <c r="F29" s="18" t="n">
        <v>22010</v>
      </c>
      <c r="G29" s="18" t="n">
        <v>25419</v>
      </c>
      <c r="H29" s="24" t="n">
        <v>3409</v>
      </c>
      <c r="I29" s="18" t="n">
        <v>26325</v>
      </c>
      <c r="J29" s="18" t="n">
        <v>27668</v>
      </c>
      <c r="K29" s="24" t="n">
        <v>1343</v>
      </c>
      <c r="L29" s="18" t="n">
        <v>27722</v>
      </c>
      <c r="M29" s="18" t="n">
        <v>19448</v>
      </c>
      <c r="N29" s="18" t="n">
        <v>-8274</v>
      </c>
      <c r="O29" s="18" t="n">
        <v>32104</v>
      </c>
      <c r="P29" s="18" t="n">
        <v>40787</v>
      </c>
      <c r="Q29" s="24" t="n">
        <v>8683</v>
      </c>
      <c r="R29" s="18" t="n">
        <v>31065</v>
      </c>
      <c r="S29" s="18" t="n">
        <v>39150</v>
      </c>
      <c r="T29" s="24" t="n">
        <v>8085</v>
      </c>
      <c r="U29" s="18" t="n">
        <v>38903</v>
      </c>
      <c r="V29" s="18" t="n">
        <v>48413</v>
      </c>
      <c r="W29" s="24" t="n">
        <v>9510</v>
      </c>
      <c r="X29" s="18" t="n">
        <v>29180</v>
      </c>
      <c r="Y29" s="18" t="n">
        <v>28484</v>
      </c>
      <c r="Z29" s="18" t="n">
        <v>-696</v>
      </c>
      <c r="AA29" s="18" t="n">
        <v>28227</v>
      </c>
      <c r="AB29" s="18" t="n">
        <v>25041</v>
      </c>
      <c r="AC29" s="18" t="n">
        <v>-3186</v>
      </c>
      <c r="AD29" s="18" t="n">
        <v>34657</v>
      </c>
      <c r="AE29" s="18" t="n">
        <v>40910</v>
      </c>
      <c r="AF29" s="24" t="n">
        <v>6253</v>
      </c>
      <c r="AG29" s="18" t="n">
        <v>31347</v>
      </c>
      <c r="AH29" s="18" t="n">
        <v>39918</v>
      </c>
      <c r="AI29" s="24" t="n">
        <v>8571</v>
      </c>
      <c r="AJ29" s="18" t="n">
        <v>38673</v>
      </c>
      <c r="AK29" s="18" t="n">
        <v>48088</v>
      </c>
      <c r="AL29" s="24" t="n">
        <v>9415</v>
      </c>
    </row>
    <row r="30">
      <c r="B30" s="4" t="inlineStr">
        <is>
          <t>业务招待费</t>
        </is>
      </c>
      <c r="C30" s="18" t="n">
        <v>18573</v>
      </c>
      <c r="D30" s="18" t="n">
        <v>20373</v>
      </c>
      <c r="E30" s="24" t="n">
        <v>1800</v>
      </c>
      <c r="F30" s="18" t="n">
        <v>15572</v>
      </c>
      <c r="G30" s="18" t="n">
        <v>15144</v>
      </c>
      <c r="H30" s="18" t="n">
        <v>-428</v>
      </c>
      <c r="I30" s="18" t="n">
        <v>24055</v>
      </c>
      <c r="J30" s="18" t="n">
        <v>22336</v>
      </c>
      <c r="K30" s="18" t="n">
        <v>-1719</v>
      </c>
      <c r="L30" s="18" t="n">
        <v>25389</v>
      </c>
      <c r="M30" s="18" t="n">
        <v>23669</v>
      </c>
      <c r="N30" s="18" t="n">
        <v>-1720</v>
      </c>
      <c r="O30" s="18" t="n">
        <v>23007</v>
      </c>
      <c r="P30" s="18" t="n">
        <v>16610</v>
      </c>
      <c r="Q30" s="18" t="n">
        <v>-6397</v>
      </c>
      <c r="R30" s="18" t="n">
        <v>27978</v>
      </c>
      <c r="S30" s="18" t="n">
        <v>21568</v>
      </c>
      <c r="T30" s="18" t="n">
        <v>-6410</v>
      </c>
      <c r="U30" s="18" t="n">
        <v>31261</v>
      </c>
      <c r="V30" s="18" t="n">
        <v>36169</v>
      </c>
      <c r="W30" s="24" t="n">
        <v>4908</v>
      </c>
      <c r="X30" s="18" t="n">
        <v>24366</v>
      </c>
      <c r="Y30" s="18" t="n">
        <v>23377</v>
      </c>
      <c r="Z30" s="18" t="n">
        <v>-989</v>
      </c>
      <c r="AA30" s="18" t="n">
        <v>20893</v>
      </c>
      <c r="AB30" s="18" t="n">
        <v>16799</v>
      </c>
      <c r="AC30" s="18" t="n">
        <v>-4094</v>
      </c>
      <c r="AD30" s="18" t="n">
        <v>26293</v>
      </c>
      <c r="AE30" s="18" t="n">
        <v>31001</v>
      </c>
      <c r="AF30" s="24" t="n">
        <v>4708</v>
      </c>
      <c r="AG30" s="18" t="n">
        <v>24904</v>
      </c>
      <c r="AH30" s="18" t="n">
        <v>23990</v>
      </c>
      <c r="AI30" s="18" t="n">
        <v>-914</v>
      </c>
      <c r="AJ30" s="18" t="n">
        <v>29760</v>
      </c>
      <c r="AK30" s="18" t="n">
        <v>25599</v>
      </c>
      <c r="AL30" s="18" t="n">
        <v>-4161</v>
      </c>
    </row>
    <row r="31">
      <c r="B31" s="4" t="inlineStr">
        <is>
          <t>办公费</t>
        </is>
      </c>
      <c r="C31" s="18" t="n">
        <v>15933</v>
      </c>
      <c r="D31" s="18" t="n">
        <v>20562</v>
      </c>
      <c r="E31" s="24" t="n">
        <v>4629</v>
      </c>
      <c r="F31" s="18" t="n">
        <v>13197</v>
      </c>
      <c r="G31" s="18" t="n">
        <v>15923</v>
      </c>
      <c r="H31" s="24" t="n">
        <v>2726</v>
      </c>
      <c r="I31" s="18" t="n">
        <v>18966</v>
      </c>
      <c r="J31" s="18" t="n">
        <v>17395</v>
      </c>
      <c r="K31" s="18" t="n">
        <v>-1571</v>
      </c>
      <c r="L31" s="18" t="n">
        <v>21222</v>
      </c>
      <c r="M31" s="18" t="n">
        <v>22725</v>
      </c>
      <c r="N31" s="24" t="n">
        <v>1503</v>
      </c>
      <c r="O31" s="18" t="n">
        <v>19072</v>
      </c>
      <c r="P31" s="18" t="n">
        <v>23380</v>
      </c>
      <c r="Q31" s="24" t="n">
        <v>4308</v>
      </c>
      <c r="R31" s="18" t="n">
        <v>22375</v>
      </c>
      <c r="S31" s="18" t="n">
        <v>17254</v>
      </c>
      <c r="T31" s="18" t="n">
        <v>-5121</v>
      </c>
      <c r="U31" s="18" t="n">
        <v>25463</v>
      </c>
      <c r="V31" s="18" t="n">
        <v>22534</v>
      </c>
      <c r="W31" s="18" t="n">
        <v>-2929</v>
      </c>
      <c r="X31" s="18" t="n">
        <v>20962</v>
      </c>
      <c r="Y31" s="18" t="n">
        <v>25157</v>
      </c>
      <c r="Z31" s="24" t="n">
        <v>4195</v>
      </c>
      <c r="AA31" s="18" t="n">
        <v>18306</v>
      </c>
      <c r="AB31" s="18" t="n">
        <v>18297</v>
      </c>
      <c r="AC31" s="18" t="n">
        <v>-9</v>
      </c>
      <c r="AD31" s="18" t="n">
        <v>23089</v>
      </c>
      <c r="AE31" s="18" t="n">
        <v>18696</v>
      </c>
      <c r="AF31" s="18" t="n">
        <v>-4393</v>
      </c>
      <c r="AG31" s="18" t="n">
        <v>21856</v>
      </c>
      <c r="AH31" s="18" t="n">
        <v>20724</v>
      </c>
      <c r="AI31" s="18" t="n">
        <v>-1132</v>
      </c>
      <c r="AJ31" s="18" t="n">
        <v>28308</v>
      </c>
      <c r="AK31" s="18" t="n">
        <v>29773</v>
      </c>
      <c r="AL31" s="24" t="n">
        <v>1465</v>
      </c>
    </row>
    <row r="32">
      <c r="B32" s="4" t="inlineStr">
        <is>
          <t>折旧费</t>
        </is>
      </c>
      <c r="C32" s="18" t="n">
        <v>13126</v>
      </c>
      <c r="D32" s="18" t="n">
        <v>12388</v>
      </c>
      <c r="E32" s="18" t="n">
        <v>-738</v>
      </c>
      <c r="F32" s="18" t="n">
        <v>11586</v>
      </c>
      <c r="G32" s="18" t="n">
        <v>11837</v>
      </c>
      <c r="H32" s="24" t="n">
        <v>251</v>
      </c>
      <c r="I32" s="18" t="n">
        <v>15159</v>
      </c>
      <c r="J32" s="18" t="n">
        <v>15616</v>
      </c>
      <c r="K32" s="24" t="n">
        <v>457</v>
      </c>
      <c r="L32" s="18" t="n">
        <v>17215</v>
      </c>
      <c r="M32" s="18" t="n">
        <v>12411</v>
      </c>
      <c r="N32" s="18" t="n">
        <v>-4804</v>
      </c>
      <c r="O32" s="18" t="n">
        <v>17221</v>
      </c>
      <c r="P32" s="18" t="n">
        <v>15599</v>
      </c>
      <c r="Q32" s="18" t="n">
        <v>-1622</v>
      </c>
      <c r="R32" s="18" t="n">
        <v>18398</v>
      </c>
      <c r="S32" s="18" t="n">
        <v>15092</v>
      </c>
      <c r="T32" s="18" t="n">
        <v>-3306</v>
      </c>
      <c r="U32" s="18" t="n">
        <v>19055</v>
      </c>
      <c r="V32" s="18" t="n">
        <v>17666</v>
      </c>
      <c r="W32" s="18" t="n">
        <v>-1389</v>
      </c>
      <c r="X32" s="18" t="n">
        <v>17915</v>
      </c>
      <c r="Y32" s="18" t="n">
        <v>21806</v>
      </c>
      <c r="Z32" s="24" t="n">
        <v>3891</v>
      </c>
      <c r="AA32" s="18" t="n">
        <v>15680</v>
      </c>
      <c r="AB32" s="18" t="n">
        <v>18790</v>
      </c>
      <c r="AC32" s="24" t="n">
        <v>3110</v>
      </c>
      <c r="AD32" s="18" t="n">
        <v>17275</v>
      </c>
      <c r="AE32" s="18" t="n">
        <v>14295</v>
      </c>
      <c r="AF32" s="18" t="n">
        <v>-2980</v>
      </c>
      <c r="AG32" s="18" t="n">
        <v>17026</v>
      </c>
      <c r="AH32" s="18" t="n">
        <v>13906</v>
      </c>
      <c r="AI32" s="18" t="n">
        <v>-3120</v>
      </c>
      <c r="AJ32" s="18" t="n">
        <v>22809</v>
      </c>
      <c r="AK32" s="18" t="n">
        <v>19713</v>
      </c>
      <c r="AL32" s="18" t="n">
        <v>-3096</v>
      </c>
    </row>
    <row r="33">
      <c r="B33" s="6" t="inlineStr">
        <is>
          <t>小计</t>
        </is>
      </c>
      <c r="C33" s="19" t="n">
        <v>149537</v>
      </c>
      <c r="D33" s="19" t="n">
        <v>174759</v>
      </c>
      <c r="E33" s="19" t="n">
        <v>25222</v>
      </c>
      <c r="F33" s="19" t="n">
        <v>120720</v>
      </c>
      <c r="G33" s="19" t="n">
        <v>128349</v>
      </c>
      <c r="H33" s="19" t="n">
        <v>7629</v>
      </c>
      <c r="I33" s="19" t="n">
        <v>168172</v>
      </c>
      <c r="J33" s="19" t="n">
        <v>156531</v>
      </c>
      <c r="K33" s="19" t="n">
        <v>-11641</v>
      </c>
      <c r="L33" s="19" t="n">
        <v>182447</v>
      </c>
      <c r="M33" s="19" t="n">
        <v>168682</v>
      </c>
      <c r="N33" s="19" t="n">
        <v>-13765</v>
      </c>
      <c r="O33" s="19" t="n">
        <v>176736</v>
      </c>
      <c r="P33" s="19" t="n">
        <v>166373</v>
      </c>
      <c r="Q33" s="19" t="n">
        <v>-10363</v>
      </c>
      <c r="R33" s="19" t="n">
        <v>203344</v>
      </c>
      <c r="S33" s="19" t="n">
        <v>207747</v>
      </c>
      <c r="T33" s="19" t="n">
        <v>4403</v>
      </c>
      <c r="U33" s="19" t="n">
        <v>225035</v>
      </c>
      <c r="V33" s="19" t="n">
        <v>228914</v>
      </c>
      <c r="W33" s="19" t="n">
        <v>3879</v>
      </c>
      <c r="X33" s="19" t="n">
        <v>182049</v>
      </c>
      <c r="Y33" s="19" t="n">
        <v>163045</v>
      </c>
      <c r="Z33" s="19" t="n">
        <v>-19004</v>
      </c>
      <c r="AA33" s="19" t="n">
        <v>159302</v>
      </c>
      <c r="AB33" s="19" t="n">
        <v>136013</v>
      </c>
      <c r="AC33" s="19" t="n">
        <v>-23289</v>
      </c>
      <c r="AD33" s="19" t="n">
        <v>204899</v>
      </c>
      <c r="AE33" s="19" t="n">
        <v>198189</v>
      </c>
      <c r="AF33" s="19" t="n">
        <v>-6710</v>
      </c>
      <c r="AG33" s="19" t="n">
        <v>187752</v>
      </c>
      <c r="AH33" s="19" t="n">
        <v>163384</v>
      </c>
      <c r="AI33" s="19" t="n">
        <v>-24368</v>
      </c>
      <c r="AJ33" s="19" t="n">
        <v>234141</v>
      </c>
      <c r="AK33" s="19" t="n">
        <v>254910</v>
      </c>
      <c r="AL33" s="19" t="n">
        <v>20769</v>
      </c>
    </row>
    <row r="34">
      <c r="A34" s="23" t="inlineStr">
        <is>
          <t>人力资源部</t>
        </is>
      </c>
      <c r="B34" s="4" t="inlineStr">
        <is>
          <t>人工费用</t>
        </is>
      </c>
      <c r="C34" s="18" t="n">
        <v>133165</v>
      </c>
      <c r="D34" s="18" t="n">
        <v>123791</v>
      </c>
      <c r="E34" s="18" t="n">
        <v>-9374</v>
      </c>
      <c r="F34" s="18" t="n">
        <v>119062</v>
      </c>
      <c r="G34" s="18" t="n">
        <v>111605</v>
      </c>
      <c r="H34" s="18" t="n">
        <v>-7457</v>
      </c>
      <c r="I34" s="18" t="n">
        <v>164351</v>
      </c>
      <c r="J34" s="18" t="n">
        <v>156886</v>
      </c>
      <c r="K34" s="18" t="n">
        <v>-7465</v>
      </c>
      <c r="L34" s="18" t="n">
        <v>193919</v>
      </c>
      <c r="M34" s="18" t="n">
        <v>237493</v>
      </c>
      <c r="N34" s="24" t="n">
        <v>43574</v>
      </c>
      <c r="O34" s="18" t="n">
        <v>186333</v>
      </c>
      <c r="P34" s="18" t="n">
        <v>220820</v>
      </c>
      <c r="Q34" s="24" t="n">
        <v>34487</v>
      </c>
      <c r="R34" s="18" t="n">
        <v>213173</v>
      </c>
      <c r="S34" s="18" t="n">
        <v>243275</v>
      </c>
      <c r="T34" s="24" t="n">
        <v>30102</v>
      </c>
      <c r="U34" s="18" t="n">
        <v>220252</v>
      </c>
      <c r="V34" s="18" t="n">
        <v>240844</v>
      </c>
      <c r="W34" s="24" t="n">
        <v>20592</v>
      </c>
      <c r="X34" s="18" t="n">
        <v>178752</v>
      </c>
      <c r="Y34" s="18" t="n">
        <v>191517</v>
      </c>
      <c r="Z34" s="24" t="n">
        <v>12765</v>
      </c>
      <c r="AA34" s="18" t="n">
        <v>175098</v>
      </c>
      <c r="AB34" s="18" t="n">
        <v>189072</v>
      </c>
      <c r="AC34" s="24" t="n">
        <v>13974</v>
      </c>
      <c r="AD34" s="18" t="n">
        <v>220171</v>
      </c>
      <c r="AE34" s="18" t="n">
        <v>252481</v>
      </c>
      <c r="AF34" s="24" t="n">
        <v>32310</v>
      </c>
      <c r="AG34" s="18" t="n">
        <v>177348</v>
      </c>
      <c r="AH34" s="18" t="n">
        <v>213735</v>
      </c>
      <c r="AI34" s="24" t="n">
        <v>36387</v>
      </c>
      <c r="AJ34" s="18" t="n">
        <v>252438</v>
      </c>
      <c r="AK34" s="18" t="n">
        <v>212848</v>
      </c>
      <c r="AL34" s="18" t="n">
        <v>-39590</v>
      </c>
    </row>
    <row r="35">
      <c r="B35" s="4" t="inlineStr">
        <is>
          <t>差旅费</t>
        </is>
      </c>
      <c r="C35" s="18" t="n">
        <v>52216</v>
      </c>
      <c r="D35" s="18" t="n">
        <v>64971</v>
      </c>
      <c r="E35" s="24" t="n">
        <v>12755</v>
      </c>
      <c r="F35" s="18" t="n">
        <v>45773</v>
      </c>
      <c r="G35" s="18" t="n">
        <v>49831</v>
      </c>
      <c r="H35" s="24" t="n">
        <v>4058</v>
      </c>
      <c r="I35" s="18" t="n">
        <v>57243</v>
      </c>
      <c r="J35" s="18" t="n">
        <v>44525</v>
      </c>
      <c r="K35" s="18" t="n">
        <v>-12718</v>
      </c>
      <c r="L35" s="18" t="n">
        <v>55149</v>
      </c>
      <c r="M35" s="18" t="n">
        <v>50667</v>
      </c>
      <c r="N35" s="18" t="n">
        <v>-4482</v>
      </c>
      <c r="O35" s="18" t="n">
        <v>60260</v>
      </c>
      <c r="P35" s="18" t="n">
        <v>48316</v>
      </c>
      <c r="Q35" s="18" t="n">
        <v>-11944</v>
      </c>
      <c r="R35" s="18" t="n">
        <v>69032</v>
      </c>
      <c r="S35" s="18" t="n">
        <v>71482</v>
      </c>
      <c r="T35" s="24" t="n">
        <v>2450</v>
      </c>
      <c r="U35" s="18" t="n">
        <v>69828</v>
      </c>
      <c r="V35" s="18" t="n">
        <v>83727</v>
      </c>
      <c r="W35" s="24" t="n">
        <v>13899</v>
      </c>
      <c r="X35" s="18" t="n">
        <v>61254</v>
      </c>
      <c r="Y35" s="18" t="n">
        <v>57519</v>
      </c>
      <c r="Z35" s="18" t="n">
        <v>-3735</v>
      </c>
      <c r="AA35" s="18" t="n">
        <v>59016</v>
      </c>
      <c r="AB35" s="18" t="n">
        <v>64033</v>
      </c>
      <c r="AC35" s="24" t="n">
        <v>5017</v>
      </c>
      <c r="AD35" s="18" t="n">
        <v>63818</v>
      </c>
      <c r="AE35" s="18" t="n">
        <v>78274</v>
      </c>
      <c r="AF35" s="24" t="n">
        <v>14456</v>
      </c>
      <c r="AG35" s="18" t="n">
        <v>57752</v>
      </c>
      <c r="AH35" s="18" t="n">
        <v>68311</v>
      </c>
      <c r="AI35" s="24" t="n">
        <v>10559</v>
      </c>
      <c r="AJ35" s="18" t="n">
        <v>76859</v>
      </c>
      <c r="AK35" s="18" t="n">
        <v>79348</v>
      </c>
      <c r="AL35" s="24" t="n">
        <v>2489</v>
      </c>
    </row>
    <row r="36">
      <c r="B36" s="4" t="inlineStr">
        <is>
          <t>业务招待费</t>
        </is>
      </c>
      <c r="C36" s="18" t="n">
        <v>42461</v>
      </c>
      <c r="D36" s="18" t="n">
        <v>49412</v>
      </c>
      <c r="E36" s="24" t="n">
        <v>6951</v>
      </c>
      <c r="F36" s="18" t="n">
        <v>34014</v>
      </c>
      <c r="G36" s="18" t="n">
        <v>23959</v>
      </c>
      <c r="H36" s="18" t="n">
        <v>-10055</v>
      </c>
      <c r="I36" s="18" t="n">
        <v>41516</v>
      </c>
      <c r="J36" s="18" t="n">
        <v>34439</v>
      </c>
      <c r="K36" s="18" t="n">
        <v>-7077</v>
      </c>
      <c r="L36" s="18" t="n">
        <v>51004</v>
      </c>
      <c r="M36" s="18" t="n">
        <v>47083</v>
      </c>
      <c r="N36" s="18" t="n">
        <v>-3921</v>
      </c>
      <c r="O36" s="18" t="n">
        <v>47820</v>
      </c>
      <c r="P36" s="18" t="n">
        <v>38882</v>
      </c>
      <c r="Q36" s="18" t="n">
        <v>-8938</v>
      </c>
      <c r="R36" s="18" t="n">
        <v>56021</v>
      </c>
      <c r="S36" s="18" t="n">
        <v>43277</v>
      </c>
      <c r="T36" s="18" t="n">
        <v>-12744</v>
      </c>
      <c r="U36" s="18" t="n">
        <v>57433</v>
      </c>
      <c r="V36" s="18" t="n">
        <v>53290</v>
      </c>
      <c r="W36" s="18" t="n">
        <v>-4143</v>
      </c>
      <c r="X36" s="18" t="n">
        <v>53410</v>
      </c>
      <c r="Y36" s="18" t="n">
        <v>54207</v>
      </c>
      <c r="Z36" s="24" t="n">
        <v>797</v>
      </c>
      <c r="AA36" s="18" t="n">
        <v>45616</v>
      </c>
      <c r="AB36" s="18" t="n">
        <v>39504</v>
      </c>
      <c r="AC36" s="18" t="n">
        <v>-6112</v>
      </c>
      <c r="AD36" s="18" t="n">
        <v>56656</v>
      </c>
      <c r="AE36" s="18" t="n">
        <v>55797</v>
      </c>
      <c r="AF36" s="18" t="n">
        <v>-859</v>
      </c>
      <c r="AG36" s="18" t="n">
        <v>48363</v>
      </c>
      <c r="AH36" s="18" t="n">
        <v>35461</v>
      </c>
      <c r="AI36" s="18" t="n">
        <v>-12902</v>
      </c>
      <c r="AJ36" s="18" t="n">
        <v>67238</v>
      </c>
      <c r="AK36" s="18" t="n">
        <v>58154</v>
      </c>
      <c r="AL36" s="18" t="n">
        <v>-9084</v>
      </c>
    </row>
    <row r="37">
      <c r="B37" s="4" t="inlineStr">
        <is>
          <t>办公费</t>
        </is>
      </c>
      <c r="C37" s="18" t="n">
        <v>31547</v>
      </c>
      <c r="D37" s="18" t="n">
        <v>35744</v>
      </c>
      <c r="E37" s="24" t="n">
        <v>4197</v>
      </c>
      <c r="F37" s="18" t="n">
        <v>27801</v>
      </c>
      <c r="G37" s="18" t="n">
        <v>22408</v>
      </c>
      <c r="H37" s="18" t="n">
        <v>-5393</v>
      </c>
      <c r="I37" s="18" t="n">
        <v>40155</v>
      </c>
      <c r="J37" s="18" t="n">
        <v>34314</v>
      </c>
      <c r="K37" s="18" t="n">
        <v>-5841</v>
      </c>
      <c r="L37" s="18" t="n">
        <v>36813</v>
      </c>
      <c r="M37" s="18" t="n">
        <v>28052</v>
      </c>
      <c r="N37" s="18" t="n">
        <v>-8761</v>
      </c>
      <c r="O37" s="18" t="n">
        <v>43095</v>
      </c>
      <c r="P37" s="18" t="n">
        <v>52908</v>
      </c>
      <c r="Q37" s="24" t="n">
        <v>9813</v>
      </c>
      <c r="R37" s="18" t="n">
        <v>43877</v>
      </c>
      <c r="S37" s="18" t="n">
        <v>44312</v>
      </c>
      <c r="T37" s="24" t="n">
        <v>435</v>
      </c>
      <c r="U37" s="18" t="n">
        <v>52369</v>
      </c>
      <c r="V37" s="18" t="n">
        <v>50859</v>
      </c>
      <c r="W37" s="18" t="n">
        <v>-1510</v>
      </c>
      <c r="X37" s="18" t="n">
        <v>41301</v>
      </c>
      <c r="Y37" s="18" t="n">
        <v>34015</v>
      </c>
      <c r="Z37" s="18" t="n">
        <v>-7286</v>
      </c>
      <c r="AA37" s="18" t="n">
        <v>39434</v>
      </c>
      <c r="AB37" s="18" t="n">
        <v>49478</v>
      </c>
      <c r="AC37" s="24" t="n">
        <v>10044</v>
      </c>
      <c r="AD37" s="18" t="n">
        <v>44410</v>
      </c>
      <c r="AE37" s="18" t="n">
        <v>48346</v>
      </c>
      <c r="AF37" s="24" t="n">
        <v>3936</v>
      </c>
      <c r="AG37" s="18" t="n">
        <v>38741</v>
      </c>
      <c r="AH37" s="18" t="n">
        <v>49979</v>
      </c>
      <c r="AI37" s="24" t="n">
        <v>11238</v>
      </c>
      <c r="AJ37" s="18" t="n">
        <v>55881</v>
      </c>
      <c r="AK37" s="18" t="n">
        <v>69319</v>
      </c>
      <c r="AL37" s="24" t="n">
        <v>13438</v>
      </c>
    </row>
    <row r="38">
      <c r="B38" s="4" t="inlineStr">
        <is>
          <t>折旧费</t>
        </is>
      </c>
      <c r="C38" s="18" t="n">
        <v>27901</v>
      </c>
      <c r="D38" s="18" t="n">
        <v>32012</v>
      </c>
      <c r="E38" s="24" t="n">
        <v>4111</v>
      </c>
      <c r="F38" s="18" t="n">
        <v>21609</v>
      </c>
      <c r="G38" s="18" t="n">
        <v>26157</v>
      </c>
      <c r="H38" s="24" t="n">
        <v>4548</v>
      </c>
      <c r="I38" s="18" t="n">
        <v>31903</v>
      </c>
      <c r="J38" s="18" t="n">
        <v>39625</v>
      </c>
      <c r="K38" s="24" t="n">
        <v>7722</v>
      </c>
      <c r="L38" s="18" t="n">
        <v>30538</v>
      </c>
      <c r="M38" s="18" t="n">
        <v>35738</v>
      </c>
      <c r="N38" s="24" t="n">
        <v>5200</v>
      </c>
      <c r="O38" s="18" t="n">
        <v>33287</v>
      </c>
      <c r="P38" s="18" t="n">
        <v>28583</v>
      </c>
      <c r="Q38" s="18" t="n">
        <v>-4704</v>
      </c>
      <c r="R38" s="18" t="n">
        <v>34587</v>
      </c>
      <c r="S38" s="18" t="n">
        <v>27254</v>
      </c>
      <c r="T38" s="18" t="n">
        <v>-7333</v>
      </c>
      <c r="U38" s="18" t="n">
        <v>35531</v>
      </c>
      <c r="V38" s="18" t="n">
        <v>45229</v>
      </c>
      <c r="W38" s="24" t="n">
        <v>9698</v>
      </c>
      <c r="X38" s="18" t="n">
        <v>33003</v>
      </c>
      <c r="Y38" s="18" t="n">
        <v>39303</v>
      </c>
      <c r="Z38" s="24" t="n">
        <v>6300</v>
      </c>
      <c r="AA38" s="18" t="n">
        <v>26743</v>
      </c>
      <c r="AB38" s="18" t="n">
        <v>32794</v>
      </c>
      <c r="AC38" s="24" t="n">
        <v>6051</v>
      </c>
      <c r="AD38" s="18" t="n">
        <v>32337</v>
      </c>
      <c r="AE38" s="18" t="n">
        <v>34826</v>
      </c>
      <c r="AF38" s="24" t="n">
        <v>2489</v>
      </c>
      <c r="AG38" s="18" t="n">
        <v>32096</v>
      </c>
      <c r="AH38" s="18" t="n">
        <v>31767</v>
      </c>
      <c r="AI38" s="18" t="n">
        <v>-329</v>
      </c>
      <c r="AJ38" s="18" t="n">
        <v>42546</v>
      </c>
      <c r="AK38" s="18" t="n">
        <v>47194</v>
      </c>
      <c r="AL38" s="24" t="n">
        <v>4648</v>
      </c>
    </row>
    <row r="39">
      <c r="B39" s="6" t="inlineStr">
        <is>
          <t>小计</t>
        </is>
      </c>
      <c r="C39" s="19" t="n">
        <v>287290</v>
      </c>
      <c r="D39" s="19" t="n">
        <v>305930</v>
      </c>
      <c r="E39" s="19" t="n">
        <v>18640</v>
      </c>
      <c r="F39" s="19" t="n">
        <v>248259</v>
      </c>
      <c r="G39" s="19" t="n">
        <v>233960</v>
      </c>
      <c r="H39" s="19" t="n">
        <v>-14299</v>
      </c>
      <c r="I39" s="19" t="n">
        <v>335168</v>
      </c>
      <c r="J39" s="19" t="n">
        <v>309789</v>
      </c>
      <c r="K39" s="19" t="n">
        <v>-25379</v>
      </c>
      <c r="L39" s="19" t="n">
        <v>367423</v>
      </c>
      <c r="M39" s="19" t="n">
        <v>399033</v>
      </c>
      <c r="N39" s="19" t="n">
        <v>31610</v>
      </c>
      <c r="O39" s="19" t="n">
        <v>370795</v>
      </c>
      <c r="P39" s="19" t="n">
        <v>389509</v>
      </c>
      <c r="Q39" s="19" t="n">
        <v>18714</v>
      </c>
      <c r="R39" s="19" t="n">
        <v>416690</v>
      </c>
      <c r="S39" s="19" t="n">
        <v>429600</v>
      </c>
      <c r="T39" s="19" t="n">
        <v>12910</v>
      </c>
      <c r="U39" s="19" t="n">
        <v>435413</v>
      </c>
      <c r="V39" s="19" t="n">
        <v>473949</v>
      </c>
      <c r="W39" s="19" t="n">
        <v>38536</v>
      </c>
      <c r="X39" s="19" t="n">
        <v>367720</v>
      </c>
      <c r="Y39" s="19" t="n">
        <v>376561</v>
      </c>
      <c r="Z39" s="19" t="n">
        <v>8841</v>
      </c>
      <c r="AA39" s="19" t="n">
        <v>345907</v>
      </c>
      <c r="AB39" s="19" t="n">
        <v>374881</v>
      </c>
      <c r="AC39" s="19" t="n">
        <v>28974</v>
      </c>
      <c r="AD39" s="19" t="n">
        <v>417392</v>
      </c>
      <c r="AE39" s="19" t="n">
        <v>469724</v>
      </c>
      <c r="AF39" s="19" t="n">
        <v>52332</v>
      </c>
      <c r="AG39" s="19" t="n">
        <v>354300</v>
      </c>
      <c r="AH39" s="19" t="n">
        <v>399253</v>
      </c>
      <c r="AI39" s="19" t="n">
        <v>44953</v>
      </c>
      <c r="AJ39" s="19" t="n">
        <v>494962</v>
      </c>
      <c r="AK39" s="19" t="n">
        <v>466863</v>
      </c>
      <c r="AL39" s="19" t="n">
        <v>-28099</v>
      </c>
    </row>
    <row r="40">
      <c r="A40" s="23" t="inlineStr">
        <is>
          <t>财务部</t>
        </is>
      </c>
      <c r="B40" s="4" t="inlineStr">
        <is>
          <t>人工费用</t>
        </is>
      </c>
      <c r="C40" s="18" t="n">
        <v>99226</v>
      </c>
      <c r="D40" s="18" t="n">
        <v>87261</v>
      </c>
      <c r="E40" s="18" t="n">
        <v>-11965</v>
      </c>
      <c r="F40" s="18" t="n">
        <v>94400</v>
      </c>
      <c r="G40" s="18" t="n">
        <v>99605</v>
      </c>
      <c r="H40" s="24" t="n">
        <v>5205</v>
      </c>
      <c r="I40" s="18" t="n">
        <v>120010</v>
      </c>
      <c r="J40" s="18" t="n">
        <v>124747</v>
      </c>
      <c r="K40" s="24" t="n">
        <v>4737</v>
      </c>
      <c r="L40" s="18" t="n">
        <v>133556</v>
      </c>
      <c r="M40" s="18" t="n">
        <v>135028</v>
      </c>
      <c r="N40" s="24" t="n">
        <v>1472</v>
      </c>
      <c r="O40" s="18" t="n">
        <v>147706</v>
      </c>
      <c r="P40" s="18" t="n">
        <v>179880</v>
      </c>
      <c r="Q40" s="24" t="n">
        <v>32174</v>
      </c>
      <c r="R40" s="18" t="n">
        <v>133678</v>
      </c>
      <c r="S40" s="18" t="n">
        <v>100568</v>
      </c>
      <c r="T40" s="18" t="n">
        <v>-33110</v>
      </c>
      <c r="U40" s="18" t="n">
        <v>153245</v>
      </c>
      <c r="V40" s="18" t="n">
        <v>189053</v>
      </c>
      <c r="W40" s="24" t="n">
        <v>35808</v>
      </c>
      <c r="X40" s="18" t="n">
        <v>132960</v>
      </c>
      <c r="Y40" s="18" t="n">
        <v>145349</v>
      </c>
      <c r="Z40" s="24" t="n">
        <v>12389</v>
      </c>
      <c r="AA40" s="18" t="n">
        <v>115369</v>
      </c>
      <c r="AB40" s="18" t="n">
        <v>146275</v>
      </c>
      <c r="AC40" s="24" t="n">
        <v>30906</v>
      </c>
      <c r="AD40" s="18" t="n">
        <v>148649</v>
      </c>
      <c r="AE40" s="18" t="n">
        <v>122817</v>
      </c>
      <c r="AF40" s="18" t="n">
        <v>-25832</v>
      </c>
      <c r="AG40" s="18" t="n">
        <v>130117</v>
      </c>
      <c r="AH40" s="18" t="n">
        <v>164924</v>
      </c>
      <c r="AI40" s="24" t="n">
        <v>34807</v>
      </c>
      <c r="AJ40" s="18" t="n">
        <v>189063</v>
      </c>
      <c r="AK40" s="18" t="n">
        <v>208198</v>
      </c>
      <c r="AL40" s="24" t="n">
        <v>19135</v>
      </c>
    </row>
    <row r="41">
      <c r="B41" s="4" t="inlineStr">
        <is>
          <t>差旅费</t>
        </is>
      </c>
      <c r="C41" s="18" t="n">
        <v>37759</v>
      </c>
      <c r="D41" s="18" t="n">
        <v>41979</v>
      </c>
      <c r="E41" s="24" t="n">
        <v>4220</v>
      </c>
      <c r="F41" s="18" t="n">
        <v>30790</v>
      </c>
      <c r="G41" s="18" t="n">
        <v>24984</v>
      </c>
      <c r="H41" s="18" t="n">
        <v>-5806</v>
      </c>
      <c r="I41" s="18" t="n">
        <v>40051</v>
      </c>
      <c r="J41" s="18" t="n">
        <v>45487</v>
      </c>
      <c r="K41" s="24" t="n">
        <v>5436</v>
      </c>
      <c r="L41" s="18" t="n">
        <v>48025</v>
      </c>
      <c r="M41" s="18" t="n">
        <v>47171</v>
      </c>
      <c r="N41" s="18" t="n">
        <v>-854</v>
      </c>
      <c r="O41" s="18" t="n">
        <v>44190</v>
      </c>
      <c r="P41" s="18" t="n">
        <v>43406</v>
      </c>
      <c r="Q41" s="18" t="n">
        <v>-784</v>
      </c>
      <c r="R41" s="18" t="n">
        <v>49084</v>
      </c>
      <c r="S41" s="18" t="n">
        <v>53104</v>
      </c>
      <c r="T41" s="24" t="n">
        <v>4020</v>
      </c>
      <c r="U41" s="18" t="n">
        <v>58206</v>
      </c>
      <c r="V41" s="18" t="n">
        <v>59664</v>
      </c>
      <c r="W41" s="24" t="n">
        <v>1458</v>
      </c>
      <c r="X41" s="18" t="n">
        <v>48756</v>
      </c>
      <c r="Y41" s="18" t="n">
        <v>61670</v>
      </c>
      <c r="Z41" s="24" t="n">
        <v>12914</v>
      </c>
      <c r="AA41" s="18" t="n">
        <v>41118</v>
      </c>
      <c r="AB41" s="18" t="n">
        <v>34683</v>
      </c>
      <c r="AC41" s="18" t="n">
        <v>-6435</v>
      </c>
      <c r="AD41" s="18" t="n">
        <v>51429</v>
      </c>
      <c r="AE41" s="18" t="n">
        <v>64464</v>
      </c>
      <c r="AF41" s="24" t="n">
        <v>13035</v>
      </c>
      <c r="AG41" s="18" t="n">
        <v>48043</v>
      </c>
      <c r="AH41" s="18" t="n">
        <v>50060</v>
      </c>
      <c r="AI41" s="24" t="n">
        <v>2017</v>
      </c>
      <c r="AJ41" s="18" t="n">
        <v>53892</v>
      </c>
      <c r="AK41" s="18" t="n">
        <v>53633</v>
      </c>
      <c r="AL41" s="18" t="n">
        <v>-259</v>
      </c>
    </row>
    <row r="42">
      <c r="B42" s="4" t="inlineStr">
        <is>
          <t>业务招待费</t>
        </is>
      </c>
      <c r="C42" s="18" t="n">
        <v>27255</v>
      </c>
      <c r="D42" s="18" t="n">
        <v>28861</v>
      </c>
      <c r="E42" s="24" t="n">
        <v>1606</v>
      </c>
      <c r="F42" s="18" t="n">
        <v>25527</v>
      </c>
      <c r="G42" s="18" t="n">
        <v>32655</v>
      </c>
      <c r="H42" s="24" t="n">
        <v>7128</v>
      </c>
      <c r="I42" s="18" t="n">
        <v>35218</v>
      </c>
      <c r="J42" s="18" t="n">
        <v>26818</v>
      </c>
      <c r="K42" s="18" t="n">
        <v>-8400</v>
      </c>
      <c r="L42" s="18" t="n">
        <v>37529</v>
      </c>
      <c r="M42" s="18" t="n">
        <v>30934</v>
      </c>
      <c r="N42" s="18" t="n">
        <v>-6595</v>
      </c>
      <c r="O42" s="18" t="n">
        <v>38797</v>
      </c>
      <c r="P42" s="18" t="n">
        <v>38756</v>
      </c>
      <c r="Q42" s="18" t="n">
        <v>-41</v>
      </c>
      <c r="R42" s="18" t="n">
        <v>42849</v>
      </c>
      <c r="S42" s="18" t="n">
        <v>41458</v>
      </c>
      <c r="T42" s="18" t="n">
        <v>-1391</v>
      </c>
      <c r="U42" s="18" t="n">
        <v>41578</v>
      </c>
      <c r="V42" s="18" t="n">
        <v>46403</v>
      </c>
      <c r="W42" s="24" t="n">
        <v>4825</v>
      </c>
      <c r="X42" s="18" t="n">
        <v>37831</v>
      </c>
      <c r="Y42" s="18" t="n">
        <v>26747</v>
      </c>
      <c r="Z42" s="18" t="n">
        <v>-11084</v>
      </c>
      <c r="AA42" s="18" t="n">
        <v>32759</v>
      </c>
      <c r="AB42" s="18" t="n">
        <v>37840</v>
      </c>
      <c r="AC42" s="24" t="n">
        <v>5081</v>
      </c>
      <c r="AD42" s="18" t="n">
        <v>40427</v>
      </c>
      <c r="AE42" s="18" t="n">
        <v>46584</v>
      </c>
      <c r="AF42" s="24" t="n">
        <v>6157</v>
      </c>
      <c r="AG42" s="18" t="n">
        <v>38307</v>
      </c>
      <c r="AH42" s="18" t="n">
        <v>35167</v>
      </c>
      <c r="AI42" s="18" t="n">
        <v>-3140</v>
      </c>
      <c r="AJ42" s="18" t="n">
        <v>50186</v>
      </c>
      <c r="AK42" s="18" t="n">
        <v>59782</v>
      </c>
      <c r="AL42" s="24" t="n">
        <v>9596</v>
      </c>
    </row>
    <row r="43">
      <c r="B43" s="4" t="inlineStr">
        <is>
          <t>办公费</t>
        </is>
      </c>
      <c r="C43" s="18" t="n">
        <v>22778</v>
      </c>
      <c r="D43" s="18" t="n">
        <v>22723</v>
      </c>
      <c r="E43" s="18" t="n">
        <v>-55</v>
      </c>
      <c r="F43" s="18" t="n">
        <v>22850</v>
      </c>
      <c r="G43" s="18" t="n">
        <v>23230</v>
      </c>
      <c r="H43" s="24" t="n">
        <v>380</v>
      </c>
      <c r="I43" s="18" t="n">
        <v>28281</v>
      </c>
      <c r="J43" s="18" t="n">
        <v>31348</v>
      </c>
      <c r="K43" s="24" t="n">
        <v>3067</v>
      </c>
      <c r="L43" s="18" t="n">
        <v>28676</v>
      </c>
      <c r="M43" s="18" t="n">
        <v>29208</v>
      </c>
      <c r="N43" s="24" t="n">
        <v>532</v>
      </c>
      <c r="O43" s="18" t="n">
        <v>28482</v>
      </c>
      <c r="P43" s="18" t="n">
        <v>36497</v>
      </c>
      <c r="Q43" s="24" t="n">
        <v>8015</v>
      </c>
      <c r="R43" s="18" t="n">
        <v>34856</v>
      </c>
      <c r="S43" s="18" t="n">
        <v>29167</v>
      </c>
      <c r="T43" s="18" t="n">
        <v>-5689</v>
      </c>
      <c r="U43" s="18" t="n">
        <v>35960</v>
      </c>
      <c r="V43" s="18" t="n">
        <v>41759</v>
      </c>
      <c r="W43" s="24" t="n">
        <v>5799</v>
      </c>
      <c r="X43" s="18" t="n">
        <v>29638</v>
      </c>
      <c r="Y43" s="18" t="n">
        <v>28444</v>
      </c>
      <c r="Z43" s="18" t="n">
        <v>-1194</v>
      </c>
      <c r="AA43" s="18" t="n">
        <v>28844</v>
      </c>
      <c r="AB43" s="18" t="n">
        <v>31612</v>
      </c>
      <c r="AC43" s="24" t="n">
        <v>2768</v>
      </c>
      <c r="AD43" s="18" t="n">
        <v>34097</v>
      </c>
      <c r="AE43" s="18" t="n">
        <v>24016</v>
      </c>
      <c r="AF43" s="18" t="n">
        <v>-10081</v>
      </c>
      <c r="AG43" s="18" t="n">
        <v>28614</v>
      </c>
      <c r="AH43" s="18" t="n">
        <v>24533</v>
      </c>
      <c r="AI43" s="18" t="n">
        <v>-4081</v>
      </c>
      <c r="AJ43" s="18" t="n">
        <v>35943</v>
      </c>
      <c r="AK43" s="18" t="n">
        <v>29143</v>
      </c>
      <c r="AL43" s="18" t="n">
        <v>-6800</v>
      </c>
    </row>
    <row r="44">
      <c r="B44" s="4" t="inlineStr">
        <is>
          <t>折旧费</t>
        </is>
      </c>
      <c r="C44" s="18" t="n">
        <v>17421</v>
      </c>
      <c r="D44" s="18" t="n">
        <v>12298</v>
      </c>
      <c r="E44" s="18" t="n">
        <v>-5123</v>
      </c>
      <c r="F44" s="18" t="n">
        <v>15444</v>
      </c>
      <c r="G44" s="18" t="n">
        <v>14996</v>
      </c>
      <c r="H44" s="18" t="n">
        <v>-448</v>
      </c>
      <c r="I44" s="18" t="n">
        <v>23088</v>
      </c>
      <c r="J44" s="18" t="n">
        <v>23172</v>
      </c>
      <c r="K44" s="24" t="n">
        <v>84</v>
      </c>
      <c r="L44" s="18" t="n">
        <v>25284</v>
      </c>
      <c r="M44" s="18" t="n">
        <v>29621</v>
      </c>
      <c r="N44" s="24" t="n">
        <v>4337</v>
      </c>
      <c r="O44" s="18" t="n">
        <v>25340</v>
      </c>
      <c r="P44" s="18" t="n">
        <v>21635</v>
      </c>
      <c r="Q44" s="18" t="n">
        <v>-3705</v>
      </c>
      <c r="R44" s="18" t="n">
        <v>27537</v>
      </c>
      <c r="S44" s="18" t="n">
        <v>20642</v>
      </c>
      <c r="T44" s="18" t="n">
        <v>-6895</v>
      </c>
      <c r="U44" s="18" t="n">
        <v>28624</v>
      </c>
      <c r="V44" s="18" t="n">
        <v>28955</v>
      </c>
      <c r="W44" s="24" t="n">
        <v>331</v>
      </c>
      <c r="X44" s="18" t="n">
        <v>25066</v>
      </c>
      <c r="Y44" s="18" t="n">
        <v>25105</v>
      </c>
      <c r="Z44" s="24" t="n">
        <v>39</v>
      </c>
      <c r="AA44" s="18" t="n">
        <v>20499</v>
      </c>
      <c r="AB44" s="18" t="n">
        <v>17561</v>
      </c>
      <c r="AC44" s="18" t="n">
        <v>-2938</v>
      </c>
      <c r="AD44" s="18" t="n">
        <v>25055</v>
      </c>
      <c r="AE44" s="18" t="n">
        <v>18165</v>
      </c>
      <c r="AF44" s="18" t="n">
        <v>-6890</v>
      </c>
      <c r="AG44" s="18" t="n">
        <v>24186</v>
      </c>
      <c r="AH44" s="18" t="n">
        <v>25239</v>
      </c>
      <c r="AI44" s="24" t="n">
        <v>1053</v>
      </c>
      <c r="AJ44" s="18" t="n">
        <v>29910</v>
      </c>
      <c r="AK44" s="18" t="n">
        <v>34261</v>
      </c>
      <c r="AL44" s="24" t="n">
        <v>4351</v>
      </c>
    </row>
    <row r="45">
      <c r="B45" s="6" t="inlineStr">
        <is>
          <t>小计</t>
        </is>
      </c>
      <c r="C45" s="19" t="n">
        <v>204439</v>
      </c>
      <c r="D45" s="19" t="n">
        <v>193122</v>
      </c>
      <c r="E45" s="19" t="n">
        <v>-11317</v>
      </c>
      <c r="F45" s="19" t="n">
        <v>189011</v>
      </c>
      <c r="G45" s="19" t="n">
        <v>195470</v>
      </c>
      <c r="H45" s="19" t="n">
        <v>6459</v>
      </c>
      <c r="I45" s="19" t="n">
        <v>246648</v>
      </c>
      <c r="J45" s="19" t="n">
        <v>251572</v>
      </c>
      <c r="K45" s="19" t="n">
        <v>4924</v>
      </c>
      <c r="L45" s="19" t="n">
        <v>273070</v>
      </c>
      <c r="M45" s="19" t="n">
        <v>271962</v>
      </c>
      <c r="N45" s="19" t="n">
        <v>-1108</v>
      </c>
      <c r="O45" s="19" t="n">
        <v>284515</v>
      </c>
      <c r="P45" s="19" t="n">
        <v>320174</v>
      </c>
      <c r="Q45" s="19" t="n">
        <v>35659</v>
      </c>
      <c r="R45" s="19" t="n">
        <v>288004</v>
      </c>
      <c r="S45" s="19" t="n">
        <v>244939</v>
      </c>
      <c r="T45" s="19" t="n">
        <v>-43065</v>
      </c>
      <c r="U45" s="19" t="n">
        <v>317613</v>
      </c>
      <c r="V45" s="19" t="n">
        <v>365834</v>
      </c>
      <c r="W45" s="19" t="n">
        <v>48221</v>
      </c>
      <c r="X45" s="19" t="n">
        <v>274251</v>
      </c>
      <c r="Y45" s="19" t="n">
        <v>287315</v>
      </c>
      <c r="Z45" s="19" t="n">
        <v>13064</v>
      </c>
      <c r="AA45" s="19" t="n">
        <v>238589</v>
      </c>
      <c r="AB45" s="19" t="n">
        <v>267971</v>
      </c>
      <c r="AC45" s="19" t="n">
        <v>29382</v>
      </c>
      <c r="AD45" s="19" t="n">
        <v>299657</v>
      </c>
      <c r="AE45" s="19" t="n">
        <v>276046</v>
      </c>
      <c r="AF45" s="19" t="n">
        <v>-23611</v>
      </c>
      <c r="AG45" s="19" t="n">
        <v>269267</v>
      </c>
      <c r="AH45" s="19" t="n">
        <v>299923</v>
      </c>
      <c r="AI45" s="19" t="n">
        <v>30656</v>
      </c>
      <c r="AJ45" s="19" t="n">
        <v>358994</v>
      </c>
      <c r="AK45" s="19" t="n">
        <v>385017</v>
      </c>
      <c r="AL45" s="19" t="n">
        <v>26023</v>
      </c>
    </row>
    <row r="46">
      <c r="A46" s="23" t="inlineStr">
        <is>
          <t>行政部</t>
        </is>
      </c>
      <c r="B46" s="4" t="inlineStr">
        <is>
          <t>人工费用</t>
        </is>
      </c>
      <c r="C46" s="18" t="n">
        <v>52740</v>
      </c>
      <c r="D46" s="18" t="n">
        <v>42810</v>
      </c>
      <c r="E46" s="18" t="n">
        <v>-9930</v>
      </c>
      <c r="F46" s="18" t="n">
        <v>50328</v>
      </c>
      <c r="G46" s="18" t="n">
        <v>49155</v>
      </c>
      <c r="H46" s="18" t="n">
        <v>-1173</v>
      </c>
      <c r="I46" s="18" t="n">
        <v>68013</v>
      </c>
      <c r="J46" s="18" t="n">
        <v>65390</v>
      </c>
      <c r="K46" s="18" t="n">
        <v>-2623</v>
      </c>
      <c r="L46" s="18" t="n">
        <v>74970</v>
      </c>
      <c r="M46" s="18" t="n">
        <v>89582</v>
      </c>
      <c r="N46" s="24" t="n">
        <v>14612</v>
      </c>
      <c r="O46" s="18" t="n">
        <v>65288</v>
      </c>
      <c r="P46" s="18" t="n">
        <v>69962</v>
      </c>
      <c r="Q46" s="24" t="n">
        <v>4674</v>
      </c>
      <c r="R46" s="18" t="n">
        <v>81487</v>
      </c>
      <c r="S46" s="18" t="n">
        <v>63113</v>
      </c>
      <c r="T46" s="18" t="n">
        <v>-18374</v>
      </c>
      <c r="U46" s="18" t="n">
        <v>81832</v>
      </c>
      <c r="V46" s="18" t="n">
        <v>67432</v>
      </c>
      <c r="W46" s="18" t="n">
        <v>-14400</v>
      </c>
      <c r="X46" s="18" t="n">
        <v>75915</v>
      </c>
      <c r="Y46" s="18" t="n">
        <v>54861</v>
      </c>
      <c r="Z46" s="18" t="n">
        <v>-21054</v>
      </c>
      <c r="AA46" s="18" t="n">
        <v>58454</v>
      </c>
      <c r="AB46" s="18" t="n">
        <v>74152</v>
      </c>
      <c r="AC46" s="24" t="n">
        <v>15698</v>
      </c>
      <c r="AD46" s="18" t="n">
        <v>79592</v>
      </c>
      <c r="AE46" s="18" t="n">
        <v>74922</v>
      </c>
      <c r="AF46" s="18" t="n">
        <v>-4670</v>
      </c>
      <c r="AG46" s="18" t="n">
        <v>65868</v>
      </c>
      <c r="AH46" s="18" t="n">
        <v>46951</v>
      </c>
      <c r="AI46" s="18" t="n">
        <v>-18917</v>
      </c>
      <c r="AJ46" s="18" t="n">
        <v>93006</v>
      </c>
      <c r="AK46" s="18" t="n">
        <v>114855</v>
      </c>
      <c r="AL46" s="24" t="n">
        <v>21849</v>
      </c>
    </row>
    <row r="47">
      <c r="B47" s="4" t="inlineStr">
        <is>
          <t>差旅费</t>
        </is>
      </c>
      <c r="C47" s="18" t="n">
        <v>20237</v>
      </c>
      <c r="D47" s="18" t="n">
        <v>18515</v>
      </c>
      <c r="E47" s="18" t="n">
        <v>-1722</v>
      </c>
      <c r="F47" s="18" t="n">
        <v>17884</v>
      </c>
      <c r="G47" s="18" t="n">
        <v>16303</v>
      </c>
      <c r="H47" s="18" t="n">
        <v>-1581</v>
      </c>
      <c r="I47" s="18" t="n">
        <v>23014</v>
      </c>
      <c r="J47" s="18" t="n">
        <v>29621</v>
      </c>
      <c r="K47" s="24" t="n">
        <v>6607</v>
      </c>
      <c r="L47" s="18" t="n">
        <v>21178</v>
      </c>
      <c r="M47" s="18" t="n">
        <v>22414</v>
      </c>
      <c r="N47" s="24" t="n">
        <v>1236</v>
      </c>
      <c r="O47" s="18" t="n">
        <v>23814</v>
      </c>
      <c r="P47" s="18" t="n">
        <v>28147</v>
      </c>
      <c r="Q47" s="24" t="n">
        <v>4333</v>
      </c>
      <c r="R47" s="18" t="n">
        <v>24560</v>
      </c>
      <c r="S47" s="18" t="n">
        <v>28905</v>
      </c>
      <c r="T47" s="24" t="n">
        <v>4345</v>
      </c>
      <c r="U47" s="18" t="n">
        <v>25586</v>
      </c>
      <c r="V47" s="18" t="n">
        <v>20673</v>
      </c>
      <c r="W47" s="18" t="n">
        <v>-4913</v>
      </c>
      <c r="X47" s="18" t="n">
        <v>23205</v>
      </c>
      <c r="Y47" s="18" t="n">
        <v>29114</v>
      </c>
      <c r="Z47" s="24" t="n">
        <v>5909</v>
      </c>
      <c r="AA47" s="18" t="n">
        <v>19045</v>
      </c>
      <c r="AB47" s="18" t="n">
        <v>14999</v>
      </c>
      <c r="AC47" s="18" t="n">
        <v>-4046</v>
      </c>
      <c r="AD47" s="18" t="n">
        <v>28157</v>
      </c>
      <c r="AE47" s="18" t="n">
        <v>30003</v>
      </c>
      <c r="AF47" s="24" t="n">
        <v>1846</v>
      </c>
      <c r="AG47" s="18" t="n">
        <v>22046</v>
      </c>
      <c r="AH47" s="18" t="n">
        <v>22819</v>
      </c>
      <c r="AI47" s="24" t="n">
        <v>773</v>
      </c>
      <c r="AJ47" s="18" t="n">
        <v>32953</v>
      </c>
      <c r="AK47" s="18" t="n">
        <v>23154</v>
      </c>
      <c r="AL47" s="18" t="n">
        <v>-9799</v>
      </c>
    </row>
    <row r="48">
      <c r="B48" s="4" t="inlineStr">
        <is>
          <t>业务招待费</t>
        </is>
      </c>
      <c r="C48" s="18" t="n">
        <v>14340</v>
      </c>
      <c r="D48" s="18" t="n">
        <v>11763</v>
      </c>
      <c r="E48" s="18" t="n">
        <v>-2577</v>
      </c>
      <c r="F48" s="18" t="n">
        <v>13522</v>
      </c>
      <c r="G48" s="18" t="n">
        <v>13779</v>
      </c>
      <c r="H48" s="24" t="n">
        <v>257</v>
      </c>
      <c r="I48" s="18" t="n">
        <v>17505</v>
      </c>
      <c r="J48" s="18" t="n">
        <v>20215</v>
      </c>
      <c r="K48" s="24" t="n">
        <v>2710</v>
      </c>
      <c r="L48" s="18" t="n">
        <v>19424</v>
      </c>
      <c r="M48" s="18" t="n">
        <v>18078</v>
      </c>
      <c r="N48" s="18" t="n">
        <v>-1346</v>
      </c>
      <c r="O48" s="18" t="n">
        <v>18767</v>
      </c>
      <c r="P48" s="18" t="n">
        <v>22232</v>
      </c>
      <c r="Q48" s="24" t="n">
        <v>3465</v>
      </c>
      <c r="R48" s="18" t="n">
        <v>18744</v>
      </c>
      <c r="S48" s="18" t="n">
        <v>19063</v>
      </c>
      <c r="T48" s="24" t="n">
        <v>319</v>
      </c>
      <c r="U48" s="18" t="n">
        <v>20757</v>
      </c>
      <c r="V48" s="18" t="n">
        <v>23162</v>
      </c>
      <c r="W48" s="24" t="n">
        <v>2405</v>
      </c>
      <c r="X48" s="18" t="n">
        <v>18952</v>
      </c>
      <c r="Y48" s="18" t="n">
        <v>23615</v>
      </c>
      <c r="Z48" s="24" t="n">
        <v>4663</v>
      </c>
      <c r="AA48" s="18" t="n">
        <v>15337</v>
      </c>
      <c r="AB48" s="18" t="n">
        <v>19577</v>
      </c>
      <c r="AC48" s="24" t="n">
        <v>4240</v>
      </c>
      <c r="AD48" s="18" t="n">
        <v>19739</v>
      </c>
      <c r="AE48" s="18" t="n">
        <v>17227</v>
      </c>
      <c r="AF48" s="18" t="n">
        <v>-2512</v>
      </c>
      <c r="AG48" s="18" t="n">
        <v>18509</v>
      </c>
      <c r="AH48" s="18" t="n">
        <v>23120</v>
      </c>
      <c r="AI48" s="24" t="n">
        <v>4611</v>
      </c>
      <c r="AJ48" s="18" t="n">
        <v>23627</v>
      </c>
      <c r="AK48" s="18" t="n">
        <v>27263</v>
      </c>
      <c r="AL48" s="24" t="n">
        <v>3636</v>
      </c>
    </row>
    <row r="49">
      <c r="B49" s="4" t="inlineStr">
        <is>
          <t>办公费</t>
        </is>
      </c>
      <c r="C49" s="18" t="n">
        <v>12432</v>
      </c>
      <c r="D49" s="18" t="n">
        <v>12037</v>
      </c>
      <c r="E49" s="18" t="n">
        <v>-395</v>
      </c>
      <c r="F49" s="18" t="n">
        <v>10265</v>
      </c>
      <c r="G49" s="18" t="n">
        <v>12183</v>
      </c>
      <c r="H49" s="24" t="n">
        <v>1918</v>
      </c>
      <c r="I49" s="18" t="n">
        <v>15265</v>
      </c>
      <c r="J49" s="18" t="n">
        <v>12063</v>
      </c>
      <c r="K49" s="18" t="n">
        <v>-3202</v>
      </c>
      <c r="L49" s="18" t="n">
        <v>16617</v>
      </c>
      <c r="M49" s="18" t="n">
        <v>14917</v>
      </c>
      <c r="N49" s="18" t="n">
        <v>-1700</v>
      </c>
      <c r="O49" s="18" t="n">
        <v>16146</v>
      </c>
      <c r="P49" s="18" t="n">
        <v>13595</v>
      </c>
      <c r="Q49" s="18" t="n">
        <v>-2551</v>
      </c>
      <c r="R49" s="18" t="n">
        <v>18275</v>
      </c>
      <c r="S49" s="18" t="n">
        <v>16902</v>
      </c>
      <c r="T49" s="18" t="n">
        <v>-1373</v>
      </c>
      <c r="U49" s="18" t="n">
        <v>17149</v>
      </c>
      <c r="V49" s="18" t="n">
        <v>13618</v>
      </c>
      <c r="W49" s="18" t="n">
        <v>-3531</v>
      </c>
      <c r="X49" s="18" t="n">
        <v>14480</v>
      </c>
      <c r="Y49" s="18" t="n">
        <v>16031</v>
      </c>
      <c r="Z49" s="24" t="n">
        <v>1551</v>
      </c>
      <c r="AA49" s="18" t="n">
        <v>14769</v>
      </c>
      <c r="AB49" s="18" t="n">
        <v>18051</v>
      </c>
      <c r="AC49" s="24" t="n">
        <v>3282</v>
      </c>
      <c r="AD49" s="18" t="n">
        <v>16927</v>
      </c>
      <c r="AE49" s="18" t="n">
        <v>14637</v>
      </c>
      <c r="AF49" s="18" t="n">
        <v>-2290</v>
      </c>
      <c r="AG49" s="18" t="n">
        <v>14437</v>
      </c>
      <c r="AH49" s="18" t="n">
        <v>13181</v>
      </c>
      <c r="AI49" s="18" t="n">
        <v>-1256</v>
      </c>
      <c r="AJ49" s="18" t="n">
        <v>22112</v>
      </c>
      <c r="AK49" s="18" t="n">
        <v>22171</v>
      </c>
      <c r="AL49" s="24" t="n">
        <v>59</v>
      </c>
    </row>
    <row r="50">
      <c r="B50" s="4" t="inlineStr">
        <is>
          <t>折旧费</t>
        </is>
      </c>
      <c r="C50" s="18" t="n">
        <v>9346</v>
      </c>
      <c r="D50" s="18" t="n">
        <v>8574</v>
      </c>
      <c r="E50" s="18" t="n">
        <v>-772</v>
      </c>
      <c r="F50" s="18" t="n">
        <v>8984</v>
      </c>
      <c r="G50" s="18" t="n">
        <v>9984</v>
      </c>
      <c r="H50" s="24" t="n">
        <v>1000</v>
      </c>
      <c r="I50" s="18" t="n">
        <v>11836</v>
      </c>
      <c r="J50" s="18" t="n">
        <v>13849</v>
      </c>
      <c r="K50" s="24" t="n">
        <v>2013</v>
      </c>
      <c r="L50" s="18" t="n">
        <v>12871</v>
      </c>
      <c r="M50" s="18" t="n">
        <v>9622</v>
      </c>
      <c r="N50" s="18" t="n">
        <v>-3249</v>
      </c>
      <c r="O50" s="18" t="n">
        <v>13479</v>
      </c>
      <c r="P50" s="18" t="n">
        <v>14221</v>
      </c>
      <c r="Q50" s="24" t="n">
        <v>742</v>
      </c>
      <c r="R50" s="18" t="n">
        <v>13012</v>
      </c>
      <c r="S50" s="18" t="n">
        <v>16423</v>
      </c>
      <c r="T50" s="24" t="n">
        <v>3411</v>
      </c>
      <c r="U50" s="18" t="n">
        <v>13837</v>
      </c>
      <c r="V50" s="18" t="n">
        <v>13200</v>
      </c>
      <c r="W50" s="18" t="n">
        <v>-637</v>
      </c>
      <c r="X50" s="18" t="n">
        <v>13034</v>
      </c>
      <c r="Y50" s="18" t="n">
        <v>15619</v>
      </c>
      <c r="Z50" s="24" t="n">
        <v>2585</v>
      </c>
      <c r="AA50" s="18" t="n">
        <v>10836</v>
      </c>
      <c r="AB50" s="18" t="n">
        <v>9557</v>
      </c>
      <c r="AC50" s="18" t="n">
        <v>-1279</v>
      </c>
      <c r="AD50" s="18" t="n">
        <v>14378</v>
      </c>
      <c r="AE50" s="18" t="n">
        <v>13977</v>
      </c>
      <c r="AF50" s="18" t="n">
        <v>-401</v>
      </c>
      <c r="AG50" s="18" t="n">
        <v>11479</v>
      </c>
      <c r="AH50" s="18" t="n">
        <v>13540</v>
      </c>
      <c r="AI50" s="24" t="n">
        <v>2061</v>
      </c>
      <c r="AJ50" s="18" t="n">
        <v>14636</v>
      </c>
      <c r="AK50" s="18" t="n">
        <v>16468</v>
      </c>
      <c r="AL50" s="24" t="n">
        <v>1832</v>
      </c>
    </row>
    <row r="51">
      <c r="B51" s="6" t="inlineStr">
        <is>
          <t>小计</t>
        </is>
      </c>
      <c r="C51" s="19" t="n">
        <v>109095</v>
      </c>
      <c r="D51" s="19" t="n">
        <v>93699</v>
      </c>
      <c r="E51" s="19" t="n">
        <v>-15396</v>
      </c>
      <c r="F51" s="19" t="n">
        <v>100983</v>
      </c>
      <c r="G51" s="19" t="n">
        <v>101404</v>
      </c>
      <c r="H51" s="19" t="n">
        <v>421</v>
      </c>
      <c r="I51" s="19" t="n">
        <v>135633</v>
      </c>
      <c r="J51" s="19" t="n">
        <v>141138</v>
      </c>
      <c r="K51" s="19" t="n">
        <v>5505</v>
      </c>
      <c r="L51" s="19" t="n">
        <v>145060</v>
      </c>
      <c r="M51" s="19" t="n">
        <v>154613</v>
      </c>
      <c r="N51" s="19" t="n">
        <v>9553</v>
      </c>
      <c r="O51" s="19" t="n">
        <v>137494</v>
      </c>
      <c r="P51" s="19" t="n">
        <v>148157</v>
      </c>
      <c r="Q51" s="19" t="n">
        <v>10663</v>
      </c>
      <c r="R51" s="19" t="n">
        <v>156078</v>
      </c>
      <c r="S51" s="19" t="n">
        <v>144406</v>
      </c>
      <c r="T51" s="19" t="n">
        <v>-11672</v>
      </c>
      <c r="U51" s="19" t="n">
        <v>159161</v>
      </c>
      <c r="V51" s="19" t="n">
        <v>138085</v>
      </c>
      <c r="W51" s="19" t="n">
        <v>-21076</v>
      </c>
      <c r="X51" s="19" t="n">
        <v>145586</v>
      </c>
      <c r="Y51" s="19" t="n">
        <v>139240</v>
      </c>
      <c r="Z51" s="19" t="n">
        <v>-6346</v>
      </c>
      <c r="AA51" s="19" t="n">
        <v>118441</v>
      </c>
      <c r="AB51" s="19" t="n">
        <v>136336</v>
      </c>
      <c r="AC51" s="19" t="n">
        <v>17895</v>
      </c>
      <c r="AD51" s="19" t="n">
        <v>158793</v>
      </c>
      <c r="AE51" s="19" t="n">
        <v>150766</v>
      </c>
      <c r="AF51" s="19" t="n">
        <v>-8027</v>
      </c>
      <c r="AG51" s="19" t="n">
        <v>132339</v>
      </c>
      <c r="AH51" s="19" t="n">
        <v>119611</v>
      </c>
      <c r="AI51" s="19" t="n">
        <v>-12728</v>
      </c>
      <c r="AJ51" s="19" t="n">
        <v>186334</v>
      </c>
      <c r="AK51" s="19" t="n">
        <v>203911</v>
      </c>
      <c r="AL51" s="19" t="n">
        <v>17577</v>
      </c>
    </row>
  </sheetData>
  <mergeCells count="23">
    <mergeCell ref="U2:W2"/>
    <mergeCell ref="AG2:AI2"/>
    <mergeCell ref="A40:A45"/>
    <mergeCell ref="F2:H2"/>
    <mergeCell ref="B2:B3"/>
    <mergeCell ref="C2:E2"/>
    <mergeCell ref="AD2:AF2"/>
    <mergeCell ref="A1:AL1"/>
    <mergeCell ref="A16:A21"/>
    <mergeCell ref="A2:A3"/>
    <mergeCell ref="O2:Q2"/>
    <mergeCell ref="AA2:AC2"/>
    <mergeCell ref="R2:T2"/>
    <mergeCell ref="A46:A51"/>
    <mergeCell ref="L2:N2"/>
    <mergeCell ref="X2:Z2"/>
    <mergeCell ref="A22:A27"/>
    <mergeCell ref="AJ2:AL2"/>
    <mergeCell ref="I2:K2"/>
    <mergeCell ref="A4:A9"/>
    <mergeCell ref="A34:A39"/>
    <mergeCell ref="A10:A15"/>
    <mergeCell ref="A28:A3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苏州精密机械制造有限公司现金流量表</t>
        </is>
      </c>
    </row>
    <row r="2">
      <c r="A2" s="17" t="inlineStr">
        <is>
          <t>2025年度</t>
        </is>
      </c>
      <c r="G2" t="inlineStr">
        <is>
          <t>单位：元</t>
        </is>
      </c>
    </row>
    <row r="3">
      <c r="A3" s="2" t="inlineStr">
        <is>
          <t>项目</t>
        </is>
      </c>
      <c r="B3" s="2" t="inlineStr">
        <is>
          <t>行次</t>
        </is>
      </c>
      <c r="C3" s="2" t="inlineStr">
        <is>
          <t>Q1</t>
        </is>
      </c>
      <c r="D3" s="2" t="inlineStr">
        <is>
          <t>Q2</t>
        </is>
      </c>
      <c r="E3" s="2" t="inlineStr">
        <is>
          <t>Q3</t>
        </is>
      </c>
      <c r="F3" s="2" t="inlineStr">
        <is>
          <t>Q4</t>
        </is>
      </c>
      <c r="G3" s="2" t="inlineStr">
        <is>
          <t>全年合计</t>
        </is>
      </c>
    </row>
    <row r="4">
      <c r="A4" s="6" t="inlineStr">
        <is>
          <t>一、经营活动产生的现金流量</t>
        </is>
      </c>
    </row>
    <row r="5">
      <c r="A5" s="4" t="inlineStr">
        <is>
          <t>销售商品、提供劳务收到的现金</t>
        </is>
      </c>
      <c r="B5" s="3" t="n">
        <v>1</v>
      </c>
      <c r="C5" s="15" t="n">
        <v>13382266.68</v>
      </c>
      <c r="D5" s="15" t="n">
        <v>17602647.57</v>
      </c>
      <c r="E5" s="15" t="n">
        <v>4674805.11</v>
      </c>
      <c r="F5" s="15" t="n">
        <v>23355992.69</v>
      </c>
      <c r="G5" s="15" t="n">
        <v>59015712.05</v>
      </c>
    </row>
    <row r="6">
      <c r="A6" s="4" t="inlineStr">
        <is>
          <t>收到的税费返还</t>
        </is>
      </c>
      <c r="B6" s="3" t="n">
        <v>2</v>
      </c>
      <c r="C6" s="15" t="n">
        <v>8176828.49</v>
      </c>
      <c r="D6" s="15" t="n">
        <v>1844433.53</v>
      </c>
      <c r="E6" s="15" t="n">
        <v>18953741.56</v>
      </c>
      <c r="F6" s="15" t="n">
        <v>21525265.14</v>
      </c>
      <c r="G6" s="15" t="n">
        <v>50500268.72</v>
      </c>
    </row>
    <row r="7">
      <c r="A7" s="4" t="inlineStr">
        <is>
          <t>收到其他与经营活动有关的现金</t>
        </is>
      </c>
      <c r="B7" s="3" t="n">
        <v>3</v>
      </c>
      <c r="C7" s="15" t="n">
        <v>7330715.97</v>
      </c>
      <c r="D7" s="15" t="n">
        <v>21200000.24</v>
      </c>
      <c r="E7" s="15" t="n">
        <v>2360778.21</v>
      </c>
      <c r="F7" s="15" t="n">
        <v>29744386.83</v>
      </c>
      <c r="G7" s="15" t="n">
        <v>60635881.25</v>
      </c>
    </row>
    <row r="8">
      <c r="A8" s="6" t="inlineStr">
        <is>
          <t>经营活动现金流入小计</t>
        </is>
      </c>
      <c r="B8" s="3" t="n">
        <v>4</v>
      </c>
      <c r="C8" s="16" t="n">
        <v>-4373265.17</v>
      </c>
      <c r="D8" s="16" t="n">
        <v>13375703.11</v>
      </c>
      <c r="E8" s="16" t="n">
        <v>3192673.55</v>
      </c>
      <c r="F8" s="16" t="n">
        <v>13326812.48</v>
      </c>
      <c r="G8" s="16" t="n">
        <v>25521923.97</v>
      </c>
    </row>
    <row r="9">
      <c r="A9" s="4" t="inlineStr">
        <is>
          <t>购买商品、接受劳务支付的现金</t>
        </is>
      </c>
      <c r="B9" s="3" t="n">
        <v>5</v>
      </c>
      <c r="C9" s="15" t="n">
        <v>-7303270.89</v>
      </c>
      <c r="D9" s="15" t="n">
        <v>-9261369.52</v>
      </c>
      <c r="E9" s="15" t="n">
        <v>-19121080.77</v>
      </c>
      <c r="F9" s="15" t="n">
        <v>-21081734.4</v>
      </c>
      <c r="G9" s="15" t="n">
        <v>-56767455.58</v>
      </c>
    </row>
    <row r="10">
      <c r="A10" s="4" t="inlineStr">
        <is>
          <t>支付给职工以及为职工支付的现金</t>
        </is>
      </c>
      <c r="B10" s="3" t="n">
        <v>6</v>
      </c>
      <c r="C10" s="15" t="n">
        <v>-4739190.84</v>
      </c>
      <c r="D10" s="15" t="n">
        <v>-21218717.51</v>
      </c>
      <c r="E10" s="15" t="n">
        <v>-14221686.83</v>
      </c>
      <c r="F10" s="15" t="n">
        <v>-3089368.07</v>
      </c>
      <c r="G10" s="15" t="n">
        <v>-43268963.25</v>
      </c>
    </row>
    <row r="11">
      <c r="A11" s="4" t="inlineStr">
        <is>
          <t>支付的各项税费</t>
        </is>
      </c>
      <c r="B11" s="3" t="n">
        <v>7</v>
      </c>
      <c r="C11" s="15" t="n">
        <v>-1949670.22</v>
      </c>
      <c r="D11" s="15" t="n">
        <v>-18766567.42</v>
      </c>
      <c r="E11" s="15" t="n">
        <v>-4545264.66</v>
      </c>
      <c r="F11" s="15" t="n">
        <v>-5022081.17</v>
      </c>
      <c r="G11" s="15" t="n">
        <v>-30283583.47</v>
      </c>
    </row>
    <row r="12">
      <c r="A12" s="4" t="inlineStr">
        <is>
          <t>支付其他与经营活动有关的现金</t>
        </is>
      </c>
      <c r="B12" s="3" t="n">
        <v>8</v>
      </c>
      <c r="C12" s="15" t="n">
        <v>-9032900.98</v>
      </c>
      <c r="D12" s="15" t="n">
        <v>-8730991.99</v>
      </c>
      <c r="E12" s="15" t="n">
        <v>-12637165.97</v>
      </c>
      <c r="F12" s="15" t="n">
        <v>-22705015.3</v>
      </c>
      <c r="G12" s="15" t="n">
        <v>-53106074.24</v>
      </c>
    </row>
    <row r="13">
      <c r="A13" s="6" t="inlineStr">
        <is>
          <t>经营活动现金流出小计</t>
        </is>
      </c>
      <c r="B13" s="3" t="n">
        <v>9</v>
      </c>
      <c r="C13" s="16" t="n">
        <v>7396959.74</v>
      </c>
      <c r="D13" s="16" t="n">
        <v>13395199.7</v>
      </c>
      <c r="E13" s="16" t="n">
        <v>421372.58</v>
      </c>
      <c r="F13" s="16" t="n">
        <v>6355517.32</v>
      </c>
      <c r="G13" s="16" t="n">
        <v>27569049.34</v>
      </c>
    </row>
    <row r="14">
      <c r="A14" s="6" t="inlineStr">
        <is>
          <t>经营活动产生的现金流量净额</t>
        </is>
      </c>
      <c r="B14" s="3" t="n">
        <v>10</v>
      </c>
      <c r="C14" s="16" t="n">
        <v>-1372885.21</v>
      </c>
      <c r="D14" s="16" t="n">
        <v>663554.9300000001</v>
      </c>
      <c r="E14" s="16" t="n">
        <v>8973066.039999999</v>
      </c>
      <c r="F14" s="16" t="n">
        <v>-2425437.89</v>
      </c>
      <c r="G14" s="16" t="n">
        <v>5838297.87</v>
      </c>
    </row>
    <row r="15">
      <c r="A15" s="6" t="inlineStr">
        <is>
          <t>二、投资活动产生的现金流量</t>
        </is>
      </c>
    </row>
    <row r="16">
      <c r="A16" s="4" t="inlineStr">
        <is>
          <t>收回投资收到的现金</t>
        </is>
      </c>
      <c r="B16" s="3" t="n">
        <v>11</v>
      </c>
      <c r="C16" s="15" t="n">
        <v>12471189.64</v>
      </c>
      <c r="D16" s="15" t="n">
        <v>5194486.57</v>
      </c>
      <c r="E16" s="15" t="n">
        <v>10090708.88</v>
      </c>
      <c r="F16" s="15" t="n">
        <v>19412625.83</v>
      </c>
      <c r="G16" s="15" t="n">
        <v>47169010.92</v>
      </c>
    </row>
    <row r="17">
      <c r="A17" s="4" t="inlineStr">
        <is>
          <t>取得投资收益收到的现金</t>
        </is>
      </c>
      <c r="B17" s="3" t="n">
        <v>12</v>
      </c>
      <c r="C17" s="15" t="n">
        <v>19222800.22</v>
      </c>
      <c r="D17" s="15" t="n">
        <v>14686056.89</v>
      </c>
      <c r="E17" s="15" t="n">
        <v>15761261.12</v>
      </c>
      <c r="F17" s="15" t="n">
        <v>2281612.99</v>
      </c>
      <c r="G17" s="15" t="n">
        <v>51951731.22</v>
      </c>
    </row>
    <row r="18">
      <c r="A18" s="4" t="inlineStr">
        <is>
          <t>处置固定资产、无形资产收到的现金净额</t>
        </is>
      </c>
      <c r="B18" s="3" t="n">
        <v>13</v>
      </c>
      <c r="C18" s="15" t="n">
        <v>11997277.88</v>
      </c>
      <c r="D18" s="15" t="n">
        <v>21167318.27</v>
      </c>
      <c r="E18" s="15" t="n">
        <v>28391915.31</v>
      </c>
      <c r="F18" s="15" t="n">
        <v>28971267.83</v>
      </c>
      <c r="G18" s="15" t="n">
        <v>90527779.29000001</v>
      </c>
    </row>
    <row r="19">
      <c r="A19" s="6" t="inlineStr">
        <is>
          <t>投资活动现金流入小计</t>
        </is>
      </c>
      <c r="B19" s="3" t="n">
        <v>14</v>
      </c>
      <c r="C19" s="16" t="n">
        <v>6853528.66</v>
      </c>
      <c r="D19" s="16" t="n">
        <v>670149.85</v>
      </c>
      <c r="E19" s="16" t="n">
        <v>11403978.15</v>
      </c>
      <c r="F19" s="16" t="n">
        <v>6252996.47</v>
      </c>
      <c r="G19" s="16" t="n">
        <v>25180653.13</v>
      </c>
    </row>
    <row r="20">
      <c r="A20" s="4" t="inlineStr">
        <is>
          <t>购建固定资产、无形资产支付的现金</t>
        </is>
      </c>
      <c r="B20" s="3" t="n">
        <v>15</v>
      </c>
      <c r="C20" s="15" t="n">
        <v>-14648017.86</v>
      </c>
      <c r="D20" s="15" t="n">
        <v>-11836653.47</v>
      </c>
      <c r="E20" s="15" t="n">
        <v>-7934018.62</v>
      </c>
      <c r="F20" s="15" t="n">
        <v>-19686325.22</v>
      </c>
      <c r="G20" s="15" t="n">
        <v>-54105015.17</v>
      </c>
    </row>
    <row r="21">
      <c r="A21" s="4" t="inlineStr">
        <is>
          <t>投资支付的现金</t>
        </is>
      </c>
      <c r="B21" s="3" t="n">
        <v>16</v>
      </c>
      <c r="C21" s="15" t="n">
        <v>-17570554.29</v>
      </c>
      <c r="D21" s="15" t="n">
        <v>-11237941.25</v>
      </c>
      <c r="E21" s="15" t="n">
        <v>-4505635.95</v>
      </c>
      <c r="F21" s="15" t="n">
        <v>-18603261.66</v>
      </c>
      <c r="G21" s="15" t="n">
        <v>-51917393.15</v>
      </c>
    </row>
    <row r="22">
      <c r="A22" s="6" t="inlineStr">
        <is>
          <t>投资活动现金流出小计</t>
        </is>
      </c>
      <c r="B22" s="3" t="n">
        <v>17</v>
      </c>
      <c r="C22" s="16" t="n">
        <v>1781120.66</v>
      </c>
      <c r="D22" s="16" t="n">
        <v>3365071.23</v>
      </c>
      <c r="E22" s="16" t="n">
        <v>11665046.84</v>
      </c>
      <c r="F22" s="16" t="n">
        <v>-2597403.68</v>
      </c>
      <c r="G22" s="16" t="n">
        <v>14213835.05</v>
      </c>
    </row>
    <row r="23">
      <c r="A23" s="6" t="inlineStr">
        <is>
          <t>投资活动产生的现金流量净额</t>
        </is>
      </c>
      <c r="B23" s="3" t="n">
        <v>18</v>
      </c>
      <c r="C23" s="16" t="n">
        <v>1565099.57</v>
      </c>
      <c r="D23" s="16" t="n">
        <v>6584711.41</v>
      </c>
      <c r="E23" s="16" t="n">
        <v>1831799.22</v>
      </c>
      <c r="F23" s="16" t="n">
        <v>-4312339.27</v>
      </c>
      <c r="G23" s="16" t="n">
        <v>5669270.93</v>
      </c>
    </row>
    <row r="24">
      <c r="A24" s="6" t="inlineStr">
        <is>
          <t>三、筹资活动产生的现金流量</t>
        </is>
      </c>
    </row>
    <row r="25">
      <c r="A25" s="4" t="inlineStr">
        <is>
          <t>吸收投资收到的现金</t>
        </is>
      </c>
      <c r="B25" s="3" t="n">
        <v>19</v>
      </c>
      <c r="C25" s="15" t="n">
        <v>4618517.37</v>
      </c>
      <c r="D25" s="15" t="n">
        <v>13773540.9</v>
      </c>
      <c r="E25" s="15" t="n">
        <v>15036794.4</v>
      </c>
      <c r="F25" s="15" t="n">
        <v>20577195.62</v>
      </c>
      <c r="G25" s="15" t="n">
        <v>54006048.29</v>
      </c>
    </row>
    <row r="26">
      <c r="A26" s="4" t="inlineStr">
        <is>
          <t>取得借款收到的现金</t>
        </is>
      </c>
      <c r="B26" s="3" t="n">
        <v>20</v>
      </c>
      <c r="C26" s="15" t="n">
        <v>18764091.8</v>
      </c>
      <c r="D26" s="15" t="n">
        <v>11648819.13</v>
      </c>
      <c r="E26" s="15" t="n">
        <v>4949655.04</v>
      </c>
      <c r="F26" s="15" t="n">
        <v>5916407.39</v>
      </c>
      <c r="G26" s="15" t="n">
        <v>41278973.36</v>
      </c>
    </row>
    <row r="27">
      <c r="A27" s="6" t="inlineStr">
        <is>
          <t>筹资活动现金流入小计</t>
        </is>
      </c>
      <c r="B27" s="3" t="n">
        <v>21</v>
      </c>
      <c r="C27" s="16" t="n">
        <v>10300668.08</v>
      </c>
      <c r="D27" s="16" t="n">
        <v>-1899393.67</v>
      </c>
      <c r="E27" s="16" t="n">
        <v>-2007496.04</v>
      </c>
      <c r="F27" s="16" t="n">
        <v>4558150.25</v>
      </c>
      <c r="G27" s="16" t="n">
        <v>10951928.62</v>
      </c>
    </row>
    <row r="28">
      <c r="A28" s="4" t="inlineStr">
        <is>
          <t>偿还债务支付的现金</t>
        </is>
      </c>
      <c r="B28" s="3" t="n">
        <v>22</v>
      </c>
      <c r="C28" s="15" t="n">
        <v>-7562370.74</v>
      </c>
      <c r="D28" s="15" t="n">
        <v>-19909935.99</v>
      </c>
      <c r="E28" s="15" t="n">
        <v>-25434421.92</v>
      </c>
      <c r="F28" s="15" t="n">
        <v>-22205201.12</v>
      </c>
      <c r="G28" s="15" t="n">
        <v>-75111929.77</v>
      </c>
    </row>
    <row r="29">
      <c r="A29" s="4" t="inlineStr">
        <is>
          <t>分配股利、利润或偿付利息支付的现金</t>
        </is>
      </c>
      <c r="B29" s="3" t="n">
        <v>23</v>
      </c>
      <c r="C29" s="15" t="n">
        <v>-18620414.22</v>
      </c>
      <c r="D29" s="15" t="n">
        <v>-17280814.15</v>
      </c>
      <c r="E29" s="15" t="n">
        <v>-6299900.69</v>
      </c>
      <c r="F29" s="15" t="n">
        <v>-3746599.8</v>
      </c>
      <c r="G29" s="15" t="n">
        <v>-45947728.86</v>
      </c>
    </row>
    <row r="30">
      <c r="A30" s="6" t="inlineStr">
        <is>
          <t>筹资活动现金流出小计</t>
        </is>
      </c>
      <c r="B30" s="3" t="n">
        <v>24</v>
      </c>
      <c r="C30" s="16" t="n">
        <v>12859023.02</v>
      </c>
      <c r="D30" s="16" t="n">
        <v>7580795.45</v>
      </c>
      <c r="E30" s="16" t="n">
        <v>-3929290.79</v>
      </c>
      <c r="F30" s="16" t="n">
        <v>1743227.24</v>
      </c>
      <c r="G30" s="16" t="n">
        <v>18253754.92</v>
      </c>
    </row>
    <row r="31">
      <c r="A31" s="6" t="inlineStr">
        <is>
          <t>筹资活动产生的现金流量净额</t>
        </is>
      </c>
      <c r="B31" s="3" t="n">
        <v>25</v>
      </c>
      <c r="C31" s="16" t="n">
        <v>13916504.46</v>
      </c>
      <c r="D31" s="16" t="n">
        <v>1692393.87</v>
      </c>
      <c r="E31" s="16" t="n">
        <v>-182979.22</v>
      </c>
      <c r="F31" s="16" t="n">
        <v>779493.59</v>
      </c>
      <c r="G31" s="16" t="n">
        <v>16205412.7</v>
      </c>
    </row>
    <row r="32">
      <c r="A32" s="4" t="inlineStr">
        <is>
          <t>四、汇率变动对现金的影响</t>
        </is>
      </c>
      <c r="B32" s="3" t="n">
        <v>26</v>
      </c>
      <c r="C32" s="15" t="n">
        <v>-144353.59</v>
      </c>
      <c r="D32" s="15" t="n">
        <v>463425.92</v>
      </c>
      <c r="E32" s="15" t="n">
        <v>387730.17</v>
      </c>
      <c r="F32" s="15" t="n">
        <v>-136469.47</v>
      </c>
      <c r="G32" s="15" t="n">
        <v>570333.03</v>
      </c>
    </row>
    <row r="33">
      <c r="A33" s="6" t="inlineStr">
        <is>
          <t>五、现金及现金等价物净增加额</t>
        </is>
      </c>
      <c r="B33" s="3" t="n">
        <v>27</v>
      </c>
      <c r="C33" s="16" t="n">
        <v>3626952.02</v>
      </c>
      <c r="D33" s="16" t="n">
        <v>-1227571.15</v>
      </c>
      <c r="E33" s="16" t="n">
        <v>-2487441</v>
      </c>
      <c r="F33" s="16" t="n">
        <v>14537913.16</v>
      </c>
      <c r="G33" s="16" t="n">
        <v>14449853.03</v>
      </c>
    </row>
    <row r="34">
      <c r="A34" s="4" t="inlineStr">
        <is>
          <t>加：期初现金及现金等价物余额</t>
        </is>
      </c>
      <c r="B34" s="3" t="n">
        <v>28</v>
      </c>
      <c r="C34" s="15" t="n">
        <v>456311.44</v>
      </c>
      <c r="D34" s="15" t="n">
        <v>163561.9</v>
      </c>
      <c r="E34" s="15" t="n">
        <v>-296462.67</v>
      </c>
      <c r="F34" s="15" t="n">
        <v>294331.99</v>
      </c>
      <c r="G34" s="15" t="n">
        <v>617742.66</v>
      </c>
    </row>
    <row r="35">
      <c r="A35" s="6" t="inlineStr">
        <is>
          <t>六、期末现金及现金等价物余额</t>
        </is>
      </c>
      <c r="B35" s="3" t="n">
        <v>29</v>
      </c>
      <c r="C35" s="16" t="n">
        <v>13278065.15</v>
      </c>
      <c r="D35" s="16" t="n">
        <v>4577326.85</v>
      </c>
      <c r="E35" s="16" t="n">
        <v>14115491.38</v>
      </c>
      <c r="F35" s="16" t="n">
        <v>10075021.76</v>
      </c>
      <c r="G35" s="16" t="n">
        <v>42045905.14</v>
      </c>
    </row>
  </sheetData>
  <mergeCells count="2">
    <mergeCell ref="A2:E2"/>
    <mergeCell ref="A1:F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P5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</cols>
  <sheetData>
    <row r="1">
      <c r="B1" s="2" t="inlineStr">
        <is>
          <t>华东</t>
        </is>
      </c>
      <c r="Z1" s="2" t="inlineStr">
        <is>
          <t>华北</t>
        </is>
      </c>
      <c r="AX1" s="2" t="inlineStr">
        <is>
          <t>华南</t>
        </is>
      </c>
      <c r="BV1" s="2" t="inlineStr">
        <is>
          <t>西南</t>
        </is>
      </c>
    </row>
    <row r="2">
      <c r="B2" s="2" t="inlineStr">
        <is>
          <t>Q1</t>
        </is>
      </c>
      <c r="H2" s="2" t="inlineStr">
        <is>
          <t>Q2</t>
        </is>
      </c>
      <c r="N2" s="2" t="inlineStr">
        <is>
          <t>Q3</t>
        </is>
      </c>
      <c r="T2" s="2" t="inlineStr">
        <is>
          <t>Q4</t>
        </is>
      </c>
      <c r="Z2" s="2" t="inlineStr">
        <is>
          <t>Q1</t>
        </is>
      </c>
      <c r="AF2" s="2" t="inlineStr">
        <is>
          <t>Q2</t>
        </is>
      </c>
      <c r="AL2" s="2" t="inlineStr">
        <is>
          <t>Q3</t>
        </is>
      </c>
      <c r="AR2" s="2" t="inlineStr">
        <is>
          <t>Q4</t>
        </is>
      </c>
      <c r="AX2" s="2" t="inlineStr">
        <is>
          <t>Q1</t>
        </is>
      </c>
      <c r="BD2" s="2" t="inlineStr">
        <is>
          <t>Q2</t>
        </is>
      </c>
      <c r="BJ2" s="2" t="inlineStr">
        <is>
          <t>Q3</t>
        </is>
      </c>
      <c r="BP2" s="2" t="inlineStr">
        <is>
          <t>Q4</t>
        </is>
      </c>
      <c r="BV2" s="2" t="inlineStr">
        <is>
          <t>Q1</t>
        </is>
      </c>
      <c r="CB2" s="2" t="inlineStr">
        <is>
          <t>Q2</t>
        </is>
      </c>
      <c r="CH2" s="2" t="inlineStr">
        <is>
          <t>Q3</t>
        </is>
      </c>
      <c r="CN2" s="2" t="inlineStr">
        <is>
          <t>Q4</t>
        </is>
      </c>
      <c r="CT2" s="2" t="inlineStr">
        <is>
          <t>Q1</t>
        </is>
      </c>
      <c r="CZ2" s="2" t="inlineStr">
        <is>
          <t>Q2</t>
        </is>
      </c>
      <c r="DF2" s="2" t="inlineStr">
        <is>
          <t>Q3</t>
        </is>
      </c>
    </row>
    <row r="3">
      <c r="A3" s="2" t="inlineStr">
        <is>
          <t>产品</t>
        </is>
      </c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费用</t>
        </is>
      </c>
      <c r="F3" s="2" t="inlineStr">
        <is>
          <t>净利</t>
        </is>
      </c>
      <c r="G3" s="2" t="inlineStr">
        <is>
          <t>预算</t>
        </is>
      </c>
      <c r="H3" s="2" t="inlineStr">
        <is>
          <t>收入</t>
        </is>
      </c>
      <c r="I3" s="2" t="inlineStr">
        <is>
          <t>成本</t>
        </is>
      </c>
      <c r="J3" s="2" t="inlineStr">
        <is>
          <t>毛利</t>
        </is>
      </c>
      <c r="K3" s="2" t="inlineStr">
        <is>
          <t>费用</t>
        </is>
      </c>
      <c r="L3" s="2" t="inlineStr">
        <is>
          <t>净利</t>
        </is>
      </c>
      <c r="M3" s="2" t="inlineStr">
        <is>
          <t>预算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费用</t>
        </is>
      </c>
      <c r="R3" s="2" t="inlineStr">
        <is>
          <t>净利</t>
        </is>
      </c>
      <c r="S3" s="2" t="inlineStr">
        <is>
          <t>预算</t>
        </is>
      </c>
      <c r="T3" s="2" t="inlineStr">
        <is>
          <t>收入</t>
        </is>
      </c>
      <c r="U3" s="2" t="inlineStr">
        <is>
          <t>成本</t>
        </is>
      </c>
      <c r="V3" s="2" t="inlineStr">
        <is>
          <t>毛利</t>
        </is>
      </c>
      <c r="W3" s="2" t="inlineStr">
        <is>
          <t>费用</t>
        </is>
      </c>
      <c r="X3" s="2" t="inlineStr">
        <is>
          <t>净利</t>
        </is>
      </c>
      <c r="Y3" s="2" t="inlineStr">
        <is>
          <t>预算</t>
        </is>
      </c>
      <c r="Z3" s="2" t="inlineStr">
        <is>
          <t>收入</t>
        </is>
      </c>
      <c r="AA3" s="2" t="inlineStr">
        <is>
          <t>成本</t>
        </is>
      </c>
      <c r="AB3" s="2" t="inlineStr">
        <is>
          <t>毛利</t>
        </is>
      </c>
      <c r="AC3" s="2" t="inlineStr">
        <is>
          <t>费用</t>
        </is>
      </c>
      <c r="AD3" s="2" t="inlineStr">
        <is>
          <t>净利</t>
        </is>
      </c>
      <c r="AE3" s="2" t="inlineStr">
        <is>
          <t>预算</t>
        </is>
      </c>
      <c r="AF3" s="2" t="inlineStr">
        <is>
          <t>收入</t>
        </is>
      </c>
      <c r="AG3" s="2" t="inlineStr">
        <is>
          <t>成本</t>
        </is>
      </c>
      <c r="AH3" s="2" t="inlineStr">
        <is>
          <t>毛利</t>
        </is>
      </c>
      <c r="AI3" s="2" t="inlineStr">
        <is>
          <t>费用</t>
        </is>
      </c>
      <c r="AJ3" s="2" t="inlineStr">
        <is>
          <t>净利</t>
        </is>
      </c>
      <c r="AK3" s="2" t="inlineStr">
        <is>
          <t>预算</t>
        </is>
      </c>
      <c r="AL3" s="2" t="inlineStr">
        <is>
          <t>收入</t>
        </is>
      </c>
      <c r="AM3" s="2" t="inlineStr">
        <is>
          <t>成本</t>
        </is>
      </c>
      <c r="AN3" s="2" t="inlineStr">
        <is>
          <t>毛利</t>
        </is>
      </c>
      <c r="AO3" s="2" t="inlineStr">
        <is>
          <t>费用</t>
        </is>
      </c>
      <c r="AP3" s="2" t="inlineStr">
        <is>
          <t>净利</t>
        </is>
      </c>
      <c r="AQ3" s="2" t="inlineStr">
        <is>
          <t>预算</t>
        </is>
      </c>
      <c r="AR3" s="2" t="inlineStr">
        <is>
          <t>收入</t>
        </is>
      </c>
      <c r="AS3" s="2" t="inlineStr">
        <is>
          <t>成本</t>
        </is>
      </c>
      <c r="AT3" s="2" t="inlineStr">
        <is>
          <t>毛利</t>
        </is>
      </c>
      <c r="AU3" s="2" t="inlineStr">
        <is>
          <t>费用</t>
        </is>
      </c>
      <c r="AV3" s="2" t="inlineStr">
        <is>
          <t>净利</t>
        </is>
      </c>
      <c r="AW3" s="2" t="inlineStr">
        <is>
          <t>预算</t>
        </is>
      </c>
      <c r="AX3" s="2" t="inlineStr">
        <is>
          <t>收入</t>
        </is>
      </c>
      <c r="AY3" s="2" t="inlineStr">
        <is>
          <t>成本</t>
        </is>
      </c>
      <c r="AZ3" s="2" t="inlineStr">
        <is>
          <t>毛利</t>
        </is>
      </c>
      <c r="BA3" s="2" t="inlineStr">
        <is>
          <t>费用</t>
        </is>
      </c>
      <c r="BB3" s="2" t="inlineStr">
        <is>
          <t>净利</t>
        </is>
      </c>
      <c r="BC3" s="2" t="inlineStr">
        <is>
          <t>预算</t>
        </is>
      </c>
      <c r="BD3" s="2" t="inlineStr">
        <is>
          <t>收入</t>
        </is>
      </c>
      <c r="BE3" s="2" t="inlineStr">
        <is>
          <t>成本</t>
        </is>
      </c>
      <c r="BF3" s="2" t="inlineStr">
        <is>
          <t>毛利</t>
        </is>
      </c>
      <c r="BG3" s="2" t="inlineStr">
        <is>
          <t>费用</t>
        </is>
      </c>
      <c r="BH3" s="2" t="inlineStr">
        <is>
          <t>净利</t>
        </is>
      </c>
      <c r="BI3" s="2" t="inlineStr">
        <is>
          <t>预算</t>
        </is>
      </c>
      <c r="BJ3" s="2" t="inlineStr">
        <is>
          <t>收入</t>
        </is>
      </c>
      <c r="BK3" s="2" t="inlineStr">
        <is>
          <t>成本</t>
        </is>
      </c>
      <c r="BL3" s="2" t="inlineStr">
        <is>
          <t>毛利</t>
        </is>
      </c>
      <c r="BM3" s="2" t="inlineStr">
        <is>
          <t>费用</t>
        </is>
      </c>
      <c r="BN3" s="2" t="inlineStr">
        <is>
          <t>净利</t>
        </is>
      </c>
      <c r="BO3" s="2" t="inlineStr">
        <is>
          <t>预算</t>
        </is>
      </c>
      <c r="BP3" s="2" t="inlineStr">
        <is>
          <t>收入</t>
        </is>
      </c>
      <c r="BQ3" s="2" t="inlineStr">
        <is>
          <t>成本</t>
        </is>
      </c>
      <c r="BR3" s="2" t="inlineStr">
        <is>
          <t>毛利</t>
        </is>
      </c>
      <c r="BS3" s="2" t="inlineStr">
        <is>
          <t>费用</t>
        </is>
      </c>
      <c r="BT3" s="2" t="inlineStr">
        <is>
          <t>净利</t>
        </is>
      </c>
      <c r="BU3" s="2" t="inlineStr">
        <is>
          <t>预算</t>
        </is>
      </c>
      <c r="BV3" s="2" t="inlineStr">
        <is>
          <t>收入</t>
        </is>
      </c>
      <c r="BW3" s="2" t="inlineStr">
        <is>
          <t>成本</t>
        </is>
      </c>
      <c r="BX3" s="2" t="inlineStr">
        <is>
          <t>毛利</t>
        </is>
      </c>
      <c r="BY3" s="2" t="inlineStr">
        <is>
          <t>费用</t>
        </is>
      </c>
      <c r="BZ3" s="2" t="inlineStr">
        <is>
          <t>净利</t>
        </is>
      </c>
      <c r="CA3" s="2" t="inlineStr">
        <is>
          <t>预算</t>
        </is>
      </c>
      <c r="CB3" s="2" t="inlineStr">
        <is>
          <t>收入</t>
        </is>
      </c>
      <c r="CC3" s="2" t="inlineStr">
        <is>
          <t>成本</t>
        </is>
      </c>
      <c r="CD3" s="2" t="inlineStr">
        <is>
          <t>毛利</t>
        </is>
      </c>
      <c r="CE3" s="2" t="inlineStr">
        <is>
          <t>费用</t>
        </is>
      </c>
      <c r="CF3" s="2" t="inlineStr">
        <is>
          <t>净利</t>
        </is>
      </c>
      <c r="CG3" s="2" t="inlineStr">
        <is>
          <t>预算</t>
        </is>
      </c>
      <c r="CH3" s="2" t="inlineStr">
        <is>
          <t>收入</t>
        </is>
      </c>
      <c r="CI3" s="2" t="inlineStr">
        <is>
          <t>成本</t>
        </is>
      </c>
      <c r="CJ3" s="2" t="inlineStr">
        <is>
          <t>毛利</t>
        </is>
      </c>
      <c r="CK3" s="2" t="inlineStr">
        <is>
          <t>费用</t>
        </is>
      </c>
      <c r="CL3" s="2" t="inlineStr">
        <is>
          <t>净利</t>
        </is>
      </c>
      <c r="CM3" s="2" t="inlineStr">
        <is>
          <t>预算</t>
        </is>
      </c>
      <c r="CN3" s="2" t="inlineStr">
        <is>
          <t>收入</t>
        </is>
      </c>
      <c r="CO3" s="2" t="inlineStr">
        <is>
          <t>成本</t>
        </is>
      </c>
      <c r="CP3" s="2" t="inlineStr">
        <is>
          <t>毛利</t>
        </is>
      </c>
      <c r="CQ3" s="2" t="inlineStr">
        <is>
          <t>费用</t>
        </is>
      </c>
      <c r="CR3" s="2" t="inlineStr">
        <is>
          <t>净利</t>
        </is>
      </c>
      <c r="CS3" s="2" t="inlineStr">
        <is>
          <t>预算</t>
        </is>
      </c>
      <c r="CT3" s="2" t="inlineStr">
        <is>
          <t>收入</t>
        </is>
      </c>
      <c r="CU3" s="2" t="inlineStr">
        <is>
          <t>成本</t>
        </is>
      </c>
      <c r="CV3" s="2" t="inlineStr">
        <is>
          <t>毛利</t>
        </is>
      </c>
      <c r="CW3" s="2" t="inlineStr">
        <is>
          <t>费用</t>
        </is>
      </c>
      <c r="CX3" s="2" t="inlineStr">
        <is>
          <t>净利</t>
        </is>
      </c>
      <c r="CY3" s="2" t="inlineStr">
        <is>
          <t>预算</t>
        </is>
      </c>
      <c r="CZ3" s="2" t="inlineStr">
        <is>
          <t>收入</t>
        </is>
      </c>
      <c r="DA3" s="2" t="inlineStr">
        <is>
          <t>成本</t>
        </is>
      </c>
      <c r="DB3" s="2" t="inlineStr">
        <is>
          <t>毛利</t>
        </is>
      </c>
      <c r="DC3" s="2" t="inlineStr">
        <is>
          <t>费用</t>
        </is>
      </c>
      <c r="DD3" s="2" t="inlineStr">
        <is>
          <t>净利</t>
        </is>
      </c>
      <c r="DE3" s="2" t="inlineStr">
        <is>
          <t>预算</t>
        </is>
      </c>
      <c r="DF3" s="2" t="inlineStr">
        <is>
          <t>收入</t>
        </is>
      </c>
      <c r="DG3" s="2" t="inlineStr">
        <is>
          <t>成本</t>
        </is>
      </c>
      <c r="DH3" s="2" t="inlineStr">
        <is>
          <t>毛利</t>
        </is>
      </c>
      <c r="DI3" s="2" t="inlineStr">
        <is>
          <t>费用</t>
        </is>
      </c>
      <c r="DJ3" s="2" t="inlineStr">
        <is>
          <t>净利</t>
        </is>
      </c>
      <c r="DK3" s="2" t="inlineStr">
        <is>
          <t>预算</t>
        </is>
      </c>
      <c r="DL3" s="2" t="inlineStr">
        <is>
          <t>收入</t>
        </is>
      </c>
      <c r="DM3" s="2" t="inlineStr">
        <is>
          <t>成本</t>
        </is>
      </c>
      <c r="DN3" s="2" t="inlineStr">
        <is>
          <t>毛利</t>
        </is>
      </c>
      <c r="DO3" s="2" t="inlineStr">
        <is>
          <t>费用</t>
        </is>
      </c>
      <c r="DP3" s="2" t="inlineStr">
        <is>
          <t>净利</t>
        </is>
      </c>
    </row>
    <row r="4">
      <c r="A4" s="4" t="inlineStr">
        <is>
          <t>数控机床</t>
        </is>
      </c>
      <c r="B4" s="15" t="n">
        <v>3198495.07</v>
      </c>
      <c r="C4" s="15" t="n">
        <v>328001.15</v>
      </c>
      <c r="D4" s="15" t="n">
        <v>2466505.39</v>
      </c>
      <c r="E4" s="15" t="n">
        <v>465379.67</v>
      </c>
      <c r="F4" s="15" t="n">
        <v>1634500.34</v>
      </c>
      <c r="G4" s="15" t="n">
        <v>1892950.6</v>
      </c>
      <c r="H4" s="15" t="n">
        <v>6055966.73</v>
      </c>
      <c r="I4" s="15" t="n">
        <v>2650133.67</v>
      </c>
      <c r="J4" s="15" t="n">
        <v>119008.8</v>
      </c>
      <c r="K4" s="15" t="n">
        <v>321770.75</v>
      </c>
      <c r="L4" s="15" t="n">
        <v>1529725.38</v>
      </c>
      <c r="M4" s="15" t="n">
        <v>1846974.29</v>
      </c>
      <c r="N4" s="15" t="n">
        <v>734014.12</v>
      </c>
      <c r="O4" s="15" t="n">
        <v>481583.43</v>
      </c>
      <c r="P4" s="15" t="n">
        <v>2734831.54</v>
      </c>
      <c r="Q4" s="15" t="n">
        <v>515162.02</v>
      </c>
      <c r="R4" s="15" t="n">
        <v>1125846.33</v>
      </c>
      <c r="S4" s="15" t="n">
        <v>4623837.23</v>
      </c>
      <c r="T4" s="15" t="n">
        <v>837149.4300000001</v>
      </c>
      <c r="U4" s="15" t="n">
        <v>3257250.02</v>
      </c>
      <c r="V4" s="15" t="n">
        <v>1386671.14</v>
      </c>
      <c r="W4" s="15" t="n">
        <v>185162.49</v>
      </c>
      <c r="X4" s="15" t="n">
        <v>696971.0600000001</v>
      </c>
      <c r="Y4" s="15" t="n">
        <v>2376247.37</v>
      </c>
      <c r="Z4" s="15" t="n">
        <v>489760.01</v>
      </c>
      <c r="AA4" s="15" t="n">
        <v>4227150.85</v>
      </c>
      <c r="AB4" s="15" t="n">
        <v>2054499.14</v>
      </c>
      <c r="AC4" s="15" t="n">
        <v>193288.83</v>
      </c>
      <c r="AD4" s="15" t="n">
        <v>-125153.81</v>
      </c>
      <c r="AE4" s="15" t="n">
        <v>4118226.31</v>
      </c>
      <c r="AF4" s="15" t="n">
        <v>414944.09</v>
      </c>
      <c r="AG4" s="15" t="n">
        <v>2629073.93</v>
      </c>
      <c r="AH4" s="15" t="n">
        <v>2891647.62</v>
      </c>
      <c r="AI4" s="15" t="n">
        <v>395475.18</v>
      </c>
      <c r="AJ4" s="15" t="n">
        <v>990762.51</v>
      </c>
      <c r="AK4" s="15" t="n">
        <v>2179532.45</v>
      </c>
      <c r="AL4" s="15" t="n">
        <v>5142243.22</v>
      </c>
      <c r="AM4" s="15" t="n">
        <v>4409677.75</v>
      </c>
      <c r="AN4" s="15" t="n">
        <v>129233.43</v>
      </c>
      <c r="AO4" s="15" t="n">
        <v>288277.08</v>
      </c>
      <c r="AP4" s="15" t="n">
        <v>1644302.88</v>
      </c>
      <c r="AQ4" s="15" t="n">
        <v>1277792.81</v>
      </c>
      <c r="AR4" s="15" t="n">
        <v>725349.86</v>
      </c>
      <c r="AS4" s="15" t="n">
        <v>566398.47</v>
      </c>
      <c r="AT4" s="15" t="n">
        <v>2528420.48</v>
      </c>
      <c r="AU4" s="15" t="n">
        <v>142310.49</v>
      </c>
      <c r="AV4" s="15" t="n">
        <v>112496.68</v>
      </c>
      <c r="AW4" s="15" t="n">
        <v>1796008.56</v>
      </c>
      <c r="AX4" s="15" t="n">
        <v>392390.57</v>
      </c>
      <c r="AY4" s="15" t="n">
        <v>3212996.51</v>
      </c>
      <c r="AZ4" s="15" t="n">
        <v>2067338.09</v>
      </c>
      <c r="BA4" s="15" t="n">
        <v>554172.28</v>
      </c>
      <c r="BB4" s="15" t="n">
        <v>1504417.88</v>
      </c>
      <c r="BC4" s="15" t="n">
        <v>5649734.34</v>
      </c>
      <c r="BD4" s="15" t="n">
        <v>3335703.79</v>
      </c>
      <c r="BE4" s="15" t="n">
        <v>2294004.35</v>
      </c>
      <c r="BF4" s="15" t="n">
        <v>156417.78</v>
      </c>
      <c r="BG4" s="15" t="n">
        <v>683590.59</v>
      </c>
      <c r="BH4" s="15" t="n">
        <v>1397508.06</v>
      </c>
      <c r="BI4" s="15" t="n">
        <v>5350105.49</v>
      </c>
      <c r="BJ4" s="15" t="n">
        <v>4143572.51</v>
      </c>
      <c r="BK4" s="15" t="n">
        <v>2896001.45</v>
      </c>
      <c r="BL4" s="15" t="n">
        <v>1570717.1</v>
      </c>
      <c r="BM4" s="15" t="n">
        <v>708573.1800000001</v>
      </c>
      <c r="BN4" s="15" t="n">
        <v>2235421.53</v>
      </c>
      <c r="BO4" s="15" t="n">
        <v>489169.43</v>
      </c>
      <c r="BP4" s="15" t="n">
        <v>4062374</v>
      </c>
      <c r="BQ4" s="15" t="n">
        <v>1021634.76</v>
      </c>
      <c r="BR4" s="15" t="n">
        <v>912547.97</v>
      </c>
      <c r="BS4" s="15" t="n">
        <v>715154.8199999999</v>
      </c>
      <c r="BT4" s="15" t="n">
        <v>846976.4399999999</v>
      </c>
      <c r="BU4" s="15" t="n">
        <v>704117.34</v>
      </c>
      <c r="BV4" s="15" t="n">
        <v>5706019.42</v>
      </c>
      <c r="BW4" s="15" t="n">
        <v>3498598.5</v>
      </c>
      <c r="BX4" s="15" t="n">
        <v>1313862.44</v>
      </c>
      <c r="BY4" s="15" t="n">
        <v>197622.4</v>
      </c>
      <c r="BZ4" s="15" t="n">
        <v>1949023.95</v>
      </c>
      <c r="CA4" s="15" t="n">
        <v>5298387.02</v>
      </c>
      <c r="CB4" s="15" t="n">
        <v>6062227.94</v>
      </c>
      <c r="CC4" s="15" t="n">
        <v>3349643.72</v>
      </c>
      <c r="CD4" s="15" t="n">
        <v>1644722.49</v>
      </c>
      <c r="CE4" s="15" t="n">
        <v>234748.57</v>
      </c>
      <c r="CF4" s="15" t="n">
        <v>1483366.71</v>
      </c>
      <c r="CG4" s="15" t="n">
        <v>1211293.87</v>
      </c>
      <c r="CH4" s="15" t="n">
        <v>1519657.17</v>
      </c>
      <c r="CI4" s="15" t="n">
        <v>3467728.5</v>
      </c>
      <c r="CJ4" s="15" t="n">
        <v>1321845.48</v>
      </c>
      <c r="CK4" s="15" t="n">
        <v>368339.97</v>
      </c>
      <c r="CL4" s="15" t="n">
        <v>79693.21000000001</v>
      </c>
      <c r="CM4" s="15" t="n">
        <v>4919091.75</v>
      </c>
      <c r="CN4" s="15" t="n">
        <v>2406112.49</v>
      </c>
      <c r="CO4" s="15" t="n">
        <v>3830683.51</v>
      </c>
      <c r="CP4" s="15" t="n">
        <v>795241.83</v>
      </c>
      <c r="CQ4" s="15" t="n">
        <v>491459.45</v>
      </c>
      <c r="CR4" s="15" t="n">
        <v>195017.2</v>
      </c>
      <c r="CS4" s="15" t="n">
        <v>4143237.17</v>
      </c>
      <c r="CT4" s="15" t="n">
        <v>1373435.26</v>
      </c>
      <c r="CU4" s="15" t="n">
        <v>2272529.73</v>
      </c>
      <c r="CV4" s="15" t="n">
        <v>2466679.95</v>
      </c>
      <c r="CW4" s="15" t="n">
        <v>313751.83</v>
      </c>
      <c r="CX4" s="15" t="n">
        <v>827975.41</v>
      </c>
      <c r="CY4" s="15" t="n">
        <v>4735186.02</v>
      </c>
      <c r="CZ4" s="15" t="n">
        <v>2555373.92</v>
      </c>
      <c r="DA4" s="15" t="n">
        <v>499796.47</v>
      </c>
      <c r="DB4" s="15" t="n">
        <v>2088377.98</v>
      </c>
      <c r="DC4" s="15" t="n">
        <v>363663.06</v>
      </c>
      <c r="DD4" s="15" t="n">
        <v>1803211.48</v>
      </c>
      <c r="DE4" s="15" t="n">
        <v>1897833.96</v>
      </c>
      <c r="DF4" s="15" t="n">
        <v>4628971.83</v>
      </c>
      <c r="DG4" s="15" t="n">
        <v>834252.48</v>
      </c>
      <c r="DH4" s="15" t="n">
        <v>1182865.99</v>
      </c>
      <c r="DI4" s="15" t="n">
        <v>342710.17</v>
      </c>
      <c r="DJ4" s="15" t="n">
        <v>-74804.17</v>
      </c>
      <c r="DK4" s="15" t="n">
        <v>5601712.45</v>
      </c>
      <c r="DL4" s="15" t="n">
        <v>2040742.37</v>
      </c>
      <c r="DM4" s="15" t="n">
        <v>3686123.31</v>
      </c>
      <c r="DN4" s="15" t="n">
        <v>675163.16</v>
      </c>
      <c r="DO4" s="15" t="n">
        <v>597979.61</v>
      </c>
      <c r="DP4" s="15" t="n">
        <v>1272341.51</v>
      </c>
    </row>
    <row r="5">
      <c r="A5" s="4" t="inlineStr">
        <is>
          <t>精密轴承</t>
        </is>
      </c>
      <c r="B5" s="15" t="n">
        <v>2611951.84</v>
      </c>
      <c r="C5" s="15" t="n">
        <v>495064.96</v>
      </c>
      <c r="D5" s="15" t="n">
        <v>1001298.28</v>
      </c>
      <c r="E5" s="15" t="n">
        <v>608943.38</v>
      </c>
      <c r="F5" s="15" t="n">
        <v>728607.17</v>
      </c>
      <c r="G5" s="15" t="n">
        <v>3963135.54</v>
      </c>
      <c r="H5" s="15" t="n">
        <v>1590483.9</v>
      </c>
      <c r="I5" s="15" t="n">
        <v>1321045.96</v>
      </c>
      <c r="J5" s="15" t="n">
        <v>2826398.68</v>
      </c>
      <c r="K5" s="15" t="n">
        <v>475554.87</v>
      </c>
      <c r="L5" s="15" t="n">
        <v>1720208.83</v>
      </c>
      <c r="M5" s="15" t="n">
        <v>3550015.69</v>
      </c>
      <c r="N5" s="15" t="n">
        <v>231652.58</v>
      </c>
      <c r="O5" s="15" t="n">
        <v>2539840.2</v>
      </c>
      <c r="P5" s="15" t="n">
        <v>1709078.35</v>
      </c>
      <c r="Q5" s="15" t="n">
        <v>290648.06</v>
      </c>
      <c r="R5" s="15" t="n">
        <v>1652464.66</v>
      </c>
      <c r="S5" s="15" t="n">
        <v>3584201.47</v>
      </c>
      <c r="T5" s="15" t="n">
        <v>3019975.54</v>
      </c>
      <c r="U5" s="15" t="n">
        <v>3034433.19</v>
      </c>
      <c r="V5" s="15" t="n">
        <v>2429228.49</v>
      </c>
      <c r="W5" s="15" t="n">
        <v>61949.18</v>
      </c>
      <c r="X5" s="15" t="n">
        <v>1988304.83</v>
      </c>
      <c r="Y5" s="15" t="n">
        <v>4008374.63</v>
      </c>
      <c r="Z5" s="15" t="n">
        <v>4102642.44</v>
      </c>
      <c r="AA5" s="15" t="n">
        <v>3793439.44</v>
      </c>
      <c r="AB5" s="15" t="n">
        <v>1742319.35</v>
      </c>
      <c r="AC5" s="15" t="n">
        <v>596142.97</v>
      </c>
      <c r="AD5" s="15" t="n">
        <v>319632.74</v>
      </c>
      <c r="AE5" s="15" t="n">
        <v>4660012.48</v>
      </c>
      <c r="AF5" s="15" t="n">
        <v>4781562.56</v>
      </c>
      <c r="AG5" s="15" t="n">
        <v>3975316.79</v>
      </c>
      <c r="AH5" s="15" t="n">
        <v>435115.11</v>
      </c>
      <c r="AI5" s="15" t="n">
        <v>297025.87</v>
      </c>
      <c r="AJ5" s="15" t="n">
        <v>951145.62</v>
      </c>
      <c r="AK5" s="15" t="n">
        <v>1212144.24</v>
      </c>
      <c r="AL5" s="15" t="n">
        <v>535526.03</v>
      </c>
      <c r="AM5" s="15" t="n">
        <v>2152602.86</v>
      </c>
      <c r="AN5" s="15" t="n">
        <v>714299.28</v>
      </c>
      <c r="AO5" s="15" t="n">
        <v>534646.88</v>
      </c>
      <c r="AP5" s="15" t="n">
        <v>1672521.7</v>
      </c>
      <c r="AQ5" s="15" t="n">
        <v>433014.49</v>
      </c>
      <c r="AR5" s="15" t="n">
        <v>2993024.99</v>
      </c>
      <c r="AS5" s="15" t="n">
        <v>3231236.64</v>
      </c>
      <c r="AT5" s="15" t="n">
        <v>635145.3</v>
      </c>
      <c r="AU5" s="15" t="n">
        <v>319050.19</v>
      </c>
      <c r="AV5" s="15" t="n">
        <v>2045789.67</v>
      </c>
      <c r="AW5" s="15" t="n">
        <v>4276243.3</v>
      </c>
      <c r="AX5" s="15" t="n">
        <v>7421786.37</v>
      </c>
      <c r="AY5" s="15" t="n">
        <v>4339746.07</v>
      </c>
      <c r="AZ5" s="15" t="n">
        <v>1502443.99</v>
      </c>
      <c r="BA5" s="15" t="n">
        <v>194786.54</v>
      </c>
      <c r="BB5" s="15" t="n">
        <v>2067017.9</v>
      </c>
      <c r="BC5" s="15" t="n">
        <v>4748874.69</v>
      </c>
      <c r="BD5" s="15" t="n">
        <v>2559756.28</v>
      </c>
      <c r="BE5" s="15" t="n">
        <v>1788035.95</v>
      </c>
      <c r="BF5" s="15" t="n">
        <v>2406246.34</v>
      </c>
      <c r="BG5" s="15" t="n">
        <v>668762.86</v>
      </c>
      <c r="BH5" s="15" t="n">
        <v>1423237.78</v>
      </c>
      <c r="BI5" s="15" t="n">
        <v>2762211.23</v>
      </c>
      <c r="BJ5" s="15" t="n">
        <v>3085549.43</v>
      </c>
      <c r="BK5" s="15" t="n">
        <v>3703756.71</v>
      </c>
      <c r="BL5" s="15" t="n">
        <v>2750684.41</v>
      </c>
      <c r="BM5" s="15" t="n">
        <v>735959.9399999999</v>
      </c>
      <c r="BN5" s="15" t="n">
        <v>1805470.49</v>
      </c>
      <c r="BO5" s="15" t="n">
        <v>2827003.68</v>
      </c>
      <c r="BP5" s="15" t="n">
        <v>2982491.72</v>
      </c>
      <c r="BQ5" s="15" t="n">
        <v>3075576.05</v>
      </c>
      <c r="BR5" s="15" t="n">
        <v>190711.85</v>
      </c>
      <c r="BS5" s="15" t="n">
        <v>274132.87</v>
      </c>
      <c r="BT5" s="15" t="n">
        <v>-128885.17</v>
      </c>
      <c r="BU5" s="15" t="n">
        <v>4440392.76</v>
      </c>
      <c r="BV5" s="15" t="n">
        <v>6886745.39</v>
      </c>
      <c r="BW5" s="15" t="n">
        <v>2900057.96</v>
      </c>
      <c r="BX5" s="15" t="n">
        <v>1452563.22</v>
      </c>
      <c r="BY5" s="15" t="n">
        <v>326896.57</v>
      </c>
      <c r="BZ5" s="15" t="n">
        <v>1329826.41</v>
      </c>
      <c r="CA5" s="15" t="n">
        <v>5650958.2</v>
      </c>
      <c r="CB5" s="15" t="n">
        <v>2090162.28</v>
      </c>
      <c r="CC5" s="15" t="n">
        <v>4359388.06</v>
      </c>
      <c r="CD5" s="15" t="n">
        <v>2749000.68</v>
      </c>
      <c r="CE5" s="15" t="n">
        <v>136722.48</v>
      </c>
      <c r="CF5" s="15" t="n">
        <v>-207126.54</v>
      </c>
      <c r="CG5" s="15" t="n">
        <v>2537190.68</v>
      </c>
      <c r="CH5" s="15" t="n">
        <v>2026896.38</v>
      </c>
      <c r="CI5" s="15" t="n">
        <v>2005673.39</v>
      </c>
      <c r="CJ5" s="15" t="n">
        <v>602862.22</v>
      </c>
      <c r="CK5" s="15" t="n">
        <v>199713.14</v>
      </c>
      <c r="CL5" s="15" t="n">
        <v>345646.77</v>
      </c>
      <c r="CM5" s="15" t="n">
        <v>368788.45</v>
      </c>
      <c r="CN5" s="15" t="n">
        <v>2295019.09</v>
      </c>
      <c r="CO5" s="15" t="n">
        <v>477110.39</v>
      </c>
      <c r="CP5" s="15" t="n">
        <v>2064442.8</v>
      </c>
      <c r="CQ5" s="15" t="n">
        <v>332000.92</v>
      </c>
      <c r="CR5" s="15" t="n">
        <v>337653.01</v>
      </c>
      <c r="CS5" s="15" t="n">
        <v>4326310.11</v>
      </c>
      <c r="CT5" s="15" t="n">
        <v>6511122.7</v>
      </c>
      <c r="CU5" s="15" t="n">
        <v>695440.26</v>
      </c>
      <c r="CV5" s="15" t="n">
        <v>771194.09</v>
      </c>
      <c r="CW5" s="15" t="n">
        <v>75874.23</v>
      </c>
      <c r="CX5" s="15" t="n">
        <v>1164819.12</v>
      </c>
      <c r="CY5" s="15" t="n">
        <v>3481297.08</v>
      </c>
      <c r="CZ5" s="15" t="n">
        <v>4028457.51</v>
      </c>
      <c r="DA5" s="15" t="n">
        <v>3047654.12</v>
      </c>
      <c r="DB5" s="15" t="n">
        <v>1982469.58</v>
      </c>
      <c r="DC5" s="15" t="n">
        <v>606282.91</v>
      </c>
      <c r="DD5" s="15" t="n">
        <v>742562.1899999999</v>
      </c>
      <c r="DE5" s="15" t="n">
        <v>3808815.13</v>
      </c>
      <c r="DF5" s="15" t="n">
        <v>1880428.38</v>
      </c>
      <c r="DG5" s="15" t="n">
        <v>1486200.91</v>
      </c>
      <c r="DH5" s="15" t="n">
        <v>2561086.19</v>
      </c>
      <c r="DI5" s="15" t="n">
        <v>249835.81</v>
      </c>
      <c r="DJ5" s="15" t="n">
        <v>1085728.78</v>
      </c>
      <c r="DK5" s="15" t="n">
        <v>3800338.76</v>
      </c>
      <c r="DL5" s="15" t="n">
        <v>7418348.24</v>
      </c>
      <c r="DM5" s="15" t="n">
        <v>4113865.24</v>
      </c>
      <c r="DN5" s="15" t="n">
        <v>2503878.33</v>
      </c>
      <c r="DO5" s="15" t="n">
        <v>536535.75</v>
      </c>
      <c r="DP5" s="15" t="n">
        <v>976795.9</v>
      </c>
    </row>
    <row r="6">
      <c r="A6" s="4" t="inlineStr">
        <is>
          <t>液压件</t>
        </is>
      </c>
      <c r="B6" s="15" t="n">
        <v>6979093.77</v>
      </c>
      <c r="C6" s="15" t="n">
        <v>4054778.66</v>
      </c>
      <c r="D6" s="15" t="n">
        <v>1249947.1</v>
      </c>
      <c r="E6" s="15" t="n">
        <v>746400.9</v>
      </c>
      <c r="F6" s="15" t="n">
        <v>174725.28</v>
      </c>
      <c r="G6" s="15" t="n">
        <v>3001014.82</v>
      </c>
      <c r="H6" s="15" t="n">
        <v>4494172.35</v>
      </c>
      <c r="I6" s="15" t="n">
        <v>3250490.38</v>
      </c>
      <c r="J6" s="15" t="n">
        <v>2344863.85</v>
      </c>
      <c r="K6" s="15" t="n">
        <v>109709.68</v>
      </c>
      <c r="L6" s="15" t="n">
        <v>221360.86</v>
      </c>
      <c r="M6" s="15" t="n">
        <v>683236.6899999999</v>
      </c>
      <c r="N6" s="15" t="n">
        <v>3106256.24</v>
      </c>
      <c r="O6" s="15" t="n">
        <v>4147609.11</v>
      </c>
      <c r="P6" s="15" t="n">
        <v>2239635.08</v>
      </c>
      <c r="Q6" s="15" t="n">
        <v>386473.98</v>
      </c>
      <c r="R6" s="15" t="n">
        <v>2174884.07</v>
      </c>
      <c r="S6" s="15" t="n">
        <v>4451669.94</v>
      </c>
      <c r="T6" s="15" t="n">
        <v>3759331.77</v>
      </c>
      <c r="U6" s="15" t="n">
        <v>258287.01</v>
      </c>
      <c r="V6" s="15" t="n">
        <v>478770.86</v>
      </c>
      <c r="W6" s="15" t="n">
        <v>458307.07</v>
      </c>
      <c r="X6" s="15" t="n">
        <v>1048299.36</v>
      </c>
      <c r="Y6" s="15" t="n">
        <v>2175481.78</v>
      </c>
      <c r="Z6" s="15" t="n">
        <v>6766326.58</v>
      </c>
      <c r="AA6" s="15" t="n">
        <v>2975524.09</v>
      </c>
      <c r="AB6" s="15" t="n">
        <v>2505372.14</v>
      </c>
      <c r="AC6" s="15" t="n">
        <v>232172</v>
      </c>
      <c r="AD6" s="15" t="n">
        <v>1821302.69</v>
      </c>
      <c r="AE6" s="15" t="n">
        <v>2509803.68</v>
      </c>
      <c r="AF6" s="15" t="n">
        <v>4693289.2</v>
      </c>
      <c r="AG6" s="15" t="n">
        <v>182299.54</v>
      </c>
      <c r="AH6" s="15" t="n">
        <v>2546316.75</v>
      </c>
      <c r="AI6" s="15" t="n">
        <v>362714.93</v>
      </c>
      <c r="AJ6" s="15" t="n">
        <v>1493390.74</v>
      </c>
      <c r="AK6" s="15" t="n">
        <v>2185921.39</v>
      </c>
      <c r="AL6" s="15" t="n">
        <v>4710209.21</v>
      </c>
      <c r="AM6" s="15" t="n">
        <v>511959.9</v>
      </c>
      <c r="AN6" s="15" t="n">
        <v>365800.8</v>
      </c>
      <c r="AO6" s="15" t="n">
        <v>228099.88</v>
      </c>
      <c r="AP6" s="15" t="n">
        <v>507151.55</v>
      </c>
      <c r="AQ6" s="15" t="n">
        <v>5883058.5</v>
      </c>
      <c r="AR6" s="15" t="n">
        <v>6188988.35</v>
      </c>
      <c r="AS6" s="15" t="n">
        <v>287335.24</v>
      </c>
      <c r="AT6" s="15" t="n">
        <v>2828263.64</v>
      </c>
      <c r="AU6" s="15" t="n">
        <v>19585.73</v>
      </c>
      <c r="AV6" s="15" t="n">
        <v>934149.01</v>
      </c>
      <c r="AW6" s="15" t="n">
        <v>4421650.77</v>
      </c>
      <c r="AX6" s="15" t="n">
        <v>5603788.69</v>
      </c>
      <c r="AY6" s="15" t="n">
        <v>1705296.53</v>
      </c>
      <c r="AZ6" s="15" t="n">
        <v>685851.12</v>
      </c>
      <c r="BA6" s="15" t="n">
        <v>329658.43</v>
      </c>
      <c r="BB6" s="15" t="n">
        <v>-272359.23</v>
      </c>
      <c r="BC6" s="15" t="n">
        <v>4536883.21</v>
      </c>
      <c r="BD6" s="15" t="n">
        <v>6743851.54</v>
      </c>
      <c r="BE6" s="15" t="n">
        <v>4404558.59</v>
      </c>
      <c r="BF6" s="15" t="n">
        <v>352942.83</v>
      </c>
      <c r="BG6" s="15" t="n">
        <v>419073.35</v>
      </c>
      <c r="BH6" s="15" t="n">
        <v>862224.6800000001</v>
      </c>
      <c r="BI6" s="15" t="n">
        <v>2114215.07</v>
      </c>
      <c r="BJ6" s="15" t="n">
        <v>7028589.14</v>
      </c>
      <c r="BK6" s="15" t="n">
        <v>3719897.83</v>
      </c>
      <c r="BL6" s="15" t="n">
        <v>357386.33</v>
      </c>
      <c r="BM6" s="15" t="n">
        <v>748781.76</v>
      </c>
      <c r="BN6" s="15" t="n">
        <v>309977.26</v>
      </c>
      <c r="BO6" s="15" t="n">
        <v>5026112.14</v>
      </c>
      <c r="BP6" s="15" t="n">
        <v>471394.58</v>
      </c>
      <c r="BQ6" s="15" t="n">
        <v>1174106.46</v>
      </c>
      <c r="BR6" s="15" t="n">
        <v>1840479.7</v>
      </c>
      <c r="BS6" s="15" t="n">
        <v>340950.23</v>
      </c>
      <c r="BT6" s="15" t="n">
        <v>334722.4</v>
      </c>
      <c r="BU6" s="15" t="n">
        <v>631492.96</v>
      </c>
      <c r="BV6" s="15" t="n">
        <v>3191193.08</v>
      </c>
      <c r="BW6" s="15" t="n">
        <v>1903539.91</v>
      </c>
      <c r="BX6" s="15" t="n">
        <v>1212486.04</v>
      </c>
      <c r="BY6" s="15" t="n">
        <v>46778.27</v>
      </c>
      <c r="BZ6" s="15" t="n">
        <v>265242.59</v>
      </c>
      <c r="CA6" s="15" t="n">
        <v>2482032.35</v>
      </c>
      <c r="CB6" s="15" t="n">
        <v>6796812.11</v>
      </c>
      <c r="CC6" s="15" t="n">
        <v>4358976.13</v>
      </c>
      <c r="CD6" s="15" t="n">
        <v>1039065.17</v>
      </c>
      <c r="CE6" s="15" t="n">
        <v>31295.43</v>
      </c>
      <c r="CF6" s="15" t="n">
        <v>1645229.03</v>
      </c>
      <c r="CG6" s="15" t="n">
        <v>1593214.67</v>
      </c>
      <c r="CH6" s="15" t="n">
        <v>2545094.85</v>
      </c>
      <c r="CI6" s="15" t="n">
        <v>1582220.98</v>
      </c>
      <c r="CJ6" s="15" t="n">
        <v>1280329.59</v>
      </c>
      <c r="CK6" s="15" t="n">
        <v>706029.76</v>
      </c>
      <c r="CL6" s="15" t="n">
        <v>1980330.88</v>
      </c>
      <c r="CM6" s="15" t="n">
        <v>4085778.73</v>
      </c>
      <c r="CN6" s="15" t="n">
        <v>3128091.38</v>
      </c>
      <c r="CO6" s="15" t="n">
        <v>4022163.86</v>
      </c>
      <c r="CP6" s="15" t="n">
        <v>2249747.51</v>
      </c>
      <c r="CQ6" s="15" t="n">
        <v>120820.45</v>
      </c>
      <c r="CR6" s="15" t="n">
        <v>1546259.24</v>
      </c>
      <c r="CS6" s="15" t="n">
        <v>782879.54</v>
      </c>
      <c r="CT6" s="15" t="n">
        <v>206621.69</v>
      </c>
      <c r="CU6" s="15" t="n">
        <v>4324324.91</v>
      </c>
      <c r="CV6" s="15" t="n">
        <v>2713158.66</v>
      </c>
      <c r="CW6" s="15" t="n">
        <v>636412.16</v>
      </c>
      <c r="CX6" s="15" t="n">
        <v>2039637.7</v>
      </c>
      <c r="CY6" s="15" t="n">
        <v>5549023.15</v>
      </c>
      <c r="CZ6" s="15" t="n">
        <v>4191464.68</v>
      </c>
      <c r="DA6" s="15" t="n">
        <v>273761.57</v>
      </c>
      <c r="DB6" s="15" t="n">
        <v>1749770.48</v>
      </c>
      <c r="DC6" s="15" t="n">
        <v>249617</v>
      </c>
      <c r="DD6" s="15" t="n">
        <v>2140177.9</v>
      </c>
      <c r="DE6" s="15" t="n">
        <v>4662896.21</v>
      </c>
      <c r="DF6" s="15" t="n">
        <v>7290313.7</v>
      </c>
      <c r="DG6" s="15" t="n">
        <v>457040.3</v>
      </c>
      <c r="DH6" s="15" t="n">
        <v>1581973.6</v>
      </c>
      <c r="DI6" s="15" t="n">
        <v>639303.2</v>
      </c>
      <c r="DJ6" s="15" t="n">
        <v>856781.98</v>
      </c>
      <c r="DK6" s="15" t="n">
        <v>4166357.58</v>
      </c>
      <c r="DL6" s="15" t="n">
        <v>1639179.33</v>
      </c>
      <c r="DM6" s="15" t="n">
        <v>884806.61</v>
      </c>
      <c r="DN6" s="15" t="n">
        <v>745556.04</v>
      </c>
      <c r="DO6" s="15" t="n">
        <v>602587.03</v>
      </c>
      <c r="DP6" s="15" t="n">
        <v>178439.44</v>
      </c>
    </row>
    <row r="7">
      <c r="A7" s="4" t="inlineStr">
        <is>
          <t>气动元件</t>
        </is>
      </c>
      <c r="B7" s="15" t="n">
        <v>6055452</v>
      </c>
      <c r="C7" s="15" t="n">
        <v>3442661.43</v>
      </c>
      <c r="D7" s="15" t="n">
        <v>2759558.79</v>
      </c>
      <c r="E7" s="15" t="n">
        <v>27273.04</v>
      </c>
      <c r="F7" s="15" t="n">
        <v>1905849.38</v>
      </c>
      <c r="G7" s="15" t="n">
        <v>1723142.88</v>
      </c>
      <c r="H7" s="15" t="n">
        <v>2221789.28</v>
      </c>
      <c r="I7" s="15" t="n">
        <v>2659978.81</v>
      </c>
      <c r="J7" s="15" t="n">
        <v>979425.14</v>
      </c>
      <c r="K7" s="15" t="n">
        <v>75196.98</v>
      </c>
      <c r="L7" s="15" t="n">
        <v>1920103.46</v>
      </c>
      <c r="M7" s="15" t="n">
        <v>2065380.7</v>
      </c>
      <c r="N7" s="15" t="n">
        <v>6160091.16</v>
      </c>
      <c r="O7" s="15" t="n">
        <v>4043055.56</v>
      </c>
      <c r="P7" s="15" t="n">
        <v>1757594.58</v>
      </c>
      <c r="Q7" s="15" t="n">
        <v>153433.92</v>
      </c>
      <c r="R7" s="15" t="n">
        <v>1894749.73</v>
      </c>
      <c r="S7" s="15" t="n">
        <v>4272830.7</v>
      </c>
      <c r="T7" s="15" t="n">
        <v>1819935.67</v>
      </c>
      <c r="U7" s="15" t="n">
        <v>742263.95</v>
      </c>
      <c r="V7" s="15" t="n">
        <v>554613.58</v>
      </c>
      <c r="W7" s="15" t="n">
        <v>517302.04</v>
      </c>
      <c r="X7" s="15" t="n">
        <v>751275.37</v>
      </c>
      <c r="Y7" s="15" t="n">
        <v>3226525.14</v>
      </c>
      <c r="Z7" s="15" t="n">
        <v>2607310.91</v>
      </c>
      <c r="AA7" s="15" t="n">
        <v>4186241.87</v>
      </c>
      <c r="AB7" s="15" t="n">
        <v>1012825.32</v>
      </c>
      <c r="AC7" s="15" t="n">
        <v>96121.08</v>
      </c>
      <c r="AD7" s="15" t="n">
        <v>-237397.94</v>
      </c>
      <c r="AE7" s="15" t="n">
        <v>4357975.5</v>
      </c>
      <c r="AF7" s="15" t="n">
        <v>2388715.65</v>
      </c>
      <c r="AG7" s="15" t="n">
        <v>3865815.52</v>
      </c>
      <c r="AH7" s="15" t="n">
        <v>1967763.38</v>
      </c>
      <c r="AI7" s="15" t="n">
        <v>62623.04</v>
      </c>
      <c r="AJ7" s="15" t="n">
        <v>1510741.9</v>
      </c>
      <c r="AK7" s="15" t="n">
        <v>3320913.6</v>
      </c>
      <c r="AL7" s="15" t="n">
        <v>390912.06</v>
      </c>
      <c r="AM7" s="15" t="n">
        <v>1483837.38</v>
      </c>
      <c r="AN7" s="15" t="n">
        <v>178213.64</v>
      </c>
      <c r="AO7" s="15" t="n">
        <v>177697.81</v>
      </c>
      <c r="AP7" s="15" t="n">
        <v>425304.63</v>
      </c>
      <c r="AQ7" s="15" t="n">
        <v>4675173.68</v>
      </c>
      <c r="AR7" s="15" t="n">
        <v>5467026.68</v>
      </c>
      <c r="AS7" s="15" t="n">
        <v>1079032.64</v>
      </c>
      <c r="AT7" s="15" t="n">
        <v>1267443.39</v>
      </c>
      <c r="AU7" s="15" t="n">
        <v>576505.42</v>
      </c>
      <c r="AV7" s="15" t="n">
        <v>-283391.37</v>
      </c>
      <c r="AW7" s="15" t="n">
        <v>2954124.33</v>
      </c>
      <c r="AX7" s="15" t="n">
        <v>5826008.47</v>
      </c>
      <c r="AY7" s="15" t="n">
        <v>3176570.71</v>
      </c>
      <c r="AZ7" s="15" t="n">
        <v>604718.13</v>
      </c>
      <c r="BA7" s="15" t="n">
        <v>529909.5600000001</v>
      </c>
      <c r="BB7" s="15" t="n">
        <v>-165015.25</v>
      </c>
      <c r="BC7" s="15" t="n">
        <v>3516516.82</v>
      </c>
      <c r="BD7" s="15" t="n">
        <v>4120905.64</v>
      </c>
      <c r="BE7" s="15" t="n">
        <v>1332774.84</v>
      </c>
      <c r="BF7" s="15" t="n">
        <v>1234692.68</v>
      </c>
      <c r="BG7" s="15" t="n">
        <v>743277.58</v>
      </c>
      <c r="BH7" s="15" t="n">
        <v>294882.48</v>
      </c>
      <c r="BI7" s="15" t="n">
        <v>5582967.74</v>
      </c>
      <c r="BJ7" s="15" t="n">
        <v>392585.57</v>
      </c>
      <c r="BK7" s="15" t="n">
        <v>2942210.23</v>
      </c>
      <c r="BL7" s="15" t="n">
        <v>314799.6</v>
      </c>
      <c r="BM7" s="15" t="n">
        <v>354880.25</v>
      </c>
      <c r="BN7" s="15" t="n">
        <v>1812558.6</v>
      </c>
      <c r="BO7" s="15" t="n">
        <v>4510542.54</v>
      </c>
      <c r="BP7" s="15" t="n">
        <v>3390145.57</v>
      </c>
      <c r="BQ7" s="15" t="n">
        <v>580917.37</v>
      </c>
      <c r="BR7" s="15" t="n">
        <v>576290.41</v>
      </c>
      <c r="BS7" s="15" t="n">
        <v>532266.3</v>
      </c>
      <c r="BT7" s="15" t="n">
        <v>1928251.02</v>
      </c>
      <c r="BU7" s="15" t="n">
        <v>1117347.88</v>
      </c>
      <c r="BV7" s="15" t="n">
        <v>6754141.59</v>
      </c>
      <c r="BW7" s="15" t="n">
        <v>3770913.36</v>
      </c>
      <c r="BX7" s="15" t="n">
        <v>695205.0699999999</v>
      </c>
      <c r="BY7" s="15" t="n">
        <v>170944.58</v>
      </c>
      <c r="BZ7" s="15" t="n">
        <v>2023462.1</v>
      </c>
      <c r="CA7" s="15" t="n">
        <v>4940168.25</v>
      </c>
      <c r="CB7" s="15" t="n">
        <v>5624647.87</v>
      </c>
      <c r="CC7" s="15" t="n">
        <v>498077.44</v>
      </c>
      <c r="CD7" s="15" t="n">
        <v>1936573.1</v>
      </c>
      <c r="CE7" s="15" t="n">
        <v>637434.64</v>
      </c>
      <c r="CF7" s="15" t="n">
        <v>653985.65</v>
      </c>
      <c r="CG7" s="15" t="n">
        <v>3231614.36</v>
      </c>
      <c r="CH7" s="15" t="n">
        <v>3486998.07</v>
      </c>
      <c r="CI7" s="15" t="n">
        <v>2758623.85</v>
      </c>
      <c r="CJ7" s="15" t="n">
        <v>1143677.95</v>
      </c>
      <c r="CK7" s="15" t="n">
        <v>275635.39</v>
      </c>
      <c r="CL7" s="15" t="n">
        <v>-59295.94</v>
      </c>
      <c r="CM7" s="15" t="n">
        <v>5716817.69</v>
      </c>
      <c r="CN7" s="15" t="n">
        <v>1890146.88</v>
      </c>
      <c r="CO7" s="15" t="n">
        <v>3130351.88</v>
      </c>
      <c r="CP7" s="15" t="n">
        <v>1701529.16</v>
      </c>
      <c r="CQ7" s="15" t="n">
        <v>37437.06</v>
      </c>
      <c r="CR7" s="15" t="n">
        <v>1488684.5</v>
      </c>
      <c r="CS7" s="15" t="n">
        <v>5888466.54</v>
      </c>
      <c r="CT7" s="15" t="n">
        <v>5189389.67</v>
      </c>
      <c r="CU7" s="15" t="n">
        <v>3270090.09</v>
      </c>
      <c r="CV7" s="15" t="n">
        <v>2680665.49</v>
      </c>
      <c r="CW7" s="15" t="n">
        <v>448401.52</v>
      </c>
      <c r="CX7" s="15" t="n">
        <v>1674852.46</v>
      </c>
      <c r="CY7" s="15" t="n">
        <v>3686664.61</v>
      </c>
      <c r="CZ7" s="15" t="n">
        <v>4179242.27</v>
      </c>
      <c r="DA7" s="15" t="n">
        <v>1180807.87</v>
      </c>
      <c r="DB7" s="15" t="n">
        <v>1961866.3</v>
      </c>
      <c r="DC7" s="15" t="n">
        <v>373772.68</v>
      </c>
      <c r="DD7" s="15" t="n">
        <v>240300</v>
      </c>
      <c r="DE7" s="15" t="n">
        <v>5349463.21</v>
      </c>
      <c r="DF7" s="15" t="n">
        <v>2263289.71</v>
      </c>
      <c r="DG7" s="15" t="n">
        <v>2293093.34</v>
      </c>
      <c r="DH7" s="15" t="n">
        <v>1571822.57</v>
      </c>
      <c r="DI7" s="15" t="n">
        <v>539339.99</v>
      </c>
      <c r="DJ7" s="15" t="n">
        <v>357135</v>
      </c>
      <c r="DK7" s="15" t="n">
        <v>1883867.68</v>
      </c>
      <c r="DL7" s="15" t="n">
        <v>2984947.11</v>
      </c>
      <c r="DM7" s="15" t="n">
        <v>3195554.45</v>
      </c>
      <c r="DN7" s="15" t="n">
        <v>2410257.08</v>
      </c>
      <c r="DO7" s="15" t="n">
        <v>232571.23</v>
      </c>
      <c r="DP7" s="15" t="n">
        <v>2231553.91</v>
      </c>
    </row>
    <row r="8">
      <c r="A8" s="4" t="inlineStr">
        <is>
          <t>模具</t>
        </is>
      </c>
      <c r="B8" s="15" t="n">
        <v>2758832.96</v>
      </c>
      <c r="C8" s="15" t="n">
        <v>748157.48</v>
      </c>
      <c r="D8" s="15" t="n">
        <v>2227950.91</v>
      </c>
      <c r="E8" s="15" t="n">
        <v>434636.4</v>
      </c>
      <c r="F8" s="15" t="n">
        <v>2075059.08</v>
      </c>
      <c r="G8" s="15" t="n">
        <v>2287416.98</v>
      </c>
      <c r="H8" s="15" t="n">
        <v>307688.79</v>
      </c>
      <c r="I8" s="15" t="n">
        <v>2283811.74</v>
      </c>
      <c r="J8" s="15" t="n">
        <v>2823276.03</v>
      </c>
      <c r="K8" s="15" t="n">
        <v>295915.21</v>
      </c>
      <c r="L8" s="15" t="n">
        <v>640111.54</v>
      </c>
      <c r="M8" s="15" t="n">
        <v>3510109.93</v>
      </c>
      <c r="N8" s="15" t="n">
        <v>3030888.34</v>
      </c>
      <c r="O8" s="15" t="n">
        <v>3923826.77</v>
      </c>
      <c r="P8" s="15" t="n">
        <v>1422852.35</v>
      </c>
      <c r="Q8" s="15" t="n">
        <v>662341.12</v>
      </c>
      <c r="R8" s="15" t="n">
        <v>516861.69</v>
      </c>
      <c r="S8" s="15" t="n">
        <v>985564.87</v>
      </c>
      <c r="T8" s="15" t="n">
        <v>7072171.21</v>
      </c>
      <c r="U8" s="15" t="n">
        <v>893889.2</v>
      </c>
      <c r="V8" s="15" t="n">
        <v>358658.56</v>
      </c>
      <c r="W8" s="15" t="n">
        <v>501303.96</v>
      </c>
      <c r="X8" s="15" t="n">
        <v>108293.72</v>
      </c>
      <c r="Y8" s="15" t="n">
        <v>273287.77</v>
      </c>
      <c r="Z8" s="15" t="n">
        <v>1095727.51</v>
      </c>
      <c r="AA8" s="15" t="n">
        <v>4201540.06</v>
      </c>
      <c r="AB8" s="15" t="n">
        <v>1905792.47</v>
      </c>
      <c r="AC8" s="15" t="n">
        <v>296523.37</v>
      </c>
      <c r="AD8" s="15" t="n">
        <v>1586023</v>
      </c>
      <c r="AE8" s="15" t="n">
        <v>5761606.04</v>
      </c>
      <c r="AF8" s="15" t="n">
        <v>1041415.75</v>
      </c>
      <c r="AG8" s="15" t="n">
        <v>2013245.11</v>
      </c>
      <c r="AH8" s="15" t="n">
        <v>2586400.69</v>
      </c>
      <c r="AI8" s="15" t="n">
        <v>29676.02</v>
      </c>
      <c r="AJ8" s="15" t="n">
        <v>-272.69</v>
      </c>
      <c r="AK8" s="15" t="n">
        <v>5940372.83</v>
      </c>
      <c r="AL8" s="15" t="n">
        <v>6663211</v>
      </c>
      <c r="AM8" s="15" t="n">
        <v>3564848.24</v>
      </c>
      <c r="AN8" s="15" t="n">
        <v>1324935.74</v>
      </c>
      <c r="AO8" s="15" t="n">
        <v>17372.41</v>
      </c>
      <c r="AP8" s="15" t="n">
        <v>1355850.32</v>
      </c>
      <c r="AQ8" s="15" t="n">
        <v>3586655.54</v>
      </c>
      <c r="AR8" s="15" t="n">
        <v>6355729.52</v>
      </c>
      <c r="AS8" s="15" t="n">
        <v>105382.82</v>
      </c>
      <c r="AT8" s="15" t="n">
        <v>1680569.04</v>
      </c>
      <c r="AU8" s="15" t="n">
        <v>495455.17</v>
      </c>
      <c r="AV8" s="15" t="n">
        <v>-175155.48</v>
      </c>
      <c r="AW8" s="15" t="n">
        <v>5249460.98</v>
      </c>
      <c r="AX8" s="15" t="n">
        <v>7460778.04</v>
      </c>
      <c r="AY8" s="15" t="n">
        <v>2293210.17</v>
      </c>
      <c r="AZ8" s="15" t="n">
        <v>1236462.52</v>
      </c>
      <c r="BA8" s="15" t="n">
        <v>138545</v>
      </c>
      <c r="BB8" s="15" t="n">
        <v>-238485.82</v>
      </c>
      <c r="BC8" s="15" t="n">
        <v>5582912.25</v>
      </c>
      <c r="BD8" s="15" t="n">
        <v>6046657.5</v>
      </c>
      <c r="BE8" s="15" t="n">
        <v>3031374.85</v>
      </c>
      <c r="BF8" s="15" t="n">
        <v>1585931.94</v>
      </c>
      <c r="BG8" s="15" t="n">
        <v>356730.26</v>
      </c>
      <c r="BH8" s="15" t="n">
        <v>951916.12</v>
      </c>
      <c r="BI8" s="15" t="n">
        <v>3035091.97</v>
      </c>
      <c r="BJ8" s="15" t="n">
        <v>515680.85</v>
      </c>
      <c r="BK8" s="15" t="n">
        <v>1313908.27</v>
      </c>
      <c r="BL8" s="15" t="n">
        <v>1778348.65</v>
      </c>
      <c r="BM8" s="15" t="n">
        <v>113586.77</v>
      </c>
      <c r="BN8" s="15" t="n">
        <v>683527.8</v>
      </c>
      <c r="BO8" s="15" t="n">
        <v>881119.96</v>
      </c>
      <c r="BP8" s="15" t="n">
        <v>7197532.91</v>
      </c>
      <c r="BQ8" s="15" t="n">
        <v>553849.1899999999</v>
      </c>
      <c r="BR8" s="15" t="n">
        <v>1027479.11</v>
      </c>
      <c r="BS8" s="15" t="n">
        <v>490897.47</v>
      </c>
      <c r="BT8" s="15" t="n">
        <v>1670916.18</v>
      </c>
      <c r="BU8" s="15" t="n">
        <v>3647400.21</v>
      </c>
      <c r="BV8" s="15" t="n">
        <v>3099056.78</v>
      </c>
      <c r="BW8" s="15" t="n">
        <v>2004002.27</v>
      </c>
      <c r="BX8" s="15" t="n">
        <v>2893497.22</v>
      </c>
      <c r="BY8" s="15" t="n">
        <v>345454.63</v>
      </c>
      <c r="BZ8" s="15" t="n">
        <v>1321136.77</v>
      </c>
      <c r="CA8" s="15" t="n">
        <v>5775119.86</v>
      </c>
      <c r="CB8" s="15" t="n">
        <v>2810824.79</v>
      </c>
      <c r="CC8" s="15" t="n">
        <v>3156555.42</v>
      </c>
      <c r="CD8" s="15" t="n">
        <v>1701904.31</v>
      </c>
      <c r="CE8" s="15" t="n">
        <v>97370.39999999999</v>
      </c>
      <c r="CF8" s="15" t="n">
        <v>1211747.7</v>
      </c>
      <c r="CG8" s="15" t="n">
        <v>1103363.07</v>
      </c>
      <c r="CH8" s="15" t="n">
        <v>421353.45</v>
      </c>
      <c r="CI8" s="15" t="n">
        <v>3906064.27</v>
      </c>
      <c r="CJ8" s="15" t="n">
        <v>2707688.92</v>
      </c>
      <c r="CK8" s="15" t="n">
        <v>103292.94</v>
      </c>
      <c r="CL8" s="15" t="n">
        <v>221863.32</v>
      </c>
      <c r="CM8" s="15" t="n">
        <v>2479457.06</v>
      </c>
      <c r="CN8" s="15" t="n">
        <v>6437798.64</v>
      </c>
      <c r="CO8" s="15" t="n">
        <v>3306358.16</v>
      </c>
      <c r="CP8" s="15" t="n">
        <v>1719733.05</v>
      </c>
      <c r="CQ8" s="15" t="n">
        <v>557817.61</v>
      </c>
      <c r="CR8" s="15" t="n">
        <v>871887.36</v>
      </c>
      <c r="CS8" s="15" t="n">
        <v>1779977.45</v>
      </c>
      <c r="CT8" s="15" t="n">
        <v>4050254.19</v>
      </c>
      <c r="CU8" s="15" t="n">
        <v>3045666.06</v>
      </c>
      <c r="CV8" s="15" t="n">
        <v>548882.88</v>
      </c>
      <c r="CW8" s="15" t="n">
        <v>47989.58</v>
      </c>
      <c r="CX8" s="15" t="n">
        <v>964772.21</v>
      </c>
      <c r="CY8" s="15" t="n">
        <v>742343.02</v>
      </c>
      <c r="CZ8" s="15" t="n">
        <v>3582270.59</v>
      </c>
      <c r="DA8" s="15" t="n">
        <v>1261665.69</v>
      </c>
      <c r="DB8" s="15" t="n">
        <v>2437106.56</v>
      </c>
      <c r="DC8" s="15" t="n">
        <v>400831.79</v>
      </c>
      <c r="DD8" s="15" t="n">
        <v>1329353.55</v>
      </c>
      <c r="DE8" s="15" t="n">
        <v>1232123.94</v>
      </c>
      <c r="DF8" s="15" t="n">
        <v>4128848.19</v>
      </c>
      <c r="DG8" s="15" t="n">
        <v>2519895.58</v>
      </c>
      <c r="DH8" s="15" t="n">
        <v>2200543.92</v>
      </c>
      <c r="DI8" s="15" t="n">
        <v>375197.32</v>
      </c>
      <c r="DJ8" s="15" t="n">
        <v>966425.71</v>
      </c>
      <c r="DK8" s="15" t="n">
        <v>3116401.09</v>
      </c>
      <c r="DL8" s="15" t="n">
        <v>7087461.53</v>
      </c>
      <c r="DM8" s="15" t="n">
        <v>1334294.59</v>
      </c>
      <c r="DN8" s="15" t="n">
        <v>1369846.69</v>
      </c>
      <c r="DO8" s="15" t="n">
        <v>190487.18</v>
      </c>
      <c r="DP8" s="15" t="n">
        <v>1901456.82</v>
      </c>
    </row>
    <row r="9">
      <c r="A9" s="4" t="inlineStr">
        <is>
          <t>工装夹具</t>
        </is>
      </c>
      <c r="B9" s="15" t="n">
        <v>4664507.8</v>
      </c>
      <c r="C9" s="15" t="n">
        <v>2837215.78</v>
      </c>
      <c r="D9" s="15" t="n">
        <v>2043939.49</v>
      </c>
      <c r="E9" s="15" t="n">
        <v>259822.9</v>
      </c>
      <c r="F9" s="15" t="n">
        <v>1102668.58</v>
      </c>
      <c r="G9" s="15" t="n">
        <v>1391021.7</v>
      </c>
      <c r="H9" s="15" t="n">
        <v>1878694.8</v>
      </c>
      <c r="I9" s="15" t="n">
        <v>1795032.07</v>
      </c>
      <c r="J9" s="15" t="n">
        <v>1748705.99</v>
      </c>
      <c r="K9" s="15" t="n">
        <v>360211.7</v>
      </c>
      <c r="L9" s="15" t="n">
        <v>16699.14</v>
      </c>
      <c r="M9" s="15" t="n">
        <v>2181927.49</v>
      </c>
      <c r="N9" s="15" t="n">
        <v>5831706.36</v>
      </c>
      <c r="O9" s="15" t="n">
        <v>3804778.48</v>
      </c>
      <c r="P9" s="15" t="n">
        <v>1846553.12</v>
      </c>
      <c r="Q9" s="15" t="n">
        <v>60262.77</v>
      </c>
      <c r="R9" s="15" t="n">
        <v>668913.67</v>
      </c>
      <c r="S9" s="15" t="n">
        <v>1614535.48</v>
      </c>
      <c r="T9" s="15" t="n">
        <v>4857028.42</v>
      </c>
      <c r="U9" s="15" t="n">
        <v>632821.22</v>
      </c>
      <c r="V9" s="15" t="n">
        <v>1163125.2</v>
      </c>
      <c r="W9" s="15" t="n">
        <v>375813.34</v>
      </c>
      <c r="X9" s="15" t="n">
        <v>1172193.21</v>
      </c>
      <c r="Y9" s="15" t="n">
        <v>3463352.07</v>
      </c>
      <c r="Z9" s="15" t="n">
        <v>7221908.33</v>
      </c>
      <c r="AA9" s="15" t="n">
        <v>2626614.42</v>
      </c>
      <c r="AB9" s="15" t="n">
        <v>656132.04</v>
      </c>
      <c r="AC9" s="15" t="n">
        <v>190646.99</v>
      </c>
      <c r="AD9" s="15" t="n">
        <v>-204192.13</v>
      </c>
      <c r="AE9" s="15" t="n">
        <v>3807427.99</v>
      </c>
      <c r="AF9" s="15" t="n">
        <v>1953070.28</v>
      </c>
      <c r="AG9" s="15" t="n">
        <v>2538048.55</v>
      </c>
      <c r="AH9" s="15" t="n">
        <v>1683729.8</v>
      </c>
      <c r="AI9" s="15" t="n">
        <v>44110.08</v>
      </c>
      <c r="AJ9" s="15" t="n">
        <v>1335554.97</v>
      </c>
      <c r="AK9" s="15" t="n">
        <v>3238572</v>
      </c>
      <c r="AL9" s="15" t="n">
        <v>3939657</v>
      </c>
      <c r="AM9" s="15" t="n">
        <v>3344772.75</v>
      </c>
      <c r="AN9" s="15" t="n">
        <v>2355294.1</v>
      </c>
      <c r="AO9" s="15" t="n">
        <v>289824.62</v>
      </c>
      <c r="AP9" s="15" t="n">
        <v>300325.42</v>
      </c>
      <c r="AQ9" s="15" t="n">
        <v>5077443.63</v>
      </c>
      <c r="AR9" s="15" t="n">
        <v>1457829.75</v>
      </c>
      <c r="AS9" s="15" t="n">
        <v>3130897.59</v>
      </c>
      <c r="AT9" s="15" t="n">
        <v>188191.96</v>
      </c>
      <c r="AU9" s="15" t="n">
        <v>454693.84</v>
      </c>
      <c r="AV9" s="15" t="n">
        <v>405752.79</v>
      </c>
      <c r="AW9" s="15" t="n">
        <v>3347300.25</v>
      </c>
      <c r="AX9" s="15" t="n">
        <v>3758553.73</v>
      </c>
      <c r="AY9" s="15" t="n">
        <v>2207040.29</v>
      </c>
      <c r="AZ9" s="15" t="n">
        <v>397953.56</v>
      </c>
      <c r="BA9" s="15" t="n">
        <v>151927.97</v>
      </c>
      <c r="BB9" s="15" t="n">
        <v>101991.17</v>
      </c>
      <c r="BC9" s="15" t="n">
        <v>3594434.89</v>
      </c>
      <c r="BD9" s="15" t="n">
        <v>5033731.99</v>
      </c>
      <c r="BE9" s="15" t="n">
        <v>958628.28</v>
      </c>
      <c r="BF9" s="15" t="n">
        <v>2245645.52</v>
      </c>
      <c r="BG9" s="15" t="n">
        <v>104832.07</v>
      </c>
      <c r="BH9" s="15" t="n">
        <v>288433.59</v>
      </c>
      <c r="BI9" s="15" t="n">
        <v>5844500.46</v>
      </c>
      <c r="BJ9" s="15" t="n">
        <v>6034730.14</v>
      </c>
      <c r="BK9" s="15" t="n">
        <v>696131.99</v>
      </c>
      <c r="BL9" s="15" t="n">
        <v>686454.0699999999</v>
      </c>
      <c r="BM9" s="15" t="n">
        <v>338764.7</v>
      </c>
      <c r="BN9" s="15" t="n">
        <v>873229.61</v>
      </c>
      <c r="BO9" s="15" t="n">
        <v>2657228.57</v>
      </c>
      <c r="BP9" s="15" t="n">
        <v>6806641.05</v>
      </c>
      <c r="BQ9" s="15" t="n">
        <v>125610.25</v>
      </c>
      <c r="BR9" s="15" t="n">
        <v>755556.39</v>
      </c>
      <c r="BS9" s="15" t="n">
        <v>493501.64</v>
      </c>
      <c r="BT9" s="15" t="n">
        <v>1448433.23</v>
      </c>
      <c r="BU9" s="15" t="n">
        <v>4889362.92</v>
      </c>
      <c r="BV9" s="15" t="n">
        <v>3379421.54</v>
      </c>
      <c r="BW9" s="15" t="n">
        <v>3778955.22</v>
      </c>
      <c r="BX9" s="15" t="n">
        <v>1943185.58</v>
      </c>
      <c r="BY9" s="15" t="n">
        <v>55778.48</v>
      </c>
      <c r="BZ9" s="15" t="n">
        <v>530424.77</v>
      </c>
      <c r="CA9" s="15" t="n">
        <v>2956250.49</v>
      </c>
      <c r="CB9" s="15" t="n">
        <v>5002225.51</v>
      </c>
      <c r="CC9" s="15" t="n">
        <v>3286238.09</v>
      </c>
      <c r="CD9" s="15" t="n">
        <v>2349494.86</v>
      </c>
      <c r="CE9" s="15" t="n">
        <v>428469.78</v>
      </c>
      <c r="CF9" s="15" t="n">
        <v>869634.36</v>
      </c>
      <c r="CG9" s="15" t="n">
        <v>1318579.22</v>
      </c>
      <c r="CH9" s="15" t="n">
        <v>6872518.05</v>
      </c>
      <c r="CI9" s="15" t="n">
        <v>3041689.42</v>
      </c>
      <c r="CJ9" s="15" t="n">
        <v>658698.24</v>
      </c>
      <c r="CK9" s="15" t="n">
        <v>485943.2</v>
      </c>
      <c r="CL9" s="15" t="n">
        <v>226309.4</v>
      </c>
      <c r="CM9" s="15" t="n">
        <v>1576094.26</v>
      </c>
      <c r="CN9" s="15" t="n">
        <v>6948694.49</v>
      </c>
      <c r="CO9" s="15" t="n">
        <v>427327.14</v>
      </c>
      <c r="CP9" s="15" t="n">
        <v>2079104.41</v>
      </c>
      <c r="CQ9" s="15" t="n">
        <v>378790.97</v>
      </c>
      <c r="CR9" s="15" t="n">
        <v>-219273.13</v>
      </c>
      <c r="CS9" s="15" t="n">
        <v>3575149.69</v>
      </c>
      <c r="CT9" s="15" t="n">
        <v>6764497.11</v>
      </c>
      <c r="CU9" s="15" t="n">
        <v>2116074.22</v>
      </c>
      <c r="CV9" s="15" t="n">
        <v>178986.58</v>
      </c>
      <c r="CW9" s="15" t="n">
        <v>214680.32</v>
      </c>
      <c r="CX9" s="15" t="n">
        <v>-211669.43</v>
      </c>
      <c r="CY9" s="15" t="n">
        <v>4748839.9</v>
      </c>
      <c r="CZ9" s="15" t="n">
        <v>2946932.99</v>
      </c>
      <c r="DA9" s="15" t="n">
        <v>3185068.03</v>
      </c>
      <c r="DB9" s="15" t="n">
        <v>1138284.8</v>
      </c>
      <c r="DC9" s="15" t="n">
        <v>488084.27</v>
      </c>
      <c r="DD9" s="15" t="n">
        <v>2229118.87</v>
      </c>
      <c r="DE9" s="15" t="n">
        <v>1216345.43</v>
      </c>
      <c r="DF9" s="15" t="n">
        <v>4646813.2</v>
      </c>
      <c r="DG9" s="15" t="n">
        <v>959119</v>
      </c>
      <c r="DH9" s="15" t="n">
        <v>1742555.18</v>
      </c>
      <c r="DI9" s="15" t="n">
        <v>314098.44</v>
      </c>
      <c r="DJ9" s="15" t="n">
        <v>662796.9300000001</v>
      </c>
      <c r="DK9" s="15" t="n">
        <v>4981487.81</v>
      </c>
      <c r="DL9" s="15" t="n">
        <v>3535497.32</v>
      </c>
      <c r="DM9" s="15" t="n">
        <v>111008.57</v>
      </c>
      <c r="DN9" s="15" t="n">
        <v>1576936.98</v>
      </c>
      <c r="DO9" s="15" t="n">
        <v>246836.17</v>
      </c>
      <c r="DP9" s="15" t="n">
        <v>-257739.59</v>
      </c>
    </row>
    <row r="10">
      <c r="A10" s="4" t="inlineStr">
        <is>
          <t>其他产品A</t>
        </is>
      </c>
      <c r="B10" s="15" t="n">
        <v>4358830.89</v>
      </c>
      <c r="C10" s="15" t="n">
        <v>1290737.62</v>
      </c>
      <c r="D10" s="15" t="n">
        <v>2328811.85</v>
      </c>
      <c r="E10" s="15" t="n">
        <v>440719.14</v>
      </c>
      <c r="F10" s="15" t="n">
        <v>2035467.51</v>
      </c>
      <c r="G10" s="15" t="n">
        <v>1684212.09</v>
      </c>
      <c r="H10" s="15" t="n">
        <v>930240.1899999999</v>
      </c>
      <c r="I10" s="15" t="n">
        <v>3555595.78</v>
      </c>
      <c r="J10" s="15" t="n">
        <v>230352.9</v>
      </c>
      <c r="K10" s="15" t="n">
        <v>235383.84</v>
      </c>
      <c r="L10" s="15" t="n">
        <v>1888174.02</v>
      </c>
      <c r="M10" s="15" t="n">
        <v>4703588.26</v>
      </c>
      <c r="N10" s="15" t="n">
        <v>4508583.78</v>
      </c>
      <c r="O10" s="15" t="n">
        <v>1238551.65</v>
      </c>
      <c r="P10" s="15" t="n">
        <v>603065.63</v>
      </c>
      <c r="Q10" s="15" t="n">
        <v>219627.75</v>
      </c>
      <c r="R10" s="15" t="n">
        <v>1190567.57</v>
      </c>
      <c r="S10" s="15" t="n">
        <v>794624.71</v>
      </c>
      <c r="T10" s="15" t="n">
        <v>7189271.98</v>
      </c>
      <c r="U10" s="15" t="n">
        <v>561006.61</v>
      </c>
      <c r="V10" s="15" t="n">
        <v>1587977.33</v>
      </c>
      <c r="W10" s="15" t="n">
        <v>67187.64999999999</v>
      </c>
      <c r="X10" s="15" t="n">
        <v>1091528.65</v>
      </c>
      <c r="Y10" s="15" t="n">
        <v>3885402.72</v>
      </c>
      <c r="Z10" s="15" t="n">
        <v>3205093.16</v>
      </c>
      <c r="AA10" s="15" t="n">
        <v>4030998.35</v>
      </c>
      <c r="AB10" s="15" t="n">
        <v>1878681.72</v>
      </c>
      <c r="AC10" s="15" t="n">
        <v>98513.88</v>
      </c>
      <c r="AD10" s="15" t="n">
        <v>2146432.29</v>
      </c>
      <c r="AE10" s="15" t="n">
        <v>4604445.68</v>
      </c>
      <c r="AF10" s="15" t="n">
        <v>6490548.89</v>
      </c>
      <c r="AG10" s="15" t="n">
        <v>2675246.32</v>
      </c>
      <c r="AH10" s="15" t="n">
        <v>1128041.45</v>
      </c>
      <c r="AI10" s="15" t="n">
        <v>728781</v>
      </c>
      <c r="AJ10" s="15" t="n">
        <v>518446.77</v>
      </c>
      <c r="AK10" s="15" t="n">
        <v>3228575.92</v>
      </c>
      <c r="AL10" s="15" t="n">
        <v>6004823.28</v>
      </c>
      <c r="AM10" s="15" t="n">
        <v>4004928.76</v>
      </c>
      <c r="AN10" s="15" t="n">
        <v>260364.78</v>
      </c>
      <c r="AO10" s="15" t="n">
        <v>80527.10000000001</v>
      </c>
      <c r="AP10" s="15" t="n">
        <v>1527430.9</v>
      </c>
      <c r="AQ10" s="15" t="n">
        <v>340992.29</v>
      </c>
      <c r="AR10" s="15" t="n">
        <v>1536593.38</v>
      </c>
      <c r="AS10" s="15" t="n">
        <v>2110025.05</v>
      </c>
      <c r="AT10" s="15" t="n">
        <v>1204996.15</v>
      </c>
      <c r="AU10" s="15" t="n">
        <v>487623.88</v>
      </c>
      <c r="AV10" s="15" t="n">
        <v>1920156.15</v>
      </c>
      <c r="AW10" s="15" t="n">
        <v>5042242.6</v>
      </c>
      <c r="AX10" s="15" t="n">
        <v>2254248.78</v>
      </c>
      <c r="AY10" s="15" t="n">
        <v>4204623.2</v>
      </c>
      <c r="AZ10" s="15" t="n">
        <v>2070734.89</v>
      </c>
      <c r="BA10" s="15" t="n">
        <v>297495.98</v>
      </c>
      <c r="BB10" s="15" t="n">
        <v>469814.24</v>
      </c>
      <c r="BC10" s="15" t="n">
        <v>5651947.93</v>
      </c>
      <c r="BD10" s="15" t="n">
        <v>6828147.39</v>
      </c>
      <c r="BE10" s="15" t="n">
        <v>1341700.64</v>
      </c>
      <c r="BF10" s="15" t="n">
        <v>2967753.89</v>
      </c>
      <c r="BG10" s="15" t="n">
        <v>17386.17</v>
      </c>
      <c r="BH10" s="15" t="n">
        <v>153565.21</v>
      </c>
      <c r="BI10" s="15" t="n">
        <v>845830.9</v>
      </c>
      <c r="BJ10" s="15" t="n">
        <v>1844284.31</v>
      </c>
      <c r="BK10" s="15" t="n">
        <v>3216905.12</v>
      </c>
      <c r="BL10" s="15" t="n">
        <v>2385348.72</v>
      </c>
      <c r="BM10" s="15" t="n">
        <v>472892.89</v>
      </c>
      <c r="BN10" s="15" t="n">
        <v>1474204.71</v>
      </c>
      <c r="BO10" s="15" t="n">
        <v>967225.8199999999</v>
      </c>
      <c r="BP10" s="15" t="n">
        <v>1987195.5</v>
      </c>
      <c r="BQ10" s="15" t="n">
        <v>1344604.37</v>
      </c>
      <c r="BR10" s="15" t="n">
        <v>1485868.54</v>
      </c>
      <c r="BS10" s="15" t="n">
        <v>647170.91</v>
      </c>
      <c r="BT10" s="15" t="n">
        <v>1614410.53</v>
      </c>
      <c r="BU10" s="15" t="n">
        <v>1567186.01</v>
      </c>
      <c r="BV10" s="15" t="n">
        <v>2319013.19</v>
      </c>
      <c r="BW10" s="15" t="n">
        <v>1308019.23</v>
      </c>
      <c r="BX10" s="15" t="n">
        <v>1167583.93</v>
      </c>
      <c r="BY10" s="15" t="n">
        <v>60613.31</v>
      </c>
      <c r="BZ10" s="15" t="n">
        <v>2126786.4</v>
      </c>
      <c r="CA10" s="15" t="n">
        <v>3790428.35</v>
      </c>
      <c r="CB10" s="15" t="n">
        <v>2652828.58</v>
      </c>
      <c r="CC10" s="15" t="n">
        <v>4174465.2</v>
      </c>
      <c r="CD10" s="15" t="n">
        <v>1432684.75</v>
      </c>
      <c r="CE10" s="15" t="n">
        <v>51446.71</v>
      </c>
      <c r="CF10" s="15" t="n">
        <v>1388077.37</v>
      </c>
      <c r="CG10" s="15" t="n">
        <v>2572669.03</v>
      </c>
      <c r="CH10" s="15" t="n">
        <v>6001381.14</v>
      </c>
      <c r="CI10" s="15" t="n">
        <v>1191773.89</v>
      </c>
      <c r="CJ10" s="15" t="n">
        <v>1724920.92</v>
      </c>
      <c r="CK10" s="15" t="n">
        <v>642126.26</v>
      </c>
      <c r="CL10" s="15" t="n">
        <v>-103671.05</v>
      </c>
      <c r="CM10" s="15" t="n">
        <v>2716001.67</v>
      </c>
      <c r="CN10" s="15" t="n">
        <v>7464812.98</v>
      </c>
      <c r="CO10" s="15" t="n">
        <v>1666444.37</v>
      </c>
      <c r="CP10" s="15" t="n">
        <v>1191813.24</v>
      </c>
      <c r="CQ10" s="15" t="n">
        <v>262913.31</v>
      </c>
      <c r="CR10" s="15" t="n">
        <v>-109875.51</v>
      </c>
      <c r="CS10" s="15" t="n">
        <v>3838552.33</v>
      </c>
      <c r="CT10" s="15" t="n">
        <v>5575323.82</v>
      </c>
      <c r="CU10" s="15" t="n">
        <v>3354338.22</v>
      </c>
      <c r="CV10" s="15" t="n">
        <v>31351.55</v>
      </c>
      <c r="CW10" s="15" t="n">
        <v>140285.88</v>
      </c>
      <c r="CX10" s="15" t="n">
        <v>442216.22</v>
      </c>
      <c r="CY10" s="15" t="n">
        <v>747361.08</v>
      </c>
      <c r="CZ10" s="15" t="n">
        <v>2633961.1</v>
      </c>
      <c r="DA10" s="15" t="n">
        <v>387123.81</v>
      </c>
      <c r="DB10" s="15" t="n">
        <v>1558348.15</v>
      </c>
      <c r="DC10" s="15" t="n">
        <v>680502.85</v>
      </c>
      <c r="DD10" s="15" t="n">
        <v>560459.14</v>
      </c>
      <c r="DE10" s="15" t="n">
        <v>1608185.93</v>
      </c>
      <c r="DF10" s="15" t="n">
        <v>6250507.99</v>
      </c>
      <c r="DG10" s="15" t="n">
        <v>2421926.78</v>
      </c>
      <c r="DH10" s="15" t="n">
        <v>2864179.88</v>
      </c>
      <c r="DI10" s="15" t="n">
        <v>261795.41</v>
      </c>
      <c r="DJ10" s="15" t="n">
        <v>10708.36</v>
      </c>
      <c r="DK10" s="15" t="n">
        <v>1403791.71</v>
      </c>
      <c r="DL10" s="15" t="n">
        <v>1598382.56</v>
      </c>
      <c r="DM10" s="15" t="n">
        <v>1819009.96</v>
      </c>
      <c r="DN10" s="15" t="n">
        <v>2200533.16</v>
      </c>
      <c r="DO10" s="15" t="n">
        <v>24064.78</v>
      </c>
      <c r="DP10" s="15" t="n">
        <v>1020615.93</v>
      </c>
    </row>
    <row r="11">
      <c r="A11" s="4" t="inlineStr">
        <is>
          <t>其他产品B</t>
        </is>
      </c>
      <c r="B11" s="15" t="n">
        <v>7356850.71</v>
      </c>
      <c r="C11" s="15" t="n">
        <v>2724014.83</v>
      </c>
      <c r="D11" s="15" t="n">
        <v>2765439.16</v>
      </c>
      <c r="E11" s="15" t="n">
        <v>256623.29</v>
      </c>
      <c r="F11" s="15" t="n">
        <v>799290.91</v>
      </c>
      <c r="G11" s="15" t="n">
        <v>4583025.03</v>
      </c>
      <c r="H11" s="15" t="n">
        <v>2498284.34</v>
      </c>
      <c r="I11" s="15" t="n">
        <v>604086.1800000001</v>
      </c>
      <c r="J11" s="15" t="n">
        <v>1950987.13</v>
      </c>
      <c r="K11" s="15" t="n">
        <v>87694.37</v>
      </c>
      <c r="L11" s="15" t="n">
        <v>651686.34</v>
      </c>
      <c r="M11" s="15" t="n">
        <v>2903850.52</v>
      </c>
      <c r="N11" s="15" t="n">
        <v>1402700.27</v>
      </c>
      <c r="O11" s="15" t="n">
        <v>352591.22</v>
      </c>
      <c r="P11" s="15" t="n">
        <v>1007704.24</v>
      </c>
      <c r="Q11" s="15" t="n">
        <v>557227.48</v>
      </c>
      <c r="R11" s="15" t="n">
        <v>475245.24</v>
      </c>
      <c r="S11" s="15" t="n">
        <v>1168295.01</v>
      </c>
      <c r="T11" s="15" t="n">
        <v>779486.01</v>
      </c>
      <c r="U11" s="15" t="n">
        <v>2669392.83</v>
      </c>
      <c r="V11" s="15" t="n">
        <v>374945.38</v>
      </c>
      <c r="W11" s="15" t="n">
        <v>518896.68</v>
      </c>
      <c r="X11" s="15" t="n">
        <v>1358545.14</v>
      </c>
      <c r="Y11" s="15" t="n">
        <v>1060990.44</v>
      </c>
      <c r="Z11" s="15" t="n">
        <v>4434291.69</v>
      </c>
      <c r="AA11" s="15" t="n">
        <v>2769534.85</v>
      </c>
      <c r="AB11" s="15" t="n">
        <v>1526218.19</v>
      </c>
      <c r="AC11" s="15" t="n">
        <v>228291.98</v>
      </c>
      <c r="AD11" s="15" t="n">
        <v>424821.44</v>
      </c>
      <c r="AE11" s="15" t="n">
        <v>4536348.34</v>
      </c>
      <c r="AF11" s="15" t="n">
        <v>1740533.45</v>
      </c>
      <c r="AG11" s="15" t="n">
        <v>2353341.69</v>
      </c>
      <c r="AH11" s="15" t="n">
        <v>1104596.56</v>
      </c>
      <c r="AI11" s="15" t="n">
        <v>531905.1800000001</v>
      </c>
      <c r="AJ11" s="15" t="n">
        <v>1998265.27</v>
      </c>
      <c r="AK11" s="15" t="n">
        <v>3536755.69</v>
      </c>
      <c r="AL11" s="15" t="n">
        <v>4416585.03</v>
      </c>
      <c r="AM11" s="15" t="n">
        <v>1344688.08</v>
      </c>
      <c r="AN11" s="15" t="n">
        <v>530173.0699999999</v>
      </c>
      <c r="AO11" s="15" t="n">
        <v>251263.86</v>
      </c>
      <c r="AP11" s="15" t="n">
        <v>-285409.98</v>
      </c>
      <c r="AQ11" s="15" t="n">
        <v>829752.98</v>
      </c>
      <c r="AR11" s="15" t="n">
        <v>1342831.1</v>
      </c>
      <c r="AS11" s="15" t="n">
        <v>3223756.53</v>
      </c>
      <c r="AT11" s="15" t="n">
        <v>350975.72</v>
      </c>
      <c r="AU11" s="15" t="n">
        <v>236948.52</v>
      </c>
      <c r="AV11" s="15" t="n">
        <v>-190455.88</v>
      </c>
      <c r="AW11" s="15" t="n">
        <v>423649.82</v>
      </c>
      <c r="AX11" s="15" t="n">
        <v>6780959.13</v>
      </c>
      <c r="AY11" s="15" t="n">
        <v>2941515.34</v>
      </c>
      <c r="AZ11" s="15" t="n">
        <v>2114467.44</v>
      </c>
      <c r="BA11" s="15" t="n">
        <v>335342.25</v>
      </c>
      <c r="BB11" s="15" t="n">
        <v>2198216.29</v>
      </c>
      <c r="BC11" s="15" t="n">
        <v>3139319.83</v>
      </c>
      <c r="BD11" s="15" t="n">
        <v>3976204</v>
      </c>
      <c r="BE11" s="15" t="n">
        <v>1868312.97</v>
      </c>
      <c r="BF11" s="15" t="n">
        <v>1883996.71</v>
      </c>
      <c r="BG11" s="15" t="n">
        <v>414662.96</v>
      </c>
      <c r="BH11" s="15" t="n">
        <v>1462130.85</v>
      </c>
      <c r="BI11" s="15" t="n">
        <v>983628.14</v>
      </c>
      <c r="BJ11" s="15" t="n">
        <v>1521640.6</v>
      </c>
      <c r="BK11" s="15" t="n">
        <v>3614868.53</v>
      </c>
      <c r="BL11" s="15" t="n">
        <v>400134.03</v>
      </c>
      <c r="BM11" s="15" t="n">
        <v>501624.62</v>
      </c>
      <c r="BN11" s="15" t="n">
        <v>865508.4399999999</v>
      </c>
      <c r="BO11" s="15" t="n">
        <v>4047985.62</v>
      </c>
      <c r="BP11" s="15" t="n">
        <v>7128264.51</v>
      </c>
      <c r="BQ11" s="15" t="n">
        <v>4286760.21</v>
      </c>
      <c r="BR11" s="15" t="n">
        <v>2742028.42</v>
      </c>
      <c r="BS11" s="15" t="n">
        <v>244445.83</v>
      </c>
      <c r="BT11" s="15" t="n">
        <v>396432.21</v>
      </c>
      <c r="BU11" s="15" t="n">
        <v>3878874.42</v>
      </c>
      <c r="BV11" s="15" t="n">
        <v>1059592.57</v>
      </c>
      <c r="BW11" s="15" t="n">
        <v>4098066.25</v>
      </c>
      <c r="BX11" s="15" t="n">
        <v>960663.8199999999</v>
      </c>
      <c r="BY11" s="15" t="n">
        <v>599984.11</v>
      </c>
      <c r="BZ11" s="15" t="n">
        <v>1534273.79</v>
      </c>
      <c r="CA11" s="15" t="n">
        <v>3411309.12</v>
      </c>
      <c r="CB11" s="15" t="n">
        <v>336957.65</v>
      </c>
      <c r="CC11" s="15" t="n">
        <v>509405.2</v>
      </c>
      <c r="CD11" s="15" t="n">
        <v>596343.65</v>
      </c>
      <c r="CE11" s="15" t="n">
        <v>395276.05</v>
      </c>
      <c r="CF11" s="15" t="n">
        <v>1950805.88</v>
      </c>
      <c r="CG11" s="15" t="n">
        <v>1400242.42</v>
      </c>
      <c r="CH11" s="15" t="n">
        <v>2790883.84</v>
      </c>
      <c r="CI11" s="15" t="n">
        <v>3745102.1</v>
      </c>
      <c r="CJ11" s="15" t="n">
        <v>1614852.12</v>
      </c>
      <c r="CK11" s="15" t="n">
        <v>140556.67</v>
      </c>
      <c r="CL11" s="15" t="n">
        <v>2159843.12</v>
      </c>
      <c r="CM11" s="15" t="n">
        <v>1824139.99</v>
      </c>
      <c r="CN11" s="15" t="n">
        <v>4142110.79</v>
      </c>
      <c r="CO11" s="15" t="n">
        <v>4209320.02</v>
      </c>
      <c r="CP11" s="15" t="n">
        <v>2919352.49</v>
      </c>
      <c r="CQ11" s="15" t="n">
        <v>549540.55</v>
      </c>
      <c r="CR11" s="15" t="n">
        <v>76256.24000000001</v>
      </c>
      <c r="CS11" s="15" t="n">
        <v>4391982.64</v>
      </c>
      <c r="CT11" s="15" t="n">
        <v>5550604.35</v>
      </c>
      <c r="CU11" s="15" t="n">
        <v>1200429.14</v>
      </c>
      <c r="CV11" s="15" t="n">
        <v>547241.45</v>
      </c>
      <c r="CW11" s="15" t="n">
        <v>303903.26</v>
      </c>
      <c r="CX11" s="15" t="n">
        <v>1825758.6</v>
      </c>
      <c r="CY11" s="15" t="n">
        <v>3822823.59</v>
      </c>
      <c r="CZ11" s="15" t="n">
        <v>7493179.57</v>
      </c>
      <c r="DA11" s="15" t="n">
        <v>787213.91</v>
      </c>
      <c r="DB11" s="15" t="n">
        <v>2985123.42</v>
      </c>
      <c r="DC11" s="15" t="n">
        <v>245154.02</v>
      </c>
      <c r="DD11" s="15" t="n">
        <v>2090099.05</v>
      </c>
      <c r="DE11" s="15" t="n">
        <v>5809047.68</v>
      </c>
      <c r="DF11" s="15" t="n">
        <v>6626445.17</v>
      </c>
      <c r="DG11" s="15" t="n">
        <v>790863.61</v>
      </c>
      <c r="DH11" s="15" t="n">
        <v>1624582.14</v>
      </c>
      <c r="DI11" s="15" t="n">
        <v>339143.39</v>
      </c>
      <c r="DJ11" s="15" t="n">
        <v>-199645.87</v>
      </c>
      <c r="DK11" s="15" t="n">
        <v>2755348.66</v>
      </c>
      <c r="DL11" s="15" t="n">
        <v>2978758.91</v>
      </c>
      <c r="DM11" s="15" t="n">
        <v>1461231.19</v>
      </c>
      <c r="DN11" s="15" t="n">
        <v>429808.19</v>
      </c>
      <c r="DO11" s="15" t="n">
        <v>690255.62</v>
      </c>
      <c r="DP11" s="15" t="n">
        <v>204652.74</v>
      </c>
    </row>
    <row r="12">
      <c r="A12" s="4" t="inlineStr">
        <is>
          <t>其他产品C</t>
        </is>
      </c>
      <c r="B12" s="15" t="n">
        <v>7447486.46</v>
      </c>
      <c r="C12" s="15" t="n">
        <v>4207420.29</v>
      </c>
      <c r="D12" s="15" t="n">
        <v>1992210.66</v>
      </c>
      <c r="E12" s="15" t="n">
        <v>567201.34</v>
      </c>
      <c r="F12" s="15" t="n">
        <v>958407.9</v>
      </c>
      <c r="G12" s="15" t="n">
        <v>4271745.74</v>
      </c>
      <c r="H12" s="15" t="n">
        <v>6763317.35</v>
      </c>
      <c r="I12" s="15" t="n">
        <v>3213727.75</v>
      </c>
      <c r="J12" s="15" t="n">
        <v>2732566.43</v>
      </c>
      <c r="K12" s="15" t="n">
        <v>237252.19</v>
      </c>
      <c r="L12" s="15" t="n">
        <v>2176919.79</v>
      </c>
      <c r="M12" s="15" t="n">
        <v>4240704.09</v>
      </c>
      <c r="N12" s="15" t="n">
        <v>6733322.82</v>
      </c>
      <c r="O12" s="15" t="n">
        <v>2291501.72</v>
      </c>
      <c r="P12" s="15" t="n">
        <v>2593876.47</v>
      </c>
      <c r="Q12" s="15" t="n">
        <v>70153.49000000001</v>
      </c>
      <c r="R12" s="15" t="n">
        <v>844494.36</v>
      </c>
      <c r="S12" s="15" t="n">
        <v>2107682.88</v>
      </c>
      <c r="T12" s="15" t="n">
        <v>5982164.06</v>
      </c>
      <c r="U12" s="15" t="n">
        <v>3806914.47</v>
      </c>
      <c r="V12" s="15" t="n">
        <v>183724.33</v>
      </c>
      <c r="W12" s="15" t="n">
        <v>192209.95</v>
      </c>
      <c r="X12" s="15" t="n">
        <v>257590.47</v>
      </c>
      <c r="Y12" s="15" t="n">
        <v>330477.86</v>
      </c>
      <c r="Z12" s="15" t="n">
        <v>5966625.63</v>
      </c>
      <c r="AA12" s="15" t="n">
        <v>3858228.31</v>
      </c>
      <c r="AB12" s="15" t="n">
        <v>85450.03</v>
      </c>
      <c r="AC12" s="15" t="n">
        <v>509812.47</v>
      </c>
      <c r="AD12" s="15" t="n">
        <v>1749935.66</v>
      </c>
      <c r="AE12" s="15" t="n">
        <v>3638278.25</v>
      </c>
      <c r="AF12" s="15" t="n">
        <v>6492636.62</v>
      </c>
      <c r="AG12" s="15" t="n">
        <v>4352393.33</v>
      </c>
      <c r="AH12" s="15" t="n">
        <v>459583.41</v>
      </c>
      <c r="AI12" s="15" t="n">
        <v>601734.92</v>
      </c>
      <c r="AJ12" s="15" t="n">
        <v>1751033.65</v>
      </c>
      <c r="AK12" s="15" t="n">
        <v>928906.72</v>
      </c>
      <c r="AL12" s="15" t="n">
        <v>2182343.42</v>
      </c>
      <c r="AM12" s="15" t="n">
        <v>1996269.14</v>
      </c>
      <c r="AN12" s="15" t="n">
        <v>889338.86</v>
      </c>
      <c r="AO12" s="15" t="n">
        <v>62577.63</v>
      </c>
      <c r="AP12" s="15" t="n">
        <v>1599600.56</v>
      </c>
      <c r="AQ12" s="15" t="n">
        <v>4038587.61</v>
      </c>
      <c r="AR12" s="15" t="n">
        <v>4059094.05</v>
      </c>
      <c r="AS12" s="15" t="n">
        <v>3048721.39</v>
      </c>
      <c r="AT12" s="15" t="n">
        <v>1792777.6</v>
      </c>
      <c r="AU12" s="15" t="n">
        <v>371766.14</v>
      </c>
      <c r="AV12" s="15" t="n">
        <v>1852208.19</v>
      </c>
      <c r="AW12" s="15" t="n">
        <v>4544439.75</v>
      </c>
      <c r="AX12" s="15" t="n">
        <v>7158243.3</v>
      </c>
      <c r="AY12" s="15" t="n">
        <v>3219236.64</v>
      </c>
      <c r="AZ12" s="15" t="n">
        <v>724782.64</v>
      </c>
      <c r="BA12" s="15" t="n">
        <v>419917.34</v>
      </c>
      <c r="BB12" s="15" t="n">
        <v>1483255.9</v>
      </c>
      <c r="BC12" s="15" t="n">
        <v>1410839.02</v>
      </c>
      <c r="BD12" s="15" t="n">
        <v>4983097.65</v>
      </c>
      <c r="BE12" s="15" t="n">
        <v>3639775.99</v>
      </c>
      <c r="BF12" s="15" t="n">
        <v>532700.6800000001</v>
      </c>
      <c r="BG12" s="15" t="n">
        <v>697010.66</v>
      </c>
      <c r="BH12" s="15" t="n">
        <v>1170223.36</v>
      </c>
      <c r="BI12" s="15" t="n">
        <v>5458073.67</v>
      </c>
      <c r="BJ12" s="15" t="n">
        <v>4913565.87</v>
      </c>
      <c r="BK12" s="15" t="n">
        <v>4368786.4</v>
      </c>
      <c r="BL12" s="15" t="n">
        <v>1890878.21</v>
      </c>
      <c r="BM12" s="15" t="n">
        <v>586143.73</v>
      </c>
      <c r="BN12" s="15" t="n">
        <v>871521</v>
      </c>
      <c r="BO12" s="15" t="n">
        <v>3947350.54</v>
      </c>
      <c r="BP12" s="15" t="n">
        <v>3942400.41</v>
      </c>
      <c r="BQ12" s="15" t="n">
        <v>2198438.88</v>
      </c>
      <c r="BR12" s="15" t="n">
        <v>2951882.7</v>
      </c>
      <c r="BS12" s="15" t="n">
        <v>690181.38</v>
      </c>
      <c r="BT12" s="15" t="n">
        <v>399202.9</v>
      </c>
      <c r="BU12" s="15" t="n">
        <v>3946195.39</v>
      </c>
      <c r="BV12" s="15" t="n">
        <v>1857031.09</v>
      </c>
      <c r="BW12" s="15" t="n">
        <v>4075701.14</v>
      </c>
      <c r="BX12" s="15" t="n">
        <v>1386126.54</v>
      </c>
      <c r="BY12" s="15" t="n">
        <v>493072.47</v>
      </c>
      <c r="BZ12" s="15" t="n">
        <v>-98363.24000000001</v>
      </c>
      <c r="CA12" s="15" t="n">
        <v>3731472.65</v>
      </c>
      <c r="CB12" s="15" t="n">
        <v>2849035.59</v>
      </c>
      <c r="CC12" s="15" t="n">
        <v>1127517.18</v>
      </c>
      <c r="CD12" s="15" t="n">
        <v>2467237.38</v>
      </c>
      <c r="CE12" s="15" t="n">
        <v>548218.6</v>
      </c>
      <c r="CF12" s="15" t="n">
        <v>1438314.98</v>
      </c>
      <c r="CG12" s="15" t="n">
        <v>3607844.35</v>
      </c>
      <c r="CH12" s="15" t="n">
        <v>5107296.51</v>
      </c>
      <c r="CI12" s="15" t="n">
        <v>2960030.95</v>
      </c>
      <c r="CJ12" s="15" t="n">
        <v>976683</v>
      </c>
      <c r="CK12" s="15" t="n">
        <v>244659.15</v>
      </c>
      <c r="CL12" s="15" t="n">
        <v>892327.13</v>
      </c>
      <c r="CM12" s="15" t="n">
        <v>455326.86</v>
      </c>
      <c r="CN12" s="15" t="n">
        <v>200248.62</v>
      </c>
      <c r="CO12" s="15" t="n">
        <v>2159537.76</v>
      </c>
      <c r="CP12" s="15" t="n">
        <v>2568381.17</v>
      </c>
      <c r="CQ12" s="15" t="n">
        <v>496749.42</v>
      </c>
      <c r="CR12" s="15" t="n">
        <v>963826.48</v>
      </c>
      <c r="CS12" s="15" t="n">
        <v>2324742.75</v>
      </c>
      <c r="CT12" s="15" t="n">
        <v>5465624.8</v>
      </c>
      <c r="CU12" s="15" t="n">
        <v>2522461.71</v>
      </c>
      <c r="CV12" s="15" t="n">
        <v>2329750.02</v>
      </c>
      <c r="CW12" s="15" t="n">
        <v>233686.76</v>
      </c>
      <c r="CX12" s="15" t="n">
        <v>420509.2</v>
      </c>
      <c r="CY12" s="15" t="n">
        <v>3517867.81</v>
      </c>
      <c r="CZ12" s="15" t="n">
        <v>4647876.37</v>
      </c>
      <c r="DA12" s="15" t="n">
        <v>4116080.28</v>
      </c>
      <c r="DB12" s="15" t="n">
        <v>617524.71</v>
      </c>
      <c r="DC12" s="15" t="n">
        <v>269679.78</v>
      </c>
      <c r="DD12" s="15" t="n">
        <v>663606.21</v>
      </c>
      <c r="DE12" s="15" t="n">
        <v>2566953.82</v>
      </c>
      <c r="DF12" s="15" t="n">
        <v>7192709.35</v>
      </c>
      <c r="DG12" s="15" t="n">
        <v>642333.8199999999</v>
      </c>
      <c r="DH12" s="15" t="n">
        <v>239957.38</v>
      </c>
      <c r="DI12" s="15" t="n">
        <v>416923.03</v>
      </c>
      <c r="DJ12" s="15" t="n">
        <v>-270713.89</v>
      </c>
      <c r="DK12" s="15" t="n">
        <v>2033087.58</v>
      </c>
      <c r="DL12" s="15" t="n">
        <v>4404187.3</v>
      </c>
      <c r="DM12" s="15" t="n">
        <v>411750.58</v>
      </c>
      <c r="DN12" s="15" t="n">
        <v>2349992.79</v>
      </c>
      <c r="DO12" s="15" t="n">
        <v>204045.52</v>
      </c>
      <c r="DP12" s="15" t="n">
        <v>412657.76</v>
      </c>
    </row>
    <row r="13">
      <c r="A13" s="4" t="inlineStr">
        <is>
          <t>数控机床</t>
        </is>
      </c>
      <c r="B13" s="15" t="n">
        <v>2788617.96</v>
      </c>
      <c r="C13" s="15" t="n">
        <v>3389793.81</v>
      </c>
      <c r="D13" s="15" t="n">
        <v>513763.54</v>
      </c>
      <c r="E13" s="15" t="n">
        <v>287528.67</v>
      </c>
      <c r="F13" s="15" t="n">
        <v>548667.79</v>
      </c>
      <c r="G13" s="15" t="n">
        <v>712831.14</v>
      </c>
      <c r="H13" s="15" t="n">
        <v>6155917.97</v>
      </c>
      <c r="I13" s="15" t="n">
        <v>3725902.74</v>
      </c>
      <c r="J13" s="15" t="n">
        <v>2132706.64</v>
      </c>
      <c r="K13" s="15" t="n">
        <v>560734.5699999999</v>
      </c>
      <c r="L13" s="15" t="n">
        <v>1261450.9</v>
      </c>
      <c r="M13" s="15" t="n">
        <v>2183990.3</v>
      </c>
      <c r="N13" s="15" t="n">
        <v>857565.55</v>
      </c>
      <c r="O13" s="15" t="n">
        <v>1913405.01</v>
      </c>
      <c r="P13" s="15" t="n">
        <v>1988558.11</v>
      </c>
      <c r="Q13" s="15" t="n">
        <v>275474.64</v>
      </c>
      <c r="R13" s="15" t="n">
        <v>2047833.38</v>
      </c>
      <c r="S13" s="15" t="n">
        <v>4259516.12</v>
      </c>
      <c r="T13" s="15" t="n">
        <v>6887973.84</v>
      </c>
      <c r="U13" s="15" t="n">
        <v>204261.73</v>
      </c>
      <c r="V13" s="15" t="n">
        <v>1249841.42</v>
      </c>
      <c r="W13" s="15" t="n">
        <v>241837.5</v>
      </c>
      <c r="X13" s="15" t="n">
        <v>-26500.64</v>
      </c>
      <c r="Y13" s="15" t="n">
        <v>1474707.99</v>
      </c>
      <c r="Z13" s="15" t="n">
        <v>6475133.02</v>
      </c>
      <c r="AA13" s="15" t="n">
        <v>4198770.2</v>
      </c>
      <c r="AB13" s="15" t="n">
        <v>711253.86</v>
      </c>
      <c r="AC13" s="15" t="n">
        <v>570887.72</v>
      </c>
      <c r="AD13" s="15" t="n">
        <v>1572043.3</v>
      </c>
      <c r="AE13" s="15" t="n">
        <v>177720.57</v>
      </c>
      <c r="AF13" s="15" t="n">
        <v>6423240.25</v>
      </c>
      <c r="AG13" s="15" t="n">
        <v>3326828.34</v>
      </c>
      <c r="AH13" s="15" t="n">
        <v>777872.23</v>
      </c>
      <c r="AI13" s="15" t="n">
        <v>376058.69</v>
      </c>
      <c r="AJ13" s="15" t="n">
        <v>966400.26</v>
      </c>
      <c r="AK13" s="15" t="n">
        <v>5538884.58</v>
      </c>
      <c r="AL13" s="15" t="n">
        <v>1196364.59</v>
      </c>
      <c r="AM13" s="15" t="n">
        <v>1136307.31</v>
      </c>
      <c r="AN13" s="15" t="n">
        <v>428895.33</v>
      </c>
      <c r="AO13" s="15" t="n">
        <v>651636.88</v>
      </c>
      <c r="AP13" s="15" t="n">
        <v>941504.3</v>
      </c>
      <c r="AQ13" s="15" t="n">
        <v>3073689.86</v>
      </c>
      <c r="AR13" s="15" t="n">
        <v>6102330.17</v>
      </c>
      <c r="AS13" s="15" t="n">
        <v>3919534.52</v>
      </c>
      <c r="AT13" s="15" t="n">
        <v>2874631.33</v>
      </c>
      <c r="AU13" s="15" t="n">
        <v>744889.47</v>
      </c>
      <c r="AV13" s="15" t="n">
        <v>206741.19</v>
      </c>
      <c r="AW13" s="15" t="n">
        <v>5740363.41</v>
      </c>
      <c r="AX13" s="15" t="n">
        <v>5136458.36</v>
      </c>
      <c r="AY13" s="15" t="n">
        <v>1044673.81</v>
      </c>
      <c r="AZ13" s="15" t="n">
        <v>2481843.3</v>
      </c>
      <c r="BA13" s="15" t="n">
        <v>97347.10000000001</v>
      </c>
      <c r="BB13" s="15" t="n">
        <v>1015683.94</v>
      </c>
      <c r="BC13" s="15" t="n">
        <v>2715128.09</v>
      </c>
      <c r="BD13" s="15" t="n">
        <v>6668295.95</v>
      </c>
      <c r="BE13" s="15" t="n">
        <v>3940826.67</v>
      </c>
      <c r="BF13" s="15" t="n">
        <v>2453542.83</v>
      </c>
      <c r="BG13" s="15" t="n">
        <v>495573.25</v>
      </c>
      <c r="BH13" s="15" t="n">
        <v>1154017</v>
      </c>
      <c r="BI13" s="15" t="n">
        <v>1472749.38</v>
      </c>
      <c r="BJ13" s="15" t="n">
        <v>7092324.65</v>
      </c>
      <c r="BK13" s="15" t="n">
        <v>1444784.81</v>
      </c>
      <c r="BL13" s="15" t="n">
        <v>1346067.27</v>
      </c>
      <c r="BM13" s="15" t="n">
        <v>516262.94</v>
      </c>
      <c r="BN13" s="15" t="n">
        <v>1610274.71</v>
      </c>
      <c r="BO13" s="15" t="n">
        <v>5278676.52</v>
      </c>
      <c r="BP13" s="15" t="n">
        <v>7163500.48</v>
      </c>
      <c r="BQ13" s="15" t="n">
        <v>619223.0600000001</v>
      </c>
      <c r="BR13" s="15" t="n">
        <v>2712379.09</v>
      </c>
      <c r="BS13" s="15" t="n">
        <v>339308.32</v>
      </c>
      <c r="BT13" s="15" t="n">
        <v>508793.1</v>
      </c>
      <c r="BU13" s="15" t="n">
        <v>3538303.75</v>
      </c>
      <c r="BV13" s="15" t="n">
        <v>1944637.08</v>
      </c>
      <c r="BW13" s="15" t="n">
        <v>3867734.82</v>
      </c>
      <c r="BX13" s="15" t="n">
        <v>2676708.89</v>
      </c>
      <c r="BY13" s="15" t="n">
        <v>174831.25</v>
      </c>
      <c r="BZ13" s="15" t="n">
        <v>-76417.2</v>
      </c>
      <c r="CA13" s="15" t="n">
        <v>3685194.15</v>
      </c>
      <c r="CB13" s="15" t="n">
        <v>7161689.7</v>
      </c>
      <c r="CC13" s="15" t="n">
        <v>1142250.38</v>
      </c>
      <c r="CD13" s="15" t="n">
        <v>2964433.44</v>
      </c>
      <c r="CE13" s="15" t="n">
        <v>674784.23</v>
      </c>
      <c r="CF13" s="15" t="n">
        <v>2240594.58</v>
      </c>
      <c r="CG13" s="15" t="n">
        <v>3082747.35</v>
      </c>
      <c r="CH13" s="15" t="n">
        <v>1340508.34</v>
      </c>
      <c r="CI13" s="15" t="n">
        <v>1151653.75</v>
      </c>
      <c r="CJ13" s="15" t="n">
        <v>2454741.49</v>
      </c>
      <c r="CK13" s="15" t="n">
        <v>553022.42</v>
      </c>
      <c r="CL13" s="15" t="n">
        <v>552539.6</v>
      </c>
      <c r="CM13" s="15" t="n">
        <v>5829962.5</v>
      </c>
      <c r="CN13" s="15" t="n">
        <v>6681358.03</v>
      </c>
      <c r="CO13" s="15" t="n">
        <v>3059394.67</v>
      </c>
      <c r="CP13" s="15" t="n">
        <v>108250.4</v>
      </c>
      <c r="CQ13" s="15" t="n">
        <v>187634.15</v>
      </c>
      <c r="CR13" s="15" t="n">
        <v>2065837</v>
      </c>
      <c r="CS13" s="15" t="n">
        <v>681685.73</v>
      </c>
      <c r="CT13" s="15" t="n">
        <v>6038573.76</v>
      </c>
      <c r="CU13" s="15" t="n">
        <v>1163633.16</v>
      </c>
      <c r="CV13" s="15" t="n">
        <v>1269920.72</v>
      </c>
      <c r="CW13" s="15" t="n">
        <v>417149.11</v>
      </c>
      <c r="CX13" s="15" t="n">
        <v>649168.73</v>
      </c>
      <c r="CY13" s="15" t="n">
        <v>664955.67</v>
      </c>
      <c r="CZ13" s="15" t="n">
        <v>425143.81</v>
      </c>
      <c r="DA13" s="15" t="n">
        <v>286387.84</v>
      </c>
      <c r="DB13" s="15" t="n">
        <v>231135.17</v>
      </c>
      <c r="DC13" s="15" t="n">
        <v>127503.46</v>
      </c>
      <c r="DD13" s="15" t="n">
        <v>-106703.03</v>
      </c>
      <c r="DE13" s="15" t="n">
        <v>1606623.31</v>
      </c>
      <c r="DF13" s="15" t="n">
        <v>4148204.23</v>
      </c>
      <c r="DG13" s="15" t="n">
        <v>2064530.59</v>
      </c>
      <c r="DH13" s="15" t="n">
        <v>430106.43</v>
      </c>
      <c r="DI13" s="15" t="n">
        <v>207416.13</v>
      </c>
      <c r="DJ13" s="15" t="n">
        <v>777774.61</v>
      </c>
      <c r="DK13" s="15" t="n">
        <v>2616717.76</v>
      </c>
      <c r="DL13" s="15" t="n">
        <v>4193623.06</v>
      </c>
      <c r="DM13" s="15" t="n">
        <v>2440348.51</v>
      </c>
      <c r="DN13" s="15" t="n">
        <v>1935342.57</v>
      </c>
      <c r="DO13" s="15" t="n">
        <v>479766.86</v>
      </c>
      <c r="DP13" s="15" t="n">
        <v>168477.75</v>
      </c>
    </row>
    <row r="14">
      <c r="A14" s="4" t="inlineStr">
        <is>
          <t>精密轴承</t>
        </is>
      </c>
      <c r="B14" s="15" t="n">
        <v>622096.89</v>
      </c>
      <c r="C14" s="15" t="n">
        <v>2594315.55</v>
      </c>
      <c r="D14" s="15" t="n">
        <v>1734608.72</v>
      </c>
      <c r="E14" s="15" t="n">
        <v>648481.0600000001</v>
      </c>
      <c r="F14" s="15" t="n">
        <v>1877792.63</v>
      </c>
      <c r="G14" s="15" t="n">
        <v>1352591.78</v>
      </c>
      <c r="H14" s="15" t="n">
        <v>1093440.05</v>
      </c>
      <c r="I14" s="15" t="n">
        <v>180845.38</v>
      </c>
      <c r="J14" s="15" t="n">
        <v>587492.5</v>
      </c>
      <c r="K14" s="15" t="n">
        <v>243870.05</v>
      </c>
      <c r="L14" s="15" t="n">
        <v>963717.65</v>
      </c>
      <c r="M14" s="15" t="n">
        <v>1372705.51</v>
      </c>
      <c r="N14" s="15" t="n">
        <v>1656241.27</v>
      </c>
      <c r="O14" s="15" t="n">
        <v>1436969.94</v>
      </c>
      <c r="P14" s="15" t="n">
        <v>340286.32</v>
      </c>
      <c r="Q14" s="15" t="n">
        <v>317348.47</v>
      </c>
      <c r="R14" s="15" t="n">
        <v>-130824.42</v>
      </c>
      <c r="S14" s="15" t="n">
        <v>384508.7</v>
      </c>
      <c r="T14" s="15" t="n">
        <v>302958.56</v>
      </c>
      <c r="U14" s="15" t="n">
        <v>3809638.64</v>
      </c>
      <c r="V14" s="15" t="n">
        <v>35774.54</v>
      </c>
      <c r="W14" s="15" t="n">
        <v>23810.39</v>
      </c>
      <c r="X14" s="15" t="n">
        <v>445354.67</v>
      </c>
      <c r="Y14" s="15" t="n">
        <v>1291752.79</v>
      </c>
      <c r="Z14" s="15" t="n">
        <v>1872934.9</v>
      </c>
      <c r="AA14" s="15" t="n">
        <v>1705766.26</v>
      </c>
      <c r="AB14" s="15" t="n">
        <v>2881327.5</v>
      </c>
      <c r="AC14" s="15" t="n">
        <v>349583.02</v>
      </c>
      <c r="AD14" s="15" t="n">
        <v>473826.75</v>
      </c>
      <c r="AE14" s="15" t="n">
        <v>398271.73</v>
      </c>
      <c r="AF14" s="15" t="n">
        <v>3621833.67</v>
      </c>
      <c r="AG14" s="15" t="n">
        <v>4393152.29</v>
      </c>
      <c r="AH14" s="15" t="n">
        <v>465821.39</v>
      </c>
      <c r="AI14" s="15" t="n">
        <v>515505.45</v>
      </c>
      <c r="AJ14" s="15" t="n">
        <v>1431488.91</v>
      </c>
      <c r="AK14" s="15" t="n">
        <v>3629160.56</v>
      </c>
      <c r="AL14" s="15" t="n">
        <v>2776454.23</v>
      </c>
      <c r="AM14" s="15" t="n">
        <v>3419640.66</v>
      </c>
      <c r="AN14" s="15" t="n">
        <v>2986715.8</v>
      </c>
      <c r="AO14" s="15" t="n">
        <v>356225.87</v>
      </c>
      <c r="AP14" s="15" t="n">
        <v>1375188.33</v>
      </c>
      <c r="AQ14" s="15" t="n">
        <v>2996033.41</v>
      </c>
      <c r="AR14" s="15" t="n">
        <v>5992595.11</v>
      </c>
      <c r="AS14" s="15" t="n">
        <v>428490.27</v>
      </c>
      <c r="AT14" s="15" t="n">
        <v>1582521.82</v>
      </c>
      <c r="AU14" s="15" t="n">
        <v>576740.4300000001</v>
      </c>
      <c r="AV14" s="15" t="n">
        <v>1972616.89</v>
      </c>
      <c r="AW14" s="15" t="n">
        <v>3408697.35</v>
      </c>
      <c r="AX14" s="15" t="n">
        <v>4428102.49</v>
      </c>
      <c r="AY14" s="15" t="n">
        <v>2280963.49</v>
      </c>
      <c r="AZ14" s="15" t="n">
        <v>1674565.85</v>
      </c>
      <c r="BA14" s="15" t="n">
        <v>639009.41</v>
      </c>
      <c r="BB14" s="15" t="n">
        <v>857585.85</v>
      </c>
      <c r="BC14" s="15" t="n">
        <v>2610293.63</v>
      </c>
      <c r="BD14" s="15" t="n">
        <v>5556292.15</v>
      </c>
      <c r="BE14" s="15" t="n">
        <v>4137606.94</v>
      </c>
      <c r="BF14" s="15" t="n">
        <v>2598361.58</v>
      </c>
      <c r="BG14" s="15" t="n">
        <v>175037.12</v>
      </c>
      <c r="BH14" s="15" t="n">
        <v>924976.61</v>
      </c>
      <c r="BI14" s="15" t="n">
        <v>3978936.85</v>
      </c>
      <c r="BJ14" s="15" t="n">
        <v>1096626.25</v>
      </c>
      <c r="BK14" s="15" t="n">
        <v>1029696.67</v>
      </c>
      <c r="BL14" s="15" t="n">
        <v>1625023.04</v>
      </c>
      <c r="BM14" s="15" t="n">
        <v>406777.85</v>
      </c>
      <c r="BN14" s="15" t="n">
        <v>1163089.87</v>
      </c>
      <c r="BO14" s="15" t="n">
        <v>3734577.77</v>
      </c>
      <c r="BP14" s="15" t="n">
        <v>4877689.43</v>
      </c>
      <c r="BQ14" s="15" t="n">
        <v>3617476.74</v>
      </c>
      <c r="BR14" s="15" t="n">
        <v>153907.64</v>
      </c>
      <c r="BS14" s="15" t="n">
        <v>387408.97</v>
      </c>
      <c r="BT14" s="15" t="n">
        <v>273302.9</v>
      </c>
      <c r="BU14" s="15" t="n">
        <v>1736475.17</v>
      </c>
      <c r="BV14" s="15" t="n">
        <v>1009281.76</v>
      </c>
      <c r="BW14" s="15" t="n">
        <v>1205344.89</v>
      </c>
      <c r="BX14" s="15" t="n">
        <v>1044500.28</v>
      </c>
      <c r="BY14" s="15" t="n">
        <v>383449.17</v>
      </c>
      <c r="BZ14" s="15" t="n">
        <v>2069951.44</v>
      </c>
      <c r="CA14" s="15" t="n">
        <v>4873908.36</v>
      </c>
      <c r="CB14" s="15" t="n">
        <v>771033.36</v>
      </c>
      <c r="CC14" s="15" t="n">
        <v>3338161.42</v>
      </c>
      <c r="CD14" s="15" t="n">
        <v>1385047.6</v>
      </c>
      <c r="CE14" s="15" t="n">
        <v>547280.85</v>
      </c>
      <c r="CF14" s="15" t="n">
        <v>415400.84</v>
      </c>
      <c r="CG14" s="15" t="n">
        <v>3286679.53</v>
      </c>
      <c r="CH14" s="15" t="n">
        <v>6756388.36</v>
      </c>
      <c r="CI14" s="15" t="n">
        <v>225038.92</v>
      </c>
      <c r="CJ14" s="15" t="n">
        <v>2886665.98</v>
      </c>
      <c r="CK14" s="15" t="n">
        <v>440373.13</v>
      </c>
      <c r="CL14" s="15" t="n">
        <v>726986.3199999999</v>
      </c>
      <c r="CM14" s="15" t="n">
        <v>1952786.71</v>
      </c>
      <c r="CN14" s="15" t="n">
        <v>5128418.07</v>
      </c>
      <c r="CO14" s="15" t="n">
        <v>1183570.03</v>
      </c>
      <c r="CP14" s="15" t="n">
        <v>1912034.4</v>
      </c>
      <c r="CQ14" s="15" t="n">
        <v>93603.38</v>
      </c>
      <c r="CR14" s="15" t="n">
        <v>1934750.57</v>
      </c>
      <c r="CS14" s="15" t="n">
        <v>4852564</v>
      </c>
      <c r="CT14" s="15" t="n">
        <v>3898490.97</v>
      </c>
      <c r="CU14" s="15" t="n">
        <v>2823390.43</v>
      </c>
      <c r="CV14" s="15" t="n">
        <v>2724302.81</v>
      </c>
      <c r="CW14" s="15" t="n">
        <v>92941.66</v>
      </c>
      <c r="CX14" s="15" t="n">
        <v>2210371.48</v>
      </c>
      <c r="CY14" s="15" t="n">
        <v>3868853.18</v>
      </c>
      <c r="CZ14" s="15" t="n">
        <v>1902430.92</v>
      </c>
      <c r="DA14" s="15" t="n">
        <v>1815622.51</v>
      </c>
      <c r="DB14" s="15" t="n">
        <v>446421.08</v>
      </c>
      <c r="DC14" s="15" t="n">
        <v>280847.37</v>
      </c>
      <c r="DD14" s="15" t="n">
        <v>411265.57</v>
      </c>
      <c r="DE14" s="15" t="n">
        <v>1917318.73</v>
      </c>
      <c r="DF14" s="15" t="n">
        <v>1555419.07</v>
      </c>
      <c r="DG14" s="15" t="n">
        <v>1128723.74</v>
      </c>
      <c r="DH14" s="15" t="n">
        <v>572619.8100000001</v>
      </c>
      <c r="DI14" s="15" t="n">
        <v>74645.39</v>
      </c>
      <c r="DJ14" s="15" t="n">
        <v>1137029.07</v>
      </c>
      <c r="DK14" s="15" t="n">
        <v>1599775.63</v>
      </c>
      <c r="DL14" s="15" t="n">
        <v>7082191.67</v>
      </c>
      <c r="DM14" s="15" t="n">
        <v>1095055.67</v>
      </c>
      <c r="DN14" s="15" t="n">
        <v>962619.86</v>
      </c>
      <c r="DO14" s="15" t="n">
        <v>324050.28</v>
      </c>
      <c r="DP14" s="15" t="n">
        <v>863020.86</v>
      </c>
    </row>
    <row r="15">
      <c r="A15" s="4" t="inlineStr">
        <is>
          <t>液压件</t>
        </is>
      </c>
      <c r="B15" s="15" t="n">
        <v>1181003.13</v>
      </c>
      <c r="C15" s="15" t="n">
        <v>330533.39</v>
      </c>
      <c r="D15" s="15" t="n">
        <v>1420734.67</v>
      </c>
      <c r="E15" s="15" t="n">
        <v>481642.3</v>
      </c>
      <c r="F15" s="15" t="n">
        <v>1657707.05</v>
      </c>
      <c r="G15" s="15" t="n">
        <v>1279652.55</v>
      </c>
      <c r="H15" s="15" t="n">
        <v>4258077.45</v>
      </c>
      <c r="I15" s="15" t="n">
        <v>1320852.99</v>
      </c>
      <c r="J15" s="15" t="n">
        <v>193854.36</v>
      </c>
      <c r="K15" s="15" t="n">
        <v>673065.45</v>
      </c>
      <c r="L15" s="15" t="n">
        <v>615555.49</v>
      </c>
      <c r="M15" s="15" t="n">
        <v>3935419.61</v>
      </c>
      <c r="N15" s="15" t="n">
        <v>5434565.22</v>
      </c>
      <c r="O15" s="15" t="n">
        <v>3422908.77</v>
      </c>
      <c r="P15" s="15" t="n">
        <v>2031096.01</v>
      </c>
      <c r="Q15" s="15" t="n">
        <v>211230.35</v>
      </c>
      <c r="R15" s="15" t="n">
        <v>2089273.31</v>
      </c>
      <c r="S15" s="15" t="n">
        <v>5114585.24</v>
      </c>
      <c r="T15" s="15" t="n">
        <v>3458790.58</v>
      </c>
      <c r="U15" s="15" t="n">
        <v>4231274.75</v>
      </c>
      <c r="V15" s="15" t="n">
        <v>1562961.3</v>
      </c>
      <c r="W15" s="15" t="n">
        <v>451208.89</v>
      </c>
      <c r="X15" s="15" t="n">
        <v>753608.29</v>
      </c>
      <c r="Y15" s="15" t="n">
        <v>2871746.47</v>
      </c>
      <c r="Z15" s="15" t="n">
        <v>7262491.78</v>
      </c>
      <c r="AA15" s="15" t="n">
        <v>3946665.47</v>
      </c>
      <c r="AB15" s="15" t="n">
        <v>1627998.49</v>
      </c>
      <c r="AC15" s="15" t="n">
        <v>604832.8199999999</v>
      </c>
      <c r="AD15" s="15" t="n">
        <v>2064178.04</v>
      </c>
      <c r="AE15" s="15" t="n">
        <v>1088685.58</v>
      </c>
      <c r="AF15" s="15" t="n">
        <v>5411183.57</v>
      </c>
      <c r="AG15" s="15" t="n">
        <v>3308938.96</v>
      </c>
      <c r="AH15" s="15" t="n">
        <v>2925615.07</v>
      </c>
      <c r="AI15" s="15" t="n">
        <v>602306.98</v>
      </c>
      <c r="AJ15" s="15" t="n">
        <v>1643829.32</v>
      </c>
      <c r="AK15" s="15" t="n">
        <v>303947.57</v>
      </c>
      <c r="AL15" s="15" t="n">
        <v>434438.94</v>
      </c>
      <c r="AM15" s="15" t="n">
        <v>3528150.68</v>
      </c>
      <c r="AN15" s="15" t="n">
        <v>2047034.89</v>
      </c>
      <c r="AO15" s="15" t="n">
        <v>21724.41</v>
      </c>
      <c r="AP15" s="15" t="n">
        <v>406941.12</v>
      </c>
      <c r="AQ15" s="15" t="n">
        <v>4641887.57</v>
      </c>
      <c r="AR15" s="15" t="n">
        <v>4696345.11</v>
      </c>
      <c r="AS15" s="15" t="n">
        <v>2270700.75</v>
      </c>
      <c r="AT15" s="15" t="n">
        <v>2910610.12</v>
      </c>
      <c r="AU15" s="15" t="n">
        <v>740567.54</v>
      </c>
      <c r="AV15" s="15" t="n">
        <v>1694842.4</v>
      </c>
      <c r="AW15" s="15" t="n">
        <v>1854865.56</v>
      </c>
      <c r="AX15" s="15" t="n">
        <v>926527.59</v>
      </c>
      <c r="AY15" s="15" t="n">
        <v>2046245.55</v>
      </c>
      <c r="AZ15" s="15" t="n">
        <v>2015939.57</v>
      </c>
      <c r="BA15" s="15" t="n">
        <v>409999.92</v>
      </c>
      <c r="BB15" s="15" t="n">
        <v>-260158.46</v>
      </c>
      <c r="BC15" s="15" t="n">
        <v>5668283.94</v>
      </c>
      <c r="BD15" s="15" t="n">
        <v>846620.9399999999</v>
      </c>
      <c r="BE15" s="15" t="n">
        <v>4004859.31</v>
      </c>
      <c r="BF15" s="15" t="n">
        <v>2859115.98</v>
      </c>
      <c r="BG15" s="15" t="n">
        <v>739394.8199999999</v>
      </c>
      <c r="BH15" s="15" t="n">
        <v>1107477.01</v>
      </c>
      <c r="BI15" s="15" t="n">
        <v>2524066.49</v>
      </c>
      <c r="BJ15" s="15" t="n">
        <v>751367.58</v>
      </c>
      <c r="BK15" s="15" t="n">
        <v>1935313.87</v>
      </c>
      <c r="BL15" s="15" t="n">
        <v>2854577.3</v>
      </c>
      <c r="BM15" s="15" t="n">
        <v>124467.14</v>
      </c>
      <c r="BN15" s="15" t="n">
        <v>805179.38</v>
      </c>
      <c r="BO15" s="15" t="n">
        <v>4645194.59</v>
      </c>
      <c r="BP15" s="15" t="n">
        <v>2359549.74</v>
      </c>
      <c r="BQ15" s="15" t="n">
        <v>4267226.65</v>
      </c>
      <c r="BR15" s="15" t="n">
        <v>1507768.39</v>
      </c>
      <c r="BS15" s="15" t="n">
        <v>526342.53</v>
      </c>
      <c r="BT15" s="15" t="n">
        <v>1135524.94</v>
      </c>
      <c r="BU15" s="15" t="n">
        <v>2556837.12</v>
      </c>
      <c r="BV15" s="15" t="n">
        <v>753907.14</v>
      </c>
      <c r="BW15" s="15" t="n">
        <v>3640951.37</v>
      </c>
      <c r="BX15" s="15" t="n">
        <v>2939596.35</v>
      </c>
      <c r="BY15" s="15" t="n">
        <v>384029.3</v>
      </c>
      <c r="BZ15" s="15" t="n">
        <v>888813.1</v>
      </c>
      <c r="CA15" s="15" t="n">
        <v>201024.86</v>
      </c>
      <c r="CB15" s="15" t="n">
        <v>1930078.13</v>
      </c>
      <c r="CC15" s="15" t="n">
        <v>1528981.38</v>
      </c>
      <c r="CD15" s="15" t="n">
        <v>2336377.54</v>
      </c>
      <c r="CE15" s="15" t="n">
        <v>524309.54</v>
      </c>
      <c r="CF15" s="15" t="n">
        <v>1382014.35</v>
      </c>
      <c r="CG15" s="15" t="n">
        <v>1437877.72</v>
      </c>
      <c r="CH15" s="15" t="n">
        <v>5697173.84</v>
      </c>
      <c r="CI15" s="15" t="n">
        <v>2134391.44</v>
      </c>
      <c r="CJ15" s="15" t="n">
        <v>429773.27</v>
      </c>
      <c r="CK15" s="15" t="n">
        <v>632478.97</v>
      </c>
      <c r="CL15" s="15" t="n">
        <v>1381487.91</v>
      </c>
      <c r="CM15" s="15" t="n">
        <v>4663345.54</v>
      </c>
      <c r="CN15" s="15" t="n">
        <v>4312265.93</v>
      </c>
      <c r="CO15" s="15" t="n">
        <v>2795818.98</v>
      </c>
      <c r="CP15" s="15" t="n">
        <v>1464167.28</v>
      </c>
      <c r="CQ15" s="15" t="n">
        <v>670724.46</v>
      </c>
      <c r="CR15" s="15" t="n">
        <v>1231834.05</v>
      </c>
      <c r="CS15" s="15" t="n">
        <v>4887943.71</v>
      </c>
      <c r="CT15" s="15" t="n">
        <v>589837.9</v>
      </c>
      <c r="CU15" s="15" t="n">
        <v>1032812.24</v>
      </c>
      <c r="CV15" s="15" t="n">
        <v>2334122.28</v>
      </c>
      <c r="CW15" s="15" t="n">
        <v>206674.82</v>
      </c>
      <c r="CX15" s="15" t="n">
        <v>2149291.1</v>
      </c>
      <c r="CY15" s="15" t="n">
        <v>3138947.19</v>
      </c>
      <c r="CZ15" s="15" t="n">
        <v>893091.11</v>
      </c>
      <c r="DA15" s="15" t="n">
        <v>2136405.26</v>
      </c>
      <c r="DB15" s="15" t="n">
        <v>1884253.12</v>
      </c>
      <c r="DC15" s="15" t="n">
        <v>660587.58</v>
      </c>
      <c r="DD15" s="15" t="n">
        <v>975538.4300000001</v>
      </c>
      <c r="DE15" s="15" t="n">
        <v>3588549.83</v>
      </c>
      <c r="DF15" s="15" t="n">
        <v>1199081.49</v>
      </c>
      <c r="DG15" s="15" t="n">
        <v>1871389.98</v>
      </c>
      <c r="DH15" s="15" t="n">
        <v>1733622.81</v>
      </c>
      <c r="DI15" s="15" t="n">
        <v>223467.9</v>
      </c>
      <c r="DJ15" s="15" t="n">
        <v>-243055.32</v>
      </c>
      <c r="DK15" s="15" t="n">
        <v>5147830.04</v>
      </c>
      <c r="DL15" s="15" t="n">
        <v>1040908.03</v>
      </c>
      <c r="DM15" s="15" t="n">
        <v>4187292.52</v>
      </c>
      <c r="DN15" s="15" t="n">
        <v>2049858.75</v>
      </c>
      <c r="DO15" s="15" t="n">
        <v>58503.07</v>
      </c>
      <c r="DP15" s="15" t="n">
        <v>1004726.84</v>
      </c>
    </row>
    <row r="16">
      <c r="A16" s="4" t="inlineStr">
        <is>
          <t>气动元件</t>
        </is>
      </c>
      <c r="B16" s="15" t="n">
        <v>5793357.95</v>
      </c>
      <c r="C16" s="15" t="n">
        <v>1361898.39</v>
      </c>
      <c r="D16" s="15" t="n">
        <v>433621.19</v>
      </c>
      <c r="E16" s="15" t="n">
        <v>76547.31</v>
      </c>
      <c r="F16" s="15" t="n">
        <v>373934.17</v>
      </c>
      <c r="G16" s="15" t="n">
        <v>2220765.87</v>
      </c>
      <c r="H16" s="15" t="n">
        <v>2935322.52</v>
      </c>
      <c r="I16" s="15" t="n">
        <v>1728692.37</v>
      </c>
      <c r="J16" s="15" t="n">
        <v>1545010.54</v>
      </c>
      <c r="K16" s="15" t="n">
        <v>106653.35</v>
      </c>
      <c r="L16" s="15" t="n">
        <v>882476.87</v>
      </c>
      <c r="M16" s="15" t="n">
        <v>3616702.92</v>
      </c>
      <c r="N16" s="15" t="n">
        <v>6746894.31</v>
      </c>
      <c r="O16" s="15" t="n">
        <v>2183116.29</v>
      </c>
      <c r="P16" s="15" t="n">
        <v>94074.62</v>
      </c>
      <c r="Q16" s="15" t="n">
        <v>214352.01</v>
      </c>
      <c r="R16" s="15" t="n">
        <v>2003997.49</v>
      </c>
      <c r="S16" s="15" t="n">
        <v>2826529.66</v>
      </c>
      <c r="T16" s="15" t="n">
        <v>1603906.84</v>
      </c>
      <c r="U16" s="15" t="n">
        <v>3807082.68</v>
      </c>
      <c r="V16" s="15" t="n">
        <v>1081676.19</v>
      </c>
      <c r="W16" s="15" t="n">
        <v>295279.76</v>
      </c>
      <c r="X16" s="15" t="n">
        <v>1440707.79</v>
      </c>
      <c r="Y16" s="15" t="n">
        <v>1860586.09</v>
      </c>
      <c r="Z16" s="15" t="n">
        <v>7297911</v>
      </c>
      <c r="AA16" s="15" t="n">
        <v>3591309.11</v>
      </c>
      <c r="AB16" s="15" t="n">
        <v>2352671.72</v>
      </c>
      <c r="AC16" s="15" t="n">
        <v>257993.72</v>
      </c>
      <c r="AD16" s="15" t="n">
        <v>668853.4300000001</v>
      </c>
      <c r="AE16" s="15" t="n">
        <v>1973390.25</v>
      </c>
      <c r="AF16" s="15" t="n">
        <v>6583743.23</v>
      </c>
      <c r="AG16" s="15" t="n">
        <v>3052434.73</v>
      </c>
      <c r="AH16" s="15" t="n">
        <v>640349.38</v>
      </c>
      <c r="AI16" s="15" t="n">
        <v>68684.03</v>
      </c>
      <c r="AJ16" s="15" t="n">
        <v>558220.66</v>
      </c>
      <c r="AK16" s="15" t="n">
        <v>762217.87</v>
      </c>
      <c r="AL16" s="15" t="n">
        <v>638491.78</v>
      </c>
      <c r="AM16" s="15" t="n">
        <v>2700158.3</v>
      </c>
      <c r="AN16" s="15" t="n">
        <v>2762866.69</v>
      </c>
      <c r="AO16" s="15" t="n">
        <v>34858.96</v>
      </c>
      <c r="AP16" s="15" t="n">
        <v>50647.03</v>
      </c>
      <c r="AQ16" s="15" t="n">
        <v>2349583.08</v>
      </c>
      <c r="AR16" s="15" t="n">
        <v>3742681.57</v>
      </c>
      <c r="AS16" s="15" t="n">
        <v>1183003.45</v>
      </c>
      <c r="AT16" s="15" t="n">
        <v>1223973.41</v>
      </c>
      <c r="AU16" s="15" t="n">
        <v>443547.32</v>
      </c>
      <c r="AV16" s="15" t="n">
        <v>-165466.91</v>
      </c>
      <c r="AW16" s="15" t="n">
        <v>314325.65</v>
      </c>
      <c r="AX16" s="15" t="n">
        <v>6552902.91</v>
      </c>
      <c r="AY16" s="15" t="n">
        <v>868524.6899999999</v>
      </c>
      <c r="AZ16" s="15" t="n">
        <v>2933979.28</v>
      </c>
      <c r="BA16" s="15" t="n">
        <v>242329.6</v>
      </c>
      <c r="BB16" s="15" t="n">
        <v>118072.96</v>
      </c>
      <c r="BC16" s="15" t="n">
        <v>5203902.14</v>
      </c>
      <c r="BD16" s="15" t="n">
        <v>5913691.95</v>
      </c>
      <c r="BE16" s="15" t="n">
        <v>2020428.45</v>
      </c>
      <c r="BF16" s="15" t="n">
        <v>2959408.63</v>
      </c>
      <c r="BG16" s="15" t="n">
        <v>194592.85</v>
      </c>
      <c r="BH16" s="15" t="n">
        <v>1623006.86</v>
      </c>
      <c r="BI16" s="15" t="n">
        <v>4919856.61</v>
      </c>
      <c r="BJ16" s="15" t="n">
        <v>4269955.36</v>
      </c>
      <c r="BK16" s="15" t="n">
        <v>3043706.55</v>
      </c>
      <c r="BL16" s="15" t="n">
        <v>968409.88</v>
      </c>
      <c r="BM16" s="15" t="n">
        <v>326948.78</v>
      </c>
      <c r="BN16" s="15" t="n">
        <v>15418.58</v>
      </c>
      <c r="BO16" s="15" t="n">
        <v>2527020.2</v>
      </c>
      <c r="BP16" s="15" t="n">
        <v>7230406.87</v>
      </c>
      <c r="BQ16" s="15" t="n">
        <v>1468875.12</v>
      </c>
      <c r="BR16" s="15" t="n">
        <v>2300409.07</v>
      </c>
      <c r="BS16" s="15" t="n">
        <v>434593.43</v>
      </c>
      <c r="BT16" s="15" t="n">
        <v>1258329.62</v>
      </c>
      <c r="BU16" s="15" t="n">
        <v>1708391.91</v>
      </c>
      <c r="BV16" s="15" t="n">
        <v>1191267.65</v>
      </c>
      <c r="BW16" s="15" t="n">
        <v>3583188.35</v>
      </c>
      <c r="BX16" s="15" t="n">
        <v>283255.26</v>
      </c>
      <c r="BY16" s="15" t="n">
        <v>217280.93</v>
      </c>
      <c r="BZ16" s="15" t="n">
        <v>1808929.29</v>
      </c>
      <c r="CA16" s="15" t="n">
        <v>1969751.36</v>
      </c>
      <c r="CB16" s="15" t="n">
        <v>3373624.2</v>
      </c>
      <c r="CC16" s="15" t="n">
        <v>3503247.39</v>
      </c>
      <c r="CD16" s="15" t="n">
        <v>2637343.59</v>
      </c>
      <c r="CE16" s="15" t="n">
        <v>408456.62</v>
      </c>
      <c r="CF16" s="15" t="n">
        <v>93270.64</v>
      </c>
      <c r="CG16" s="15" t="n">
        <v>3236210.45</v>
      </c>
      <c r="CH16" s="15" t="n">
        <v>5440799.37</v>
      </c>
      <c r="CI16" s="15" t="n">
        <v>2845659.21</v>
      </c>
      <c r="CJ16" s="15" t="n">
        <v>208278.2</v>
      </c>
      <c r="CK16" s="15" t="n">
        <v>93252.78999999999</v>
      </c>
      <c r="CL16" s="15" t="n">
        <v>1871361.67</v>
      </c>
      <c r="CM16" s="15" t="n">
        <v>3533513.52</v>
      </c>
      <c r="CN16" s="15" t="n">
        <v>6412928.02</v>
      </c>
      <c r="CO16" s="15" t="n">
        <v>1461266.48</v>
      </c>
      <c r="CP16" s="15" t="n">
        <v>123256.35</v>
      </c>
      <c r="CQ16" s="15" t="n">
        <v>602318.11</v>
      </c>
      <c r="CR16" s="15" t="n">
        <v>40594.35</v>
      </c>
      <c r="CS16" s="15" t="n">
        <v>2162344.08</v>
      </c>
      <c r="CT16" s="15" t="n">
        <v>2872720.17</v>
      </c>
      <c r="CU16" s="15" t="n">
        <v>1104255.33</v>
      </c>
      <c r="CV16" s="15" t="n">
        <v>1063004.36</v>
      </c>
      <c r="CW16" s="15" t="n">
        <v>56133.15</v>
      </c>
      <c r="CX16" s="15" t="n">
        <v>225948.19</v>
      </c>
      <c r="CY16" s="15" t="n">
        <v>4057619.07</v>
      </c>
      <c r="CZ16" s="15" t="n">
        <v>7007187.23</v>
      </c>
      <c r="DA16" s="15" t="n">
        <v>1559673.97</v>
      </c>
      <c r="DB16" s="15" t="n">
        <v>1945173.19</v>
      </c>
      <c r="DC16" s="15" t="n">
        <v>388367.81</v>
      </c>
      <c r="DD16" s="15" t="n">
        <v>-222837.44</v>
      </c>
      <c r="DE16" s="15" t="n">
        <v>284748.06</v>
      </c>
      <c r="DF16" s="15" t="n">
        <v>6073107.92</v>
      </c>
      <c r="DG16" s="15" t="n">
        <v>1484231.43</v>
      </c>
      <c r="DH16" s="15" t="n">
        <v>2622389.52</v>
      </c>
      <c r="DI16" s="15" t="n">
        <v>541312.51</v>
      </c>
      <c r="DJ16" s="15" t="n">
        <v>996624.6800000001</v>
      </c>
      <c r="DK16" s="15" t="n">
        <v>3565146.71</v>
      </c>
      <c r="DL16" s="15" t="n">
        <v>6636519.51</v>
      </c>
      <c r="DM16" s="15" t="n">
        <v>2870293.84</v>
      </c>
      <c r="DN16" s="15" t="n">
        <v>1369662.68</v>
      </c>
      <c r="DO16" s="15" t="n">
        <v>170686.66</v>
      </c>
      <c r="DP16" s="15" t="n">
        <v>361079.97</v>
      </c>
    </row>
    <row r="17">
      <c r="A17" s="4" t="inlineStr">
        <is>
          <t>模具</t>
        </is>
      </c>
      <c r="B17" s="15" t="n">
        <v>5956004.23</v>
      </c>
      <c r="C17" s="15" t="n">
        <v>1389584.5</v>
      </c>
      <c r="D17" s="15" t="n">
        <v>420584.21</v>
      </c>
      <c r="E17" s="15" t="n">
        <v>147913.07</v>
      </c>
      <c r="F17" s="15" t="n">
        <v>1494547.65</v>
      </c>
      <c r="G17" s="15" t="n">
        <v>2903362.92</v>
      </c>
      <c r="H17" s="15" t="n">
        <v>3741628.74</v>
      </c>
      <c r="I17" s="15" t="n">
        <v>1206223.94</v>
      </c>
      <c r="J17" s="15" t="n">
        <v>2342456.76</v>
      </c>
      <c r="K17" s="15" t="n">
        <v>216002.45</v>
      </c>
      <c r="L17" s="15" t="n">
        <v>695821.78</v>
      </c>
      <c r="M17" s="15" t="n">
        <v>4790623.24</v>
      </c>
      <c r="N17" s="15" t="n">
        <v>1952822.93</v>
      </c>
      <c r="O17" s="15" t="n">
        <v>1439985.41</v>
      </c>
      <c r="P17" s="15" t="n">
        <v>868465.72</v>
      </c>
      <c r="Q17" s="15" t="n">
        <v>53859.22</v>
      </c>
      <c r="R17" s="15" t="n">
        <v>808640.65</v>
      </c>
      <c r="S17" s="15" t="n">
        <v>2392808.76</v>
      </c>
      <c r="T17" s="15" t="n">
        <v>4060734.78</v>
      </c>
      <c r="U17" s="15" t="n">
        <v>2343660.48</v>
      </c>
      <c r="V17" s="15" t="n">
        <v>433078.72</v>
      </c>
      <c r="W17" s="15" t="n">
        <v>233773.77</v>
      </c>
      <c r="X17" s="15" t="n">
        <v>807695.13</v>
      </c>
      <c r="Y17" s="15" t="n">
        <v>5766458.57</v>
      </c>
      <c r="Z17" s="15" t="n">
        <v>5086228.09</v>
      </c>
      <c r="AA17" s="15" t="n">
        <v>1695921.09</v>
      </c>
      <c r="AB17" s="15" t="n">
        <v>1114068.94</v>
      </c>
      <c r="AC17" s="15" t="n">
        <v>167801.13</v>
      </c>
      <c r="AD17" s="15" t="n">
        <v>879724.42</v>
      </c>
      <c r="AE17" s="15" t="n">
        <v>1459875.25</v>
      </c>
      <c r="AF17" s="15" t="n">
        <v>6661861.99</v>
      </c>
      <c r="AG17" s="15" t="n">
        <v>4489149.24</v>
      </c>
      <c r="AH17" s="15" t="n">
        <v>1074359.63</v>
      </c>
      <c r="AI17" s="15" t="n">
        <v>493916.6</v>
      </c>
      <c r="AJ17" s="15" t="n">
        <v>440146.47</v>
      </c>
      <c r="AK17" s="15" t="n">
        <v>4850238.33</v>
      </c>
      <c r="AL17" s="15" t="n">
        <v>302128.11</v>
      </c>
      <c r="AM17" s="15" t="n">
        <v>533980.48</v>
      </c>
      <c r="AN17" s="15" t="n">
        <v>390211.73</v>
      </c>
      <c r="AO17" s="15" t="n">
        <v>666175.4300000001</v>
      </c>
      <c r="AP17" s="15" t="n">
        <v>348117.43</v>
      </c>
      <c r="AQ17" s="15" t="n">
        <v>2870596.18</v>
      </c>
      <c r="AR17" s="15" t="n">
        <v>6468855</v>
      </c>
      <c r="AS17" s="15" t="n">
        <v>1206969.98</v>
      </c>
      <c r="AT17" s="15" t="n">
        <v>2933956.04</v>
      </c>
      <c r="AU17" s="15" t="n">
        <v>552387.14</v>
      </c>
      <c r="AV17" s="15" t="n">
        <v>1237783.23</v>
      </c>
      <c r="AW17" s="15" t="n">
        <v>375917.73</v>
      </c>
      <c r="AX17" s="15" t="n">
        <v>5704145.69</v>
      </c>
      <c r="AY17" s="15" t="n">
        <v>356569.38</v>
      </c>
      <c r="AZ17" s="15" t="n">
        <v>2506568.99</v>
      </c>
      <c r="BA17" s="15" t="n">
        <v>466654.78</v>
      </c>
      <c r="BB17" s="15" t="n">
        <v>2214883.88</v>
      </c>
      <c r="BC17" s="15" t="n">
        <v>1428610.2</v>
      </c>
      <c r="BD17" s="15" t="n">
        <v>6341693.42</v>
      </c>
      <c r="BE17" s="15" t="n">
        <v>3367393.45</v>
      </c>
      <c r="BF17" s="15" t="n">
        <v>1422142.12</v>
      </c>
      <c r="BG17" s="15" t="n">
        <v>338664.76</v>
      </c>
      <c r="BH17" s="15" t="n">
        <v>65476.04</v>
      </c>
      <c r="BI17" s="15" t="n">
        <v>5718931.03</v>
      </c>
      <c r="BJ17" s="15" t="n">
        <v>2800181.7</v>
      </c>
      <c r="BK17" s="15" t="n">
        <v>4226914.58</v>
      </c>
      <c r="BL17" s="15" t="n">
        <v>2388220.01</v>
      </c>
      <c r="BM17" s="15" t="n">
        <v>534396.25</v>
      </c>
      <c r="BN17" s="15" t="n">
        <v>456454.29</v>
      </c>
      <c r="BO17" s="15" t="n">
        <v>851326.13</v>
      </c>
      <c r="BP17" s="15" t="n">
        <v>3047677.67</v>
      </c>
      <c r="BQ17" s="15" t="n">
        <v>340363.18</v>
      </c>
      <c r="BR17" s="15" t="n">
        <v>421137.82</v>
      </c>
      <c r="BS17" s="15" t="n">
        <v>58157.3</v>
      </c>
      <c r="BT17" s="15" t="n">
        <v>1804341.41</v>
      </c>
      <c r="BU17" s="15" t="n">
        <v>4527173.93</v>
      </c>
      <c r="BV17" s="15" t="n">
        <v>7342191.41</v>
      </c>
      <c r="BW17" s="15" t="n">
        <v>3516510.59</v>
      </c>
      <c r="BX17" s="15" t="n">
        <v>912526.37</v>
      </c>
      <c r="BY17" s="15" t="n">
        <v>510380.12</v>
      </c>
      <c r="BZ17" s="15" t="n">
        <v>1223591.05</v>
      </c>
      <c r="CA17" s="15" t="n">
        <v>5614401.35</v>
      </c>
      <c r="CB17" s="15" t="n">
        <v>2051126.49</v>
      </c>
      <c r="CC17" s="15" t="n">
        <v>1269399.71</v>
      </c>
      <c r="CD17" s="15" t="n">
        <v>489027.81</v>
      </c>
      <c r="CE17" s="15" t="n">
        <v>424255.93</v>
      </c>
      <c r="CF17" s="15" t="n">
        <v>611593.34</v>
      </c>
      <c r="CG17" s="15" t="n">
        <v>4151792.89</v>
      </c>
      <c r="CH17" s="15" t="n">
        <v>1934563.3</v>
      </c>
      <c r="CI17" s="15" t="n">
        <v>490451.69</v>
      </c>
      <c r="CJ17" s="15" t="n">
        <v>2557955.07</v>
      </c>
      <c r="CK17" s="15" t="n">
        <v>449774.8</v>
      </c>
      <c r="CL17" s="15" t="n">
        <v>374718.08</v>
      </c>
      <c r="CM17" s="15" t="n">
        <v>2555140.08</v>
      </c>
      <c r="CN17" s="15" t="n">
        <v>2079841.23</v>
      </c>
      <c r="CO17" s="15" t="n">
        <v>4175671.24</v>
      </c>
      <c r="CP17" s="15" t="n">
        <v>939693.8</v>
      </c>
      <c r="CQ17" s="15" t="n">
        <v>528507.22</v>
      </c>
      <c r="CR17" s="15" t="n">
        <v>1984420.02</v>
      </c>
      <c r="CS17" s="15" t="n">
        <v>4302176.05</v>
      </c>
      <c r="CT17" s="15" t="n">
        <v>2752187.67</v>
      </c>
      <c r="CU17" s="15" t="n">
        <v>2102806.79</v>
      </c>
      <c r="CV17" s="15" t="n">
        <v>1536009.71</v>
      </c>
      <c r="CW17" s="15" t="n">
        <v>100241.36</v>
      </c>
      <c r="CX17" s="15" t="n">
        <v>843994.67</v>
      </c>
      <c r="CY17" s="15" t="n">
        <v>1255108.52</v>
      </c>
      <c r="CZ17" s="15" t="n">
        <v>952580.4399999999</v>
      </c>
      <c r="DA17" s="15" t="n">
        <v>3219470.75</v>
      </c>
      <c r="DB17" s="15" t="n">
        <v>885053.7</v>
      </c>
      <c r="DC17" s="15" t="n">
        <v>549991.95</v>
      </c>
      <c r="DD17" s="15" t="n">
        <v>1379806.11</v>
      </c>
      <c r="DE17" s="15" t="n">
        <v>965117.35</v>
      </c>
      <c r="DF17" s="15" t="n">
        <v>5510704.06</v>
      </c>
      <c r="DG17" s="15" t="n">
        <v>2423258.82</v>
      </c>
      <c r="DH17" s="15" t="n">
        <v>424186.59</v>
      </c>
      <c r="DI17" s="15" t="n">
        <v>121623.32</v>
      </c>
      <c r="DJ17" s="15" t="n">
        <v>1441076.54</v>
      </c>
      <c r="DK17" s="15" t="n">
        <v>5425141.77</v>
      </c>
      <c r="DL17" s="15" t="n">
        <v>1336300.24</v>
      </c>
      <c r="DM17" s="15" t="n">
        <v>2734682.77</v>
      </c>
      <c r="DN17" s="15" t="n">
        <v>649745.59</v>
      </c>
      <c r="DO17" s="15" t="n">
        <v>648935.29</v>
      </c>
      <c r="DP17" s="15" t="n">
        <v>2031276.77</v>
      </c>
    </row>
    <row r="18">
      <c r="A18" s="4" t="inlineStr">
        <is>
          <t>工装夹具</t>
        </is>
      </c>
      <c r="B18" s="15" t="n">
        <v>3647108.06</v>
      </c>
      <c r="C18" s="15" t="n">
        <v>541416.6</v>
      </c>
      <c r="D18" s="15" t="n">
        <v>1243705.36</v>
      </c>
      <c r="E18" s="15" t="n">
        <v>614540.4399999999</v>
      </c>
      <c r="F18" s="15" t="n">
        <v>1511754.83</v>
      </c>
      <c r="G18" s="15" t="n">
        <v>4626699.89</v>
      </c>
      <c r="H18" s="15" t="n">
        <v>2184280.77</v>
      </c>
      <c r="I18" s="15" t="n">
        <v>268318.04</v>
      </c>
      <c r="J18" s="15" t="n">
        <v>2193350.81</v>
      </c>
      <c r="K18" s="15" t="n">
        <v>301237.44</v>
      </c>
      <c r="L18" s="15" t="n">
        <v>1392639.05</v>
      </c>
      <c r="M18" s="15" t="n">
        <v>703878.8199999999</v>
      </c>
      <c r="N18" s="15" t="n">
        <v>1350773.63</v>
      </c>
      <c r="O18" s="15" t="n">
        <v>1755979.47</v>
      </c>
      <c r="P18" s="15" t="n">
        <v>1528783.74</v>
      </c>
      <c r="Q18" s="15" t="n">
        <v>718396.28</v>
      </c>
      <c r="R18" s="15" t="n">
        <v>2160300.97</v>
      </c>
      <c r="S18" s="15" t="n">
        <v>2179264.3</v>
      </c>
      <c r="T18" s="15" t="n">
        <v>7042266.33</v>
      </c>
      <c r="U18" s="15" t="n">
        <v>3209411.26</v>
      </c>
      <c r="V18" s="15" t="n">
        <v>2419831.24</v>
      </c>
      <c r="W18" s="15" t="n">
        <v>405944.29</v>
      </c>
      <c r="X18" s="15" t="n">
        <v>1237907.63</v>
      </c>
      <c r="Y18" s="15" t="n">
        <v>342622.99</v>
      </c>
      <c r="Z18" s="15" t="n">
        <v>5845845.17</v>
      </c>
      <c r="AA18" s="15" t="n">
        <v>1377515.4</v>
      </c>
      <c r="AB18" s="15" t="n">
        <v>1920199.82</v>
      </c>
      <c r="AC18" s="15" t="n">
        <v>446931.96</v>
      </c>
      <c r="AD18" s="15" t="n">
        <v>132755.75</v>
      </c>
      <c r="AE18" s="15" t="n">
        <v>5684308.83</v>
      </c>
      <c r="AF18" s="15" t="n">
        <v>4015282.52</v>
      </c>
      <c r="AG18" s="15" t="n">
        <v>3257117.09</v>
      </c>
      <c r="AH18" s="15" t="n">
        <v>430450.61</v>
      </c>
      <c r="AI18" s="15" t="n">
        <v>588185.14</v>
      </c>
      <c r="AJ18" s="15" t="n">
        <v>1994795.69</v>
      </c>
      <c r="AK18" s="15" t="n">
        <v>3003364.7</v>
      </c>
      <c r="AL18" s="15" t="n">
        <v>5990232.71</v>
      </c>
      <c r="AM18" s="15" t="n">
        <v>895091.33</v>
      </c>
      <c r="AN18" s="15" t="n">
        <v>1886102.03</v>
      </c>
      <c r="AO18" s="15" t="n">
        <v>248984</v>
      </c>
      <c r="AP18" s="15" t="n">
        <v>375736.67</v>
      </c>
      <c r="AQ18" s="15" t="n">
        <v>5474643.54</v>
      </c>
      <c r="AR18" s="15" t="n">
        <v>1834890.17</v>
      </c>
      <c r="AS18" s="15" t="n">
        <v>2906892.5</v>
      </c>
      <c r="AT18" s="15" t="n">
        <v>2644328.48</v>
      </c>
      <c r="AU18" s="15" t="n">
        <v>157241.84</v>
      </c>
      <c r="AV18" s="15" t="n">
        <v>1708219.13</v>
      </c>
      <c r="AW18" s="15" t="n">
        <v>4326855.24</v>
      </c>
      <c r="AX18" s="15" t="n">
        <v>3972217.7</v>
      </c>
      <c r="AY18" s="15" t="n">
        <v>1042333.33</v>
      </c>
      <c r="AZ18" s="15" t="n">
        <v>1272144.92</v>
      </c>
      <c r="BA18" s="15" t="n">
        <v>563443.65</v>
      </c>
      <c r="BB18" s="15" t="n">
        <v>177122.58</v>
      </c>
      <c r="BC18" s="15" t="n">
        <v>4970246.23</v>
      </c>
      <c r="BD18" s="15" t="n">
        <v>2683637.45</v>
      </c>
      <c r="BE18" s="15" t="n">
        <v>271093.66</v>
      </c>
      <c r="BF18" s="15" t="n">
        <v>439721.65</v>
      </c>
      <c r="BG18" s="15" t="n">
        <v>16040.15</v>
      </c>
      <c r="BH18" s="15" t="n">
        <v>824607.66</v>
      </c>
      <c r="BI18" s="15" t="n">
        <v>1090988.13</v>
      </c>
      <c r="BJ18" s="15" t="n">
        <v>2042328.64</v>
      </c>
      <c r="BK18" s="15" t="n">
        <v>4032689.1</v>
      </c>
      <c r="BL18" s="15" t="n">
        <v>1891121.87</v>
      </c>
      <c r="BM18" s="15" t="n">
        <v>716013.11</v>
      </c>
      <c r="BN18" s="15" t="n">
        <v>1477115.86</v>
      </c>
      <c r="BO18" s="15" t="n">
        <v>2385953.04</v>
      </c>
      <c r="BP18" s="15" t="n">
        <v>6597482.24</v>
      </c>
      <c r="BQ18" s="15" t="n">
        <v>3029189.79</v>
      </c>
      <c r="BR18" s="15" t="n">
        <v>1166493.32</v>
      </c>
      <c r="BS18" s="15" t="n">
        <v>595704.25</v>
      </c>
      <c r="BT18" s="15" t="n">
        <v>1819855.22</v>
      </c>
      <c r="BU18" s="15" t="n">
        <v>1393467.33</v>
      </c>
      <c r="BV18" s="15" t="n">
        <v>3800879.85</v>
      </c>
      <c r="BW18" s="15" t="n">
        <v>1682857.62</v>
      </c>
      <c r="BX18" s="15" t="n">
        <v>1088726.72</v>
      </c>
      <c r="BY18" s="15" t="n">
        <v>197740.39</v>
      </c>
      <c r="BZ18" s="15" t="n">
        <v>2172459.56</v>
      </c>
      <c r="CA18" s="15" t="n">
        <v>2213846.41</v>
      </c>
      <c r="CB18" s="15" t="n">
        <v>181615.42</v>
      </c>
      <c r="CC18" s="15" t="n">
        <v>2593974.95</v>
      </c>
      <c r="CD18" s="15" t="n">
        <v>607799.87</v>
      </c>
      <c r="CE18" s="15" t="n">
        <v>423743.63</v>
      </c>
      <c r="CF18" s="15" t="n">
        <v>266052.4</v>
      </c>
      <c r="CG18" s="15" t="n">
        <v>4031762.14</v>
      </c>
      <c r="CH18" s="15" t="n">
        <v>4327332.27</v>
      </c>
      <c r="CI18" s="15" t="n">
        <v>1683559.15</v>
      </c>
      <c r="CJ18" s="15" t="n">
        <v>1444639.36</v>
      </c>
      <c r="CK18" s="15" t="n">
        <v>169050.48</v>
      </c>
      <c r="CL18" s="15" t="n">
        <v>293994</v>
      </c>
      <c r="CM18" s="15" t="n">
        <v>2761837.85</v>
      </c>
      <c r="CN18" s="15" t="n">
        <v>6247571.82</v>
      </c>
      <c r="CO18" s="15" t="n">
        <v>1094312.72</v>
      </c>
      <c r="CP18" s="15" t="n">
        <v>2947744.16</v>
      </c>
      <c r="CQ18" s="15" t="n">
        <v>465041.07</v>
      </c>
      <c r="CR18" s="15" t="n">
        <v>2221705.32</v>
      </c>
      <c r="CS18" s="15" t="n">
        <v>5347839.09</v>
      </c>
      <c r="CT18" s="15" t="n">
        <v>2172404.69</v>
      </c>
      <c r="CU18" s="15" t="n">
        <v>467650.24</v>
      </c>
      <c r="CV18" s="15" t="n">
        <v>954682.4399999999</v>
      </c>
      <c r="CW18" s="15" t="n">
        <v>264815.85</v>
      </c>
      <c r="CX18" s="15" t="n">
        <v>1978994.84</v>
      </c>
      <c r="CY18" s="15" t="n">
        <v>4631095.57</v>
      </c>
      <c r="CZ18" s="15" t="n">
        <v>5180074.33</v>
      </c>
      <c r="DA18" s="15" t="n">
        <v>2091560.14</v>
      </c>
      <c r="DB18" s="15" t="n">
        <v>2739973.36</v>
      </c>
      <c r="DC18" s="15" t="n">
        <v>289241.95</v>
      </c>
      <c r="DD18" s="15" t="n">
        <v>1329197.95</v>
      </c>
      <c r="DE18" s="15" t="n">
        <v>5383316.29</v>
      </c>
      <c r="DF18" s="15" t="n">
        <v>346982.6</v>
      </c>
      <c r="DG18" s="15" t="n">
        <v>748755.33</v>
      </c>
      <c r="DH18" s="15" t="n">
        <v>1646008.69</v>
      </c>
      <c r="DI18" s="15" t="n">
        <v>28624.92</v>
      </c>
      <c r="DJ18" s="15" t="n">
        <v>1249113.64</v>
      </c>
      <c r="DK18" s="15" t="n">
        <v>2895764.73</v>
      </c>
      <c r="DL18" s="15" t="n">
        <v>1420238.19</v>
      </c>
      <c r="DM18" s="15" t="n">
        <v>2563017.95</v>
      </c>
      <c r="DN18" s="15" t="n">
        <v>1895919.27</v>
      </c>
      <c r="DO18" s="15" t="n">
        <v>77762.75999999999</v>
      </c>
      <c r="DP18" s="15" t="n">
        <v>99386.35000000001</v>
      </c>
    </row>
    <row r="19">
      <c r="A19" s="4" t="inlineStr">
        <is>
          <t>其他产品A</t>
        </is>
      </c>
      <c r="B19" s="15" t="n">
        <v>5685831.64</v>
      </c>
      <c r="C19" s="15" t="n">
        <v>2393989.87</v>
      </c>
      <c r="D19" s="15" t="n">
        <v>2540451.25</v>
      </c>
      <c r="E19" s="15" t="n">
        <v>731977.4300000001</v>
      </c>
      <c r="F19" s="15" t="n">
        <v>585282.47</v>
      </c>
      <c r="G19" s="15" t="n">
        <v>1562427.56</v>
      </c>
      <c r="H19" s="15" t="n">
        <v>7470350.81</v>
      </c>
      <c r="I19" s="15" t="n">
        <v>3175572.45</v>
      </c>
      <c r="J19" s="15" t="n">
        <v>1723597.27</v>
      </c>
      <c r="K19" s="15" t="n">
        <v>582732.91</v>
      </c>
      <c r="L19" s="15" t="n">
        <v>35082.46</v>
      </c>
      <c r="M19" s="15" t="n">
        <v>1353065.46</v>
      </c>
      <c r="N19" s="15" t="n">
        <v>6124519.14</v>
      </c>
      <c r="O19" s="15" t="n">
        <v>3665147.56</v>
      </c>
      <c r="P19" s="15" t="n">
        <v>2723590.97</v>
      </c>
      <c r="Q19" s="15" t="n">
        <v>671847.52</v>
      </c>
      <c r="R19" s="15" t="n">
        <v>1016040.66</v>
      </c>
      <c r="S19" s="15" t="n">
        <v>2851605.23</v>
      </c>
      <c r="T19" s="15" t="n">
        <v>2728230.34</v>
      </c>
      <c r="U19" s="15" t="n">
        <v>2119676.15</v>
      </c>
      <c r="V19" s="15" t="n">
        <v>1353074.88</v>
      </c>
      <c r="W19" s="15" t="n">
        <v>471475.46</v>
      </c>
      <c r="X19" s="15" t="n">
        <v>204136.93</v>
      </c>
      <c r="Y19" s="15" t="n">
        <v>1276079.61</v>
      </c>
      <c r="Z19" s="15" t="n">
        <v>6170027.4</v>
      </c>
      <c r="AA19" s="15" t="n">
        <v>2519020.61</v>
      </c>
      <c r="AB19" s="15" t="n">
        <v>1629133.95</v>
      </c>
      <c r="AC19" s="15" t="n">
        <v>598858.8100000001</v>
      </c>
      <c r="AD19" s="15" t="n">
        <v>1902496.54</v>
      </c>
      <c r="AE19" s="15" t="n">
        <v>5329617.82</v>
      </c>
      <c r="AF19" s="15" t="n">
        <v>2230119.16</v>
      </c>
      <c r="AG19" s="15" t="n">
        <v>385635.79</v>
      </c>
      <c r="AH19" s="15" t="n">
        <v>1028574.03</v>
      </c>
      <c r="AI19" s="15" t="n">
        <v>139435.51</v>
      </c>
      <c r="AJ19" s="15" t="n">
        <v>1728002.8</v>
      </c>
      <c r="AK19" s="15" t="n">
        <v>1764493.91</v>
      </c>
      <c r="AL19" s="15" t="n">
        <v>7109104.05</v>
      </c>
      <c r="AM19" s="15" t="n">
        <v>4203449.85</v>
      </c>
      <c r="AN19" s="15" t="n">
        <v>169825.6</v>
      </c>
      <c r="AO19" s="15" t="n">
        <v>392229.1</v>
      </c>
      <c r="AP19" s="15" t="n">
        <v>1092961.94</v>
      </c>
      <c r="AQ19" s="15" t="n">
        <v>3022514.46</v>
      </c>
      <c r="AR19" s="15" t="n">
        <v>2719182.08</v>
      </c>
      <c r="AS19" s="15" t="n">
        <v>3179945.31</v>
      </c>
      <c r="AT19" s="15" t="n">
        <v>1469244.9</v>
      </c>
      <c r="AU19" s="15" t="n">
        <v>265396.22</v>
      </c>
      <c r="AV19" s="15" t="n">
        <v>1080084.87</v>
      </c>
      <c r="AW19" s="15" t="n">
        <v>5703018.87</v>
      </c>
      <c r="AX19" s="15" t="n">
        <v>185912.14</v>
      </c>
      <c r="AY19" s="15" t="n">
        <v>1584017.72</v>
      </c>
      <c r="AZ19" s="15" t="n">
        <v>2266578.95</v>
      </c>
      <c r="BA19" s="15" t="n">
        <v>238190.67</v>
      </c>
      <c r="BB19" s="15" t="n">
        <v>-190109.97</v>
      </c>
      <c r="BC19" s="15" t="n">
        <v>3757444.46</v>
      </c>
      <c r="BD19" s="15" t="n">
        <v>6829178.67</v>
      </c>
      <c r="BE19" s="15" t="n">
        <v>866052.02</v>
      </c>
      <c r="BF19" s="15" t="n">
        <v>766879.71</v>
      </c>
      <c r="BG19" s="15" t="n">
        <v>318041.59</v>
      </c>
      <c r="BH19" s="15" t="n">
        <v>442732.63</v>
      </c>
      <c r="BI19" s="15" t="n">
        <v>2432875.08</v>
      </c>
      <c r="BJ19" s="15" t="n">
        <v>3423050.77</v>
      </c>
      <c r="BK19" s="15" t="n">
        <v>2302519.19</v>
      </c>
      <c r="BL19" s="15" t="n">
        <v>2867641.94</v>
      </c>
      <c r="BM19" s="15" t="n">
        <v>91722.24000000001</v>
      </c>
      <c r="BN19" s="15" t="n">
        <v>2023743.63</v>
      </c>
      <c r="BO19" s="15" t="n">
        <v>1813631.67</v>
      </c>
      <c r="BP19" s="15" t="n">
        <v>5220020.38</v>
      </c>
      <c r="BQ19" s="15" t="n">
        <v>263578.11</v>
      </c>
      <c r="BR19" s="15" t="n">
        <v>2385892.83</v>
      </c>
      <c r="BS19" s="15" t="n">
        <v>690360.76</v>
      </c>
      <c r="BT19" s="15" t="n">
        <v>1360817.51</v>
      </c>
      <c r="BU19" s="15" t="n">
        <v>1709894.53</v>
      </c>
      <c r="BV19" s="15" t="n">
        <v>5016655.34</v>
      </c>
      <c r="BW19" s="15" t="n">
        <v>4117673.01</v>
      </c>
      <c r="BX19" s="15" t="n">
        <v>2055477.65</v>
      </c>
      <c r="BY19" s="15" t="n">
        <v>521249.48</v>
      </c>
      <c r="BZ19" s="15" t="n">
        <v>2011995.6</v>
      </c>
      <c r="CA19" s="15" t="n">
        <v>979871.03</v>
      </c>
      <c r="CB19" s="15" t="n">
        <v>3729405.44</v>
      </c>
      <c r="CC19" s="15" t="n">
        <v>1792551.32</v>
      </c>
      <c r="CD19" s="15" t="n">
        <v>1997325.15</v>
      </c>
      <c r="CE19" s="15" t="n">
        <v>697864.17</v>
      </c>
      <c r="CF19" s="15" t="n">
        <v>1242174.05</v>
      </c>
      <c r="CG19" s="15" t="n">
        <v>1302997.56</v>
      </c>
      <c r="CH19" s="15" t="n">
        <v>4368858.16</v>
      </c>
      <c r="CI19" s="15" t="n">
        <v>1353620.78</v>
      </c>
      <c r="CJ19" s="15" t="n">
        <v>1294462.21</v>
      </c>
      <c r="CK19" s="15" t="n">
        <v>660932.6800000001</v>
      </c>
      <c r="CL19" s="15" t="n">
        <v>2116183.32</v>
      </c>
      <c r="CM19" s="15" t="n">
        <v>4542682.51</v>
      </c>
      <c r="CN19" s="15" t="n">
        <v>2925795.92</v>
      </c>
      <c r="CO19" s="15" t="n">
        <v>1220766.67</v>
      </c>
      <c r="CP19" s="15" t="n">
        <v>129531.44</v>
      </c>
      <c r="CQ19" s="15" t="n">
        <v>423595.89</v>
      </c>
      <c r="CR19" s="15" t="n">
        <v>1430900.23</v>
      </c>
      <c r="CS19" s="15" t="n">
        <v>4071452.12</v>
      </c>
      <c r="CT19" s="15" t="n">
        <v>5258072.65</v>
      </c>
      <c r="CU19" s="15" t="n">
        <v>2575651.62</v>
      </c>
      <c r="CV19" s="15" t="n">
        <v>2215254.25</v>
      </c>
      <c r="CW19" s="15" t="n">
        <v>650693.4300000001</v>
      </c>
      <c r="CX19" s="15" t="n">
        <v>1476006.99</v>
      </c>
      <c r="CY19" s="15" t="n">
        <v>5035265.49</v>
      </c>
      <c r="CZ19" s="15" t="n">
        <v>2795280.62</v>
      </c>
      <c r="DA19" s="15" t="n">
        <v>1477674.72</v>
      </c>
      <c r="DB19" s="15" t="n">
        <v>834077.24</v>
      </c>
      <c r="DC19" s="15" t="n">
        <v>70401.60000000001</v>
      </c>
      <c r="DD19" s="15" t="n">
        <v>1616168.15</v>
      </c>
      <c r="DE19" s="15" t="n">
        <v>441056.17</v>
      </c>
      <c r="DF19" s="15" t="n">
        <v>4895376.18</v>
      </c>
      <c r="DG19" s="15" t="n">
        <v>4223229.35</v>
      </c>
      <c r="DH19" s="15" t="n">
        <v>1389458.83</v>
      </c>
      <c r="DI19" s="15" t="n">
        <v>126158.61</v>
      </c>
      <c r="DJ19" s="15" t="n">
        <v>793418.24</v>
      </c>
      <c r="DK19" s="15" t="n">
        <v>5703750.89</v>
      </c>
      <c r="DL19" s="15" t="n">
        <v>3854427.3</v>
      </c>
      <c r="DM19" s="15" t="n">
        <v>2845430.82</v>
      </c>
      <c r="DN19" s="15" t="n">
        <v>1969762.73</v>
      </c>
      <c r="DO19" s="15" t="n">
        <v>345762.23</v>
      </c>
      <c r="DP19" s="15" t="n">
        <v>1258432.91</v>
      </c>
    </row>
    <row r="20">
      <c r="A20" s="4" t="inlineStr">
        <is>
          <t>其他产品B</t>
        </is>
      </c>
      <c r="B20" s="15" t="n">
        <v>2480178.54</v>
      </c>
      <c r="C20" s="15" t="n">
        <v>2094407.04</v>
      </c>
      <c r="D20" s="15" t="n">
        <v>185583.15</v>
      </c>
      <c r="E20" s="15" t="n">
        <v>725756.23</v>
      </c>
      <c r="F20" s="15" t="n">
        <v>410786.11</v>
      </c>
      <c r="G20" s="15" t="n">
        <v>1371035.33</v>
      </c>
      <c r="H20" s="15" t="n">
        <v>6349800.87</v>
      </c>
      <c r="I20" s="15" t="n">
        <v>1991416.06</v>
      </c>
      <c r="J20" s="15" t="n">
        <v>819930.42</v>
      </c>
      <c r="K20" s="15" t="n">
        <v>511704.63</v>
      </c>
      <c r="L20" s="15" t="n">
        <v>1223972.04</v>
      </c>
      <c r="M20" s="15" t="n">
        <v>5990253.07</v>
      </c>
      <c r="N20" s="15" t="n">
        <v>6958320.96</v>
      </c>
      <c r="O20" s="15" t="n">
        <v>1230779.85</v>
      </c>
      <c r="P20" s="15" t="n">
        <v>763137.95</v>
      </c>
      <c r="Q20" s="15" t="n">
        <v>703326.4300000001</v>
      </c>
      <c r="R20" s="15" t="n">
        <v>1093783.66</v>
      </c>
      <c r="S20" s="15" t="n">
        <v>1709994.4</v>
      </c>
      <c r="T20" s="15" t="n">
        <v>170160.72</v>
      </c>
      <c r="U20" s="15" t="n">
        <v>263213.93</v>
      </c>
      <c r="V20" s="15" t="n">
        <v>1895950.54</v>
      </c>
      <c r="W20" s="15" t="n">
        <v>162665.95</v>
      </c>
      <c r="X20" s="15" t="n">
        <v>578629.46</v>
      </c>
      <c r="Y20" s="15" t="n">
        <v>4834588.35</v>
      </c>
      <c r="Z20" s="15" t="n">
        <v>6309320.61</v>
      </c>
      <c r="AA20" s="15" t="n">
        <v>1736120.27</v>
      </c>
      <c r="AB20" s="15" t="n">
        <v>2365513.5</v>
      </c>
      <c r="AC20" s="15" t="n">
        <v>146149.16</v>
      </c>
      <c r="AD20" s="15" t="n">
        <v>801879.22</v>
      </c>
      <c r="AE20" s="15" t="n">
        <v>4219783.91</v>
      </c>
      <c r="AF20" s="15" t="n">
        <v>4482743.05</v>
      </c>
      <c r="AG20" s="15" t="n">
        <v>3427715.81</v>
      </c>
      <c r="AH20" s="15" t="n">
        <v>2506027.69</v>
      </c>
      <c r="AI20" s="15" t="n">
        <v>583489.83</v>
      </c>
      <c r="AJ20" s="15" t="n">
        <v>2098208.84</v>
      </c>
      <c r="AK20" s="15" t="n">
        <v>1416986.58</v>
      </c>
      <c r="AL20" s="15" t="n">
        <v>7272354.56</v>
      </c>
      <c r="AM20" s="15" t="n">
        <v>3288415.81</v>
      </c>
      <c r="AN20" s="15" t="n">
        <v>1424780.17</v>
      </c>
      <c r="AO20" s="15" t="n">
        <v>168131.96</v>
      </c>
      <c r="AP20" s="15" t="n">
        <v>572838.26</v>
      </c>
      <c r="AQ20" s="15" t="n">
        <v>3038340.5</v>
      </c>
      <c r="AR20" s="15" t="n">
        <v>1186227.59</v>
      </c>
      <c r="AS20" s="15" t="n">
        <v>1807219.49</v>
      </c>
      <c r="AT20" s="15" t="n">
        <v>1466788.77</v>
      </c>
      <c r="AU20" s="15" t="n">
        <v>150674.58</v>
      </c>
      <c r="AV20" s="15" t="n">
        <v>-115468.28</v>
      </c>
      <c r="AW20" s="15" t="n">
        <v>5133493.61</v>
      </c>
      <c r="AX20" s="15" t="n">
        <v>185718.53</v>
      </c>
      <c r="AY20" s="15" t="n">
        <v>2526818.78</v>
      </c>
      <c r="AZ20" s="15" t="n">
        <v>1043998.03</v>
      </c>
      <c r="BA20" s="15" t="n">
        <v>499902.82</v>
      </c>
      <c r="BB20" s="15" t="n">
        <v>1899432.93</v>
      </c>
      <c r="BC20" s="15" t="n">
        <v>2171687.28</v>
      </c>
      <c r="BD20" s="15" t="n">
        <v>4464286.69</v>
      </c>
      <c r="BE20" s="15" t="n">
        <v>1710278.91</v>
      </c>
      <c r="BF20" s="15" t="n">
        <v>451328.67</v>
      </c>
      <c r="BG20" s="15" t="n">
        <v>239126.95</v>
      </c>
      <c r="BH20" s="15" t="n">
        <v>568069.02</v>
      </c>
      <c r="BI20" s="15" t="n">
        <v>2403556.6</v>
      </c>
      <c r="BJ20" s="15" t="n">
        <v>294949.03</v>
      </c>
      <c r="BK20" s="15" t="n">
        <v>2649272.1</v>
      </c>
      <c r="BL20" s="15" t="n">
        <v>2359906.87</v>
      </c>
      <c r="BM20" s="15" t="n">
        <v>642744.75</v>
      </c>
      <c r="BN20" s="15" t="n">
        <v>1932427.36</v>
      </c>
      <c r="BO20" s="15" t="n">
        <v>2081829.1</v>
      </c>
      <c r="BP20" s="15" t="n">
        <v>3759624.52</v>
      </c>
      <c r="BQ20" s="15" t="n">
        <v>2461223.74</v>
      </c>
      <c r="BR20" s="15" t="n">
        <v>1239575.18</v>
      </c>
      <c r="BS20" s="15" t="n">
        <v>460225.47</v>
      </c>
      <c r="BT20" s="15" t="n">
        <v>1479347.87</v>
      </c>
      <c r="BU20" s="15" t="n">
        <v>1328571.4</v>
      </c>
      <c r="BV20" s="15" t="n">
        <v>1636057.04</v>
      </c>
      <c r="BW20" s="15" t="n">
        <v>4103280.9</v>
      </c>
      <c r="BX20" s="15" t="n">
        <v>247329.14</v>
      </c>
      <c r="BY20" s="15" t="n">
        <v>684008.21</v>
      </c>
      <c r="BZ20" s="15" t="n">
        <v>327019.02</v>
      </c>
      <c r="CA20" s="15" t="n">
        <v>3864810.71</v>
      </c>
      <c r="CB20" s="15" t="n">
        <v>2637076.89</v>
      </c>
      <c r="CC20" s="15" t="n">
        <v>923702.3100000001</v>
      </c>
      <c r="CD20" s="15" t="n">
        <v>1777271.21</v>
      </c>
      <c r="CE20" s="15" t="n">
        <v>252535.31</v>
      </c>
      <c r="CF20" s="15" t="n">
        <v>1567304.6</v>
      </c>
      <c r="CG20" s="15" t="n">
        <v>3272300.43</v>
      </c>
      <c r="CH20" s="15" t="n">
        <v>4681513.52</v>
      </c>
      <c r="CI20" s="15" t="n">
        <v>3087272.3</v>
      </c>
      <c r="CJ20" s="15" t="n">
        <v>2993957.31</v>
      </c>
      <c r="CK20" s="15" t="n">
        <v>341199.2</v>
      </c>
      <c r="CL20" s="15" t="n">
        <v>1536324.53</v>
      </c>
      <c r="CM20" s="15" t="n">
        <v>2714201.2</v>
      </c>
      <c r="CN20" s="15" t="n">
        <v>7244799.05</v>
      </c>
      <c r="CO20" s="15" t="n">
        <v>3337378.63</v>
      </c>
      <c r="CP20" s="15" t="n">
        <v>2409766.37</v>
      </c>
      <c r="CQ20" s="15" t="n">
        <v>328249.8</v>
      </c>
      <c r="CR20" s="15" t="n">
        <v>-236520.33</v>
      </c>
      <c r="CS20" s="15" t="n">
        <v>1721451.85</v>
      </c>
      <c r="CT20" s="15" t="n">
        <v>2923355.06</v>
      </c>
      <c r="CU20" s="15" t="n">
        <v>3757203.14</v>
      </c>
      <c r="CV20" s="15" t="n">
        <v>2367923.01</v>
      </c>
      <c r="CW20" s="15" t="n">
        <v>196927.61</v>
      </c>
      <c r="CX20" s="15" t="n">
        <v>835106.29</v>
      </c>
      <c r="CY20" s="15" t="n">
        <v>5958050.96</v>
      </c>
      <c r="CZ20" s="15" t="n">
        <v>5911915.44</v>
      </c>
      <c r="DA20" s="15" t="n">
        <v>3323657.39</v>
      </c>
      <c r="DB20" s="15" t="n">
        <v>265654.25</v>
      </c>
      <c r="DC20" s="15" t="n">
        <v>652748.14</v>
      </c>
      <c r="DD20" s="15" t="n">
        <v>944912.21</v>
      </c>
      <c r="DE20" s="15" t="n">
        <v>1936168.27</v>
      </c>
      <c r="DF20" s="15" t="n">
        <v>7132942.24</v>
      </c>
      <c r="DG20" s="15" t="n">
        <v>958660.88</v>
      </c>
      <c r="DH20" s="15" t="n">
        <v>1692663.45</v>
      </c>
      <c r="DI20" s="15" t="n">
        <v>75599.39999999999</v>
      </c>
      <c r="DJ20" s="15" t="n">
        <v>1556932.4</v>
      </c>
      <c r="DK20" s="15" t="n">
        <v>4976442.24</v>
      </c>
      <c r="DL20" s="15" t="n">
        <v>6788696.63</v>
      </c>
      <c r="DM20" s="15" t="n">
        <v>1141174.56</v>
      </c>
      <c r="DN20" s="15" t="n">
        <v>2733962.73</v>
      </c>
      <c r="DO20" s="15" t="n">
        <v>351947.25</v>
      </c>
      <c r="DP20" s="15" t="n">
        <v>175469.3</v>
      </c>
    </row>
    <row r="21">
      <c r="A21" s="4" t="inlineStr">
        <is>
          <t>其他产品C</t>
        </is>
      </c>
      <c r="B21" s="15" t="n">
        <v>733117.92</v>
      </c>
      <c r="C21" s="15" t="n">
        <v>1667842.4</v>
      </c>
      <c r="D21" s="15" t="n">
        <v>1449687.83</v>
      </c>
      <c r="E21" s="15" t="n">
        <v>374997.68</v>
      </c>
      <c r="F21" s="15" t="n">
        <v>467679.49</v>
      </c>
      <c r="G21" s="15" t="n">
        <v>156522.5</v>
      </c>
      <c r="H21" s="15" t="n">
        <v>2539003.2</v>
      </c>
      <c r="I21" s="15" t="n">
        <v>4377559.2</v>
      </c>
      <c r="J21" s="15" t="n">
        <v>2505019.96</v>
      </c>
      <c r="K21" s="15" t="n">
        <v>336288.15</v>
      </c>
      <c r="L21" s="15" t="n">
        <v>10944.7</v>
      </c>
      <c r="M21" s="15" t="n">
        <v>997535.47</v>
      </c>
      <c r="N21" s="15" t="n">
        <v>5738300.06</v>
      </c>
      <c r="O21" s="15" t="n">
        <v>3284750.19</v>
      </c>
      <c r="P21" s="15" t="n">
        <v>943590.34</v>
      </c>
      <c r="Q21" s="15" t="n">
        <v>216429.53</v>
      </c>
      <c r="R21" s="15" t="n">
        <v>947033.72</v>
      </c>
      <c r="S21" s="15" t="n">
        <v>2245900.3</v>
      </c>
      <c r="T21" s="15" t="n">
        <v>1868919.4</v>
      </c>
      <c r="U21" s="15" t="n">
        <v>370122.48</v>
      </c>
      <c r="V21" s="15" t="n">
        <v>353216.37</v>
      </c>
      <c r="W21" s="15" t="n">
        <v>554499.67</v>
      </c>
      <c r="X21" s="15" t="n">
        <v>982938.66</v>
      </c>
      <c r="Y21" s="15" t="n">
        <v>2884340.55</v>
      </c>
      <c r="Z21" s="15" t="n">
        <v>3224246.83</v>
      </c>
      <c r="AA21" s="15" t="n">
        <v>3215816.99</v>
      </c>
      <c r="AB21" s="15" t="n">
        <v>2067566.67</v>
      </c>
      <c r="AC21" s="15" t="n">
        <v>141438.51</v>
      </c>
      <c r="AD21" s="15" t="n">
        <v>1314131.88</v>
      </c>
      <c r="AE21" s="15" t="n">
        <v>921755.4399999999</v>
      </c>
      <c r="AF21" s="15" t="n">
        <v>5396114.73</v>
      </c>
      <c r="AG21" s="15" t="n">
        <v>2631226.39</v>
      </c>
      <c r="AH21" s="15" t="n">
        <v>1768136.66</v>
      </c>
      <c r="AI21" s="15" t="n">
        <v>603738.45</v>
      </c>
      <c r="AJ21" s="15" t="n">
        <v>1987486.62</v>
      </c>
      <c r="AK21" s="15" t="n">
        <v>4925065.93</v>
      </c>
      <c r="AL21" s="15" t="n">
        <v>1320230.72</v>
      </c>
      <c r="AM21" s="15" t="n">
        <v>1474930.77</v>
      </c>
      <c r="AN21" s="15" t="n">
        <v>2362877.02</v>
      </c>
      <c r="AO21" s="15" t="n">
        <v>25509.41</v>
      </c>
      <c r="AP21" s="15" t="n">
        <v>1481625.29</v>
      </c>
      <c r="AQ21" s="15" t="n">
        <v>842790.9</v>
      </c>
      <c r="AR21" s="15" t="n">
        <v>6479567.86</v>
      </c>
      <c r="AS21" s="15" t="n">
        <v>701279.8100000001</v>
      </c>
      <c r="AT21" s="15" t="n">
        <v>2097239.1</v>
      </c>
      <c r="AU21" s="15" t="n">
        <v>227759.22</v>
      </c>
      <c r="AV21" s="15" t="n">
        <v>396416.14</v>
      </c>
      <c r="AW21" s="15" t="n">
        <v>3127363.16</v>
      </c>
      <c r="AX21" s="15" t="n">
        <v>6934017.19</v>
      </c>
      <c r="AY21" s="15" t="n">
        <v>1638379.33</v>
      </c>
      <c r="AZ21" s="15" t="n">
        <v>1376536.6</v>
      </c>
      <c r="BA21" s="15" t="n">
        <v>599375.47</v>
      </c>
      <c r="BB21" s="15" t="n">
        <v>-118768.47</v>
      </c>
      <c r="BC21" s="15" t="n">
        <v>5000680.67</v>
      </c>
      <c r="BD21" s="15" t="n">
        <v>5050640.49</v>
      </c>
      <c r="BE21" s="15" t="n">
        <v>577141.76</v>
      </c>
      <c r="BF21" s="15" t="n">
        <v>2853326.53</v>
      </c>
      <c r="BG21" s="15" t="n">
        <v>492679.08</v>
      </c>
      <c r="BH21" s="15" t="n">
        <v>668669.8100000001</v>
      </c>
      <c r="BI21" s="15" t="n">
        <v>161550</v>
      </c>
      <c r="BJ21" s="15" t="n">
        <v>2470032.84</v>
      </c>
      <c r="BK21" s="15" t="n">
        <v>2506928.12</v>
      </c>
      <c r="BL21" s="15" t="n">
        <v>2518340.12</v>
      </c>
      <c r="BM21" s="15" t="n">
        <v>438896.74</v>
      </c>
      <c r="BN21" s="15" t="n">
        <v>1974454.86</v>
      </c>
      <c r="BO21" s="15" t="n">
        <v>2482991.98</v>
      </c>
      <c r="BP21" s="15" t="n">
        <v>6168126.45</v>
      </c>
      <c r="BQ21" s="15" t="n">
        <v>1457614.6</v>
      </c>
      <c r="BR21" s="15" t="n">
        <v>1337308.43</v>
      </c>
      <c r="BS21" s="15" t="n">
        <v>309493.64</v>
      </c>
      <c r="BT21" s="15" t="n">
        <v>2047594.15</v>
      </c>
      <c r="BU21" s="15" t="n">
        <v>4937117.8</v>
      </c>
      <c r="BV21" s="15" t="n">
        <v>7103911.39</v>
      </c>
      <c r="BW21" s="15" t="n">
        <v>3405594.4</v>
      </c>
      <c r="BX21" s="15" t="n">
        <v>1216510.7</v>
      </c>
      <c r="BY21" s="15" t="n">
        <v>288745.42</v>
      </c>
      <c r="BZ21" s="15" t="n">
        <v>908277.09</v>
      </c>
      <c r="CA21" s="15" t="n">
        <v>2666178.8</v>
      </c>
      <c r="CB21" s="15" t="n">
        <v>3096399.72</v>
      </c>
      <c r="CC21" s="15" t="n">
        <v>1200031.87</v>
      </c>
      <c r="CD21" s="15" t="n">
        <v>2918813.99</v>
      </c>
      <c r="CE21" s="15" t="n">
        <v>49448.66</v>
      </c>
      <c r="CF21" s="15" t="n">
        <v>599610.9399999999</v>
      </c>
      <c r="CG21" s="15" t="n">
        <v>169513.42</v>
      </c>
      <c r="CH21" s="15" t="n">
        <v>5083424.91</v>
      </c>
      <c r="CI21" s="15" t="n">
        <v>4183915.91</v>
      </c>
      <c r="CJ21" s="15" t="n">
        <v>2554108.57</v>
      </c>
      <c r="CK21" s="15" t="n">
        <v>117663.56</v>
      </c>
      <c r="CL21" s="15" t="n">
        <v>811265.35</v>
      </c>
      <c r="CM21" s="15" t="n">
        <v>2057649.76</v>
      </c>
      <c r="CN21" s="15" t="n">
        <v>2506816.3</v>
      </c>
      <c r="CO21" s="15" t="n">
        <v>906050.41</v>
      </c>
      <c r="CP21" s="15" t="n">
        <v>1488303.99</v>
      </c>
      <c r="CQ21" s="15" t="n">
        <v>60586.94</v>
      </c>
      <c r="CR21" s="15" t="n">
        <v>1161727.14</v>
      </c>
      <c r="CS21" s="15" t="n">
        <v>3279243.62</v>
      </c>
      <c r="CT21" s="15" t="n">
        <v>3789043.12</v>
      </c>
      <c r="CU21" s="15" t="n">
        <v>682526.7</v>
      </c>
      <c r="CV21" s="15" t="n">
        <v>1688185.67</v>
      </c>
      <c r="CW21" s="15" t="n">
        <v>373423.17</v>
      </c>
      <c r="CX21" s="15" t="n">
        <v>66157.77</v>
      </c>
      <c r="CY21" s="15" t="n">
        <v>2240285.79</v>
      </c>
      <c r="CZ21" s="15" t="n">
        <v>5591944.57</v>
      </c>
      <c r="DA21" s="15" t="n">
        <v>715087.48</v>
      </c>
      <c r="DB21" s="15" t="n">
        <v>44692.27</v>
      </c>
      <c r="DC21" s="15" t="n">
        <v>71598.67</v>
      </c>
      <c r="DD21" s="15" t="n">
        <v>1484570.53</v>
      </c>
      <c r="DE21" s="15" t="n">
        <v>2247474.41</v>
      </c>
      <c r="DF21" s="15" t="n">
        <v>448353.41</v>
      </c>
      <c r="DG21" s="15" t="n">
        <v>4016713.31</v>
      </c>
      <c r="DH21" s="15" t="n">
        <v>535398.1</v>
      </c>
      <c r="DI21" s="15" t="n">
        <v>622748.99</v>
      </c>
      <c r="DJ21" s="15" t="n">
        <v>891903.66</v>
      </c>
      <c r="DK21" s="15" t="n">
        <v>4115098.79</v>
      </c>
      <c r="DL21" s="15" t="n">
        <v>4893357.59</v>
      </c>
      <c r="DM21" s="15" t="n">
        <v>1994213.98</v>
      </c>
      <c r="DN21" s="15" t="n">
        <v>2066146.19</v>
      </c>
      <c r="DO21" s="15" t="n">
        <v>40505.27</v>
      </c>
      <c r="DP21" s="15" t="n">
        <v>668754.04</v>
      </c>
    </row>
    <row r="22">
      <c r="A22" s="4" t="inlineStr">
        <is>
          <t>数控机床</t>
        </is>
      </c>
      <c r="B22" s="15" t="n">
        <v>3670302.34</v>
      </c>
      <c r="C22" s="15" t="n">
        <v>1436328.61</v>
      </c>
      <c r="D22" s="15" t="n">
        <v>2586695.86</v>
      </c>
      <c r="E22" s="15" t="n">
        <v>332367.33</v>
      </c>
      <c r="F22" s="15" t="n">
        <v>1189598.44</v>
      </c>
      <c r="G22" s="15" t="n">
        <v>1565033.24</v>
      </c>
      <c r="H22" s="15" t="n">
        <v>6030737.94</v>
      </c>
      <c r="I22" s="15" t="n">
        <v>476845.63</v>
      </c>
      <c r="J22" s="15" t="n">
        <v>764099.97</v>
      </c>
      <c r="K22" s="15" t="n">
        <v>157575.78</v>
      </c>
      <c r="L22" s="15" t="n">
        <v>1087163.8</v>
      </c>
      <c r="M22" s="15" t="n">
        <v>1236720.71</v>
      </c>
      <c r="N22" s="15" t="n">
        <v>4315028.88</v>
      </c>
      <c r="O22" s="15" t="n">
        <v>4049100.69</v>
      </c>
      <c r="P22" s="15" t="n">
        <v>748188.89</v>
      </c>
      <c r="Q22" s="15" t="n">
        <v>29566.38</v>
      </c>
      <c r="R22" s="15" t="n">
        <v>-98601.11</v>
      </c>
      <c r="S22" s="15" t="n">
        <v>5540067.14</v>
      </c>
      <c r="T22" s="15" t="n">
        <v>6037139.54</v>
      </c>
      <c r="U22" s="15" t="n">
        <v>2331648.12</v>
      </c>
      <c r="V22" s="15" t="n">
        <v>2015694.2</v>
      </c>
      <c r="W22" s="15" t="n">
        <v>309355.5</v>
      </c>
      <c r="X22" s="15" t="n">
        <v>341559.46</v>
      </c>
      <c r="Y22" s="15" t="n">
        <v>3246849.18</v>
      </c>
      <c r="Z22" s="15" t="n">
        <v>2672065.38</v>
      </c>
      <c r="AA22" s="15" t="n">
        <v>2286853.27</v>
      </c>
      <c r="AB22" s="15" t="n">
        <v>1133446.11</v>
      </c>
      <c r="AC22" s="15" t="n">
        <v>526949.22</v>
      </c>
      <c r="AD22" s="15" t="n">
        <v>606471.84</v>
      </c>
      <c r="AE22" s="15" t="n">
        <v>3468737.51</v>
      </c>
      <c r="AF22" s="15" t="n">
        <v>916913.54</v>
      </c>
      <c r="AG22" s="15" t="n">
        <v>419955.01</v>
      </c>
      <c r="AH22" s="15" t="n">
        <v>602786.26</v>
      </c>
      <c r="AI22" s="15" t="n">
        <v>462330.4</v>
      </c>
      <c r="AJ22" s="15" t="n">
        <v>2087826.74</v>
      </c>
      <c r="AK22" s="15" t="n">
        <v>2157079.59</v>
      </c>
      <c r="AL22" s="15" t="n">
        <v>5350208.31</v>
      </c>
      <c r="AM22" s="15" t="n">
        <v>2397675.59</v>
      </c>
      <c r="AN22" s="15" t="n">
        <v>972622.29</v>
      </c>
      <c r="AO22" s="15" t="n">
        <v>704032.62</v>
      </c>
      <c r="AP22" s="15" t="n">
        <v>2141997.02</v>
      </c>
      <c r="AQ22" s="15" t="n">
        <v>5292605.96</v>
      </c>
      <c r="AR22" s="15" t="n">
        <v>1617933.68</v>
      </c>
      <c r="AS22" s="15" t="n">
        <v>2302369.49</v>
      </c>
      <c r="AT22" s="15" t="n">
        <v>2146478.93</v>
      </c>
      <c r="AU22" s="15" t="n">
        <v>80409.33</v>
      </c>
      <c r="AV22" s="15" t="n">
        <v>315916.54</v>
      </c>
      <c r="AW22" s="15" t="n">
        <v>2172693.33</v>
      </c>
      <c r="AX22" s="15" t="n">
        <v>3071012.77</v>
      </c>
      <c r="AY22" s="15" t="n">
        <v>1960783.56</v>
      </c>
      <c r="AZ22" s="15" t="n">
        <v>1864355.35</v>
      </c>
      <c r="BA22" s="15" t="n">
        <v>730431.95</v>
      </c>
      <c r="BB22" s="15" t="n">
        <v>330979.22</v>
      </c>
      <c r="BC22" s="15" t="n">
        <v>5923606.77</v>
      </c>
      <c r="BD22" s="15" t="n">
        <v>6087957.8</v>
      </c>
      <c r="BE22" s="15" t="n">
        <v>2482906.27</v>
      </c>
      <c r="BF22" s="15" t="n">
        <v>2422673.2</v>
      </c>
      <c r="BG22" s="15" t="n">
        <v>276219.9</v>
      </c>
      <c r="BH22" s="15" t="n">
        <v>1957325.56</v>
      </c>
      <c r="BI22" s="15" t="n">
        <v>3278725.48</v>
      </c>
      <c r="BJ22" s="15" t="n">
        <v>5032564.67</v>
      </c>
      <c r="BK22" s="15" t="n">
        <v>391166.62</v>
      </c>
      <c r="BL22" s="15" t="n">
        <v>1970379.2</v>
      </c>
      <c r="BM22" s="15" t="n">
        <v>693716.39</v>
      </c>
      <c r="BN22" s="15" t="n">
        <v>533902.9300000001</v>
      </c>
      <c r="BO22" s="15" t="n">
        <v>4133198.35</v>
      </c>
      <c r="BP22" s="15" t="n">
        <v>6794090.37</v>
      </c>
      <c r="BQ22" s="15" t="n">
        <v>3143927.64</v>
      </c>
      <c r="BR22" s="15" t="n">
        <v>1812017.3</v>
      </c>
      <c r="BS22" s="15" t="n">
        <v>566229.53</v>
      </c>
      <c r="BT22" s="15" t="n">
        <v>2232624.28</v>
      </c>
      <c r="BU22" s="15" t="n">
        <v>4676491.27</v>
      </c>
      <c r="BV22" s="15" t="n">
        <v>6883535.65</v>
      </c>
      <c r="BW22" s="15" t="n">
        <v>1995847.57</v>
      </c>
      <c r="BX22" s="15" t="n">
        <v>813298.84</v>
      </c>
      <c r="BY22" s="15" t="n">
        <v>327057.64</v>
      </c>
      <c r="BZ22" s="15" t="n">
        <v>1237031.11</v>
      </c>
      <c r="CA22" s="15" t="n">
        <v>3846865.15</v>
      </c>
      <c r="CB22" s="15" t="n">
        <v>3243652.68</v>
      </c>
      <c r="CC22" s="15" t="n">
        <v>4274992.52</v>
      </c>
      <c r="CD22" s="15" t="n">
        <v>1787976.17</v>
      </c>
      <c r="CE22" s="15" t="n">
        <v>304100.76</v>
      </c>
      <c r="CF22" s="15" t="n">
        <v>1957579.56</v>
      </c>
      <c r="CG22" s="15" t="n">
        <v>5622850.69</v>
      </c>
      <c r="CH22" s="15" t="n">
        <v>2237085.8</v>
      </c>
      <c r="CI22" s="15" t="n">
        <v>1993418.6</v>
      </c>
      <c r="CJ22" s="15" t="n">
        <v>2584217.44</v>
      </c>
      <c r="CK22" s="15" t="n">
        <v>629834.8100000001</v>
      </c>
      <c r="CL22" s="15" t="n">
        <v>937378.28</v>
      </c>
      <c r="CM22" s="15" t="n">
        <v>3588345.8</v>
      </c>
      <c r="CN22" s="15" t="n">
        <v>1555608.91</v>
      </c>
      <c r="CO22" s="15" t="n">
        <v>2212914.37</v>
      </c>
      <c r="CP22" s="15" t="n">
        <v>2188850.9</v>
      </c>
      <c r="CQ22" s="15" t="n">
        <v>460559.1</v>
      </c>
      <c r="CR22" s="15" t="n">
        <v>2215838.39</v>
      </c>
      <c r="CS22" s="15" t="n">
        <v>651880.45</v>
      </c>
      <c r="CT22" s="15" t="n">
        <v>6601284.1</v>
      </c>
      <c r="CU22" s="15" t="n">
        <v>668222.35</v>
      </c>
      <c r="CV22" s="15" t="n">
        <v>2964506.19</v>
      </c>
      <c r="CW22" s="15" t="n">
        <v>615307.3199999999</v>
      </c>
      <c r="CX22" s="15" t="n">
        <v>960855.65</v>
      </c>
      <c r="CY22" s="15" t="n">
        <v>573220.5</v>
      </c>
      <c r="CZ22" s="15" t="n">
        <v>5728665.58</v>
      </c>
      <c r="DA22" s="15" t="n">
        <v>3087368.11</v>
      </c>
      <c r="DB22" s="15" t="n">
        <v>2990519.88</v>
      </c>
      <c r="DC22" s="15" t="n">
        <v>244913.91</v>
      </c>
      <c r="DD22" s="15" t="n">
        <v>1536759.88</v>
      </c>
      <c r="DE22" s="15" t="n">
        <v>4095451</v>
      </c>
      <c r="DF22" s="15" t="n">
        <v>1084970.15</v>
      </c>
      <c r="DG22" s="15" t="n">
        <v>129815.11</v>
      </c>
      <c r="DH22" s="15" t="n">
        <v>1633878.68</v>
      </c>
      <c r="DI22" s="15" t="n">
        <v>500400.42</v>
      </c>
      <c r="DJ22" s="15" t="n">
        <v>105055.87</v>
      </c>
      <c r="DK22" s="15" t="n">
        <v>5500828.97</v>
      </c>
      <c r="DL22" s="15" t="n">
        <v>1062870.22</v>
      </c>
      <c r="DM22" s="15" t="n">
        <v>3884608.58</v>
      </c>
      <c r="DN22" s="15" t="n">
        <v>1115031.58</v>
      </c>
      <c r="DO22" s="15" t="n">
        <v>70295.17</v>
      </c>
      <c r="DP22" s="15" t="n">
        <v>-194262.53</v>
      </c>
    </row>
    <row r="23">
      <c r="A23" s="4" t="inlineStr">
        <is>
          <t>精密轴承</t>
        </is>
      </c>
      <c r="B23" s="15" t="n">
        <v>2164019.18</v>
      </c>
      <c r="C23" s="15" t="n">
        <v>1641627.16</v>
      </c>
      <c r="D23" s="15" t="n">
        <v>2395633.88</v>
      </c>
      <c r="E23" s="15" t="n">
        <v>141068.58</v>
      </c>
      <c r="F23" s="15" t="n">
        <v>477102.26</v>
      </c>
      <c r="G23" s="15" t="n">
        <v>5918992.57</v>
      </c>
      <c r="H23" s="15" t="n">
        <v>2139365.25</v>
      </c>
      <c r="I23" s="15" t="n">
        <v>3126849.3</v>
      </c>
      <c r="J23" s="15" t="n">
        <v>476997.94</v>
      </c>
      <c r="K23" s="15" t="n">
        <v>83980.10000000001</v>
      </c>
      <c r="L23" s="15" t="n">
        <v>558283.34</v>
      </c>
      <c r="M23" s="15" t="n">
        <v>2519241.79</v>
      </c>
      <c r="N23" s="15" t="n">
        <v>4796447.13</v>
      </c>
      <c r="O23" s="15" t="n">
        <v>1129973.82</v>
      </c>
      <c r="P23" s="15" t="n">
        <v>660048.63</v>
      </c>
      <c r="Q23" s="15" t="n">
        <v>513413.32</v>
      </c>
      <c r="R23" s="15" t="n">
        <v>-207002.64</v>
      </c>
      <c r="S23" s="15" t="n">
        <v>1035274.17</v>
      </c>
      <c r="T23" s="15" t="n">
        <v>1536287.77</v>
      </c>
      <c r="U23" s="15" t="n">
        <v>669811.6</v>
      </c>
      <c r="V23" s="15" t="n">
        <v>410833.41</v>
      </c>
      <c r="W23" s="15" t="n">
        <v>191828.03</v>
      </c>
      <c r="X23" s="15" t="n">
        <v>1073072.99</v>
      </c>
      <c r="Y23" s="15" t="n">
        <v>5731928.02</v>
      </c>
      <c r="Z23" s="15" t="n">
        <v>256527.2</v>
      </c>
      <c r="AA23" s="15" t="n">
        <v>326615.25</v>
      </c>
      <c r="AB23" s="15" t="n">
        <v>1498712.51</v>
      </c>
      <c r="AC23" s="15" t="n">
        <v>245326.39</v>
      </c>
      <c r="AD23" s="15" t="n">
        <v>1880573.84</v>
      </c>
      <c r="AE23" s="15" t="n">
        <v>4569499.16</v>
      </c>
      <c r="AF23" s="15" t="n">
        <v>6310653.5</v>
      </c>
      <c r="AG23" s="15" t="n">
        <v>379056.82</v>
      </c>
      <c r="AH23" s="15" t="n">
        <v>842753.61</v>
      </c>
      <c r="AI23" s="15" t="n">
        <v>132324.35</v>
      </c>
      <c r="AJ23" s="15" t="n">
        <v>59915.49</v>
      </c>
      <c r="AK23" s="15" t="n">
        <v>1784524.82</v>
      </c>
      <c r="AL23" s="15" t="n">
        <v>2336814.54</v>
      </c>
      <c r="AM23" s="15" t="n">
        <v>3410833.79</v>
      </c>
      <c r="AN23" s="15" t="n">
        <v>1059179.8</v>
      </c>
      <c r="AO23" s="15" t="n">
        <v>373576.49</v>
      </c>
      <c r="AP23" s="15" t="n">
        <v>641135.0600000001</v>
      </c>
      <c r="AQ23" s="15" t="n">
        <v>4588605.3</v>
      </c>
      <c r="AR23" s="15" t="n">
        <v>5630379.03</v>
      </c>
      <c r="AS23" s="15" t="n">
        <v>1026499.78</v>
      </c>
      <c r="AT23" s="15" t="n">
        <v>2605344.87</v>
      </c>
      <c r="AU23" s="15" t="n">
        <v>707120.8100000001</v>
      </c>
      <c r="AV23" s="15" t="n">
        <v>1014503.02</v>
      </c>
      <c r="AW23" s="15" t="n">
        <v>5147215.79</v>
      </c>
      <c r="AX23" s="15" t="n">
        <v>4851435.07</v>
      </c>
      <c r="AY23" s="15" t="n">
        <v>3979491.45</v>
      </c>
      <c r="AZ23" s="15" t="n">
        <v>1836061.21</v>
      </c>
      <c r="BA23" s="15" t="n">
        <v>357238.51</v>
      </c>
      <c r="BB23" s="15" t="n">
        <v>56270.39</v>
      </c>
      <c r="BC23" s="15" t="n">
        <v>1706598.97</v>
      </c>
      <c r="BD23" s="15" t="n">
        <v>2371757.35</v>
      </c>
      <c r="BE23" s="15" t="n">
        <v>3563910.6</v>
      </c>
      <c r="BF23" s="15" t="n">
        <v>285535.81</v>
      </c>
      <c r="BG23" s="15" t="n">
        <v>681864.54</v>
      </c>
      <c r="BH23" s="15" t="n">
        <v>-269337.18</v>
      </c>
      <c r="BI23" s="15" t="n">
        <v>2967192.87</v>
      </c>
      <c r="BJ23" s="15" t="n">
        <v>5069168.49</v>
      </c>
      <c r="BK23" s="15" t="n">
        <v>856856</v>
      </c>
      <c r="BL23" s="15" t="n">
        <v>2042704.76</v>
      </c>
      <c r="BM23" s="15" t="n">
        <v>531414.14</v>
      </c>
      <c r="BN23" s="15" t="n">
        <v>315891.7</v>
      </c>
      <c r="BO23" s="15" t="n">
        <v>5580261.62</v>
      </c>
      <c r="BP23" s="15" t="n">
        <v>5710208.06</v>
      </c>
      <c r="BQ23" s="15" t="n">
        <v>2246327.54</v>
      </c>
      <c r="BR23" s="15" t="n">
        <v>1899911.36</v>
      </c>
      <c r="BS23" s="15" t="n">
        <v>177149.6</v>
      </c>
      <c r="BT23" s="15" t="n">
        <v>812221.1899999999</v>
      </c>
      <c r="BU23" s="15" t="n">
        <v>2137707.54</v>
      </c>
      <c r="BV23" s="15" t="n">
        <v>3390144.77</v>
      </c>
      <c r="BW23" s="15" t="n">
        <v>376083.71</v>
      </c>
      <c r="BX23" s="15" t="n">
        <v>408003.17</v>
      </c>
      <c r="BY23" s="15" t="n">
        <v>277371.37</v>
      </c>
      <c r="BZ23" s="15" t="n">
        <v>2114884.69</v>
      </c>
      <c r="CA23" s="15" t="n">
        <v>2104813.02</v>
      </c>
      <c r="CB23" s="15" t="n">
        <v>2428387.13</v>
      </c>
      <c r="CC23" s="15" t="n">
        <v>4176977.41</v>
      </c>
      <c r="CD23" s="15" t="n">
        <v>885658.64</v>
      </c>
      <c r="CE23" s="15" t="n">
        <v>704142.91</v>
      </c>
      <c r="CF23" s="15" t="n">
        <v>158297.42</v>
      </c>
      <c r="CG23" s="15" t="n">
        <v>2411047.27</v>
      </c>
      <c r="CH23" s="15" t="n">
        <v>3295731.52</v>
      </c>
      <c r="CI23" s="15" t="n">
        <v>1587572.67</v>
      </c>
      <c r="CJ23" s="15" t="n">
        <v>2059523.65</v>
      </c>
      <c r="CK23" s="15" t="n">
        <v>441371.83</v>
      </c>
      <c r="CL23" s="15" t="n">
        <v>1736524.73</v>
      </c>
      <c r="CM23" s="15" t="n">
        <v>3513352.42</v>
      </c>
      <c r="CN23" s="15" t="n">
        <v>6544218.9</v>
      </c>
      <c r="CO23" s="15" t="n">
        <v>2767824.64</v>
      </c>
      <c r="CP23" s="15" t="n">
        <v>562319.3199999999</v>
      </c>
      <c r="CQ23" s="15" t="n">
        <v>535235.03</v>
      </c>
      <c r="CR23" s="15" t="n">
        <v>1822285.36</v>
      </c>
      <c r="CS23" s="15" t="n">
        <v>5774910.96</v>
      </c>
      <c r="CT23" s="15" t="n">
        <v>2691231.32</v>
      </c>
      <c r="CU23" s="15" t="n">
        <v>4207782.24</v>
      </c>
      <c r="CV23" s="15" t="n">
        <v>321719.13</v>
      </c>
      <c r="CW23" s="15" t="n">
        <v>665256.16</v>
      </c>
      <c r="CX23" s="15" t="n">
        <v>1817791.6</v>
      </c>
      <c r="CY23" s="15" t="n">
        <v>1428790.58</v>
      </c>
      <c r="CZ23" s="15" t="n">
        <v>1984272.76</v>
      </c>
      <c r="DA23" s="15" t="n">
        <v>312877.8</v>
      </c>
      <c r="DB23" s="15" t="n">
        <v>498064.58</v>
      </c>
      <c r="DC23" s="15" t="n">
        <v>469766.63</v>
      </c>
      <c r="DD23" s="15" t="n">
        <v>1589179.79</v>
      </c>
      <c r="DE23" s="15" t="n">
        <v>5837905.24</v>
      </c>
      <c r="DF23" s="15" t="n">
        <v>4883650.37</v>
      </c>
      <c r="DG23" s="15" t="n">
        <v>1547780.32</v>
      </c>
      <c r="DH23" s="15" t="n">
        <v>567378.64</v>
      </c>
      <c r="DI23" s="15" t="n">
        <v>226695.79</v>
      </c>
      <c r="DJ23" s="15" t="n">
        <v>838480.95</v>
      </c>
      <c r="DK23" s="15" t="n">
        <v>1230989.66</v>
      </c>
      <c r="DL23" s="15" t="n">
        <v>5330690.67</v>
      </c>
      <c r="DM23" s="15" t="n">
        <v>3760150.03</v>
      </c>
      <c r="DN23" s="15" t="n">
        <v>237516.18</v>
      </c>
      <c r="DO23" s="15" t="n">
        <v>111724.15</v>
      </c>
      <c r="DP23" s="15" t="n">
        <v>1905414.04</v>
      </c>
    </row>
    <row r="24">
      <c r="A24" s="4" t="inlineStr">
        <is>
          <t>液压件</t>
        </is>
      </c>
      <c r="B24" s="15" t="n">
        <v>6504442.85</v>
      </c>
      <c r="C24" s="15" t="n">
        <v>1064818.56</v>
      </c>
      <c r="D24" s="15" t="n">
        <v>2759307.7</v>
      </c>
      <c r="E24" s="15" t="n">
        <v>521162.09</v>
      </c>
      <c r="F24" s="15" t="n">
        <v>-20412.27</v>
      </c>
      <c r="G24" s="15" t="n">
        <v>5920014.28</v>
      </c>
      <c r="H24" s="15" t="n">
        <v>2697784.91</v>
      </c>
      <c r="I24" s="15" t="n">
        <v>1159073.97</v>
      </c>
      <c r="J24" s="15" t="n">
        <v>2099548.07</v>
      </c>
      <c r="K24" s="15" t="n">
        <v>281534.21</v>
      </c>
      <c r="L24" s="15" t="n">
        <v>877996.78</v>
      </c>
      <c r="M24" s="15" t="n">
        <v>5530104.44</v>
      </c>
      <c r="N24" s="15" t="n">
        <v>7124672.23</v>
      </c>
      <c r="O24" s="15" t="n">
        <v>3627001.64</v>
      </c>
      <c r="P24" s="15" t="n">
        <v>280299.09</v>
      </c>
      <c r="Q24" s="15" t="n">
        <v>558455.6</v>
      </c>
      <c r="R24" s="15" t="n">
        <v>774627.16</v>
      </c>
      <c r="S24" s="15" t="n">
        <v>4079242.1</v>
      </c>
      <c r="T24" s="15" t="n">
        <v>7375227.57</v>
      </c>
      <c r="U24" s="15" t="n">
        <v>238160.27</v>
      </c>
      <c r="V24" s="15" t="n">
        <v>2780632.81</v>
      </c>
      <c r="W24" s="15" t="n">
        <v>302823.28</v>
      </c>
      <c r="X24" s="15" t="n">
        <v>1366283.79</v>
      </c>
      <c r="Y24" s="15" t="n">
        <v>4077090.58</v>
      </c>
      <c r="Z24" s="15" t="n">
        <v>4545593.95</v>
      </c>
      <c r="AA24" s="15" t="n">
        <v>292234.45</v>
      </c>
      <c r="AB24" s="15" t="n">
        <v>2159910.02</v>
      </c>
      <c r="AC24" s="15" t="n">
        <v>628107.77</v>
      </c>
      <c r="AD24" s="15" t="n">
        <v>183453.88</v>
      </c>
      <c r="AE24" s="15" t="n">
        <v>1596971.21</v>
      </c>
      <c r="AF24" s="15" t="n">
        <v>1734590.63</v>
      </c>
      <c r="AG24" s="15" t="n">
        <v>1267671.41</v>
      </c>
      <c r="AH24" s="15" t="n">
        <v>775410.8199999999</v>
      </c>
      <c r="AI24" s="15" t="n">
        <v>620428.4300000001</v>
      </c>
      <c r="AJ24" s="15" t="n">
        <v>1609309.19</v>
      </c>
      <c r="AK24" s="15" t="n">
        <v>3432951.59</v>
      </c>
      <c r="AL24" s="15" t="n">
        <v>5988708.53</v>
      </c>
      <c r="AM24" s="15" t="n">
        <v>2684136.09</v>
      </c>
      <c r="AN24" s="15" t="n">
        <v>781061.28</v>
      </c>
      <c r="AO24" s="15" t="n">
        <v>129887.94</v>
      </c>
      <c r="AP24" s="15" t="n">
        <v>1638375.89</v>
      </c>
      <c r="AQ24" s="15" t="n">
        <v>5548842.1</v>
      </c>
      <c r="AR24" s="15" t="n">
        <v>204797.94</v>
      </c>
      <c r="AS24" s="15" t="n">
        <v>338611.09</v>
      </c>
      <c r="AT24" s="15" t="n">
        <v>1898876.48</v>
      </c>
      <c r="AU24" s="15" t="n">
        <v>136385.25</v>
      </c>
      <c r="AV24" s="15" t="n">
        <v>1967436.67</v>
      </c>
      <c r="AW24" s="15" t="n">
        <v>2715647.82</v>
      </c>
      <c r="AX24" s="15" t="n">
        <v>5425852.96</v>
      </c>
      <c r="AY24" s="15" t="n">
        <v>1143886.38</v>
      </c>
      <c r="AZ24" s="15" t="n">
        <v>496915.37</v>
      </c>
      <c r="BA24" s="15" t="n">
        <v>388830.08</v>
      </c>
      <c r="BB24" s="15" t="n">
        <v>1860305.18</v>
      </c>
      <c r="BC24" s="15" t="n">
        <v>3102753.08</v>
      </c>
      <c r="BD24" s="15" t="n">
        <v>6636387.15</v>
      </c>
      <c r="BE24" s="15" t="n">
        <v>2057024.75</v>
      </c>
      <c r="BF24" s="15" t="n">
        <v>1649740.27</v>
      </c>
      <c r="BG24" s="15" t="n">
        <v>506460.88</v>
      </c>
      <c r="BH24" s="15" t="n">
        <v>-28619.89</v>
      </c>
      <c r="BI24" s="15" t="n">
        <v>3657318.66</v>
      </c>
      <c r="BJ24" s="15" t="n">
        <v>1754499.81</v>
      </c>
      <c r="BK24" s="15" t="n">
        <v>2473194.97</v>
      </c>
      <c r="BL24" s="15" t="n">
        <v>1135235</v>
      </c>
      <c r="BM24" s="15" t="n">
        <v>44026.83</v>
      </c>
      <c r="BN24" s="15" t="n">
        <v>-188825.25</v>
      </c>
      <c r="BO24" s="15" t="n">
        <v>375118.29</v>
      </c>
      <c r="BP24" s="15" t="n">
        <v>590978.53</v>
      </c>
      <c r="BQ24" s="15" t="n">
        <v>1955410.66</v>
      </c>
      <c r="BR24" s="15" t="n">
        <v>1913384.76</v>
      </c>
      <c r="BS24" s="15" t="n">
        <v>118275.32</v>
      </c>
      <c r="BT24" s="15" t="n">
        <v>1011921.36</v>
      </c>
      <c r="BU24" s="15" t="n">
        <v>5179544.76</v>
      </c>
      <c r="BV24" s="15" t="n">
        <v>4893607.16</v>
      </c>
      <c r="BW24" s="15" t="n">
        <v>2188473.56</v>
      </c>
      <c r="BX24" s="15" t="n">
        <v>1354454.91</v>
      </c>
      <c r="BY24" s="15" t="n">
        <v>258068.62</v>
      </c>
      <c r="BZ24" s="15" t="n">
        <v>726342.4300000001</v>
      </c>
      <c r="CA24" s="15" t="n">
        <v>3362989.6</v>
      </c>
      <c r="CB24" s="15" t="n">
        <v>1036377.11</v>
      </c>
      <c r="CC24" s="15" t="n">
        <v>820730.4</v>
      </c>
      <c r="CD24" s="15" t="n">
        <v>1984468.1</v>
      </c>
      <c r="CE24" s="15" t="n">
        <v>723486.35</v>
      </c>
      <c r="CF24" s="15" t="n">
        <v>1368267.42</v>
      </c>
      <c r="CG24" s="15" t="n">
        <v>1539015.84</v>
      </c>
      <c r="CH24" s="15" t="n">
        <v>2165500.05</v>
      </c>
      <c r="CI24" s="15" t="n">
        <v>1947304.04</v>
      </c>
      <c r="CJ24" s="15" t="n">
        <v>673296.4300000001</v>
      </c>
      <c r="CK24" s="15" t="n">
        <v>150100.72</v>
      </c>
      <c r="CL24" s="15" t="n">
        <v>431957.25</v>
      </c>
      <c r="CM24" s="15" t="n">
        <v>2345821.49</v>
      </c>
      <c r="CN24" s="15" t="n">
        <v>4916528.13</v>
      </c>
      <c r="CO24" s="15" t="n">
        <v>4377129.86</v>
      </c>
      <c r="CP24" s="15" t="n">
        <v>2020353.82</v>
      </c>
      <c r="CQ24" s="15" t="n">
        <v>643917.95</v>
      </c>
      <c r="CR24" s="15" t="n">
        <v>1047322.93</v>
      </c>
      <c r="CS24" s="15" t="n">
        <v>5637053.81</v>
      </c>
      <c r="CT24" s="15" t="n">
        <v>5818500.95</v>
      </c>
      <c r="CU24" s="15" t="n">
        <v>1563754.83</v>
      </c>
      <c r="CV24" s="15" t="n">
        <v>2253236.52</v>
      </c>
      <c r="CW24" s="15" t="n">
        <v>555112.5</v>
      </c>
      <c r="CX24" s="15" t="n">
        <v>548887.14</v>
      </c>
      <c r="CY24" s="15" t="n">
        <v>2857371.62</v>
      </c>
      <c r="CZ24" s="15" t="n">
        <v>3788840.54</v>
      </c>
      <c r="DA24" s="15" t="n">
        <v>1472897.36</v>
      </c>
      <c r="DB24" s="15" t="n">
        <v>2964690.63</v>
      </c>
      <c r="DC24" s="15" t="n">
        <v>64969</v>
      </c>
      <c r="DD24" s="15" t="n">
        <v>2222804.45</v>
      </c>
      <c r="DE24" s="15" t="n">
        <v>2274731.29</v>
      </c>
      <c r="DF24" s="15" t="n">
        <v>5938918.93</v>
      </c>
      <c r="DG24" s="15" t="n">
        <v>3808201.79</v>
      </c>
      <c r="DH24" s="15" t="n">
        <v>1514101.67</v>
      </c>
      <c r="DI24" s="15" t="n">
        <v>433127.83</v>
      </c>
      <c r="DJ24" s="15" t="n">
        <v>685842.21</v>
      </c>
      <c r="DK24" s="15" t="n">
        <v>4257377.6</v>
      </c>
      <c r="DL24" s="15" t="n">
        <v>4312450.61</v>
      </c>
      <c r="DM24" s="15" t="n">
        <v>4116855.35</v>
      </c>
      <c r="DN24" s="15" t="n">
        <v>1242912.67</v>
      </c>
      <c r="DO24" s="15" t="n">
        <v>594965.83</v>
      </c>
      <c r="DP24" s="15" t="n">
        <v>-267852.01</v>
      </c>
    </row>
    <row r="25">
      <c r="A25" s="4" t="inlineStr">
        <is>
          <t>气动元件</t>
        </is>
      </c>
      <c r="B25" s="15" t="n">
        <v>5924461.78</v>
      </c>
      <c r="C25" s="15" t="n">
        <v>2914894.44</v>
      </c>
      <c r="D25" s="15" t="n">
        <v>2314316.78</v>
      </c>
      <c r="E25" s="15" t="n">
        <v>697330.17</v>
      </c>
      <c r="F25" s="15" t="n">
        <v>1498614.72</v>
      </c>
      <c r="G25" s="15" t="n">
        <v>2752495.49</v>
      </c>
      <c r="H25" s="15" t="n">
        <v>2463608.94</v>
      </c>
      <c r="I25" s="15" t="n">
        <v>894111.9399999999</v>
      </c>
      <c r="J25" s="15" t="n">
        <v>2533732.39</v>
      </c>
      <c r="K25" s="15" t="n">
        <v>556521.14</v>
      </c>
      <c r="L25" s="15" t="n">
        <v>1015384.56</v>
      </c>
      <c r="M25" s="15" t="n">
        <v>3868074.42</v>
      </c>
      <c r="N25" s="15" t="n">
        <v>798826.4</v>
      </c>
      <c r="O25" s="15" t="n">
        <v>2577035.61</v>
      </c>
      <c r="P25" s="15" t="n">
        <v>576514.41</v>
      </c>
      <c r="Q25" s="15" t="n">
        <v>667166.78</v>
      </c>
      <c r="R25" s="15" t="n">
        <v>531472.62</v>
      </c>
      <c r="S25" s="15" t="n">
        <v>4426233.82</v>
      </c>
      <c r="T25" s="15" t="n">
        <v>2638059.3</v>
      </c>
      <c r="U25" s="15" t="n">
        <v>2206611.05</v>
      </c>
      <c r="V25" s="15" t="n">
        <v>1775984.19</v>
      </c>
      <c r="W25" s="15" t="n">
        <v>285675.61</v>
      </c>
      <c r="X25" s="15" t="n">
        <v>1536872.74</v>
      </c>
      <c r="Y25" s="15" t="n">
        <v>2784575.76</v>
      </c>
      <c r="Z25" s="15" t="n">
        <v>1108893.89</v>
      </c>
      <c r="AA25" s="15" t="n">
        <v>2227407.49</v>
      </c>
      <c r="AB25" s="15" t="n">
        <v>1257241.75</v>
      </c>
      <c r="AC25" s="15" t="n">
        <v>215666.61</v>
      </c>
      <c r="AD25" s="15" t="n">
        <v>426087.48</v>
      </c>
      <c r="AE25" s="15" t="n">
        <v>5621996.89</v>
      </c>
      <c r="AF25" s="15" t="n">
        <v>2405604.35</v>
      </c>
      <c r="AG25" s="15" t="n">
        <v>343211.83</v>
      </c>
      <c r="AH25" s="15" t="n">
        <v>1867917.94</v>
      </c>
      <c r="AI25" s="15" t="n">
        <v>361820.09</v>
      </c>
      <c r="AJ25" s="15" t="n">
        <v>1090064.34</v>
      </c>
      <c r="AK25" s="15" t="n">
        <v>1417593.91</v>
      </c>
      <c r="AL25" s="15" t="n">
        <v>3727169.92</v>
      </c>
      <c r="AM25" s="15" t="n">
        <v>879115.92</v>
      </c>
      <c r="AN25" s="15" t="n">
        <v>1691907.28</v>
      </c>
      <c r="AO25" s="15" t="n">
        <v>104566.92</v>
      </c>
      <c r="AP25" s="15" t="n">
        <v>1280830.78</v>
      </c>
      <c r="AQ25" s="15" t="n">
        <v>1297858.56</v>
      </c>
      <c r="AR25" s="15" t="n">
        <v>4842050.64</v>
      </c>
      <c r="AS25" s="15" t="n">
        <v>745347.55</v>
      </c>
      <c r="AT25" s="15" t="n">
        <v>2680701.16</v>
      </c>
      <c r="AU25" s="15" t="n">
        <v>508312.34</v>
      </c>
      <c r="AV25" s="15" t="n">
        <v>1245582.59</v>
      </c>
      <c r="AW25" s="15" t="n">
        <v>1097230.07</v>
      </c>
      <c r="AX25" s="15" t="n">
        <v>4839016.06</v>
      </c>
      <c r="AY25" s="15" t="n">
        <v>235253.61</v>
      </c>
      <c r="AZ25" s="15" t="n">
        <v>2157408.49</v>
      </c>
      <c r="BA25" s="15" t="n">
        <v>510175.41</v>
      </c>
      <c r="BB25" s="15" t="n">
        <v>2107687.55</v>
      </c>
      <c r="BC25" s="15" t="n">
        <v>1916998.44</v>
      </c>
      <c r="BD25" s="15" t="n">
        <v>3046804.5</v>
      </c>
      <c r="BE25" s="15" t="n">
        <v>676911.92</v>
      </c>
      <c r="BF25" s="15" t="n">
        <v>803090.66</v>
      </c>
      <c r="BG25" s="15" t="n">
        <v>353735.99</v>
      </c>
      <c r="BH25" s="15" t="n">
        <v>802920.64</v>
      </c>
      <c r="BI25" s="15" t="n">
        <v>3920898.65</v>
      </c>
      <c r="BJ25" s="15" t="n">
        <v>4498611.24</v>
      </c>
      <c r="BK25" s="15" t="n">
        <v>1538338.67</v>
      </c>
      <c r="BL25" s="15" t="n">
        <v>1822268.34</v>
      </c>
      <c r="BM25" s="15" t="n">
        <v>692043.63</v>
      </c>
      <c r="BN25" s="15" t="n">
        <v>892986.1800000001</v>
      </c>
      <c r="BO25" s="15" t="n">
        <v>5610931.15</v>
      </c>
      <c r="BP25" s="15" t="n">
        <v>4995346.75</v>
      </c>
      <c r="BQ25" s="15" t="n">
        <v>2984155.23</v>
      </c>
      <c r="BR25" s="15" t="n">
        <v>2262027.27</v>
      </c>
      <c r="BS25" s="15" t="n">
        <v>311112.71</v>
      </c>
      <c r="BT25" s="15" t="n">
        <v>1451947.06</v>
      </c>
      <c r="BU25" s="15" t="n">
        <v>261397.73</v>
      </c>
      <c r="BV25" s="15" t="n">
        <v>7138997.61</v>
      </c>
      <c r="BW25" s="15" t="n">
        <v>2022910.47</v>
      </c>
      <c r="BX25" s="15" t="n">
        <v>492812.28</v>
      </c>
      <c r="BY25" s="15" t="n">
        <v>238034.48</v>
      </c>
      <c r="BZ25" s="15" t="n">
        <v>798901.11</v>
      </c>
      <c r="CA25" s="15" t="n">
        <v>2425735.91</v>
      </c>
      <c r="CB25" s="15" t="n">
        <v>4615611.7</v>
      </c>
      <c r="CC25" s="15" t="n">
        <v>3123343.53</v>
      </c>
      <c r="CD25" s="15" t="n">
        <v>689283.64</v>
      </c>
      <c r="CE25" s="15" t="n">
        <v>698024.39</v>
      </c>
      <c r="CF25" s="15" t="n">
        <v>1789931.5</v>
      </c>
      <c r="CG25" s="15" t="n">
        <v>4118442.84</v>
      </c>
      <c r="CH25" s="15" t="n">
        <v>4303246.32</v>
      </c>
      <c r="CI25" s="15" t="n">
        <v>1453998.74</v>
      </c>
      <c r="CJ25" s="15" t="n">
        <v>1568580.27</v>
      </c>
      <c r="CK25" s="15" t="n">
        <v>386585.86</v>
      </c>
      <c r="CL25" s="15" t="n">
        <v>1940930.83</v>
      </c>
      <c r="CM25" s="15" t="n">
        <v>4491210.24</v>
      </c>
      <c r="CN25" s="15" t="n">
        <v>6804850.71</v>
      </c>
      <c r="CO25" s="15" t="n">
        <v>162323.86</v>
      </c>
      <c r="CP25" s="15" t="n">
        <v>1001128.4</v>
      </c>
      <c r="CQ25" s="15" t="n">
        <v>440771.82</v>
      </c>
      <c r="CR25" s="15" t="n">
        <v>552204.59</v>
      </c>
      <c r="CS25" s="15" t="n">
        <v>3843284.52</v>
      </c>
      <c r="CT25" s="15" t="n">
        <v>1363980.08</v>
      </c>
      <c r="CU25" s="15" t="n">
        <v>2192353.45</v>
      </c>
      <c r="CV25" s="15" t="n">
        <v>577555.49</v>
      </c>
      <c r="CW25" s="15" t="n">
        <v>294537.23</v>
      </c>
      <c r="CX25" s="15" t="n">
        <v>1614492.04</v>
      </c>
      <c r="CY25" s="15" t="n">
        <v>980495.97</v>
      </c>
      <c r="CZ25" s="15" t="n">
        <v>6082876.18</v>
      </c>
      <c r="DA25" s="15" t="n">
        <v>3521250.77</v>
      </c>
      <c r="DB25" s="15" t="n">
        <v>1002361.43</v>
      </c>
      <c r="DC25" s="15" t="n">
        <v>554790.3100000001</v>
      </c>
      <c r="DD25" s="15" t="n">
        <v>105041</v>
      </c>
      <c r="DE25" s="15" t="n">
        <v>1560879.91</v>
      </c>
      <c r="DF25" s="15" t="n">
        <v>7099272.3</v>
      </c>
      <c r="DG25" s="15" t="n">
        <v>3255674.69</v>
      </c>
      <c r="DH25" s="15" t="n">
        <v>2649448.44</v>
      </c>
      <c r="DI25" s="15" t="n">
        <v>692531.76</v>
      </c>
      <c r="DJ25" s="15" t="n">
        <v>1791096</v>
      </c>
      <c r="DK25" s="15" t="n">
        <v>3681742.31</v>
      </c>
      <c r="DL25" s="15" t="n">
        <v>1367504.71</v>
      </c>
      <c r="DM25" s="15" t="n">
        <v>4327759.78</v>
      </c>
      <c r="DN25" s="15" t="n">
        <v>2191137.09</v>
      </c>
      <c r="DO25" s="15" t="n">
        <v>213804.22</v>
      </c>
      <c r="DP25" s="15" t="n">
        <v>150931.12</v>
      </c>
    </row>
    <row r="26">
      <c r="A26" s="4" t="inlineStr">
        <is>
          <t>模具</t>
        </is>
      </c>
      <c r="B26" s="15" t="n">
        <v>5890036.6</v>
      </c>
      <c r="C26" s="15" t="n">
        <v>3088522.82</v>
      </c>
      <c r="D26" s="15" t="n">
        <v>782346.48</v>
      </c>
      <c r="E26" s="15" t="n">
        <v>199783.09</v>
      </c>
      <c r="F26" s="15" t="n">
        <v>1938394.43</v>
      </c>
      <c r="G26" s="15" t="n">
        <v>2650890.89</v>
      </c>
      <c r="H26" s="15" t="n">
        <v>3073518.24</v>
      </c>
      <c r="I26" s="15" t="n">
        <v>292740.26</v>
      </c>
      <c r="J26" s="15" t="n">
        <v>327386.41</v>
      </c>
      <c r="K26" s="15" t="n">
        <v>717964.3100000001</v>
      </c>
      <c r="L26" s="15" t="n">
        <v>1228713.1</v>
      </c>
      <c r="M26" s="15" t="n">
        <v>4492639.7</v>
      </c>
      <c r="N26" s="15" t="n">
        <v>788965.86</v>
      </c>
      <c r="O26" s="15" t="n">
        <v>302549.86</v>
      </c>
      <c r="P26" s="15" t="n">
        <v>1153932.34</v>
      </c>
      <c r="Q26" s="15" t="n">
        <v>392203.41</v>
      </c>
      <c r="R26" s="15" t="n">
        <v>130456.24</v>
      </c>
      <c r="S26" s="15" t="n">
        <v>4904882.35</v>
      </c>
      <c r="T26" s="15" t="n">
        <v>2987933.3</v>
      </c>
      <c r="U26" s="15" t="n">
        <v>3348209.44</v>
      </c>
      <c r="V26" s="15" t="n">
        <v>1574261.72</v>
      </c>
      <c r="W26" s="15" t="n">
        <v>398506.5</v>
      </c>
      <c r="X26" s="15" t="n">
        <v>900732.05</v>
      </c>
      <c r="Y26" s="15" t="n">
        <v>5881478.04</v>
      </c>
      <c r="Z26" s="15" t="n">
        <v>7257222.69</v>
      </c>
      <c r="AA26" s="15" t="n">
        <v>1288810.61</v>
      </c>
      <c r="AB26" s="15" t="n">
        <v>774223.0699999999</v>
      </c>
      <c r="AC26" s="15" t="n">
        <v>672188.12</v>
      </c>
      <c r="AD26" s="15" t="n">
        <v>349795.23</v>
      </c>
      <c r="AE26" s="15" t="n">
        <v>231757.28</v>
      </c>
      <c r="AF26" s="15" t="n">
        <v>1956700.1</v>
      </c>
      <c r="AG26" s="15" t="n">
        <v>4213971.76</v>
      </c>
      <c r="AH26" s="15" t="n">
        <v>2284932.42</v>
      </c>
      <c r="AI26" s="15" t="n">
        <v>511739.13</v>
      </c>
      <c r="AJ26" s="15" t="n">
        <v>1287893.86</v>
      </c>
      <c r="AK26" s="15" t="n">
        <v>610302.3199999999</v>
      </c>
      <c r="AL26" s="15" t="n">
        <v>7184511.46</v>
      </c>
      <c r="AM26" s="15" t="n">
        <v>2831181.78</v>
      </c>
      <c r="AN26" s="15" t="n">
        <v>992307.89</v>
      </c>
      <c r="AO26" s="15" t="n">
        <v>603001.52</v>
      </c>
      <c r="AP26" s="15" t="n">
        <v>285347.2</v>
      </c>
      <c r="AQ26" s="15" t="n">
        <v>1882210.6</v>
      </c>
      <c r="AR26" s="15" t="n">
        <v>495817.32</v>
      </c>
      <c r="AS26" s="15" t="n">
        <v>2565977.86</v>
      </c>
      <c r="AT26" s="15" t="n">
        <v>1634490.05</v>
      </c>
      <c r="AU26" s="15" t="n">
        <v>526121.39</v>
      </c>
      <c r="AV26" s="15" t="n">
        <v>300105.08</v>
      </c>
      <c r="AW26" s="15" t="n">
        <v>716801.3</v>
      </c>
      <c r="AX26" s="15" t="n">
        <v>1969668.61</v>
      </c>
      <c r="AY26" s="15" t="n">
        <v>211977.54</v>
      </c>
      <c r="AZ26" s="15" t="n">
        <v>1203274.83</v>
      </c>
      <c r="BA26" s="15" t="n">
        <v>559783.17</v>
      </c>
      <c r="BB26" s="15" t="n">
        <v>383030.69</v>
      </c>
      <c r="BC26" s="15" t="n">
        <v>2594468.84</v>
      </c>
      <c r="BD26" s="15" t="n">
        <v>650660.05</v>
      </c>
      <c r="BE26" s="15" t="n">
        <v>686320.22</v>
      </c>
      <c r="BF26" s="15" t="n">
        <v>2502759.19</v>
      </c>
      <c r="BG26" s="15" t="n">
        <v>690047.16</v>
      </c>
      <c r="BH26" s="15" t="n">
        <v>959596.96</v>
      </c>
      <c r="BI26" s="15" t="n">
        <v>3023748.79</v>
      </c>
      <c r="BJ26" s="15" t="n">
        <v>7275411.47</v>
      </c>
      <c r="BK26" s="15" t="n">
        <v>1182367.03</v>
      </c>
      <c r="BL26" s="15" t="n">
        <v>2910102.62</v>
      </c>
      <c r="BM26" s="15" t="n">
        <v>420010.25</v>
      </c>
      <c r="BN26" s="15" t="n">
        <v>-293985.81</v>
      </c>
      <c r="BO26" s="15" t="n">
        <v>4682266.26</v>
      </c>
      <c r="BP26" s="15" t="n">
        <v>6593434.56</v>
      </c>
      <c r="BQ26" s="15" t="n">
        <v>795348.49</v>
      </c>
      <c r="BR26" s="15" t="n">
        <v>2405401.67</v>
      </c>
      <c r="BS26" s="15" t="n">
        <v>71432.47</v>
      </c>
      <c r="BT26" s="15" t="n">
        <v>248406.28</v>
      </c>
      <c r="BU26" s="15" t="n">
        <v>3066904.4</v>
      </c>
      <c r="BV26" s="15" t="n">
        <v>2847917.12</v>
      </c>
      <c r="BW26" s="15" t="n">
        <v>227060.11</v>
      </c>
      <c r="BX26" s="15" t="n">
        <v>1892733.4</v>
      </c>
      <c r="BY26" s="15" t="n">
        <v>191738.3</v>
      </c>
      <c r="BZ26" s="15" t="n">
        <v>-46514.27</v>
      </c>
      <c r="CA26" s="15" t="n">
        <v>1013186.73</v>
      </c>
      <c r="CB26" s="15" t="n">
        <v>687991.8100000001</v>
      </c>
      <c r="CC26" s="15" t="n">
        <v>949277</v>
      </c>
      <c r="CD26" s="15" t="n">
        <v>2446655.36</v>
      </c>
      <c r="CE26" s="15" t="n">
        <v>305308.81</v>
      </c>
      <c r="CF26" s="15" t="n">
        <v>1637643.83</v>
      </c>
      <c r="CG26" s="15" t="n">
        <v>1395083.32</v>
      </c>
      <c r="CH26" s="15" t="n">
        <v>639274.34</v>
      </c>
      <c r="CI26" s="15" t="n">
        <v>3476982.84</v>
      </c>
      <c r="CJ26" s="15" t="n">
        <v>1793131.81</v>
      </c>
      <c r="CK26" s="15" t="n">
        <v>145413.37</v>
      </c>
      <c r="CL26" s="15" t="n">
        <v>128301.93</v>
      </c>
      <c r="CM26" s="15" t="n">
        <v>387549.14</v>
      </c>
      <c r="CN26" s="15" t="n">
        <v>1946386.13</v>
      </c>
      <c r="CO26" s="15" t="n">
        <v>2512254.85</v>
      </c>
      <c r="CP26" s="15" t="n">
        <v>2747963.63</v>
      </c>
      <c r="CQ26" s="15" t="n">
        <v>370671.3</v>
      </c>
      <c r="CR26" s="15" t="n">
        <v>-210840.98</v>
      </c>
      <c r="CS26" s="15" t="n">
        <v>780893.8</v>
      </c>
      <c r="CT26" s="15" t="n">
        <v>4724824.79</v>
      </c>
      <c r="CU26" s="15" t="n">
        <v>2755382.81</v>
      </c>
      <c r="CV26" s="15" t="n">
        <v>2695770.33</v>
      </c>
      <c r="CW26" s="15" t="n">
        <v>712206.52</v>
      </c>
      <c r="CX26" s="15" t="n">
        <v>-50907.83</v>
      </c>
      <c r="CY26" s="15" t="n">
        <v>4666905.58</v>
      </c>
      <c r="CZ26" s="15" t="n">
        <v>3721790.2</v>
      </c>
      <c r="DA26" s="15" t="n">
        <v>1502082.52</v>
      </c>
      <c r="DB26" s="15" t="n">
        <v>2715024.66</v>
      </c>
      <c r="DC26" s="15" t="n">
        <v>527653.6</v>
      </c>
      <c r="DD26" s="15" t="n">
        <v>-264959.86</v>
      </c>
      <c r="DE26" s="15" t="n">
        <v>4231038.73</v>
      </c>
      <c r="DF26" s="15" t="n">
        <v>5223421.8</v>
      </c>
      <c r="DG26" s="15" t="n">
        <v>2983658.21</v>
      </c>
      <c r="DH26" s="15" t="n">
        <v>1927397.12</v>
      </c>
      <c r="DI26" s="15" t="n">
        <v>567585.02</v>
      </c>
      <c r="DJ26" s="15" t="n">
        <v>-98084.69</v>
      </c>
      <c r="DK26" s="15" t="n">
        <v>2841931.69</v>
      </c>
      <c r="DL26" s="15" t="n">
        <v>6535823.05</v>
      </c>
      <c r="DM26" s="15" t="n">
        <v>3807167.94</v>
      </c>
      <c r="DN26" s="15" t="n">
        <v>2654217.16</v>
      </c>
      <c r="DO26" s="15" t="n">
        <v>618309.11</v>
      </c>
      <c r="DP26" s="15" t="n">
        <v>144117.87</v>
      </c>
    </row>
    <row r="27">
      <c r="A27" s="4" t="inlineStr">
        <is>
          <t>工装夹具</t>
        </is>
      </c>
      <c r="B27" s="15" t="n">
        <v>2311090.34</v>
      </c>
      <c r="C27" s="15" t="n">
        <v>1452281.77</v>
      </c>
      <c r="D27" s="15" t="n">
        <v>738220.2</v>
      </c>
      <c r="E27" s="15" t="n">
        <v>743523</v>
      </c>
      <c r="F27" s="15" t="n">
        <v>1699602.84</v>
      </c>
      <c r="G27" s="15" t="n">
        <v>3120640.46</v>
      </c>
      <c r="H27" s="15" t="n">
        <v>5869162.39</v>
      </c>
      <c r="I27" s="15" t="n">
        <v>591560.41</v>
      </c>
      <c r="J27" s="15" t="n">
        <v>2742041.75</v>
      </c>
      <c r="K27" s="15" t="n">
        <v>244772.88</v>
      </c>
      <c r="L27" s="15" t="n">
        <v>1532895.82</v>
      </c>
      <c r="M27" s="15" t="n">
        <v>1910136.35</v>
      </c>
      <c r="N27" s="15" t="n">
        <v>4698227.48</v>
      </c>
      <c r="O27" s="15" t="n">
        <v>590828.59</v>
      </c>
      <c r="P27" s="15" t="n">
        <v>2929815.02</v>
      </c>
      <c r="Q27" s="15" t="n">
        <v>58058.05</v>
      </c>
      <c r="R27" s="15" t="n">
        <v>1524605.14</v>
      </c>
      <c r="S27" s="15" t="n">
        <v>3368403.44</v>
      </c>
      <c r="T27" s="15" t="n">
        <v>229341.87</v>
      </c>
      <c r="U27" s="15" t="n">
        <v>2218410.2</v>
      </c>
      <c r="V27" s="15" t="n">
        <v>1613124.91</v>
      </c>
      <c r="W27" s="15" t="n">
        <v>151986</v>
      </c>
      <c r="X27" s="15" t="n">
        <v>-215394.2</v>
      </c>
      <c r="Y27" s="15" t="n">
        <v>1616551.57</v>
      </c>
      <c r="Z27" s="15" t="n">
        <v>492414.69</v>
      </c>
      <c r="AA27" s="15" t="n">
        <v>1137002.15</v>
      </c>
      <c r="AB27" s="15" t="n">
        <v>2974053.15</v>
      </c>
      <c r="AC27" s="15" t="n">
        <v>543460</v>
      </c>
      <c r="AD27" s="15" t="n">
        <v>-275340.79</v>
      </c>
      <c r="AE27" s="15" t="n">
        <v>5233072.38</v>
      </c>
      <c r="AF27" s="15" t="n">
        <v>7008226.23</v>
      </c>
      <c r="AG27" s="15" t="n">
        <v>981285.13</v>
      </c>
      <c r="AH27" s="15" t="n">
        <v>1892485.42</v>
      </c>
      <c r="AI27" s="15" t="n">
        <v>432407.67</v>
      </c>
      <c r="AJ27" s="15" t="n">
        <v>-9218.17</v>
      </c>
      <c r="AK27" s="15" t="n">
        <v>5043768.16</v>
      </c>
      <c r="AL27" s="15" t="n">
        <v>1382824.62</v>
      </c>
      <c r="AM27" s="15" t="n">
        <v>1767738.37</v>
      </c>
      <c r="AN27" s="15" t="n">
        <v>2053351.82</v>
      </c>
      <c r="AO27" s="15" t="n">
        <v>33380.26</v>
      </c>
      <c r="AP27" s="15" t="n">
        <v>1895858.6</v>
      </c>
      <c r="AQ27" s="15" t="n">
        <v>5238155.59</v>
      </c>
      <c r="AR27" s="15" t="n">
        <v>1728008.03</v>
      </c>
      <c r="AS27" s="15" t="n">
        <v>1259966.94</v>
      </c>
      <c r="AT27" s="15" t="n">
        <v>255957.13</v>
      </c>
      <c r="AU27" s="15" t="n">
        <v>186575.68</v>
      </c>
      <c r="AV27" s="15" t="n">
        <v>1442264.76</v>
      </c>
      <c r="AW27" s="15" t="n">
        <v>4554288.61</v>
      </c>
      <c r="AX27" s="15" t="n">
        <v>1523731.5</v>
      </c>
      <c r="AY27" s="15" t="n">
        <v>2078328.83</v>
      </c>
      <c r="AZ27" s="15" t="n">
        <v>505726.65</v>
      </c>
      <c r="BA27" s="15" t="n">
        <v>123453.25</v>
      </c>
      <c r="BB27" s="15" t="n">
        <v>1915810.4</v>
      </c>
      <c r="BC27" s="15" t="n">
        <v>5318248.07</v>
      </c>
      <c r="BD27" s="15" t="n">
        <v>798695.04</v>
      </c>
      <c r="BE27" s="15" t="n">
        <v>582610.9300000001</v>
      </c>
      <c r="BF27" s="15" t="n">
        <v>1326859.3</v>
      </c>
      <c r="BG27" s="15" t="n">
        <v>429539.64</v>
      </c>
      <c r="BH27" s="15" t="n">
        <v>1550143.95</v>
      </c>
      <c r="BI27" s="15" t="n">
        <v>1093870.94</v>
      </c>
      <c r="BJ27" s="15" t="n">
        <v>7166076.59</v>
      </c>
      <c r="BK27" s="15" t="n">
        <v>3375947.02</v>
      </c>
      <c r="BL27" s="15" t="n">
        <v>527371.9399999999</v>
      </c>
      <c r="BM27" s="15" t="n">
        <v>298915.72</v>
      </c>
      <c r="BN27" s="15" t="n">
        <v>1433064.79</v>
      </c>
      <c r="BO27" s="15" t="n">
        <v>716902.03</v>
      </c>
      <c r="BP27" s="15" t="n">
        <v>5717314.73</v>
      </c>
      <c r="BQ27" s="15" t="n">
        <v>1857930.83</v>
      </c>
      <c r="BR27" s="15" t="n">
        <v>1531443.91</v>
      </c>
      <c r="BS27" s="15" t="n">
        <v>98010.73</v>
      </c>
      <c r="BT27" s="15" t="n">
        <v>804166.3</v>
      </c>
      <c r="BU27" s="15" t="n">
        <v>5547282.52</v>
      </c>
      <c r="BV27" s="15" t="n">
        <v>5990791.36</v>
      </c>
      <c r="BW27" s="15" t="n">
        <v>3362089.11</v>
      </c>
      <c r="BX27" s="15" t="n">
        <v>1251960.49</v>
      </c>
      <c r="BY27" s="15" t="n">
        <v>114739.05</v>
      </c>
      <c r="BZ27" s="15" t="n">
        <v>1224397.01</v>
      </c>
      <c r="CA27" s="15" t="n">
        <v>1175568.13</v>
      </c>
      <c r="CB27" s="15" t="n">
        <v>854502.54</v>
      </c>
      <c r="CC27" s="15" t="n">
        <v>922616.99</v>
      </c>
      <c r="CD27" s="15" t="n">
        <v>1209021.55</v>
      </c>
      <c r="CE27" s="15" t="n">
        <v>203593.33</v>
      </c>
      <c r="CF27" s="15" t="n">
        <v>131676.85</v>
      </c>
      <c r="CG27" s="15" t="n">
        <v>2721450.06</v>
      </c>
      <c r="CH27" s="15" t="n">
        <v>5880895.3</v>
      </c>
      <c r="CI27" s="15" t="n">
        <v>842487.51</v>
      </c>
      <c r="CJ27" s="15" t="n">
        <v>151163.75</v>
      </c>
      <c r="CK27" s="15" t="n">
        <v>436428.64</v>
      </c>
      <c r="CL27" s="15" t="n">
        <v>-86643.13</v>
      </c>
      <c r="CM27" s="15" t="n">
        <v>4152324.47</v>
      </c>
      <c r="CN27" s="15" t="n">
        <v>6993358.8</v>
      </c>
      <c r="CO27" s="15" t="n">
        <v>1580618.18</v>
      </c>
      <c r="CP27" s="15" t="n">
        <v>1932927.94</v>
      </c>
      <c r="CQ27" s="15" t="n">
        <v>32019.62</v>
      </c>
      <c r="CR27" s="15" t="n">
        <v>2110830.77</v>
      </c>
      <c r="CS27" s="15" t="n">
        <v>190122.72</v>
      </c>
      <c r="CT27" s="15" t="n">
        <v>5970765.44</v>
      </c>
      <c r="CU27" s="15" t="n">
        <v>432232.23</v>
      </c>
      <c r="CV27" s="15" t="n">
        <v>1580060.46</v>
      </c>
      <c r="CW27" s="15" t="n">
        <v>587790.15</v>
      </c>
      <c r="CX27" s="15" t="n">
        <v>-145346.01</v>
      </c>
      <c r="CY27" s="15" t="n">
        <v>2135179.2</v>
      </c>
      <c r="CZ27" s="15" t="n">
        <v>3438086.55</v>
      </c>
      <c r="DA27" s="15" t="n">
        <v>3597562.05</v>
      </c>
      <c r="DB27" s="15" t="n">
        <v>37807.51</v>
      </c>
      <c r="DC27" s="15" t="n">
        <v>205701.49</v>
      </c>
      <c r="DD27" s="15" t="n">
        <v>515770.55</v>
      </c>
      <c r="DE27" s="15" t="n">
        <v>3340761.32</v>
      </c>
      <c r="DF27" s="15" t="n">
        <v>3184524.22</v>
      </c>
      <c r="DG27" s="15" t="n">
        <v>2248202.39</v>
      </c>
      <c r="DH27" s="15" t="n">
        <v>214985.7</v>
      </c>
      <c r="DI27" s="15" t="n">
        <v>589526.8</v>
      </c>
      <c r="DJ27" s="15" t="n">
        <v>985729.45</v>
      </c>
      <c r="DK27" s="15" t="n">
        <v>2684643.9</v>
      </c>
      <c r="DL27" s="15" t="n">
        <v>4633291.54</v>
      </c>
      <c r="DM27" s="15" t="n">
        <v>308343.7</v>
      </c>
      <c r="DN27" s="15" t="n">
        <v>50603.91</v>
      </c>
      <c r="DO27" s="15" t="n">
        <v>496462.41</v>
      </c>
      <c r="DP27" s="15" t="n">
        <v>279415.61</v>
      </c>
    </row>
    <row r="28">
      <c r="A28" s="4" t="inlineStr">
        <is>
          <t>其他产品A</t>
        </is>
      </c>
      <c r="B28" s="15" t="n">
        <v>324169.02</v>
      </c>
      <c r="C28" s="15" t="n">
        <v>2072321.8</v>
      </c>
      <c r="D28" s="15" t="n">
        <v>839627</v>
      </c>
      <c r="E28" s="15" t="n">
        <v>231174.81</v>
      </c>
      <c r="F28" s="15" t="n">
        <v>-197139.34</v>
      </c>
      <c r="G28" s="15" t="n">
        <v>5610531.88</v>
      </c>
      <c r="H28" s="15" t="n">
        <v>1857351.07</v>
      </c>
      <c r="I28" s="15" t="n">
        <v>1535038.3</v>
      </c>
      <c r="J28" s="15" t="n">
        <v>2690520.16</v>
      </c>
      <c r="K28" s="15" t="n">
        <v>76894.89999999999</v>
      </c>
      <c r="L28" s="15" t="n">
        <v>2002063.48</v>
      </c>
      <c r="M28" s="15" t="n">
        <v>2718171.89</v>
      </c>
      <c r="N28" s="15" t="n">
        <v>3491033.81</v>
      </c>
      <c r="O28" s="15" t="n">
        <v>2713698.57</v>
      </c>
      <c r="P28" s="15" t="n">
        <v>1344791.94</v>
      </c>
      <c r="Q28" s="15" t="n">
        <v>698437.8100000001</v>
      </c>
      <c r="R28" s="15" t="n">
        <v>50740.68</v>
      </c>
      <c r="S28" s="15" t="n">
        <v>1221901.63</v>
      </c>
      <c r="T28" s="15" t="n">
        <v>339620.68</v>
      </c>
      <c r="U28" s="15" t="n">
        <v>3824171.1</v>
      </c>
      <c r="V28" s="15" t="n">
        <v>1655016.18</v>
      </c>
      <c r="W28" s="15" t="n">
        <v>188649.73</v>
      </c>
      <c r="X28" s="15" t="n">
        <v>-272250.46</v>
      </c>
      <c r="Y28" s="15" t="n">
        <v>754687.4399999999</v>
      </c>
      <c r="Z28" s="15" t="n">
        <v>5672837.66</v>
      </c>
      <c r="AA28" s="15" t="n">
        <v>368760.22</v>
      </c>
      <c r="AB28" s="15" t="n">
        <v>604034.25</v>
      </c>
      <c r="AC28" s="15" t="n">
        <v>35350.96</v>
      </c>
      <c r="AD28" s="15" t="n">
        <v>1983247.44</v>
      </c>
      <c r="AE28" s="15" t="n">
        <v>5117011.47</v>
      </c>
      <c r="AF28" s="15" t="n">
        <v>4076101.6</v>
      </c>
      <c r="AG28" s="15" t="n">
        <v>411912.35</v>
      </c>
      <c r="AH28" s="15" t="n">
        <v>1865314.39</v>
      </c>
      <c r="AI28" s="15" t="n">
        <v>44062.09</v>
      </c>
      <c r="AJ28" s="15" t="n">
        <v>-224850.97</v>
      </c>
      <c r="AK28" s="15" t="n">
        <v>1900751.3</v>
      </c>
      <c r="AL28" s="15" t="n">
        <v>3099038.66</v>
      </c>
      <c r="AM28" s="15" t="n">
        <v>373192.38</v>
      </c>
      <c r="AN28" s="15" t="n">
        <v>2032991.96</v>
      </c>
      <c r="AO28" s="15" t="n">
        <v>483957.08</v>
      </c>
      <c r="AP28" s="15" t="n">
        <v>1821399.27</v>
      </c>
      <c r="AQ28" s="15" t="n">
        <v>5152462.64</v>
      </c>
      <c r="AR28" s="15" t="n">
        <v>3638447.18</v>
      </c>
      <c r="AS28" s="15" t="n">
        <v>432391.95</v>
      </c>
      <c r="AT28" s="15" t="n">
        <v>293484.98</v>
      </c>
      <c r="AU28" s="15" t="n">
        <v>51032.53</v>
      </c>
      <c r="AV28" s="15" t="n">
        <v>701836.35</v>
      </c>
      <c r="AW28" s="15" t="n">
        <v>3299722.59</v>
      </c>
      <c r="AX28" s="15" t="n">
        <v>7052828.59</v>
      </c>
      <c r="AY28" s="15" t="n">
        <v>3872930.31</v>
      </c>
      <c r="AZ28" s="15" t="n">
        <v>1713218.78</v>
      </c>
      <c r="BA28" s="15" t="n">
        <v>685584</v>
      </c>
      <c r="BB28" s="15" t="n">
        <v>1118184.17</v>
      </c>
      <c r="BC28" s="15" t="n">
        <v>5718515.94</v>
      </c>
      <c r="BD28" s="15" t="n">
        <v>4786051.31</v>
      </c>
      <c r="BE28" s="15" t="n">
        <v>484981.04</v>
      </c>
      <c r="BF28" s="15" t="n">
        <v>2685875.69</v>
      </c>
      <c r="BG28" s="15" t="n">
        <v>592289.8100000001</v>
      </c>
      <c r="BH28" s="15" t="n">
        <v>349271.9</v>
      </c>
      <c r="BI28" s="15" t="n">
        <v>449341.63</v>
      </c>
      <c r="BJ28" s="15" t="n">
        <v>5576329.27</v>
      </c>
      <c r="BK28" s="15" t="n">
        <v>2754367.5</v>
      </c>
      <c r="BL28" s="15" t="n">
        <v>944479.58</v>
      </c>
      <c r="BM28" s="15" t="n">
        <v>233855.5</v>
      </c>
      <c r="BN28" s="15" t="n">
        <v>1446086.98</v>
      </c>
      <c r="BO28" s="15" t="n">
        <v>5647397.93</v>
      </c>
      <c r="BP28" s="15" t="n">
        <v>4136704.14</v>
      </c>
      <c r="BQ28" s="15" t="n">
        <v>2990210.7</v>
      </c>
      <c r="BR28" s="15" t="n">
        <v>387796.89</v>
      </c>
      <c r="BS28" s="15" t="n">
        <v>60894</v>
      </c>
      <c r="BT28" s="15" t="n">
        <v>16957.45</v>
      </c>
      <c r="BU28" s="15" t="n">
        <v>5981150.86</v>
      </c>
      <c r="BV28" s="15" t="n">
        <v>7123906.91</v>
      </c>
      <c r="BW28" s="15" t="n">
        <v>1299992.56</v>
      </c>
      <c r="BX28" s="15" t="n">
        <v>2729093.38</v>
      </c>
      <c r="BY28" s="15" t="n">
        <v>528545.24</v>
      </c>
      <c r="BZ28" s="15" t="n">
        <v>974611.28</v>
      </c>
      <c r="CA28" s="15" t="n">
        <v>4207791.33</v>
      </c>
      <c r="CB28" s="15" t="n">
        <v>3565707.44</v>
      </c>
      <c r="CC28" s="15" t="n">
        <v>1924969.66</v>
      </c>
      <c r="CD28" s="15" t="n">
        <v>241543.23</v>
      </c>
      <c r="CE28" s="15" t="n">
        <v>647476.11</v>
      </c>
      <c r="CF28" s="15" t="n">
        <v>29578.08</v>
      </c>
      <c r="CG28" s="15" t="n">
        <v>3439226.75</v>
      </c>
      <c r="CH28" s="15" t="n">
        <v>5572782.21</v>
      </c>
      <c r="CI28" s="15" t="n">
        <v>515270.79</v>
      </c>
      <c r="CJ28" s="15" t="n">
        <v>145861.29</v>
      </c>
      <c r="CK28" s="15" t="n">
        <v>127659.73</v>
      </c>
      <c r="CL28" s="15" t="n">
        <v>-58878.65</v>
      </c>
      <c r="CM28" s="15" t="n">
        <v>2602333.67</v>
      </c>
      <c r="CN28" s="15" t="n">
        <v>2583630.36</v>
      </c>
      <c r="CO28" s="15" t="n">
        <v>4200058.57</v>
      </c>
      <c r="CP28" s="15" t="n">
        <v>1465017.78</v>
      </c>
      <c r="CQ28" s="15" t="n">
        <v>711507.9300000001</v>
      </c>
      <c r="CR28" s="15" t="n">
        <v>1633875.08</v>
      </c>
      <c r="CS28" s="15" t="n">
        <v>355917.07</v>
      </c>
      <c r="CT28" s="15" t="n">
        <v>6649678.83</v>
      </c>
      <c r="CU28" s="15" t="n">
        <v>3024769.74</v>
      </c>
      <c r="CV28" s="15" t="n">
        <v>1678702.9</v>
      </c>
      <c r="CW28" s="15" t="n">
        <v>199913.18</v>
      </c>
      <c r="CX28" s="15" t="n">
        <v>2212198.63</v>
      </c>
      <c r="CY28" s="15" t="n">
        <v>5748642.36</v>
      </c>
      <c r="CZ28" s="15" t="n">
        <v>2394202.58</v>
      </c>
      <c r="DA28" s="15" t="n">
        <v>2316174.96</v>
      </c>
      <c r="DB28" s="15" t="n">
        <v>511623.47</v>
      </c>
      <c r="DC28" s="15" t="n">
        <v>353429.88</v>
      </c>
      <c r="DD28" s="15" t="n">
        <v>46761.46</v>
      </c>
      <c r="DE28" s="15" t="n">
        <v>5188781.92</v>
      </c>
      <c r="DF28" s="15" t="n">
        <v>5504683.22</v>
      </c>
      <c r="DG28" s="15" t="n">
        <v>351595.48</v>
      </c>
      <c r="DH28" s="15" t="n">
        <v>2754696.23</v>
      </c>
      <c r="DI28" s="15" t="n">
        <v>482541.57</v>
      </c>
      <c r="DJ28" s="15" t="n">
        <v>1343048.78</v>
      </c>
      <c r="DK28" s="15" t="n">
        <v>1193606.58</v>
      </c>
      <c r="DL28" s="15" t="n">
        <v>2118131.65</v>
      </c>
      <c r="DM28" s="15" t="n">
        <v>2577365.48</v>
      </c>
      <c r="DN28" s="15" t="n">
        <v>1438674.99</v>
      </c>
      <c r="DO28" s="15" t="n">
        <v>188254.51</v>
      </c>
      <c r="DP28" s="15" t="n">
        <v>1507321.6</v>
      </c>
    </row>
    <row r="29">
      <c r="A29" s="4" t="inlineStr">
        <is>
          <t>其他产品B</t>
        </is>
      </c>
      <c r="B29" s="15" t="n">
        <v>3816553.99</v>
      </c>
      <c r="C29" s="15" t="n">
        <v>4405053.13</v>
      </c>
      <c r="D29" s="15" t="n">
        <v>2873230.79</v>
      </c>
      <c r="E29" s="15" t="n">
        <v>470258.38</v>
      </c>
      <c r="F29" s="15" t="n">
        <v>1934839.17</v>
      </c>
      <c r="G29" s="15" t="n">
        <v>1238225.4</v>
      </c>
      <c r="H29" s="15" t="n">
        <v>4770361.3</v>
      </c>
      <c r="I29" s="15" t="n">
        <v>1586975.75</v>
      </c>
      <c r="J29" s="15" t="n">
        <v>1433615.4</v>
      </c>
      <c r="K29" s="15" t="n">
        <v>518079.3</v>
      </c>
      <c r="L29" s="15" t="n">
        <v>-259464.49</v>
      </c>
      <c r="M29" s="15" t="n">
        <v>4236163.12</v>
      </c>
      <c r="N29" s="15" t="n">
        <v>2023780.06</v>
      </c>
      <c r="O29" s="15" t="n">
        <v>4033773.98</v>
      </c>
      <c r="P29" s="15" t="n">
        <v>1848848.48</v>
      </c>
      <c r="Q29" s="15" t="n">
        <v>437864.76</v>
      </c>
      <c r="R29" s="15" t="n">
        <v>722253.9300000001</v>
      </c>
      <c r="S29" s="15" t="n">
        <v>2611285.37</v>
      </c>
      <c r="T29" s="15" t="n">
        <v>5396925.39</v>
      </c>
      <c r="U29" s="15" t="n">
        <v>3617603.45</v>
      </c>
      <c r="V29" s="15" t="n">
        <v>945754.34</v>
      </c>
      <c r="W29" s="15" t="n">
        <v>297331.31</v>
      </c>
      <c r="X29" s="15" t="n">
        <v>1060974.44</v>
      </c>
      <c r="Y29" s="15" t="n">
        <v>1687414.75</v>
      </c>
      <c r="Z29" s="15" t="n">
        <v>5128368.97</v>
      </c>
      <c r="AA29" s="15" t="n">
        <v>1185717.2</v>
      </c>
      <c r="AB29" s="15" t="n">
        <v>1684993.16</v>
      </c>
      <c r="AC29" s="15" t="n">
        <v>249534.92</v>
      </c>
      <c r="AD29" s="15" t="n">
        <v>1634929.16</v>
      </c>
      <c r="AE29" s="15" t="n">
        <v>4800858.52</v>
      </c>
      <c r="AF29" s="15" t="n">
        <v>2699004.81</v>
      </c>
      <c r="AG29" s="15" t="n">
        <v>3221597.07</v>
      </c>
      <c r="AH29" s="15" t="n">
        <v>1820347.21</v>
      </c>
      <c r="AI29" s="15" t="n">
        <v>421509.15</v>
      </c>
      <c r="AJ29" s="15" t="n">
        <v>1109785.41</v>
      </c>
      <c r="AK29" s="15" t="n">
        <v>4009699.05</v>
      </c>
      <c r="AL29" s="15" t="n">
        <v>3128669.64</v>
      </c>
      <c r="AM29" s="15" t="n">
        <v>3569640.08</v>
      </c>
      <c r="AN29" s="15" t="n">
        <v>491897.06</v>
      </c>
      <c r="AO29" s="15" t="n">
        <v>197962.36</v>
      </c>
      <c r="AP29" s="15" t="n">
        <v>2181939.36</v>
      </c>
      <c r="AQ29" s="15" t="n">
        <v>5215142.62</v>
      </c>
      <c r="AR29" s="15" t="n">
        <v>6253703.89</v>
      </c>
      <c r="AS29" s="15" t="n">
        <v>3868874.3</v>
      </c>
      <c r="AT29" s="15" t="n">
        <v>2688013.79</v>
      </c>
      <c r="AU29" s="15" t="n">
        <v>705221.33</v>
      </c>
      <c r="AV29" s="15" t="n">
        <v>1308460.23</v>
      </c>
      <c r="AW29" s="15" t="n">
        <v>452342.94</v>
      </c>
      <c r="AX29" s="15" t="n">
        <v>917049.63</v>
      </c>
      <c r="AY29" s="15" t="n">
        <v>1960399.08</v>
      </c>
      <c r="AZ29" s="15" t="n">
        <v>760154.36</v>
      </c>
      <c r="BA29" s="15" t="n">
        <v>587965.16</v>
      </c>
      <c r="BB29" s="15" t="n">
        <v>-2438.19</v>
      </c>
      <c r="BC29" s="15" t="n">
        <v>4184000.3</v>
      </c>
      <c r="BD29" s="15" t="n">
        <v>1128965.22</v>
      </c>
      <c r="BE29" s="15" t="n">
        <v>1741099.86</v>
      </c>
      <c r="BF29" s="15" t="n">
        <v>2078448.9</v>
      </c>
      <c r="BG29" s="15" t="n">
        <v>202738.09</v>
      </c>
      <c r="BH29" s="15" t="n">
        <v>1457039.8</v>
      </c>
      <c r="BI29" s="15" t="n">
        <v>2139007.18</v>
      </c>
      <c r="BJ29" s="15" t="n">
        <v>7296347.93</v>
      </c>
      <c r="BK29" s="15" t="n">
        <v>1922806.33</v>
      </c>
      <c r="BL29" s="15" t="n">
        <v>1221420.07</v>
      </c>
      <c r="BM29" s="15" t="n">
        <v>602787.58</v>
      </c>
      <c r="BN29" s="15" t="n">
        <v>1046856.61</v>
      </c>
      <c r="BO29" s="15" t="n">
        <v>2587189.8</v>
      </c>
      <c r="BP29" s="15" t="n">
        <v>6668672.46</v>
      </c>
      <c r="BQ29" s="15" t="n">
        <v>949765.98</v>
      </c>
      <c r="BR29" s="15" t="n">
        <v>1394329.15</v>
      </c>
      <c r="BS29" s="15" t="n">
        <v>223234.59</v>
      </c>
      <c r="BT29" s="15" t="n">
        <v>379178.49</v>
      </c>
      <c r="BU29" s="15" t="n">
        <v>2254850.3</v>
      </c>
      <c r="BV29" s="15" t="n">
        <v>5417022.94</v>
      </c>
      <c r="BW29" s="15" t="n">
        <v>3354266.68</v>
      </c>
      <c r="BX29" s="15" t="n">
        <v>2655565.46</v>
      </c>
      <c r="BY29" s="15" t="n">
        <v>708322.22</v>
      </c>
      <c r="BZ29" s="15" t="n">
        <v>218633.72</v>
      </c>
      <c r="CA29" s="15" t="n">
        <v>5243025.3</v>
      </c>
      <c r="CB29" s="15" t="n">
        <v>7015012.66</v>
      </c>
      <c r="CC29" s="15" t="n">
        <v>460672.49</v>
      </c>
      <c r="CD29" s="15" t="n">
        <v>342601.12</v>
      </c>
      <c r="CE29" s="15" t="n">
        <v>264557.46</v>
      </c>
      <c r="CF29" s="15" t="n">
        <v>1967991.85</v>
      </c>
      <c r="CG29" s="15" t="n">
        <v>1678062.81</v>
      </c>
      <c r="CH29" s="15" t="n">
        <v>7438456.18</v>
      </c>
      <c r="CI29" s="15" t="n">
        <v>1556103.74</v>
      </c>
      <c r="CJ29" s="15" t="n">
        <v>1935388.69</v>
      </c>
      <c r="CK29" s="15" t="n">
        <v>137524.92</v>
      </c>
      <c r="CL29" s="15" t="n">
        <v>1773025.56</v>
      </c>
      <c r="CM29" s="15" t="n">
        <v>3834845.56</v>
      </c>
      <c r="CN29" s="15" t="n">
        <v>4056367.74</v>
      </c>
      <c r="CO29" s="15" t="n">
        <v>1409836.35</v>
      </c>
      <c r="CP29" s="15" t="n">
        <v>2573191.57</v>
      </c>
      <c r="CQ29" s="15" t="n">
        <v>579682.4300000001</v>
      </c>
      <c r="CR29" s="15" t="n">
        <v>665341.8</v>
      </c>
      <c r="CS29" s="15" t="n">
        <v>3093322.54</v>
      </c>
      <c r="CT29" s="15" t="n">
        <v>6759350.73</v>
      </c>
      <c r="CU29" s="15" t="n">
        <v>418961.08</v>
      </c>
      <c r="CV29" s="15" t="n">
        <v>1883400.11</v>
      </c>
      <c r="CW29" s="15" t="n">
        <v>105417.05</v>
      </c>
      <c r="CX29" s="15" t="n">
        <v>2020117.53</v>
      </c>
      <c r="CY29" s="15" t="n">
        <v>1725891.14</v>
      </c>
      <c r="CZ29" s="15" t="n">
        <v>3759726.14</v>
      </c>
      <c r="DA29" s="15" t="n">
        <v>2782087.92</v>
      </c>
      <c r="DB29" s="15" t="n">
        <v>2709164.11</v>
      </c>
      <c r="DC29" s="15" t="n">
        <v>500561.24</v>
      </c>
      <c r="DD29" s="15" t="n">
        <v>435097.12</v>
      </c>
      <c r="DE29" s="15" t="n">
        <v>3569418.78</v>
      </c>
      <c r="DF29" s="15" t="n">
        <v>6606550.29</v>
      </c>
      <c r="DG29" s="15" t="n">
        <v>4458974.62</v>
      </c>
      <c r="DH29" s="15" t="n">
        <v>545382.4399999999</v>
      </c>
      <c r="DI29" s="15" t="n">
        <v>339081.43</v>
      </c>
      <c r="DJ29" s="15" t="n">
        <v>220958.49</v>
      </c>
      <c r="DK29" s="15" t="n">
        <v>1380717.11</v>
      </c>
      <c r="DL29" s="15" t="n">
        <v>6819500.08</v>
      </c>
      <c r="DM29" s="15" t="n">
        <v>2816796.09</v>
      </c>
      <c r="DN29" s="15" t="n">
        <v>2649992.73</v>
      </c>
      <c r="DO29" s="15" t="n">
        <v>290373.03</v>
      </c>
      <c r="DP29" s="15" t="n">
        <v>1345125.53</v>
      </c>
    </row>
    <row r="30">
      <c r="A30" s="4" t="inlineStr">
        <is>
          <t>其他产品C</t>
        </is>
      </c>
      <c r="B30" s="15" t="n">
        <v>6118068.74</v>
      </c>
      <c r="C30" s="15" t="n">
        <v>1678189.2</v>
      </c>
      <c r="D30" s="15" t="n">
        <v>2566579.4</v>
      </c>
      <c r="E30" s="15" t="n">
        <v>59949.14</v>
      </c>
      <c r="F30" s="15" t="n">
        <v>506015.22</v>
      </c>
      <c r="G30" s="15" t="n">
        <v>821068.7</v>
      </c>
      <c r="H30" s="15" t="n">
        <v>2859091.85</v>
      </c>
      <c r="I30" s="15" t="n">
        <v>4252465.67</v>
      </c>
      <c r="J30" s="15" t="n">
        <v>253624.38</v>
      </c>
      <c r="K30" s="15" t="n">
        <v>403838.7</v>
      </c>
      <c r="L30" s="15" t="n">
        <v>1884411.95</v>
      </c>
      <c r="M30" s="15" t="n">
        <v>2943029.21</v>
      </c>
      <c r="N30" s="15" t="n">
        <v>4330944.58</v>
      </c>
      <c r="O30" s="15" t="n">
        <v>4135739.91</v>
      </c>
      <c r="P30" s="15" t="n">
        <v>2696123.92</v>
      </c>
      <c r="Q30" s="15" t="n">
        <v>50806.75</v>
      </c>
      <c r="R30" s="15" t="n">
        <v>2142544.62</v>
      </c>
      <c r="S30" s="15" t="n">
        <v>4899070.12</v>
      </c>
      <c r="T30" s="15" t="n">
        <v>4249132.64</v>
      </c>
      <c r="U30" s="15" t="n">
        <v>1236932.48</v>
      </c>
      <c r="V30" s="15" t="n">
        <v>2228246.2</v>
      </c>
      <c r="W30" s="15" t="n">
        <v>748266.99</v>
      </c>
      <c r="X30" s="15" t="n">
        <v>-234436.77</v>
      </c>
      <c r="Y30" s="15" t="n">
        <v>3078652.17</v>
      </c>
      <c r="Z30" s="15" t="n">
        <v>1181308.17</v>
      </c>
      <c r="AA30" s="15" t="n">
        <v>1873853.64</v>
      </c>
      <c r="AB30" s="15" t="n">
        <v>920584.4</v>
      </c>
      <c r="AC30" s="15" t="n">
        <v>713354.3100000001</v>
      </c>
      <c r="AD30" s="15" t="n">
        <v>1594105.42</v>
      </c>
      <c r="AE30" s="15" t="n">
        <v>3266227.28</v>
      </c>
      <c r="AF30" s="15" t="n">
        <v>5152075.47</v>
      </c>
      <c r="AG30" s="15" t="n">
        <v>4405092.33</v>
      </c>
      <c r="AH30" s="15" t="n">
        <v>2821116.19</v>
      </c>
      <c r="AI30" s="15" t="n">
        <v>241775.81</v>
      </c>
      <c r="AJ30" s="15" t="n">
        <v>1599181.72</v>
      </c>
      <c r="AK30" s="15" t="n">
        <v>5928181.86</v>
      </c>
      <c r="AL30" s="15" t="n">
        <v>4822316.16</v>
      </c>
      <c r="AM30" s="15" t="n">
        <v>4151240.32</v>
      </c>
      <c r="AN30" s="15" t="n">
        <v>1906755.92</v>
      </c>
      <c r="AO30" s="15" t="n">
        <v>24736.02</v>
      </c>
      <c r="AP30" s="15" t="n">
        <v>772831.8199999999</v>
      </c>
      <c r="AQ30" s="15" t="n">
        <v>4491462.46</v>
      </c>
      <c r="AR30" s="15" t="n">
        <v>3011035.06</v>
      </c>
      <c r="AS30" s="15" t="n">
        <v>3288986.67</v>
      </c>
      <c r="AT30" s="15" t="n">
        <v>1151531.05</v>
      </c>
      <c r="AU30" s="15" t="n">
        <v>650715.37</v>
      </c>
      <c r="AV30" s="15" t="n">
        <v>1297971.68</v>
      </c>
      <c r="AW30" s="15" t="n">
        <v>1544991.95</v>
      </c>
      <c r="AX30" s="15" t="n">
        <v>3427173.22</v>
      </c>
      <c r="AY30" s="15" t="n">
        <v>1454945.82</v>
      </c>
      <c r="AZ30" s="15" t="n">
        <v>334246.35</v>
      </c>
      <c r="BA30" s="15" t="n">
        <v>611857.28</v>
      </c>
      <c r="BB30" s="15" t="n">
        <v>1737398.08</v>
      </c>
      <c r="BC30" s="15" t="n">
        <v>4799311.63</v>
      </c>
      <c r="BD30" s="15" t="n">
        <v>3963714.51</v>
      </c>
      <c r="BE30" s="15" t="n">
        <v>2255682.67</v>
      </c>
      <c r="BF30" s="15" t="n">
        <v>2868583.85</v>
      </c>
      <c r="BG30" s="15" t="n">
        <v>477187.09</v>
      </c>
      <c r="BH30" s="15" t="n">
        <v>683681.59</v>
      </c>
      <c r="BI30" s="15" t="n">
        <v>172650.79</v>
      </c>
      <c r="BJ30" s="15" t="n">
        <v>719820.39</v>
      </c>
      <c r="BK30" s="15" t="n">
        <v>3497797.8</v>
      </c>
      <c r="BL30" s="15" t="n">
        <v>1330178.92</v>
      </c>
      <c r="BM30" s="15" t="n">
        <v>272247.26</v>
      </c>
      <c r="BN30" s="15" t="n">
        <v>-277078.77</v>
      </c>
      <c r="BO30" s="15" t="n">
        <v>751988.86</v>
      </c>
      <c r="BP30" s="15" t="n">
        <v>1360471.05</v>
      </c>
      <c r="BQ30" s="15" t="n">
        <v>99814.28</v>
      </c>
      <c r="BR30" s="15" t="n">
        <v>2189627.18</v>
      </c>
      <c r="BS30" s="15" t="n">
        <v>155392.95</v>
      </c>
      <c r="BT30" s="15" t="n">
        <v>759052.95</v>
      </c>
      <c r="BU30" s="15" t="n">
        <v>129688.62</v>
      </c>
      <c r="BV30" s="15" t="n">
        <v>2019247.63</v>
      </c>
      <c r="BW30" s="15" t="n">
        <v>322421.19</v>
      </c>
      <c r="BX30" s="15" t="n">
        <v>2733782.5</v>
      </c>
      <c r="BY30" s="15" t="n">
        <v>368239.37</v>
      </c>
      <c r="BZ30" s="15" t="n">
        <v>1122700.7</v>
      </c>
      <c r="CA30" s="15" t="n">
        <v>4890768.97</v>
      </c>
      <c r="CB30" s="15" t="n">
        <v>4127331.47</v>
      </c>
      <c r="CC30" s="15" t="n">
        <v>3570383.27</v>
      </c>
      <c r="CD30" s="15" t="n">
        <v>2887853.29</v>
      </c>
      <c r="CE30" s="15" t="n">
        <v>390906.52</v>
      </c>
      <c r="CF30" s="15" t="n">
        <v>278430.95</v>
      </c>
      <c r="CG30" s="15" t="n">
        <v>905945.84</v>
      </c>
      <c r="CH30" s="15" t="n">
        <v>6952448.71</v>
      </c>
      <c r="CI30" s="15" t="n">
        <v>354943.62</v>
      </c>
      <c r="CJ30" s="15" t="n">
        <v>1191598.79</v>
      </c>
      <c r="CK30" s="15" t="n">
        <v>73762.03999999999</v>
      </c>
      <c r="CL30" s="15" t="n">
        <v>1606208.75</v>
      </c>
      <c r="CM30" s="15" t="n">
        <v>3748543.69</v>
      </c>
      <c r="CN30" s="15" t="n">
        <v>2320872.4</v>
      </c>
      <c r="CO30" s="15" t="n">
        <v>1730192.16</v>
      </c>
      <c r="CP30" s="15" t="n">
        <v>2555886.88</v>
      </c>
      <c r="CQ30" s="15" t="n">
        <v>469580.75</v>
      </c>
      <c r="CR30" s="15" t="n">
        <v>1645292.82</v>
      </c>
      <c r="CS30" s="15" t="n">
        <v>3753172.55</v>
      </c>
      <c r="CT30" s="15" t="n">
        <v>6135942.73</v>
      </c>
      <c r="CU30" s="15" t="n">
        <v>3408313.55</v>
      </c>
      <c r="CV30" s="15" t="n">
        <v>1374396.1</v>
      </c>
      <c r="CW30" s="15" t="n">
        <v>658195.83</v>
      </c>
      <c r="CX30" s="15" t="n">
        <v>118013.01</v>
      </c>
      <c r="CY30" s="15" t="n">
        <v>5596838.88</v>
      </c>
      <c r="CZ30" s="15" t="n">
        <v>4907885.09</v>
      </c>
      <c r="DA30" s="15" t="n">
        <v>1350896.56</v>
      </c>
      <c r="DB30" s="15" t="n">
        <v>856445.76</v>
      </c>
      <c r="DC30" s="15" t="n">
        <v>213219.54</v>
      </c>
      <c r="DD30" s="15" t="n">
        <v>356339.93</v>
      </c>
      <c r="DE30" s="15" t="n">
        <v>201382.02</v>
      </c>
      <c r="DF30" s="15" t="n">
        <v>3646289.42</v>
      </c>
      <c r="DG30" s="15" t="n">
        <v>3804051.3</v>
      </c>
      <c r="DH30" s="15" t="n">
        <v>533652.3100000001</v>
      </c>
      <c r="DI30" s="15" t="n">
        <v>533584.08</v>
      </c>
      <c r="DJ30" s="15" t="n">
        <v>1059813.4</v>
      </c>
      <c r="DK30" s="15" t="n">
        <v>2608051.53</v>
      </c>
      <c r="DL30" s="15" t="n">
        <v>5430261.26</v>
      </c>
      <c r="DM30" s="15" t="n">
        <v>1650984.88</v>
      </c>
      <c r="DN30" s="15" t="n">
        <v>1123595.77</v>
      </c>
      <c r="DO30" s="15" t="n">
        <v>396331.99</v>
      </c>
      <c r="DP30" s="15" t="n">
        <v>2062847.73</v>
      </c>
    </row>
    <row r="31">
      <c r="A31" s="4" t="inlineStr">
        <is>
          <t>数控机床</t>
        </is>
      </c>
      <c r="B31" s="15" t="n">
        <v>2517121.96</v>
      </c>
      <c r="C31" s="15" t="n">
        <v>2731476.7</v>
      </c>
      <c r="D31" s="15" t="n">
        <v>2605406.86</v>
      </c>
      <c r="E31" s="15" t="n">
        <v>215846.51</v>
      </c>
      <c r="F31" s="15" t="n">
        <v>2186979.23</v>
      </c>
      <c r="G31" s="15" t="n">
        <v>3999024.84</v>
      </c>
      <c r="H31" s="15" t="n">
        <v>5276839.24</v>
      </c>
      <c r="I31" s="15" t="n">
        <v>1030829.75</v>
      </c>
      <c r="J31" s="15" t="n">
        <v>2267959.43</v>
      </c>
      <c r="K31" s="15" t="n">
        <v>374986.59</v>
      </c>
      <c r="L31" s="15" t="n">
        <v>1650462.43</v>
      </c>
      <c r="M31" s="15" t="n">
        <v>3082596.95</v>
      </c>
      <c r="N31" s="15" t="n">
        <v>4508795.47</v>
      </c>
      <c r="O31" s="15" t="n">
        <v>216632.11</v>
      </c>
      <c r="P31" s="15" t="n">
        <v>963743.0600000001</v>
      </c>
      <c r="Q31" s="15" t="n">
        <v>366227.43</v>
      </c>
      <c r="R31" s="15" t="n">
        <v>896533.65</v>
      </c>
      <c r="S31" s="15" t="n">
        <v>4946272.39</v>
      </c>
      <c r="T31" s="15" t="n">
        <v>4863646.05</v>
      </c>
      <c r="U31" s="15" t="n">
        <v>3832403.8</v>
      </c>
      <c r="V31" s="15" t="n">
        <v>650657.34</v>
      </c>
      <c r="W31" s="15" t="n">
        <v>341029.9</v>
      </c>
      <c r="X31" s="15" t="n">
        <v>-259533.85</v>
      </c>
      <c r="Y31" s="15" t="n">
        <v>1953871.87</v>
      </c>
      <c r="Z31" s="15" t="n">
        <v>4749149.84</v>
      </c>
      <c r="AA31" s="15" t="n">
        <v>267992.85</v>
      </c>
      <c r="AB31" s="15" t="n">
        <v>1772291.33</v>
      </c>
      <c r="AC31" s="15" t="n">
        <v>459854.48</v>
      </c>
      <c r="AD31" s="15" t="n">
        <v>1560896.39</v>
      </c>
      <c r="AE31" s="15" t="n">
        <v>3268654.17</v>
      </c>
      <c r="AF31" s="15" t="n">
        <v>2475973.76</v>
      </c>
      <c r="AG31" s="15" t="n">
        <v>3493994.1</v>
      </c>
      <c r="AH31" s="15" t="n">
        <v>2457404.54</v>
      </c>
      <c r="AI31" s="15" t="n">
        <v>183965.8</v>
      </c>
      <c r="AJ31" s="15" t="n">
        <v>-158029.23</v>
      </c>
      <c r="AK31" s="15" t="n">
        <v>1509925.69</v>
      </c>
      <c r="AL31" s="15" t="n">
        <v>7302171.24</v>
      </c>
      <c r="AM31" s="15" t="n">
        <v>2002399.42</v>
      </c>
      <c r="AN31" s="15" t="n">
        <v>105487.43</v>
      </c>
      <c r="AO31" s="15" t="n">
        <v>113025.38</v>
      </c>
      <c r="AP31" s="15" t="n">
        <v>606689.9</v>
      </c>
      <c r="AQ31" s="15" t="n">
        <v>3363047.36</v>
      </c>
      <c r="AR31" s="15" t="n">
        <v>3162139.23</v>
      </c>
      <c r="AS31" s="15" t="n">
        <v>2880317.18</v>
      </c>
      <c r="AT31" s="15" t="n">
        <v>1167708.53</v>
      </c>
      <c r="AU31" s="15" t="n">
        <v>541765.15</v>
      </c>
      <c r="AV31" s="15" t="n">
        <v>1879216.42</v>
      </c>
      <c r="AW31" s="15" t="n">
        <v>2584565.49</v>
      </c>
      <c r="AX31" s="15" t="n">
        <v>2775613.69</v>
      </c>
      <c r="AY31" s="15" t="n">
        <v>3073423.44</v>
      </c>
      <c r="AZ31" s="15" t="n">
        <v>2724389.14</v>
      </c>
      <c r="BA31" s="15" t="n">
        <v>303704.91</v>
      </c>
      <c r="BB31" s="15" t="n">
        <v>2012223.63</v>
      </c>
      <c r="BC31" s="15" t="n">
        <v>2040721.85</v>
      </c>
      <c r="BD31" s="15" t="n">
        <v>751873.87</v>
      </c>
      <c r="BE31" s="15" t="n">
        <v>845931.88</v>
      </c>
      <c r="BF31" s="15" t="n">
        <v>199113.16</v>
      </c>
      <c r="BG31" s="15" t="n">
        <v>382800.4</v>
      </c>
      <c r="BH31" s="15" t="n">
        <v>30303.06</v>
      </c>
      <c r="BI31" s="15" t="n">
        <v>1091344.19</v>
      </c>
      <c r="BJ31" s="15" t="n">
        <v>1155317.97</v>
      </c>
      <c r="BK31" s="15" t="n">
        <v>1460634.5</v>
      </c>
      <c r="BL31" s="15" t="n">
        <v>1976538.78</v>
      </c>
      <c r="BM31" s="15" t="n">
        <v>687434.09</v>
      </c>
      <c r="BN31" s="15" t="n">
        <v>1042312.27</v>
      </c>
      <c r="BO31" s="15" t="n">
        <v>5273520.88</v>
      </c>
      <c r="BP31" s="15" t="n">
        <v>1110319.87</v>
      </c>
      <c r="BQ31" s="15" t="n">
        <v>1313435.65</v>
      </c>
      <c r="BR31" s="15" t="n">
        <v>1759810.62</v>
      </c>
      <c r="BS31" s="15" t="n">
        <v>59750.69</v>
      </c>
      <c r="BT31" s="15" t="n">
        <v>590051.6800000001</v>
      </c>
      <c r="BU31" s="15" t="n">
        <v>4742726.71</v>
      </c>
      <c r="BV31" s="15" t="n">
        <v>4804038.28</v>
      </c>
      <c r="BW31" s="15" t="n">
        <v>1508477.92</v>
      </c>
      <c r="BX31" s="15" t="n">
        <v>1139298.05</v>
      </c>
      <c r="BY31" s="15" t="n">
        <v>262229.11</v>
      </c>
      <c r="BZ31" s="15" t="n">
        <v>1742813.1</v>
      </c>
      <c r="CA31" s="15" t="n">
        <v>3888549.41</v>
      </c>
      <c r="CB31" s="15" t="n">
        <v>3609126.8</v>
      </c>
      <c r="CC31" s="15" t="n">
        <v>2088421.48</v>
      </c>
      <c r="CD31" s="15" t="n">
        <v>2197791.48</v>
      </c>
      <c r="CE31" s="15" t="n">
        <v>449171.64</v>
      </c>
      <c r="CF31" s="15" t="n">
        <v>-202928.27</v>
      </c>
      <c r="CG31" s="15" t="n">
        <v>2749901.97</v>
      </c>
      <c r="CH31" s="15" t="n">
        <v>6724644.37</v>
      </c>
      <c r="CI31" s="15" t="n">
        <v>4152263.04</v>
      </c>
      <c r="CJ31" s="15" t="n">
        <v>2781812.53</v>
      </c>
      <c r="CK31" s="15" t="n">
        <v>583479.2</v>
      </c>
      <c r="CL31" s="15" t="n">
        <v>522996.71</v>
      </c>
      <c r="CM31" s="15" t="n">
        <v>5388782.41</v>
      </c>
      <c r="CN31" s="15" t="n">
        <v>3720929.2</v>
      </c>
      <c r="CO31" s="15" t="n">
        <v>3881339.08</v>
      </c>
      <c r="CP31" s="15" t="n">
        <v>1693588.55</v>
      </c>
      <c r="CQ31" s="15" t="n">
        <v>565871.14</v>
      </c>
      <c r="CR31" s="15" t="n">
        <v>1553204.83</v>
      </c>
      <c r="CS31" s="15" t="n">
        <v>4397232.06</v>
      </c>
      <c r="CT31" s="15" t="n">
        <v>5661853.38</v>
      </c>
      <c r="CU31" s="15" t="n">
        <v>1546437.83</v>
      </c>
      <c r="CV31" s="15" t="n">
        <v>536276.23</v>
      </c>
      <c r="CW31" s="15" t="n">
        <v>708228.1</v>
      </c>
      <c r="CX31" s="15" t="n">
        <v>2092438.94</v>
      </c>
      <c r="CY31" s="15" t="n">
        <v>4497485.42</v>
      </c>
      <c r="CZ31" s="15" t="n">
        <v>6246455.74</v>
      </c>
      <c r="DA31" s="15" t="n">
        <v>1939151.35</v>
      </c>
      <c r="DB31" s="15" t="n">
        <v>2385534.89</v>
      </c>
      <c r="DC31" s="15" t="n">
        <v>636590.98</v>
      </c>
      <c r="DD31" s="15" t="n">
        <v>-168984.89</v>
      </c>
      <c r="DE31" s="15" t="n">
        <v>3998869.19</v>
      </c>
      <c r="DF31" s="15" t="n">
        <v>6069945.09</v>
      </c>
      <c r="DG31" s="15" t="n">
        <v>3498305.01</v>
      </c>
      <c r="DH31" s="15" t="n">
        <v>2560737.4</v>
      </c>
      <c r="DI31" s="15" t="n">
        <v>641159.6800000001</v>
      </c>
      <c r="DJ31" s="15" t="n">
        <v>1201920.65</v>
      </c>
      <c r="DK31" s="15" t="n">
        <v>3851072.72</v>
      </c>
      <c r="DL31" s="15" t="n">
        <v>1437395.52</v>
      </c>
      <c r="DM31" s="15" t="n">
        <v>1297242.08</v>
      </c>
      <c r="DN31" s="15" t="n">
        <v>2066387.88</v>
      </c>
      <c r="DO31" s="15" t="n">
        <v>637916.42</v>
      </c>
      <c r="DP31" s="15" t="n">
        <v>791667.0600000001</v>
      </c>
    </row>
    <row r="32">
      <c r="A32" s="4" t="inlineStr">
        <is>
          <t>精密轴承</t>
        </is>
      </c>
      <c r="B32" s="15" t="n">
        <v>6598671.32</v>
      </c>
      <c r="C32" s="15" t="n">
        <v>1011802.79</v>
      </c>
      <c r="D32" s="15" t="n">
        <v>1883794.09</v>
      </c>
      <c r="E32" s="15" t="n">
        <v>379818</v>
      </c>
      <c r="F32" s="15" t="n">
        <v>1430541.14</v>
      </c>
      <c r="G32" s="15" t="n">
        <v>3558628.45</v>
      </c>
      <c r="H32" s="15" t="n">
        <v>7026440.75</v>
      </c>
      <c r="I32" s="15" t="n">
        <v>2809032.19</v>
      </c>
      <c r="J32" s="15" t="n">
        <v>452361.15</v>
      </c>
      <c r="K32" s="15" t="n">
        <v>617650.5</v>
      </c>
      <c r="L32" s="15" t="n">
        <v>1395172.29</v>
      </c>
      <c r="M32" s="15" t="n">
        <v>2115784.21</v>
      </c>
      <c r="N32" s="15" t="n">
        <v>429648.66</v>
      </c>
      <c r="O32" s="15" t="n">
        <v>94063.53</v>
      </c>
      <c r="P32" s="15" t="n">
        <v>1694003.82</v>
      </c>
      <c r="Q32" s="15" t="n">
        <v>573311.98</v>
      </c>
      <c r="R32" s="15" t="n">
        <v>573346.1</v>
      </c>
      <c r="S32" s="15" t="n">
        <v>4321252.22</v>
      </c>
      <c r="T32" s="15" t="n">
        <v>7068884.6</v>
      </c>
      <c r="U32" s="15" t="n">
        <v>1337450.21</v>
      </c>
      <c r="V32" s="15" t="n">
        <v>1262106.49</v>
      </c>
      <c r="W32" s="15" t="n">
        <v>558749.84</v>
      </c>
      <c r="X32" s="15" t="n">
        <v>897953.1899999999</v>
      </c>
      <c r="Y32" s="15" t="n">
        <v>2002561.63</v>
      </c>
      <c r="Z32" s="15" t="n">
        <v>6303100.95</v>
      </c>
      <c r="AA32" s="15" t="n">
        <v>2486207.8</v>
      </c>
      <c r="AB32" s="15" t="n">
        <v>235496.21</v>
      </c>
      <c r="AC32" s="15" t="n">
        <v>744995.02</v>
      </c>
      <c r="AD32" s="15" t="n">
        <v>1423073.08</v>
      </c>
      <c r="AE32" s="15" t="n">
        <v>3696638.22</v>
      </c>
      <c r="AF32" s="15" t="n">
        <v>3693246.55</v>
      </c>
      <c r="AG32" s="15" t="n">
        <v>3200958.9</v>
      </c>
      <c r="AH32" s="15" t="n">
        <v>1021116.96</v>
      </c>
      <c r="AI32" s="15" t="n">
        <v>467044.85</v>
      </c>
      <c r="AJ32" s="15" t="n">
        <v>763938.03</v>
      </c>
      <c r="AK32" s="15" t="n">
        <v>1956282.37</v>
      </c>
      <c r="AL32" s="15" t="n">
        <v>5464168.73</v>
      </c>
      <c r="AM32" s="15" t="n">
        <v>3387961.57</v>
      </c>
      <c r="AN32" s="15" t="n">
        <v>94643.7</v>
      </c>
      <c r="AO32" s="15" t="n">
        <v>58769.83</v>
      </c>
      <c r="AP32" s="15" t="n">
        <v>603126.1</v>
      </c>
      <c r="AQ32" s="15" t="n">
        <v>251841.43</v>
      </c>
      <c r="AR32" s="15" t="n">
        <v>5960935.66</v>
      </c>
      <c r="AS32" s="15" t="n">
        <v>991814.64</v>
      </c>
      <c r="AT32" s="15" t="n">
        <v>2658877.56</v>
      </c>
      <c r="AU32" s="15" t="n">
        <v>71028.75</v>
      </c>
      <c r="AV32" s="15" t="n">
        <v>1044385.68</v>
      </c>
      <c r="AW32" s="15" t="n">
        <v>3049298.79</v>
      </c>
      <c r="AX32" s="15" t="n">
        <v>3795793.1</v>
      </c>
      <c r="AY32" s="15" t="n">
        <v>2069311.92</v>
      </c>
      <c r="AZ32" s="15" t="n">
        <v>1578199.87</v>
      </c>
      <c r="BA32" s="15" t="n">
        <v>493269.64</v>
      </c>
      <c r="BB32" s="15" t="n">
        <v>1999931.87</v>
      </c>
      <c r="BC32" s="15" t="n">
        <v>5980008.17</v>
      </c>
      <c r="BD32" s="15" t="n">
        <v>6714295.95</v>
      </c>
      <c r="BE32" s="15" t="n">
        <v>921698.83</v>
      </c>
      <c r="BF32" s="15" t="n">
        <v>678980.8100000001</v>
      </c>
      <c r="BG32" s="15" t="n">
        <v>388077.74</v>
      </c>
      <c r="BH32" s="15" t="n">
        <v>431481.27</v>
      </c>
      <c r="BI32" s="15" t="n">
        <v>4305962.55</v>
      </c>
      <c r="BJ32" s="15" t="n">
        <v>4655337.4</v>
      </c>
      <c r="BK32" s="15" t="n">
        <v>2211047.39</v>
      </c>
      <c r="BL32" s="15" t="n">
        <v>2419211.51</v>
      </c>
      <c r="BM32" s="15" t="n">
        <v>606968.9</v>
      </c>
      <c r="BN32" s="15" t="n">
        <v>-176912.25</v>
      </c>
      <c r="BO32" s="15" t="n">
        <v>1561828.1</v>
      </c>
      <c r="BP32" s="15" t="n">
        <v>7392805.58</v>
      </c>
      <c r="BQ32" s="15" t="n">
        <v>3344514.24</v>
      </c>
      <c r="BR32" s="15" t="n">
        <v>2041803.17</v>
      </c>
      <c r="BS32" s="15" t="n">
        <v>59949.16</v>
      </c>
      <c r="BT32" s="15" t="n">
        <v>1778764.87</v>
      </c>
      <c r="BU32" s="15" t="n">
        <v>1836227.76</v>
      </c>
      <c r="BV32" s="15" t="n">
        <v>788253.47</v>
      </c>
      <c r="BW32" s="15" t="n">
        <v>2956963.12</v>
      </c>
      <c r="BX32" s="15" t="n">
        <v>771909.01</v>
      </c>
      <c r="BY32" s="15" t="n">
        <v>494728.27</v>
      </c>
      <c r="BZ32" s="15" t="n">
        <v>1905798.42</v>
      </c>
      <c r="CA32" s="15" t="n">
        <v>438822.64</v>
      </c>
      <c r="CB32" s="15" t="n">
        <v>1478397.57</v>
      </c>
      <c r="CC32" s="15" t="n">
        <v>160088.53</v>
      </c>
      <c r="CD32" s="15" t="n">
        <v>1826528.04</v>
      </c>
      <c r="CE32" s="15" t="n">
        <v>161424.15</v>
      </c>
      <c r="CF32" s="15" t="n">
        <v>267421.21</v>
      </c>
      <c r="CG32" s="15" t="n">
        <v>5474293.28</v>
      </c>
      <c r="CH32" s="15" t="n">
        <v>4121111.72</v>
      </c>
      <c r="CI32" s="15" t="n">
        <v>3314421.06</v>
      </c>
      <c r="CJ32" s="15" t="n">
        <v>2061935.84</v>
      </c>
      <c r="CK32" s="15" t="n">
        <v>64108.34</v>
      </c>
      <c r="CL32" s="15" t="n">
        <v>1179897.26</v>
      </c>
      <c r="CM32" s="15" t="n">
        <v>5587222.24</v>
      </c>
      <c r="CN32" s="15" t="n">
        <v>3718593.22</v>
      </c>
      <c r="CO32" s="15" t="n">
        <v>4396104.29</v>
      </c>
      <c r="CP32" s="15" t="n">
        <v>2797451.17</v>
      </c>
      <c r="CQ32" s="15" t="n">
        <v>381522.98</v>
      </c>
      <c r="CR32" s="15" t="n">
        <v>867097.34</v>
      </c>
      <c r="CS32" s="15" t="n">
        <v>2847010.35</v>
      </c>
      <c r="CT32" s="15" t="n">
        <v>1915235.54</v>
      </c>
      <c r="CU32" s="15" t="n">
        <v>1924726.67</v>
      </c>
      <c r="CV32" s="15" t="n">
        <v>2302776.69</v>
      </c>
      <c r="CW32" s="15" t="n">
        <v>350263.09</v>
      </c>
      <c r="CX32" s="15" t="n">
        <v>493437.39</v>
      </c>
      <c r="CY32" s="15" t="n">
        <v>2169732.22</v>
      </c>
      <c r="CZ32" s="15" t="n">
        <v>2581557.77</v>
      </c>
      <c r="DA32" s="15" t="n">
        <v>3995607.26</v>
      </c>
      <c r="DB32" s="15" t="n">
        <v>647841.14</v>
      </c>
      <c r="DC32" s="15" t="n">
        <v>676143.05</v>
      </c>
      <c r="DD32" s="15" t="n">
        <v>985873.86</v>
      </c>
      <c r="DE32" s="15" t="n">
        <v>3726677.88</v>
      </c>
      <c r="DF32" s="15" t="n">
        <v>6073531.41</v>
      </c>
      <c r="DG32" s="15" t="n">
        <v>3158521.05</v>
      </c>
      <c r="DH32" s="15" t="n">
        <v>630065.8100000001</v>
      </c>
      <c r="DI32" s="15" t="n">
        <v>582065.6800000001</v>
      </c>
      <c r="DJ32" s="15" t="n">
        <v>1540887.85</v>
      </c>
      <c r="DK32" s="15" t="n">
        <v>754326.62</v>
      </c>
      <c r="DL32" s="15" t="n">
        <v>521335.99</v>
      </c>
      <c r="DM32" s="15" t="n">
        <v>1773820.44</v>
      </c>
      <c r="DN32" s="15" t="n">
        <v>636826.74</v>
      </c>
      <c r="DO32" s="15" t="n">
        <v>246623.59</v>
      </c>
      <c r="DP32" s="15" t="n">
        <v>223830.02</v>
      </c>
    </row>
    <row r="33">
      <c r="A33" s="4" t="inlineStr">
        <is>
          <t>液压件</t>
        </is>
      </c>
      <c r="B33" s="15" t="n">
        <v>6196001.63</v>
      </c>
      <c r="C33" s="15" t="n">
        <v>2459740.95</v>
      </c>
      <c r="D33" s="15" t="n">
        <v>2202802.98</v>
      </c>
      <c r="E33" s="15" t="n">
        <v>114441.19</v>
      </c>
      <c r="F33" s="15" t="n">
        <v>1462426.09</v>
      </c>
      <c r="G33" s="15" t="n">
        <v>1228922.49</v>
      </c>
      <c r="H33" s="15" t="n">
        <v>7104545.39</v>
      </c>
      <c r="I33" s="15" t="n">
        <v>452700.42</v>
      </c>
      <c r="J33" s="15" t="n">
        <v>1114713.62</v>
      </c>
      <c r="K33" s="15" t="n">
        <v>562727.1800000001</v>
      </c>
      <c r="L33" s="15" t="n">
        <v>-121925.78</v>
      </c>
      <c r="M33" s="15" t="n">
        <v>5845971.69</v>
      </c>
      <c r="N33" s="15" t="n">
        <v>3972158.14</v>
      </c>
      <c r="O33" s="15" t="n">
        <v>1573352.78</v>
      </c>
      <c r="P33" s="15" t="n">
        <v>2362833.71</v>
      </c>
      <c r="Q33" s="15" t="n">
        <v>356414.89</v>
      </c>
      <c r="R33" s="15" t="n">
        <v>65303.23</v>
      </c>
      <c r="S33" s="15" t="n">
        <v>1592346.48</v>
      </c>
      <c r="T33" s="15" t="n">
        <v>3326410.22</v>
      </c>
      <c r="U33" s="15" t="n">
        <v>3619237.87</v>
      </c>
      <c r="V33" s="15" t="n">
        <v>1285081</v>
      </c>
      <c r="W33" s="15" t="n">
        <v>298347.8</v>
      </c>
      <c r="X33" s="15" t="n">
        <v>417674.12</v>
      </c>
      <c r="Y33" s="15" t="n">
        <v>744006.89</v>
      </c>
      <c r="Z33" s="15" t="n">
        <v>4796978.82</v>
      </c>
      <c r="AA33" s="15" t="n">
        <v>633735.65</v>
      </c>
      <c r="AB33" s="15" t="n">
        <v>2479949.6</v>
      </c>
      <c r="AC33" s="15" t="n">
        <v>239696.6</v>
      </c>
      <c r="AD33" s="15" t="n">
        <v>992964.6899999999</v>
      </c>
      <c r="AE33" s="15" t="n">
        <v>2689439.09</v>
      </c>
      <c r="AF33" s="15" t="n">
        <v>939113.83</v>
      </c>
      <c r="AG33" s="15" t="n">
        <v>4218911.62</v>
      </c>
      <c r="AH33" s="15" t="n">
        <v>2936382.71</v>
      </c>
      <c r="AI33" s="15" t="n">
        <v>720000.02</v>
      </c>
      <c r="AJ33" s="15" t="n">
        <v>1134342.04</v>
      </c>
      <c r="AK33" s="15" t="n">
        <v>1558738.6</v>
      </c>
      <c r="AL33" s="15" t="n">
        <v>7417281.1</v>
      </c>
      <c r="AM33" s="15" t="n">
        <v>3004580.19</v>
      </c>
      <c r="AN33" s="15" t="n">
        <v>1375902.77</v>
      </c>
      <c r="AO33" s="15" t="n">
        <v>660881.45</v>
      </c>
      <c r="AP33" s="15" t="n">
        <v>1973268.02</v>
      </c>
      <c r="AQ33" s="15" t="n">
        <v>2787236.73</v>
      </c>
      <c r="AR33" s="15" t="n">
        <v>550808.5600000001</v>
      </c>
      <c r="AS33" s="15" t="n">
        <v>2661613.44</v>
      </c>
      <c r="AT33" s="15" t="n">
        <v>189429.88</v>
      </c>
      <c r="AU33" s="15" t="n">
        <v>431587.39</v>
      </c>
      <c r="AV33" s="15" t="n">
        <v>1803884.93</v>
      </c>
      <c r="AW33" s="15" t="n">
        <v>5519172.94</v>
      </c>
      <c r="AX33" s="15" t="n">
        <v>2684843.09</v>
      </c>
      <c r="AY33" s="15" t="n">
        <v>3030130.6</v>
      </c>
      <c r="AZ33" s="15" t="n">
        <v>498318.87</v>
      </c>
      <c r="BA33" s="15" t="n">
        <v>559287.34</v>
      </c>
      <c r="BB33" s="15" t="n">
        <v>1676207.36</v>
      </c>
      <c r="BC33" s="15" t="n">
        <v>2243999.75</v>
      </c>
      <c r="BD33" s="15" t="n">
        <v>4707029.23</v>
      </c>
      <c r="BE33" s="15" t="n">
        <v>2091922.32</v>
      </c>
      <c r="BF33" s="15" t="n">
        <v>2312178.89</v>
      </c>
      <c r="BG33" s="15" t="n">
        <v>133193.9</v>
      </c>
      <c r="BH33" s="15" t="n">
        <v>1092804.85</v>
      </c>
      <c r="BI33" s="15" t="n">
        <v>3277636.11</v>
      </c>
      <c r="BJ33" s="15" t="n">
        <v>4050804.94</v>
      </c>
      <c r="BK33" s="15" t="n">
        <v>3470311.4</v>
      </c>
      <c r="BL33" s="15" t="n">
        <v>1819680.4</v>
      </c>
      <c r="BM33" s="15" t="n">
        <v>77204.78</v>
      </c>
      <c r="BN33" s="15" t="n">
        <v>1408237.17</v>
      </c>
      <c r="BO33" s="15" t="n">
        <v>4984225.15</v>
      </c>
      <c r="BP33" s="15" t="n">
        <v>4482595.35</v>
      </c>
      <c r="BQ33" s="15" t="n">
        <v>4327402.66</v>
      </c>
      <c r="BR33" s="15" t="n">
        <v>2495549.48</v>
      </c>
      <c r="BS33" s="15" t="n">
        <v>278303.83</v>
      </c>
      <c r="BT33" s="15" t="n">
        <v>-89497.12</v>
      </c>
      <c r="BU33" s="15" t="n">
        <v>4110746.17</v>
      </c>
      <c r="BV33" s="15" t="n">
        <v>2603529.17</v>
      </c>
      <c r="BW33" s="15" t="n">
        <v>2658284.26</v>
      </c>
      <c r="BX33" s="15" t="n">
        <v>2254946.09</v>
      </c>
      <c r="BY33" s="15" t="n">
        <v>529787.34</v>
      </c>
      <c r="BZ33" s="15" t="n">
        <v>404561.2</v>
      </c>
      <c r="CA33" s="15" t="n">
        <v>5036920.03</v>
      </c>
      <c r="CB33" s="15" t="n">
        <v>3042840.45</v>
      </c>
      <c r="CC33" s="15" t="n">
        <v>4498999.18</v>
      </c>
      <c r="CD33" s="15" t="n">
        <v>2995357.24</v>
      </c>
      <c r="CE33" s="15" t="n">
        <v>332930.85</v>
      </c>
      <c r="CF33" s="15" t="n">
        <v>1657010.91</v>
      </c>
      <c r="CG33" s="15" t="n">
        <v>968952.28</v>
      </c>
      <c r="CH33" s="15" t="n">
        <v>6211298.15</v>
      </c>
      <c r="CI33" s="15" t="n">
        <v>116041.26</v>
      </c>
      <c r="CJ33" s="15" t="n">
        <v>795747.78</v>
      </c>
      <c r="CK33" s="15" t="n">
        <v>726873.05</v>
      </c>
      <c r="CL33" s="15" t="n">
        <v>133181.3</v>
      </c>
      <c r="CM33" s="15" t="n">
        <v>5253371.67</v>
      </c>
      <c r="CN33" s="15" t="n">
        <v>7340455.2</v>
      </c>
      <c r="CO33" s="15" t="n">
        <v>3965760</v>
      </c>
      <c r="CP33" s="15" t="n">
        <v>2220119.24</v>
      </c>
      <c r="CQ33" s="15" t="n">
        <v>291125.44</v>
      </c>
      <c r="CR33" s="15" t="n">
        <v>1072779.61</v>
      </c>
      <c r="CS33" s="15" t="n">
        <v>2061774.3</v>
      </c>
      <c r="CT33" s="15" t="n">
        <v>3778772.19</v>
      </c>
      <c r="CU33" s="15" t="n">
        <v>131169.46</v>
      </c>
      <c r="CV33" s="15" t="n">
        <v>235305.68</v>
      </c>
      <c r="CW33" s="15" t="n">
        <v>447123</v>
      </c>
      <c r="CX33" s="15" t="n">
        <v>1643335.75</v>
      </c>
      <c r="CY33" s="15" t="n">
        <v>3642803.85</v>
      </c>
      <c r="CZ33" s="15" t="n">
        <v>2697876.7</v>
      </c>
      <c r="DA33" s="15" t="n">
        <v>288679.03</v>
      </c>
      <c r="DB33" s="15" t="n">
        <v>2683072.17</v>
      </c>
      <c r="DC33" s="15" t="n">
        <v>236426.95</v>
      </c>
      <c r="DD33" s="15" t="n">
        <v>851138.62</v>
      </c>
      <c r="DE33" s="15" t="n">
        <v>375709.36</v>
      </c>
      <c r="DF33" s="15" t="n">
        <v>7009890.98</v>
      </c>
      <c r="DG33" s="15" t="n">
        <v>3084698.94</v>
      </c>
      <c r="DH33" s="15" t="n">
        <v>708674.53</v>
      </c>
      <c r="DI33" s="15" t="n">
        <v>375218.02</v>
      </c>
      <c r="DJ33" s="15" t="n">
        <v>1634864.53</v>
      </c>
      <c r="DK33" s="15" t="n">
        <v>5723965</v>
      </c>
      <c r="DL33" s="15" t="n">
        <v>6792177.71</v>
      </c>
      <c r="DM33" s="15" t="n">
        <v>3366205.46</v>
      </c>
      <c r="DN33" s="15" t="n">
        <v>2725532.38</v>
      </c>
      <c r="DO33" s="15" t="n">
        <v>527793.91</v>
      </c>
      <c r="DP33" s="15" t="n">
        <v>-153895.85</v>
      </c>
    </row>
    <row r="34">
      <c r="A34" s="4" t="inlineStr">
        <is>
          <t>气动元件</t>
        </is>
      </c>
      <c r="B34" s="15" t="n">
        <v>5230263.36</v>
      </c>
      <c r="C34" s="15" t="n">
        <v>3027198.27</v>
      </c>
      <c r="D34" s="15" t="n">
        <v>1400435.84</v>
      </c>
      <c r="E34" s="15" t="n">
        <v>676727.12</v>
      </c>
      <c r="F34" s="15" t="n">
        <v>-217247.53</v>
      </c>
      <c r="G34" s="15" t="n">
        <v>3855244.89</v>
      </c>
      <c r="H34" s="15" t="n">
        <v>1923654.09</v>
      </c>
      <c r="I34" s="15" t="n">
        <v>3181645.8</v>
      </c>
      <c r="J34" s="15" t="n">
        <v>1287372.27</v>
      </c>
      <c r="K34" s="15" t="n">
        <v>509596.8</v>
      </c>
      <c r="L34" s="15" t="n">
        <v>-30093.01</v>
      </c>
      <c r="M34" s="15" t="n">
        <v>694735.49</v>
      </c>
      <c r="N34" s="15" t="n">
        <v>5027626.26</v>
      </c>
      <c r="O34" s="15" t="n">
        <v>145463.93</v>
      </c>
      <c r="P34" s="15" t="n">
        <v>1477362.03</v>
      </c>
      <c r="Q34" s="15" t="n">
        <v>469290.91</v>
      </c>
      <c r="R34" s="15" t="n">
        <v>1744823.35</v>
      </c>
      <c r="S34" s="15" t="n">
        <v>4505044.8</v>
      </c>
      <c r="T34" s="15" t="n">
        <v>2982257.68</v>
      </c>
      <c r="U34" s="15" t="n">
        <v>1272738.14</v>
      </c>
      <c r="V34" s="15" t="n">
        <v>1459851.45</v>
      </c>
      <c r="W34" s="15" t="n">
        <v>634628.3</v>
      </c>
      <c r="X34" s="15" t="n">
        <v>943879.11</v>
      </c>
      <c r="Y34" s="15" t="n">
        <v>1816857.92</v>
      </c>
      <c r="Z34" s="15" t="n">
        <v>1466989.33</v>
      </c>
      <c r="AA34" s="15" t="n">
        <v>2307515.28</v>
      </c>
      <c r="AB34" s="15" t="n">
        <v>2767120.35</v>
      </c>
      <c r="AC34" s="15" t="n">
        <v>657370.62</v>
      </c>
      <c r="AD34" s="15" t="n">
        <v>1916470.26</v>
      </c>
      <c r="AE34" s="15" t="n">
        <v>4590450.58</v>
      </c>
      <c r="AF34" s="15" t="n">
        <v>5695157.15</v>
      </c>
      <c r="AG34" s="15" t="n">
        <v>2250396.76</v>
      </c>
      <c r="AH34" s="15" t="n">
        <v>2700365.75</v>
      </c>
      <c r="AI34" s="15" t="n">
        <v>263760.96</v>
      </c>
      <c r="AJ34" s="15" t="n">
        <v>-69710.11</v>
      </c>
      <c r="AK34" s="15" t="n">
        <v>2207734.41</v>
      </c>
      <c r="AL34" s="15" t="n">
        <v>533885.9300000001</v>
      </c>
      <c r="AM34" s="15" t="n">
        <v>4091059.18</v>
      </c>
      <c r="AN34" s="15" t="n">
        <v>1192046.72</v>
      </c>
      <c r="AO34" s="15" t="n">
        <v>702619.64</v>
      </c>
      <c r="AP34" s="15" t="n">
        <v>-120897.25</v>
      </c>
      <c r="AQ34" s="15" t="n">
        <v>2228414.34</v>
      </c>
      <c r="AR34" s="15" t="n">
        <v>3590505.79</v>
      </c>
      <c r="AS34" s="15" t="n">
        <v>3144227.8</v>
      </c>
      <c r="AT34" s="15" t="n">
        <v>1113472.83</v>
      </c>
      <c r="AU34" s="15" t="n">
        <v>320671.71</v>
      </c>
      <c r="AV34" s="15" t="n">
        <v>761820.25</v>
      </c>
      <c r="AW34" s="15" t="n">
        <v>5174472.6</v>
      </c>
      <c r="AX34" s="15" t="n">
        <v>3197185.01</v>
      </c>
      <c r="AY34" s="15" t="n">
        <v>4437217.87</v>
      </c>
      <c r="AZ34" s="15" t="n">
        <v>2677714.99</v>
      </c>
      <c r="BA34" s="15" t="n">
        <v>735559.9399999999</v>
      </c>
      <c r="BB34" s="15" t="n">
        <v>1142466.56</v>
      </c>
      <c r="BC34" s="15" t="n">
        <v>2592997.43</v>
      </c>
      <c r="BD34" s="15" t="n">
        <v>5635076.47</v>
      </c>
      <c r="BE34" s="15" t="n">
        <v>1801122.48</v>
      </c>
      <c r="BF34" s="15" t="n">
        <v>1239776.57</v>
      </c>
      <c r="BG34" s="15" t="n">
        <v>25400.98</v>
      </c>
      <c r="BH34" s="15" t="n">
        <v>1150119.38</v>
      </c>
      <c r="BI34" s="15" t="n">
        <v>2298515.47</v>
      </c>
      <c r="BJ34" s="15" t="n">
        <v>1027726.36</v>
      </c>
      <c r="BK34" s="15" t="n">
        <v>1912744.12</v>
      </c>
      <c r="BL34" s="15" t="n">
        <v>2594947.32</v>
      </c>
      <c r="BM34" s="15" t="n">
        <v>67737.21000000001</v>
      </c>
      <c r="BN34" s="15" t="n">
        <v>227978.03</v>
      </c>
      <c r="BO34" s="15" t="n">
        <v>2085220.71</v>
      </c>
      <c r="BP34" s="15" t="n">
        <v>7383543.47</v>
      </c>
      <c r="BQ34" s="15" t="n">
        <v>916282.1</v>
      </c>
      <c r="BR34" s="15" t="n">
        <v>804573.33</v>
      </c>
      <c r="BS34" s="15" t="n">
        <v>288015.86</v>
      </c>
      <c r="BT34" s="15" t="n">
        <v>-109668.79</v>
      </c>
      <c r="BU34" s="15" t="n">
        <v>993713.28</v>
      </c>
      <c r="BV34" s="15" t="n">
        <v>3052709.89</v>
      </c>
      <c r="BW34" s="15" t="n">
        <v>1872040.69</v>
      </c>
      <c r="BX34" s="15" t="n">
        <v>1792572.95</v>
      </c>
      <c r="BY34" s="15" t="n">
        <v>74920.28</v>
      </c>
      <c r="BZ34" s="15" t="n">
        <v>70577.07000000001</v>
      </c>
      <c r="CA34" s="15" t="n">
        <v>4289053.59</v>
      </c>
      <c r="CB34" s="15" t="n">
        <v>6791024.56</v>
      </c>
      <c r="CC34" s="15" t="n">
        <v>2079128.25</v>
      </c>
      <c r="CD34" s="15" t="n">
        <v>2225054.82</v>
      </c>
      <c r="CE34" s="15" t="n">
        <v>244239.19</v>
      </c>
      <c r="CF34" s="15" t="n">
        <v>1840741.82</v>
      </c>
      <c r="CG34" s="15" t="n">
        <v>4234346.91</v>
      </c>
      <c r="CH34" s="15" t="n">
        <v>3000570.6</v>
      </c>
      <c r="CI34" s="15" t="n">
        <v>2233630.78</v>
      </c>
      <c r="CJ34" s="15" t="n">
        <v>933392.4300000001</v>
      </c>
      <c r="CK34" s="15" t="n">
        <v>369075.15</v>
      </c>
      <c r="CL34" s="15" t="n">
        <v>1621843.9</v>
      </c>
      <c r="CM34" s="15" t="n">
        <v>3103910.47</v>
      </c>
      <c r="CN34" s="15" t="n">
        <v>4607899.31</v>
      </c>
      <c r="CO34" s="15" t="n">
        <v>1890834.56</v>
      </c>
      <c r="CP34" s="15" t="n">
        <v>618644.87</v>
      </c>
      <c r="CQ34" s="15" t="n">
        <v>435165.34</v>
      </c>
      <c r="CR34" s="15" t="n">
        <v>2070771.26</v>
      </c>
      <c r="CS34" s="15" t="n">
        <v>463716.19</v>
      </c>
      <c r="CT34" s="15" t="n">
        <v>1340967.05</v>
      </c>
      <c r="CU34" s="15" t="n">
        <v>2854957.42</v>
      </c>
      <c r="CV34" s="15" t="n">
        <v>801816.2</v>
      </c>
      <c r="CW34" s="15" t="n">
        <v>165576.29</v>
      </c>
      <c r="CX34" s="15" t="n">
        <v>1155293.98</v>
      </c>
      <c r="CY34" s="15" t="n">
        <v>5004975.44</v>
      </c>
      <c r="CZ34" s="15" t="n">
        <v>1496537.98</v>
      </c>
      <c r="DA34" s="15" t="n">
        <v>3450057.38</v>
      </c>
      <c r="DB34" s="15" t="n">
        <v>2446699.72</v>
      </c>
      <c r="DC34" s="15" t="n">
        <v>552854.4</v>
      </c>
      <c r="DD34" s="15" t="n">
        <v>775988.5</v>
      </c>
      <c r="DE34" s="15" t="n">
        <v>902905.08</v>
      </c>
      <c r="DF34" s="15" t="n">
        <v>181784.27</v>
      </c>
      <c r="DG34" s="15" t="n">
        <v>621411.11</v>
      </c>
      <c r="DH34" s="15" t="n">
        <v>1463550.25</v>
      </c>
      <c r="DI34" s="15" t="n">
        <v>312944.39</v>
      </c>
      <c r="DJ34" s="15" t="n">
        <v>2037621.54</v>
      </c>
      <c r="DK34" s="15" t="n">
        <v>4624968.08</v>
      </c>
      <c r="DL34" s="15" t="n">
        <v>962882.5</v>
      </c>
      <c r="DM34" s="15" t="n">
        <v>1811898.18</v>
      </c>
      <c r="DN34" s="15" t="n">
        <v>2919888.97</v>
      </c>
      <c r="DO34" s="15" t="n">
        <v>568562.16</v>
      </c>
      <c r="DP34" s="15" t="n">
        <v>-69284.16</v>
      </c>
    </row>
    <row r="35">
      <c r="A35" s="4" t="inlineStr">
        <is>
          <t>模具</t>
        </is>
      </c>
      <c r="B35" s="15" t="n">
        <v>6217390.72</v>
      </c>
      <c r="C35" s="15" t="n">
        <v>3892560.63</v>
      </c>
      <c r="D35" s="15" t="n">
        <v>753839.5</v>
      </c>
      <c r="E35" s="15" t="n">
        <v>747203.53</v>
      </c>
      <c r="F35" s="15" t="n">
        <v>1361543.26</v>
      </c>
      <c r="G35" s="15" t="n">
        <v>5040706.56</v>
      </c>
      <c r="H35" s="15" t="n">
        <v>2816732.56</v>
      </c>
      <c r="I35" s="15" t="n">
        <v>1615412.43</v>
      </c>
      <c r="J35" s="15" t="n">
        <v>2442542.66</v>
      </c>
      <c r="K35" s="15" t="n">
        <v>18256.78</v>
      </c>
      <c r="L35" s="15" t="n">
        <v>1709697.88</v>
      </c>
      <c r="M35" s="15" t="n">
        <v>1141807.36</v>
      </c>
      <c r="N35" s="15" t="n">
        <v>238720.77</v>
      </c>
      <c r="O35" s="15" t="n">
        <v>921563.39</v>
      </c>
      <c r="P35" s="15" t="n">
        <v>1269020.85</v>
      </c>
      <c r="Q35" s="15" t="n">
        <v>166472.55</v>
      </c>
      <c r="R35" s="15" t="n">
        <v>1579114.01</v>
      </c>
      <c r="S35" s="15" t="n">
        <v>3003152.75</v>
      </c>
      <c r="T35" s="15" t="n">
        <v>2896793.87</v>
      </c>
      <c r="U35" s="15" t="n">
        <v>2825707.07</v>
      </c>
      <c r="V35" s="15" t="n">
        <v>889313.9300000001</v>
      </c>
      <c r="W35" s="15" t="n">
        <v>578268.09</v>
      </c>
      <c r="X35" s="15" t="n">
        <v>1028135.08</v>
      </c>
      <c r="Y35" s="15" t="n">
        <v>4826279.52</v>
      </c>
      <c r="Z35" s="15" t="n">
        <v>163723.73</v>
      </c>
      <c r="AA35" s="15" t="n">
        <v>1404041.6</v>
      </c>
      <c r="AB35" s="15" t="n">
        <v>54947.45</v>
      </c>
      <c r="AC35" s="15" t="n">
        <v>731142.04</v>
      </c>
      <c r="AD35" s="15" t="n">
        <v>-209896.44</v>
      </c>
      <c r="AE35" s="15" t="n">
        <v>5148252.5</v>
      </c>
      <c r="AF35" s="15" t="n">
        <v>1321202.38</v>
      </c>
      <c r="AG35" s="15" t="n">
        <v>986285.84</v>
      </c>
      <c r="AH35" s="15" t="n">
        <v>677464.71</v>
      </c>
      <c r="AI35" s="15" t="n">
        <v>108683.83</v>
      </c>
      <c r="AJ35" s="15" t="n">
        <v>1655823.06</v>
      </c>
      <c r="AK35" s="15" t="n">
        <v>1143794.54</v>
      </c>
      <c r="AL35" s="15" t="n">
        <v>3416995.88</v>
      </c>
      <c r="AM35" s="15" t="n">
        <v>3904091.59</v>
      </c>
      <c r="AN35" s="15" t="n">
        <v>2961266.23</v>
      </c>
      <c r="AO35" s="15" t="n">
        <v>167158.75</v>
      </c>
      <c r="AP35" s="15" t="n">
        <v>1724197.9</v>
      </c>
      <c r="AQ35" s="15" t="n">
        <v>868669.49</v>
      </c>
      <c r="AR35" s="15" t="n">
        <v>5476012.21</v>
      </c>
      <c r="AS35" s="15" t="n">
        <v>3560875.21</v>
      </c>
      <c r="AT35" s="15" t="n">
        <v>2521986.73</v>
      </c>
      <c r="AU35" s="15" t="n">
        <v>74434.74000000001</v>
      </c>
      <c r="AV35" s="15" t="n">
        <v>1119812.82</v>
      </c>
      <c r="AW35" s="15" t="n">
        <v>4180151.06</v>
      </c>
      <c r="AX35" s="15" t="n">
        <v>1261664.59</v>
      </c>
      <c r="AY35" s="15" t="n">
        <v>4347157.18</v>
      </c>
      <c r="AZ35" s="15" t="n">
        <v>2509369.69</v>
      </c>
      <c r="BA35" s="15" t="n">
        <v>411931.44</v>
      </c>
      <c r="BB35" s="15" t="n">
        <v>1451167.44</v>
      </c>
      <c r="BC35" s="15" t="n">
        <v>2644092.78</v>
      </c>
      <c r="BD35" s="15" t="n">
        <v>6208443.21</v>
      </c>
      <c r="BE35" s="15" t="n">
        <v>3192737.65</v>
      </c>
      <c r="BF35" s="15" t="n">
        <v>1760594.18</v>
      </c>
      <c r="BG35" s="15" t="n">
        <v>386598.2</v>
      </c>
      <c r="BH35" s="15" t="n">
        <v>2211668.88</v>
      </c>
      <c r="BI35" s="15" t="n">
        <v>5803511.46</v>
      </c>
      <c r="BJ35" s="15" t="n">
        <v>5010675.12</v>
      </c>
      <c r="BK35" s="15" t="n">
        <v>2569222.54</v>
      </c>
      <c r="BL35" s="15" t="n">
        <v>623616.0600000001</v>
      </c>
      <c r="BM35" s="15" t="n">
        <v>492336.84</v>
      </c>
      <c r="BN35" s="15" t="n">
        <v>1394795.87</v>
      </c>
      <c r="BO35" s="15" t="n">
        <v>496760.73</v>
      </c>
      <c r="BP35" s="15" t="n">
        <v>906864.25</v>
      </c>
      <c r="BQ35" s="15" t="n">
        <v>2982348.18</v>
      </c>
      <c r="BR35" s="15" t="n">
        <v>515830.24</v>
      </c>
      <c r="BS35" s="15" t="n">
        <v>575149.8</v>
      </c>
      <c r="BT35" s="15" t="n">
        <v>889913.47</v>
      </c>
      <c r="BU35" s="15" t="n">
        <v>4795592.41</v>
      </c>
      <c r="BV35" s="15" t="n">
        <v>370647.14</v>
      </c>
      <c r="BW35" s="15" t="n">
        <v>4232121.62</v>
      </c>
      <c r="BX35" s="15" t="n">
        <v>1923517.17</v>
      </c>
      <c r="BY35" s="15" t="n">
        <v>326565.58</v>
      </c>
      <c r="BZ35" s="15" t="n">
        <v>702772.09</v>
      </c>
      <c r="CA35" s="15" t="n">
        <v>2426623.46</v>
      </c>
      <c r="CB35" s="15" t="n">
        <v>5442308.84</v>
      </c>
      <c r="CC35" s="15" t="n">
        <v>2809543.61</v>
      </c>
      <c r="CD35" s="15" t="n">
        <v>1456079.29</v>
      </c>
      <c r="CE35" s="15" t="n">
        <v>387731.91</v>
      </c>
      <c r="CF35" s="15" t="n">
        <v>1357612.25</v>
      </c>
      <c r="CG35" s="15" t="n">
        <v>1051188.56</v>
      </c>
      <c r="CH35" s="15" t="n">
        <v>7144679.09</v>
      </c>
      <c r="CI35" s="15" t="n">
        <v>1529288.34</v>
      </c>
      <c r="CJ35" s="15" t="n">
        <v>1560802.09</v>
      </c>
      <c r="CK35" s="15" t="n">
        <v>262171.17</v>
      </c>
      <c r="CL35" s="15" t="n">
        <v>190861.43</v>
      </c>
      <c r="CM35" s="15" t="n">
        <v>5865805.14</v>
      </c>
      <c r="CN35" s="15" t="n">
        <v>3761316.75</v>
      </c>
      <c r="CO35" s="15" t="n">
        <v>307185.29</v>
      </c>
      <c r="CP35" s="15" t="n">
        <v>543906.74</v>
      </c>
      <c r="CQ35" s="15" t="n">
        <v>503055.45</v>
      </c>
      <c r="CR35" s="15" t="n">
        <v>409102.31</v>
      </c>
      <c r="CS35" s="15" t="n">
        <v>5959865.36</v>
      </c>
      <c r="CT35" s="15" t="n">
        <v>6269631.84</v>
      </c>
      <c r="CU35" s="15" t="n">
        <v>2253404.29</v>
      </c>
      <c r="CV35" s="15" t="n">
        <v>679561.71</v>
      </c>
      <c r="CW35" s="15" t="n">
        <v>480212.24</v>
      </c>
      <c r="CX35" s="15" t="n">
        <v>204735.23</v>
      </c>
      <c r="CY35" s="15" t="n">
        <v>4484524.52</v>
      </c>
      <c r="CZ35" s="15" t="n">
        <v>5002105.08</v>
      </c>
      <c r="DA35" s="15" t="n">
        <v>774874.79</v>
      </c>
      <c r="DB35" s="15" t="n">
        <v>775272.51</v>
      </c>
      <c r="DC35" s="15" t="n">
        <v>267068.18</v>
      </c>
      <c r="DD35" s="15" t="n">
        <v>1855831.43</v>
      </c>
      <c r="DE35" s="15" t="n">
        <v>2755496.8</v>
      </c>
      <c r="DF35" s="15" t="n">
        <v>5211671.63</v>
      </c>
      <c r="DG35" s="15" t="n">
        <v>1918169.52</v>
      </c>
      <c r="DH35" s="15" t="n">
        <v>2496487.99</v>
      </c>
      <c r="DI35" s="15" t="n">
        <v>442804.88</v>
      </c>
      <c r="DJ35" s="15" t="n">
        <v>572874.17</v>
      </c>
      <c r="DK35" s="15" t="n">
        <v>4902154.44</v>
      </c>
      <c r="DL35" s="15" t="n">
        <v>6238248.67</v>
      </c>
      <c r="DM35" s="15" t="n">
        <v>3316274.76</v>
      </c>
      <c r="DN35" s="15" t="n">
        <v>191908.38</v>
      </c>
      <c r="DO35" s="15" t="n">
        <v>311064.14</v>
      </c>
      <c r="DP35" s="15" t="n">
        <v>859675.76</v>
      </c>
    </row>
    <row r="36">
      <c r="A36" s="4" t="inlineStr">
        <is>
          <t>工装夹具</t>
        </is>
      </c>
      <c r="B36" s="15" t="n">
        <v>602669.12</v>
      </c>
      <c r="C36" s="15" t="n">
        <v>3572516.91</v>
      </c>
      <c r="D36" s="15" t="n">
        <v>403630.95</v>
      </c>
      <c r="E36" s="15" t="n">
        <v>645720.8</v>
      </c>
      <c r="F36" s="15" t="n">
        <v>714943.3100000001</v>
      </c>
      <c r="G36" s="15" t="n">
        <v>1012364.87</v>
      </c>
      <c r="H36" s="15" t="n">
        <v>6391732.17</v>
      </c>
      <c r="I36" s="15" t="n">
        <v>2835601.27</v>
      </c>
      <c r="J36" s="15" t="n">
        <v>2392585.05</v>
      </c>
      <c r="K36" s="15" t="n">
        <v>458669.86</v>
      </c>
      <c r="L36" s="15" t="n">
        <v>976268.25</v>
      </c>
      <c r="M36" s="15" t="n">
        <v>1060644.62</v>
      </c>
      <c r="N36" s="15" t="n">
        <v>5465725.01</v>
      </c>
      <c r="O36" s="15" t="n">
        <v>4306843.18</v>
      </c>
      <c r="P36" s="15" t="n">
        <v>736737.8100000001</v>
      </c>
      <c r="Q36" s="15" t="n">
        <v>384546.93</v>
      </c>
      <c r="R36" s="15" t="n">
        <v>131583.18</v>
      </c>
      <c r="S36" s="15" t="n">
        <v>143389.05</v>
      </c>
      <c r="T36" s="15" t="n">
        <v>5390858.86</v>
      </c>
      <c r="U36" s="15" t="n">
        <v>1536507.05</v>
      </c>
      <c r="V36" s="15" t="n">
        <v>851315.24</v>
      </c>
      <c r="W36" s="15" t="n">
        <v>358101.69</v>
      </c>
      <c r="X36" s="15" t="n">
        <v>966461.92</v>
      </c>
      <c r="Y36" s="15" t="n">
        <v>1697290.9</v>
      </c>
      <c r="Z36" s="15" t="n">
        <v>806014.22</v>
      </c>
      <c r="AA36" s="15" t="n">
        <v>1853817.99</v>
      </c>
      <c r="AB36" s="15" t="n">
        <v>282147.78</v>
      </c>
      <c r="AC36" s="15" t="n">
        <v>644982.02</v>
      </c>
      <c r="AD36" s="15" t="n">
        <v>823181.83</v>
      </c>
      <c r="AE36" s="15" t="n">
        <v>5054172.51</v>
      </c>
      <c r="AF36" s="15" t="n">
        <v>1161845.69</v>
      </c>
      <c r="AG36" s="15" t="n">
        <v>4068816.96</v>
      </c>
      <c r="AH36" s="15" t="n">
        <v>524574.73</v>
      </c>
      <c r="AI36" s="15" t="n">
        <v>113400.08</v>
      </c>
      <c r="AJ36" s="15" t="n">
        <v>2114037.17</v>
      </c>
      <c r="AK36" s="15" t="n">
        <v>4535138.2</v>
      </c>
      <c r="AL36" s="15" t="n">
        <v>947628.13</v>
      </c>
      <c r="AM36" s="15" t="n">
        <v>2592661.04</v>
      </c>
      <c r="AN36" s="15" t="n">
        <v>1003534.87</v>
      </c>
      <c r="AO36" s="15" t="n">
        <v>212636.78</v>
      </c>
      <c r="AP36" s="15" t="n">
        <v>2068860.23</v>
      </c>
      <c r="AQ36" s="15" t="n">
        <v>4038490.13</v>
      </c>
      <c r="AR36" s="15" t="n">
        <v>324179.87</v>
      </c>
      <c r="AS36" s="15" t="n">
        <v>3871213.41</v>
      </c>
      <c r="AT36" s="15" t="n">
        <v>419189.52</v>
      </c>
      <c r="AU36" s="15" t="n">
        <v>239117.11</v>
      </c>
      <c r="AV36" s="15" t="n">
        <v>1882422.04</v>
      </c>
      <c r="AW36" s="15" t="n">
        <v>3532759.12</v>
      </c>
      <c r="AX36" s="15" t="n">
        <v>2329294.1</v>
      </c>
      <c r="AY36" s="15" t="n">
        <v>3048682.08</v>
      </c>
      <c r="AZ36" s="15" t="n">
        <v>2241701.82</v>
      </c>
      <c r="BA36" s="15" t="n">
        <v>203178.52</v>
      </c>
      <c r="BB36" s="15" t="n">
        <v>1888854.83</v>
      </c>
      <c r="BC36" s="15" t="n">
        <v>2813148.08</v>
      </c>
      <c r="BD36" s="15" t="n">
        <v>6277369.88</v>
      </c>
      <c r="BE36" s="15" t="n">
        <v>4441577.1</v>
      </c>
      <c r="BF36" s="15" t="n">
        <v>2594420.41</v>
      </c>
      <c r="BG36" s="15" t="n">
        <v>71465.8</v>
      </c>
      <c r="BH36" s="15" t="n">
        <v>1947597.05</v>
      </c>
      <c r="BI36" s="15" t="n">
        <v>5521114.94</v>
      </c>
      <c r="BJ36" s="15" t="n">
        <v>4090009.71</v>
      </c>
      <c r="BK36" s="15" t="n">
        <v>2016858.55</v>
      </c>
      <c r="BL36" s="15" t="n">
        <v>1887241.79</v>
      </c>
      <c r="BM36" s="15" t="n">
        <v>27094.99</v>
      </c>
      <c r="BN36" s="15" t="n">
        <v>1578842.45</v>
      </c>
      <c r="BO36" s="15" t="n">
        <v>5303756.61</v>
      </c>
      <c r="BP36" s="15" t="n">
        <v>399622.68</v>
      </c>
      <c r="BQ36" s="15" t="n">
        <v>4036036.51</v>
      </c>
      <c r="BR36" s="15" t="n">
        <v>2556921.41</v>
      </c>
      <c r="BS36" s="15" t="n">
        <v>527618.08</v>
      </c>
      <c r="BT36" s="15" t="n">
        <v>1215561.66</v>
      </c>
      <c r="BU36" s="15" t="n">
        <v>4355146.13</v>
      </c>
      <c r="BV36" s="15" t="n">
        <v>5624385.07</v>
      </c>
      <c r="BW36" s="15" t="n">
        <v>2363656.31</v>
      </c>
      <c r="BX36" s="15" t="n">
        <v>450691.8</v>
      </c>
      <c r="BY36" s="15" t="n">
        <v>168090.99</v>
      </c>
      <c r="BZ36" s="15" t="n">
        <v>1477263.24</v>
      </c>
      <c r="CA36" s="15" t="n">
        <v>5841086.95</v>
      </c>
      <c r="CB36" s="15" t="n">
        <v>5914632.53</v>
      </c>
      <c r="CC36" s="15" t="n">
        <v>1697857.79</v>
      </c>
      <c r="CD36" s="15" t="n">
        <v>2809385.04</v>
      </c>
      <c r="CE36" s="15" t="n">
        <v>449497.25</v>
      </c>
      <c r="CF36" s="15" t="n">
        <v>180086.94</v>
      </c>
      <c r="CG36" s="15" t="n">
        <v>4865551.2</v>
      </c>
      <c r="CH36" s="15" t="n">
        <v>6939066.02</v>
      </c>
      <c r="CI36" s="15" t="n">
        <v>2644154.89</v>
      </c>
      <c r="CJ36" s="15" t="n">
        <v>875787.63</v>
      </c>
      <c r="CK36" s="15" t="n">
        <v>128362.2</v>
      </c>
      <c r="CL36" s="15" t="n">
        <v>872170.22</v>
      </c>
      <c r="CM36" s="15" t="n">
        <v>2560602.05</v>
      </c>
      <c r="CN36" s="15" t="n">
        <v>929656.84</v>
      </c>
      <c r="CO36" s="15" t="n">
        <v>3507755.36</v>
      </c>
      <c r="CP36" s="15" t="n">
        <v>2023923.59</v>
      </c>
      <c r="CQ36" s="15" t="n">
        <v>316175.51</v>
      </c>
      <c r="CR36" s="15" t="n">
        <v>1498956.76</v>
      </c>
      <c r="CS36" s="15" t="n">
        <v>3017208.83</v>
      </c>
      <c r="CT36" s="15" t="n">
        <v>455672.9</v>
      </c>
      <c r="CU36" s="15" t="n">
        <v>4217999.53</v>
      </c>
      <c r="CV36" s="15" t="n">
        <v>433362.08</v>
      </c>
      <c r="CW36" s="15" t="n">
        <v>506671.84</v>
      </c>
      <c r="CX36" s="15" t="n">
        <v>-225877.15</v>
      </c>
      <c r="CY36" s="15" t="n">
        <v>5164547.68</v>
      </c>
      <c r="CZ36" s="15" t="n">
        <v>1792685.78</v>
      </c>
      <c r="DA36" s="15" t="n">
        <v>2885440.15</v>
      </c>
      <c r="DB36" s="15" t="n">
        <v>667552.42</v>
      </c>
      <c r="DC36" s="15" t="n">
        <v>705766.62</v>
      </c>
      <c r="DD36" s="15" t="n">
        <v>-44495.42</v>
      </c>
      <c r="DE36" s="15" t="n">
        <v>512145.74</v>
      </c>
      <c r="DF36" s="15" t="n">
        <v>233838.23</v>
      </c>
      <c r="DG36" s="15" t="n">
        <v>4116137.82</v>
      </c>
      <c r="DH36" s="15" t="n">
        <v>1864882.22</v>
      </c>
      <c r="DI36" s="15" t="n">
        <v>306073.25</v>
      </c>
      <c r="DJ36" s="15" t="n">
        <v>915676.2</v>
      </c>
      <c r="DK36" s="15" t="n">
        <v>5873589.44</v>
      </c>
      <c r="DL36" s="15" t="n">
        <v>3405134.09</v>
      </c>
      <c r="DM36" s="15" t="n">
        <v>4254178.23</v>
      </c>
      <c r="DN36" s="15" t="n">
        <v>622043</v>
      </c>
      <c r="DO36" s="15" t="n">
        <v>341191.73</v>
      </c>
      <c r="DP36" s="15" t="n">
        <v>452857.13</v>
      </c>
    </row>
    <row r="37">
      <c r="A37" s="4" t="inlineStr">
        <is>
          <t>其他产品A</t>
        </is>
      </c>
      <c r="B37" s="15" t="n">
        <v>1989123</v>
      </c>
      <c r="C37" s="15" t="n">
        <v>1076908.57</v>
      </c>
      <c r="D37" s="15" t="n">
        <v>2690577.29</v>
      </c>
      <c r="E37" s="15" t="n">
        <v>280773.97</v>
      </c>
      <c r="F37" s="15" t="n">
        <v>931683.45</v>
      </c>
      <c r="G37" s="15" t="n">
        <v>2824803.71</v>
      </c>
      <c r="H37" s="15" t="n">
        <v>889707.36</v>
      </c>
      <c r="I37" s="15" t="n">
        <v>2863566.12</v>
      </c>
      <c r="J37" s="15" t="n">
        <v>37455.78</v>
      </c>
      <c r="K37" s="15" t="n">
        <v>313139.42</v>
      </c>
      <c r="L37" s="15" t="n">
        <v>1885644.09</v>
      </c>
      <c r="M37" s="15" t="n">
        <v>3003455.71</v>
      </c>
      <c r="N37" s="15" t="n">
        <v>2259467.46</v>
      </c>
      <c r="O37" s="15" t="n">
        <v>3891350.52</v>
      </c>
      <c r="P37" s="15" t="n">
        <v>605546.52</v>
      </c>
      <c r="Q37" s="15" t="n">
        <v>314908.22</v>
      </c>
      <c r="R37" s="15" t="n">
        <v>919706.3199999999</v>
      </c>
      <c r="S37" s="15" t="n">
        <v>1987762.94</v>
      </c>
      <c r="T37" s="15" t="n">
        <v>3024537.05</v>
      </c>
      <c r="U37" s="15" t="n">
        <v>2077107.98</v>
      </c>
      <c r="V37" s="15" t="n">
        <v>1815078.84</v>
      </c>
      <c r="W37" s="15" t="n">
        <v>70782.57000000001</v>
      </c>
      <c r="X37" s="15" t="n">
        <v>340706.83</v>
      </c>
      <c r="Y37" s="15" t="n">
        <v>3630314.89</v>
      </c>
      <c r="Z37" s="15" t="n">
        <v>4489025.31</v>
      </c>
      <c r="AA37" s="15" t="n">
        <v>3365286.44</v>
      </c>
      <c r="AB37" s="15" t="n">
        <v>1044906.39</v>
      </c>
      <c r="AC37" s="15" t="n">
        <v>740984.05</v>
      </c>
      <c r="AD37" s="15" t="n">
        <v>1980377.18</v>
      </c>
      <c r="AE37" s="15" t="n">
        <v>3964358.32</v>
      </c>
      <c r="AF37" s="15" t="n">
        <v>3789383.7</v>
      </c>
      <c r="AG37" s="15" t="n">
        <v>4354120.31</v>
      </c>
      <c r="AH37" s="15" t="n">
        <v>2164484.8</v>
      </c>
      <c r="AI37" s="15" t="n">
        <v>51807.51</v>
      </c>
      <c r="AJ37" s="15" t="n">
        <v>602156.42</v>
      </c>
      <c r="AK37" s="15" t="n">
        <v>5812465.59</v>
      </c>
      <c r="AL37" s="15" t="n">
        <v>3301349.45</v>
      </c>
      <c r="AM37" s="15" t="n">
        <v>639097.7</v>
      </c>
      <c r="AN37" s="15" t="n">
        <v>2554009.62</v>
      </c>
      <c r="AO37" s="15" t="n">
        <v>257929.15</v>
      </c>
      <c r="AP37" s="15" t="n">
        <v>2201602.11</v>
      </c>
      <c r="AQ37" s="15" t="n">
        <v>923198.77</v>
      </c>
      <c r="AR37" s="15" t="n">
        <v>4485007.48</v>
      </c>
      <c r="AS37" s="15" t="n">
        <v>866589.52</v>
      </c>
      <c r="AT37" s="15" t="n">
        <v>2522187.06</v>
      </c>
      <c r="AU37" s="15" t="n">
        <v>323386.26</v>
      </c>
      <c r="AV37" s="15" t="n">
        <v>506403.3</v>
      </c>
      <c r="AW37" s="15" t="n">
        <v>5908499.9</v>
      </c>
      <c r="AX37" s="15" t="n">
        <v>5863559.88</v>
      </c>
      <c r="AY37" s="15" t="n">
        <v>4035125.07</v>
      </c>
      <c r="AZ37" s="15" t="n">
        <v>2068669.44</v>
      </c>
      <c r="BA37" s="15" t="n">
        <v>429209.71</v>
      </c>
      <c r="BB37" s="15" t="n">
        <v>1014985.52</v>
      </c>
      <c r="BC37" s="15" t="n">
        <v>1918427.65</v>
      </c>
      <c r="BD37" s="15" t="n">
        <v>6393208.23</v>
      </c>
      <c r="BE37" s="15" t="n">
        <v>3527950.03</v>
      </c>
      <c r="BF37" s="15" t="n">
        <v>1176733.01</v>
      </c>
      <c r="BG37" s="15" t="n">
        <v>626507.37</v>
      </c>
      <c r="BH37" s="15" t="n">
        <v>1251410.9</v>
      </c>
      <c r="BI37" s="15" t="n">
        <v>2865053.05</v>
      </c>
      <c r="BJ37" s="15" t="n">
        <v>5539869.68</v>
      </c>
      <c r="BK37" s="15" t="n">
        <v>270304.2</v>
      </c>
      <c r="BL37" s="15" t="n">
        <v>238908.51</v>
      </c>
      <c r="BM37" s="15" t="n">
        <v>441231.63</v>
      </c>
      <c r="BN37" s="15" t="n">
        <v>-158231.24</v>
      </c>
      <c r="BO37" s="15" t="n">
        <v>5347144.97</v>
      </c>
      <c r="BP37" s="15" t="n">
        <v>406677.79</v>
      </c>
      <c r="BQ37" s="15" t="n">
        <v>1014489.89</v>
      </c>
      <c r="BR37" s="15" t="n">
        <v>1534209.71</v>
      </c>
      <c r="BS37" s="15" t="n">
        <v>250366.12</v>
      </c>
      <c r="BT37" s="15" t="n">
        <v>700845.12</v>
      </c>
      <c r="BU37" s="15" t="n">
        <v>5515927.87</v>
      </c>
      <c r="BV37" s="15" t="n">
        <v>5361840.5</v>
      </c>
      <c r="BW37" s="15" t="n">
        <v>2871846.25</v>
      </c>
      <c r="BX37" s="15" t="n">
        <v>2193538.42</v>
      </c>
      <c r="BY37" s="15" t="n">
        <v>223047.07</v>
      </c>
      <c r="BZ37" s="15" t="n">
        <v>1853600.83</v>
      </c>
      <c r="CA37" s="15" t="n">
        <v>4549036.35</v>
      </c>
      <c r="CB37" s="15" t="n">
        <v>1855031.82</v>
      </c>
      <c r="CC37" s="15" t="n">
        <v>2620182.37</v>
      </c>
      <c r="CD37" s="15" t="n">
        <v>2909167.8</v>
      </c>
      <c r="CE37" s="15" t="n">
        <v>422537.09</v>
      </c>
      <c r="CF37" s="15" t="n">
        <v>404550.73</v>
      </c>
      <c r="CG37" s="15" t="n">
        <v>1358726.95</v>
      </c>
      <c r="CH37" s="15" t="n">
        <v>4371671.58</v>
      </c>
      <c r="CI37" s="15" t="n">
        <v>1492189.81</v>
      </c>
      <c r="CJ37" s="15" t="n">
        <v>1738463.9</v>
      </c>
      <c r="CK37" s="15" t="n">
        <v>380890.97</v>
      </c>
      <c r="CL37" s="15" t="n">
        <v>1035373.27</v>
      </c>
      <c r="CM37" s="15" t="n">
        <v>963495.24</v>
      </c>
      <c r="CN37" s="15" t="n">
        <v>1628289.64</v>
      </c>
      <c r="CO37" s="15" t="n">
        <v>148530.99</v>
      </c>
      <c r="CP37" s="15" t="n">
        <v>902565.35</v>
      </c>
      <c r="CQ37" s="15" t="n">
        <v>700398.26</v>
      </c>
      <c r="CR37" s="15" t="n">
        <v>1080988.39</v>
      </c>
      <c r="CS37" s="15" t="n">
        <v>1608340.36</v>
      </c>
      <c r="CT37" s="15" t="n">
        <v>5978185.31</v>
      </c>
      <c r="CU37" s="15" t="n">
        <v>862382.46</v>
      </c>
      <c r="CV37" s="15" t="n">
        <v>1901868.39</v>
      </c>
      <c r="CW37" s="15" t="n">
        <v>91119.99000000001</v>
      </c>
      <c r="CX37" s="15" t="n">
        <v>2164511.39</v>
      </c>
      <c r="CY37" s="15" t="n">
        <v>3547596.66</v>
      </c>
      <c r="CZ37" s="15" t="n">
        <v>457594.61</v>
      </c>
      <c r="DA37" s="15" t="n">
        <v>3422619.86</v>
      </c>
      <c r="DB37" s="15" t="n">
        <v>1815456.22</v>
      </c>
      <c r="DC37" s="15" t="n">
        <v>646966.88</v>
      </c>
      <c r="DD37" s="15" t="n">
        <v>-263278.74</v>
      </c>
      <c r="DE37" s="15" t="n">
        <v>1847584.33</v>
      </c>
      <c r="DF37" s="15" t="n">
        <v>5014461.71</v>
      </c>
      <c r="DG37" s="15" t="n">
        <v>1336650.23</v>
      </c>
      <c r="DH37" s="15" t="n">
        <v>2482303.98</v>
      </c>
      <c r="DI37" s="15" t="n">
        <v>245432.46</v>
      </c>
      <c r="DJ37" s="15" t="n">
        <v>843625.86</v>
      </c>
      <c r="DK37" s="15" t="n">
        <v>3794149.78</v>
      </c>
      <c r="DL37" s="15" t="n">
        <v>6180198.18</v>
      </c>
      <c r="DM37" s="15" t="n">
        <v>250309.75</v>
      </c>
      <c r="DN37" s="15" t="n">
        <v>2059226.98</v>
      </c>
      <c r="DO37" s="15" t="n">
        <v>573844.49</v>
      </c>
      <c r="DP37" s="15" t="n">
        <v>55781.39</v>
      </c>
    </row>
    <row r="38">
      <c r="A38" s="4" t="inlineStr">
        <is>
          <t>其他产品B</t>
        </is>
      </c>
      <c r="B38" s="15" t="n">
        <v>4249992.25</v>
      </c>
      <c r="C38" s="15" t="n">
        <v>3219823.52</v>
      </c>
      <c r="D38" s="15" t="n">
        <v>2047762.64</v>
      </c>
      <c r="E38" s="15" t="n">
        <v>740633.75</v>
      </c>
      <c r="F38" s="15" t="n">
        <v>692431.67</v>
      </c>
      <c r="G38" s="15" t="n">
        <v>2649610.98</v>
      </c>
      <c r="H38" s="15" t="n">
        <v>7454021.84</v>
      </c>
      <c r="I38" s="15" t="n">
        <v>1797739.57</v>
      </c>
      <c r="J38" s="15" t="n">
        <v>520996.42</v>
      </c>
      <c r="K38" s="15" t="n">
        <v>550015.9399999999</v>
      </c>
      <c r="L38" s="15" t="n">
        <v>1171958.46</v>
      </c>
      <c r="M38" s="15" t="n">
        <v>2002665.62</v>
      </c>
      <c r="N38" s="15" t="n">
        <v>7465848.2</v>
      </c>
      <c r="O38" s="15" t="n">
        <v>403258.49</v>
      </c>
      <c r="P38" s="15" t="n">
        <v>629977.17</v>
      </c>
      <c r="Q38" s="15" t="n">
        <v>712505.61</v>
      </c>
      <c r="R38" s="15" t="n">
        <v>489843.02</v>
      </c>
      <c r="S38" s="15" t="n">
        <v>3928274.29</v>
      </c>
      <c r="T38" s="15" t="n">
        <v>4296686.41</v>
      </c>
      <c r="U38" s="15" t="n">
        <v>3697848.26</v>
      </c>
      <c r="V38" s="15" t="n">
        <v>1427042.29</v>
      </c>
      <c r="W38" s="15" t="n">
        <v>175132.59</v>
      </c>
      <c r="X38" s="15" t="n">
        <v>875895.53</v>
      </c>
      <c r="Y38" s="15" t="n">
        <v>1826355.94</v>
      </c>
      <c r="Z38" s="15" t="n">
        <v>5292952.79</v>
      </c>
      <c r="AA38" s="15" t="n">
        <v>947411.5600000001</v>
      </c>
      <c r="AB38" s="15" t="n">
        <v>1598300.84</v>
      </c>
      <c r="AC38" s="15" t="n">
        <v>390242.08</v>
      </c>
      <c r="AD38" s="15" t="n">
        <v>739040.95</v>
      </c>
      <c r="AE38" s="15" t="n">
        <v>1067150.1</v>
      </c>
      <c r="AF38" s="15" t="n">
        <v>5708271.5</v>
      </c>
      <c r="AG38" s="15" t="n">
        <v>3020486</v>
      </c>
      <c r="AH38" s="15" t="n">
        <v>1911907.93</v>
      </c>
      <c r="AI38" s="15" t="n">
        <v>656359.27</v>
      </c>
      <c r="AJ38" s="15" t="n">
        <v>1788309.39</v>
      </c>
      <c r="AK38" s="15" t="n">
        <v>4269186.53</v>
      </c>
      <c r="AL38" s="15" t="n">
        <v>1475649.89</v>
      </c>
      <c r="AM38" s="15" t="n">
        <v>3406807.53</v>
      </c>
      <c r="AN38" s="15" t="n">
        <v>749796.87</v>
      </c>
      <c r="AO38" s="15" t="n">
        <v>137630.42</v>
      </c>
      <c r="AP38" s="15" t="n">
        <v>-288742.13</v>
      </c>
      <c r="AQ38" s="15" t="n">
        <v>839761.17</v>
      </c>
      <c r="AR38" s="15" t="n">
        <v>7010525.54</v>
      </c>
      <c r="AS38" s="15" t="n">
        <v>2556250.37</v>
      </c>
      <c r="AT38" s="15" t="n">
        <v>1666266.29</v>
      </c>
      <c r="AU38" s="15" t="n">
        <v>101156.51</v>
      </c>
      <c r="AV38" s="15" t="n">
        <v>269320.54</v>
      </c>
      <c r="AW38" s="15" t="n">
        <v>5218677.16</v>
      </c>
      <c r="AX38" s="15" t="n">
        <v>720940.92</v>
      </c>
      <c r="AY38" s="15" t="n">
        <v>2162276.52</v>
      </c>
      <c r="AZ38" s="15" t="n">
        <v>1262435.24</v>
      </c>
      <c r="BA38" s="15" t="n">
        <v>265723.35</v>
      </c>
      <c r="BB38" s="15" t="n">
        <v>1814481.27</v>
      </c>
      <c r="BC38" s="15" t="n">
        <v>2507231.16</v>
      </c>
      <c r="BD38" s="15" t="n">
        <v>3474548.98</v>
      </c>
      <c r="BE38" s="15" t="n">
        <v>405208.87</v>
      </c>
      <c r="BF38" s="15" t="n">
        <v>435687.78</v>
      </c>
      <c r="BG38" s="15" t="n">
        <v>532693.88</v>
      </c>
      <c r="BH38" s="15" t="n">
        <v>1928327</v>
      </c>
      <c r="BI38" s="15" t="n">
        <v>4029570.39</v>
      </c>
      <c r="BJ38" s="15" t="n">
        <v>4212137.36</v>
      </c>
      <c r="BK38" s="15" t="n">
        <v>684352.21</v>
      </c>
      <c r="BL38" s="15" t="n">
        <v>129107.25</v>
      </c>
      <c r="BM38" s="15" t="n">
        <v>182336.6</v>
      </c>
      <c r="BN38" s="15" t="n">
        <v>2050761.78</v>
      </c>
      <c r="BO38" s="15" t="n">
        <v>3240316.61</v>
      </c>
      <c r="BP38" s="15" t="n">
        <v>7371859.49</v>
      </c>
      <c r="BQ38" s="15" t="n">
        <v>2047647.46</v>
      </c>
      <c r="BR38" s="15" t="n">
        <v>2417366.52</v>
      </c>
      <c r="BS38" s="15" t="n">
        <v>213314.81</v>
      </c>
      <c r="BT38" s="15" t="n">
        <v>611680.34</v>
      </c>
      <c r="BU38" s="15" t="n">
        <v>3790565.03</v>
      </c>
      <c r="BV38" s="15" t="n">
        <v>6824876.35</v>
      </c>
      <c r="BW38" s="15" t="n">
        <v>1140581.46</v>
      </c>
      <c r="BX38" s="15" t="n">
        <v>2512803.02</v>
      </c>
      <c r="BY38" s="15" t="n">
        <v>168772.44</v>
      </c>
      <c r="BZ38" s="15" t="n">
        <v>-266953.09</v>
      </c>
      <c r="CA38" s="15" t="n">
        <v>2694888.38</v>
      </c>
      <c r="CB38" s="15" t="n">
        <v>4044503.59</v>
      </c>
      <c r="CC38" s="15" t="n">
        <v>578470.2</v>
      </c>
      <c r="CD38" s="15" t="n">
        <v>2619583.49</v>
      </c>
      <c r="CE38" s="15" t="n">
        <v>139764.55</v>
      </c>
      <c r="CF38" s="15" t="n">
        <v>1637038.11</v>
      </c>
      <c r="CG38" s="15" t="n">
        <v>2896235.58</v>
      </c>
      <c r="CH38" s="15" t="n">
        <v>6976793.82</v>
      </c>
      <c r="CI38" s="15" t="n">
        <v>1757002.35</v>
      </c>
      <c r="CJ38" s="15" t="n">
        <v>1044562.88</v>
      </c>
      <c r="CK38" s="15" t="n">
        <v>662126.79</v>
      </c>
      <c r="CL38" s="15" t="n">
        <v>-136431.9</v>
      </c>
      <c r="CM38" s="15" t="n">
        <v>5549760.16</v>
      </c>
      <c r="CN38" s="15" t="n">
        <v>2221258.74</v>
      </c>
      <c r="CO38" s="15" t="n">
        <v>3801136.81</v>
      </c>
      <c r="CP38" s="15" t="n">
        <v>1445575.88</v>
      </c>
      <c r="CQ38" s="15" t="n">
        <v>205191.27</v>
      </c>
      <c r="CR38" s="15" t="n">
        <v>626895.28</v>
      </c>
      <c r="CS38" s="15" t="n">
        <v>4202978.09</v>
      </c>
      <c r="CT38" s="15" t="n">
        <v>2422435.72</v>
      </c>
      <c r="CU38" s="15" t="n">
        <v>1099358.4</v>
      </c>
      <c r="CV38" s="15" t="n">
        <v>1088505.55</v>
      </c>
      <c r="CW38" s="15" t="n">
        <v>145608.09</v>
      </c>
      <c r="CX38" s="15" t="n">
        <v>830676.2</v>
      </c>
      <c r="CY38" s="15" t="n">
        <v>1886636.43</v>
      </c>
      <c r="CZ38" s="15" t="n">
        <v>6079700.95</v>
      </c>
      <c r="DA38" s="15" t="n">
        <v>3079639.61</v>
      </c>
      <c r="DB38" s="15" t="n">
        <v>2848929.79</v>
      </c>
      <c r="DC38" s="15" t="n">
        <v>395882.88</v>
      </c>
      <c r="DD38" s="15" t="n">
        <v>72852.28</v>
      </c>
      <c r="DE38" s="15" t="n">
        <v>5153686.51</v>
      </c>
      <c r="DF38" s="15" t="n">
        <v>1175295.08</v>
      </c>
      <c r="DG38" s="15" t="n">
        <v>1938940.87</v>
      </c>
      <c r="DH38" s="15" t="n">
        <v>2535592.19</v>
      </c>
      <c r="DI38" s="15" t="n">
        <v>458604.63</v>
      </c>
      <c r="DJ38" s="15" t="n">
        <v>2166210.18</v>
      </c>
      <c r="DK38" s="15" t="n">
        <v>4278313.39</v>
      </c>
      <c r="DL38" s="15" t="n">
        <v>6150334.06</v>
      </c>
      <c r="DM38" s="15" t="n">
        <v>1700974.41</v>
      </c>
      <c r="DN38" s="15" t="n">
        <v>339558.47</v>
      </c>
      <c r="DO38" s="15" t="n">
        <v>695236.46</v>
      </c>
      <c r="DP38" s="15" t="n">
        <v>1788283.21</v>
      </c>
    </row>
    <row r="39">
      <c r="A39" s="4" t="inlineStr">
        <is>
          <t>其他产品C</t>
        </is>
      </c>
      <c r="B39" s="15" t="n">
        <v>2462856.28</v>
      </c>
      <c r="C39" s="15" t="n">
        <v>1998562.5</v>
      </c>
      <c r="D39" s="15" t="n">
        <v>2682669.54</v>
      </c>
      <c r="E39" s="15" t="n">
        <v>593699.65</v>
      </c>
      <c r="F39" s="15" t="n">
        <v>1085787.57</v>
      </c>
      <c r="G39" s="15" t="n">
        <v>2144594.98</v>
      </c>
      <c r="H39" s="15" t="n">
        <v>2500287.3</v>
      </c>
      <c r="I39" s="15" t="n">
        <v>1976708.08</v>
      </c>
      <c r="J39" s="15" t="n">
        <v>2216004.88</v>
      </c>
      <c r="K39" s="15" t="n">
        <v>378417.4</v>
      </c>
      <c r="L39" s="15" t="n">
        <v>-205453.1</v>
      </c>
      <c r="M39" s="15" t="n">
        <v>2285423.63</v>
      </c>
      <c r="N39" s="15" t="n">
        <v>5008487.85</v>
      </c>
      <c r="O39" s="15" t="n">
        <v>3401496.86</v>
      </c>
      <c r="P39" s="15" t="n">
        <v>2543869.54</v>
      </c>
      <c r="Q39" s="15" t="n">
        <v>406062.33</v>
      </c>
      <c r="R39" s="15" t="n">
        <v>2174915.51</v>
      </c>
      <c r="S39" s="15" t="n">
        <v>3322225.29</v>
      </c>
      <c r="T39" s="15" t="n">
        <v>3854435.69</v>
      </c>
      <c r="U39" s="15" t="n">
        <v>1013977.27</v>
      </c>
      <c r="V39" s="15" t="n">
        <v>231101.39</v>
      </c>
      <c r="W39" s="15" t="n">
        <v>443426.09</v>
      </c>
      <c r="X39" s="15" t="n">
        <v>360901.05</v>
      </c>
      <c r="Y39" s="15" t="n">
        <v>2022832.26</v>
      </c>
      <c r="Z39" s="15" t="n">
        <v>594913.3</v>
      </c>
      <c r="AA39" s="15" t="n">
        <v>3438963.56</v>
      </c>
      <c r="AB39" s="15" t="n">
        <v>980513.6800000001</v>
      </c>
      <c r="AC39" s="15" t="n">
        <v>715507.15</v>
      </c>
      <c r="AD39" s="15" t="n">
        <v>-168367.36</v>
      </c>
      <c r="AE39" s="15" t="n">
        <v>5539830.5</v>
      </c>
      <c r="AF39" s="15" t="n">
        <v>2349084.93</v>
      </c>
      <c r="AG39" s="15" t="n">
        <v>3377856.24</v>
      </c>
      <c r="AH39" s="15" t="n">
        <v>1051984.64</v>
      </c>
      <c r="AI39" s="15" t="n">
        <v>164021.64</v>
      </c>
      <c r="AJ39" s="15" t="n">
        <v>314664.46</v>
      </c>
      <c r="AK39" s="15" t="n">
        <v>1334624.23</v>
      </c>
      <c r="AL39" s="15" t="n">
        <v>4122528.93</v>
      </c>
      <c r="AM39" s="15" t="n">
        <v>754718.74</v>
      </c>
      <c r="AN39" s="15" t="n">
        <v>922940.34</v>
      </c>
      <c r="AO39" s="15" t="n">
        <v>729103.05</v>
      </c>
      <c r="AP39" s="15" t="n">
        <v>616892.08</v>
      </c>
      <c r="AQ39" s="15" t="n">
        <v>1759911.12</v>
      </c>
      <c r="AR39" s="15" t="n">
        <v>2509521.39</v>
      </c>
      <c r="AS39" s="15" t="n">
        <v>326360.73</v>
      </c>
      <c r="AT39" s="15" t="n">
        <v>259077.07</v>
      </c>
      <c r="AU39" s="15" t="n">
        <v>649727.9300000001</v>
      </c>
      <c r="AV39" s="15" t="n">
        <v>1928163.79</v>
      </c>
      <c r="AW39" s="15" t="n">
        <v>4368108.11</v>
      </c>
      <c r="AX39" s="15" t="n">
        <v>6421239.98</v>
      </c>
      <c r="AY39" s="15" t="n">
        <v>4229080.98</v>
      </c>
      <c r="AZ39" s="15" t="n">
        <v>1924764.8</v>
      </c>
      <c r="BA39" s="15" t="n">
        <v>310784.95</v>
      </c>
      <c r="BB39" s="15" t="n">
        <v>1065306.91</v>
      </c>
      <c r="BC39" s="15" t="n">
        <v>164430.8</v>
      </c>
      <c r="BD39" s="15" t="n">
        <v>4852796.13</v>
      </c>
      <c r="BE39" s="15" t="n">
        <v>3636073.54</v>
      </c>
      <c r="BF39" s="15" t="n">
        <v>2885697.42</v>
      </c>
      <c r="BG39" s="15" t="n">
        <v>746597.12</v>
      </c>
      <c r="BH39" s="15" t="n">
        <v>1584413.31</v>
      </c>
      <c r="BI39" s="15" t="n">
        <v>5459022.26</v>
      </c>
      <c r="BJ39" s="15" t="n">
        <v>3560306.37</v>
      </c>
      <c r="BK39" s="15" t="n">
        <v>1754934.05</v>
      </c>
      <c r="BL39" s="15" t="n">
        <v>2005324.89</v>
      </c>
      <c r="BM39" s="15" t="n">
        <v>564369.1800000001</v>
      </c>
      <c r="BN39" s="15" t="n">
        <v>693693.47</v>
      </c>
      <c r="BO39" s="15" t="n">
        <v>1064944.12</v>
      </c>
      <c r="BP39" s="15" t="n">
        <v>6983095.88</v>
      </c>
      <c r="BQ39" s="15" t="n">
        <v>2344607.65</v>
      </c>
      <c r="BR39" s="15" t="n">
        <v>1906853.55</v>
      </c>
      <c r="BS39" s="15" t="n">
        <v>441304.12</v>
      </c>
      <c r="BT39" s="15" t="n">
        <v>879867.26</v>
      </c>
      <c r="BU39" s="15" t="n">
        <v>4446718.8</v>
      </c>
      <c r="BV39" s="15" t="n">
        <v>3688301.18</v>
      </c>
      <c r="BW39" s="15" t="n">
        <v>3279925.24</v>
      </c>
      <c r="BX39" s="15" t="n">
        <v>564193.83</v>
      </c>
      <c r="BY39" s="15" t="n">
        <v>670816.53</v>
      </c>
      <c r="BZ39" s="15" t="n">
        <v>249779.86</v>
      </c>
      <c r="CA39" s="15" t="n">
        <v>2880030.45</v>
      </c>
      <c r="CB39" s="15" t="n">
        <v>1687015.59</v>
      </c>
      <c r="CC39" s="15" t="n">
        <v>2544205.73</v>
      </c>
      <c r="CD39" s="15" t="n">
        <v>1964813.94</v>
      </c>
      <c r="CE39" s="15" t="n">
        <v>220145.27</v>
      </c>
      <c r="CF39" s="15" t="n">
        <v>1128679.27</v>
      </c>
      <c r="CG39" s="15" t="n">
        <v>2730134.42</v>
      </c>
      <c r="CH39" s="15" t="n">
        <v>6546417.94</v>
      </c>
      <c r="CI39" s="15" t="n">
        <v>907705.89</v>
      </c>
      <c r="CJ39" s="15" t="n">
        <v>1594030</v>
      </c>
      <c r="CK39" s="15" t="n">
        <v>434536.25</v>
      </c>
      <c r="CL39" s="15" t="n">
        <v>1912926.38</v>
      </c>
      <c r="CM39" s="15" t="n">
        <v>5517879.2</v>
      </c>
      <c r="CN39" s="15" t="n">
        <v>6004462.35</v>
      </c>
      <c r="CO39" s="15" t="n">
        <v>773625.02</v>
      </c>
      <c r="CP39" s="15" t="n">
        <v>2179994.91</v>
      </c>
      <c r="CQ39" s="15" t="n">
        <v>714295.52</v>
      </c>
      <c r="CR39" s="15" t="n">
        <v>-69795.17</v>
      </c>
      <c r="CS39" s="15" t="n">
        <v>4789811.15</v>
      </c>
      <c r="CT39" s="15" t="n">
        <v>7228137.62</v>
      </c>
      <c r="CU39" s="15" t="n">
        <v>4205232.02</v>
      </c>
      <c r="CV39" s="15" t="n">
        <v>2114042.44</v>
      </c>
      <c r="CW39" s="15" t="n">
        <v>117530.97</v>
      </c>
      <c r="CX39" s="15" t="n">
        <v>1621853.02</v>
      </c>
      <c r="CY39" s="15" t="n">
        <v>125741.09</v>
      </c>
      <c r="CZ39" s="15" t="n">
        <v>7051922.56</v>
      </c>
      <c r="DA39" s="15" t="n">
        <v>4494952.86</v>
      </c>
      <c r="DB39" s="15" t="n">
        <v>1193519.97</v>
      </c>
      <c r="DC39" s="15" t="n">
        <v>271160.41</v>
      </c>
      <c r="DD39" s="15" t="n">
        <v>1447267.93</v>
      </c>
      <c r="DE39" s="15" t="n">
        <v>1594150.41</v>
      </c>
      <c r="DF39" s="15" t="n">
        <v>5532732.52</v>
      </c>
      <c r="DG39" s="15" t="n">
        <v>4109432.77</v>
      </c>
      <c r="DH39" s="15" t="n">
        <v>1100776.42</v>
      </c>
      <c r="DI39" s="15" t="n">
        <v>266168.6</v>
      </c>
      <c r="DJ39" s="15" t="n">
        <v>409422.14</v>
      </c>
      <c r="DK39" s="15" t="n">
        <v>5078677.1</v>
      </c>
      <c r="DL39" s="15" t="n">
        <v>4654933.65</v>
      </c>
      <c r="DM39" s="15" t="n">
        <v>1493692.38</v>
      </c>
      <c r="DN39" s="15" t="n">
        <v>2695696.7</v>
      </c>
      <c r="DO39" s="15" t="n">
        <v>667545.49</v>
      </c>
      <c r="DP39" s="15" t="n">
        <v>2036661.5</v>
      </c>
    </row>
    <row r="40">
      <c r="A40" s="4" t="inlineStr">
        <is>
          <t>数控机床</t>
        </is>
      </c>
      <c r="B40" s="15" t="n">
        <v>778705.74</v>
      </c>
      <c r="C40" s="15" t="n">
        <v>3467277.65</v>
      </c>
      <c r="D40" s="15" t="n">
        <v>181962.9</v>
      </c>
      <c r="E40" s="15" t="n">
        <v>185698.17</v>
      </c>
      <c r="F40" s="15" t="n">
        <v>725959.52</v>
      </c>
      <c r="G40" s="15" t="n">
        <v>284581.64</v>
      </c>
      <c r="H40" s="15" t="n">
        <v>6798655.2</v>
      </c>
      <c r="I40" s="15" t="n">
        <v>789043.97</v>
      </c>
      <c r="J40" s="15" t="n">
        <v>477467.87</v>
      </c>
      <c r="K40" s="15" t="n">
        <v>364009.93</v>
      </c>
      <c r="L40" s="15" t="n">
        <v>532277.88</v>
      </c>
      <c r="M40" s="15" t="n">
        <v>1900255.81</v>
      </c>
      <c r="N40" s="15" t="n">
        <v>4650943.15</v>
      </c>
      <c r="O40" s="15" t="n">
        <v>1449830.98</v>
      </c>
      <c r="P40" s="15" t="n">
        <v>1356928.26</v>
      </c>
      <c r="Q40" s="15" t="n">
        <v>612793.28</v>
      </c>
      <c r="R40" s="15" t="n">
        <v>1093992.1</v>
      </c>
      <c r="S40" s="15" t="n">
        <v>2356183.64</v>
      </c>
      <c r="T40" s="15" t="n">
        <v>3406261.96</v>
      </c>
      <c r="U40" s="15" t="n">
        <v>1971448.57</v>
      </c>
      <c r="V40" s="15" t="n">
        <v>2385821.16</v>
      </c>
      <c r="W40" s="15" t="n">
        <v>444396.78</v>
      </c>
      <c r="X40" s="15" t="n">
        <v>813549.98</v>
      </c>
      <c r="Y40" s="15" t="n">
        <v>938976.52</v>
      </c>
      <c r="Z40" s="15" t="n">
        <v>1581037.31</v>
      </c>
      <c r="AA40" s="15" t="n">
        <v>3527421.57</v>
      </c>
      <c r="AB40" s="15" t="n">
        <v>2387455.88</v>
      </c>
      <c r="AC40" s="15" t="n">
        <v>58866.69</v>
      </c>
      <c r="AD40" s="15" t="n">
        <v>765457</v>
      </c>
      <c r="AE40" s="15" t="n">
        <v>5120552.02</v>
      </c>
      <c r="AF40" s="15" t="n">
        <v>3147205.17</v>
      </c>
      <c r="AG40" s="15" t="n">
        <v>2454848.43</v>
      </c>
      <c r="AH40" s="15" t="n">
        <v>1176225.94</v>
      </c>
      <c r="AI40" s="15" t="n">
        <v>720905.47</v>
      </c>
      <c r="AJ40" s="15" t="n">
        <v>236333.97</v>
      </c>
      <c r="AK40" s="15" t="n">
        <v>2696933.22</v>
      </c>
      <c r="AL40" s="15" t="n">
        <v>521460.66</v>
      </c>
      <c r="AM40" s="15" t="n">
        <v>3089167.59</v>
      </c>
      <c r="AN40" s="15" t="n">
        <v>2477296.46</v>
      </c>
      <c r="AO40" s="15" t="n">
        <v>708219.55</v>
      </c>
      <c r="AP40" s="15" t="n">
        <v>145839.39</v>
      </c>
      <c r="AQ40" s="15" t="n">
        <v>239274.13</v>
      </c>
      <c r="AR40" s="15" t="n">
        <v>1399488.83</v>
      </c>
      <c r="AS40" s="15" t="n">
        <v>1684217.69</v>
      </c>
      <c r="AT40" s="15" t="n">
        <v>1334905.69</v>
      </c>
      <c r="AU40" s="15" t="n">
        <v>397688.97</v>
      </c>
      <c r="AV40" s="15" t="n">
        <v>1718131.99</v>
      </c>
      <c r="AW40" s="15" t="n">
        <v>3882438.26</v>
      </c>
      <c r="AX40" s="15" t="n">
        <v>3053692.91</v>
      </c>
      <c r="AY40" s="15" t="n">
        <v>4204126.9</v>
      </c>
      <c r="AZ40" s="15" t="n">
        <v>2003207.61</v>
      </c>
      <c r="BA40" s="15" t="n">
        <v>303804.75</v>
      </c>
      <c r="BB40" s="15" t="n">
        <v>-101013.01</v>
      </c>
      <c r="BC40" s="15" t="n">
        <v>1309861.46</v>
      </c>
      <c r="BD40" s="15" t="n">
        <v>270879.97</v>
      </c>
      <c r="BE40" s="15" t="n">
        <v>2533621.42</v>
      </c>
      <c r="BF40" s="15" t="n">
        <v>1180711.37</v>
      </c>
      <c r="BG40" s="15" t="n">
        <v>90798.94</v>
      </c>
      <c r="BH40" s="15" t="n">
        <v>102128.33</v>
      </c>
      <c r="BI40" s="15" t="n">
        <v>2437493.42</v>
      </c>
      <c r="BJ40" s="15" t="n">
        <v>6707381.2</v>
      </c>
      <c r="BK40" s="15" t="n">
        <v>2357399.36</v>
      </c>
      <c r="BL40" s="15" t="n">
        <v>72416.05</v>
      </c>
      <c r="BM40" s="15" t="n">
        <v>709341.34</v>
      </c>
      <c r="BN40" s="15" t="n">
        <v>1487546.76</v>
      </c>
      <c r="BO40" s="15" t="n">
        <v>2502726.74</v>
      </c>
      <c r="BP40" s="15" t="n">
        <v>4623688.44</v>
      </c>
      <c r="BQ40" s="15" t="n">
        <v>2363649.04</v>
      </c>
      <c r="BR40" s="15" t="n">
        <v>2435525.55</v>
      </c>
      <c r="BS40" s="15" t="n">
        <v>590423.77</v>
      </c>
      <c r="BT40" s="15" t="n">
        <v>1402100.28</v>
      </c>
      <c r="BU40" s="15" t="n">
        <v>1773971.66</v>
      </c>
      <c r="BV40" s="15" t="n">
        <v>743410.4300000001</v>
      </c>
      <c r="BW40" s="15" t="n">
        <v>488244.54</v>
      </c>
      <c r="BX40" s="15" t="n">
        <v>2426832.81</v>
      </c>
      <c r="BY40" s="15" t="n">
        <v>191063.57</v>
      </c>
      <c r="BZ40" s="15" t="n">
        <v>1875745.38</v>
      </c>
      <c r="CA40" s="15" t="n">
        <v>4279302.74</v>
      </c>
      <c r="CB40" s="15" t="n">
        <v>6459590.05</v>
      </c>
      <c r="CC40" s="15" t="n">
        <v>3087971.57</v>
      </c>
      <c r="CD40" s="15" t="n">
        <v>709351.95</v>
      </c>
      <c r="CE40" s="15" t="n">
        <v>84837.7</v>
      </c>
      <c r="CF40" s="15" t="n">
        <v>1518990.51</v>
      </c>
      <c r="CG40" s="15" t="n">
        <v>4175280.88</v>
      </c>
      <c r="CH40" s="15" t="n">
        <v>3003190.45</v>
      </c>
      <c r="CI40" s="15" t="n">
        <v>1125770.03</v>
      </c>
      <c r="CJ40" s="15" t="n">
        <v>1144775.96</v>
      </c>
      <c r="CK40" s="15" t="n">
        <v>146508.92</v>
      </c>
      <c r="CL40" s="15" t="n">
        <v>1616930.98</v>
      </c>
      <c r="CM40" s="15" t="n">
        <v>964822.6</v>
      </c>
      <c r="CN40" s="15" t="n">
        <v>2164793.32</v>
      </c>
      <c r="CO40" s="15" t="n">
        <v>3781548.22</v>
      </c>
      <c r="CP40" s="15" t="n">
        <v>938900.35</v>
      </c>
      <c r="CQ40" s="15" t="n">
        <v>228226.65</v>
      </c>
      <c r="CR40" s="15" t="n">
        <v>-293215.61</v>
      </c>
      <c r="CS40" s="15" t="n">
        <v>3857686.51</v>
      </c>
      <c r="CT40" s="15" t="n">
        <v>3484803.83</v>
      </c>
      <c r="CU40" s="15" t="n">
        <v>4119805.5</v>
      </c>
      <c r="CV40" s="15" t="n">
        <v>2565003.56</v>
      </c>
      <c r="CW40" s="15" t="n">
        <v>293096.42</v>
      </c>
      <c r="CX40" s="15" t="n">
        <v>115245.36</v>
      </c>
      <c r="CY40" s="15" t="n">
        <v>3500630.68</v>
      </c>
      <c r="CZ40" s="15" t="n">
        <v>708251.25</v>
      </c>
      <c r="DA40" s="15" t="n">
        <v>3783528.21</v>
      </c>
      <c r="DB40" s="15" t="n">
        <v>1912548.91</v>
      </c>
      <c r="DC40" s="15" t="n">
        <v>390915.83</v>
      </c>
      <c r="DD40" s="15" t="n">
        <v>1043974.19</v>
      </c>
      <c r="DE40" s="15" t="n">
        <v>589217.05</v>
      </c>
      <c r="DF40" s="15" t="n">
        <v>2962475.64</v>
      </c>
      <c r="DG40" s="15" t="n">
        <v>4422511.81</v>
      </c>
      <c r="DH40" s="15" t="n">
        <v>1261278.9</v>
      </c>
      <c r="DI40" s="15" t="n">
        <v>47163.22</v>
      </c>
      <c r="DJ40" s="15" t="n">
        <v>1382552.09</v>
      </c>
      <c r="DK40" s="15" t="n">
        <v>473589.03</v>
      </c>
      <c r="DL40" s="15" t="n">
        <v>6517342.22</v>
      </c>
      <c r="DM40" s="15" t="n">
        <v>4019354.89</v>
      </c>
      <c r="DN40" s="15" t="n">
        <v>909696.9</v>
      </c>
      <c r="DO40" s="15" t="n">
        <v>449486.29</v>
      </c>
      <c r="DP40" s="15" t="n">
        <v>1324712.83</v>
      </c>
    </row>
    <row r="41">
      <c r="A41" s="4" t="inlineStr">
        <is>
          <t>精密轴承</t>
        </is>
      </c>
      <c r="B41" s="15" t="n">
        <v>3400152.03</v>
      </c>
      <c r="C41" s="15" t="n">
        <v>2791050.78</v>
      </c>
      <c r="D41" s="15" t="n">
        <v>1026436.36</v>
      </c>
      <c r="E41" s="15" t="n">
        <v>390667.59</v>
      </c>
      <c r="F41" s="15" t="n">
        <v>1317216.58</v>
      </c>
      <c r="G41" s="15" t="n">
        <v>742999.52</v>
      </c>
      <c r="H41" s="15" t="n">
        <v>6197774.58</v>
      </c>
      <c r="I41" s="15" t="n">
        <v>1764630.79</v>
      </c>
      <c r="J41" s="15" t="n">
        <v>2467323.77</v>
      </c>
      <c r="K41" s="15" t="n">
        <v>677620.62</v>
      </c>
      <c r="L41" s="15" t="n">
        <v>407513.51</v>
      </c>
      <c r="M41" s="15" t="n">
        <v>5790694.48</v>
      </c>
      <c r="N41" s="15" t="n">
        <v>3210636.9</v>
      </c>
      <c r="O41" s="15" t="n">
        <v>2852805.43</v>
      </c>
      <c r="P41" s="15" t="n">
        <v>1650696.1</v>
      </c>
      <c r="Q41" s="15" t="n">
        <v>226599.33</v>
      </c>
      <c r="R41" s="15" t="n">
        <v>2216215.6</v>
      </c>
      <c r="S41" s="15" t="n">
        <v>5257005.44</v>
      </c>
      <c r="T41" s="15" t="n">
        <v>1773239.21</v>
      </c>
      <c r="U41" s="15" t="n">
        <v>3740205.42</v>
      </c>
      <c r="V41" s="15" t="n">
        <v>2730257.54</v>
      </c>
      <c r="W41" s="15" t="n">
        <v>331471.5</v>
      </c>
      <c r="X41" s="15" t="n">
        <v>-157255.27</v>
      </c>
      <c r="Y41" s="15" t="n">
        <v>1164875.37</v>
      </c>
      <c r="Z41" s="15" t="n">
        <v>5172216.49</v>
      </c>
      <c r="AA41" s="15" t="n">
        <v>764184.46</v>
      </c>
      <c r="AB41" s="15" t="n">
        <v>658034.28</v>
      </c>
      <c r="AC41" s="15" t="n">
        <v>400751.4</v>
      </c>
      <c r="AD41" s="15" t="n">
        <v>197357.48</v>
      </c>
      <c r="AE41" s="15" t="n">
        <v>1684531.33</v>
      </c>
      <c r="AF41" s="15" t="n">
        <v>2018692.4</v>
      </c>
      <c r="AG41" s="15" t="n">
        <v>3774372.26</v>
      </c>
      <c r="AH41" s="15" t="n">
        <v>1398917.62</v>
      </c>
      <c r="AI41" s="15" t="n">
        <v>603185.87</v>
      </c>
      <c r="AJ41" s="15" t="n">
        <v>1337709.71</v>
      </c>
      <c r="AK41" s="15" t="n">
        <v>210032.67</v>
      </c>
      <c r="AL41" s="15" t="n">
        <v>3560802.39</v>
      </c>
      <c r="AM41" s="15" t="n">
        <v>846475.55</v>
      </c>
      <c r="AN41" s="15" t="n">
        <v>1561955.04</v>
      </c>
      <c r="AO41" s="15" t="n">
        <v>32623.99</v>
      </c>
      <c r="AP41" s="15" t="n">
        <v>321901.36</v>
      </c>
      <c r="AQ41" s="15" t="n">
        <v>3993624.44</v>
      </c>
      <c r="AR41" s="15" t="n">
        <v>7429951.18</v>
      </c>
      <c r="AS41" s="15" t="n">
        <v>2906640.45</v>
      </c>
      <c r="AT41" s="15" t="n">
        <v>2254616.36</v>
      </c>
      <c r="AU41" s="15" t="n">
        <v>632792.15</v>
      </c>
      <c r="AV41" s="15" t="n">
        <v>805988.8199999999</v>
      </c>
      <c r="AW41" s="15" t="n">
        <v>674401.22</v>
      </c>
      <c r="AX41" s="15" t="n">
        <v>4125528.82</v>
      </c>
      <c r="AY41" s="15" t="n">
        <v>1121873.71</v>
      </c>
      <c r="AZ41" s="15" t="n">
        <v>690454.71</v>
      </c>
      <c r="BA41" s="15" t="n">
        <v>161412.36</v>
      </c>
      <c r="BB41" s="15" t="n">
        <v>11249.97</v>
      </c>
      <c r="BC41" s="15" t="n">
        <v>4612080.97</v>
      </c>
      <c r="BD41" s="15" t="n">
        <v>2022224.68</v>
      </c>
      <c r="BE41" s="15" t="n">
        <v>2625357.53</v>
      </c>
      <c r="BF41" s="15" t="n">
        <v>970864.49</v>
      </c>
      <c r="BG41" s="15" t="n">
        <v>202768.75</v>
      </c>
      <c r="BH41" s="15" t="n">
        <v>1766464.72</v>
      </c>
      <c r="BI41" s="15" t="n">
        <v>1123743</v>
      </c>
      <c r="BJ41" s="15" t="n">
        <v>6905459.91</v>
      </c>
      <c r="BK41" s="15" t="n">
        <v>3910674.99</v>
      </c>
      <c r="BL41" s="15" t="n">
        <v>2094150.89</v>
      </c>
      <c r="BM41" s="15" t="n">
        <v>230139.49</v>
      </c>
      <c r="BN41" s="15" t="n">
        <v>1634013.96</v>
      </c>
      <c r="BO41" s="15" t="n">
        <v>1165305.98</v>
      </c>
      <c r="BP41" s="15" t="n">
        <v>192531.1</v>
      </c>
      <c r="BQ41" s="15" t="n">
        <v>3543042.29</v>
      </c>
      <c r="BR41" s="15" t="n">
        <v>1537706.54</v>
      </c>
      <c r="BS41" s="15" t="n">
        <v>508533.11</v>
      </c>
      <c r="BT41" s="15" t="n">
        <v>1099629.29</v>
      </c>
      <c r="BU41" s="15" t="n">
        <v>2216442.94</v>
      </c>
      <c r="BV41" s="15" t="n">
        <v>4953779.62</v>
      </c>
      <c r="BW41" s="15" t="n">
        <v>299733.7</v>
      </c>
      <c r="BX41" s="15" t="n">
        <v>1771934.33</v>
      </c>
      <c r="BY41" s="15" t="n">
        <v>749564.78</v>
      </c>
      <c r="BZ41" s="15" t="n">
        <v>603248.6</v>
      </c>
      <c r="CA41" s="15" t="n">
        <v>770696.4399999999</v>
      </c>
      <c r="CB41" s="15" t="n">
        <v>3387582.49</v>
      </c>
      <c r="CC41" s="15" t="n">
        <v>1820819.24</v>
      </c>
      <c r="CD41" s="15" t="n">
        <v>40648.72</v>
      </c>
      <c r="CE41" s="15" t="n">
        <v>729559.16</v>
      </c>
      <c r="CF41" s="15" t="n">
        <v>102702.87</v>
      </c>
      <c r="CG41" s="15" t="n">
        <v>3690790.7</v>
      </c>
      <c r="CH41" s="15" t="n">
        <v>1371897.47</v>
      </c>
      <c r="CI41" s="15" t="n">
        <v>4345034.97</v>
      </c>
      <c r="CJ41" s="15" t="n">
        <v>2557581.48</v>
      </c>
      <c r="CK41" s="15" t="n">
        <v>573044.01</v>
      </c>
      <c r="CL41" s="15" t="n">
        <v>916927.52</v>
      </c>
      <c r="CM41" s="15" t="n">
        <v>1460481.54</v>
      </c>
      <c r="CN41" s="15" t="n">
        <v>5386547.19</v>
      </c>
      <c r="CO41" s="15" t="n">
        <v>1318438.48</v>
      </c>
      <c r="CP41" s="15" t="n">
        <v>2756575.01</v>
      </c>
      <c r="CQ41" s="15" t="n">
        <v>61566.17</v>
      </c>
      <c r="CR41" s="15" t="n">
        <v>1962872.85</v>
      </c>
      <c r="CS41" s="15" t="n">
        <v>1856636.63</v>
      </c>
      <c r="CT41" s="15" t="n">
        <v>548200.59</v>
      </c>
      <c r="CU41" s="15" t="n">
        <v>3698860.65</v>
      </c>
      <c r="CV41" s="15" t="n">
        <v>2073357.59</v>
      </c>
      <c r="CW41" s="15" t="n">
        <v>139042.79</v>
      </c>
      <c r="CX41" s="15" t="n">
        <v>-183139.9</v>
      </c>
      <c r="CY41" s="15" t="n">
        <v>4563317.46</v>
      </c>
      <c r="CZ41" s="15" t="n">
        <v>3724627.88</v>
      </c>
      <c r="DA41" s="15" t="n">
        <v>2737561.52</v>
      </c>
      <c r="DB41" s="15" t="n">
        <v>2447828.93</v>
      </c>
      <c r="DC41" s="15" t="n">
        <v>594420.46</v>
      </c>
      <c r="DD41" s="15" t="n">
        <v>311256.81</v>
      </c>
      <c r="DE41" s="15" t="n">
        <v>1474480.38</v>
      </c>
      <c r="DF41" s="15" t="n">
        <v>7208078.67</v>
      </c>
      <c r="DG41" s="15" t="n">
        <v>1393983.24</v>
      </c>
      <c r="DH41" s="15" t="n">
        <v>2283287.41</v>
      </c>
      <c r="DI41" s="15" t="n">
        <v>699739.04</v>
      </c>
      <c r="DJ41" s="15" t="n">
        <v>2180922.54</v>
      </c>
      <c r="DK41" s="15" t="n">
        <v>4113521.64</v>
      </c>
      <c r="DL41" s="15" t="n">
        <v>1854968.72</v>
      </c>
      <c r="DM41" s="15" t="n">
        <v>2922801.02</v>
      </c>
      <c r="DN41" s="15" t="n">
        <v>1083696.86</v>
      </c>
      <c r="DO41" s="15" t="n">
        <v>169707.73</v>
      </c>
      <c r="DP41" s="15" t="n">
        <v>1189281.59</v>
      </c>
    </row>
    <row r="42">
      <c r="A42" s="4" t="inlineStr">
        <is>
          <t>液压件</t>
        </is>
      </c>
      <c r="B42" s="15" t="n">
        <v>2105226.2</v>
      </c>
      <c r="C42" s="15" t="n">
        <v>3807527.42</v>
      </c>
      <c r="D42" s="15" t="n">
        <v>1699562.62</v>
      </c>
      <c r="E42" s="15" t="n">
        <v>276926.37</v>
      </c>
      <c r="F42" s="15" t="n">
        <v>1037590.03</v>
      </c>
      <c r="G42" s="15" t="n">
        <v>1243534.62</v>
      </c>
      <c r="H42" s="15" t="n">
        <v>7392247.3</v>
      </c>
      <c r="I42" s="15" t="n">
        <v>2395269.54</v>
      </c>
      <c r="J42" s="15" t="n">
        <v>1932480.11</v>
      </c>
      <c r="K42" s="15" t="n">
        <v>618531.3199999999</v>
      </c>
      <c r="L42" s="15" t="n">
        <v>433079.66</v>
      </c>
      <c r="M42" s="15" t="n">
        <v>2539412.41</v>
      </c>
      <c r="N42" s="15" t="n">
        <v>1956571.15</v>
      </c>
      <c r="O42" s="15" t="n">
        <v>654663.72</v>
      </c>
      <c r="P42" s="15" t="n">
        <v>1957083.07</v>
      </c>
      <c r="Q42" s="15" t="n">
        <v>393776.62</v>
      </c>
      <c r="R42" s="15" t="n">
        <v>1770952.54</v>
      </c>
      <c r="S42" s="15" t="n">
        <v>2076275.6</v>
      </c>
      <c r="T42" s="15" t="n">
        <v>570612.03</v>
      </c>
      <c r="U42" s="15" t="n">
        <v>3749742.88</v>
      </c>
      <c r="V42" s="15" t="n">
        <v>2813940.9</v>
      </c>
      <c r="W42" s="15" t="n">
        <v>390700.8</v>
      </c>
      <c r="X42" s="15" t="n">
        <v>963722.64</v>
      </c>
      <c r="Y42" s="15" t="n">
        <v>742148.89</v>
      </c>
      <c r="Z42" s="15" t="n">
        <v>4446452.47</v>
      </c>
      <c r="AA42" s="15" t="n">
        <v>3777940.71</v>
      </c>
      <c r="AB42" s="15" t="n">
        <v>380217.78</v>
      </c>
      <c r="AC42" s="15" t="n">
        <v>107064.14</v>
      </c>
      <c r="AD42" s="15" t="n">
        <v>239079.36</v>
      </c>
      <c r="AE42" s="15" t="n">
        <v>2990772.5</v>
      </c>
      <c r="AF42" s="15" t="n">
        <v>920079.09</v>
      </c>
      <c r="AG42" s="15" t="n">
        <v>2799014.49</v>
      </c>
      <c r="AH42" s="15" t="n">
        <v>1465408.44</v>
      </c>
      <c r="AI42" s="15" t="n">
        <v>227371.12</v>
      </c>
      <c r="AJ42" s="15" t="n">
        <v>899826.73</v>
      </c>
      <c r="AK42" s="15" t="n">
        <v>4182330.12</v>
      </c>
      <c r="AL42" s="15" t="n">
        <v>4324800.64</v>
      </c>
      <c r="AM42" s="15" t="n">
        <v>3140904.2</v>
      </c>
      <c r="AN42" s="15" t="n">
        <v>1430846.61</v>
      </c>
      <c r="AO42" s="15" t="n">
        <v>371052.45</v>
      </c>
      <c r="AP42" s="15" t="n">
        <v>341132.2</v>
      </c>
      <c r="AQ42" s="15" t="n">
        <v>4319828.37</v>
      </c>
      <c r="AR42" s="15" t="n">
        <v>367285.72</v>
      </c>
      <c r="AS42" s="15" t="n">
        <v>3221211.27</v>
      </c>
      <c r="AT42" s="15" t="n">
        <v>1088938.02</v>
      </c>
      <c r="AU42" s="15" t="n">
        <v>402986.88</v>
      </c>
      <c r="AV42" s="15" t="n">
        <v>1968644.43</v>
      </c>
      <c r="AW42" s="15" t="n">
        <v>4164298.48</v>
      </c>
      <c r="AX42" s="15" t="n">
        <v>6877871.71</v>
      </c>
      <c r="AY42" s="15" t="n">
        <v>2427111.58</v>
      </c>
      <c r="AZ42" s="15" t="n">
        <v>1008775.1</v>
      </c>
      <c r="BA42" s="15" t="n">
        <v>701072.08</v>
      </c>
      <c r="BB42" s="15" t="n">
        <v>1623495.78</v>
      </c>
      <c r="BC42" s="15" t="n">
        <v>2935713.45</v>
      </c>
      <c r="BD42" s="15" t="n">
        <v>5888387.71</v>
      </c>
      <c r="BE42" s="15" t="n">
        <v>2731041</v>
      </c>
      <c r="BF42" s="15" t="n">
        <v>1232438.09</v>
      </c>
      <c r="BG42" s="15" t="n">
        <v>710037.13</v>
      </c>
      <c r="BH42" s="15" t="n">
        <v>828332.49</v>
      </c>
      <c r="BI42" s="15" t="n">
        <v>1408436.94</v>
      </c>
      <c r="BJ42" s="15" t="n">
        <v>2931574.84</v>
      </c>
      <c r="BK42" s="15" t="n">
        <v>346004.79</v>
      </c>
      <c r="BL42" s="15" t="n">
        <v>897787.88</v>
      </c>
      <c r="BM42" s="15" t="n">
        <v>663009.84</v>
      </c>
      <c r="BN42" s="15" t="n">
        <v>898406.79</v>
      </c>
      <c r="BO42" s="15" t="n">
        <v>728797.04</v>
      </c>
      <c r="BP42" s="15" t="n">
        <v>199098.28</v>
      </c>
      <c r="BQ42" s="15" t="n">
        <v>555800.9300000001</v>
      </c>
      <c r="BR42" s="15" t="n">
        <v>34669.17</v>
      </c>
      <c r="BS42" s="15" t="n">
        <v>335721.97</v>
      </c>
      <c r="BT42" s="15" t="n">
        <v>1215240.74</v>
      </c>
      <c r="BU42" s="15" t="n">
        <v>3066295.62</v>
      </c>
      <c r="BV42" s="15" t="n">
        <v>1280800.94</v>
      </c>
      <c r="BW42" s="15" t="n">
        <v>3795255.48</v>
      </c>
      <c r="BX42" s="15" t="n">
        <v>424293.47</v>
      </c>
      <c r="BY42" s="15" t="n">
        <v>407106.63</v>
      </c>
      <c r="BZ42" s="15" t="n">
        <v>2107498.29</v>
      </c>
      <c r="CA42" s="15" t="n">
        <v>3795881.33</v>
      </c>
      <c r="CB42" s="15" t="n">
        <v>184891.48</v>
      </c>
      <c r="CC42" s="15" t="n">
        <v>1042317.56</v>
      </c>
      <c r="CD42" s="15" t="n">
        <v>763787.9399999999</v>
      </c>
      <c r="CE42" s="15" t="n">
        <v>283286.49</v>
      </c>
      <c r="CF42" s="15" t="n">
        <v>725492.2</v>
      </c>
      <c r="CG42" s="15" t="n">
        <v>923986.3100000001</v>
      </c>
      <c r="CH42" s="15" t="n">
        <v>4616598.04</v>
      </c>
      <c r="CI42" s="15" t="n">
        <v>3214712.54</v>
      </c>
      <c r="CJ42" s="15" t="n">
        <v>1464959.03</v>
      </c>
      <c r="CK42" s="15" t="n">
        <v>339250.32</v>
      </c>
      <c r="CL42" s="15" t="n">
        <v>37616.53</v>
      </c>
      <c r="CM42" s="15" t="n">
        <v>5518023.26</v>
      </c>
      <c r="CN42" s="15" t="n">
        <v>3227707.36</v>
      </c>
      <c r="CO42" s="15" t="n">
        <v>1367440.68</v>
      </c>
      <c r="CP42" s="15" t="n">
        <v>1689991.08</v>
      </c>
      <c r="CQ42" s="15" t="n">
        <v>52720.01</v>
      </c>
      <c r="CR42" s="15" t="n">
        <v>1399420.44</v>
      </c>
      <c r="CS42" s="15" t="n">
        <v>700045.2</v>
      </c>
      <c r="CT42" s="15" t="n">
        <v>1592794.51</v>
      </c>
      <c r="CU42" s="15" t="n">
        <v>2162172.43</v>
      </c>
      <c r="CV42" s="15" t="n">
        <v>236407.66</v>
      </c>
      <c r="CW42" s="15" t="n">
        <v>246597.7</v>
      </c>
      <c r="CX42" s="15" t="n">
        <v>367143.33</v>
      </c>
      <c r="CY42" s="15" t="n">
        <v>3927449.11</v>
      </c>
      <c r="CZ42" s="15" t="n">
        <v>642860.79</v>
      </c>
      <c r="DA42" s="15" t="n">
        <v>1581916.37</v>
      </c>
      <c r="DB42" s="15" t="n">
        <v>1477829.61</v>
      </c>
      <c r="DC42" s="15" t="n">
        <v>666508.45</v>
      </c>
      <c r="DD42" s="15" t="n">
        <v>99666.69</v>
      </c>
      <c r="DE42" s="15" t="n">
        <v>5000188.91</v>
      </c>
      <c r="DF42" s="15" t="n">
        <v>7109067.49</v>
      </c>
      <c r="DG42" s="15" t="n">
        <v>1104465.25</v>
      </c>
      <c r="DH42" s="15" t="n">
        <v>1851431.07</v>
      </c>
      <c r="DI42" s="15" t="n">
        <v>23396.68</v>
      </c>
      <c r="DJ42" s="15" t="n">
        <v>2138612.07</v>
      </c>
      <c r="DK42" s="15" t="n">
        <v>4605692.98</v>
      </c>
      <c r="DL42" s="15" t="n">
        <v>2780537.04</v>
      </c>
      <c r="DM42" s="15" t="n">
        <v>2733422.74</v>
      </c>
      <c r="DN42" s="15" t="n">
        <v>432878.37</v>
      </c>
      <c r="DO42" s="15" t="n">
        <v>528167.33</v>
      </c>
      <c r="DP42" s="15" t="n">
        <v>1865624.3</v>
      </c>
    </row>
    <row r="43">
      <c r="A43" s="4" t="inlineStr">
        <is>
          <t>气动元件</t>
        </is>
      </c>
      <c r="B43" s="15" t="n">
        <v>456985.13</v>
      </c>
      <c r="C43" s="15" t="n">
        <v>2971773.58</v>
      </c>
      <c r="D43" s="15" t="n">
        <v>2945603.21</v>
      </c>
      <c r="E43" s="15" t="n">
        <v>153331.42</v>
      </c>
      <c r="F43" s="15" t="n">
        <v>1230224.63</v>
      </c>
      <c r="G43" s="15" t="n">
        <v>3406061.68</v>
      </c>
      <c r="H43" s="15" t="n">
        <v>3589716.66</v>
      </c>
      <c r="I43" s="15" t="n">
        <v>1134022.56</v>
      </c>
      <c r="J43" s="15" t="n">
        <v>2123303.67</v>
      </c>
      <c r="K43" s="15" t="n">
        <v>37193.47</v>
      </c>
      <c r="L43" s="15" t="n">
        <v>-85577.56</v>
      </c>
      <c r="M43" s="15" t="n">
        <v>3762079.54</v>
      </c>
      <c r="N43" s="15" t="n">
        <v>4577717.77</v>
      </c>
      <c r="O43" s="15" t="n">
        <v>3775734.73</v>
      </c>
      <c r="P43" s="15" t="n">
        <v>934603.7</v>
      </c>
      <c r="Q43" s="15" t="n">
        <v>734031.6899999999</v>
      </c>
      <c r="R43" s="15" t="n">
        <v>394453.22</v>
      </c>
      <c r="S43" s="15" t="n">
        <v>2997931.53</v>
      </c>
      <c r="T43" s="15" t="n">
        <v>5088922.5</v>
      </c>
      <c r="U43" s="15" t="n">
        <v>2975037.21</v>
      </c>
      <c r="V43" s="15" t="n">
        <v>2572955.04</v>
      </c>
      <c r="W43" s="15" t="n">
        <v>42151.6</v>
      </c>
      <c r="X43" s="15" t="n">
        <v>1640170.3</v>
      </c>
      <c r="Y43" s="15" t="n">
        <v>5722254.3</v>
      </c>
      <c r="Z43" s="15" t="n">
        <v>442906.16</v>
      </c>
      <c r="AA43" s="15" t="n">
        <v>4424723.57</v>
      </c>
      <c r="AB43" s="15" t="n">
        <v>1392698.29</v>
      </c>
      <c r="AC43" s="15" t="n">
        <v>64871.33</v>
      </c>
      <c r="AD43" s="15" t="n">
        <v>490576.84</v>
      </c>
      <c r="AE43" s="15" t="n">
        <v>4958537.85</v>
      </c>
      <c r="AF43" s="15" t="n">
        <v>3011790.05</v>
      </c>
      <c r="AG43" s="15" t="n">
        <v>3883427.51</v>
      </c>
      <c r="AH43" s="15" t="n">
        <v>1737643.49</v>
      </c>
      <c r="AI43" s="15" t="n">
        <v>710168.83</v>
      </c>
      <c r="AJ43" s="15" t="n">
        <v>294186.65</v>
      </c>
      <c r="AK43" s="15" t="n">
        <v>2383482.72</v>
      </c>
      <c r="AL43" s="15" t="n">
        <v>5881494.93</v>
      </c>
      <c r="AM43" s="15" t="n">
        <v>228117.11</v>
      </c>
      <c r="AN43" s="15" t="n">
        <v>625694.76</v>
      </c>
      <c r="AO43" s="15" t="n">
        <v>520068.07</v>
      </c>
      <c r="AP43" s="15" t="n">
        <v>-245845.72</v>
      </c>
      <c r="AQ43" s="15" t="n">
        <v>2884434.83</v>
      </c>
      <c r="AR43" s="15" t="n">
        <v>6827649.03</v>
      </c>
      <c r="AS43" s="15" t="n">
        <v>1860464.31</v>
      </c>
      <c r="AT43" s="15" t="n">
        <v>2714696.95</v>
      </c>
      <c r="AU43" s="15" t="n">
        <v>551036.34</v>
      </c>
      <c r="AV43" s="15" t="n">
        <v>-53743.94</v>
      </c>
      <c r="AW43" s="15" t="n">
        <v>420929.3</v>
      </c>
      <c r="AX43" s="15" t="n">
        <v>6509498</v>
      </c>
      <c r="AY43" s="15" t="n">
        <v>178987.38</v>
      </c>
      <c r="AZ43" s="15" t="n">
        <v>2436763.25</v>
      </c>
      <c r="BA43" s="15" t="n">
        <v>533734.83</v>
      </c>
      <c r="BB43" s="15" t="n">
        <v>967127.71</v>
      </c>
      <c r="BC43" s="15" t="n">
        <v>5315901.25</v>
      </c>
      <c r="BD43" s="15" t="n">
        <v>3305462.33</v>
      </c>
      <c r="BE43" s="15" t="n">
        <v>2908550.97</v>
      </c>
      <c r="BF43" s="15" t="n">
        <v>2674509.18</v>
      </c>
      <c r="BG43" s="15" t="n">
        <v>38297.3</v>
      </c>
      <c r="BH43" s="15" t="n">
        <v>1881492.01</v>
      </c>
      <c r="BI43" s="15" t="n">
        <v>5482016.55</v>
      </c>
      <c r="BJ43" s="15" t="n">
        <v>6067608.72</v>
      </c>
      <c r="BK43" s="15" t="n">
        <v>4049486.09</v>
      </c>
      <c r="BL43" s="15" t="n">
        <v>1523493.82</v>
      </c>
      <c r="BM43" s="15" t="n">
        <v>597848.96</v>
      </c>
      <c r="BN43" s="15" t="n">
        <v>863604.3199999999</v>
      </c>
      <c r="BO43" s="15" t="n">
        <v>2789069.04</v>
      </c>
      <c r="BP43" s="15" t="n">
        <v>652405.1899999999</v>
      </c>
      <c r="BQ43" s="15" t="n">
        <v>3260388.29</v>
      </c>
      <c r="BR43" s="15" t="n">
        <v>2860076.09</v>
      </c>
      <c r="BS43" s="15" t="n">
        <v>438487.46</v>
      </c>
      <c r="BT43" s="15" t="n">
        <v>-42787.48</v>
      </c>
      <c r="BU43" s="15" t="n">
        <v>2003215.15</v>
      </c>
      <c r="BV43" s="15" t="n">
        <v>3550064.89</v>
      </c>
      <c r="BW43" s="15" t="n">
        <v>1111352.6</v>
      </c>
      <c r="BX43" s="15" t="n">
        <v>764323.72</v>
      </c>
      <c r="BY43" s="15" t="n">
        <v>575950.17</v>
      </c>
      <c r="BZ43" s="15" t="n">
        <v>2722.56</v>
      </c>
      <c r="CA43" s="15" t="n">
        <v>1670498.95</v>
      </c>
      <c r="CB43" s="15" t="n">
        <v>6463734.82</v>
      </c>
      <c r="CC43" s="15" t="n">
        <v>2028872.86</v>
      </c>
      <c r="CD43" s="15" t="n">
        <v>1681117.15</v>
      </c>
      <c r="CE43" s="15" t="n">
        <v>539699.11</v>
      </c>
      <c r="CF43" s="15" t="n">
        <v>845597.11</v>
      </c>
      <c r="CG43" s="15" t="n">
        <v>5487911.33</v>
      </c>
      <c r="CH43" s="15" t="n">
        <v>7065535.92</v>
      </c>
      <c r="CI43" s="15" t="n">
        <v>1788004.92</v>
      </c>
      <c r="CJ43" s="15" t="n">
        <v>2433374.16</v>
      </c>
      <c r="CK43" s="15" t="n">
        <v>525265.64</v>
      </c>
      <c r="CL43" s="15" t="n">
        <v>1100502.65</v>
      </c>
      <c r="CM43" s="15" t="n">
        <v>512054.06</v>
      </c>
      <c r="CN43" s="15" t="n">
        <v>7270672.9</v>
      </c>
      <c r="CO43" s="15" t="n">
        <v>3798882.86</v>
      </c>
      <c r="CP43" s="15" t="n">
        <v>1772934.24</v>
      </c>
      <c r="CQ43" s="15" t="n">
        <v>101486.26</v>
      </c>
      <c r="CR43" s="15" t="n">
        <v>1866215.26</v>
      </c>
      <c r="CS43" s="15" t="n">
        <v>4577862.6</v>
      </c>
      <c r="CT43" s="15" t="n">
        <v>4734876.44</v>
      </c>
      <c r="CU43" s="15" t="n">
        <v>3829086.02</v>
      </c>
      <c r="CV43" s="15" t="n">
        <v>1541406.81</v>
      </c>
      <c r="CW43" s="15" t="n">
        <v>685170.21</v>
      </c>
      <c r="CX43" s="15" t="n">
        <v>119742.47</v>
      </c>
      <c r="CY43" s="15" t="n">
        <v>3515418.04</v>
      </c>
      <c r="CZ43" s="15" t="n">
        <v>5102211.96</v>
      </c>
      <c r="DA43" s="15" t="n">
        <v>372157.56</v>
      </c>
      <c r="DB43" s="15" t="n">
        <v>2641181.6</v>
      </c>
      <c r="DC43" s="15" t="n">
        <v>33987.26</v>
      </c>
      <c r="DD43" s="15" t="n">
        <v>1051061.91</v>
      </c>
      <c r="DE43" s="15" t="n">
        <v>707533.03</v>
      </c>
      <c r="DF43" s="15" t="n">
        <v>5263310.23</v>
      </c>
      <c r="DG43" s="15" t="n">
        <v>3077277.72</v>
      </c>
      <c r="DH43" s="15" t="n">
        <v>1693970.24</v>
      </c>
      <c r="DI43" s="15" t="n">
        <v>261029.89</v>
      </c>
      <c r="DJ43" s="15" t="n">
        <v>638170.16</v>
      </c>
      <c r="DK43" s="15" t="n">
        <v>2855372.13</v>
      </c>
      <c r="DL43" s="15" t="n">
        <v>1817786.5</v>
      </c>
      <c r="DM43" s="15" t="n">
        <v>3204153.54</v>
      </c>
      <c r="DN43" s="15" t="n">
        <v>855957.89</v>
      </c>
      <c r="DO43" s="15" t="n">
        <v>349963.85</v>
      </c>
      <c r="DP43" s="15" t="n">
        <v>761634.4</v>
      </c>
    </row>
    <row r="44">
      <c r="A44" s="4" t="inlineStr">
        <is>
          <t>模具</t>
        </is>
      </c>
      <c r="B44" s="15" t="n">
        <v>1061242.9</v>
      </c>
      <c r="C44" s="15" t="n">
        <v>1505014.29</v>
      </c>
      <c r="D44" s="15" t="n">
        <v>1709491.74</v>
      </c>
      <c r="E44" s="15" t="n">
        <v>728642.97</v>
      </c>
      <c r="F44" s="15" t="n">
        <v>-244413.67</v>
      </c>
      <c r="G44" s="15" t="n">
        <v>4950892.99</v>
      </c>
      <c r="H44" s="15" t="n">
        <v>3348772.76</v>
      </c>
      <c r="I44" s="15" t="n">
        <v>2834138.26</v>
      </c>
      <c r="J44" s="15" t="n">
        <v>788690.14</v>
      </c>
      <c r="K44" s="15" t="n">
        <v>417365.9</v>
      </c>
      <c r="L44" s="15" t="n">
        <v>2051013.32</v>
      </c>
      <c r="M44" s="15" t="n">
        <v>681411.21</v>
      </c>
      <c r="N44" s="15" t="n">
        <v>5660547.6</v>
      </c>
      <c r="O44" s="15" t="n">
        <v>99995.45</v>
      </c>
      <c r="P44" s="15" t="n">
        <v>205556.21</v>
      </c>
      <c r="Q44" s="15" t="n">
        <v>554662.66</v>
      </c>
      <c r="R44" s="15" t="n">
        <v>-207666.42</v>
      </c>
      <c r="S44" s="15" t="n">
        <v>2734028.71</v>
      </c>
      <c r="T44" s="15" t="n">
        <v>3165686.45</v>
      </c>
      <c r="U44" s="15" t="n">
        <v>747077.5699999999</v>
      </c>
      <c r="V44" s="15" t="n">
        <v>2329449.45</v>
      </c>
      <c r="W44" s="15" t="n">
        <v>746216.99</v>
      </c>
      <c r="X44" s="15" t="n">
        <v>-170163.82</v>
      </c>
      <c r="Y44" s="15" t="n">
        <v>2606115.38</v>
      </c>
      <c r="Z44" s="15" t="n">
        <v>7272086.17</v>
      </c>
      <c r="AA44" s="15" t="n">
        <v>267944.49</v>
      </c>
      <c r="AB44" s="15" t="n">
        <v>2313131.22</v>
      </c>
      <c r="AC44" s="15" t="n">
        <v>461341.36</v>
      </c>
      <c r="AD44" s="15" t="n">
        <v>105212.62</v>
      </c>
      <c r="AE44" s="15" t="n">
        <v>2537409.7</v>
      </c>
      <c r="AF44" s="15" t="n">
        <v>5593294.5</v>
      </c>
      <c r="AG44" s="15" t="n">
        <v>868210.5</v>
      </c>
      <c r="AH44" s="15" t="n">
        <v>1698593.82</v>
      </c>
      <c r="AI44" s="15" t="n">
        <v>501366.5</v>
      </c>
      <c r="AJ44" s="15" t="n">
        <v>541983.84</v>
      </c>
      <c r="AK44" s="15" t="n">
        <v>4777132.12</v>
      </c>
      <c r="AL44" s="15" t="n">
        <v>1280935.72</v>
      </c>
      <c r="AM44" s="15" t="n">
        <v>4164535.86</v>
      </c>
      <c r="AN44" s="15" t="n">
        <v>2235642.87</v>
      </c>
      <c r="AO44" s="15" t="n">
        <v>205088</v>
      </c>
      <c r="AP44" s="15" t="n">
        <v>1201160.44</v>
      </c>
      <c r="AQ44" s="15" t="n">
        <v>2974289.45</v>
      </c>
      <c r="AR44" s="15" t="n">
        <v>6197824.41</v>
      </c>
      <c r="AS44" s="15" t="n">
        <v>2732506.62</v>
      </c>
      <c r="AT44" s="15" t="n">
        <v>2691504.53</v>
      </c>
      <c r="AU44" s="15" t="n">
        <v>290502.96</v>
      </c>
      <c r="AV44" s="15" t="n">
        <v>1732253.73</v>
      </c>
      <c r="AW44" s="15" t="n">
        <v>3895409.99</v>
      </c>
      <c r="AX44" s="15" t="n">
        <v>4534700.1</v>
      </c>
      <c r="AY44" s="15" t="n">
        <v>3131371.68</v>
      </c>
      <c r="AZ44" s="15" t="n">
        <v>2442969.96</v>
      </c>
      <c r="BA44" s="15" t="n">
        <v>314781.11</v>
      </c>
      <c r="BB44" s="15" t="n">
        <v>1801224.91</v>
      </c>
      <c r="BC44" s="15" t="n">
        <v>2011612.73</v>
      </c>
      <c r="BD44" s="15" t="n">
        <v>2177565.74</v>
      </c>
      <c r="BE44" s="15" t="n">
        <v>3321489.39</v>
      </c>
      <c r="BF44" s="15" t="n">
        <v>1117688.89</v>
      </c>
      <c r="BG44" s="15" t="n">
        <v>677481.9399999999</v>
      </c>
      <c r="BH44" s="15" t="n">
        <v>876676.78</v>
      </c>
      <c r="BI44" s="15" t="n">
        <v>3414518.25</v>
      </c>
      <c r="BJ44" s="15" t="n">
        <v>7341050.46</v>
      </c>
      <c r="BK44" s="15" t="n">
        <v>3031452.83</v>
      </c>
      <c r="BL44" s="15" t="n">
        <v>2189304.91</v>
      </c>
      <c r="BM44" s="15" t="n">
        <v>716740.99</v>
      </c>
      <c r="BN44" s="15" t="n">
        <v>935003.14</v>
      </c>
      <c r="BO44" s="15" t="n">
        <v>513529.58</v>
      </c>
      <c r="BP44" s="15" t="n">
        <v>589810.91</v>
      </c>
      <c r="BQ44" s="15" t="n">
        <v>3180755.45</v>
      </c>
      <c r="BR44" s="15" t="n">
        <v>586917.26</v>
      </c>
      <c r="BS44" s="15" t="n">
        <v>446422.36</v>
      </c>
      <c r="BT44" s="15" t="n">
        <v>1474437.77</v>
      </c>
      <c r="BU44" s="15" t="n">
        <v>2205084.64</v>
      </c>
      <c r="BV44" s="15" t="n">
        <v>5397510.69</v>
      </c>
      <c r="BW44" s="15" t="n">
        <v>333182.39</v>
      </c>
      <c r="BX44" s="15" t="n">
        <v>1307587.92</v>
      </c>
      <c r="BY44" s="15" t="n">
        <v>607839.51</v>
      </c>
      <c r="BZ44" s="15" t="n">
        <v>871956.11</v>
      </c>
      <c r="CA44" s="15" t="n">
        <v>3402482.34</v>
      </c>
      <c r="CB44" s="15" t="n">
        <v>1583540.5</v>
      </c>
      <c r="CC44" s="15" t="n">
        <v>1859742.39</v>
      </c>
      <c r="CD44" s="15" t="n">
        <v>2310516.45</v>
      </c>
      <c r="CE44" s="15" t="n">
        <v>93511.47</v>
      </c>
      <c r="CF44" s="15" t="n">
        <v>438163.21</v>
      </c>
      <c r="CG44" s="15" t="n">
        <v>1439467.29</v>
      </c>
      <c r="CH44" s="15" t="n">
        <v>297151.4</v>
      </c>
      <c r="CI44" s="15" t="n">
        <v>360189.78</v>
      </c>
      <c r="CJ44" s="15" t="n">
        <v>2776431.69</v>
      </c>
      <c r="CK44" s="15" t="n">
        <v>272392.79</v>
      </c>
      <c r="CL44" s="15" t="n">
        <v>2132932.32</v>
      </c>
      <c r="CM44" s="15" t="n">
        <v>466169.72</v>
      </c>
      <c r="CN44" s="15" t="n">
        <v>2307350.95</v>
      </c>
      <c r="CO44" s="15" t="n">
        <v>976313.65</v>
      </c>
      <c r="CP44" s="15" t="n">
        <v>325819.76</v>
      </c>
      <c r="CQ44" s="15" t="n">
        <v>516326.85</v>
      </c>
      <c r="CR44" s="15" t="n">
        <v>1859142.17</v>
      </c>
      <c r="CS44" s="15" t="n">
        <v>2853307.55</v>
      </c>
      <c r="CT44" s="15" t="n">
        <v>1235296.99</v>
      </c>
      <c r="CU44" s="15" t="n">
        <v>3513972.56</v>
      </c>
      <c r="CV44" s="15" t="n">
        <v>31775.4</v>
      </c>
      <c r="CW44" s="15" t="n">
        <v>96216.89999999999</v>
      </c>
      <c r="CX44" s="15" t="n">
        <v>97161.32000000001</v>
      </c>
      <c r="CY44" s="15" t="n">
        <v>2753537.58</v>
      </c>
      <c r="CZ44" s="15" t="n">
        <v>7447683</v>
      </c>
      <c r="DA44" s="15" t="n">
        <v>3331270.28</v>
      </c>
      <c r="DB44" s="15" t="n">
        <v>1422078.03</v>
      </c>
      <c r="DC44" s="15" t="n">
        <v>337722.74</v>
      </c>
      <c r="DD44" s="15" t="n">
        <v>243126.51</v>
      </c>
      <c r="DE44" s="15" t="n">
        <v>5750011.89</v>
      </c>
      <c r="DF44" s="15" t="n">
        <v>218138.88</v>
      </c>
      <c r="DG44" s="15" t="n">
        <v>3941455.63</v>
      </c>
      <c r="DH44" s="15" t="n">
        <v>2290394.78</v>
      </c>
      <c r="DI44" s="15" t="n">
        <v>146159.2</v>
      </c>
      <c r="DJ44" s="15" t="n">
        <v>1475566.68</v>
      </c>
      <c r="DK44" s="15" t="n">
        <v>1044830.86</v>
      </c>
      <c r="DL44" s="15" t="n">
        <v>5447145.66</v>
      </c>
      <c r="DM44" s="15" t="n">
        <v>4132973.95</v>
      </c>
      <c r="DN44" s="15" t="n">
        <v>2072035.79</v>
      </c>
      <c r="DO44" s="15" t="n">
        <v>169834.53</v>
      </c>
      <c r="DP44" s="15" t="n">
        <v>1096782.98</v>
      </c>
    </row>
    <row r="45">
      <c r="A45" s="4" t="inlineStr">
        <is>
          <t>工装夹具</t>
        </is>
      </c>
      <c r="B45" s="15" t="n">
        <v>890084.5600000001</v>
      </c>
      <c r="C45" s="15" t="n">
        <v>4096252.07</v>
      </c>
      <c r="D45" s="15" t="n">
        <v>1239390.83</v>
      </c>
      <c r="E45" s="15" t="n">
        <v>307264.87</v>
      </c>
      <c r="F45" s="15" t="n">
        <v>2078952.54</v>
      </c>
      <c r="G45" s="15" t="n">
        <v>1107546.02</v>
      </c>
      <c r="H45" s="15" t="n">
        <v>6646129.69</v>
      </c>
      <c r="I45" s="15" t="n">
        <v>242787.01</v>
      </c>
      <c r="J45" s="15" t="n">
        <v>2222580.43</v>
      </c>
      <c r="K45" s="15" t="n">
        <v>244327.93</v>
      </c>
      <c r="L45" s="15" t="n">
        <v>2124425.27</v>
      </c>
      <c r="M45" s="15" t="n">
        <v>2450048.35</v>
      </c>
      <c r="N45" s="15" t="n">
        <v>7382540.12</v>
      </c>
      <c r="O45" s="15" t="n">
        <v>1113713.42</v>
      </c>
      <c r="P45" s="15" t="n">
        <v>228233.96</v>
      </c>
      <c r="Q45" s="15" t="n">
        <v>390052.2</v>
      </c>
      <c r="R45" s="15" t="n">
        <v>2238809.13</v>
      </c>
      <c r="S45" s="15" t="n">
        <v>1723529.82</v>
      </c>
      <c r="T45" s="15" t="n">
        <v>3696317.79</v>
      </c>
      <c r="U45" s="15" t="n">
        <v>1569393.86</v>
      </c>
      <c r="V45" s="15" t="n">
        <v>190911.46</v>
      </c>
      <c r="W45" s="15" t="n">
        <v>222828.42</v>
      </c>
      <c r="X45" s="15" t="n">
        <v>1757592.15</v>
      </c>
      <c r="Y45" s="15" t="n">
        <v>5934316.63</v>
      </c>
      <c r="Z45" s="15" t="n">
        <v>3915940.41</v>
      </c>
      <c r="AA45" s="15" t="n">
        <v>4416574.86</v>
      </c>
      <c r="AB45" s="15" t="n">
        <v>163065.5</v>
      </c>
      <c r="AC45" s="15" t="n">
        <v>165060.83</v>
      </c>
      <c r="AD45" s="15" t="n">
        <v>1281903.83</v>
      </c>
      <c r="AE45" s="15" t="n">
        <v>2417791.96</v>
      </c>
      <c r="AF45" s="15" t="n">
        <v>6824148.23</v>
      </c>
      <c r="AG45" s="15" t="n">
        <v>1502401.57</v>
      </c>
      <c r="AH45" s="15" t="n">
        <v>2392751.35</v>
      </c>
      <c r="AI45" s="15" t="n">
        <v>272927.03</v>
      </c>
      <c r="AJ45" s="15" t="n">
        <v>1390965.14</v>
      </c>
      <c r="AK45" s="15" t="n">
        <v>1206525.35</v>
      </c>
      <c r="AL45" s="15" t="n">
        <v>6840604.58</v>
      </c>
      <c r="AM45" s="15" t="n">
        <v>1137631.44</v>
      </c>
      <c r="AN45" s="15" t="n">
        <v>117649.78</v>
      </c>
      <c r="AO45" s="15" t="n">
        <v>473517.04</v>
      </c>
      <c r="AP45" s="15" t="n">
        <v>2226279.02</v>
      </c>
      <c r="AQ45" s="15" t="n">
        <v>1451438.28</v>
      </c>
      <c r="AR45" s="15" t="n">
        <v>6508760.43</v>
      </c>
      <c r="AS45" s="15" t="n">
        <v>772354.5600000001</v>
      </c>
      <c r="AT45" s="15" t="n">
        <v>2319281.07</v>
      </c>
      <c r="AU45" s="15" t="n">
        <v>55735.79</v>
      </c>
      <c r="AV45" s="15" t="n">
        <v>1775549.55</v>
      </c>
      <c r="AW45" s="15" t="n">
        <v>2659922.68</v>
      </c>
      <c r="AX45" s="15" t="n">
        <v>3377036.5</v>
      </c>
      <c r="AY45" s="15" t="n">
        <v>1880217</v>
      </c>
      <c r="AZ45" s="15" t="n">
        <v>989225.76</v>
      </c>
      <c r="BA45" s="15" t="n">
        <v>497148.36</v>
      </c>
      <c r="BB45" s="15" t="n">
        <v>527020.6899999999</v>
      </c>
      <c r="BC45" s="15" t="n">
        <v>4446995.12</v>
      </c>
      <c r="BD45" s="15" t="n">
        <v>1463885.74</v>
      </c>
      <c r="BE45" s="15" t="n">
        <v>781365.54</v>
      </c>
      <c r="BF45" s="15" t="n">
        <v>2915755.39</v>
      </c>
      <c r="BG45" s="15" t="n">
        <v>98730.7</v>
      </c>
      <c r="BH45" s="15" t="n">
        <v>1899209.31</v>
      </c>
      <c r="BI45" s="15" t="n">
        <v>5869680.25</v>
      </c>
      <c r="BJ45" s="15" t="n">
        <v>2189926.12</v>
      </c>
      <c r="BK45" s="15" t="n">
        <v>1567085.58</v>
      </c>
      <c r="BL45" s="15" t="n">
        <v>2112787.44</v>
      </c>
      <c r="BM45" s="15" t="n">
        <v>709609.97</v>
      </c>
      <c r="BN45" s="15" t="n">
        <v>976476.65</v>
      </c>
      <c r="BO45" s="15" t="n">
        <v>2673895.58</v>
      </c>
      <c r="BP45" s="15" t="n">
        <v>688597.9399999999</v>
      </c>
      <c r="BQ45" s="15" t="n">
        <v>2516160.24</v>
      </c>
      <c r="BR45" s="15" t="n">
        <v>65718.88</v>
      </c>
      <c r="BS45" s="15" t="n">
        <v>422205.09</v>
      </c>
      <c r="BT45" s="15" t="n">
        <v>-127156.05</v>
      </c>
      <c r="BU45" s="15" t="n">
        <v>5858866.57</v>
      </c>
      <c r="BV45" s="15" t="n">
        <v>3966809.92</v>
      </c>
      <c r="BW45" s="15" t="n">
        <v>4295249.53</v>
      </c>
      <c r="BX45" s="15" t="n">
        <v>1375659.53</v>
      </c>
      <c r="BY45" s="15" t="n">
        <v>152291.32</v>
      </c>
      <c r="BZ45" s="15" t="n">
        <v>270123.94</v>
      </c>
      <c r="CA45" s="15" t="n">
        <v>4681507.49</v>
      </c>
      <c r="CB45" s="15" t="n">
        <v>3410325.71</v>
      </c>
      <c r="CC45" s="15" t="n">
        <v>2550436.86</v>
      </c>
      <c r="CD45" s="15" t="n">
        <v>2808057.77</v>
      </c>
      <c r="CE45" s="15" t="n">
        <v>495335.67</v>
      </c>
      <c r="CF45" s="15" t="n">
        <v>681366.26</v>
      </c>
      <c r="CG45" s="15" t="n">
        <v>2218560.88</v>
      </c>
      <c r="CH45" s="15" t="n">
        <v>6266367.28</v>
      </c>
      <c r="CI45" s="15" t="n">
        <v>678219.46</v>
      </c>
      <c r="CJ45" s="15" t="n">
        <v>357334.2</v>
      </c>
      <c r="CK45" s="15" t="n">
        <v>102569.77</v>
      </c>
      <c r="CL45" s="15" t="n">
        <v>823192.03</v>
      </c>
      <c r="CM45" s="15" t="n">
        <v>5958271.43</v>
      </c>
      <c r="CN45" s="15" t="n">
        <v>2706187.45</v>
      </c>
      <c r="CO45" s="15" t="n">
        <v>1701398.69</v>
      </c>
      <c r="CP45" s="15" t="n">
        <v>1508246.09</v>
      </c>
      <c r="CQ45" s="15" t="n">
        <v>282665.03</v>
      </c>
      <c r="CR45" s="15" t="n">
        <v>2140196.82</v>
      </c>
      <c r="CS45" s="15" t="n">
        <v>3782619.5</v>
      </c>
      <c r="CT45" s="15" t="n">
        <v>2895089.5</v>
      </c>
      <c r="CU45" s="15" t="n">
        <v>2568989.68</v>
      </c>
      <c r="CV45" s="15" t="n">
        <v>1608859.77</v>
      </c>
      <c r="CW45" s="15" t="n">
        <v>668770.48</v>
      </c>
      <c r="CX45" s="15" t="n">
        <v>380688.13</v>
      </c>
      <c r="CY45" s="15" t="n">
        <v>664546.03</v>
      </c>
      <c r="CZ45" s="15" t="n">
        <v>5827435.44</v>
      </c>
      <c r="DA45" s="15" t="n">
        <v>1605597.16</v>
      </c>
      <c r="DB45" s="15" t="n">
        <v>2030681.75</v>
      </c>
      <c r="DC45" s="15" t="n">
        <v>443166.13</v>
      </c>
      <c r="DD45" s="15" t="n">
        <v>1869707.11</v>
      </c>
      <c r="DE45" s="15" t="n">
        <v>4228112.81</v>
      </c>
      <c r="DF45" s="15" t="n">
        <v>4481550.46</v>
      </c>
      <c r="DG45" s="15" t="n">
        <v>2982079.68</v>
      </c>
      <c r="DH45" s="15" t="n">
        <v>2800349.2</v>
      </c>
      <c r="DI45" s="15" t="n">
        <v>248703.34</v>
      </c>
      <c r="DJ45" s="15" t="n">
        <v>712722.77</v>
      </c>
      <c r="DK45" s="15" t="n">
        <v>1004758.4</v>
      </c>
      <c r="DL45" s="15" t="n">
        <v>3083884.87</v>
      </c>
      <c r="DM45" s="15" t="n">
        <v>1473159.18</v>
      </c>
      <c r="DN45" s="15" t="n">
        <v>104118.27</v>
      </c>
      <c r="DO45" s="15" t="n">
        <v>296413.62</v>
      </c>
      <c r="DP45" s="15" t="n">
        <v>177070.05</v>
      </c>
    </row>
    <row r="46">
      <c r="A46" s="4" t="inlineStr">
        <is>
          <t>其他产品A</t>
        </is>
      </c>
      <c r="B46" s="15" t="n">
        <v>5041513.73</v>
      </c>
      <c r="C46" s="15" t="n">
        <v>367426.96</v>
      </c>
      <c r="D46" s="15" t="n">
        <v>289555.72</v>
      </c>
      <c r="E46" s="15" t="n">
        <v>603248.77</v>
      </c>
      <c r="F46" s="15" t="n">
        <v>2126263.75</v>
      </c>
      <c r="G46" s="15" t="n">
        <v>5250627.43</v>
      </c>
      <c r="H46" s="15" t="n">
        <v>3433509.09</v>
      </c>
      <c r="I46" s="15" t="n">
        <v>4288856.24</v>
      </c>
      <c r="J46" s="15" t="n">
        <v>254402.12</v>
      </c>
      <c r="K46" s="15" t="n">
        <v>444997.21</v>
      </c>
      <c r="L46" s="15" t="n">
        <v>910286.05</v>
      </c>
      <c r="M46" s="15" t="n">
        <v>3183373.1</v>
      </c>
      <c r="N46" s="15" t="n">
        <v>4471517.72</v>
      </c>
      <c r="O46" s="15" t="n">
        <v>1050849.01</v>
      </c>
      <c r="P46" s="15" t="n">
        <v>2510279.51</v>
      </c>
      <c r="Q46" s="15" t="n">
        <v>141903.82</v>
      </c>
      <c r="R46" s="15" t="n">
        <v>1746669.04</v>
      </c>
      <c r="S46" s="15" t="n">
        <v>1690654.92</v>
      </c>
      <c r="T46" s="15" t="n">
        <v>6532019.02</v>
      </c>
      <c r="U46" s="15" t="n">
        <v>3649905.04</v>
      </c>
      <c r="V46" s="15" t="n">
        <v>1022665.23</v>
      </c>
      <c r="W46" s="15" t="n">
        <v>490078.79</v>
      </c>
      <c r="X46" s="15" t="n">
        <v>1406046.69</v>
      </c>
      <c r="Y46" s="15" t="n">
        <v>3791544.53</v>
      </c>
      <c r="Z46" s="15" t="n">
        <v>3769970.8</v>
      </c>
      <c r="AA46" s="15" t="n">
        <v>3122835.29</v>
      </c>
      <c r="AB46" s="15" t="n">
        <v>362635.54</v>
      </c>
      <c r="AC46" s="15" t="n">
        <v>704369.3199999999</v>
      </c>
      <c r="AD46" s="15" t="n">
        <v>763036.03</v>
      </c>
      <c r="AE46" s="15" t="n">
        <v>644376.36</v>
      </c>
      <c r="AF46" s="15" t="n">
        <v>2187652.71</v>
      </c>
      <c r="AG46" s="15" t="n">
        <v>1751277.92</v>
      </c>
      <c r="AH46" s="15" t="n">
        <v>979935.55</v>
      </c>
      <c r="AI46" s="15" t="n">
        <v>704803.6899999999</v>
      </c>
      <c r="AJ46" s="15" t="n">
        <v>1751557.17</v>
      </c>
      <c r="AK46" s="15" t="n">
        <v>2657400.06</v>
      </c>
      <c r="AL46" s="15" t="n">
        <v>2615089.25</v>
      </c>
      <c r="AM46" s="15" t="n">
        <v>756652.6</v>
      </c>
      <c r="AN46" s="15" t="n">
        <v>449178.01</v>
      </c>
      <c r="AO46" s="15" t="n">
        <v>637436.83</v>
      </c>
      <c r="AP46" s="15" t="n">
        <v>1716706.64</v>
      </c>
      <c r="AQ46" s="15" t="n">
        <v>5429332.04</v>
      </c>
      <c r="AR46" s="15" t="n">
        <v>5837286.55</v>
      </c>
      <c r="AS46" s="15" t="n">
        <v>262546.18</v>
      </c>
      <c r="AT46" s="15" t="n">
        <v>2039228.58</v>
      </c>
      <c r="AU46" s="15" t="n">
        <v>84663.63</v>
      </c>
      <c r="AV46" s="15" t="n">
        <v>2223388.26</v>
      </c>
      <c r="AW46" s="15" t="n">
        <v>750401.3100000001</v>
      </c>
      <c r="AX46" s="15" t="n">
        <v>4030987.3</v>
      </c>
      <c r="AY46" s="15" t="n">
        <v>566899.5</v>
      </c>
      <c r="AZ46" s="15" t="n">
        <v>1761090.79</v>
      </c>
      <c r="BA46" s="15" t="n">
        <v>340405.45</v>
      </c>
      <c r="BB46" s="15" t="n">
        <v>1269330.05</v>
      </c>
      <c r="BC46" s="15" t="n">
        <v>3267235.19</v>
      </c>
      <c r="BD46" s="15" t="n">
        <v>470167.62</v>
      </c>
      <c r="BE46" s="15" t="n">
        <v>3794713.49</v>
      </c>
      <c r="BF46" s="15" t="n">
        <v>1815239.53</v>
      </c>
      <c r="BG46" s="15" t="n">
        <v>726066.61</v>
      </c>
      <c r="BH46" s="15" t="n">
        <v>340229.25</v>
      </c>
      <c r="BI46" s="15" t="n">
        <v>2750931.1</v>
      </c>
      <c r="BJ46" s="15" t="n">
        <v>5963315.26</v>
      </c>
      <c r="BK46" s="15" t="n">
        <v>1421999.78</v>
      </c>
      <c r="BL46" s="15" t="n">
        <v>2008098.09</v>
      </c>
      <c r="BM46" s="15" t="n">
        <v>689225.92</v>
      </c>
      <c r="BN46" s="15" t="n">
        <v>1352098.24</v>
      </c>
      <c r="BO46" s="15" t="n">
        <v>4934192.83</v>
      </c>
      <c r="BP46" s="15" t="n">
        <v>6630534.17</v>
      </c>
      <c r="BQ46" s="15" t="n">
        <v>3659883.25</v>
      </c>
      <c r="BR46" s="15" t="n">
        <v>2685897.45</v>
      </c>
      <c r="BS46" s="15" t="n">
        <v>393764.92</v>
      </c>
      <c r="BT46" s="15" t="n">
        <v>943210.5</v>
      </c>
      <c r="BU46" s="15" t="n">
        <v>5564602.18</v>
      </c>
      <c r="BV46" s="15" t="n">
        <v>1985582.02</v>
      </c>
      <c r="BW46" s="15" t="n">
        <v>3299722.35</v>
      </c>
      <c r="BX46" s="15" t="n">
        <v>1577951.06</v>
      </c>
      <c r="BY46" s="15" t="n">
        <v>28316.24</v>
      </c>
      <c r="BZ46" s="15" t="n">
        <v>1013211.9</v>
      </c>
      <c r="CA46" s="15" t="n">
        <v>4861799.65</v>
      </c>
      <c r="CB46" s="15" t="n">
        <v>4618986.37</v>
      </c>
      <c r="CC46" s="15" t="n">
        <v>142562.5</v>
      </c>
      <c r="CD46" s="15" t="n">
        <v>2562708.17</v>
      </c>
      <c r="CE46" s="15" t="n">
        <v>683172.66</v>
      </c>
      <c r="CF46" s="15" t="n">
        <v>995063.3</v>
      </c>
      <c r="CG46" s="15" t="n">
        <v>3333455.48</v>
      </c>
      <c r="CH46" s="15" t="n">
        <v>2118114.7</v>
      </c>
      <c r="CI46" s="15" t="n">
        <v>939322.8199999999</v>
      </c>
      <c r="CJ46" s="15" t="n">
        <v>869380.37</v>
      </c>
      <c r="CK46" s="15" t="n">
        <v>631924.72</v>
      </c>
      <c r="CL46" s="15" t="n">
        <v>566786.46</v>
      </c>
      <c r="CM46" s="15" t="n">
        <v>315988.27</v>
      </c>
      <c r="CN46" s="15" t="n">
        <v>6315538.99</v>
      </c>
      <c r="CO46" s="15" t="n">
        <v>585269.1800000001</v>
      </c>
      <c r="CP46" s="15" t="n">
        <v>2173486.43</v>
      </c>
      <c r="CQ46" s="15" t="n">
        <v>50445.14</v>
      </c>
      <c r="CR46" s="15" t="n">
        <v>660470.03</v>
      </c>
      <c r="CS46" s="15" t="n">
        <v>5699366.38</v>
      </c>
      <c r="CT46" s="15" t="n">
        <v>1776967.53</v>
      </c>
      <c r="CU46" s="15" t="n">
        <v>4311235.16</v>
      </c>
      <c r="CV46" s="15" t="n">
        <v>1569093.26</v>
      </c>
      <c r="CW46" s="15" t="n">
        <v>620347.37</v>
      </c>
      <c r="CX46" s="15" t="n">
        <v>801898.23</v>
      </c>
      <c r="CY46" s="15" t="n">
        <v>4835832.8</v>
      </c>
      <c r="CZ46" s="15" t="n">
        <v>4488697.29</v>
      </c>
      <c r="DA46" s="15" t="n">
        <v>2889307.8</v>
      </c>
      <c r="DB46" s="15" t="n">
        <v>2885448.58</v>
      </c>
      <c r="DC46" s="15" t="n">
        <v>586751.63</v>
      </c>
      <c r="DD46" s="15" t="n">
        <v>2249107.6</v>
      </c>
      <c r="DE46" s="15" t="n">
        <v>691614.47</v>
      </c>
      <c r="DF46" s="15" t="n">
        <v>5307166.74</v>
      </c>
      <c r="DG46" s="15" t="n">
        <v>2596624.8</v>
      </c>
      <c r="DH46" s="15" t="n">
        <v>1271518.46</v>
      </c>
      <c r="DI46" s="15" t="n">
        <v>668935.63</v>
      </c>
      <c r="DJ46" s="15" t="n">
        <v>2150044.99</v>
      </c>
      <c r="DK46" s="15" t="n">
        <v>561507.6899999999</v>
      </c>
      <c r="DL46" s="15" t="n">
        <v>6857537.35</v>
      </c>
      <c r="DM46" s="15" t="n">
        <v>3971232.12</v>
      </c>
      <c r="DN46" s="15" t="n">
        <v>2719981.38</v>
      </c>
      <c r="DO46" s="15" t="n">
        <v>722651.88</v>
      </c>
      <c r="DP46" s="15" t="n">
        <v>1815123.15</v>
      </c>
    </row>
    <row r="47">
      <c r="A47" s="4" t="inlineStr">
        <is>
          <t>其他产品B</t>
        </is>
      </c>
      <c r="B47" s="15" t="n">
        <v>5851980.88</v>
      </c>
      <c r="C47" s="15" t="n">
        <v>725863.16</v>
      </c>
      <c r="D47" s="15" t="n">
        <v>370812.98</v>
      </c>
      <c r="E47" s="15" t="n">
        <v>533654.75</v>
      </c>
      <c r="F47" s="15" t="n">
        <v>1546423.06</v>
      </c>
      <c r="G47" s="15" t="n">
        <v>2158692.35</v>
      </c>
      <c r="H47" s="15" t="n">
        <v>3999087.92</v>
      </c>
      <c r="I47" s="15" t="n">
        <v>928543.67</v>
      </c>
      <c r="J47" s="15" t="n">
        <v>2338657.37</v>
      </c>
      <c r="K47" s="15" t="n">
        <v>52907.28</v>
      </c>
      <c r="L47" s="15" t="n">
        <v>1786528.32</v>
      </c>
      <c r="M47" s="15" t="n">
        <v>1692759.78</v>
      </c>
      <c r="N47" s="15" t="n">
        <v>3892974.73</v>
      </c>
      <c r="O47" s="15" t="n">
        <v>2559597.9</v>
      </c>
      <c r="P47" s="15" t="n">
        <v>2522410.96</v>
      </c>
      <c r="Q47" s="15" t="n">
        <v>444819.13</v>
      </c>
      <c r="R47" s="15" t="n">
        <v>1460117.93</v>
      </c>
      <c r="S47" s="15" t="n">
        <v>2007666.19</v>
      </c>
      <c r="T47" s="15" t="n">
        <v>700159.87</v>
      </c>
      <c r="U47" s="15" t="n">
        <v>849239.61</v>
      </c>
      <c r="V47" s="15" t="n">
        <v>43364.63</v>
      </c>
      <c r="W47" s="15" t="n">
        <v>440362.78</v>
      </c>
      <c r="X47" s="15" t="n">
        <v>-298756.53</v>
      </c>
      <c r="Y47" s="15" t="n">
        <v>1437660.56</v>
      </c>
      <c r="Z47" s="15" t="n">
        <v>5471353.82</v>
      </c>
      <c r="AA47" s="15" t="n">
        <v>1235350.1</v>
      </c>
      <c r="AB47" s="15" t="n">
        <v>1315224.43</v>
      </c>
      <c r="AC47" s="15" t="n">
        <v>321680.98</v>
      </c>
      <c r="AD47" s="15" t="n">
        <v>1451463.6</v>
      </c>
      <c r="AE47" s="15" t="n">
        <v>3033165.23</v>
      </c>
      <c r="AF47" s="15" t="n">
        <v>6776073.14</v>
      </c>
      <c r="AG47" s="15" t="n">
        <v>619126.15</v>
      </c>
      <c r="AH47" s="15" t="n">
        <v>1276122.15</v>
      </c>
      <c r="AI47" s="15" t="n">
        <v>275500.79</v>
      </c>
      <c r="AJ47" s="15" t="n">
        <v>1869083.09</v>
      </c>
      <c r="AK47" s="15" t="n">
        <v>5523821.05</v>
      </c>
      <c r="AL47" s="15" t="n">
        <v>4793130.33</v>
      </c>
      <c r="AM47" s="15" t="n">
        <v>1020870.62</v>
      </c>
      <c r="AN47" s="15" t="n">
        <v>877666.33</v>
      </c>
      <c r="AO47" s="15" t="n">
        <v>437404.11</v>
      </c>
      <c r="AP47" s="15" t="n">
        <v>580677.16</v>
      </c>
      <c r="AQ47" s="15" t="n">
        <v>457161.34</v>
      </c>
      <c r="AR47" s="15" t="n">
        <v>1878138.56</v>
      </c>
      <c r="AS47" s="15" t="n">
        <v>2300774.55</v>
      </c>
      <c r="AT47" s="15" t="n">
        <v>2035974.3</v>
      </c>
      <c r="AU47" s="15" t="n">
        <v>306128.3</v>
      </c>
      <c r="AV47" s="15" t="n">
        <v>1355575.44</v>
      </c>
      <c r="AW47" s="15" t="n">
        <v>2459861.38</v>
      </c>
      <c r="AX47" s="15" t="n">
        <v>2735065.65</v>
      </c>
      <c r="AY47" s="15" t="n">
        <v>2420081.72</v>
      </c>
      <c r="AZ47" s="15" t="n">
        <v>458178.9</v>
      </c>
      <c r="BA47" s="15" t="n">
        <v>547220.85</v>
      </c>
      <c r="BB47" s="15" t="n">
        <v>2076780.95</v>
      </c>
      <c r="BC47" s="15" t="n">
        <v>5279745.69</v>
      </c>
      <c r="BD47" s="15" t="n">
        <v>1546722.41</v>
      </c>
      <c r="BE47" s="15" t="n">
        <v>4004701.9</v>
      </c>
      <c r="BF47" s="15" t="n">
        <v>2313524.02</v>
      </c>
      <c r="BG47" s="15" t="n">
        <v>637559.61</v>
      </c>
      <c r="BH47" s="15" t="n">
        <v>-241434.32</v>
      </c>
      <c r="BI47" s="15" t="n">
        <v>5977511.67</v>
      </c>
      <c r="BJ47" s="15" t="n">
        <v>7450149.23</v>
      </c>
      <c r="BK47" s="15" t="n">
        <v>4029653.93</v>
      </c>
      <c r="BL47" s="15" t="n">
        <v>2937587.87</v>
      </c>
      <c r="BM47" s="15" t="n">
        <v>421149.23</v>
      </c>
      <c r="BN47" s="15" t="n">
        <v>947453.54</v>
      </c>
      <c r="BO47" s="15" t="n">
        <v>1617478.1</v>
      </c>
      <c r="BP47" s="15" t="n">
        <v>6888877.31</v>
      </c>
      <c r="BQ47" s="15" t="n">
        <v>1912304.06</v>
      </c>
      <c r="BR47" s="15" t="n">
        <v>2681023.2</v>
      </c>
      <c r="BS47" s="15" t="n">
        <v>507083.43</v>
      </c>
      <c r="BT47" s="15" t="n">
        <v>1149701.58</v>
      </c>
      <c r="BU47" s="15" t="n">
        <v>4910690.31</v>
      </c>
      <c r="BV47" s="15" t="n">
        <v>7003409.33</v>
      </c>
      <c r="BW47" s="15" t="n">
        <v>1691000.77</v>
      </c>
      <c r="BX47" s="15" t="n">
        <v>776347.42</v>
      </c>
      <c r="BY47" s="15" t="n">
        <v>414904.7</v>
      </c>
      <c r="BZ47" s="15" t="n">
        <v>2353.57</v>
      </c>
      <c r="CA47" s="15" t="n">
        <v>4505718.11</v>
      </c>
      <c r="CB47" s="15" t="n">
        <v>5205545.27</v>
      </c>
      <c r="CC47" s="15" t="n">
        <v>3861610.73</v>
      </c>
      <c r="CD47" s="15" t="n">
        <v>624230.49</v>
      </c>
      <c r="CE47" s="15" t="n">
        <v>195369.13</v>
      </c>
      <c r="CF47" s="15" t="n">
        <v>1955506.32</v>
      </c>
      <c r="CG47" s="15" t="n">
        <v>332484.22</v>
      </c>
      <c r="CH47" s="15" t="n">
        <v>1761471.15</v>
      </c>
      <c r="CI47" s="15" t="n">
        <v>1286412.07</v>
      </c>
      <c r="CJ47" s="15" t="n">
        <v>2452269.53</v>
      </c>
      <c r="CK47" s="15" t="n">
        <v>220251.41</v>
      </c>
      <c r="CL47" s="15" t="n">
        <v>58933.29</v>
      </c>
      <c r="CM47" s="15" t="n">
        <v>3877710.88</v>
      </c>
      <c r="CN47" s="15" t="n">
        <v>3934942.6</v>
      </c>
      <c r="CO47" s="15" t="n">
        <v>1646157.88</v>
      </c>
      <c r="CP47" s="15" t="n">
        <v>1650805.29</v>
      </c>
      <c r="CQ47" s="15" t="n">
        <v>389810.42</v>
      </c>
      <c r="CR47" s="15" t="n">
        <v>1203253.51</v>
      </c>
      <c r="CS47" s="15" t="n">
        <v>209244.57</v>
      </c>
      <c r="CT47" s="15" t="n">
        <v>4647557.25</v>
      </c>
      <c r="CU47" s="15" t="n">
        <v>1734444.27</v>
      </c>
      <c r="CV47" s="15" t="n">
        <v>1851277.41</v>
      </c>
      <c r="CW47" s="15" t="n">
        <v>145668.24</v>
      </c>
      <c r="CX47" s="15" t="n">
        <v>1393975.3</v>
      </c>
      <c r="CY47" s="15" t="n">
        <v>3635664.96</v>
      </c>
      <c r="CZ47" s="15" t="n">
        <v>6105229.73</v>
      </c>
      <c r="DA47" s="15" t="n">
        <v>4287757.7</v>
      </c>
      <c r="DB47" s="15" t="n">
        <v>1323705.5</v>
      </c>
      <c r="DC47" s="15" t="n">
        <v>134975.95</v>
      </c>
      <c r="DD47" s="15" t="n">
        <v>311981.34</v>
      </c>
      <c r="DE47" s="15" t="n">
        <v>3288570.28</v>
      </c>
      <c r="DF47" s="15" t="n">
        <v>759371.41</v>
      </c>
      <c r="DG47" s="15" t="n">
        <v>857415.86</v>
      </c>
      <c r="DH47" s="15" t="n">
        <v>1041154.9</v>
      </c>
      <c r="DI47" s="15" t="n">
        <v>680744.5699999999</v>
      </c>
      <c r="DJ47" s="15" t="n">
        <v>13052.92</v>
      </c>
      <c r="DK47" s="15" t="n">
        <v>1330458.69</v>
      </c>
      <c r="DL47" s="15" t="n">
        <v>5585545.02</v>
      </c>
      <c r="DM47" s="15" t="n">
        <v>3193394.63</v>
      </c>
      <c r="DN47" s="15" t="n">
        <v>2998379.54</v>
      </c>
      <c r="DO47" s="15" t="n">
        <v>724460.1800000001</v>
      </c>
      <c r="DP47" s="15" t="n">
        <v>1318690.85</v>
      </c>
    </row>
    <row r="48">
      <c r="A48" s="4" t="inlineStr">
        <is>
          <t>其他产品C</t>
        </is>
      </c>
      <c r="B48" s="15" t="n">
        <v>3606701.24</v>
      </c>
      <c r="C48" s="15" t="n">
        <v>2564114.47</v>
      </c>
      <c r="D48" s="15" t="n">
        <v>2252744.95</v>
      </c>
      <c r="E48" s="15" t="n">
        <v>713959.34</v>
      </c>
      <c r="F48" s="15" t="n">
        <v>110547.96</v>
      </c>
      <c r="G48" s="15" t="n">
        <v>5775972.97</v>
      </c>
      <c r="H48" s="15" t="n">
        <v>6973097.54</v>
      </c>
      <c r="I48" s="15" t="n">
        <v>3839377.32</v>
      </c>
      <c r="J48" s="15" t="n">
        <v>428578.07</v>
      </c>
      <c r="K48" s="15" t="n">
        <v>392732.58</v>
      </c>
      <c r="L48" s="15" t="n">
        <v>-75777.21000000001</v>
      </c>
      <c r="M48" s="15" t="n">
        <v>2791579.44</v>
      </c>
      <c r="N48" s="15" t="n">
        <v>742892.99</v>
      </c>
      <c r="O48" s="15" t="n">
        <v>4381634.84</v>
      </c>
      <c r="P48" s="15" t="n">
        <v>1278869.48</v>
      </c>
      <c r="Q48" s="15" t="n">
        <v>429560.87</v>
      </c>
      <c r="R48" s="15" t="n">
        <v>625279.4</v>
      </c>
      <c r="S48" s="15" t="n">
        <v>5495343.11</v>
      </c>
      <c r="T48" s="15" t="n">
        <v>1131368.7</v>
      </c>
      <c r="U48" s="15" t="n">
        <v>1794794.22</v>
      </c>
      <c r="V48" s="15" t="n">
        <v>2282449.47</v>
      </c>
      <c r="W48" s="15" t="n">
        <v>225403.65</v>
      </c>
      <c r="X48" s="15" t="n">
        <v>859819.86</v>
      </c>
      <c r="Y48" s="15" t="n">
        <v>4688436.67</v>
      </c>
      <c r="Z48" s="15" t="n">
        <v>5052053.07</v>
      </c>
      <c r="AA48" s="15" t="n">
        <v>1314096.72</v>
      </c>
      <c r="AB48" s="15" t="n">
        <v>2982122.89</v>
      </c>
      <c r="AC48" s="15" t="n">
        <v>631620.54</v>
      </c>
      <c r="AD48" s="15" t="n">
        <v>418779.7</v>
      </c>
      <c r="AE48" s="15" t="n">
        <v>1570645.64</v>
      </c>
      <c r="AF48" s="15" t="n">
        <v>688192.3</v>
      </c>
      <c r="AG48" s="15" t="n">
        <v>3366560.25</v>
      </c>
      <c r="AH48" s="15" t="n">
        <v>583249.4</v>
      </c>
      <c r="AI48" s="15" t="n">
        <v>190175.03</v>
      </c>
      <c r="AJ48" s="15" t="n">
        <v>1485565.15</v>
      </c>
      <c r="AK48" s="15" t="n">
        <v>4982660.27</v>
      </c>
      <c r="AL48" s="15" t="n">
        <v>3319199.83</v>
      </c>
      <c r="AM48" s="15" t="n">
        <v>3013740.66</v>
      </c>
      <c r="AN48" s="15" t="n">
        <v>1298047.98</v>
      </c>
      <c r="AO48" s="15" t="n">
        <v>359465.31</v>
      </c>
      <c r="AP48" s="15" t="n">
        <v>1161452.34</v>
      </c>
      <c r="AQ48" s="15" t="n">
        <v>413630.88</v>
      </c>
      <c r="AR48" s="15" t="n">
        <v>3270447.48</v>
      </c>
      <c r="AS48" s="15" t="n">
        <v>2911214.14</v>
      </c>
      <c r="AT48" s="15" t="n">
        <v>2880314.96</v>
      </c>
      <c r="AU48" s="15" t="n">
        <v>203900.55</v>
      </c>
      <c r="AV48" s="15" t="n">
        <v>929279.4</v>
      </c>
      <c r="AW48" s="15" t="n">
        <v>3852328.13</v>
      </c>
      <c r="AX48" s="15" t="n">
        <v>5670995.47</v>
      </c>
      <c r="AY48" s="15" t="n">
        <v>3231818.17</v>
      </c>
      <c r="AZ48" s="15" t="n">
        <v>319850.82</v>
      </c>
      <c r="BA48" s="15" t="n">
        <v>501472.61</v>
      </c>
      <c r="BB48" s="15" t="n">
        <v>-143131.81</v>
      </c>
      <c r="BC48" s="15" t="n">
        <v>129036.42</v>
      </c>
      <c r="BD48" s="15" t="n">
        <v>1843889.48</v>
      </c>
      <c r="BE48" s="15" t="n">
        <v>1193923.51</v>
      </c>
      <c r="BF48" s="15" t="n">
        <v>2232787.41</v>
      </c>
      <c r="BG48" s="15" t="n">
        <v>636945.53</v>
      </c>
      <c r="BH48" s="15" t="n">
        <v>142213.34</v>
      </c>
      <c r="BI48" s="15" t="n">
        <v>224920.78</v>
      </c>
      <c r="BJ48" s="15" t="n">
        <v>774256.25</v>
      </c>
      <c r="BK48" s="15" t="n">
        <v>2498994.19</v>
      </c>
      <c r="BL48" s="15" t="n">
        <v>1422263.28</v>
      </c>
      <c r="BM48" s="15" t="n">
        <v>364623.29</v>
      </c>
      <c r="BN48" s="15" t="n">
        <v>1283225.15</v>
      </c>
      <c r="BO48" s="15" t="n">
        <v>2153259.5</v>
      </c>
      <c r="BP48" s="15" t="n">
        <v>1779412.3</v>
      </c>
      <c r="BQ48" s="15" t="n">
        <v>3911184.72</v>
      </c>
      <c r="BR48" s="15" t="n">
        <v>2248515.87</v>
      </c>
      <c r="BS48" s="15" t="n">
        <v>222638.46</v>
      </c>
      <c r="BT48" s="15" t="n">
        <v>39788.77</v>
      </c>
      <c r="BU48" s="15" t="n">
        <v>1365050.43</v>
      </c>
      <c r="BV48" s="15" t="n">
        <v>1810929.6</v>
      </c>
      <c r="BW48" s="15" t="n">
        <v>2806406.88</v>
      </c>
      <c r="BX48" s="15" t="n">
        <v>427779.31</v>
      </c>
      <c r="BY48" s="15" t="n">
        <v>109189.31</v>
      </c>
      <c r="BZ48" s="15" t="n">
        <v>1956935.04</v>
      </c>
      <c r="CA48" s="15" t="n">
        <v>3016131.9</v>
      </c>
      <c r="CB48" s="15" t="n">
        <v>3464938.63</v>
      </c>
      <c r="CC48" s="15" t="n">
        <v>890230.11</v>
      </c>
      <c r="CD48" s="15" t="n">
        <v>1384877.66</v>
      </c>
      <c r="CE48" s="15" t="n">
        <v>281152.3</v>
      </c>
      <c r="CF48" s="15" t="n">
        <v>1419854.64</v>
      </c>
      <c r="CG48" s="15" t="n">
        <v>401660.67</v>
      </c>
      <c r="CH48" s="15" t="n">
        <v>7464158.65</v>
      </c>
      <c r="CI48" s="15" t="n">
        <v>2993408.68</v>
      </c>
      <c r="CJ48" s="15" t="n">
        <v>1577862.36</v>
      </c>
      <c r="CK48" s="15" t="n">
        <v>659789.09</v>
      </c>
      <c r="CL48" s="15" t="n">
        <v>176088.31</v>
      </c>
      <c r="CM48" s="15" t="n">
        <v>706868.1899999999</v>
      </c>
      <c r="CN48" s="15" t="n">
        <v>6952947.98</v>
      </c>
      <c r="CO48" s="15" t="n">
        <v>2411122.41</v>
      </c>
      <c r="CP48" s="15" t="n">
        <v>1312968.6</v>
      </c>
      <c r="CQ48" s="15" t="n">
        <v>40611.36</v>
      </c>
      <c r="CR48" s="15" t="n">
        <v>1512987.39</v>
      </c>
      <c r="CS48" s="15" t="n">
        <v>1234873.77</v>
      </c>
      <c r="CT48" s="15" t="n">
        <v>1842652.97</v>
      </c>
      <c r="CU48" s="15" t="n">
        <v>3737531.29</v>
      </c>
      <c r="CV48" s="15" t="n">
        <v>2143167.2</v>
      </c>
      <c r="CW48" s="15" t="n">
        <v>407659.26</v>
      </c>
      <c r="CX48" s="15" t="n">
        <v>1082151.15</v>
      </c>
      <c r="CY48" s="15" t="n">
        <v>3092328.76</v>
      </c>
      <c r="CZ48" s="15" t="n">
        <v>2338333.79</v>
      </c>
      <c r="DA48" s="15" t="n">
        <v>3667988.78</v>
      </c>
      <c r="DB48" s="15" t="n">
        <v>76969.14</v>
      </c>
      <c r="DC48" s="15" t="n">
        <v>564838.11</v>
      </c>
      <c r="DD48" s="15" t="n">
        <v>1401239.64</v>
      </c>
      <c r="DE48" s="15" t="n">
        <v>2837273.61</v>
      </c>
      <c r="DF48" s="15" t="n">
        <v>6766584.18</v>
      </c>
      <c r="DG48" s="15" t="n">
        <v>2850017.64</v>
      </c>
      <c r="DH48" s="15" t="n">
        <v>2656712.3</v>
      </c>
      <c r="DI48" s="15" t="n">
        <v>582315.76</v>
      </c>
      <c r="DJ48" s="15" t="n">
        <v>328789.47</v>
      </c>
      <c r="DK48" s="15" t="n">
        <v>4020714.93</v>
      </c>
      <c r="DL48" s="15" t="n">
        <v>5968228.24</v>
      </c>
      <c r="DM48" s="15" t="n">
        <v>1461833.71</v>
      </c>
      <c r="DN48" s="15" t="n">
        <v>2265864.77</v>
      </c>
      <c r="DO48" s="15" t="n">
        <v>56143.61</v>
      </c>
      <c r="DP48" s="15" t="n">
        <v>677462.85</v>
      </c>
    </row>
    <row r="49">
      <c r="A49" s="4" t="inlineStr">
        <is>
          <t>数控机床</t>
        </is>
      </c>
      <c r="B49" s="15" t="n">
        <v>5306484.93</v>
      </c>
      <c r="C49" s="15" t="n">
        <v>3275196.36</v>
      </c>
      <c r="D49" s="15" t="n">
        <v>755990.63</v>
      </c>
      <c r="E49" s="15" t="n">
        <v>448461.18</v>
      </c>
      <c r="F49" s="15" t="n">
        <v>1041872.52</v>
      </c>
      <c r="G49" s="15" t="n">
        <v>1539120.54</v>
      </c>
      <c r="H49" s="15" t="n">
        <v>4892323.09</v>
      </c>
      <c r="I49" s="15" t="n">
        <v>330655.76</v>
      </c>
      <c r="J49" s="15" t="n">
        <v>2972617.8</v>
      </c>
      <c r="K49" s="15" t="n">
        <v>701277.11</v>
      </c>
      <c r="L49" s="15" t="n">
        <v>491740.76</v>
      </c>
      <c r="M49" s="15" t="n">
        <v>597537.1899999999</v>
      </c>
      <c r="N49" s="15" t="n">
        <v>3234695.4</v>
      </c>
      <c r="O49" s="15" t="n">
        <v>3023375.86</v>
      </c>
      <c r="P49" s="15" t="n">
        <v>1946856.41</v>
      </c>
      <c r="Q49" s="15" t="n">
        <v>450158.71</v>
      </c>
      <c r="R49" s="15" t="n">
        <v>439018.4</v>
      </c>
      <c r="S49" s="15" t="n">
        <v>4507246.97</v>
      </c>
      <c r="T49" s="15" t="n">
        <v>3421525.74</v>
      </c>
      <c r="U49" s="15" t="n">
        <v>2084448.52</v>
      </c>
      <c r="V49" s="15" t="n">
        <v>2003583.49</v>
      </c>
      <c r="W49" s="15" t="n">
        <v>65162.48</v>
      </c>
      <c r="X49" s="15" t="n">
        <v>2233843.6</v>
      </c>
      <c r="Y49" s="15" t="n">
        <v>3468699.1</v>
      </c>
      <c r="Z49" s="15" t="n">
        <v>5937363.46</v>
      </c>
      <c r="AA49" s="15" t="n">
        <v>1039249.27</v>
      </c>
      <c r="AB49" s="15" t="n">
        <v>1260366.87</v>
      </c>
      <c r="AC49" s="15" t="n">
        <v>690838.42</v>
      </c>
      <c r="AD49" s="15" t="n">
        <v>1926427.02</v>
      </c>
      <c r="AE49" s="15" t="n">
        <v>5234002.02</v>
      </c>
      <c r="AF49" s="15" t="n">
        <v>2542925.91</v>
      </c>
      <c r="AG49" s="15" t="n">
        <v>3259232.01</v>
      </c>
      <c r="AH49" s="15" t="n">
        <v>2347396.01</v>
      </c>
      <c r="AI49" s="15" t="n">
        <v>256101.73</v>
      </c>
      <c r="AJ49" s="15" t="n">
        <v>1702219.69</v>
      </c>
      <c r="AK49" s="15" t="n">
        <v>914198.86</v>
      </c>
      <c r="AL49" s="15" t="n">
        <v>7296855.2</v>
      </c>
      <c r="AM49" s="15" t="n">
        <v>596118.22</v>
      </c>
      <c r="AN49" s="15" t="n">
        <v>1694017.23</v>
      </c>
      <c r="AO49" s="15" t="n">
        <v>565017.05</v>
      </c>
      <c r="AP49" s="15" t="n">
        <v>140937.18</v>
      </c>
      <c r="AQ49" s="15" t="n">
        <v>5722782.6</v>
      </c>
      <c r="AR49" s="15" t="n">
        <v>2591585.32</v>
      </c>
      <c r="AS49" s="15" t="n">
        <v>2869907.81</v>
      </c>
      <c r="AT49" s="15" t="n">
        <v>289532.24</v>
      </c>
      <c r="AU49" s="15" t="n">
        <v>221376.66</v>
      </c>
      <c r="AV49" s="15" t="n">
        <v>245098.66</v>
      </c>
      <c r="AW49" s="15" t="n">
        <v>2986004.39</v>
      </c>
      <c r="AX49" s="15" t="n">
        <v>3255520.56</v>
      </c>
      <c r="AY49" s="15" t="n">
        <v>1858535.14</v>
      </c>
      <c r="AZ49" s="15" t="n">
        <v>614205.14</v>
      </c>
      <c r="BA49" s="15" t="n">
        <v>687724.9300000001</v>
      </c>
      <c r="BB49" s="15" t="n">
        <v>1187703.04</v>
      </c>
      <c r="BC49" s="15" t="n">
        <v>5314045.07</v>
      </c>
      <c r="BD49" s="15" t="n">
        <v>2745132.52</v>
      </c>
      <c r="BE49" s="15" t="n">
        <v>3467134.89</v>
      </c>
      <c r="BF49" s="15" t="n">
        <v>1701292.67</v>
      </c>
      <c r="BG49" s="15" t="n">
        <v>472377.37</v>
      </c>
      <c r="BH49" s="15" t="n">
        <v>958334.9399999999</v>
      </c>
      <c r="BI49" s="15" t="n">
        <v>2852826.58</v>
      </c>
      <c r="BJ49" s="15" t="n">
        <v>781325.4</v>
      </c>
      <c r="BK49" s="15" t="n">
        <v>2201026.39</v>
      </c>
      <c r="BL49" s="15" t="n">
        <v>1892321.16</v>
      </c>
      <c r="BM49" s="15" t="n">
        <v>127970.18</v>
      </c>
      <c r="BN49" s="15" t="n">
        <v>1906094.68</v>
      </c>
      <c r="BO49" s="15" t="n">
        <v>914655.02</v>
      </c>
      <c r="BP49" s="15" t="n">
        <v>473344.61</v>
      </c>
      <c r="BQ49" s="15" t="n">
        <v>3256816.21</v>
      </c>
      <c r="BR49" s="15" t="n">
        <v>396275.6</v>
      </c>
      <c r="BS49" s="15" t="n">
        <v>594910.8</v>
      </c>
      <c r="BT49" s="15" t="n">
        <v>-51585.94</v>
      </c>
      <c r="BU49" s="15" t="n">
        <v>1622472.6</v>
      </c>
      <c r="BV49" s="15" t="n">
        <v>3858881.59</v>
      </c>
      <c r="BW49" s="15" t="n">
        <v>1888397.78</v>
      </c>
      <c r="BX49" s="15" t="n">
        <v>1266164.21</v>
      </c>
      <c r="BY49" s="15" t="n">
        <v>57415.91</v>
      </c>
      <c r="BZ49" s="15" t="n">
        <v>164622.35</v>
      </c>
      <c r="CA49" s="15" t="n">
        <v>624543</v>
      </c>
      <c r="CB49" s="15" t="n">
        <v>3740053.67</v>
      </c>
      <c r="CC49" s="15" t="n">
        <v>2675024.84</v>
      </c>
      <c r="CD49" s="15" t="n">
        <v>349809.98</v>
      </c>
      <c r="CE49" s="15" t="n">
        <v>652274.97</v>
      </c>
      <c r="CF49" s="15" t="n">
        <v>1656408.54</v>
      </c>
      <c r="CG49" s="15" t="n">
        <v>4595581.25</v>
      </c>
      <c r="CH49" s="15" t="n">
        <v>4303208.54</v>
      </c>
      <c r="CI49" s="15" t="n">
        <v>1843144.82</v>
      </c>
      <c r="CJ49" s="15" t="n">
        <v>321520.18</v>
      </c>
      <c r="CK49" s="15" t="n">
        <v>527505.3100000001</v>
      </c>
      <c r="CL49" s="15" t="n">
        <v>1410262.33</v>
      </c>
      <c r="CM49" s="15" t="n">
        <v>4850849.15</v>
      </c>
      <c r="CN49" s="15" t="n">
        <v>5028930.64</v>
      </c>
      <c r="CO49" s="15" t="n">
        <v>124938.72</v>
      </c>
      <c r="CP49" s="15" t="n">
        <v>2148122.78</v>
      </c>
      <c r="CQ49" s="15" t="n">
        <v>478904.45</v>
      </c>
      <c r="CR49" s="15" t="n">
        <v>600246.24</v>
      </c>
      <c r="CS49" s="15" t="n">
        <v>4204445.48</v>
      </c>
      <c r="CT49" s="15" t="n">
        <v>6766549.98</v>
      </c>
      <c r="CU49" s="15" t="n">
        <v>1293476.78</v>
      </c>
      <c r="CV49" s="15" t="n">
        <v>1987105.34</v>
      </c>
      <c r="CW49" s="15" t="n">
        <v>370571.56</v>
      </c>
      <c r="CX49" s="15" t="n">
        <v>1417137.98</v>
      </c>
      <c r="CY49" s="15" t="n">
        <v>3889729.15</v>
      </c>
      <c r="CZ49" s="15" t="n">
        <v>6592789.84</v>
      </c>
      <c r="DA49" s="15" t="n">
        <v>3268270.77</v>
      </c>
      <c r="DB49" s="15" t="n">
        <v>1779670.84</v>
      </c>
      <c r="DC49" s="15" t="n">
        <v>304646.93</v>
      </c>
      <c r="DD49" s="15" t="n">
        <v>591405.98</v>
      </c>
      <c r="DE49" s="15" t="n">
        <v>3996272.46</v>
      </c>
      <c r="DF49" s="15" t="n">
        <v>4700801.79</v>
      </c>
      <c r="DG49" s="15" t="n">
        <v>3689055.14</v>
      </c>
      <c r="DH49" s="15" t="n">
        <v>619173.49</v>
      </c>
      <c r="DI49" s="15" t="n">
        <v>47982.21</v>
      </c>
      <c r="DJ49" s="15" t="n">
        <v>2234975.27</v>
      </c>
      <c r="DK49" s="15" t="n">
        <v>796006.13</v>
      </c>
      <c r="DL49" s="15" t="n">
        <v>1063586.87</v>
      </c>
      <c r="DM49" s="15" t="n">
        <v>2139541.33</v>
      </c>
      <c r="DN49" s="15" t="n">
        <v>2236538.49</v>
      </c>
      <c r="DO49" s="15" t="n">
        <v>62000.26</v>
      </c>
      <c r="DP49" s="15" t="n">
        <v>1363963.91</v>
      </c>
    </row>
    <row r="50">
      <c r="A50" s="4" t="inlineStr">
        <is>
          <t>精密轴承</t>
        </is>
      </c>
      <c r="B50" s="15" t="n">
        <v>6505141.38</v>
      </c>
      <c r="C50" s="15" t="n">
        <v>1219044.11</v>
      </c>
      <c r="D50" s="15" t="n">
        <v>2283839.71</v>
      </c>
      <c r="E50" s="15" t="n">
        <v>187736.4</v>
      </c>
      <c r="F50" s="15" t="n">
        <v>291635</v>
      </c>
      <c r="G50" s="15" t="n">
        <v>2660274.17</v>
      </c>
      <c r="H50" s="15" t="n">
        <v>2892568.14</v>
      </c>
      <c r="I50" s="15" t="n">
        <v>2063455.46</v>
      </c>
      <c r="J50" s="15" t="n">
        <v>1467663.07</v>
      </c>
      <c r="K50" s="15" t="n">
        <v>341543.92</v>
      </c>
      <c r="L50" s="15" t="n">
        <v>339261.49</v>
      </c>
      <c r="M50" s="15" t="n">
        <v>4366446.09</v>
      </c>
      <c r="N50" s="15" t="n">
        <v>6182738.33</v>
      </c>
      <c r="O50" s="15" t="n">
        <v>1801091.87</v>
      </c>
      <c r="P50" s="15" t="n">
        <v>2503941.1</v>
      </c>
      <c r="Q50" s="15" t="n">
        <v>261082.73</v>
      </c>
      <c r="R50" s="15" t="n">
        <v>1878228.19</v>
      </c>
      <c r="S50" s="15" t="n">
        <v>2017304.63</v>
      </c>
      <c r="T50" s="15" t="n">
        <v>1670105.1</v>
      </c>
      <c r="U50" s="15" t="n">
        <v>396931.34</v>
      </c>
      <c r="V50" s="15" t="n">
        <v>919682.78</v>
      </c>
      <c r="W50" s="15" t="n">
        <v>490586.02</v>
      </c>
      <c r="X50" s="15" t="n">
        <v>815888.51</v>
      </c>
      <c r="Y50" s="15" t="n">
        <v>661843.6899999999</v>
      </c>
      <c r="Z50" s="15" t="n">
        <v>157419.7</v>
      </c>
      <c r="AA50" s="15" t="n">
        <v>4113955.18</v>
      </c>
      <c r="AB50" s="15" t="n">
        <v>252786.29</v>
      </c>
      <c r="AC50" s="15" t="n">
        <v>673147.53</v>
      </c>
      <c r="AD50" s="15" t="n">
        <v>1300766.42</v>
      </c>
      <c r="AE50" s="15" t="n">
        <v>5220614.16</v>
      </c>
      <c r="AF50" s="15" t="n">
        <v>369368.79</v>
      </c>
      <c r="AG50" s="15" t="n">
        <v>3567232.06</v>
      </c>
      <c r="AH50" s="15" t="n">
        <v>283457.01</v>
      </c>
      <c r="AI50" s="15" t="n">
        <v>500366.03</v>
      </c>
      <c r="AJ50" s="15" t="n">
        <v>1169874.02</v>
      </c>
      <c r="AK50" s="15" t="n">
        <v>327154.81</v>
      </c>
      <c r="AL50" s="15" t="n">
        <v>6341412.26</v>
      </c>
      <c r="AM50" s="15" t="n">
        <v>4484339.09</v>
      </c>
      <c r="AN50" s="15" t="n">
        <v>1197318.47</v>
      </c>
      <c r="AO50" s="15" t="n">
        <v>535366.8199999999</v>
      </c>
      <c r="AP50" s="15" t="n">
        <v>751370.9300000001</v>
      </c>
      <c r="AQ50" s="15" t="n">
        <v>4606119.45</v>
      </c>
      <c r="AR50" s="15" t="n">
        <v>6269058.84</v>
      </c>
      <c r="AS50" s="15" t="n">
        <v>1293706.33</v>
      </c>
      <c r="AT50" s="15" t="n">
        <v>480136.05</v>
      </c>
      <c r="AU50" s="15" t="n">
        <v>635842.5600000001</v>
      </c>
      <c r="AV50" s="15" t="n">
        <v>2037363.31</v>
      </c>
      <c r="AW50" s="15" t="n">
        <v>649802.29</v>
      </c>
      <c r="AX50" s="15" t="n">
        <v>1029846.3</v>
      </c>
      <c r="AY50" s="15" t="n">
        <v>4216581.34</v>
      </c>
      <c r="AZ50" s="15" t="n">
        <v>890797.95</v>
      </c>
      <c r="BA50" s="15" t="n">
        <v>184243.59</v>
      </c>
      <c r="BB50" s="15" t="n">
        <v>694622.91</v>
      </c>
      <c r="BC50" s="15" t="n">
        <v>3062657.73</v>
      </c>
      <c r="BD50" s="15" t="n">
        <v>6101060.01</v>
      </c>
      <c r="BE50" s="15" t="n">
        <v>3541417.64</v>
      </c>
      <c r="BF50" s="15" t="n">
        <v>2213978.34</v>
      </c>
      <c r="BG50" s="15" t="n">
        <v>175247.52</v>
      </c>
      <c r="BH50" s="15" t="n">
        <v>588075.35</v>
      </c>
      <c r="BI50" s="15" t="n">
        <v>1279686.64</v>
      </c>
      <c r="BJ50" s="15" t="n">
        <v>6987229.05</v>
      </c>
      <c r="BK50" s="15" t="n">
        <v>3827768.72</v>
      </c>
      <c r="BL50" s="15" t="n">
        <v>1731280.21</v>
      </c>
      <c r="BM50" s="15" t="n">
        <v>540619.5</v>
      </c>
      <c r="BN50" s="15" t="n">
        <v>1953121.86</v>
      </c>
      <c r="BO50" s="15" t="n">
        <v>2036437.49</v>
      </c>
      <c r="BP50" s="15" t="n">
        <v>3424346.19</v>
      </c>
      <c r="BQ50" s="15" t="n">
        <v>3335438.04</v>
      </c>
      <c r="BR50" s="15" t="n">
        <v>1157881.98</v>
      </c>
      <c r="BS50" s="15" t="n">
        <v>167057.02</v>
      </c>
      <c r="BT50" s="15" t="n">
        <v>1559702.5</v>
      </c>
      <c r="BU50" s="15" t="n">
        <v>2910346.73</v>
      </c>
      <c r="BV50" s="15" t="n">
        <v>4267734.69</v>
      </c>
      <c r="BW50" s="15" t="n">
        <v>502849.25</v>
      </c>
      <c r="BX50" s="15" t="n">
        <v>194499.86</v>
      </c>
      <c r="BY50" s="15" t="n">
        <v>381926.06</v>
      </c>
      <c r="BZ50" s="15" t="n">
        <v>1032609.37</v>
      </c>
      <c r="CA50" s="15" t="n">
        <v>1437104.52</v>
      </c>
      <c r="CB50" s="15" t="n">
        <v>4526095.32</v>
      </c>
      <c r="CC50" s="15" t="n">
        <v>3669562.82</v>
      </c>
      <c r="CD50" s="15" t="n">
        <v>2528178.11</v>
      </c>
      <c r="CE50" s="15" t="n">
        <v>212001.66</v>
      </c>
      <c r="CF50" s="15" t="n">
        <v>1551356.71</v>
      </c>
      <c r="CG50" s="15" t="n">
        <v>4525086.54</v>
      </c>
      <c r="CH50" s="15" t="n">
        <v>7243744.11</v>
      </c>
      <c r="CI50" s="15" t="n">
        <v>407415.8</v>
      </c>
      <c r="CJ50" s="15" t="n">
        <v>2049198.03</v>
      </c>
      <c r="CK50" s="15" t="n">
        <v>79803.11</v>
      </c>
      <c r="CL50" s="15" t="n">
        <v>1253952.66</v>
      </c>
      <c r="CM50" s="15" t="n">
        <v>3877384.6</v>
      </c>
      <c r="CN50" s="15" t="n">
        <v>4615081.21</v>
      </c>
      <c r="CO50" s="15" t="n">
        <v>2984110.16</v>
      </c>
      <c r="CP50" s="15" t="n">
        <v>2020432.72</v>
      </c>
      <c r="CQ50" s="15" t="n">
        <v>188853.35</v>
      </c>
      <c r="CR50" s="15" t="n">
        <v>1665885.76</v>
      </c>
      <c r="CS50" s="15" t="n">
        <v>2441778.29</v>
      </c>
      <c r="CT50" s="15" t="n">
        <v>6475654.14</v>
      </c>
      <c r="CU50" s="15" t="n">
        <v>4131890.54</v>
      </c>
      <c r="CV50" s="15" t="n">
        <v>1021225.03</v>
      </c>
      <c r="CW50" s="15" t="n">
        <v>528056.26</v>
      </c>
      <c r="CX50" s="15" t="n">
        <v>351949.72</v>
      </c>
      <c r="CY50" s="15" t="n">
        <v>3530954.57</v>
      </c>
      <c r="CZ50" s="15" t="n">
        <v>5751093.37</v>
      </c>
      <c r="DA50" s="15" t="n">
        <v>2661332.25</v>
      </c>
      <c r="DB50" s="15" t="n">
        <v>218990.14</v>
      </c>
      <c r="DC50" s="15" t="n">
        <v>459789.42</v>
      </c>
      <c r="DD50" s="15" t="n">
        <v>559081.05</v>
      </c>
      <c r="DE50" s="15" t="n">
        <v>5345403.11</v>
      </c>
      <c r="DF50" s="15" t="n">
        <v>3096603.17</v>
      </c>
      <c r="DG50" s="15" t="n">
        <v>4494871.97</v>
      </c>
      <c r="DH50" s="15" t="n">
        <v>213142.94</v>
      </c>
      <c r="DI50" s="15" t="n">
        <v>304491.21</v>
      </c>
      <c r="DJ50" s="15" t="n">
        <v>694674.34</v>
      </c>
      <c r="DK50" s="15" t="n">
        <v>4300717.87</v>
      </c>
      <c r="DL50" s="15" t="n">
        <v>1018183.68</v>
      </c>
      <c r="DM50" s="15" t="n">
        <v>4458510.67</v>
      </c>
      <c r="DN50" s="15" t="n">
        <v>1095347.91</v>
      </c>
      <c r="DO50" s="15" t="n">
        <v>71757.05</v>
      </c>
      <c r="DP50" s="15" t="n">
        <v>360390.66</v>
      </c>
    </row>
    <row r="51">
      <c r="A51" s="4" t="inlineStr">
        <is>
          <t>液压件</t>
        </is>
      </c>
      <c r="B51" s="15" t="n">
        <v>3423198.87</v>
      </c>
      <c r="C51" s="15" t="n">
        <v>2128833.69</v>
      </c>
      <c r="D51" s="15" t="n">
        <v>2230671.3</v>
      </c>
      <c r="E51" s="15" t="n">
        <v>720676.25</v>
      </c>
      <c r="F51" s="15" t="n">
        <v>1516373.4</v>
      </c>
      <c r="G51" s="15" t="n">
        <v>3930089.05</v>
      </c>
      <c r="H51" s="15" t="n">
        <v>6552548.5</v>
      </c>
      <c r="I51" s="15" t="n">
        <v>3791206.44</v>
      </c>
      <c r="J51" s="15" t="n">
        <v>1519245.63</v>
      </c>
      <c r="K51" s="15" t="n">
        <v>81448.36</v>
      </c>
      <c r="L51" s="15" t="n">
        <v>1589283.85</v>
      </c>
      <c r="M51" s="15" t="n">
        <v>2260000.75</v>
      </c>
      <c r="N51" s="15" t="n">
        <v>6497117.36</v>
      </c>
      <c r="O51" s="15" t="n">
        <v>3413987.94</v>
      </c>
      <c r="P51" s="15" t="n">
        <v>2624725.56</v>
      </c>
      <c r="Q51" s="15" t="n">
        <v>520552.51</v>
      </c>
      <c r="R51" s="15" t="n">
        <v>914869.02</v>
      </c>
      <c r="S51" s="15" t="n">
        <v>3834937.1</v>
      </c>
      <c r="T51" s="15" t="n">
        <v>5080566.56</v>
      </c>
      <c r="U51" s="15" t="n">
        <v>1176355.41</v>
      </c>
      <c r="V51" s="15" t="n">
        <v>1264379.43</v>
      </c>
      <c r="W51" s="15" t="n">
        <v>699292.1</v>
      </c>
      <c r="X51" s="15" t="n">
        <v>930963.23</v>
      </c>
      <c r="Y51" s="15" t="n">
        <v>3816218.91</v>
      </c>
      <c r="Z51" s="15" t="n">
        <v>1349434.16</v>
      </c>
      <c r="AA51" s="15" t="n">
        <v>3625996.33</v>
      </c>
      <c r="AB51" s="15" t="n">
        <v>971201.49</v>
      </c>
      <c r="AC51" s="15" t="n">
        <v>565734.85</v>
      </c>
      <c r="AD51" s="15" t="n">
        <v>701045.9</v>
      </c>
      <c r="AE51" s="15" t="n">
        <v>2829568.02</v>
      </c>
      <c r="AF51" s="15" t="n">
        <v>5272751.96</v>
      </c>
      <c r="AG51" s="15" t="n">
        <v>1565758.49</v>
      </c>
      <c r="AH51" s="15" t="n">
        <v>915651.96</v>
      </c>
      <c r="AI51" s="15" t="n">
        <v>450652.39</v>
      </c>
      <c r="AJ51" s="15" t="n">
        <v>1521279.49</v>
      </c>
      <c r="AK51" s="15" t="n">
        <v>337166.57</v>
      </c>
      <c r="AL51" s="15" t="n">
        <v>805412.4300000001</v>
      </c>
      <c r="AM51" s="15" t="n">
        <v>893267.91</v>
      </c>
      <c r="AN51" s="15" t="n">
        <v>1775811.7</v>
      </c>
      <c r="AO51" s="15" t="n">
        <v>459789.35</v>
      </c>
      <c r="AP51" s="15" t="n">
        <v>1252909.39</v>
      </c>
      <c r="AQ51" s="15" t="n">
        <v>3655769.52</v>
      </c>
      <c r="AR51" s="15" t="n">
        <v>856328.3</v>
      </c>
      <c r="AS51" s="15" t="n">
        <v>1379666.42</v>
      </c>
      <c r="AT51" s="15" t="n">
        <v>1660806.13</v>
      </c>
      <c r="AU51" s="15" t="n">
        <v>730856.1</v>
      </c>
      <c r="AV51" s="15" t="n">
        <v>2098989.04</v>
      </c>
      <c r="AW51" s="15" t="n">
        <v>175657.37</v>
      </c>
      <c r="AX51" s="15" t="n">
        <v>4977905.3</v>
      </c>
      <c r="AY51" s="15" t="n">
        <v>2620813.12</v>
      </c>
      <c r="AZ51" s="15" t="n">
        <v>674166.04</v>
      </c>
      <c r="BA51" s="15" t="n">
        <v>526129.46</v>
      </c>
      <c r="BB51" s="15" t="n">
        <v>-32583.47</v>
      </c>
      <c r="BC51" s="15" t="n">
        <v>5885983.42</v>
      </c>
      <c r="BD51" s="15" t="n">
        <v>3024547.38</v>
      </c>
      <c r="BE51" s="15" t="n">
        <v>2612204.43</v>
      </c>
      <c r="BF51" s="15" t="n">
        <v>1428766.31</v>
      </c>
      <c r="BG51" s="15" t="n">
        <v>207437.69</v>
      </c>
      <c r="BH51" s="15" t="n">
        <v>-249735.8</v>
      </c>
      <c r="BI51" s="15" t="n">
        <v>498310.73</v>
      </c>
      <c r="BJ51" s="15" t="n">
        <v>3344007.45</v>
      </c>
      <c r="BK51" s="15" t="n">
        <v>2493550.81</v>
      </c>
      <c r="BL51" s="15" t="n">
        <v>1621160.63</v>
      </c>
      <c r="BM51" s="15" t="n">
        <v>70670.67999999999</v>
      </c>
      <c r="BN51" s="15" t="n">
        <v>974291.54</v>
      </c>
      <c r="BO51" s="15" t="n">
        <v>611520.84</v>
      </c>
      <c r="BP51" s="15" t="n">
        <v>1145245.88</v>
      </c>
      <c r="BQ51" s="15" t="n">
        <v>2769199.27</v>
      </c>
      <c r="BR51" s="15" t="n">
        <v>230173.32</v>
      </c>
      <c r="BS51" s="15" t="n">
        <v>210445.89</v>
      </c>
      <c r="BT51" s="15" t="n">
        <v>1485980.96</v>
      </c>
      <c r="BU51" s="15" t="n">
        <v>3919347.17</v>
      </c>
      <c r="BV51" s="15" t="n">
        <v>613963.75</v>
      </c>
      <c r="BW51" s="15" t="n">
        <v>2693822.46</v>
      </c>
      <c r="BX51" s="15" t="n">
        <v>2395596.22</v>
      </c>
      <c r="BY51" s="15" t="n">
        <v>568372.88</v>
      </c>
      <c r="BZ51" s="15" t="n">
        <v>905949.13</v>
      </c>
      <c r="CA51" s="15" t="n">
        <v>4038628.36</v>
      </c>
      <c r="CB51" s="15" t="n">
        <v>6817869.54</v>
      </c>
      <c r="CC51" s="15" t="n">
        <v>1571744.95</v>
      </c>
      <c r="CD51" s="15" t="n">
        <v>1812102</v>
      </c>
      <c r="CE51" s="15" t="n">
        <v>129026.82</v>
      </c>
      <c r="CF51" s="15" t="n">
        <v>1466437.67</v>
      </c>
      <c r="CG51" s="15" t="n">
        <v>2245802.87</v>
      </c>
      <c r="CH51" s="15" t="n">
        <v>1102898.65</v>
      </c>
      <c r="CI51" s="15" t="n">
        <v>2501368.24</v>
      </c>
      <c r="CJ51" s="15" t="n">
        <v>1682425.08</v>
      </c>
      <c r="CK51" s="15" t="n">
        <v>506112.96</v>
      </c>
      <c r="CL51" s="15" t="n">
        <v>1917547.33</v>
      </c>
      <c r="CM51" s="15" t="n">
        <v>5401706.38</v>
      </c>
      <c r="CN51" s="15" t="n">
        <v>1582951</v>
      </c>
      <c r="CO51" s="15" t="n">
        <v>3546711.79</v>
      </c>
      <c r="CP51" s="15" t="n">
        <v>479543.28</v>
      </c>
      <c r="CQ51" s="15" t="n">
        <v>123664.08</v>
      </c>
      <c r="CR51" s="15" t="n">
        <v>1684541.02</v>
      </c>
      <c r="CS51" s="15" t="n">
        <v>4315367.79</v>
      </c>
      <c r="CT51" s="15" t="n">
        <v>4621393.64</v>
      </c>
      <c r="CU51" s="15" t="n">
        <v>1072534.46</v>
      </c>
      <c r="CV51" s="15" t="n">
        <v>729546.4</v>
      </c>
      <c r="CW51" s="15" t="n">
        <v>713635.37</v>
      </c>
      <c r="CX51" s="15" t="n">
        <v>1085078.02</v>
      </c>
      <c r="CY51" s="15" t="n">
        <v>2700307.12</v>
      </c>
      <c r="CZ51" s="15" t="n">
        <v>4651627.32</v>
      </c>
      <c r="DA51" s="15" t="n">
        <v>548067.3199999999</v>
      </c>
      <c r="DB51" s="15" t="n">
        <v>2186813.02</v>
      </c>
      <c r="DC51" s="15" t="n">
        <v>157506.57</v>
      </c>
      <c r="DD51" s="15" t="n">
        <v>1747217.27</v>
      </c>
      <c r="DE51" s="15" t="n">
        <v>3639925.57</v>
      </c>
      <c r="DF51" s="15" t="n">
        <v>3163064.36</v>
      </c>
      <c r="DG51" s="15" t="n">
        <v>2226311.2</v>
      </c>
      <c r="DH51" s="15" t="n">
        <v>495246.57</v>
      </c>
      <c r="DI51" s="15" t="n">
        <v>401792.33</v>
      </c>
      <c r="DJ51" s="15" t="n">
        <v>489997.21</v>
      </c>
      <c r="DK51" s="15" t="n">
        <v>4456615.05</v>
      </c>
      <c r="DL51" s="15" t="n">
        <v>2105707.35</v>
      </c>
      <c r="DM51" s="15" t="n">
        <v>1311484.05</v>
      </c>
      <c r="DN51" s="15" t="n">
        <v>1099010.54</v>
      </c>
      <c r="DO51" s="15" t="n">
        <v>39863.94</v>
      </c>
      <c r="DP51" s="15" t="n">
        <v>1445343.31</v>
      </c>
    </row>
    <row r="52">
      <c r="A52" s="4" t="inlineStr">
        <is>
          <t>气动元件</t>
        </is>
      </c>
      <c r="B52" s="15" t="n">
        <v>6741967</v>
      </c>
      <c r="C52" s="15" t="n">
        <v>1172167.92</v>
      </c>
      <c r="D52" s="15" t="n">
        <v>2281827.68</v>
      </c>
      <c r="E52" s="15" t="n">
        <v>693626.45</v>
      </c>
      <c r="F52" s="15" t="n">
        <v>13404.64</v>
      </c>
      <c r="G52" s="15" t="n">
        <v>3357692.81</v>
      </c>
      <c r="H52" s="15" t="n">
        <v>2747657.66</v>
      </c>
      <c r="I52" s="15" t="n">
        <v>3107737.99</v>
      </c>
      <c r="J52" s="15" t="n">
        <v>1593216.05</v>
      </c>
      <c r="K52" s="15" t="n">
        <v>51101.5</v>
      </c>
      <c r="L52" s="15" t="n">
        <v>1076596.7</v>
      </c>
      <c r="M52" s="15" t="n">
        <v>1978620.97</v>
      </c>
      <c r="N52" s="15" t="n">
        <v>5589254.07</v>
      </c>
      <c r="O52" s="15" t="n">
        <v>3701017.42</v>
      </c>
      <c r="P52" s="15" t="n">
        <v>2827631.3</v>
      </c>
      <c r="Q52" s="15" t="n">
        <v>566373.29</v>
      </c>
      <c r="R52" s="15" t="n">
        <v>1605293.59</v>
      </c>
      <c r="S52" s="15" t="n">
        <v>2109900.23</v>
      </c>
      <c r="T52" s="15" t="n">
        <v>966690.97</v>
      </c>
      <c r="U52" s="15" t="n">
        <v>142821.55</v>
      </c>
      <c r="V52" s="15" t="n">
        <v>1603446.78</v>
      </c>
      <c r="W52" s="15" t="n">
        <v>95021.14999999999</v>
      </c>
      <c r="X52" s="15" t="n">
        <v>1133130.6</v>
      </c>
      <c r="Y52" s="15" t="n">
        <v>3893490.29</v>
      </c>
      <c r="Z52" s="15" t="n">
        <v>6688942.06</v>
      </c>
      <c r="AA52" s="15" t="n">
        <v>3722509.31</v>
      </c>
      <c r="AB52" s="15" t="n">
        <v>1474851.07</v>
      </c>
      <c r="AC52" s="15" t="n">
        <v>376489.51</v>
      </c>
      <c r="AD52" s="15" t="n">
        <v>2163808.17</v>
      </c>
      <c r="AE52" s="15" t="n">
        <v>1611395.66</v>
      </c>
      <c r="AF52" s="15" t="n">
        <v>3349027.15</v>
      </c>
      <c r="AG52" s="15" t="n">
        <v>2684279.68</v>
      </c>
      <c r="AH52" s="15" t="n">
        <v>1356214.07</v>
      </c>
      <c r="AI52" s="15" t="n">
        <v>611319.52</v>
      </c>
      <c r="AJ52" s="15" t="n">
        <v>1561176.22</v>
      </c>
      <c r="AK52" s="15" t="n">
        <v>5734106.49</v>
      </c>
      <c r="AL52" s="15" t="n">
        <v>2920419.29</v>
      </c>
      <c r="AM52" s="15" t="n">
        <v>3750635.67</v>
      </c>
      <c r="AN52" s="15" t="n">
        <v>2363843.7</v>
      </c>
      <c r="AO52" s="15" t="n">
        <v>232322.74</v>
      </c>
      <c r="AP52" s="15" t="n">
        <v>1645124.33</v>
      </c>
      <c r="AQ52" s="15" t="n">
        <v>1544352.95</v>
      </c>
      <c r="AR52" s="15" t="n">
        <v>1761546.17</v>
      </c>
      <c r="AS52" s="15" t="n">
        <v>1414537.43</v>
      </c>
      <c r="AT52" s="15" t="n">
        <v>1349315.17</v>
      </c>
      <c r="AU52" s="15" t="n">
        <v>218229.1</v>
      </c>
      <c r="AV52" s="15" t="n">
        <v>1163892.58</v>
      </c>
      <c r="AW52" s="15" t="n">
        <v>5847513.11</v>
      </c>
      <c r="AX52" s="15" t="n">
        <v>1609950.58</v>
      </c>
      <c r="AY52" s="15" t="n">
        <v>2204646.55</v>
      </c>
      <c r="AZ52" s="15" t="n">
        <v>2685669.1</v>
      </c>
      <c r="BA52" s="15" t="n">
        <v>123704.31</v>
      </c>
      <c r="BB52" s="15" t="n">
        <v>1722695.05</v>
      </c>
      <c r="BC52" s="15" t="n">
        <v>5596377.33</v>
      </c>
      <c r="BD52" s="15" t="n">
        <v>3313471.15</v>
      </c>
      <c r="BE52" s="15" t="n">
        <v>4026066.71</v>
      </c>
      <c r="BF52" s="15" t="n">
        <v>1520935.9</v>
      </c>
      <c r="BG52" s="15" t="n">
        <v>467856.83</v>
      </c>
      <c r="BH52" s="15" t="n">
        <v>-110625.45</v>
      </c>
      <c r="BI52" s="15" t="n">
        <v>123049.01</v>
      </c>
      <c r="BJ52" s="15" t="n">
        <v>1756540.74</v>
      </c>
      <c r="BK52" s="15" t="n">
        <v>1369649.37</v>
      </c>
      <c r="BL52" s="15" t="n">
        <v>1661763.08</v>
      </c>
      <c r="BM52" s="15" t="n">
        <v>484530.58</v>
      </c>
      <c r="BN52" s="15" t="n">
        <v>324428.12</v>
      </c>
      <c r="BO52" s="15" t="n">
        <v>5923225.46</v>
      </c>
      <c r="BP52" s="15" t="n">
        <v>519548.8</v>
      </c>
      <c r="BQ52" s="15" t="n">
        <v>4339609.35</v>
      </c>
      <c r="BR52" s="15" t="n">
        <v>372452.67</v>
      </c>
      <c r="BS52" s="15" t="n">
        <v>227997.42</v>
      </c>
      <c r="BT52" s="15" t="n">
        <v>514702.24</v>
      </c>
      <c r="BU52" s="15" t="n">
        <v>3844363.09</v>
      </c>
      <c r="BV52" s="15" t="n">
        <v>2005863.84</v>
      </c>
      <c r="BW52" s="15" t="n">
        <v>665788.5</v>
      </c>
      <c r="BX52" s="15" t="n">
        <v>1267625.02</v>
      </c>
      <c r="BY52" s="15" t="n">
        <v>473870.56</v>
      </c>
      <c r="BZ52" s="15" t="n">
        <v>1903959.65</v>
      </c>
      <c r="CA52" s="15" t="n">
        <v>3892582.87</v>
      </c>
      <c r="CB52" s="15" t="n">
        <v>3288945.56</v>
      </c>
      <c r="CC52" s="15" t="n">
        <v>2714710.21</v>
      </c>
      <c r="CD52" s="15" t="n">
        <v>830953.37</v>
      </c>
      <c r="CE52" s="15" t="n">
        <v>712864.36</v>
      </c>
      <c r="CF52" s="15" t="n">
        <v>941370.6</v>
      </c>
      <c r="CG52" s="15" t="n">
        <v>1509108.02</v>
      </c>
      <c r="CH52" s="15" t="n">
        <v>7281274.84</v>
      </c>
      <c r="CI52" s="15" t="n">
        <v>1755432.89</v>
      </c>
      <c r="CJ52" s="15" t="n">
        <v>1729257.01</v>
      </c>
      <c r="CK52" s="15" t="n">
        <v>567039.88</v>
      </c>
      <c r="CL52" s="15" t="n">
        <v>2086299.58</v>
      </c>
      <c r="CM52" s="15" t="n">
        <v>3533929.68</v>
      </c>
      <c r="CN52" s="15" t="n">
        <v>4607762.21</v>
      </c>
      <c r="CO52" s="15" t="n">
        <v>500720.24</v>
      </c>
      <c r="CP52" s="15" t="n">
        <v>2261586.2</v>
      </c>
      <c r="CQ52" s="15" t="n">
        <v>371246.7</v>
      </c>
      <c r="CR52" s="15" t="n">
        <v>1537775.4</v>
      </c>
      <c r="CS52" s="15" t="n">
        <v>2406537.71</v>
      </c>
      <c r="CT52" s="15" t="n">
        <v>2831564.38</v>
      </c>
      <c r="CU52" s="15" t="n">
        <v>2797729.5</v>
      </c>
      <c r="CV52" s="15" t="n">
        <v>1947266.11</v>
      </c>
      <c r="CW52" s="15" t="n">
        <v>402457.59</v>
      </c>
      <c r="CX52" s="15" t="n">
        <v>1036130.41</v>
      </c>
      <c r="CY52" s="15" t="n">
        <v>4860684.73</v>
      </c>
      <c r="CZ52" s="15" t="n">
        <v>3868843.95</v>
      </c>
      <c r="DA52" s="15" t="n">
        <v>2716581.8</v>
      </c>
      <c r="DB52" s="15" t="n">
        <v>2049513.44</v>
      </c>
      <c r="DC52" s="15" t="n">
        <v>678821.1800000001</v>
      </c>
      <c r="DD52" s="15" t="n">
        <v>1923834.19</v>
      </c>
      <c r="DE52" s="15" t="n">
        <v>2781777.85</v>
      </c>
      <c r="DF52" s="15" t="n">
        <v>1948841.16</v>
      </c>
      <c r="DG52" s="15" t="n">
        <v>3617069.86</v>
      </c>
      <c r="DH52" s="15" t="n">
        <v>1847860.09</v>
      </c>
      <c r="DI52" s="15" t="n">
        <v>201076.5</v>
      </c>
      <c r="DJ52" s="15" t="n">
        <v>369233.07</v>
      </c>
      <c r="DK52" s="15" t="n">
        <v>5753603.49</v>
      </c>
      <c r="DL52" s="15" t="n">
        <v>5462381.81</v>
      </c>
      <c r="DM52" s="15" t="n">
        <v>4203233.04</v>
      </c>
      <c r="DN52" s="15" t="n">
        <v>221624.78</v>
      </c>
      <c r="DO52" s="15" t="n">
        <v>334828.42</v>
      </c>
      <c r="DP52" s="15" t="n">
        <v>1852850.19</v>
      </c>
    </row>
    <row r="53">
      <c r="A53" s="4" t="inlineStr">
        <is>
          <t>模具</t>
        </is>
      </c>
      <c r="B53" s="15" t="n">
        <v>2502976.41</v>
      </c>
      <c r="C53" s="15" t="n">
        <v>1584758.31</v>
      </c>
      <c r="D53" s="15" t="n">
        <v>775393.87</v>
      </c>
      <c r="E53" s="15" t="n">
        <v>365397.09</v>
      </c>
      <c r="F53" s="15" t="n">
        <v>408053.19</v>
      </c>
      <c r="G53" s="15" t="n">
        <v>2698898.87</v>
      </c>
      <c r="H53" s="15" t="n">
        <v>1309910.37</v>
      </c>
      <c r="I53" s="15" t="n">
        <v>714470.23</v>
      </c>
      <c r="J53" s="15" t="n">
        <v>1537539.73</v>
      </c>
      <c r="K53" s="15" t="n">
        <v>393681.77</v>
      </c>
      <c r="L53" s="15" t="n">
        <v>833157.67</v>
      </c>
      <c r="M53" s="15" t="n">
        <v>2374910.26</v>
      </c>
      <c r="N53" s="15" t="n">
        <v>6138928.42</v>
      </c>
      <c r="O53" s="15" t="n">
        <v>3553833.82</v>
      </c>
      <c r="P53" s="15" t="n">
        <v>2754840.33</v>
      </c>
      <c r="Q53" s="15" t="n">
        <v>74816.84</v>
      </c>
      <c r="R53" s="15" t="n">
        <v>1098125.74</v>
      </c>
      <c r="S53" s="15" t="n">
        <v>3429178.2</v>
      </c>
      <c r="T53" s="15" t="n">
        <v>3965750.97</v>
      </c>
      <c r="U53" s="15" t="n">
        <v>1554605.65</v>
      </c>
      <c r="V53" s="15" t="n">
        <v>1493545.7</v>
      </c>
      <c r="W53" s="15" t="n">
        <v>654797.66</v>
      </c>
      <c r="X53" s="15" t="n">
        <v>1071559.58</v>
      </c>
      <c r="Y53" s="15" t="n">
        <v>5843649.07</v>
      </c>
      <c r="Z53" s="15" t="n">
        <v>1082221.87</v>
      </c>
      <c r="AA53" s="15" t="n">
        <v>916430.04</v>
      </c>
      <c r="AB53" s="15" t="n">
        <v>1796106.89</v>
      </c>
      <c r="AC53" s="15" t="n">
        <v>484849.11</v>
      </c>
      <c r="AD53" s="15" t="n">
        <v>-227406.66</v>
      </c>
      <c r="AE53" s="15" t="n">
        <v>471246.55</v>
      </c>
      <c r="AF53" s="15" t="n">
        <v>4480579.13</v>
      </c>
      <c r="AG53" s="15" t="n">
        <v>1499829.08</v>
      </c>
      <c r="AH53" s="15" t="n">
        <v>1071519.53</v>
      </c>
      <c r="AI53" s="15" t="n">
        <v>98282.82000000001</v>
      </c>
      <c r="AJ53" s="15" t="n">
        <v>286792.56</v>
      </c>
      <c r="AK53" s="15" t="n">
        <v>2013856.67</v>
      </c>
      <c r="AL53" s="15" t="n">
        <v>2827755.43</v>
      </c>
      <c r="AM53" s="15" t="n">
        <v>232959.11</v>
      </c>
      <c r="AN53" s="15" t="n">
        <v>2196190.2</v>
      </c>
      <c r="AO53" s="15" t="n">
        <v>64360.55</v>
      </c>
      <c r="AP53" s="15" t="n">
        <v>271498.74</v>
      </c>
      <c r="AQ53" s="15" t="n">
        <v>1901150.62</v>
      </c>
      <c r="AR53" s="15" t="n">
        <v>1509047.71</v>
      </c>
      <c r="AS53" s="15" t="n">
        <v>1892586.48</v>
      </c>
      <c r="AT53" s="15" t="n">
        <v>2583394.86</v>
      </c>
      <c r="AU53" s="15" t="n">
        <v>558447.42</v>
      </c>
      <c r="AV53" s="15" t="n">
        <v>896838.1</v>
      </c>
      <c r="AW53" s="15" t="n">
        <v>5886372.27</v>
      </c>
      <c r="AX53" s="15" t="n">
        <v>1535062.14</v>
      </c>
      <c r="AY53" s="15" t="n">
        <v>1123231.97</v>
      </c>
      <c r="AZ53" s="15" t="n">
        <v>2815077.41</v>
      </c>
      <c r="BA53" s="15" t="n">
        <v>684050.84</v>
      </c>
      <c r="BB53" s="15" t="n">
        <v>1675680.24</v>
      </c>
      <c r="BC53" s="15" t="n">
        <v>4606455.11</v>
      </c>
      <c r="BD53" s="15" t="n">
        <v>2621325.25</v>
      </c>
      <c r="BE53" s="15" t="n">
        <v>981606.51</v>
      </c>
      <c r="BF53" s="15" t="n">
        <v>2635527.27</v>
      </c>
      <c r="BG53" s="15" t="n">
        <v>158140.58</v>
      </c>
      <c r="BH53" s="15" t="n">
        <v>1519886.08</v>
      </c>
      <c r="BI53" s="15" t="n">
        <v>3721689.41</v>
      </c>
      <c r="BJ53" s="15" t="n">
        <v>3621439.52</v>
      </c>
      <c r="BK53" s="15" t="n">
        <v>4203217.81</v>
      </c>
      <c r="BL53" s="15" t="n">
        <v>2468841.9</v>
      </c>
      <c r="BM53" s="15" t="n">
        <v>507851.4</v>
      </c>
      <c r="BN53" s="15" t="n">
        <v>-248652.01</v>
      </c>
      <c r="BO53" s="15" t="n">
        <v>2448194.39</v>
      </c>
      <c r="BP53" s="15" t="n">
        <v>6107560.61</v>
      </c>
      <c r="BQ53" s="15" t="n">
        <v>2311621.9</v>
      </c>
      <c r="BR53" s="15" t="n">
        <v>2198801.16</v>
      </c>
      <c r="BS53" s="15" t="n">
        <v>103228.09</v>
      </c>
      <c r="BT53" s="15" t="n">
        <v>728515.38</v>
      </c>
      <c r="BU53" s="15" t="n">
        <v>120548.12</v>
      </c>
      <c r="BV53" s="15" t="n">
        <v>3752137.64</v>
      </c>
      <c r="BW53" s="15" t="n">
        <v>2245589.61</v>
      </c>
      <c r="BX53" s="15" t="n">
        <v>1898741.63</v>
      </c>
      <c r="BY53" s="15" t="n">
        <v>480177.03</v>
      </c>
      <c r="BZ53" s="15" t="n">
        <v>985830.6899999999</v>
      </c>
      <c r="CA53" s="15" t="n">
        <v>5174236.82</v>
      </c>
      <c r="CB53" s="15" t="n">
        <v>1225306.16</v>
      </c>
      <c r="CC53" s="15" t="n">
        <v>3183879.09</v>
      </c>
      <c r="CD53" s="15" t="n">
        <v>1443995.35</v>
      </c>
      <c r="CE53" s="15" t="n">
        <v>154903.94</v>
      </c>
      <c r="CF53" s="15" t="n">
        <v>1872445.61</v>
      </c>
      <c r="CG53" s="15" t="n">
        <v>2618549.19</v>
      </c>
      <c r="CH53" s="15" t="n">
        <v>498405.51</v>
      </c>
      <c r="CI53" s="15" t="n">
        <v>4199976.18</v>
      </c>
      <c r="CJ53" s="15" t="n">
        <v>1383299.65</v>
      </c>
      <c r="CK53" s="15" t="n">
        <v>442067.6</v>
      </c>
      <c r="CL53" s="15" t="n">
        <v>1773034.46</v>
      </c>
      <c r="CM53" s="15" t="n">
        <v>4381442.11</v>
      </c>
      <c r="CN53" s="15" t="n">
        <v>6527149.34</v>
      </c>
      <c r="CO53" s="15" t="n">
        <v>3818847.52</v>
      </c>
      <c r="CP53" s="15" t="n">
        <v>1253387.56</v>
      </c>
      <c r="CQ53" s="15" t="n">
        <v>433375.95</v>
      </c>
      <c r="CR53" s="15" t="n">
        <v>1376234.01</v>
      </c>
      <c r="CS53" s="15" t="n">
        <v>5975117.72</v>
      </c>
      <c r="CT53" s="15" t="n">
        <v>3848849.34</v>
      </c>
      <c r="CU53" s="15" t="n">
        <v>1527233.21</v>
      </c>
      <c r="CV53" s="15" t="n">
        <v>1024880.76</v>
      </c>
      <c r="CW53" s="15" t="n">
        <v>23184.35</v>
      </c>
      <c r="CX53" s="15" t="n">
        <v>1942582.83</v>
      </c>
      <c r="CY53" s="15" t="n">
        <v>444862.82</v>
      </c>
      <c r="CZ53" s="15" t="n">
        <v>4873009.36</v>
      </c>
      <c r="DA53" s="15" t="n">
        <v>1313516.56</v>
      </c>
      <c r="DB53" s="15" t="n">
        <v>1110485.52</v>
      </c>
      <c r="DC53" s="15" t="n">
        <v>49081.45</v>
      </c>
      <c r="DD53" s="15" t="n">
        <v>1495853.88</v>
      </c>
      <c r="DE53" s="15" t="n">
        <v>3651536.23</v>
      </c>
      <c r="DF53" s="15" t="n">
        <v>1304523.61</v>
      </c>
      <c r="DG53" s="15" t="n">
        <v>2779206.31</v>
      </c>
      <c r="DH53" s="15" t="n">
        <v>2919861.26</v>
      </c>
      <c r="DI53" s="15" t="n">
        <v>742347.08</v>
      </c>
      <c r="DJ53" s="15" t="n">
        <v>1672148.81</v>
      </c>
      <c r="DK53" s="15" t="n">
        <v>279950.52</v>
      </c>
      <c r="DL53" s="15" t="n">
        <v>750421.11</v>
      </c>
      <c r="DM53" s="15" t="n">
        <v>4187242.4</v>
      </c>
      <c r="DN53" s="15" t="n">
        <v>1848097.14</v>
      </c>
      <c r="DO53" s="15" t="n">
        <v>537342.65</v>
      </c>
      <c r="DP53" s="15" t="n">
        <v>1458826.97</v>
      </c>
    </row>
  </sheetData>
  <mergeCells count="23">
    <mergeCell ref="B2:G2"/>
    <mergeCell ref="N2:S2"/>
    <mergeCell ref="AX2:BC2"/>
    <mergeCell ref="BD2:BI2"/>
    <mergeCell ref="BP2:BU2"/>
    <mergeCell ref="CZ2:DE2"/>
    <mergeCell ref="BJ2:BO2"/>
    <mergeCell ref="B1:Y1"/>
    <mergeCell ref="H2:M2"/>
    <mergeCell ref="Z2:AE2"/>
    <mergeCell ref="T2:Y2"/>
    <mergeCell ref="AF2:AK2"/>
    <mergeCell ref="BV2:CA2"/>
    <mergeCell ref="CH2:CM2"/>
    <mergeCell ref="AR2:AW2"/>
    <mergeCell ref="CT2:CY2"/>
    <mergeCell ref="Z1:AW1"/>
    <mergeCell ref="DF2:DK2"/>
    <mergeCell ref="AL2:AQ2"/>
    <mergeCell ref="CB2:CG2"/>
    <mergeCell ref="CN2:CS2"/>
    <mergeCell ref="AX1:BU1"/>
    <mergeCell ref="BV1:CS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4" customWidth="1" min="4" max="4"/>
    <col width="10" customWidth="1" min="5" max="5"/>
    <col width="10" customWidth="1" min="6" max="6"/>
  </cols>
  <sheetData>
    <row r="1">
      <c r="A1" s="2" t="inlineStr">
        <is>
          <t>产品名称</t>
        </is>
      </c>
      <c r="B1" s="2" t="inlineStr">
        <is>
          <t>销售额</t>
        </is>
      </c>
      <c r="C1" s="2" t="inlineStr">
        <is>
          <t>利润率</t>
        </is>
      </c>
      <c r="D1" s="2" t="inlineStr">
        <is>
          <t>备注</t>
        </is>
      </c>
      <c r="E1" s="2" t="inlineStr">
        <is>
          <t>月份数据</t>
        </is>
      </c>
      <c r="F1" s="2" t="inlineStr">
        <is>
          <t>分类评分</t>
        </is>
      </c>
    </row>
    <row r="2">
      <c r="A2" s="4" t="inlineStr">
        <is>
          <t>数控机床</t>
        </is>
      </c>
      <c r="B2" s="15" t="n">
        <v>506628.11</v>
      </c>
      <c r="C2" s="25" t="n">
        <v>0.1729</v>
      </c>
      <c r="D2" s="4" t="inlineStr">
        <is>
          <t>新产品</t>
        </is>
      </c>
      <c r="E2" s="3" t="inlineStr">
        <is>
          <t>1月</t>
        </is>
      </c>
      <c r="F2" s="4" t="n">
        <v>80.7</v>
      </c>
    </row>
    <row r="3">
      <c r="A3" s="4" t="inlineStr">
        <is>
          <t>精密轴承</t>
        </is>
      </c>
      <c r="B3" s="15" t="n">
        <v>1085972.78</v>
      </c>
      <c r="C3" s="25" t="n">
        <v>0.1859</v>
      </c>
      <c r="D3" s="4" t="inlineStr">
        <is>
          <t>正常</t>
        </is>
      </c>
      <c r="E3" s="3" t="inlineStr">
        <is>
          <t>2月</t>
        </is>
      </c>
      <c r="F3" s="4" t="n">
        <v>73.3</v>
      </c>
    </row>
    <row r="4">
      <c r="A4" s="4" t="inlineStr">
        <is>
          <t>液压件</t>
        </is>
      </c>
      <c r="B4" s="15" t="n">
        <v>965046.51</v>
      </c>
      <c r="C4" s="25" t="n">
        <v>0.0537</v>
      </c>
      <c r="D4" s="4" t="n"/>
      <c r="E4" s="3" t="inlineStr">
        <is>
          <t>3月</t>
        </is>
      </c>
      <c r="F4" s="4" t="n">
        <v>77</v>
      </c>
    </row>
    <row r="5">
      <c r="A5" s="4" t="inlineStr">
        <is>
          <t>气动元件</t>
        </is>
      </c>
      <c r="B5" s="15" t="n">
        <v>429120.96</v>
      </c>
      <c r="C5" s="25" t="n">
        <v>0.2173</v>
      </c>
      <c r="D5" s="4" t="n"/>
      <c r="E5" s="3" t="inlineStr">
        <is>
          <t>4月</t>
        </is>
      </c>
      <c r="F5" s="4" t="n">
        <v>68.09999999999999</v>
      </c>
    </row>
    <row r="6">
      <c r="A6" s="4" t="inlineStr">
        <is>
          <t>模具</t>
        </is>
      </c>
      <c r="B6" s="15" t="n">
        <v>1687100.87</v>
      </c>
      <c r="C6" s="25" t="n">
        <v>0.3514</v>
      </c>
      <c r="D6" s="4" t="inlineStr">
        <is>
          <t>新产品</t>
        </is>
      </c>
      <c r="E6" s="3" t="inlineStr">
        <is>
          <t>5月</t>
        </is>
      </c>
      <c r="F6" s="4" t="n">
        <v>66.59999999999999</v>
      </c>
    </row>
    <row r="7">
      <c r="A7" s="4" t="inlineStr">
        <is>
          <t>工装夹具</t>
        </is>
      </c>
      <c r="B7" s="15" t="n">
        <v>2419524.18</v>
      </c>
      <c r="C7" s="4" t="inlineStr">
        <is>
          <t>N/A</t>
        </is>
      </c>
      <c r="D7" s="4" t="n"/>
      <c r="E7" s="3" t="inlineStr">
        <is>
          <t>6月</t>
        </is>
      </c>
      <c r="F7" s="4" t="n">
        <v>82.09999999999999</v>
      </c>
    </row>
    <row r="8">
      <c r="A8" s="4" t="inlineStr">
        <is>
          <t>数控机床</t>
        </is>
      </c>
      <c r="B8" s="15" t="n">
        <v>2171282.56</v>
      </c>
      <c r="C8" s="25" t="n">
        <v>0.2738</v>
      </c>
      <c r="D8" s="4" t="inlineStr">
        <is>
          <t>促销期</t>
        </is>
      </c>
      <c r="E8" s="3" t="inlineStr">
        <is>
          <t>7月</t>
        </is>
      </c>
      <c r="F8" s="4" t="n">
        <v>78.40000000000001</v>
      </c>
    </row>
    <row r="9">
      <c r="A9" s="4" t="inlineStr">
        <is>
          <t>精密轴承</t>
        </is>
      </c>
      <c r="B9" s="15" t="n">
        <v>175324.49</v>
      </c>
      <c r="C9" s="25" t="n">
        <v>0.2376</v>
      </c>
      <c r="D9" s="4" t="inlineStr">
        <is>
          <t>促销期</t>
        </is>
      </c>
      <c r="E9" s="3" t="inlineStr">
        <is>
          <t>8月</t>
        </is>
      </c>
      <c r="F9" s="4" t="n">
        <v>72.2</v>
      </c>
    </row>
    <row r="10">
      <c r="A10" s="4" t="inlineStr">
        <is>
          <t>液压件</t>
        </is>
      </c>
      <c r="B10" s="15" t="n">
        <v>1522419.18</v>
      </c>
      <c r="C10" s="25" t="n">
        <v>0.3261</v>
      </c>
      <c r="D10" s="4" t="inlineStr">
        <is>
          <t>低于预期</t>
        </is>
      </c>
      <c r="E10" s="3" t="inlineStr">
        <is>
          <t>9月</t>
        </is>
      </c>
      <c r="F10" s="4" t="n">
        <v>87.59999999999999</v>
      </c>
    </row>
    <row r="11">
      <c r="A11" s="4" t="inlineStr">
        <is>
          <t>气动元件</t>
        </is>
      </c>
      <c r="B11" s="15" t="n">
        <v>2433760.65</v>
      </c>
      <c r="C11" s="25" t="n">
        <v>0.1768</v>
      </c>
      <c r="D11" s="4" t="inlineStr">
        <is>
          <t>季节性波动</t>
        </is>
      </c>
      <c r="E11" s="3" t="inlineStr">
        <is>
          <t>10月</t>
        </is>
      </c>
      <c r="F11" s="4" t="n">
        <v>73.5</v>
      </c>
    </row>
    <row r="12">
      <c r="A12" s="4" t="inlineStr">
        <is>
          <t>模具</t>
        </is>
      </c>
      <c r="B12" s="15" t="n">
        <v>1907968.51</v>
      </c>
      <c r="C12" s="4" t="inlineStr">
        <is>
          <t>—</t>
        </is>
      </c>
      <c r="D12" s="4" t="inlineStr">
        <is>
          <t>超预期</t>
        </is>
      </c>
      <c r="E12" s="3" t="inlineStr">
        <is>
          <t>11月</t>
        </is>
      </c>
      <c r="F12" s="4" t="n">
        <v>77.5</v>
      </c>
    </row>
    <row r="13">
      <c r="A13" s="4" t="inlineStr">
        <is>
          <t>工装夹具</t>
        </is>
      </c>
      <c r="B13" s="15" t="n">
        <v>709505.98</v>
      </c>
      <c r="C13" s="25" t="n">
        <v>0.2863</v>
      </c>
      <c r="D13" s="4" t="n"/>
      <c r="E13" s="3" t="inlineStr">
        <is>
          <t>12月</t>
        </is>
      </c>
      <c r="F13" s="4" t="n">
        <v>61.3</v>
      </c>
    </row>
    <row r="14">
      <c r="A14" s="4" t="inlineStr">
        <is>
          <t>数控机床</t>
        </is>
      </c>
      <c r="B14" s="15" t="n">
        <v>1401308.39</v>
      </c>
      <c r="C14" s="25" t="n">
        <v>0.3202</v>
      </c>
      <c r="D14" s="4" t="inlineStr">
        <is>
          <t>正常</t>
        </is>
      </c>
      <c r="E14" s="3" t="inlineStr">
        <is>
          <t>1月</t>
        </is>
      </c>
      <c r="F14" s="4" t="n">
        <v>74</v>
      </c>
    </row>
    <row r="15">
      <c r="A15" s="4" t="inlineStr">
        <is>
          <t>精密轴承</t>
        </is>
      </c>
      <c r="B15" s="15" t="n">
        <v>2407699.9</v>
      </c>
      <c r="C15" s="25" t="n">
        <v>0.3864</v>
      </c>
      <c r="D15" s="4" t="inlineStr">
        <is>
          <t>季节性波动</t>
        </is>
      </c>
      <c r="E15" s="3" t="inlineStr">
        <is>
          <t>2月</t>
        </is>
      </c>
      <c r="F15" s="4" t="n">
        <v>84.2</v>
      </c>
    </row>
    <row r="16">
      <c r="A16" s="4" t="inlineStr">
        <is>
          <t>液压件</t>
        </is>
      </c>
      <c r="B16" s="4" t="inlineStr">
        <is>
          <t>实际净利</t>
        </is>
      </c>
      <c r="C16" s="25" t="n">
        <v>0.2128</v>
      </c>
      <c r="D16" s="4" t="inlineStr">
        <is>
          <t>需关注</t>
        </is>
      </c>
      <c r="E16" s="3" t="inlineStr">
        <is>
          <t>3月</t>
        </is>
      </c>
      <c r="F16" s="4" t="n">
        <v>91.2</v>
      </c>
    </row>
    <row r="17">
      <c r="A17" s="4" t="inlineStr">
        <is>
          <t>气动元件</t>
        </is>
      </c>
      <c r="B17" s="15" t="n">
        <v>1639083.21</v>
      </c>
      <c r="C17" s="25" t="n">
        <v>0.1566</v>
      </c>
      <c r="D17" s="4" t="inlineStr">
        <is>
          <t>促销期</t>
        </is>
      </c>
      <c r="E17" s="3" t="inlineStr">
        <is>
          <t>4月</t>
        </is>
      </c>
      <c r="F17" s="4" t="n">
        <v>69.7</v>
      </c>
    </row>
    <row r="18">
      <c r="A18" s="4" t="inlineStr">
        <is>
          <t>模具</t>
        </is>
      </c>
      <c r="B18" s="15" t="n">
        <v>1390964.34</v>
      </c>
      <c r="C18" s="25" t="n">
        <v>0.0321</v>
      </c>
      <c r="D18" s="4" t="inlineStr">
        <is>
          <t>超预期</t>
        </is>
      </c>
      <c r="E18" s="3" t="inlineStr">
        <is>
          <t>5月</t>
        </is>
      </c>
      <c r="F18" s="4" t="n">
        <v>79.3</v>
      </c>
    </row>
    <row r="19">
      <c r="A19" s="4" t="inlineStr">
        <is>
          <t>工装夹具</t>
        </is>
      </c>
      <c r="B19" s="15" t="n">
        <v>2837194.83</v>
      </c>
      <c r="C19" s="25" t="n">
        <v>0.4229</v>
      </c>
      <c r="D19" s="4" t="inlineStr">
        <is>
          <t>低于预期</t>
        </is>
      </c>
      <c r="E19" s="3" t="inlineStr">
        <is>
          <t>6月</t>
        </is>
      </c>
      <c r="F19" s="4" t="n">
        <v>78</v>
      </c>
    </row>
    <row r="20">
      <c r="A20" s="4" t="inlineStr">
        <is>
          <t>数控机床</t>
        </is>
      </c>
      <c r="B20" s="15" t="n">
        <v>2641455.55</v>
      </c>
      <c r="C20" s="25" t="n">
        <v>0.2594</v>
      </c>
      <c r="D20" s="4" t="inlineStr">
        <is>
          <t>超预期</t>
        </is>
      </c>
      <c r="E20" s="3" t="inlineStr">
        <is>
          <t>7月</t>
        </is>
      </c>
      <c r="F20" s="4" t="n">
        <v>64.5</v>
      </c>
    </row>
    <row r="21">
      <c r="A21" s="4" t="inlineStr">
        <is>
          <t>精密轴承</t>
        </is>
      </c>
      <c r="B21" s="15" t="n">
        <v>2937182.15</v>
      </c>
      <c r="C21" s="25" t="n">
        <v>0.3318</v>
      </c>
      <c r="D21" s="4" t="inlineStr">
        <is>
          <t>超预期</t>
        </is>
      </c>
      <c r="E21" s="3" t="inlineStr">
        <is>
          <t>8月</t>
        </is>
      </c>
      <c r="F21" s="4" t="n">
        <v>72.40000000000001</v>
      </c>
    </row>
    <row r="22">
      <c r="A22" s="4" t="inlineStr">
        <is>
          <t>液压件</t>
        </is>
      </c>
      <c r="B22" s="15" t="n">
        <v>726382.41</v>
      </c>
      <c r="C22" s="4" t="inlineStr">
        <is>
          <t>N/A</t>
        </is>
      </c>
      <c r="D22" s="4" t="inlineStr">
        <is>
          <t>需关注</t>
        </is>
      </c>
      <c r="E22" s="3" t="inlineStr">
        <is>
          <t>9月</t>
        </is>
      </c>
      <c r="F22" s="4" t="n">
        <v>79.2</v>
      </c>
    </row>
    <row r="23">
      <c r="A23" s="4" t="inlineStr">
        <is>
          <t>气动元件</t>
        </is>
      </c>
      <c r="B23" s="15" t="n">
        <v>82377.91</v>
      </c>
      <c r="C23" s="25" t="n">
        <v>0.4011</v>
      </c>
      <c r="D23" s="4" t="inlineStr">
        <is>
          <t>低于预期</t>
        </is>
      </c>
      <c r="E23" s="3" t="inlineStr">
        <is>
          <t>10月</t>
        </is>
      </c>
      <c r="F23" s="4" t="n">
        <v>82.7</v>
      </c>
    </row>
    <row r="24">
      <c r="A24" s="4" t="inlineStr">
        <is>
          <t>模具</t>
        </is>
      </c>
      <c r="B24" s="15" t="n">
        <v>2499465.34</v>
      </c>
      <c r="C24" s="25" t="n">
        <v>0.2475</v>
      </c>
      <c r="D24" s="4" t="inlineStr">
        <is>
          <t>促销期</t>
        </is>
      </c>
      <c r="E24" s="3" t="inlineStr">
        <is>
          <t>11月</t>
        </is>
      </c>
      <c r="F24" s="4" t="n">
        <v>68.59999999999999</v>
      </c>
    </row>
    <row r="25">
      <c r="A25" s="4" t="inlineStr">
        <is>
          <t>工装夹具</t>
        </is>
      </c>
      <c r="B25" s="15" t="n">
        <v>1268391.43</v>
      </c>
      <c r="C25" s="25" t="n">
        <v>0.1321</v>
      </c>
      <c r="D25" s="4" t="inlineStr">
        <is>
          <t>促销期</t>
        </is>
      </c>
      <c r="E25" s="3" t="inlineStr">
        <is>
          <t>12月</t>
        </is>
      </c>
      <c r="F25" s="4" t="n">
        <v>68.2</v>
      </c>
    </row>
    <row r="26">
      <c r="A26" s="4" t="inlineStr">
        <is>
          <t>数控机床</t>
        </is>
      </c>
      <c r="B26" s="15" t="n">
        <v>2591532.01</v>
      </c>
      <c r="C26" s="25" t="n">
        <v>0.3547</v>
      </c>
      <c r="D26" s="4" t="inlineStr">
        <is>
          <t>促销期</t>
        </is>
      </c>
      <c r="E26" s="3" t="inlineStr">
        <is>
          <t>1月</t>
        </is>
      </c>
      <c r="F26" s="4" t="n">
        <v>97.2</v>
      </c>
    </row>
    <row r="27">
      <c r="A27" s="4" t="inlineStr">
        <is>
          <t>精密轴承</t>
        </is>
      </c>
      <c r="B27" s="15" t="n">
        <v>1313400.46</v>
      </c>
      <c r="C27" s="25" t="n">
        <v>0.0896</v>
      </c>
      <c r="D27" s="4" t="inlineStr">
        <is>
          <t>促销期</t>
        </is>
      </c>
      <c r="E27" s="3" t="inlineStr">
        <is>
          <t>2月</t>
        </is>
      </c>
      <c r="F27" s="4" t="inlineStr">
        <is>
          <t>优秀</t>
        </is>
      </c>
    </row>
    <row r="28">
      <c r="A28" s="4" t="inlineStr">
        <is>
          <t>液压件</t>
        </is>
      </c>
      <c r="B28" s="15" t="n">
        <v>1229397.43</v>
      </c>
      <c r="C28" s="25" t="n">
        <v>0.1645</v>
      </c>
      <c r="D28" s="4" t="inlineStr">
        <is>
          <t>季节性波动</t>
        </is>
      </c>
      <c r="E28" s="3" t="inlineStr">
        <is>
          <t>3月</t>
        </is>
      </c>
      <c r="F28" s="4" t="n">
        <v>61.8</v>
      </c>
    </row>
    <row r="29">
      <c r="A29" s="4" t="inlineStr">
        <is>
          <t>气动元件</t>
        </is>
      </c>
      <c r="B29" s="4" t="inlineStr">
        <is>
          <t>实际净利</t>
        </is>
      </c>
      <c r="C29" s="25" t="n">
        <v>0.1916</v>
      </c>
      <c r="D29" s="4" t="inlineStr">
        <is>
          <t>新产品</t>
        </is>
      </c>
      <c r="E29" s="3" t="inlineStr">
        <is>
          <t>4月</t>
        </is>
      </c>
      <c r="F29" s="4" t="n">
        <v>74.90000000000001</v>
      </c>
    </row>
    <row r="30">
      <c r="A30" s="4" t="inlineStr">
        <is>
          <t>模具</t>
        </is>
      </c>
      <c r="B30" s="15" t="n">
        <v>2807050.02</v>
      </c>
      <c r="C30" s="25" t="n">
        <v>0.2626</v>
      </c>
      <c r="D30" s="4" t="inlineStr">
        <is>
          <t>新产品</t>
        </is>
      </c>
      <c r="E30" s="3" t="inlineStr">
        <is>
          <t>5月</t>
        </is>
      </c>
      <c r="F30" s="4" t="n">
        <v>91.40000000000001</v>
      </c>
    </row>
    <row r="31">
      <c r="A31" s="4" t="inlineStr">
        <is>
          <t>工装夹具</t>
        </is>
      </c>
      <c r="B31" s="15" t="n">
        <v>2224913.57</v>
      </c>
      <c r="C31" s="25" t="n">
        <v>0.344</v>
      </c>
      <c r="D31" s="4" t="n"/>
      <c r="E31" s="3" t="inlineStr">
        <is>
          <t>6月</t>
        </is>
      </c>
      <c r="F31" s="4" t="n">
        <v>71.59999999999999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2" t="inlineStr">
        <is>
          <t>项目</t>
        </is>
      </c>
      <c r="B1" s="2" t="inlineStr">
        <is>
          <t>1月</t>
        </is>
      </c>
      <c r="C1" s="2" t="inlineStr">
        <is>
          <t>2月</t>
        </is>
      </c>
      <c r="D1" s="2" t="inlineStr">
        <is>
          <t>3月</t>
        </is>
      </c>
      <c r="E1" s="2" t="inlineStr">
        <is>
          <t>4月</t>
        </is>
      </c>
      <c r="F1" s="2" t="inlineStr">
        <is>
          <t>5月</t>
        </is>
      </c>
      <c r="G1" s="2" t="inlineStr">
        <is>
          <t>6月</t>
        </is>
      </c>
      <c r="H1" s="2" t="inlineStr">
        <is>
          <t>7月</t>
        </is>
      </c>
      <c r="I1" s="2" t="inlineStr">
        <is>
          <t>8月</t>
        </is>
      </c>
      <c r="J1" s="2" t="inlineStr">
        <is>
          <t>9月</t>
        </is>
      </c>
      <c r="K1" s="2" t="inlineStr">
        <is>
          <t>10月</t>
        </is>
      </c>
      <c r="L1" s="2" t="inlineStr">
        <is>
          <t>11月</t>
        </is>
      </c>
      <c r="M1" s="2" t="inlineStr">
        <is>
          <t>12月</t>
        </is>
      </c>
      <c r="N1" s="2" t="inlineStr">
        <is>
          <t>合计</t>
        </is>
      </c>
      <c r="O1" s="2" t="inlineStr">
        <is>
          <t>全零列</t>
        </is>
      </c>
    </row>
    <row r="2">
      <c r="A2" s="4" t="inlineStr">
        <is>
          <t>营业收入</t>
        </is>
      </c>
      <c r="B2" s="15" t="n">
        <v>3677344.81</v>
      </c>
      <c r="C2" s="15" t="n">
        <v>1535263.67</v>
      </c>
      <c r="D2" s="15" t="n">
        <v>3390967.81</v>
      </c>
      <c r="E2" s="15" t="n">
        <v>2928797.57</v>
      </c>
      <c r="F2" s="15" t="n">
        <v>4014265.65</v>
      </c>
      <c r="G2" s="15" t="n">
        <v>2244050.12</v>
      </c>
      <c r="H2" s="15" t="n">
        <v>3016388.07</v>
      </c>
      <c r="I2" s="15" t="n">
        <v>1688993.44</v>
      </c>
      <c r="J2" s="15" t="n">
        <v>201931.63</v>
      </c>
      <c r="K2" s="15" t="n">
        <v>320081.6</v>
      </c>
      <c r="L2" s="15" t="n">
        <v>1577711.43</v>
      </c>
      <c r="M2" s="15" t="n">
        <v>3739099.78</v>
      </c>
      <c r="N2" s="16" t="n">
        <v>11419841.95</v>
      </c>
      <c r="O2" s="15" t="n">
        <v>0</v>
      </c>
    </row>
    <row r="3">
      <c r="A3" s="4" t="inlineStr">
        <is>
          <t>营业成本</t>
        </is>
      </c>
      <c r="B3" s="15" t="n">
        <v>-1837295.7</v>
      </c>
      <c r="C3" s="15" t="n">
        <v>-299187.33</v>
      </c>
      <c r="D3" s="15" t="n">
        <v>-810767.34</v>
      </c>
      <c r="E3" s="15" t="n">
        <v>-646878.28</v>
      </c>
      <c r="F3" s="15" t="n">
        <v>-469334.37</v>
      </c>
      <c r="G3" s="15" t="n">
        <v>-499640.96</v>
      </c>
      <c r="H3" s="15" t="n">
        <v>-450641.73</v>
      </c>
      <c r="I3" s="15" t="n">
        <v>-505142.81</v>
      </c>
      <c r="J3" s="15" t="n">
        <v>-473193.47</v>
      </c>
      <c r="K3" s="15" t="n">
        <v>-500737.44</v>
      </c>
      <c r="L3" s="15" t="n">
        <v>-2202148.32</v>
      </c>
      <c r="M3" s="15" t="n">
        <v>-1317921.49</v>
      </c>
      <c r="N3" s="16" t="n">
        <v>4236906.21</v>
      </c>
      <c r="O3" s="15" t="n">
        <v>0</v>
      </c>
    </row>
    <row r="4">
      <c r="A4" s="6" t="inlineStr">
        <is>
          <t>毛利</t>
        </is>
      </c>
      <c r="B4" s="15" t="n">
        <v>1916392.59</v>
      </c>
      <c r="C4" s="15" t="n">
        <v>209931.21</v>
      </c>
      <c r="D4" s="15" t="n">
        <v>3069358.99</v>
      </c>
      <c r="E4" s="15" t="n">
        <v>2012331.72</v>
      </c>
      <c r="F4" s="15" t="n">
        <v>3110312.25</v>
      </c>
      <c r="G4" s="15" t="n">
        <v>648425.39</v>
      </c>
      <c r="H4" s="15" t="n">
        <v>1643252.28</v>
      </c>
      <c r="I4" s="15" t="n">
        <v>1745249.61</v>
      </c>
      <c r="J4" s="15" t="n">
        <v>1813469.16</v>
      </c>
      <c r="K4" s="15" t="n">
        <v>2049757.44</v>
      </c>
      <c r="L4" s="15" t="n">
        <v>1154666.67</v>
      </c>
      <c r="M4" s="15" t="n">
        <v>1387717.42</v>
      </c>
      <c r="N4" s="16" t="n">
        <v>10790949.75</v>
      </c>
      <c r="O4" s="15" t="n">
        <v>0</v>
      </c>
    </row>
    <row r="5">
      <c r="A5" s="4" t="n"/>
    </row>
    <row r="6">
      <c r="A6" s="4" t="inlineStr">
        <is>
          <t>管理费用</t>
        </is>
      </c>
      <c r="B6" s="15" t="n">
        <v>-1152978.1</v>
      </c>
      <c r="C6" s="15" t="n">
        <v>-44624.17</v>
      </c>
      <c r="D6" s="15" t="n">
        <v>-1258691.16</v>
      </c>
      <c r="E6" s="15" t="n">
        <v>-1114908.14</v>
      </c>
      <c r="F6" s="15" t="n">
        <v>-502650.29</v>
      </c>
      <c r="G6" s="15" t="n">
        <v>-333873.26</v>
      </c>
      <c r="H6" s="15" t="n">
        <v>-1974182.27</v>
      </c>
      <c r="I6" s="15" t="n">
        <v>-2333029.72</v>
      </c>
      <c r="J6" s="15" t="n">
        <v>-956480.01</v>
      </c>
      <c r="K6" s="15" t="n">
        <v>-401055.74</v>
      </c>
      <c r="L6" s="15" t="n">
        <v>-705256.16</v>
      </c>
      <c r="M6" s="15" t="n">
        <v>-2309973.9</v>
      </c>
      <c r="N6" s="16" t="n">
        <v>12497600.79</v>
      </c>
      <c r="O6" s="15" t="n">
        <v>0</v>
      </c>
    </row>
    <row r="7">
      <c r="A7" s="4" t="inlineStr">
        <is>
          <t>销售费用</t>
        </is>
      </c>
      <c r="B7" s="15" t="n">
        <v>-3172339.33</v>
      </c>
      <c r="C7" s="15" t="n">
        <v>-631377.5600000001</v>
      </c>
      <c r="D7" s="15" t="n">
        <v>-269572.82</v>
      </c>
      <c r="E7" s="15" t="n">
        <v>-282063</v>
      </c>
      <c r="F7" s="15" t="n">
        <v>-306765.04</v>
      </c>
      <c r="G7" s="15" t="n">
        <v>-2598495.15</v>
      </c>
      <c r="H7" s="15" t="n">
        <v>-72715.42</v>
      </c>
      <c r="I7" s="15" t="n">
        <v>-880734.12</v>
      </c>
      <c r="J7" s="15" t="n">
        <v>-273416.14</v>
      </c>
      <c r="K7" s="15" t="n">
        <v>-792527.66</v>
      </c>
      <c r="L7" s="15" t="n">
        <v>-276065.83</v>
      </c>
      <c r="M7" s="15" t="n">
        <v>-1891267.42</v>
      </c>
      <c r="N7" s="16" t="n">
        <v>9737077.470000001</v>
      </c>
      <c r="O7" s="15" t="n">
        <v>0</v>
      </c>
    </row>
    <row r="8">
      <c r="A8" s="4" t="inlineStr">
        <is>
          <t>财务费用</t>
        </is>
      </c>
      <c r="B8" s="15" t="n">
        <v>-1234073.72</v>
      </c>
      <c r="C8" s="15" t="n">
        <v>-644908.27</v>
      </c>
      <c r="D8" s="15" t="n">
        <v>-2138391.4</v>
      </c>
      <c r="E8" s="15" t="n">
        <v>-317786.23</v>
      </c>
      <c r="F8" s="15" t="n">
        <v>-2445613.34</v>
      </c>
      <c r="G8" s="15" t="n">
        <v>-135391.05</v>
      </c>
      <c r="H8" s="15" t="n">
        <v>-2396083.92</v>
      </c>
      <c r="I8" s="15" t="n">
        <v>-1886330.48</v>
      </c>
      <c r="J8" s="15" t="n">
        <v>-1499652.3</v>
      </c>
      <c r="K8" s="15" t="n">
        <v>-279831.08</v>
      </c>
      <c r="L8" s="15" t="n">
        <v>-849664.8</v>
      </c>
      <c r="M8" s="15" t="n">
        <v>-1103214.06</v>
      </c>
      <c r="N8" s="16" t="n">
        <v>1475747.9</v>
      </c>
      <c r="O8" s="15" t="n">
        <v>0</v>
      </c>
    </row>
    <row r="9">
      <c r="A9" s="4" t="n"/>
    </row>
    <row r="10">
      <c r="A10" s="6" t="inlineStr">
        <is>
          <t>营业利润</t>
        </is>
      </c>
      <c r="B10" s="15" t="n">
        <v>2671040.73</v>
      </c>
      <c r="C10" s="15" t="n">
        <v>4261711.23</v>
      </c>
      <c r="D10" s="15" t="n">
        <v>1066791.89</v>
      </c>
      <c r="E10" s="15" t="n">
        <v>2315501.33</v>
      </c>
      <c r="F10" s="15" t="n">
        <v>210515.58</v>
      </c>
      <c r="G10" s="15" t="n">
        <v>2716439.88</v>
      </c>
      <c r="H10" s="15" t="n">
        <v>4363433.98</v>
      </c>
      <c r="I10" s="15" t="n">
        <v>4010798.58</v>
      </c>
      <c r="J10" s="15" t="n">
        <v>4367904.27</v>
      </c>
      <c r="K10" s="15" t="n">
        <v>4322724.57</v>
      </c>
      <c r="L10" s="15" t="n">
        <v>4112982.67</v>
      </c>
      <c r="M10" s="15" t="n">
        <v>596515.6800000001</v>
      </c>
      <c r="N10" s="16" t="n">
        <v>13479778.39</v>
      </c>
      <c r="O10" s="15" t="n">
        <v>0</v>
      </c>
    </row>
    <row r="11">
      <c r="A11" s="4" t="inlineStr">
        <is>
          <t>所得税</t>
        </is>
      </c>
      <c r="B11" s="15" t="n">
        <v>-619352.9300000001</v>
      </c>
      <c r="C11" s="15" t="n">
        <v>-745897.34</v>
      </c>
      <c r="D11" s="15" t="n">
        <v>-1504985.29</v>
      </c>
      <c r="E11" s="15" t="n">
        <v>-296690.79</v>
      </c>
      <c r="F11" s="15" t="n">
        <v>-352866.18</v>
      </c>
      <c r="G11" s="15" t="n">
        <v>-1536504.31</v>
      </c>
      <c r="H11" s="15" t="n">
        <v>-460891.49</v>
      </c>
      <c r="I11" s="15" t="n">
        <v>-283575.38</v>
      </c>
      <c r="J11" s="15" t="n">
        <v>-375175.78</v>
      </c>
      <c r="K11" s="15" t="n">
        <v>-856035.76</v>
      </c>
      <c r="L11" s="15" t="n">
        <v>-1193234.44</v>
      </c>
      <c r="M11" s="15" t="n">
        <v>-537180.52</v>
      </c>
      <c r="N11" s="16" t="n">
        <v>13380904.15</v>
      </c>
      <c r="O11" s="15" t="n">
        <v>0</v>
      </c>
    </row>
    <row r="12">
      <c r="A12" s="6" t="inlineStr">
        <is>
          <t>净利润</t>
        </is>
      </c>
      <c r="B12" s="15" t="n">
        <v>1692750.76</v>
      </c>
      <c r="C12" s="15" t="n">
        <v>2317046.28</v>
      </c>
      <c r="D12" s="15" t="n">
        <v>3393387.28</v>
      </c>
      <c r="E12" s="15" t="n">
        <v>2691969.32</v>
      </c>
      <c r="F12" s="15" t="n">
        <v>1494494.7</v>
      </c>
      <c r="G12" s="15" t="n">
        <v>1368425.88</v>
      </c>
      <c r="H12" s="15" t="n">
        <v>311492.82</v>
      </c>
      <c r="I12" s="15" t="n">
        <v>410682.93</v>
      </c>
      <c r="J12" s="15" t="n">
        <v>2603699.99</v>
      </c>
      <c r="K12" s="15" t="n">
        <v>2349411.25</v>
      </c>
      <c r="L12" s="15" t="n">
        <v>3558852.35</v>
      </c>
      <c r="M12" s="15" t="n">
        <v>670838.49</v>
      </c>
      <c r="N12" s="16" t="n">
        <v>13628339.24</v>
      </c>
      <c r="O12" s="15" t="n">
        <v>0</v>
      </c>
    </row>
    <row r="13">
      <c r="A13" s="4" t="n"/>
    </row>
    <row r="14">
      <c r="A14" s="4">
        <f>SUM模拟(None)</f>
        <v/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6" t="n"/>
      <c r="O14" s="15" t="n">
        <v>0</v>
      </c>
    </row>
    <row r="15">
      <c r="A15" s="4">
        <f>VLOOKUP模拟(None)</f>
        <v/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6" t="n"/>
      <c r="O15" s="15" t="n">
        <v>0</v>
      </c>
    </row>
    <row r="16">
      <c r="A16" s="4" t="inlineStr">
        <is>
          <t>正常数据</t>
        </is>
      </c>
      <c r="B16" s="15" t="n">
        <v>2986326.22</v>
      </c>
      <c r="C16" s="15" t="n">
        <v>539548.89</v>
      </c>
      <c r="D16" s="15" t="n">
        <v>1615304.18</v>
      </c>
      <c r="E16" s="15" t="n">
        <v>2307756.22</v>
      </c>
      <c r="F16" s="15" t="n">
        <v>4207839.38</v>
      </c>
      <c r="G16" s="15" t="n">
        <v>310179.45</v>
      </c>
      <c r="H16" s="15" t="n">
        <v>1358191.02</v>
      </c>
      <c r="I16" s="15" t="n">
        <v>1814547.28</v>
      </c>
      <c r="J16" s="15" t="n">
        <v>4255265.99</v>
      </c>
      <c r="K16" s="15" t="n">
        <v>508814.16</v>
      </c>
      <c r="L16" s="15" t="n">
        <v>3779105.48</v>
      </c>
      <c r="M16" s="15" t="n">
        <v>3499488.81</v>
      </c>
      <c r="N16" s="16" t="n">
        <v>7131111.62</v>
      </c>
      <c r="O16" s="15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26" t="inlineStr">
        <is>
          <t>区域/产品</t>
        </is>
      </c>
      <c r="B1" s="2" t="inlineStr">
        <is>
          <t>2024年</t>
        </is>
      </c>
      <c r="J1" s="2" t="inlineStr">
        <is>
          <t>2025年</t>
        </is>
      </c>
      <c r="R1" s="2" t="inlineStr">
        <is>
          <t>同比变化</t>
        </is>
      </c>
    </row>
    <row r="2">
      <c r="B2" s="2" t="inlineStr">
        <is>
          <t>上半年</t>
        </is>
      </c>
      <c r="F2" s="2" t="inlineStr">
        <is>
          <t>下半年</t>
        </is>
      </c>
      <c r="J2" s="2" t="inlineStr">
        <is>
          <t>上半年</t>
        </is>
      </c>
      <c r="N2" s="2" t="inlineStr">
        <is>
          <t>下半年</t>
        </is>
      </c>
    </row>
    <row r="3">
      <c r="B3" s="2" t="inlineStr">
        <is>
          <t>收入</t>
        </is>
      </c>
      <c r="C3" s="2" t="inlineStr">
        <is>
          <t>成本</t>
        </is>
      </c>
      <c r="D3" s="2" t="inlineStr">
        <is>
          <t>毛利</t>
        </is>
      </c>
      <c r="E3" s="2" t="inlineStr">
        <is>
          <t>毛利率</t>
        </is>
      </c>
      <c r="F3" s="2" t="inlineStr">
        <is>
          <t>收入</t>
        </is>
      </c>
      <c r="G3" s="2" t="inlineStr">
        <is>
          <t>成本</t>
        </is>
      </c>
      <c r="H3" s="2" t="inlineStr">
        <is>
          <t>毛利</t>
        </is>
      </c>
      <c r="I3" s="2" t="inlineStr">
        <is>
          <t>毛利率</t>
        </is>
      </c>
      <c r="J3" s="2" t="inlineStr">
        <is>
          <t>收入</t>
        </is>
      </c>
      <c r="K3" s="2" t="inlineStr">
        <is>
          <t>成本</t>
        </is>
      </c>
      <c r="L3" s="2" t="inlineStr">
        <is>
          <t>毛利</t>
        </is>
      </c>
      <c r="M3" s="2" t="inlineStr">
        <is>
          <t>毛利率</t>
        </is>
      </c>
      <c r="N3" s="2" t="inlineStr">
        <is>
          <t>收入</t>
        </is>
      </c>
      <c r="O3" s="2" t="inlineStr">
        <is>
          <t>成本</t>
        </is>
      </c>
      <c r="P3" s="2" t="inlineStr">
        <is>
          <t>毛利</t>
        </is>
      </c>
      <c r="Q3" s="2" t="inlineStr">
        <is>
          <t>毛利率</t>
        </is>
      </c>
      <c r="R3" s="2" t="inlineStr">
        <is>
          <t>收入增长率</t>
        </is>
      </c>
      <c r="S3" s="2" t="inlineStr">
        <is>
          <t>利润增长率</t>
        </is>
      </c>
    </row>
    <row r="4">
      <c r="A4" s="4" t="inlineStr">
        <is>
          <t>数控机床</t>
        </is>
      </c>
      <c r="B4" s="15" t="n">
        <v>5782054.58</v>
      </c>
      <c r="C4" s="15" t="n">
        <v>3477271.45</v>
      </c>
      <c r="D4" s="15" t="n">
        <v>1838855.64</v>
      </c>
      <c r="E4" s="25" t="n">
        <v>0.4098</v>
      </c>
      <c r="F4" s="15" t="n">
        <v>1238725.77</v>
      </c>
      <c r="G4" s="15" t="n">
        <v>879039.8199999999</v>
      </c>
      <c r="H4" s="15" t="n">
        <v>529058.89</v>
      </c>
      <c r="I4" s="25" t="n">
        <v>0.2548</v>
      </c>
      <c r="J4" s="15" t="n">
        <v>6597865.32</v>
      </c>
      <c r="K4" s="15" t="n">
        <v>4592502.01</v>
      </c>
      <c r="L4" s="15" t="n">
        <v>2358199.45</v>
      </c>
      <c r="M4" s="25" t="n">
        <v>0.2111</v>
      </c>
      <c r="N4" s="15" t="n">
        <v>1481238.71</v>
      </c>
      <c r="O4" s="15" t="n">
        <v>990930.0699999999</v>
      </c>
      <c r="P4" s="15" t="n">
        <v>522845.8</v>
      </c>
      <c r="Q4" s="25" t="n">
        <v>0.3071</v>
      </c>
      <c r="R4" s="27" t="n">
        <v>0.1507</v>
      </c>
      <c r="S4" s="27" t="n">
        <v>-0.2833</v>
      </c>
    </row>
    <row r="5">
      <c r="A5" s="4" t="inlineStr">
        <is>
          <t>精密轴承</t>
        </is>
      </c>
      <c r="B5" s="15" t="n">
        <v>1723899.73</v>
      </c>
      <c r="C5" s="15" t="n">
        <v>1211177.32</v>
      </c>
      <c r="D5" s="15" t="n">
        <v>682574.41</v>
      </c>
      <c r="E5" s="25" t="n">
        <v>0.3992</v>
      </c>
      <c r="F5" s="15" t="n">
        <v>2887615.24</v>
      </c>
      <c r="G5" s="15" t="n">
        <v>1839601.81</v>
      </c>
      <c r="H5" s="15" t="n">
        <v>1227828.9</v>
      </c>
      <c r="I5" s="25" t="n">
        <v>0.2881</v>
      </c>
      <c r="J5" s="15" t="n">
        <v>2083119.22</v>
      </c>
      <c r="K5" s="15" t="n">
        <v>1263376.35</v>
      </c>
      <c r="L5" s="15" t="n">
        <v>801771.75</v>
      </c>
      <c r="M5" s="25" t="n">
        <v>0.2854</v>
      </c>
      <c r="N5" s="15" t="n">
        <v>2716261.15</v>
      </c>
      <c r="O5" s="15" t="n">
        <v>1540833.53</v>
      </c>
      <c r="P5" s="15" t="n">
        <v>1115048.54</v>
      </c>
      <c r="Q5" s="25" t="n">
        <v>0.4043</v>
      </c>
      <c r="R5" s="27" t="n">
        <v>0.0407</v>
      </c>
      <c r="S5" s="27" t="n">
        <v>0.0442</v>
      </c>
    </row>
    <row r="6">
      <c r="A6" s="4" t="inlineStr">
        <is>
          <t>液压件</t>
        </is>
      </c>
      <c r="B6" s="15" t="n">
        <v>1512100.79</v>
      </c>
      <c r="C6" s="15" t="n">
        <v>953217.1899999999</v>
      </c>
      <c r="D6" s="15" t="n">
        <v>516785.44</v>
      </c>
      <c r="E6" s="25" t="n">
        <v>0.3597</v>
      </c>
      <c r="F6" s="15" t="n">
        <v>5589471.39</v>
      </c>
      <c r="G6" s="15" t="n">
        <v>3644954.32</v>
      </c>
      <c r="H6" s="15" t="n">
        <v>2209103.99</v>
      </c>
      <c r="I6" s="25" t="n">
        <v>0.4192</v>
      </c>
      <c r="J6" s="15" t="n">
        <v>1713976.26</v>
      </c>
      <c r="K6" s="15" t="n">
        <v>1258970.67</v>
      </c>
      <c r="L6" s="15" t="n">
        <v>532318.6</v>
      </c>
      <c r="M6" s="25" t="n">
        <v>0.3097</v>
      </c>
      <c r="N6" s="15" t="n">
        <v>5483349.13</v>
      </c>
      <c r="O6" s="15" t="n">
        <v>3532168.48</v>
      </c>
      <c r="P6" s="15" t="n">
        <v>2301584.26</v>
      </c>
      <c r="Q6" s="25" t="n">
        <v>0.247</v>
      </c>
      <c r="R6" s="27" t="n">
        <v>0.0135</v>
      </c>
      <c r="S6" s="27" t="n">
        <v>-0.0545</v>
      </c>
    </row>
    <row r="7">
      <c r="A7" s="4" t="inlineStr">
        <is>
          <t>气动元件</t>
        </is>
      </c>
      <c r="B7" s="15" t="n">
        <v>4609378.31</v>
      </c>
      <c r="C7" s="15" t="n">
        <v>3348333.88</v>
      </c>
      <c r="D7" s="15" t="n">
        <v>1764706.83</v>
      </c>
      <c r="E7" s="25" t="n">
        <v>0.3267</v>
      </c>
      <c r="F7" s="15" t="n">
        <v>6009509.68</v>
      </c>
      <c r="G7" s="15" t="n">
        <v>3916634.98</v>
      </c>
      <c r="H7" s="15" t="n">
        <v>2555698.9</v>
      </c>
      <c r="I7" s="25" t="n">
        <v>0.3586</v>
      </c>
      <c r="J7" s="15" t="n">
        <v>4052467.11</v>
      </c>
      <c r="K7" s="15" t="n">
        <v>2466247.81</v>
      </c>
      <c r="L7" s="15" t="n">
        <v>1511729.48</v>
      </c>
      <c r="M7" s="25" t="n">
        <v>0.4424</v>
      </c>
      <c r="N7" s="15" t="n">
        <v>6156217.77</v>
      </c>
      <c r="O7" s="15" t="n">
        <v>4174119.1</v>
      </c>
      <c r="P7" s="15" t="n">
        <v>2206629.21</v>
      </c>
      <c r="Q7" s="25" t="n">
        <v>0.2736</v>
      </c>
      <c r="R7" s="27" t="n">
        <v>-0.0386</v>
      </c>
      <c r="S7" s="27" t="n">
        <v>0.2488</v>
      </c>
    </row>
    <row r="8">
      <c r="A8" s="4" t="inlineStr">
        <is>
          <t>模具</t>
        </is>
      </c>
      <c r="B8" s="15" t="n">
        <v>6235182.15</v>
      </c>
      <c r="C8" s="15" t="n">
        <v>3435057.8</v>
      </c>
      <c r="D8" s="15" t="n">
        <v>1949436.06</v>
      </c>
      <c r="E8" s="25" t="n">
        <v>0.2575</v>
      </c>
      <c r="F8" s="15" t="n">
        <v>1055900.15</v>
      </c>
      <c r="G8" s="15" t="n">
        <v>717829.48</v>
      </c>
      <c r="H8" s="15" t="n">
        <v>285607.38</v>
      </c>
      <c r="I8" s="25" t="n">
        <v>0.3615</v>
      </c>
      <c r="J8" s="15" t="n">
        <v>5477554.83</v>
      </c>
      <c r="K8" s="15" t="n">
        <v>3241876.97</v>
      </c>
      <c r="L8" s="15" t="n">
        <v>2260339.79</v>
      </c>
      <c r="M8" s="25" t="n">
        <v>0.2478</v>
      </c>
      <c r="N8" s="15" t="n">
        <v>1060582.81</v>
      </c>
      <c r="O8" s="15" t="n">
        <v>667495.29</v>
      </c>
      <c r="P8" s="15" t="n">
        <v>285945.54</v>
      </c>
      <c r="Q8" s="25" t="n">
        <v>0.3778</v>
      </c>
      <c r="R8" s="27" t="n">
        <v>-0.1033</v>
      </c>
      <c r="S8" s="27" t="n">
        <v>-0.1349</v>
      </c>
    </row>
    <row r="9">
      <c r="A9" s="4" t="inlineStr">
        <is>
          <t>工装夹具</t>
        </is>
      </c>
      <c r="B9" s="15" t="n">
        <v>1253151.59</v>
      </c>
      <c r="C9" s="15" t="n">
        <v>759296.47</v>
      </c>
      <c r="D9" s="15" t="n">
        <v>358951.6</v>
      </c>
      <c r="E9" s="25" t="n">
        <v>0.2394</v>
      </c>
      <c r="F9" s="15" t="n">
        <v>874061.74</v>
      </c>
      <c r="G9" s="15" t="n">
        <v>554745.08</v>
      </c>
      <c r="H9" s="15" t="n">
        <v>299323.21</v>
      </c>
      <c r="I9" s="25" t="n">
        <v>0.4172</v>
      </c>
      <c r="J9" s="15" t="n">
        <v>1127651.96</v>
      </c>
      <c r="K9" s="15" t="n">
        <v>816714.12</v>
      </c>
      <c r="L9" s="15" t="n">
        <v>457357.24</v>
      </c>
      <c r="M9" s="25" t="n">
        <v>0.3321</v>
      </c>
      <c r="N9" s="15" t="n">
        <v>1086911.99</v>
      </c>
      <c r="O9" s="15" t="n">
        <v>748474.4</v>
      </c>
      <c r="P9" s="15" t="n">
        <v>290325.15</v>
      </c>
      <c r="Q9" s="25" t="n">
        <v>0.3611</v>
      </c>
      <c r="R9" s="27" t="n">
        <v>0.0411</v>
      </c>
      <c r="S9" s="27" t="n">
        <v>-0.0077</v>
      </c>
    </row>
    <row r="10">
      <c r="A10" s="4" t="inlineStr">
        <is>
          <t>江苏区域</t>
        </is>
      </c>
      <c r="B10" s="15" t="n">
        <v>1750273.24</v>
      </c>
      <c r="C10" s="15" t="n">
        <v>1137715.44</v>
      </c>
      <c r="D10" s="15" t="n">
        <v>491465.56</v>
      </c>
      <c r="E10" s="25" t="n">
        <v>0.2589</v>
      </c>
      <c r="F10" s="15" t="n">
        <v>5767365.09</v>
      </c>
      <c r="G10" s="15" t="n">
        <v>3610435.08</v>
      </c>
      <c r="H10" s="15" t="n">
        <v>2526561.97</v>
      </c>
      <c r="I10" s="25" t="n">
        <v>0.2993</v>
      </c>
      <c r="J10" s="15" t="n">
        <v>1824386.14</v>
      </c>
      <c r="K10" s="15" t="n">
        <v>1350255.37</v>
      </c>
      <c r="L10" s="15" t="n">
        <v>671228.89</v>
      </c>
      <c r="M10" s="25" t="n">
        <v>0.4472</v>
      </c>
      <c r="N10" s="15" t="n">
        <v>6930837.14</v>
      </c>
      <c r="O10" s="15" t="n">
        <v>4053970.37</v>
      </c>
      <c r="P10" s="15" t="n">
        <v>2919890.25</v>
      </c>
      <c r="Q10" s="25" t="n">
        <v>0.4157</v>
      </c>
      <c r="R10" s="27" t="n">
        <v>0.1646</v>
      </c>
      <c r="S10" s="27" t="n">
        <v>0.0956</v>
      </c>
    </row>
    <row r="11">
      <c r="A11" s="4" t="inlineStr">
        <is>
          <t>浙江区域</t>
        </is>
      </c>
      <c r="B11" s="15" t="n">
        <v>4304321.87</v>
      </c>
      <c r="C11" s="15" t="n">
        <v>2419326.32</v>
      </c>
      <c r="D11" s="15" t="n">
        <v>1688077.05</v>
      </c>
      <c r="E11" s="25" t="n">
        <v>0.2193</v>
      </c>
      <c r="F11" s="15" t="n">
        <v>1238591.68</v>
      </c>
      <c r="G11" s="15" t="n">
        <v>895860.46</v>
      </c>
      <c r="H11" s="15" t="n">
        <v>348204.8</v>
      </c>
      <c r="I11" s="25" t="n">
        <v>0.4225</v>
      </c>
      <c r="J11" s="15" t="n">
        <v>5505846.11</v>
      </c>
      <c r="K11" s="15" t="n">
        <v>3574857.12</v>
      </c>
      <c r="L11" s="15" t="n">
        <v>1760097.16</v>
      </c>
      <c r="M11" s="25" t="n">
        <v>0.2987</v>
      </c>
      <c r="N11" s="15" t="n">
        <v>1471663.25</v>
      </c>
      <c r="O11" s="15" t="n">
        <v>1018125.13</v>
      </c>
      <c r="P11" s="15" t="n">
        <v>401977.5</v>
      </c>
      <c r="Q11" s="25" t="n">
        <v>0.2161</v>
      </c>
      <c r="R11" s="27" t="n">
        <v>0.2588</v>
      </c>
      <c r="S11" s="27" t="n">
        <v>0.1515</v>
      </c>
    </row>
    <row r="12">
      <c r="A12" s="4" t="inlineStr">
        <is>
          <t>广东区域</t>
        </is>
      </c>
      <c r="B12" s="15" t="n">
        <v>4147626.34</v>
      </c>
      <c r="C12" s="15" t="n">
        <v>3072410.74</v>
      </c>
      <c r="D12" s="15" t="n">
        <v>1475688.69</v>
      </c>
      <c r="E12" s="25" t="n">
        <v>0.249</v>
      </c>
      <c r="F12" s="15" t="n">
        <v>3683967.88</v>
      </c>
      <c r="G12" s="15" t="n">
        <v>2413333.74</v>
      </c>
      <c r="H12" s="15" t="n">
        <v>940397.6899999999</v>
      </c>
      <c r="I12" s="25" t="n">
        <v>0.2207</v>
      </c>
      <c r="J12" s="15" t="n">
        <v>3762775.99</v>
      </c>
      <c r="K12" s="15" t="n">
        <v>2280673.84</v>
      </c>
      <c r="L12" s="15" t="n">
        <v>1544481.7</v>
      </c>
      <c r="M12" s="25" t="n">
        <v>0.2045</v>
      </c>
      <c r="N12" s="15" t="n">
        <v>4438304.26</v>
      </c>
      <c r="O12" s="15" t="n">
        <v>2990636.73</v>
      </c>
      <c r="P12" s="15" t="n">
        <v>1462179.91</v>
      </c>
      <c r="Q12" s="25" t="n">
        <v>0.4385</v>
      </c>
      <c r="R12" s="27" t="n">
        <v>0.0472</v>
      </c>
      <c r="S12" s="27" t="n">
        <v>-0.2791</v>
      </c>
    </row>
  </sheetData>
  <mergeCells count="8">
    <mergeCell ref="A1:A3"/>
    <mergeCell ref="F2:I2"/>
    <mergeCell ref="R1:S2"/>
    <mergeCell ref="J1:Q1"/>
    <mergeCell ref="B2:E2"/>
    <mergeCell ref="J2:M2"/>
    <mergeCell ref="N2:Q2"/>
    <mergeCell ref="B1:I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28" t="inlineStr">
        <is>
          <t>产品月度销售汇总（含公式）</t>
        </is>
      </c>
    </row>
    <row r="2">
      <c r="A2" s="2" t="inlineStr">
        <is>
          <t>产品</t>
        </is>
      </c>
      <c r="B2" s="2" t="inlineStr">
        <is>
          <t>1月</t>
        </is>
      </c>
      <c r="C2" s="2" t="inlineStr">
        <is>
          <t>2月</t>
        </is>
      </c>
      <c r="D2" s="2" t="inlineStr">
        <is>
          <t>3月</t>
        </is>
      </c>
      <c r="E2" s="2" t="inlineStr">
        <is>
          <t>4月</t>
        </is>
      </c>
      <c r="F2" s="2" t="inlineStr">
        <is>
          <t>5月</t>
        </is>
      </c>
      <c r="G2" s="2" t="inlineStr">
        <is>
          <t>6月</t>
        </is>
      </c>
      <c r="H2" s="2" t="inlineStr">
        <is>
          <t>7月</t>
        </is>
      </c>
      <c r="I2" s="2" t="inlineStr">
        <is>
          <t>8月</t>
        </is>
      </c>
      <c r="J2" s="2" t="inlineStr">
        <is>
          <t>9月</t>
        </is>
      </c>
      <c r="K2" s="2" t="inlineStr">
        <is>
          <t>10月</t>
        </is>
      </c>
      <c r="L2" s="2" t="inlineStr">
        <is>
          <t>11月</t>
        </is>
      </c>
      <c r="M2" s="2" t="inlineStr">
        <is>
          <t>12月</t>
        </is>
      </c>
      <c r="N2" s="2" t="inlineStr">
        <is>
          <t>合计</t>
        </is>
      </c>
    </row>
    <row r="3">
      <c r="A3" s="4" t="inlineStr">
        <is>
          <t>数控机床</t>
        </is>
      </c>
      <c r="B3" s="15" t="n">
        <v>73422.09</v>
      </c>
      <c r="C3" s="15" t="n">
        <v>430483.56</v>
      </c>
      <c r="D3" s="15" t="n">
        <v>382519.18</v>
      </c>
      <c r="E3" s="15" t="n">
        <v>226018.43</v>
      </c>
      <c r="F3" s="15" t="n">
        <v>229011.81</v>
      </c>
      <c r="G3" s="15" t="n">
        <v>67803.28999999999</v>
      </c>
      <c r="H3" s="15" t="n">
        <v>53272.39</v>
      </c>
      <c r="I3" s="15" t="n">
        <v>129772.1</v>
      </c>
      <c r="J3" s="15" t="n">
        <v>343387.29</v>
      </c>
      <c r="K3" s="15" t="n">
        <v>178045.37</v>
      </c>
      <c r="L3" s="15" t="n">
        <v>178437.39</v>
      </c>
      <c r="M3" s="15" t="n">
        <v>421396.15</v>
      </c>
      <c r="N3" s="15">
        <f>SUM(B3:M3)</f>
        <v/>
      </c>
    </row>
    <row r="4">
      <c r="A4" s="4" t="inlineStr">
        <is>
          <t>精密轴承</t>
        </is>
      </c>
      <c r="B4" s="15" t="n">
        <v>451765.66</v>
      </c>
      <c r="C4" s="15" t="n">
        <v>251997.79</v>
      </c>
      <c r="D4" s="15" t="n">
        <v>285546.04</v>
      </c>
      <c r="E4" s="15" t="n">
        <v>290417.49</v>
      </c>
      <c r="F4" s="15" t="n">
        <v>288342.47</v>
      </c>
      <c r="G4" s="15" t="n">
        <v>127302.65</v>
      </c>
      <c r="H4" s="15" t="n">
        <v>153966.43</v>
      </c>
      <c r="I4" s="15" t="n">
        <v>257830.8</v>
      </c>
      <c r="J4" s="15" t="n">
        <v>289827.25</v>
      </c>
      <c r="K4" s="15" t="n">
        <v>450391.09</v>
      </c>
      <c r="L4" s="15" t="n">
        <v>472678.27</v>
      </c>
      <c r="M4" s="15" t="n">
        <v>118704.26</v>
      </c>
      <c r="N4" s="15">
        <f>SUM(B4:M4)</f>
        <v/>
      </c>
    </row>
    <row r="5">
      <c r="A5" s="4" t="inlineStr">
        <is>
          <t>液压件</t>
        </is>
      </c>
      <c r="B5" s="15" t="n">
        <v>403101.58</v>
      </c>
      <c r="C5" s="15" t="n">
        <v>143245.89</v>
      </c>
      <c r="D5" s="15" t="n">
        <v>110832.8</v>
      </c>
      <c r="E5" s="15" t="n">
        <v>254081.25</v>
      </c>
      <c r="F5" s="15" t="n">
        <v>355550.69</v>
      </c>
      <c r="G5" s="15" t="n">
        <v>483831.91</v>
      </c>
      <c r="H5" s="15" t="n">
        <v>197588.2</v>
      </c>
      <c r="I5" s="15" t="n">
        <v>66727.69</v>
      </c>
      <c r="J5" s="15" t="n">
        <v>183521.76</v>
      </c>
      <c r="K5" s="15" t="n">
        <v>351844.97</v>
      </c>
      <c r="L5" s="15" t="n">
        <v>354187.37</v>
      </c>
      <c r="M5" s="15" t="n">
        <v>297800.38</v>
      </c>
      <c r="N5" s="15">
        <f>SUM(B5:M5)</f>
        <v/>
      </c>
    </row>
    <row r="6">
      <c r="A6" s="4" t="inlineStr">
        <is>
          <t>气动元件</t>
        </is>
      </c>
      <c r="B6" s="15" t="n">
        <v>477826.28</v>
      </c>
      <c r="C6" s="15" t="n">
        <v>451813.15</v>
      </c>
      <c r="D6" s="15" t="n">
        <v>270186.3</v>
      </c>
      <c r="E6" s="15" t="n">
        <v>447500.75</v>
      </c>
      <c r="F6" s="15" t="n">
        <v>181238.48</v>
      </c>
      <c r="G6" s="15" t="n">
        <v>338397.76</v>
      </c>
      <c r="H6" s="15" t="n">
        <v>277636.98</v>
      </c>
      <c r="I6" s="15" t="n">
        <v>230818.28</v>
      </c>
      <c r="J6" s="15" t="n">
        <v>190078.74</v>
      </c>
      <c r="K6" s="15" t="n">
        <v>320069.3</v>
      </c>
      <c r="L6" s="15" t="n">
        <v>254534.79</v>
      </c>
      <c r="M6" s="15" t="n">
        <v>73450.42999999999</v>
      </c>
      <c r="N6" s="15">
        <f>SUM(B6:M6)</f>
        <v/>
      </c>
    </row>
    <row r="7">
      <c r="A7" s="4" t="inlineStr">
        <is>
          <t>模具</t>
        </is>
      </c>
      <c r="B7" s="15" t="n">
        <v>263998.38</v>
      </c>
      <c r="C7" s="15" t="n">
        <v>333128.37</v>
      </c>
      <c r="D7" s="15" t="n">
        <v>423575.11</v>
      </c>
      <c r="E7" s="15" t="n">
        <v>128164.83</v>
      </c>
      <c r="F7" s="15" t="n">
        <v>492050.2</v>
      </c>
      <c r="G7" s="15" t="n">
        <v>389084.52</v>
      </c>
      <c r="H7" s="15" t="n">
        <v>147508.31</v>
      </c>
      <c r="I7" s="15" t="n">
        <v>234990.93</v>
      </c>
      <c r="J7" s="15" t="n">
        <v>319393.9</v>
      </c>
      <c r="K7" s="15" t="n">
        <v>285458.38</v>
      </c>
      <c r="L7" s="15" t="n">
        <v>265118.4</v>
      </c>
      <c r="M7" s="15" t="n">
        <v>207673.86</v>
      </c>
      <c r="N7" s="15">
        <f>SUM(B7:M7)</f>
        <v/>
      </c>
    </row>
    <row r="8">
      <c r="A8" s="4" t="inlineStr">
        <is>
          <t>工装夹具</t>
        </is>
      </c>
      <c r="B8" s="15" t="n">
        <v>490131.42</v>
      </c>
      <c r="C8" s="15" t="n">
        <v>342305.34</v>
      </c>
      <c r="D8" s="15" t="n">
        <v>341745.78</v>
      </c>
      <c r="E8" s="15" t="n">
        <v>176064.23</v>
      </c>
      <c r="F8" s="15" t="n">
        <v>463151.21</v>
      </c>
      <c r="G8" s="15" t="n">
        <v>294869.56</v>
      </c>
      <c r="H8" s="15" t="n">
        <v>292848.13</v>
      </c>
      <c r="I8" s="15" t="n">
        <v>212391.6</v>
      </c>
      <c r="J8" s="15" t="n">
        <v>56124.93</v>
      </c>
      <c r="K8" s="15" t="n">
        <v>383757.75</v>
      </c>
      <c r="L8" s="15" t="n">
        <v>386454.66</v>
      </c>
      <c r="M8" s="15" t="n">
        <v>486187.83</v>
      </c>
      <c r="N8" s="15">
        <f>SUM(B8:M8)</f>
        <v/>
      </c>
    </row>
    <row r="9">
      <c r="A9" s="6" t="inlineStr">
        <is>
          <t>月度合计</t>
        </is>
      </c>
      <c r="B9" s="15">
        <f>SUM(B3:B8)</f>
        <v/>
      </c>
      <c r="C9" s="15">
        <f>SUM(C3:C8)</f>
        <v/>
      </c>
      <c r="D9" s="15">
        <f>SUM(D3:D8)</f>
        <v/>
      </c>
      <c r="E9" s="15">
        <f>SUM(E3:E8)</f>
        <v/>
      </c>
      <c r="F9" s="15">
        <f>SUM(F3:F8)</f>
        <v/>
      </c>
      <c r="G9" s="15">
        <f>SUM(G3:G8)</f>
        <v/>
      </c>
      <c r="H9" s="15">
        <f>SUM(H3:H8)</f>
        <v/>
      </c>
      <c r="I9" s="15">
        <f>SUM(I3:I8)</f>
        <v/>
      </c>
      <c r="J9" s="15">
        <f>SUM(J3:J8)</f>
        <v/>
      </c>
      <c r="K9" s="15">
        <f>SUM(K3:K8)</f>
        <v/>
      </c>
      <c r="L9" s="15">
        <f>SUM(L3:L8)</f>
        <v/>
      </c>
      <c r="M9" s="15">
        <f>SUM(M3:M8)</f>
        <v/>
      </c>
      <c r="N9" s="15">
        <f>SUM(N3:N8)</f>
        <v/>
      </c>
    </row>
    <row r="10">
      <c r="A10" s="6" t="inlineStr">
        <is>
          <t>月度平均</t>
        </is>
      </c>
      <c r="B10" s="15">
        <f>AVERAGE(B3:B8)</f>
        <v/>
      </c>
      <c r="C10" s="15">
        <f>AVERAGE(C3:C8)</f>
        <v/>
      </c>
      <c r="D10" s="15">
        <f>AVERAGE(D3:D8)</f>
        <v/>
      </c>
      <c r="E10" s="15">
        <f>AVERAGE(E3:E8)</f>
        <v/>
      </c>
      <c r="F10" s="15">
        <f>AVERAGE(F3:F8)</f>
        <v/>
      </c>
      <c r="G10" s="15">
        <f>AVERAGE(G3:G8)</f>
        <v/>
      </c>
      <c r="H10" s="15">
        <f>AVERAGE(H3:H8)</f>
        <v/>
      </c>
      <c r="I10" s="15">
        <f>AVERAGE(I3:I8)</f>
        <v/>
      </c>
      <c r="J10" s="15">
        <f>AVERAGE(J3:J8)</f>
        <v/>
      </c>
      <c r="K10" s="15">
        <f>AVERAGE(K3:K8)</f>
        <v/>
      </c>
      <c r="L10" s="15">
        <f>AVERAGE(L3:L8)</f>
        <v/>
      </c>
      <c r="M10" s="15">
        <f>AVERAGE(M3:M8)</f>
        <v/>
      </c>
      <c r="N10" s="15">
        <f>AVERAGE(N3:N8)</f>
        <v/>
      </c>
    </row>
    <row r="11">
      <c r="A11" s="6" t="inlineStr">
        <is>
          <t>达标状态</t>
        </is>
      </c>
      <c r="B11" s="4">
        <f>IF(B9&gt;1000000,"达标","未达标")</f>
        <v/>
      </c>
      <c r="C11" s="4">
        <f>IF(C9&gt;1000000,"达标","未达标")</f>
        <v/>
      </c>
      <c r="D11" s="4">
        <f>IF(D9&gt;1000000,"达标","未达标")</f>
        <v/>
      </c>
      <c r="E11" s="4">
        <f>IF(E9&gt;1000000,"达标","未达标")</f>
        <v/>
      </c>
      <c r="F11" s="4">
        <f>IF(F9&gt;1000000,"达标","未达标")</f>
        <v/>
      </c>
      <c r="G11" s="4">
        <f>IF(G9&gt;1000000,"达标","未达标")</f>
        <v/>
      </c>
      <c r="H11" s="4">
        <f>IF(H9&gt;1000000,"达标","未达标")</f>
        <v/>
      </c>
      <c r="I11" s="4">
        <f>IF(I9&gt;1000000,"达标","未达标")</f>
        <v/>
      </c>
      <c r="J11" s="4">
        <f>IF(J9&gt;1000000,"达标","未达标")</f>
        <v/>
      </c>
      <c r="K11" s="4">
        <f>IF(K9&gt;1000000,"达标","未达标")</f>
        <v/>
      </c>
      <c r="L11" s="4">
        <f>IF(L9&gt;1000000,"达标","未达标")</f>
        <v/>
      </c>
      <c r="M11" s="4">
        <f>IF(M9&gt;1000000,"达标","未达标")</f>
        <v/>
      </c>
    </row>
    <row r="12">
      <c r="A12" s="6" t="inlineStr">
        <is>
          <t>占年度比例</t>
        </is>
      </c>
      <c r="B12" s="25">
        <f>B9/N9</f>
        <v/>
      </c>
      <c r="C12" s="25">
        <f>C9/N9</f>
        <v/>
      </c>
      <c r="D12" s="25">
        <f>D9/N9</f>
        <v/>
      </c>
      <c r="E12" s="25">
        <f>E9/N9</f>
        <v/>
      </c>
      <c r="F12" s="25">
        <f>F9/N9</f>
        <v/>
      </c>
      <c r="G12" s="25">
        <f>G9/N9</f>
        <v/>
      </c>
      <c r="H12" s="25">
        <f>H9/N9</f>
        <v/>
      </c>
      <c r="I12" s="25">
        <f>I9/N9</f>
        <v/>
      </c>
      <c r="J12" s="25">
        <f>J9/N9</f>
        <v/>
      </c>
      <c r="K12" s="25">
        <f>K9/N9</f>
        <v/>
      </c>
      <c r="L12" s="25">
        <f>L9/N9</f>
        <v/>
      </c>
      <c r="M12" s="25">
        <f>M9/N9</f>
        <v/>
      </c>
    </row>
  </sheetData>
  <mergeCells count="1">
    <mergeCell ref="A1:N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指标</t>
        </is>
      </c>
      <c r="B1" s="2" t="n">
        <v>2020</v>
      </c>
      <c r="C1" s="2" t="n">
        <v>2021</v>
      </c>
      <c r="D1" s="2" t="n">
        <v>2022</v>
      </c>
      <c r="E1" s="2" t="n">
        <v>2023</v>
      </c>
      <c r="F1" s="2" t="n">
        <v>2024</v>
      </c>
      <c r="G1" s="2" t="n">
        <v>2025</v>
      </c>
      <c r="H1" s="2" t="inlineStr">
        <is>
          <t>Q1</t>
        </is>
      </c>
      <c r="I1" s="2" t="inlineStr">
        <is>
          <t>Q2</t>
        </is>
      </c>
      <c r="J1" s="2" t="inlineStr">
        <is>
          <t>Q3</t>
        </is>
      </c>
      <c r="K1" s="2" t="inlineStr">
        <is>
          <t>Q4</t>
        </is>
      </c>
    </row>
    <row r="2">
      <c r="A2" s="4" t="inlineStr">
        <is>
          <t>营业收入(万元)</t>
        </is>
      </c>
      <c r="B2" s="7" t="n">
        <v>12319.5</v>
      </c>
      <c r="C2" s="7" t="n">
        <v>8379.5</v>
      </c>
      <c r="D2" s="7" t="n">
        <v>9318</v>
      </c>
      <c r="E2" s="7" t="n">
        <v>11106.6</v>
      </c>
      <c r="F2" s="7" t="n">
        <v>9013.700000000001</v>
      </c>
      <c r="G2" s="7" t="n">
        <v>12411</v>
      </c>
      <c r="H2" s="7" t="n">
        <v>2902.62</v>
      </c>
      <c r="I2" s="7" t="n">
        <v>3595.65</v>
      </c>
      <c r="J2" s="7" t="n">
        <v>2644.22</v>
      </c>
      <c r="K2" s="7" t="n">
        <v>3971.1</v>
      </c>
    </row>
    <row r="3">
      <c r="A3" s="4" t="inlineStr">
        <is>
          <t>营业成本(万元)</t>
        </is>
      </c>
      <c r="B3" s="7" t="n">
        <v>5389</v>
      </c>
      <c r="C3" s="7" t="n">
        <v>6135.1</v>
      </c>
      <c r="D3" s="7" t="n">
        <v>6812.8</v>
      </c>
      <c r="E3" s="7" t="n">
        <v>7937.8</v>
      </c>
      <c r="F3" s="7" t="n">
        <v>7501.6</v>
      </c>
      <c r="G3" s="7" t="n">
        <v>6413.8</v>
      </c>
      <c r="H3" s="7" t="n">
        <v>1512.34</v>
      </c>
      <c r="I3" s="7" t="n">
        <v>1457.97</v>
      </c>
      <c r="J3" s="7" t="n">
        <v>1388.04</v>
      </c>
      <c r="K3" s="7" t="n">
        <v>1910.18</v>
      </c>
    </row>
    <row r="4">
      <c r="A4" s="4" t="inlineStr">
        <is>
          <t>毛利(万元)</t>
        </is>
      </c>
      <c r="B4" s="7" t="n">
        <v>2628.4</v>
      </c>
      <c r="C4" s="7" t="n">
        <v>2330</v>
      </c>
      <c r="D4" s="7" t="n">
        <v>4272.1</v>
      </c>
      <c r="E4" s="7" t="n">
        <v>4020</v>
      </c>
      <c r="F4" s="7" t="n">
        <v>3742.1</v>
      </c>
      <c r="G4" s="7" t="n">
        <v>2793.9</v>
      </c>
      <c r="H4" s="7" t="n">
        <v>570.5700000000001</v>
      </c>
      <c r="I4" s="7" t="n">
        <v>854.04</v>
      </c>
      <c r="J4" s="7" t="n">
        <v>896.6799999999999</v>
      </c>
      <c r="K4" s="7" t="n">
        <v>966.4</v>
      </c>
    </row>
    <row r="5">
      <c r="A5" s="4" t="inlineStr">
        <is>
          <t>毛利率</t>
        </is>
      </c>
      <c r="B5" s="25" t="n">
        <v>0.2289</v>
      </c>
      <c r="C5" s="25" t="n">
        <v>0.2208</v>
      </c>
      <c r="D5" s="25" t="n">
        <v>0.3014</v>
      </c>
      <c r="E5" s="25" t="n">
        <v>0.2227</v>
      </c>
      <c r="F5" s="25" t="n">
        <v>0.3545</v>
      </c>
      <c r="G5" s="25" t="n">
        <v>0.25</v>
      </c>
      <c r="H5" s="25" t="n">
        <v>0.08</v>
      </c>
      <c r="I5" s="25" t="n">
        <v>0.06</v>
      </c>
      <c r="J5" s="25" t="n">
        <v>0.09</v>
      </c>
      <c r="K5" s="25" t="n">
        <v>0.05</v>
      </c>
    </row>
    <row r="6">
      <c r="A6" s="4" t="inlineStr">
        <is>
          <t>净利润(万元)</t>
        </is>
      </c>
      <c r="B6" s="7" t="n">
        <v>1866.2</v>
      </c>
      <c r="C6" s="7" t="n">
        <v>655</v>
      </c>
      <c r="D6" s="7" t="n">
        <v>615.5</v>
      </c>
      <c r="E6" s="7" t="n">
        <v>1743.7</v>
      </c>
      <c r="F6" s="7" t="n">
        <v>1039.1</v>
      </c>
      <c r="G6" s="7" t="n">
        <v>1976.6</v>
      </c>
      <c r="H6" s="7" t="n">
        <v>518.13</v>
      </c>
      <c r="I6" s="7" t="n">
        <v>615.46</v>
      </c>
      <c r="J6" s="7" t="n">
        <v>401.75</v>
      </c>
      <c r="K6" s="7" t="n">
        <v>482.74</v>
      </c>
    </row>
    <row r="7">
      <c r="A7" s="4" t="inlineStr">
        <is>
          <t>净利率</t>
        </is>
      </c>
      <c r="B7" s="25" t="n">
        <v>0.1271</v>
      </c>
      <c r="C7" s="25" t="n">
        <v>0.076</v>
      </c>
      <c r="D7" s="25" t="n">
        <v>0.1124</v>
      </c>
      <c r="E7" s="25" t="n">
        <v>0.0548</v>
      </c>
      <c r="F7" s="25" t="n">
        <v>0.1488</v>
      </c>
      <c r="G7" s="25" t="n">
        <v>0.1192</v>
      </c>
      <c r="H7" s="25" t="n">
        <v>0.03</v>
      </c>
      <c r="I7" s="25" t="n">
        <v>0.03</v>
      </c>
      <c r="J7" s="25" t="n">
        <v>0.04</v>
      </c>
      <c r="K7" s="25" t="n">
        <v>0.03</v>
      </c>
    </row>
    <row r="8">
      <c r="A8" s="4" t="inlineStr">
        <is>
          <t>员工数</t>
        </is>
      </c>
      <c r="B8" s="7" t="n">
        <v>333</v>
      </c>
      <c r="C8" s="7" t="n">
        <v>595</v>
      </c>
      <c r="D8" s="7" t="n">
        <v>608</v>
      </c>
      <c r="E8" s="7" t="n">
        <v>432</v>
      </c>
      <c r="F8" s="7" t="n">
        <v>436</v>
      </c>
      <c r="G8" s="7" t="n">
        <v>319</v>
      </c>
      <c r="H8" s="7" t="n">
        <v>77.56</v>
      </c>
      <c r="I8" s="7" t="n">
        <v>95.59</v>
      </c>
      <c r="J8" s="7" t="n">
        <v>91.55</v>
      </c>
      <c r="K8" s="7" t="n">
        <v>81.37</v>
      </c>
    </row>
    <row r="9">
      <c r="A9" s="4" t="inlineStr">
        <is>
          <t>人均产值(万元)</t>
        </is>
      </c>
      <c r="B9" s="7" t="n">
        <v>24.5</v>
      </c>
      <c r="C9" s="7" t="n">
        <v>22.3</v>
      </c>
      <c r="D9" s="7" t="n">
        <v>37.6</v>
      </c>
      <c r="E9" s="7" t="n">
        <v>38.8</v>
      </c>
      <c r="F9" s="7" t="n">
        <v>19.8</v>
      </c>
      <c r="G9" s="7" t="n">
        <v>15.2</v>
      </c>
      <c r="H9" s="7" t="n">
        <v>3.23</v>
      </c>
      <c r="I9" s="7" t="n">
        <v>3.81</v>
      </c>
      <c r="J9" s="7" t="n">
        <v>3.38</v>
      </c>
      <c r="K9" s="7" t="n">
        <v>4.67</v>
      </c>
    </row>
    <row r="10">
      <c r="A10" s="4" t="inlineStr">
        <is>
          <t>研发费用(万元)</t>
        </is>
      </c>
      <c r="B10" s="7" t="n">
        <v>1213</v>
      </c>
      <c r="C10" s="7" t="n">
        <v>1536.6</v>
      </c>
      <c r="D10" s="7" t="n">
        <v>681.6</v>
      </c>
      <c r="E10" s="7" t="n">
        <v>1690.9</v>
      </c>
      <c r="F10" s="7" t="n">
        <v>942.7</v>
      </c>
      <c r="G10" s="7" t="n">
        <v>1197.7</v>
      </c>
      <c r="H10" s="7" t="n">
        <v>394.72</v>
      </c>
      <c r="I10" s="7" t="n">
        <v>351.65</v>
      </c>
      <c r="J10" s="7" t="n">
        <v>350.59</v>
      </c>
      <c r="K10" s="7" t="n">
        <v>389.72</v>
      </c>
    </row>
    <row r="11">
      <c r="A11" s="4" t="inlineStr">
        <is>
          <t>研发占比</t>
        </is>
      </c>
      <c r="B11" s="25" t="n">
        <v>0.0965</v>
      </c>
      <c r="C11" s="25" t="n">
        <v>0.0342</v>
      </c>
      <c r="D11" s="25" t="n">
        <v>0.09859999999999999</v>
      </c>
      <c r="E11" s="25" t="n">
        <v>0.0843</v>
      </c>
      <c r="F11" s="25" t="n">
        <v>0.0873</v>
      </c>
      <c r="G11" s="25" t="n">
        <v>0.0626</v>
      </c>
      <c r="H11" s="25" t="n">
        <v>0.02</v>
      </c>
      <c r="I11" s="25" t="n">
        <v>0.02</v>
      </c>
      <c r="J11" s="25" t="n">
        <v>0.02</v>
      </c>
      <c r="K11" s="25" t="n">
        <v>0.02</v>
      </c>
    </row>
    <row r="12">
      <c r="A12" s="4" t="inlineStr">
        <is>
          <t>资产总额(万元)</t>
        </is>
      </c>
      <c r="B12" s="7" t="n">
        <v>32163.2</v>
      </c>
      <c r="C12" s="7" t="n">
        <v>33920.7</v>
      </c>
      <c r="D12" s="7" t="n">
        <v>38390.1</v>
      </c>
      <c r="E12" s="7" t="n">
        <v>10227.2</v>
      </c>
      <c r="F12" s="7" t="n">
        <v>43201.8</v>
      </c>
      <c r="G12" s="7" t="n">
        <v>42555</v>
      </c>
      <c r="H12" s="7" t="n">
        <v>9289.9</v>
      </c>
      <c r="I12" s="7" t="n">
        <v>11874.48</v>
      </c>
      <c r="J12" s="7" t="n">
        <v>14536.01</v>
      </c>
      <c r="K12" s="7" t="n">
        <v>11847.14</v>
      </c>
    </row>
    <row r="13">
      <c r="A13" s="4" t="inlineStr">
        <is>
          <t>负债率</t>
        </is>
      </c>
      <c r="B13" s="25" t="n">
        <v>0.4652</v>
      </c>
      <c r="C13" s="25" t="n">
        <v>0.4764</v>
      </c>
      <c r="D13" s="25" t="n">
        <v>0.6234</v>
      </c>
      <c r="E13" s="25" t="n">
        <v>0.5551</v>
      </c>
      <c r="F13" s="25" t="n">
        <v>0.3629</v>
      </c>
      <c r="G13" s="25" t="n">
        <v>0.4669</v>
      </c>
      <c r="H13" s="25" t="n">
        <v>0.14</v>
      </c>
      <c r="I13" s="25" t="n">
        <v>0.15</v>
      </c>
      <c r="J13" s="25" t="n">
        <v>0.13</v>
      </c>
      <c r="K13" s="25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2026-02-20T00:52:08Z</dcterms:created>
  <dcterms:modified xmlns:dcterms="http://purl.org/dc/terms/" xmlns:xsi="http://www.w3.org/2001/XMLSchema-instance" xsi:type="dcterms:W3CDTF">2026-02-20T00:52:09Z</dcterms:modified>
</cp:coreProperties>
</file>